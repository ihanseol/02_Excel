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530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minhwasoo\Downloads\"/>
    </mc:Choice>
  </mc:AlternateContent>
  <xr:revisionPtr revIDLastSave="0" documentId="13_ncr:1_{2413172C-E4CE-431C-B8F0-65FFE0952E67}" xr6:coauthVersionLast="46" xr6:coauthVersionMax="46" xr10:uidLastSave="{00000000-0000-0000-0000-000000000000}"/>
  <bookViews>
    <workbookView xWindow="9675" yWindow="3780" windowWidth="25290" windowHeight="16155" tabRatio="272" firstSheet="5" activeTab="6" xr2:uid="{0C942C1B-B8B9-4772-91C8-446514B6C820}"/>
  </bookViews>
  <sheets>
    <sheet name="C(1670 )" sheetId="4" r:id="rId1"/>
    <sheet name="C(1670)" sheetId="6" r:id="rId2"/>
    <sheet name="C(1671)" sheetId="7" r:id="rId3"/>
    <sheet name="C(1672)" sheetId="8" r:id="rId4"/>
    <sheet name="C(1673)" sheetId="9" r:id="rId5"/>
    <sheet name="TextForPQ" sheetId="3" r:id="rId6"/>
    <sheet name="1670" sheetId="5" r:id="rId7"/>
    <sheet name="1670(an)" sheetId="1" r:id="rId8"/>
  </sheets>
  <functionGroups builtInGroupCount="19"/>
  <externalReferences>
    <externalReference r:id="rId9"/>
    <externalReference r:id="rId10"/>
  </externalReferences>
  <definedNames>
    <definedName name="ExternalData_1" localSheetId="7" hidden="1">'1670(an)'!$C$4:$C$11</definedName>
    <definedName name="List">'[1]1663'!$B$3:$B$8</definedName>
    <definedName name="ListAnswer">'[1]1663 (an)'!$B$3:$B$8</definedName>
    <definedName name="Top">'[2]1665'!$B$2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B44" i="9" l="1" a="1"/>
  <c r="AB44" i="9" s="1"/>
  <c r="AB42" i="9" a="1"/>
  <c r="AB42" i="9" s="1"/>
  <c r="AA37" i="9"/>
  <c r="F5" i="5"/>
  <c r="AB44" i="8" l="1" a="1"/>
  <c r="AB44" i="8" s="1"/>
  <c r="AB42" i="8" a="1"/>
  <c r="AB42" i="8" s="1"/>
  <c r="AA37" i="8"/>
  <c r="AB44" i="7" a="1"/>
  <c r="AB44" i="7" s="1"/>
  <c r="AB42" i="7" a="1"/>
  <c r="AB42" i="7" s="1"/>
  <c r="AA37" i="7"/>
  <c r="AB44" i="6" a="1"/>
  <c r="AB44" i="6" s="1"/>
  <c r="AB42" i="6" a="1"/>
  <c r="AB42" i="6" s="1"/>
  <c r="AA37" i="6"/>
  <c r="D5" i="1" l="1" a="1"/>
  <c r="D5" i="1" s="1"/>
  <c r="AB44" i="4" a="1"/>
  <c r="AB44" i="4" s="1"/>
  <c r="AB42" i="4" a="1"/>
  <c r="AB42" i="4" s="1"/>
  <c r="AA37" i="4"/>
  <c r="E6" i="1" l="1" a="1"/>
  <c r="E6" i="1" s="1"/>
  <c r="E7" i="1" a="1"/>
  <c r="E7" i="1" s="1"/>
  <c r="E8" i="1" a="1"/>
  <c r="E8" i="1" s="1"/>
  <c r="E9" i="1" a="1"/>
  <c r="E9" i="1" s="1"/>
  <c r="E10" i="1" a="1"/>
  <c r="E10" i="1" s="1"/>
  <c r="E11" i="1" a="1"/>
  <c r="E11" i="1" s="1"/>
  <c r="E5" i="1" a="1"/>
  <c r="E5" i="1" s="1"/>
  <c r="D6" i="1" a="1"/>
  <c r="D6" i="1" s="1"/>
  <c r="D7" i="1" a="1"/>
  <c r="D7" i="1" s="1"/>
  <c r="D8" i="1" a="1"/>
  <c r="D8" i="1" s="1"/>
  <c r="D9" i="1" a="1"/>
  <c r="D9" i="1" s="1"/>
  <c r="D10" i="1" a="1"/>
  <c r="D10" i="1" s="1"/>
  <c r="D11" i="1" a="1"/>
  <c r="D11" i="1" s="1"/>
  <c r="F5" i="1" a="1"/>
  <c r="F8" i="1" a="1"/>
  <c r="F9" i="1" a="1"/>
  <c r="F10" i="1" a="1"/>
  <c r="F6" i="1" a="1"/>
  <c r="F11" i="1" a="1"/>
  <c r="F7" i="1" a="1"/>
  <c r="F9" i="1" l="1"/>
  <c r="F11" i="1"/>
  <c r="F7" i="1"/>
  <c r="F10" i="1"/>
  <c r="F8" i="1"/>
  <c r="F6" i="1"/>
  <c r="F5" i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E3A3317-5B5D-4AA6-900D-43F3D3B8CA31}" keepAlive="1" name="Query - PDDataImport" description="Connection to the 'PDDataImport' query in the workbook." type="5" refreshedVersion="6" background="1" saveData="1">
    <dbPr connection="Provider=Microsoft.Mashup.OleDb.1;Data Source=$Workbook$;Location=PDDataImport;Extended Properties=&quot;&quot;" command="SELECT * FROM [PDDataImport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<sst xmlns="http://schemas.openxmlformats.org/spreadsheetml/2006/main" count="137" uniqueCount="49">
  <si>
    <t>Alphanumeric</t>
  </si>
  <si>
    <t>ex1ce3l4is2fu4n</t>
  </si>
  <si>
    <t>9hhyst56</t>
  </si>
  <si>
    <t>Just Non-Numbers</t>
  </si>
  <si>
    <t>10098ApplesWA98106</t>
  </si>
  <si>
    <t>*a1s2f{aa}3</t>
  </si>
  <si>
    <t>ApplesWA</t>
  </si>
  <si>
    <t>excelisfun</t>
  </si>
  <si>
    <t>hhyst</t>
  </si>
  <si>
    <t>FlashFill</t>
  </si>
  <si>
    <t>Power Query</t>
  </si>
  <si>
    <t>Data1670Import</t>
  </si>
  <si>
    <t>DataImport</t>
  </si>
  <si>
    <t>Microsoft 365 Excel</t>
  </si>
  <si>
    <t>LET</t>
  </si>
  <si>
    <t>Old School</t>
  </si>
  <si>
    <t>Non-Number Data</t>
  </si>
  <si>
    <t>ART/LindamWGT</t>
  </si>
  <si>
    <t>*asf{aa}</t>
  </si>
  <si>
    <t>2013 or Later</t>
  </si>
  <si>
    <t>2013 or later</t>
  </si>
  <si>
    <t>Microsoft 365</t>
  </si>
  <si>
    <t>Excel 2016</t>
  </si>
  <si>
    <t>76441ART/Lin01dam56WGT</t>
  </si>
  <si>
    <t>inside?</t>
  </si>
  <si>
    <t>Change First Column in Lookup Table? 4 Examples: INDEX, XLOOKUP, LOOKUP or CHOOSE. EMT 1648</t>
  </si>
  <si>
    <t>Excel</t>
  </si>
  <si>
    <t>Formula</t>
  </si>
  <si>
    <r>
      <rPr>
        <b/>
        <sz val="70"/>
        <color rgb="FF00B050"/>
        <rFont val="맑은 고딕"/>
        <family val="2"/>
        <scheme val="minor"/>
      </rPr>
      <t>Excel</t>
    </r>
    <r>
      <rPr>
        <b/>
        <sz val="70"/>
        <color rgb="FFFF0000"/>
        <rFont val="맑은 고딕"/>
        <family val="2"/>
        <scheme val="minor"/>
      </rPr>
      <t xml:space="preserve">
</t>
    </r>
    <r>
      <rPr>
        <b/>
        <sz val="70"/>
        <color theme="1"/>
        <rFont val="맑은 고딕"/>
        <family val="2"/>
        <scheme val="minor"/>
      </rPr>
      <t>Get Last 5 In Column.</t>
    </r>
    <r>
      <rPr>
        <b/>
        <sz val="70"/>
        <color rgb="FFFF0000"/>
        <rFont val="맑은 고딕"/>
        <family val="2"/>
        <scheme val="minor"/>
      </rPr>
      <t xml:space="preserve">
Add, Average or Display</t>
    </r>
  </si>
  <si>
    <r>
      <t>c</t>
    </r>
    <r>
      <rPr>
        <b/>
        <sz val="125"/>
        <color theme="1"/>
        <rFont val="맑은 고딕"/>
        <family val="2"/>
        <scheme val="minor"/>
      </rPr>
      <t>1</t>
    </r>
    <r>
      <rPr>
        <b/>
        <sz val="125"/>
        <color rgb="FFFF0000"/>
        <rFont val="맑은 고딕"/>
        <family val="2"/>
        <scheme val="minor"/>
      </rPr>
      <t>o</t>
    </r>
    <r>
      <rPr>
        <b/>
        <sz val="125"/>
        <color theme="1"/>
        <rFont val="맑은 고딕"/>
        <family val="2"/>
        <scheme val="minor"/>
      </rPr>
      <t>43</t>
    </r>
    <r>
      <rPr>
        <b/>
        <sz val="125"/>
        <color rgb="FFFF0000"/>
        <rFont val="맑은 고딕"/>
        <family val="2"/>
        <scheme val="minor"/>
      </rPr>
      <t>ol</t>
    </r>
    <r>
      <rPr>
        <b/>
        <sz val="27"/>
        <color rgb="FFFF0000"/>
        <rFont val="맑은 고딕"/>
        <family val="2"/>
        <scheme val="minor"/>
      </rPr>
      <t xml:space="preserve"> 
  </t>
    </r>
    <r>
      <rPr>
        <b/>
        <sz val="125"/>
        <color rgb="FFFF0000"/>
        <rFont val="맑은 고딕"/>
        <family val="2"/>
        <scheme val="minor"/>
      </rPr>
      <t>cool</t>
    </r>
  </si>
  <si>
    <t>c1o43ol</t>
  </si>
  <si>
    <t>cool</t>
  </si>
  <si>
    <t>Consistent Pattern</t>
  </si>
  <si>
    <t>When to Use:</t>
  </si>
  <si>
    <t>1 Time Event</t>
  </si>
  <si>
    <t>Pick Correct Example</t>
  </si>
  <si>
    <t>Importing Data</t>
  </si>
  <si>
    <t>Text.Remove is easy.</t>
  </si>
  <si>
    <t>{"0".."9"} is powerful</t>
  </si>
  <si>
    <t>Have MS 365</t>
  </si>
  <si>
    <t>Solution Must</t>
  </si>
  <si>
    <t>Instantly Update</t>
  </si>
  <si>
    <t>Use LET:</t>
  </si>
  <si>
    <t>When you have</t>
  </si>
  <si>
    <t>Elements</t>
  </si>
  <si>
    <t>Have Excel 2016</t>
  </si>
  <si>
    <t>1) Repeating Formula</t>
  </si>
  <si>
    <t>2) Want Easy to</t>
  </si>
  <si>
    <t>Read Formula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</si>
</sst>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sz val="11"/>
      <color theme="0"/>
      <name val="맑은 고딕"/>
      <family val="2"/>
      <scheme val="minor"/>
    </font>
    <font>
      <sz val="8"/>
      <name val="맑은 고딕"/>
      <family val="2"/>
      <scheme val="minor"/>
    </font>
    <font>
      <sz val="26"/>
      <color theme="0"/>
      <name val="맑은 고딕"/>
      <family val="2"/>
      <scheme val="minor"/>
    </font>
    <font>
      <b/>
      <sz val="100"/>
      <color rgb="FF0000FF"/>
      <name val="맑은 고딕"/>
      <family val="2"/>
      <scheme val="minor"/>
    </font>
    <font>
      <b/>
      <sz val="40"/>
      <color theme="0"/>
      <name val="맑은 고딕"/>
      <family val="2"/>
      <scheme val="minor"/>
    </font>
    <font>
      <sz val="72"/>
      <color theme="0"/>
      <name val="맑은 고딕"/>
      <family val="2"/>
      <scheme val="minor"/>
    </font>
    <font>
      <b/>
      <sz val="36"/>
      <color theme="0"/>
      <name val="맑은 고딕"/>
      <family val="2"/>
      <scheme val="minor"/>
    </font>
    <font>
      <b/>
      <sz val="26"/>
      <color theme="0"/>
      <name val="맑은 고딕"/>
      <family val="2"/>
      <scheme val="minor"/>
    </font>
    <font>
      <b/>
      <sz val="70"/>
      <color rgb="FFFF0000"/>
      <name val="맑은 고딕"/>
      <family val="2"/>
      <scheme val="minor"/>
    </font>
    <font>
      <b/>
      <sz val="70"/>
      <color rgb="FF00B050"/>
      <name val="맑은 고딕"/>
      <family val="2"/>
      <scheme val="minor"/>
    </font>
    <font>
      <b/>
      <sz val="70"/>
      <color theme="1"/>
      <name val="맑은 고딕"/>
      <family val="2"/>
      <scheme val="minor"/>
    </font>
    <font>
      <b/>
      <sz val="125"/>
      <color rgb="FFFF0000"/>
      <name val="맑은 고딕"/>
      <family val="2"/>
      <scheme val="minor"/>
    </font>
    <font>
      <b/>
      <sz val="125"/>
      <color theme="1"/>
      <name val="맑은 고딕"/>
      <family val="2"/>
      <scheme val="minor"/>
    </font>
    <font>
      <b/>
      <sz val="27"/>
      <color rgb="FFFF0000"/>
      <name val="맑은 고딕"/>
      <family val="2"/>
      <scheme val="minor"/>
    </font>
    <font>
      <b/>
      <sz val="100"/>
      <color rgb="FFFF0000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-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223616"/>
        <bgColor indexed="64"/>
      </patternFill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39">
    <xf numFmtId="0" fontId="0" fillId="0" borderId="0" xfId="0"/>
    <xf numFmtId="0" fontId="1" fillId="0" borderId="1" xfId="0" applyFont="1" applyBorder="1"/>
    <xf numFmtId="0" fontId="0" fillId="0" borderId="1" xfId="0" applyBorder="1"/>
    <xf numFmtId="0" fontId="2" fillId="2" borderId="0" xfId="0" applyFont="1" applyFill="1"/>
    <xf numFmtId="0" fontId="2" fillId="4" borderId="0" xfId="0" applyFont="1" applyFill="1"/>
    <xf numFmtId="0" fontId="1" fillId="0" borderId="2" xfId="0" applyFont="1" applyBorder="1"/>
    <xf numFmtId="0" fontId="0" fillId="0" borderId="3" xfId="0" applyBorder="1"/>
    <xf numFmtId="0" fontId="1" fillId="0" borderId="4" xfId="0" applyFont="1" applyBorder="1"/>
    <xf numFmtId="0" fontId="0" fillId="0" borderId="5" xfId="0" applyBorder="1"/>
    <xf numFmtId="0" fontId="2" fillId="5" borderId="0" xfId="0" applyFont="1" applyFill="1"/>
    <xf numFmtId="0" fontId="0" fillId="6" borderId="0" xfId="0" applyFill="1"/>
    <xf numFmtId="0" fontId="2" fillId="7" borderId="0" xfId="0" applyFont="1" applyFill="1"/>
    <xf numFmtId="0" fontId="0" fillId="8" borderId="1" xfId="0" applyFill="1" applyBorder="1"/>
    <xf numFmtId="0" fontId="1" fillId="0" borderId="6" xfId="0" applyFont="1" applyBorder="1"/>
    <xf numFmtId="0" fontId="0" fillId="0" borderId="6" xfId="0" applyBorder="1"/>
    <xf numFmtId="0" fontId="0" fillId="8" borderId="2" xfId="0" applyFill="1" applyBorder="1"/>
    <xf numFmtId="0" fontId="0" fillId="0" borderId="0" xfId="0" applyNumberFormat="1"/>
    <xf numFmtId="0" fontId="0" fillId="0" borderId="0" xfId="0" applyAlignment="1">
      <alignment vertical="center"/>
    </xf>
    <xf numFmtId="0" fontId="6" fillId="9" borderId="0" xfId="0" applyFont="1" applyFill="1" applyAlignment="1">
      <alignment horizontal="center" vertical="center" wrapText="1"/>
    </xf>
    <xf numFmtId="0" fontId="7" fillId="10" borderId="0" xfId="0" applyFont="1" applyFill="1" applyAlignment="1">
      <alignment horizontal="center" vertical="center"/>
    </xf>
    <xf numFmtId="0" fontId="8" fillId="9" borderId="0" xfId="0" applyFont="1" applyFill="1" applyAlignment="1">
      <alignment horizontal="left" indent="1"/>
    </xf>
    <xf numFmtId="0" fontId="9" fillId="5" borderId="0" xfId="0" applyFont="1" applyFill="1" applyAlignment="1">
      <alignment horizontal="left" indent="1"/>
    </xf>
    <xf numFmtId="0" fontId="0" fillId="9" borderId="0" xfId="0" applyFill="1"/>
    <xf numFmtId="0" fontId="4" fillId="9" borderId="0" xfId="0" applyFont="1" applyFill="1" applyAlignment="1">
      <alignment horizontal="left" indent="12"/>
    </xf>
    <xf numFmtId="0" fontId="0" fillId="0" borderId="0" xfId="0" applyAlignment="1">
      <alignment horizontal="left" indent="1"/>
    </xf>
    <xf numFmtId="0" fontId="0" fillId="0" borderId="0" xfId="0" applyAlignment="1">
      <alignment horizontal="left" indent="2"/>
    </xf>
    <xf numFmtId="0" fontId="0" fillId="0" borderId="0" xfId="0" applyAlignment="1">
      <alignment horizontal="left" indent="3"/>
    </xf>
    <xf numFmtId="0" fontId="13" fillId="3" borderId="0" xfId="0" applyFont="1" applyFill="1" applyAlignment="1">
      <alignment horizontal="left" vertical="center" wrapText="1" indent="3"/>
    </xf>
    <xf numFmtId="0" fontId="5" fillId="3" borderId="0" xfId="0" applyFont="1" applyFill="1" applyAlignment="1">
      <alignment horizontal="center" vertical="center" wrapText="1"/>
    </xf>
    <xf numFmtId="0" fontId="10" fillId="3" borderId="7" xfId="0" applyFont="1" applyFill="1" applyBorder="1" applyAlignment="1">
      <alignment horizontal="left" vertical="top" wrapText="1" indent="2"/>
    </xf>
    <xf numFmtId="0" fontId="12" fillId="3" borderId="8" xfId="0" applyFont="1" applyFill="1" applyBorder="1" applyAlignment="1">
      <alignment horizontal="left" vertical="top" wrapText="1" indent="2"/>
    </xf>
    <xf numFmtId="0" fontId="12" fillId="3" borderId="9" xfId="0" applyFont="1" applyFill="1" applyBorder="1" applyAlignment="1">
      <alignment horizontal="left" vertical="top" wrapText="1" indent="2"/>
    </xf>
    <xf numFmtId="0" fontId="12" fillId="3" borderId="10" xfId="0" applyFont="1" applyFill="1" applyBorder="1" applyAlignment="1">
      <alignment horizontal="left" vertical="top" wrapText="1" indent="2"/>
    </xf>
    <xf numFmtId="0" fontId="12" fillId="3" borderId="0" xfId="0" applyFont="1" applyFill="1" applyAlignment="1">
      <alignment horizontal="left" vertical="top" wrapText="1" indent="2"/>
    </xf>
    <xf numFmtId="0" fontId="12" fillId="3" borderId="11" xfId="0" applyFont="1" applyFill="1" applyBorder="1" applyAlignment="1">
      <alignment horizontal="left" vertical="top" wrapText="1" indent="2"/>
    </xf>
    <xf numFmtId="0" fontId="12" fillId="3" borderId="12" xfId="0" applyFont="1" applyFill="1" applyBorder="1" applyAlignment="1">
      <alignment horizontal="left" vertical="top" wrapText="1" indent="2"/>
    </xf>
    <xf numFmtId="0" fontId="12" fillId="3" borderId="13" xfId="0" applyFont="1" applyFill="1" applyBorder="1" applyAlignment="1">
      <alignment horizontal="left" vertical="top" wrapText="1" indent="2"/>
    </xf>
    <xf numFmtId="0" fontId="12" fillId="3" borderId="14" xfId="0" applyFont="1" applyFill="1" applyBorder="1" applyAlignment="1">
      <alignment horizontal="left" vertical="top" wrapText="1" indent="2"/>
    </xf>
    <xf numFmtId="0" fontId="16" fillId="3" borderId="0" xfId="0" applyFont="1" applyFill="1" applyAlignment="1">
      <alignment horizontal="center" vertical="center" wrapText="1"/>
    </xf>
  </cellXfs>
  <cellStyles count="1">
    <cellStyle name="표준" xfId="0" builtinId="0"/>
  </cellStyles>
  <dxfs count="7">
    <dxf>
      <numFmt numFmtId="0" formatCode="General"/>
    </dxf>
    <dxf>
      <border outline="0">
        <left style="thin">
          <color indexed="64"/>
        </left>
        <right style="thin">
          <color indexed="64"/>
        </right>
      </border>
    </dxf>
    <dxf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colors>
    <mruColors>
      <color rgb="FFCCFFCC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jpeg"/><Relationship Id="rId1" Type="http://schemas.openxmlformats.org/officeDocument/2006/relationships/image" Target="../media/image1.emf"/><Relationship Id="rId6" Type="http://schemas.openxmlformats.org/officeDocument/2006/relationships/image" Target="../media/image6.jpg"/><Relationship Id="rId11" Type="http://schemas.openxmlformats.org/officeDocument/2006/relationships/image" Target="../media/image11.jpeg"/><Relationship Id="rId5" Type="http://schemas.openxmlformats.org/officeDocument/2006/relationships/image" Target="../media/image5.emf"/><Relationship Id="rId15" Type="http://schemas.openxmlformats.org/officeDocument/2006/relationships/image" Target="../media/image15.jpg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sv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jpeg"/><Relationship Id="rId1" Type="http://schemas.openxmlformats.org/officeDocument/2006/relationships/image" Target="../media/image1.emf"/><Relationship Id="rId6" Type="http://schemas.openxmlformats.org/officeDocument/2006/relationships/image" Target="../media/image6.jpg"/><Relationship Id="rId11" Type="http://schemas.openxmlformats.org/officeDocument/2006/relationships/image" Target="../media/image11.jpeg"/><Relationship Id="rId5" Type="http://schemas.openxmlformats.org/officeDocument/2006/relationships/image" Target="../media/image5.emf"/><Relationship Id="rId15" Type="http://schemas.openxmlformats.org/officeDocument/2006/relationships/image" Target="../media/image15.jpg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sv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jpeg"/><Relationship Id="rId1" Type="http://schemas.openxmlformats.org/officeDocument/2006/relationships/image" Target="../media/image18.emf"/><Relationship Id="rId6" Type="http://schemas.openxmlformats.org/officeDocument/2006/relationships/image" Target="../media/image6.jpg"/><Relationship Id="rId11" Type="http://schemas.openxmlformats.org/officeDocument/2006/relationships/image" Target="../media/image11.jpeg"/><Relationship Id="rId5" Type="http://schemas.openxmlformats.org/officeDocument/2006/relationships/image" Target="../media/image5.emf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sv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png"/><Relationship Id="rId13" Type="http://schemas.openxmlformats.org/officeDocument/2006/relationships/image" Target="../media/image12.emf"/><Relationship Id="rId3" Type="http://schemas.openxmlformats.org/officeDocument/2006/relationships/image" Target="../media/image2.jpeg"/><Relationship Id="rId7" Type="http://schemas.openxmlformats.org/officeDocument/2006/relationships/image" Target="../media/image6.jpg"/><Relationship Id="rId12" Type="http://schemas.openxmlformats.org/officeDocument/2006/relationships/image" Target="../media/image11.jpeg"/><Relationship Id="rId2" Type="http://schemas.openxmlformats.org/officeDocument/2006/relationships/image" Target="../media/image21.emf"/><Relationship Id="rId1" Type="http://schemas.openxmlformats.org/officeDocument/2006/relationships/image" Target="../media/image20.emf"/><Relationship Id="rId6" Type="http://schemas.openxmlformats.org/officeDocument/2006/relationships/image" Target="../media/image5.emf"/><Relationship Id="rId11" Type="http://schemas.openxmlformats.org/officeDocument/2006/relationships/image" Target="../media/image10.jpg"/><Relationship Id="rId5" Type="http://schemas.openxmlformats.org/officeDocument/2006/relationships/image" Target="../media/image4.jpg"/><Relationship Id="rId15" Type="http://schemas.openxmlformats.org/officeDocument/2006/relationships/image" Target="../media/image14.svg"/><Relationship Id="rId10" Type="http://schemas.openxmlformats.org/officeDocument/2006/relationships/image" Target="../media/image9.jpg"/><Relationship Id="rId4" Type="http://schemas.openxmlformats.org/officeDocument/2006/relationships/image" Target="../media/image3.jpeg"/><Relationship Id="rId9" Type="http://schemas.openxmlformats.org/officeDocument/2006/relationships/image" Target="../media/image8.png"/><Relationship Id="rId14" Type="http://schemas.openxmlformats.org/officeDocument/2006/relationships/image" Target="../media/image13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emf"/><Relationship Id="rId2" Type="http://schemas.openxmlformats.org/officeDocument/2006/relationships/image" Target="../media/image2.jpeg"/><Relationship Id="rId1" Type="http://schemas.openxmlformats.org/officeDocument/2006/relationships/image" Target="../media/image23.emf"/><Relationship Id="rId6" Type="http://schemas.openxmlformats.org/officeDocument/2006/relationships/image" Target="../media/image6.jpg"/><Relationship Id="rId11" Type="http://schemas.openxmlformats.org/officeDocument/2006/relationships/image" Target="../media/image11.jpeg"/><Relationship Id="rId5" Type="http://schemas.openxmlformats.org/officeDocument/2006/relationships/image" Target="../media/image5.emf"/><Relationship Id="rId15" Type="http://schemas.openxmlformats.org/officeDocument/2006/relationships/image" Target="../media/image24.emf"/><Relationship Id="rId10" Type="http://schemas.openxmlformats.org/officeDocument/2006/relationships/image" Target="../media/image10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4" Type="http://schemas.openxmlformats.org/officeDocument/2006/relationships/image" Target="../media/image14.sv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6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19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22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7.emf"/><Relationship Id="rId1" Type="http://schemas.openxmlformats.org/officeDocument/2006/relationships/image" Target="../media/image25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18</xdr:col>
          <xdr:colOff>531159</xdr:colOff>
          <xdr:row>0</xdr:row>
          <xdr:rowOff>396127</xdr:rowOff>
        </xdr:from>
        <xdr:ext cx="1682003" cy="3629025"/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800672CD-244A-4FED-B312-B4AE28C5703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B$44" spid="_x0000_s4217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05247" y="396127"/>
              <a:ext cx="1682003" cy="3629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27</xdr:col>
      <xdr:colOff>995413</xdr:colOff>
      <xdr:row>56</xdr:row>
      <xdr:rowOff>110436</xdr:rowOff>
    </xdr:from>
    <xdr:ext cx="2221808" cy="3010785"/>
    <xdr:pic>
      <xdr:nvPicPr>
        <xdr:cNvPr id="3" name="Picture 2">
          <a:extLst>
            <a:ext uri="{FF2B5EF4-FFF2-40B4-BE49-F238E27FC236}">
              <a16:creationId xmlns:a16="http://schemas.microsoft.com/office/drawing/2014/main" id="{EF7A82D2-7395-4629-933F-CEA199ED95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2538" y="15559986"/>
          <a:ext cx="2221808" cy="3010785"/>
        </a:xfrm>
        <a:prstGeom prst="rect">
          <a:avLst/>
        </a:prstGeom>
      </xdr:spPr>
    </xdr:pic>
    <xdr:clientData/>
  </xdr:oneCellAnchor>
  <xdr:oneCellAnchor>
    <xdr:from>
      <xdr:col>25</xdr:col>
      <xdr:colOff>125940</xdr:colOff>
      <xdr:row>66</xdr:row>
      <xdr:rowOff>64803</xdr:rowOff>
    </xdr:from>
    <xdr:ext cx="1112225" cy="1112198"/>
    <xdr:pic>
      <xdr:nvPicPr>
        <xdr:cNvPr id="4" name="Picture 3">
          <a:extLst>
            <a:ext uri="{FF2B5EF4-FFF2-40B4-BE49-F238E27FC236}">
              <a16:creationId xmlns:a16="http://schemas.microsoft.com/office/drawing/2014/main" id="{8C325AC8-5131-4C06-B2A5-D4BE97032C6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03865" y="17419353"/>
          <a:ext cx="1112225" cy="1112198"/>
        </a:xfrm>
        <a:prstGeom prst="rect">
          <a:avLst/>
        </a:prstGeom>
      </xdr:spPr>
    </xdr:pic>
    <xdr:clientData/>
  </xdr:oneCellAnchor>
  <xdr:oneCellAnchor>
    <xdr:from>
      <xdr:col>4</xdr:col>
      <xdr:colOff>305469</xdr:colOff>
      <xdr:row>60</xdr:row>
      <xdr:rowOff>94013</xdr:rowOff>
    </xdr:from>
    <xdr:ext cx="4260760" cy="3708256"/>
    <xdr:pic>
      <xdr:nvPicPr>
        <xdr:cNvPr id="5" name="Picture 4">
          <a:extLst>
            <a:ext uri="{FF2B5EF4-FFF2-40B4-BE49-F238E27FC236}">
              <a16:creationId xmlns:a16="http://schemas.microsoft.com/office/drawing/2014/main" id="{755B3545-35AF-4623-AB48-423DC081280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5194" y="16305563"/>
          <a:ext cx="4260760" cy="370825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481693</xdr:colOff>
          <xdr:row>47</xdr:row>
          <xdr:rowOff>34016</xdr:rowOff>
        </xdr:from>
        <xdr:ext cx="3781425" cy="866775"/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706C41F4-4280-47CD-B159-A4E7CC4EB024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C$47" spid="_x0000_s4218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0016218" y="13769066"/>
              <a:ext cx="3781425" cy="866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2</xdr:col>
      <xdr:colOff>104775</xdr:colOff>
      <xdr:row>133</xdr:row>
      <xdr:rowOff>47625</xdr:rowOff>
    </xdr:from>
    <xdr:ext cx="7859766" cy="742950"/>
    <xdr:pic>
      <xdr:nvPicPr>
        <xdr:cNvPr id="7" name="Picture 6">
          <a:extLst>
            <a:ext uri="{FF2B5EF4-FFF2-40B4-BE49-F238E27FC236}">
              <a16:creationId xmlns:a16="http://schemas.microsoft.com/office/drawing/2014/main" id="{133285F0-A347-4771-A621-45C09A08AF1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236" t="38583"/>
        <a:stretch/>
      </xdr:blipFill>
      <xdr:spPr>
        <a:xfrm>
          <a:off x="1257300" y="30803850"/>
          <a:ext cx="7859766" cy="742950"/>
        </a:xfrm>
        <a:prstGeom prst="rect">
          <a:avLst/>
        </a:prstGeom>
        <a:ln w="25400">
          <a:solidFill>
            <a:schemeClr val="tx1">
              <a:lumMod val="95000"/>
              <a:lumOff val="5000"/>
            </a:schemeClr>
          </a:solidFill>
        </a:ln>
      </xdr:spPr>
    </xdr:pic>
    <xdr:clientData/>
  </xdr:oneCellAnchor>
  <xdr:oneCellAnchor>
    <xdr:from>
      <xdr:col>4</xdr:col>
      <xdr:colOff>0</xdr:colOff>
      <xdr:row>120</xdr:row>
      <xdr:rowOff>0</xdr:rowOff>
    </xdr:from>
    <xdr:ext cx="4492999" cy="1009650"/>
    <xdr:pic>
      <xdr:nvPicPr>
        <xdr:cNvPr id="8" name="Picture 7">
          <a:extLst>
            <a:ext uri="{FF2B5EF4-FFF2-40B4-BE49-F238E27FC236}">
              <a16:creationId xmlns:a16="http://schemas.microsoft.com/office/drawing/2014/main" id="{1337C878-8ECC-4FEB-863A-4C983585EF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" y="28279725"/>
          <a:ext cx="4492999" cy="1009650"/>
        </a:xfrm>
        <a:prstGeom prst="rect">
          <a:avLst/>
        </a:prstGeom>
        <a:ln w="25400">
          <a:solidFill>
            <a:schemeClr val="tx1">
              <a:lumMod val="95000"/>
              <a:lumOff val="5000"/>
            </a:schemeClr>
          </a:solidFill>
        </a:ln>
      </xdr:spPr>
    </xdr:pic>
    <xdr:clientData/>
  </xdr:oneCellAnchor>
  <xdr:twoCellAnchor>
    <xdr:from>
      <xdr:col>25</xdr:col>
      <xdr:colOff>120865</xdr:colOff>
      <xdr:row>82</xdr:row>
      <xdr:rowOff>51309</xdr:rowOff>
    </xdr:from>
    <xdr:to>
      <xdr:col>26</xdr:col>
      <xdr:colOff>461596</xdr:colOff>
      <xdr:row>86</xdr:row>
      <xdr:rowOff>153724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95832A4E-5EFA-45FC-8704-F8938D4E7BB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98790" y="20853909"/>
          <a:ext cx="950331" cy="1102540"/>
        </a:xfrm>
        <a:prstGeom prst="rect">
          <a:avLst/>
        </a:prstGeom>
      </xdr:spPr>
    </xdr:pic>
    <xdr:clientData/>
  </xdr:twoCellAnchor>
  <xdr:oneCellAnchor>
    <xdr:from>
      <xdr:col>27</xdr:col>
      <xdr:colOff>118797</xdr:colOff>
      <xdr:row>1</xdr:row>
      <xdr:rowOff>166969</xdr:rowOff>
    </xdr:from>
    <xdr:ext cx="2582382" cy="2589679"/>
    <xdr:pic>
      <xdr:nvPicPr>
        <xdr:cNvPr id="10" name="Picture 9">
          <a:extLst>
            <a:ext uri="{FF2B5EF4-FFF2-40B4-BE49-F238E27FC236}">
              <a16:creationId xmlns:a16="http://schemas.microsoft.com/office/drawing/2014/main" id="{B64489BC-BBDD-43AB-8029-C0795DD2F6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112268" y="738469"/>
          <a:ext cx="2582382" cy="2589679"/>
        </a:xfrm>
        <a:prstGeom prst="rect">
          <a:avLst/>
        </a:prstGeom>
      </xdr:spPr>
    </xdr:pic>
    <xdr:clientData/>
  </xdr:oneCellAnchor>
  <xdr:oneCellAnchor>
    <xdr:from>
      <xdr:col>33</xdr:col>
      <xdr:colOff>419771</xdr:colOff>
      <xdr:row>20</xdr:row>
      <xdr:rowOff>76200</xdr:rowOff>
    </xdr:from>
    <xdr:ext cx="1795631" cy="2628900"/>
    <xdr:pic>
      <xdr:nvPicPr>
        <xdr:cNvPr id="11" name="Picture 10">
          <a:extLst>
            <a:ext uri="{FF2B5EF4-FFF2-40B4-BE49-F238E27FC236}">
              <a16:creationId xmlns:a16="http://schemas.microsoft.com/office/drawing/2014/main" id="{1BD6B755-7BEB-44BB-8A86-650409C34BF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269"/>
        <a:stretch/>
      </xdr:blipFill>
      <xdr:spPr>
        <a:xfrm>
          <a:off x="23041646" y="4267200"/>
          <a:ext cx="1795631" cy="2628900"/>
        </a:xfrm>
        <a:prstGeom prst="rect">
          <a:avLst/>
        </a:prstGeom>
      </xdr:spPr>
    </xdr:pic>
    <xdr:clientData/>
  </xdr:oneCellAnchor>
  <xdr:twoCellAnchor>
    <xdr:from>
      <xdr:col>27</xdr:col>
      <xdr:colOff>649942</xdr:colOff>
      <xdr:row>17</xdr:row>
      <xdr:rowOff>190498</xdr:rowOff>
    </xdr:from>
    <xdr:to>
      <xdr:col>27</xdr:col>
      <xdr:colOff>1587160</xdr:colOff>
      <xdr:row>21</xdr:row>
      <xdr:rowOff>2242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6DC0F379-8F61-43CF-8C44-E2452BDCF992}"/>
            </a:ext>
          </a:extLst>
        </xdr:cNvPr>
        <xdr:cNvGrpSpPr/>
      </xdr:nvGrpSpPr>
      <xdr:grpSpPr>
        <a:xfrm>
          <a:off x="17680642" y="3809998"/>
          <a:ext cx="937218" cy="573744"/>
          <a:chOff x="281297" y="5343525"/>
          <a:chExt cx="1523770" cy="102870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B7DF3CF-B4E5-4721-AE71-6FC833AF8F18}"/>
              </a:ext>
            </a:extLst>
          </xdr:cNvPr>
          <xdr:cNvSpPr/>
        </xdr:nvSpPr>
        <xdr:spPr>
          <a:xfrm>
            <a:off x="666751" y="5343525"/>
            <a:ext cx="1138316" cy="10287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5E313F9F-8633-4FED-839D-3CEB96BD73A6}"/>
              </a:ext>
            </a:extLst>
          </xdr:cNvPr>
          <xdr:cNvGrpSpPr/>
        </xdr:nvGrpSpPr>
        <xdr:grpSpPr>
          <a:xfrm>
            <a:off x="281297" y="5344767"/>
            <a:ext cx="1507780" cy="1027457"/>
            <a:chOff x="7305929" y="978700"/>
            <a:chExt cx="1756946" cy="1240065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D689A38B-A389-477C-AA30-41AFFC5123D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305929" y="978700"/>
              <a:ext cx="1264875" cy="1240065"/>
            </a:xfrm>
            <a:prstGeom prst="rect">
              <a:avLst/>
            </a:prstGeom>
          </xdr:spPr>
        </xdr:pic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CF292D8A-E79A-4344-A619-E529AA9A81A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51244" y="1085965"/>
              <a:ext cx="1011631" cy="1013747"/>
            </a:xfrm>
            <a:prstGeom prst="rect">
              <a:avLst/>
            </a:prstGeom>
          </xdr:spPr>
        </xdr:pic>
      </xdr:grpSp>
    </xdr:grpSp>
    <xdr:clientData/>
  </xdr:twoCellAnchor>
  <xdr:oneCellAnchor>
    <xdr:from>
      <xdr:col>14</xdr:col>
      <xdr:colOff>67231</xdr:colOff>
      <xdr:row>1</xdr:row>
      <xdr:rowOff>42945</xdr:rowOff>
    </xdr:from>
    <xdr:ext cx="2428428" cy="3157544"/>
    <xdr:pic>
      <xdr:nvPicPr>
        <xdr:cNvPr id="17" name="Picture 16">
          <a:extLst>
            <a:ext uri="{FF2B5EF4-FFF2-40B4-BE49-F238E27FC236}">
              <a16:creationId xmlns:a16="http://schemas.microsoft.com/office/drawing/2014/main" id="{1F342F9C-D985-419A-9A05-A638A1178FEE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048"/>
        <a:stretch/>
      </xdr:blipFill>
      <xdr:spPr>
        <a:xfrm>
          <a:off x="7720849" y="614445"/>
          <a:ext cx="2428428" cy="3157544"/>
        </a:xfrm>
        <a:prstGeom prst="rect">
          <a:avLst/>
        </a:prstGeom>
      </xdr:spPr>
    </xdr:pic>
    <xdr:clientData/>
  </xdr:oneCellAnchor>
  <xdr:oneCellAnchor>
    <xdr:from>
      <xdr:col>28</xdr:col>
      <xdr:colOff>1490383</xdr:colOff>
      <xdr:row>28</xdr:row>
      <xdr:rowOff>123265</xdr:rowOff>
    </xdr:from>
    <xdr:ext cx="1696010" cy="438150"/>
    <xdr:pic>
      <xdr:nvPicPr>
        <xdr:cNvPr id="18" name="Picture 17">
          <a:extLst>
            <a:ext uri="{FF2B5EF4-FFF2-40B4-BE49-F238E27FC236}">
              <a16:creationId xmlns:a16="http://schemas.microsoft.com/office/drawing/2014/main" id="{24F3D622-1CCC-4079-8A0E-BD413C757BF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2958" y="5838265"/>
          <a:ext cx="169601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26</xdr:col>
      <xdr:colOff>39889</xdr:colOff>
      <xdr:row>0</xdr:row>
      <xdr:rowOff>394787</xdr:rowOff>
    </xdr:from>
    <xdr:to>
      <xdr:col>26</xdr:col>
      <xdr:colOff>259663</xdr:colOff>
      <xdr:row>15</xdr:row>
      <xdr:rowOff>123266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E8BA52B5-9FD2-492F-9858-8969D5CC8D04}"/>
            </a:ext>
          </a:extLst>
        </xdr:cNvPr>
        <xdr:cNvCxnSpPr/>
      </xdr:nvCxnSpPr>
      <xdr:spPr>
        <a:xfrm flipH="1">
          <a:off x="14428242" y="394787"/>
          <a:ext cx="219774" cy="2966979"/>
        </a:xfrm>
        <a:prstGeom prst="straightConnector1">
          <a:avLst/>
        </a:prstGeom>
        <a:ln w="13652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437024</xdr:colOff>
      <xdr:row>15</xdr:row>
      <xdr:rowOff>110990</xdr:rowOff>
    </xdr:from>
    <xdr:to>
      <xdr:col>14</xdr:col>
      <xdr:colOff>324964</xdr:colOff>
      <xdr:row>30</xdr:row>
      <xdr:rowOff>120773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8D49E22D-F7AE-4676-ADEE-FAF050A493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5053" y="3349490"/>
          <a:ext cx="2913529" cy="2867283"/>
        </a:xfrm>
        <a:prstGeom prst="rect">
          <a:avLst/>
        </a:prstGeom>
      </xdr:spPr>
    </xdr:pic>
    <xdr:clientData/>
  </xdr:twoCellAnchor>
  <xdr:twoCellAnchor editAs="oneCell">
    <xdr:from>
      <xdr:col>5</xdr:col>
      <xdr:colOff>241607</xdr:colOff>
      <xdr:row>12</xdr:row>
      <xdr:rowOff>101642</xdr:rowOff>
    </xdr:from>
    <xdr:to>
      <xdr:col>7</xdr:col>
      <xdr:colOff>536149</xdr:colOff>
      <xdr:row>22</xdr:row>
      <xdr:rowOff>128891</xdr:rowOff>
    </xdr:to>
    <xdr:pic>
      <xdr:nvPicPr>
        <xdr:cNvPr id="25" name="Graphic 24" descr="Back">
          <a:extLst>
            <a:ext uri="{FF2B5EF4-FFF2-40B4-BE49-F238E27FC236}">
              <a16:creationId xmlns:a16="http://schemas.microsoft.com/office/drawing/2014/main" id="{EEC38C5B-DA30-4ECF-ADDC-43EB1FF8A0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5817145" flipV="1">
          <a:off x="2235430" y="2982378"/>
          <a:ext cx="1932249" cy="1504777"/>
        </a:xfrm>
        <a:prstGeom prst="rect">
          <a:avLst/>
        </a:prstGeom>
      </xdr:spPr>
    </xdr:pic>
    <xdr:clientData/>
  </xdr:twoCellAnchor>
  <xdr:twoCellAnchor editAs="oneCell">
    <xdr:from>
      <xdr:col>24</xdr:col>
      <xdr:colOff>313764</xdr:colOff>
      <xdr:row>13</xdr:row>
      <xdr:rowOff>160084</xdr:rowOff>
    </xdr:from>
    <xdr:to>
      <xdr:col>27</xdr:col>
      <xdr:colOff>360828</xdr:colOff>
      <xdr:row>30</xdr:row>
      <xdr:rowOff>114299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7A122DCE-8D8C-46A6-867C-F7444396F0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91882" y="3017584"/>
          <a:ext cx="1862417" cy="3192715"/>
        </a:xfrm>
        <a:prstGeom prst="rect">
          <a:avLst/>
        </a:prstGeom>
      </xdr:spPr>
    </xdr:pic>
    <xdr:clientData/>
  </xdr:twoCellAnchor>
  <xdr:twoCellAnchor>
    <xdr:from>
      <xdr:col>15</xdr:col>
      <xdr:colOff>425823</xdr:colOff>
      <xdr:row>21</xdr:row>
      <xdr:rowOff>112062</xdr:rowOff>
    </xdr:from>
    <xdr:to>
      <xdr:col>22</xdr:col>
      <xdr:colOff>1008527</xdr:colOff>
      <xdr:row>26</xdr:row>
      <xdr:rowOff>22414</xdr:rowOff>
    </xdr:to>
    <xdr:sp macro="" textlink="">
      <xdr:nvSpPr>
        <xdr:cNvPr id="20" name="Rectangle 19">
          <a:extLst>
            <a:ext uri="{FF2B5EF4-FFF2-40B4-BE49-F238E27FC236}">
              <a16:creationId xmlns:a16="http://schemas.microsoft.com/office/drawing/2014/main" id="{7D264443-7061-4AD7-A21D-D74F1694BED6}"/>
            </a:ext>
          </a:extLst>
        </xdr:cNvPr>
        <xdr:cNvSpPr/>
      </xdr:nvSpPr>
      <xdr:spPr>
        <a:xfrm>
          <a:off x="8684558" y="4493562"/>
          <a:ext cx="3776381" cy="862852"/>
        </a:xfrm>
        <a:prstGeom prst="rect">
          <a:avLst/>
        </a:prstGeom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400"/>
            <a:t>LET function</a:t>
          </a:r>
        </a:p>
      </xdr:txBody>
    </xdr:sp>
    <xdr:clientData/>
  </xdr:twoCellAnchor>
  <xdr:twoCellAnchor>
    <xdr:from>
      <xdr:col>15</xdr:col>
      <xdr:colOff>152396</xdr:colOff>
      <xdr:row>16</xdr:row>
      <xdr:rowOff>129989</xdr:rowOff>
    </xdr:from>
    <xdr:to>
      <xdr:col>19</xdr:col>
      <xdr:colOff>112058</xdr:colOff>
      <xdr:row>21</xdr:row>
      <xdr:rowOff>156882</xdr:rowOff>
    </xdr:to>
    <xdr:sp macro="" textlink="">
      <xdr:nvSpPr>
        <xdr:cNvPr id="24" name="Rectangle 23">
          <a:extLst>
            <a:ext uri="{FF2B5EF4-FFF2-40B4-BE49-F238E27FC236}">
              <a16:creationId xmlns:a16="http://schemas.microsoft.com/office/drawing/2014/main" id="{C83AF43D-7D9C-487A-A1B3-5219899DB0A4}"/>
            </a:ext>
          </a:extLst>
        </xdr:cNvPr>
        <xdr:cNvSpPr/>
      </xdr:nvSpPr>
      <xdr:spPr>
        <a:xfrm>
          <a:off x="8411131" y="3558989"/>
          <a:ext cx="2380133" cy="97939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5000" b="1" baseline="0">
              <a:solidFill>
                <a:schemeClr val="tx1"/>
              </a:solidFill>
            </a:rPr>
            <a:t>Bonus:</a:t>
          </a:r>
          <a:endParaRPr lang="en-US" sz="5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18</xdr:col>
          <xdr:colOff>531159</xdr:colOff>
          <xdr:row>0</xdr:row>
          <xdr:rowOff>396127</xdr:rowOff>
        </xdr:from>
        <xdr:ext cx="1682003" cy="3629025"/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0DB55F9D-7461-44AD-8CAE-AF4864AE96A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B$44" spid="_x0000_s8255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75284" y="396127"/>
              <a:ext cx="1682003" cy="3629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27</xdr:col>
      <xdr:colOff>995413</xdr:colOff>
      <xdr:row>56</xdr:row>
      <xdr:rowOff>110436</xdr:rowOff>
    </xdr:from>
    <xdr:ext cx="2221808" cy="3010785"/>
    <xdr:pic>
      <xdr:nvPicPr>
        <xdr:cNvPr id="3" name="Picture 2">
          <a:extLst>
            <a:ext uri="{FF2B5EF4-FFF2-40B4-BE49-F238E27FC236}">
              <a16:creationId xmlns:a16="http://schemas.microsoft.com/office/drawing/2014/main" id="{4782F6B2-EA3E-4547-A814-68886F30F17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2538" y="15559986"/>
          <a:ext cx="2221808" cy="3010785"/>
        </a:xfrm>
        <a:prstGeom prst="rect">
          <a:avLst/>
        </a:prstGeom>
      </xdr:spPr>
    </xdr:pic>
    <xdr:clientData/>
  </xdr:oneCellAnchor>
  <xdr:oneCellAnchor>
    <xdr:from>
      <xdr:col>25</xdr:col>
      <xdr:colOff>125940</xdr:colOff>
      <xdr:row>66</xdr:row>
      <xdr:rowOff>64803</xdr:rowOff>
    </xdr:from>
    <xdr:ext cx="1112225" cy="1112198"/>
    <xdr:pic>
      <xdr:nvPicPr>
        <xdr:cNvPr id="4" name="Picture 3">
          <a:extLst>
            <a:ext uri="{FF2B5EF4-FFF2-40B4-BE49-F238E27FC236}">
              <a16:creationId xmlns:a16="http://schemas.microsoft.com/office/drawing/2014/main" id="{6ECB5C47-2D11-4840-87D4-C6C4941E663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03865" y="17419353"/>
          <a:ext cx="1112225" cy="1112198"/>
        </a:xfrm>
        <a:prstGeom prst="rect">
          <a:avLst/>
        </a:prstGeom>
      </xdr:spPr>
    </xdr:pic>
    <xdr:clientData/>
  </xdr:oneCellAnchor>
  <xdr:oneCellAnchor>
    <xdr:from>
      <xdr:col>4</xdr:col>
      <xdr:colOff>305469</xdr:colOff>
      <xdr:row>60</xdr:row>
      <xdr:rowOff>94013</xdr:rowOff>
    </xdr:from>
    <xdr:ext cx="4260760" cy="3708256"/>
    <xdr:pic>
      <xdr:nvPicPr>
        <xdr:cNvPr id="5" name="Picture 4">
          <a:extLst>
            <a:ext uri="{FF2B5EF4-FFF2-40B4-BE49-F238E27FC236}">
              <a16:creationId xmlns:a16="http://schemas.microsoft.com/office/drawing/2014/main" id="{A696EF7B-D502-47F9-A6B4-A47147DD512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5194" y="16305563"/>
          <a:ext cx="4260760" cy="370825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481693</xdr:colOff>
          <xdr:row>47</xdr:row>
          <xdr:rowOff>34016</xdr:rowOff>
        </xdr:from>
        <xdr:ext cx="3781425" cy="866775"/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1FC48FAE-544B-4C60-BC91-B705C43D7C2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C$47" spid="_x0000_s8256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0016218" y="13769066"/>
              <a:ext cx="3781425" cy="866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2</xdr:col>
      <xdr:colOff>104775</xdr:colOff>
      <xdr:row>133</xdr:row>
      <xdr:rowOff>47625</xdr:rowOff>
    </xdr:from>
    <xdr:ext cx="7859766" cy="742950"/>
    <xdr:pic>
      <xdr:nvPicPr>
        <xdr:cNvPr id="7" name="Picture 6">
          <a:extLst>
            <a:ext uri="{FF2B5EF4-FFF2-40B4-BE49-F238E27FC236}">
              <a16:creationId xmlns:a16="http://schemas.microsoft.com/office/drawing/2014/main" id="{850C9284-3E45-498C-BCE2-C17BCE9FCAD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236" t="38583"/>
        <a:stretch/>
      </xdr:blipFill>
      <xdr:spPr>
        <a:xfrm>
          <a:off x="1257300" y="30803850"/>
          <a:ext cx="7859766" cy="742950"/>
        </a:xfrm>
        <a:prstGeom prst="rect">
          <a:avLst/>
        </a:prstGeom>
        <a:ln w="25400">
          <a:solidFill>
            <a:schemeClr val="tx1">
              <a:lumMod val="95000"/>
              <a:lumOff val="5000"/>
            </a:schemeClr>
          </a:solidFill>
        </a:ln>
      </xdr:spPr>
    </xdr:pic>
    <xdr:clientData/>
  </xdr:oneCellAnchor>
  <xdr:oneCellAnchor>
    <xdr:from>
      <xdr:col>4</xdr:col>
      <xdr:colOff>0</xdr:colOff>
      <xdr:row>120</xdr:row>
      <xdr:rowOff>0</xdr:rowOff>
    </xdr:from>
    <xdr:ext cx="4492999" cy="1009650"/>
    <xdr:pic>
      <xdr:nvPicPr>
        <xdr:cNvPr id="8" name="Picture 7">
          <a:extLst>
            <a:ext uri="{FF2B5EF4-FFF2-40B4-BE49-F238E27FC236}">
              <a16:creationId xmlns:a16="http://schemas.microsoft.com/office/drawing/2014/main" id="{F9FAEA2A-9C0E-41C0-8108-F3A956F147E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" y="28279725"/>
          <a:ext cx="4492999" cy="1009650"/>
        </a:xfrm>
        <a:prstGeom prst="rect">
          <a:avLst/>
        </a:prstGeom>
        <a:ln w="25400">
          <a:solidFill>
            <a:schemeClr val="tx1">
              <a:lumMod val="95000"/>
              <a:lumOff val="5000"/>
            </a:schemeClr>
          </a:solidFill>
        </a:ln>
      </xdr:spPr>
    </xdr:pic>
    <xdr:clientData/>
  </xdr:oneCellAnchor>
  <xdr:twoCellAnchor>
    <xdr:from>
      <xdr:col>25</xdr:col>
      <xdr:colOff>120865</xdr:colOff>
      <xdr:row>82</xdr:row>
      <xdr:rowOff>51309</xdr:rowOff>
    </xdr:from>
    <xdr:to>
      <xdr:col>26</xdr:col>
      <xdr:colOff>461596</xdr:colOff>
      <xdr:row>86</xdr:row>
      <xdr:rowOff>153724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BE6E4803-8267-4CE3-9298-03027AD070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98790" y="20853909"/>
          <a:ext cx="950331" cy="1102540"/>
        </a:xfrm>
        <a:prstGeom prst="rect">
          <a:avLst/>
        </a:prstGeom>
      </xdr:spPr>
    </xdr:pic>
    <xdr:clientData/>
  </xdr:twoCellAnchor>
  <xdr:oneCellAnchor>
    <xdr:from>
      <xdr:col>27</xdr:col>
      <xdr:colOff>118797</xdr:colOff>
      <xdr:row>1</xdr:row>
      <xdr:rowOff>166969</xdr:rowOff>
    </xdr:from>
    <xdr:ext cx="2582382" cy="2589679"/>
    <xdr:pic>
      <xdr:nvPicPr>
        <xdr:cNvPr id="10" name="Picture 9">
          <a:extLst>
            <a:ext uri="{FF2B5EF4-FFF2-40B4-BE49-F238E27FC236}">
              <a16:creationId xmlns:a16="http://schemas.microsoft.com/office/drawing/2014/main" id="{899DC58D-367B-4EEF-BC3C-ABEBCDAB185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5922" y="738469"/>
          <a:ext cx="2582382" cy="2589679"/>
        </a:xfrm>
        <a:prstGeom prst="rect">
          <a:avLst/>
        </a:prstGeom>
      </xdr:spPr>
    </xdr:pic>
    <xdr:clientData/>
  </xdr:oneCellAnchor>
  <xdr:oneCellAnchor>
    <xdr:from>
      <xdr:col>33</xdr:col>
      <xdr:colOff>419771</xdr:colOff>
      <xdr:row>20</xdr:row>
      <xdr:rowOff>76200</xdr:rowOff>
    </xdr:from>
    <xdr:ext cx="1795631" cy="2628900"/>
    <xdr:pic>
      <xdr:nvPicPr>
        <xdr:cNvPr id="11" name="Picture 10">
          <a:extLst>
            <a:ext uri="{FF2B5EF4-FFF2-40B4-BE49-F238E27FC236}">
              <a16:creationId xmlns:a16="http://schemas.microsoft.com/office/drawing/2014/main" id="{CF156954-AB86-43FD-8B46-E53F255592D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269"/>
        <a:stretch/>
      </xdr:blipFill>
      <xdr:spPr>
        <a:xfrm>
          <a:off x="23041646" y="4267200"/>
          <a:ext cx="1795631" cy="2628900"/>
        </a:xfrm>
        <a:prstGeom prst="rect">
          <a:avLst/>
        </a:prstGeom>
      </xdr:spPr>
    </xdr:pic>
    <xdr:clientData/>
  </xdr:oneCellAnchor>
  <xdr:twoCellAnchor>
    <xdr:from>
      <xdr:col>27</xdr:col>
      <xdr:colOff>649942</xdr:colOff>
      <xdr:row>17</xdr:row>
      <xdr:rowOff>190498</xdr:rowOff>
    </xdr:from>
    <xdr:to>
      <xdr:col>27</xdr:col>
      <xdr:colOff>1587160</xdr:colOff>
      <xdr:row>21</xdr:row>
      <xdr:rowOff>2242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0D3EADB7-34A8-4F51-BCB2-6DF2C6537D81}"/>
            </a:ext>
          </a:extLst>
        </xdr:cNvPr>
        <xdr:cNvGrpSpPr/>
      </xdr:nvGrpSpPr>
      <xdr:grpSpPr>
        <a:xfrm>
          <a:off x="17680642" y="3809998"/>
          <a:ext cx="937218" cy="573744"/>
          <a:chOff x="281297" y="5343525"/>
          <a:chExt cx="1523770" cy="102870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5656D997-026A-4A6F-8170-ABEA6AC3B1D7}"/>
              </a:ext>
            </a:extLst>
          </xdr:cNvPr>
          <xdr:cNvSpPr/>
        </xdr:nvSpPr>
        <xdr:spPr>
          <a:xfrm>
            <a:off x="666751" y="5343525"/>
            <a:ext cx="1138316" cy="10287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A482F975-C1C7-47EA-ACC8-51D510E9B6C8}"/>
              </a:ext>
            </a:extLst>
          </xdr:cNvPr>
          <xdr:cNvGrpSpPr/>
        </xdr:nvGrpSpPr>
        <xdr:grpSpPr>
          <a:xfrm>
            <a:off x="281297" y="5344767"/>
            <a:ext cx="1507780" cy="1027457"/>
            <a:chOff x="7305929" y="978700"/>
            <a:chExt cx="1756946" cy="1240065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AEF85E28-2BBC-4D79-841B-82DDB478789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305929" y="978700"/>
              <a:ext cx="1264875" cy="1240065"/>
            </a:xfrm>
            <a:prstGeom prst="rect">
              <a:avLst/>
            </a:prstGeom>
          </xdr:spPr>
        </xdr:pic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65A70B9C-175F-462A-83AC-4AC552CD1230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51244" y="1085965"/>
              <a:ext cx="1011631" cy="1013747"/>
            </a:xfrm>
            <a:prstGeom prst="rect">
              <a:avLst/>
            </a:prstGeom>
          </xdr:spPr>
        </xdr:pic>
      </xdr:grpSp>
    </xdr:grpSp>
    <xdr:clientData/>
  </xdr:twoCellAnchor>
  <xdr:oneCellAnchor>
    <xdr:from>
      <xdr:col>14</xdr:col>
      <xdr:colOff>369794</xdr:colOff>
      <xdr:row>2</xdr:row>
      <xdr:rowOff>9329</xdr:rowOff>
    </xdr:from>
    <xdr:ext cx="2428428" cy="3157544"/>
    <xdr:pic>
      <xdr:nvPicPr>
        <xdr:cNvPr id="17" name="Picture 16">
          <a:extLst>
            <a:ext uri="{FF2B5EF4-FFF2-40B4-BE49-F238E27FC236}">
              <a16:creationId xmlns:a16="http://schemas.microsoft.com/office/drawing/2014/main" id="{D2CF101F-63B9-4F2E-89C6-4B787D249013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048"/>
        <a:stretch/>
      </xdr:blipFill>
      <xdr:spPr>
        <a:xfrm>
          <a:off x="8075519" y="771329"/>
          <a:ext cx="2428428" cy="3157544"/>
        </a:xfrm>
        <a:prstGeom prst="rect">
          <a:avLst/>
        </a:prstGeom>
      </xdr:spPr>
    </xdr:pic>
    <xdr:clientData/>
  </xdr:oneCellAnchor>
  <xdr:oneCellAnchor>
    <xdr:from>
      <xdr:col>28</xdr:col>
      <xdr:colOff>1490383</xdr:colOff>
      <xdr:row>28</xdr:row>
      <xdr:rowOff>123265</xdr:rowOff>
    </xdr:from>
    <xdr:ext cx="1696010" cy="438150"/>
    <xdr:pic>
      <xdr:nvPicPr>
        <xdr:cNvPr id="18" name="Picture 17">
          <a:extLst>
            <a:ext uri="{FF2B5EF4-FFF2-40B4-BE49-F238E27FC236}">
              <a16:creationId xmlns:a16="http://schemas.microsoft.com/office/drawing/2014/main" id="{62152FFF-1100-428D-AB60-D70ED9A076A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2958" y="5838265"/>
          <a:ext cx="169601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26</xdr:col>
      <xdr:colOff>39889</xdr:colOff>
      <xdr:row>0</xdr:row>
      <xdr:rowOff>394787</xdr:rowOff>
    </xdr:from>
    <xdr:to>
      <xdr:col>26</xdr:col>
      <xdr:colOff>259663</xdr:colOff>
      <xdr:row>15</xdr:row>
      <xdr:rowOff>123266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6A5BD744-87B0-49C8-AB18-E9DBB205F46B}"/>
            </a:ext>
          </a:extLst>
        </xdr:cNvPr>
        <xdr:cNvCxnSpPr/>
      </xdr:nvCxnSpPr>
      <xdr:spPr>
        <a:xfrm flipH="1">
          <a:off x="14527414" y="394787"/>
          <a:ext cx="219774" cy="2966979"/>
        </a:xfrm>
        <a:prstGeom prst="straightConnector1">
          <a:avLst/>
        </a:prstGeom>
        <a:ln w="13652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15</xdr:col>
      <xdr:colOff>318285</xdr:colOff>
      <xdr:row>20</xdr:row>
      <xdr:rowOff>89647</xdr:rowOff>
    </xdr:from>
    <xdr:to>
      <xdr:col>18</xdr:col>
      <xdr:colOff>199540</xdr:colOff>
      <xdr:row>29</xdr:row>
      <xdr:rowOff>44825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91B6AF4E-3538-421B-84E6-321DC06A80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577020" y="4280647"/>
          <a:ext cx="1696608" cy="1669678"/>
        </a:xfrm>
        <a:prstGeom prst="rect">
          <a:avLst/>
        </a:prstGeom>
      </xdr:spPr>
    </xdr:pic>
    <xdr:clientData/>
  </xdr:twoCellAnchor>
  <xdr:twoCellAnchor editAs="oneCell">
    <xdr:from>
      <xdr:col>5</xdr:col>
      <xdr:colOff>241607</xdr:colOff>
      <xdr:row>12</xdr:row>
      <xdr:rowOff>101642</xdr:rowOff>
    </xdr:from>
    <xdr:to>
      <xdr:col>7</xdr:col>
      <xdr:colOff>536149</xdr:colOff>
      <xdr:row>22</xdr:row>
      <xdr:rowOff>128891</xdr:rowOff>
    </xdr:to>
    <xdr:pic>
      <xdr:nvPicPr>
        <xdr:cNvPr id="21" name="Graphic 20" descr="Back">
          <a:extLst>
            <a:ext uri="{FF2B5EF4-FFF2-40B4-BE49-F238E27FC236}">
              <a16:creationId xmlns:a16="http://schemas.microsoft.com/office/drawing/2014/main" id="{51D50812-669F-4C70-B8DF-FB68F2A1B08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5817145" flipV="1">
          <a:off x="2251678" y="2977896"/>
          <a:ext cx="1932249" cy="1513742"/>
        </a:xfrm>
        <a:prstGeom prst="rect">
          <a:avLst/>
        </a:prstGeom>
      </xdr:spPr>
    </xdr:pic>
    <xdr:clientData/>
  </xdr:twoCellAnchor>
  <xdr:twoCellAnchor editAs="oneCell">
    <xdr:from>
      <xdr:col>10</xdr:col>
      <xdr:colOff>336176</xdr:colOff>
      <xdr:row>14</xdr:row>
      <xdr:rowOff>70437</xdr:rowOff>
    </xdr:from>
    <xdr:to>
      <xdr:col>13</xdr:col>
      <xdr:colOff>383240</xdr:colOff>
      <xdr:row>31</xdr:row>
      <xdr:rowOff>24652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08867D49-635D-4DB2-BCEB-182977CD1BC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569323" y="3118437"/>
          <a:ext cx="1862417" cy="319271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18</xdr:col>
          <xdr:colOff>531159</xdr:colOff>
          <xdr:row>0</xdr:row>
          <xdr:rowOff>396127</xdr:rowOff>
        </xdr:from>
        <xdr:ext cx="1682003" cy="3629025"/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1B5CDD3A-C93E-424F-806A-FCC199DA7D0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B$44" spid="_x0000_s9279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75284" y="396127"/>
              <a:ext cx="1682003" cy="3629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27</xdr:col>
      <xdr:colOff>995413</xdr:colOff>
      <xdr:row>56</xdr:row>
      <xdr:rowOff>110436</xdr:rowOff>
    </xdr:from>
    <xdr:ext cx="2221808" cy="3010785"/>
    <xdr:pic>
      <xdr:nvPicPr>
        <xdr:cNvPr id="3" name="Picture 2">
          <a:extLst>
            <a:ext uri="{FF2B5EF4-FFF2-40B4-BE49-F238E27FC236}">
              <a16:creationId xmlns:a16="http://schemas.microsoft.com/office/drawing/2014/main" id="{11B694A6-6684-4302-8112-34287C8658B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2538" y="15559986"/>
          <a:ext cx="2221808" cy="3010785"/>
        </a:xfrm>
        <a:prstGeom prst="rect">
          <a:avLst/>
        </a:prstGeom>
      </xdr:spPr>
    </xdr:pic>
    <xdr:clientData/>
  </xdr:oneCellAnchor>
  <xdr:oneCellAnchor>
    <xdr:from>
      <xdr:col>25</xdr:col>
      <xdr:colOff>125940</xdr:colOff>
      <xdr:row>66</xdr:row>
      <xdr:rowOff>64803</xdr:rowOff>
    </xdr:from>
    <xdr:ext cx="1112225" cy="1112198"/>
    <xdr:pic>
      <xdr:nvPicPr>
        <xdr:cNvPr id="4" name="Picture 3">
          <a:extLst>
            <a:ext uri="{FF2B5EF4-FFF2-40B4-BE49-F238E27FC236}">
              <a16:creationId xmlns:a16="http://schemas.microsoft.com/office/drawing/2014/main" id="{49115028-C330-4F52-B081-C84A8DB2393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03865" y="17419353"/>
          <a:ext cx="1112225" cy="1112198"/>
        </a:xfrm>
        <a:prstGeom prst="rect">
          <a:avLst/>
        </a:prstGeom>
      </xdr:spPr>
    </xdr:pic>
    <xdr:clientData/>
  </xdr:oneCellAnchor>
  <xdr:oneCellAnchor>
    <xdr:from>
      <xdr:col>4</xdr:col>
      <xdr:colOff>305469</xdr:colOff>
      <xdr:row>60</xdr:row>
      <xdr:rowOff>94013</xdr:rowOff>
    </xdr:from>
    <xdr:ext cx="4260760" cy="3708256"/>
    <xdr:pic>
      <xdr:nvPicPr>
        <xdr:cNvPr id="5" name="Picture 4">
          <a:extLst>
            <a:ext uri="{FF2B5EF4-FFF2-40B4-BE49-F238E27FC236}">
              <a16:creationId xmlns:a16="http://schemas.microsoft.com/office/drawing/2014/main" id="{F3B1B1A2-D67C-4091-888F-9FDC76FC26B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5194" y="16305563"/>
          <a:ext cx="4260760" cy="370825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481693</xdr:colOff>
          <xdr:row>47</xdr:row>
          <xdr:rowOff>34016</xdr:rowOff>
        </xdr:from>
        <xdr:ext cx="3781425" cy="866775"/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A493B620-1426-4A07-8835-1C6FCEB93598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C$47" spid="_x0000_s9280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0016218" y="13769066"/>
              <a:ext cx="3781425" cy="866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2</xdr:col>
      <xdr:colOff>104775</xdr:colOff>
      <xdr:row>133</xdr:row>
      <xdr:rowOff>47625</xdr:rowOff>
    </xdr:from>
    <xdr:ext cx="7859766" cy="742950"/>
    <xdr:pic>
      <xdr:nvPicPr>
        <xdr:cNvPr id="7" name="Picture 6">
          <a:extLst>
            <a:ext uri="{FF2B5EF4-FFF2-40B4-BE49-F238E27FC236}">
              <a16:creationId xmlns:a16="http://schemas.microsoft.com/office/drawing/2014/main" id="{EEB5CF4F-997E-407F-AA54-8438A97CFFB7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236" t="38583"/>
        <a:stretch/>
      </xdr:blipFill>
      <xdr:spPr>
        <a:xfrm>
          <a:off x="1257300" y="30803850"/>
          <a:ext cx="7859766" cy="742950"/>
        </a:xfrm>
        <a:prstGeom prst="rect">
          <a:avLst/>
        </a:prstGeom>
        <a:ln w="25400">
          <a:solidFill>
            <a:schemeClr val="tx1">
              <a:lumMod val="95000"/>
              <a:lumOff val="5000"/>
            </a:schemeClr>
          </a:solidFill>
        </a:ln>
      </xdr:spPr>
    </xdr:pic>
    <xdr:clientData/>
  </xdr:oneCellAnchor>
  <xdr:oneCellAnchor>
    <xdr:from>
      <xdr:col>4</xdr:col>
      <xdr:colOff>0</xdr:colOff>
      <xdr:row>120</xdr:row>
      <xdr:rowOff>0</xdr:rowOff>
    </xdr:from>
    <xdr:ext cx="4492999" cy="1009650"/>
    <xdr:pic>
      <xdr:nvPicPr>
        <xdr:cNvPr id="8" name="Picture 7">
          <a:extLst>
            <a:ext uri="{FF2B5EF4-FFF2-40B4-BE49-F238E27FC236}">
              <a16:creationId xmlns:a16="http://schemas.microsoft.com/office/drawing/2014/main" id="{C20B04A7-193F-4281-8507-1695DC934E5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" y="28279725"/>
          <a:ext cx="4492999" cy="1009650"/>
        </a:xfrm>
        <a:prstGeom prst="rect">
          <a:avLst/>
        </a:prstGeom>
        <a:ln w="25400">
          <a:solidFill>
            <a:schemeClr val="tx1">
              <a:lumMod val="95000"/>
              <a:lumOff val="5000"/>
            </a:schemeClr>
          </a:solidFill>
        </a:ln>
      </xdr:spPr>
    </xdr:pic>
    <xdr:clientData/>
  </xdr:oneCellAnchor>
  <xdr:twoCellAnchor>
    <xdr:from>
      <xdr:col>25</xdr:col>
      <xdr:colOff>120865</xdr:colOff>
      <xdr:row>82</xdr:row>
      <xdr:rowOff>51309</xdr:rowOff>
    </xdr:from>
    <xdr:to>
      <xdr:col>26</xdr:col>
      <xdr:colOff>461596</xdr:colOff>
      <xdr:row>86</xdr:row>
      <xdr:rowOff>153724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E84BE799-44A8-4D81-ADC9-8AD46BD7F99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98790" y="20853909"/>
          <a:ext cx="950331" cy="1102540"/>
        </a:xfrm>
        <a:prstGeom prst="rect">
          <a:avLst/>
        </a:prstGeom>
      </xdr:spPr>
    </xdr:pic>
    <xdr:clientData/>
  </xdr:twoCellAnchor>
  <xdr:oneCellAnchor>
    <xdr:from>
      <xdr:col>27</xdr:col>
      <xdr:colOff>118797</xdr:colOff>
      <xdr:row>1</xdr:row>
      <xdr:rowOff>166969</xdr:rowOff>
    </xdr:from>
    <xdr:ext cx="2582382" cy="2589679"/>
    <xdr:pic>
      <xdr:nvPicPr>
        <xdr:cNvPr id="10" name="Picture 9">
          <a:extLst>
            <a:ext uri="{FF2B5EF4-FFF2-40B4-BE49-F238E27FC236}">
              <a16:creationId xmlns:a16="http://schemas.microsoft.com/office/drawing/2014/main" id="{2E75B5C7-E0F8-4EC8-A496-1F3F431B135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5922" y="738469"/>
          <a:ext cx="2582382" cy="2589679"/>
        </a:xfrm>
        <a:prstGeom prst="rect">
          <a:avLst/>
        </a:prstGeom>
      </xdr:spPr>
    </xdr:pic>
    <xdr:clientData/>
  </xdr:oneCellAnchor>
  <xdr:oneCellAnchor>
    <xdr:from>
      <xdr:col>33</xdr:col>
      <xdr:colOff>419771</xdr:colOff>
      <xdr:row>20</xdr:row>
      <xdr:rowOff>76200</xdr:rowOff>
    </xdr:from>
    <xdr:ext cx="1795631" cy="2628900"/>
    <xdr:pic>
      <xdr:nvPicPr>
        <xdr:cNvPr id="11" name="Picture 10">
          <a:extLst>
            <a:ext uri="{FF2B5EF4-FFF2-40B4-BE49-F238E27FC236}">
              <a16:creationId xmlns:a16="http://schemas.microsoft.com/office/drawing/2014/main" id="{24588C85-0B5A-4B93-83F7-43F3FF6C45CC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269"/>
        <a:stretch/>
      </xdr:blipFill>
      <xdr:spPr>
        <a:xfrm>
          <a:off x="23041646" y="4267200"/>
          <a:ext cx="1795631" cy="2628900"/>
        </a:xfrm>
        <a:prstGeom prst="rect">
          <a:avLst/>
        </a:prstGeom>
      </xdr:spPr>
    </xdr:pic>
    <xdr:clientData/>
  </xdr:oneCellAnchor>
  <xdr:twoCellAnchor>
    <xdr:from>
      <xdr:col>27</xdr:col>
      <xdr:colOff>649942</xdr:colOff>
      <xdr:row>17</xdr:row>
      <xdr:rowOff>190498</xdr:rowOff>
    </xdr:from>
    <xdr:to>
      <xdr:col>27</xdr:col>
      <xdr:colOff>1587160</xdr:colOff>
      <xdr:row>21</xdr:row>
      <xdr:rowOff>2242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6661CB65-D9C6-4558-8C66-C5BC16E52E7C}"/>
            </a:ext>
          </a:extLst>
        </xdr:cNvPr>
        <xdr:cNvGrpSpPr/>
      </xdr:nvGrpSpPr>
      <xdr:grpSpPr>
        <a:xfrm>
          <a:off x="17680642" y="3809998"/>
          <a:ext cx="937218" cy="573744"/>
          <a:chOff x="281297" y="5343525"/>
          <a:chExt cx="1523770" cy="102870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BB470B9F-B87E-46F6-89FD-67E581B97D14}"/>
              </a:ext>
            </a:extLst>
          </xdr:cNvPr>
          <xdr:cNvSpPr/>
        </xdr:nvSpPr>
        <xdr:spPr>
          <a:xfrm>
            <a:off x="666751" y="5343525"/>
            <a:ext cx="1138316" cy="10287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A2E04E01-AE40-4C2C-ABAE-D73E5B22DA10}"/>
              </a:ext>
            </a:extLst>
          </xdr:cNvPr>
          <xdr:cNvGrpSpPr/>
        </xdr:nvGrpSpPr>
        <xdr:grpSpPr>
          <a:xfrm>
            <a:off x="281297" y="5344767"/>
            <a:ext cx="1507780" cy="1027457"/>
            <a:chOff x="7305929" y="978700"/>
            <a:chExt cx="1756946" cy="1240065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C5C7AE06-51C9-4A3B-AF1B-76D6350A94E9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305929" y="978700"/>
              <a:ext cx="1264875" cy="1240065"/>
            </a:xfrm>
            <a:prstGeom prst="rect">
              <a:avLst/>
            </a:prstGeom>
          </xdr:spPr>
        </xdr:pic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76A77D02-9B57-487C-9BD2-0C21505024BE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51244" y="1085965"/>
              <a:ext cx="1011631" cy="1013747"/>
            </a:xfrm>
            <a:prstGeom prst="rect">
              <a:avLst/>
            </a:prstGeom>
          </xdr:spPr>
        </xdr:pic>
      </xdr:grpSp>
    </xdr:grpSp>
    <xdr:clientData/>
  </xdr:twoCellAnchor>
  <xdr:oneCellAnchor>
    <xdr:from>
      <xdr:col>14</xdr:col>
      <xdr:colOff>369794</xdr:colOff>
      <xdr:row>2</xdr:row>
      <xdr:rowOff>9329</xdr:rowOff>
    </xdr:from>
    <xdr:ext cx="2428428" cy="3157544"/>
    <xdr:pic>
      <xdr:nvPicPr>
        <xdr:cNvPr id="17" name="Picture 16">
          <a:extLst>
            <a:ext uri="{FF2B5EF4-FFF2-40B4-BE49-F238E27FC236}">
              <a16:creationId xmlns:a16="http://schemas.microsoft.com/office/drawing/2014/main" id="{D17E2530-7415-489D-A357-0E7E52065F1B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048"/>
        <a:stretch/>
      </xdr:blipFill>
      <xdr:spPr>
        <a:xfrm>
          <a:off x="8075519" y="771329"/>
          <a:ext cx="2428428" cy="3157544"/>
        </a:xfrm>
        <a:prstGeom prst="rect">
          <a:avLst/>
        </a:prstGeom>
      </xdr:spPr>
    </xdr:pic>
    <xdr:clientData/>
  </xdr:oneCellAnchor>
  <xdr:oneCellAnchor>
    <xdr:from>
      <xdr:col>28</xdr:col>
      <xdr:colOff>1490383</xdr:colOff>
      <xdr:row>28</xdr:row>
      <xdr:rowOff>123265</xdr:rowOff>
    </xdr:from>
    <xdr:ext cx="1696010" cy="438150"/>
    <xdr:pic>
      <xdr:nvPicPr>
        <xdr:cNvPr id="18" name="Picture 17">
          <a:extLst>
            <a:ext uri="{FF2B5EF4-FFF2-40B4-BE49-F238E27FC236}">
              <a16:creationId xmlns:a16="http://schemas.microsoft.com/office/drawing/2014/main" id="{1F98461B-146E-4EDA-A1B4-D5EDB966C8B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2958" y="5838265"/>
          <a:ext cx="169601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26</xdr:col>
      <xdr:colOff>39889</xdr:colOff>
      <xdr:row>0</xdr:row>
      <xdr:rowOff>394787</xdr:rowOff>
    </xdr:from>
    <xdr:to>
      <xdr:col>26</xdr:col>
      <xdr:colOff>259663</xdr:colOff>
      <xdr:row>15</xdr:row>
      <xdr:rowOff>123266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9CB2D04B-63F0-4774-83C6-F26A2FB74956}"/>
            </a:ext>
          </a:extLst>
        </xdr:cNvPr>
        <xdr:cNvCxnSpPr/>
      </xdr:nvCxnSpPr>
      <xdr:spPr>
        <a:xfrm flipH="1">
          <a:off x="14527414" y="394787"/>
          <a:ext cx="219774" cy="2966979"/>
        </a:xfrm>
        <a:prstGeom prst="straightConnector1">
          <a:avLst/>
        </a:prstGeom>
        <a:ln w="13652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16</xdr:col>
      <xdr:colOff>26932</xdr:colOff>
      <xdr:row>19</xdr:row>
      <xdr:rowOff>134470</xdr:rowOff>
    </xdr:from>
    <xdr:to>
      <xdr:col>18</xdr:col>
      <xdr:colOff>403412</xdr:colOff>
      <xdr:row>27</xdr:row>
      <xdr:rowOff>172000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EC72A8FD-27A0-45C9-8DEC-0D8E9B5C707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890785" y="4134970"/>
          <a:ext cx="1586715" cy="1561530"/>
        </a:xfrm>
        <a:prstGeom prst="rect">
          <a:avLst/>
        </a:prstGeom>
      </xdr:spPr>
    </xdr:pic>
    <xdr:clientData/>
  </xdr:twoCellAnchor>
  <xdr:twoCellAnchor editAs="oneCell">
    <xdr:from>
      <xdr:col>5</xdr:col>
      <xdr:colOff>241607</xdr:colOff>
      <xdr:row>12</xdr:row>
      <xdr:rowOff>101642</xdr:rowOff>
    </xdr:from>
    <xdr:to>
      <xdr:col>7</xdr:col>
      <xdr:colOff>536149</xdr:colOff>
      <xdr:row>22</xdr:row>
      <xdr:rowOff>128891</xdr:rowOff>
    </xdr:to>
    <xdr:pic>
      <xdr:nvPicPr>
        <xdr:cNvPr id="21" name="Graphic 20" descr="Back">
          <a:extLst>
            <a:ext uri="{FF2B5EF4-FFF2-40B4-BE49-F238E27FC236}">
              <a16:creationId xmlns:a16="http://schemas.microsoft.com/office/drawing/2014/main" id="{E232A49D-6C26-4E52-A3E0-A60B8344419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5817145" flipV="1">
          <a:off x="2251678" y="2977896"/>
          <a:ext cx="1932249" cy="1513742"/>
        </a:xfrm>
        <a:prstGeom prst="rect">
          <a:avLst/>
        </a:prstGeom>
      </xdr:spPr>
    </xdr:pic>
    <xdr:clientData/>
  </xdr:twoCellAnchor>
  <xdr:twoCellAnchor editAs="oneCell">
    <xdr:from>
      <xdr:col>9</xdr:col>
      <xdr:colOff>369795</xdr:colOff>
      <xdr:row>15</xdr:row>
      <xdr:rowOff>146528</xdr:rowOff>
    </xdr:from>
    <xdr:to>
      <xdr:col>14</xdr:col>
      <xdr:colOff>347944</xdr:colOff>
      <xdr:row>29</xdr:row>
      <xdr:rowOff>73399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D38B7F29-3DB2-4BC3-BC22-B1A92DE399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7824" y="3385028"/>
          <a:ext cx="3003738" cy="25938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76903</xdr:colOff>
      <xdr:row>19</xdr:row>
      <xdr:rowOff>155712</xdr:rowOff>
    </xdr:from>
    <xdr:to>
      <xdr:col>22</xdr:col>
      <xdr:colOff>850109</xdr:colOff>
      <xdr:row>26</xdr:row>
      <xdr:rowOff>42722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354A3A9B-BD23-4402-B98F-7AA4C147BD16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5155" t="44238" r="24533" b="41719"/>
        <a:stretch/>
      </xdr:blipFill>
      <xdr:spPr bwMode="auto">
        <a:xfrm rot="1123952">
          <a:off x="7730521" y="4156212"/>
          <a:ext cx="4572000" cy="122051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oneCellAnchor>
        <xdr:from>
          <xdr:col>18</xdr:col>
          <xdr:colOff>531159</xdr:colOff>
          <xdr:row>0</xdr:row>
          <xdr:rowOff>396127</xdr:rowOff>
        </xdr:from>
        <xdr:ext cx="1682003" cy="3629025"/>
        <xdr:pic>
          <xdr:nvPicPr>
            <xdr:cNvPr id="2" name="Picture 1">
              <a:extLst>
                <a:ext uri="{FF2B5EF4-FFF2-40B4-BE49-F238E27FC236}">
                  <a16:creationId xmlns:a16="http://schemas.microsoft.com/office/drawing/2014/main" id="{624623C8-FD4B-472C-8EBB-FC9B5D1AFC3A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B$44" spid="_x0000_s10304"/>
                </a:ext>
              </a:extLst>
            </xdr:cNvPicPr>
          </xdr:nvPicPr>
          <xdr:blipFill>
            <a:blip xmlns:r="http://schemas.openxmlformats.org/officeDocument/2006/relationships" r:embed="rId2"/>
            <a:srcRect/>
            <a:stretch>
              <a:fillRect/>
            </a:stretch>
          </xdr:blipFill>
          <xdr:spPr bwMode="auto">
            <a:xfrm>
              <a:off x="10675284" y="396127"/>
              <a:ext cx="1682003" cy="3629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27</xdr:col>
      <xdr:colOff>995413</xdr:colOff>
      <xdr:row>56</xdr:row>
      <xdr:rowOff>110436</xdr:rowOff>
    </xdr:from>
    <xdr:ext cx="2221808" cy="3010785"/>
    <xdr:pic>
      <xdr:nvPicPr>
        <xdr:cNvPr id="3" name="Picture 2">
          <a:extLst>
            <a:ext uri="{FF2B5EF4-FFF2-40B4-BE49-F238E27FC236}">
              <a16:creationId xmlns:a16="http://schemas.microsoft.com/office/drawing/2014/main" id="{C7E70AC2-449A-4A3D-9EE8-5BAA49FACA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2538" y="15559986"/>
          <a:ext cx="2221808" cy="3010785"/>
        </a:xfrm>
        <a:prstGeom prst="rect">
          <a:avLst/>
        </a:prstGeom>
      </xdr:spPr>
    </xdr:pic>
    <xdr:clientData/>
  </xdr:oneCellAnchor>
  <xdr:oneCellAnchor>
    <xdr:from>
      <xdr:col>25</xdr:col>
      <xdr:colOff>125940</xdr:colOff>
      <xdr:row>66</xdr:row>
      <xdr:rowOff>64803</xdr:rowOff>
    </xdr:from>
    <xdr:ext cx="1112225" cy="1112198"/>
    <xdr:pic>
      <xdr:nvPicPr>
        <xdr:cNvPr id="4" name="Picture 3">
          <a:extLst>
            <a:ext uri="{FF2B5EF4-FFF2-40B4-BE49-F238E27FC236}">
              <a16:creationId xmlns:a16="http://schemas.microsoft.com/office/drawing/2014/main" id="{6AA4712A-AAA5-4FC3-90CE-06C091DD24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03865" y="17419353"/>
          <a:ext cx="1112225" cy="1112198"/>
        </a:xfrm>
        <a:prstGeom prst="rect">
          <a:avLst/>
        </a:prstGeom>
      </xdr:spPr>
    </xdr:pic>
    <xdr:clientData/>
  </xdr:oneCellAnchor>
  <xdr:oneCellAnchor>
    <xdr:from>
      <xdr:col>4</xdr:col>
      <xdr:colOff>305469</xdr:colOff>
      <xdr:row>60</xdr:row>
      <xdr:rowOff>94013</xdr:rowOff>
    </xdr:from>
    <xdr:ext cx="4260760" cy="3708256"/>
    <xdr:pic>
      <xdr:nvPicPr>
        <xdr:cNvPr id="5" name="Picture 4">
          <a:extLst>
            <a:ext uri="{FF2B5EF4-FFF2-40B4-BE49-F238E27FC236}">
              <a16:creationId xmlns:a16="http://schemas.microsoft.com/office/drawing/2014/main" id="{88991604-B908-4F0A-B8F3-3E919434E30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5194" y="16305563"/>
          <a:ext cx="4260760" cy="370825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481693</xdr:colOff>
          <xdr:row>47</xdr:row>
          <xdr:rowOff>34016</xdr:rowOff>
        </xdr:from>
        <xdr:ext cx="3781425" cy="866775"/>
        <xdr:pic>
          <xdr:nvPicPr>
            <xdr:cNvPr id="6" name="Picture 5">
              <a:extLst>
                <a:ext uri="{FF2B5EF4-FFF2-40B4-BE49-F238E27FC236}">
                  <a16:creationId xmlns:a16="http://schemas.microsoft.com/office/drawing/2014/main" id="{A845517F-E213-4F68-B813-DF8BE4D7206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C$47" spid="_x0000_s10305"/>
                </a:ext>
              </a:extLst>
            </xdr:cNvPicPr>
          </xdr:nvPicPr>
          <xdr:blipFill>
            <a:blip xmlns:r="http://schemas.openxmlformats.org/officeDocument/2006/relationships" r:embed="rId6"/>
            <a:srcRect/>
            <a:stretch>
              <a:fillRect/>
            </a:stretch>
          </xdr:blipFill>
          <xdr:spPr bwMode="auto">
            <a:xfrm>
              <a:off x="10016218" y="13769066"/>
              <a:ext cx="3781425" cy="866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2</xdr:col>
      <xdr:colOff>104775</xdr:colOff>
      <xdr:row>133</xdr:row>
      <xdr:rowOff>47625</xdr:rowOff>
    </xdr:from>
    <xdr:ext cx="7859766" cy="742950"/>
    <xdr:pic>
      <xdr:nvPicPr>
        <xdr:cNvPr id="7" name="Picture 6">
          <a:extLst>
            <a:ext uri="{FF2B5EF4-FFF2-40B4-BE49-F238E27FC236}">
              <a16:creationId xmlns:a16="http://schemas.microsoft.com/office/drawing/2014/main" id="{7ACE7A2E-D803-43A1-9BCD-0723CA697F1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236" t="38583"/>
        <a:stretch/>
      </xdr:blipFill>
      <xdr:spPr>
        <a:xfrm>
          <a:off x="1257300" y="30803850"/>
          <a:ext cx="7859766" cy="742950"/>
        </a:xfrm>
        <a:prstGeom prst="rect">
          <a:avLst/>
        </a:prstGeom>
        <a:ln w="25400">
          <a:solidFill>
            <a:schemeClr val="tx1">
              <a:lumMod val="95000"/>
              <a:lumOff val="5000"/>
            </a:schemeClr>
          </a:solidFill>
        </a:ln>
      </xdr:spPr>
    </xdr:pic>
    <xdr:clientData/>
  </xdr:oneCellAnchor>
  <xdr:oneCellAnchor>
    <xdr:from>
      <xdr:col>4</xdr:col>
      <xdr:colOff>0</xdr:colOff>
      <xdr:row>120</xdr:row>
      <xdr:rowOff>0</xdr:rowOff>
    </xdr:from>
    <xdr:ext cx="4492999" cy="1009650"/>
    <xdr:pic>
      <xdr:nvPicPr>
        <xdr:cNvPr id="8" name="Picture 7">
          <a:extLst>
            <a:ext uri="{FF2B5EF4-FFF2-40B4-BE49-F238E27FC236}">
              <a16:creationId xmlns:a16="http://schemas.microsoft.com/office/drawing/2014/main" id="{3332D48E-2E7F-4026-9A9A-573950E4160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" y="28279725"/>
          <a:ext cx="4492999" cy="1009650"/>
        </a:xfrm>
        <a:prstGeom prst="rect">
          <a:avLst/>
        </a:prstGeom>
        <a:ln w="25400">
          <a:solidFill>
            <a:schemeClr val="tx1">
              <a:lumMod val="95000"/>
              <a:lumOff val="5000"/>
            </a:schemeClr>
          </a:solidFill>
        </a:ln>
      </xdr:spPr>
    </xdr:pic>
    <xdr:clientData/>
  </xdr:oneCellAnchor>
  <xdr:twoCellAnchor>
    <xdr:from>
      <xdr:col>25</xdr:col>
      <xdr:colOff>120865</xdr:colOff>
      <xdr:row>82</xdr:row>
      <xdr:rowOff>51309</xdr:rowOff>
    </xdr:from>
    <xdr:to>
      <xdr:col>26</xdr:col>
      <xdr:colOff>461596</xdr:colOff>
      <xdr:row>86</xdr:row>
      <xdr:rowOff>153724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A599E5B3-AF26-4705-BFEA-66E8640106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98790" y="20853909"/>
          <a:ext cx="950331" cy="1102540"/>
        </a:xfrm>
        <a:prstGeom prst="rect">
          <a:avLst/>
        </a:prstGeom>
      </xdr:spPr>
    </xdr:pic>
    <xdr:clientData/>
  </xdr:twoCellAnchor>
  <xdr:oneCellAnchor>
    <xdr:from>
      <xdr:col>27</xdr:col>
      <xdr:colOff>118797</xdr:colOff>
      <xdr:row>1</xdr:row>
      <xdr:rowOff>166969</xdr:rowOff>
    </xdr:from>
    <xdr:ext cx="2582382" cy="2589679"/>
    <xdr:pic>
      <xdr:nvPicPr>
        <xdr:cNvPr id="10" name="Picture 9">
          <a:extLst>
            <a:ext uri="{FF2B5EF4-FFF2-40B4-BE49-F238E27FC236}">
              <a16:creationId xmlns:a16="http://schemas.microsoft.com/office/drawing/2014/main" id="{60072354-8592-48ED-B8BB-47917C120C5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5922" y="738469"/>
          <a:ext cx="2582382" cy="2589679"/>
        </a:xfrm>
        <a:prstGeom prst="rect">
          <a:avLst/>
        </a:prstGeom>
      </xdr:spPr>
    </xdr:pic>
    <xdr:clientData/>
  </xdr:oneCellAnchor>
  <xdr:oneCellAnchor>
    <xdr:from>
      <xdr:col>33</xdr:col>
      <xdr:colOff>419771</xdr:colOff>
      <xdr:row>20</xdr:row>
      <xdr:rowOff>76200</xdr:rowOff>
    </xdr:from>
    <xdr:ext cx="1795631" cy="2628900"/>
    <xdr:pic>
      <xdr:nvPicPr>
        <xdr:cNvPr id="11" name="Picture 10">
          <a:extLst>
            <a:ext uri="{FF2B5EF4-FFF2-40B4-BE49-F238E27FC236}">
              <a16:creationId xmlns:a16="http://schemas.microsoft.com/office/drawing/2014/main" id="{1B83A86D-EC7C-4FD0-9146-C48FE35A6551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269"/>
        <a:stretch/>
      </xdr:blipFill>
      <xdr:spPr>
        <a:xfrm>
          <a:off x="23041646" y="4267200"/>
          <a:ext cx="1795631" cy="2628900"/>
        </a:xfrm>
        <a:prstGeom prst="rect">
          <a:avLst/>
        </a:prstGeom>
      </xdr:spPr>
    </xdr:pic>
    <xdr:clientData/>
  </xdr:oneCellAnchor>
  <xdr:twoCellAnchor>
    <xdr:from>
      <xdr:col>27</xdr:col>
      <xdr:colOff>649942</xdr:colOff>
      <xdr:row>17</xdr:row>
      <xdr:rowOff>190498</xdr:rowOff>
    </xdr:from>
    <xdr:to>
      <xdr:col>27</xdr:col>
      <xdr:colOff>1587160</xdr:colOff>
      <xdr:row>21</xdr:row>
      <xdr:rowOff>2242</xdr:rowOff>
    </xdr:to>
    <xdr:grpSp>
      <xdr:nvGrpSpPr>
        <xdr:cNvPr id="12" name="Group 11">
          <a:extLst>
            <a:ext uri="{FF2B5EF4-FFF2-40B4-BE49-F238E27FC236}">
              <a16:creationId xmlns:a16="http://schemas.microsoft.com/office/drawing/2014/main" id="{3948F682-AE57-465A-8176-C196DD375D90}"/>
            </a:ext>
          </a:extLst>
        </xdr:cNvPr>
        <xdr:cNvGrpSpPr/>
      </xdr:nvGrpSpPr>
      <xdr:grpSpPr>
        <a:xfrm>
          <a:off x="17680642" y="3809998"/>
          <a:ext cx="937218" cy="573744"/>
          <a:chOff x="281297" y="5343525"/>
          <a:chExt cx="1523770" cy="1028700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E0AB8FEB-A0EC-4985-B5C8-C3319A3DA10E}"/>
              </a:ext>
            </a:extLst>
          </xdr:cNvPr>
          <xdr:cNvSpPr/>
        </xdr:nvSpPr>
        <xdr:spPr>
          <a:xfrm>
            <a:off x="666751" y="5343525"/>
            <a:ext cx="1138316" cy="10287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4" name="Group 13">
            <a:extLst>
              <a:ext uri="{FF2B5EF4-FFF2-40B4-BE49-F238E27FC236}">
                <a16:creationId xmlns:a16="http://schemas.microsoft.com/office/drawing/2014/main" id="{85ED236F-544C-4E6C-A9BE-42BB27D625CF}"/>
              </a:ext>
            </a:extLst>
          </xdr:cNvPr>
          <xdr:cNvGrpSpPr/>
        </xdr:nvGrpSpPr>
        <xdr:grpSpPr>
          <a:xfrm>
            <a:off x="281297" y="5344767"/>
            <a:ext cx="1507780" cy="1027457"/>
            <a:chOff x="7305929" y="978700"/>
            <a:chExt cx="1756946" cy="1240065"/>
          </a:xfrm>
        </xdr:grpSpPr>
        <xdr:pic>
          <xdr:nvPicPr>
            <xdr:cNvPr id="15" name="Picture 14">
              <a:extLst>
                <a:ext uri="{FF2B5EF4-FFF2-40B4-BE49-F238E27FC236}">
                  <a16:creationId xmlns:a16="http://schemas.microsoft.com/office/drawing/2014/main" id="{9CCD5E96-95DB-4266-B472-5F7F032F09F3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9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305929" y="978700"/>
              <a:ext cx="1264875" cy="1240065"/>
            </a:xfrm>
            <a:prstGeom prst="rect">
              <a:avLst/>
            </a:prstGeom>
          </xdr:spPr>
        </xdr:pic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FF5847BF-D9BD-4016-A927-806B4DD63EF4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2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51244" y="1085965"/>
              <a:ext cx="1011631" cy="1013747"/>
            </a:xfrm>
            <a:prstGeom prst="rect">
              <a:avLst/>
            </a:prstGeom>
          </xdr:spPr>
        </xdr:pic>
      </xdr:grpSp>
    </xdr:grpSp>
    <xdr:clientData/>
  </xdr:twoCellAnchor>
  <xdr:oneCellAnchor>
    <xdr:from>
      <xdr:col>28</xdr:col>
      <xdr:colOff>1490383</xdr:colOff>
      <xdr:row>28</xdr:row>
      <xdr:rowOff>123265</xdr:rowOff>
    </xdr:from>
    <xdr:ext cx="1696010" cy="438150"/>
    <xdr:pic>
      <xdr:nvPicPr>
        <xdr:cNvPr id="18" name="Picture 17">
          <a:extLst>
            <a:ext uri="{FF2B5EF4-FFF2-40B4-BE49-F238E27FC236}">
              <a16:creationId xmlns:a16="http://schemas.microsoft.com/office/drawing/2014/main" id="{27D55343-F9EA-450C-AFD9-C681CDA8D0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2958" y="5838265"/>
          <a:ext cx="169601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26</xdr:col>
      <xdr:colOff>39889</xdr:colOff>
      <xdr:row>0</xdr:row>
      <xdr:rowOff>394787</xdr:rowOff>
    </xdr:from>
    <xdr:to>
      <xdr:col>26</xdr:col>
      <xdr:colOff>259663</xdr:colOff>
      <xdr:row>15</xdr:row>
      <xdr:rowOff>123266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F606FBD6-8D02-4D1B-B627-B0983EEEA7B1}"/>
            </a:ext>
          </a:extLst>
        </xdr:cNvPr>
        <xdr:cNvCxnSpPr/>
      </xdr:nvCxnSpPr>
      <xdr:spPr>
        <a:xfrm flipH="1">
          <a:off x="14527414" y="394787"/>
          <a:ext cx="219774" cy="2966979"/>
        </a:xfrm>
        <a:prstGeom prst="straightConnector1">
          <a:avLst/>
        </a:prstGeom>
        <a:ln w="13652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463963</xdr:colOff>
      <xdr:row>14</xdr:row>
      <xdr:rowOff>67237</xdr:rowOff>
    </xdr:from>
    <xdr:to>
      <xdr:col>13</xdr:col>
      <xdr:colOff>537161</xdr:colOff>
      <xdr:row>27</xdr:row>
      <xdr:rowOff>44825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DE674726-0A37-4CBB-9A98-2D6E3083ED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91992" y="3115237"/>
          <a:ext cx="2493669" cy="2454088"/>
        </a:xfrm>
        <a:prstGeom prst="rect">
          <a:avLst/>
        </a:prstGeom>
      </xdr:spPr>
    </xdr:pic>
    <xdr:clientData/>
  </xdr:twoCellAnchor>
  <xdr:twoCellAnchor editAs="oneCell">
    <xdr:from>
      <xdr:col>5</xdr:col>
      <xdr:colOff>241607</xdr:colOff>
      <xdr:row>12</xdr:row>
      <xdr:rowOff>101642</xdr:rowOff>
    </xdr:from>
    <xdr:to>
      <xdr:col>7</xdr:col>
      <xdr:colOff>536149</xdr:colOff>
      <xdr:row>22</xdr:row>
      <xdr:rowOff>128891</xdr:rowOff>
    </xdr:to>
    <xdr:pic>
      <xdr:nvPicPr>
        <xdr:cNvPr id="21" name="Graphic 20" descr="Back">
          <a:extLst>
            <a:ext uri="{FF2B5EF4-FFF2-40B4-BE49-F238E27FC236}">
              <a16:creationId xmlns:a16="http://schemas.microsoft.com/office/drawing/2014/main" id="{4B441A76-303D-48EC-8465-12349D2B8FA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5"/>
            </a:ext>
          </a:extLst>
        </a:blip>
        <a:stretch>
          <a:fillRect/>
        </a:stretch>
      </xdr:blipFill>
      <xdr:spPr>
        <a:xfrm rot="5817145" flipV="1">
          <a:off x="2251678" y="2977896"/>
          <a:ext cx="1932249" cy="1513742"/>
        </a:xfrm>
        <a:prstGeom prst="rect">
          <a:avLst/>
        </a:prstGeom>
      </xdr:spPr>
    </xdr:pic>
    <xdr:clientData/>
  </xdr:twoCellAnchor>
  <xdr:twoCellAnchor editAs="oneCell">
    <xdr:from>
      <xdr:col>26</xdr:col>
      <xdr:colOff>11206</xdr:colOff>
      <xdr:row>18</xdr:row>
      <xdr:rowOff>34469</xdr:rowOff>
    </xdr:from>
    <xdr:to>
      <xdr:col>28</xdr:col>
      <xdr:colOff>717738</xdr:colOff>
      <xdr:row>31</xdr:row>
      <xdr:rowOff>151840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E75F303C-736F-4B11-827D-4BA5BFF303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399559" y="3844469"/>
          <a:ext cx="3003738" cy="2593871"/>
        </a:xfrm>
        <a:prstGeom prst="rect">
          <a:avLst/>
        </a:prstGeom>
      </xdr:spPr>
    </xdr:pic>
    <xdr:clientData/>
  </xdr:twoCellAnchor>
  <xdr:twoCellAnchor>
    <xdr:from>
      <xdr:col>27</xdr:col>
      <xdr:colOff>56029</xdr:colOff>
      <xdr:row>11</xdr:row>
      <xdr:rowOff>44824</xdr:rowOff>
    </xdr:from>
    <xdr:to>
      <xdr:col>28</xdr:col>
      <xdr:colOff>827555</xdr:colOff>
      <xdr:row>34</xdr:row>
      <xdr:rowOff>76675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30B99826-8A99-4653-9B8F-3212C5E125F7}"/>
            </a:ext>
          </a:extLst>
        </xdr:cNvPr>
        <xdr:cNvGrpSpPr/>
      </xdr:nvGrpSpPr>
      <xdr:grpSpPr>
        <a:xfrm>
          <a:off x="17086729" y="2521324"/>
          <a:ext cx="2705101" cy="4765776"/>
          <a:chOff x="5601891" y="839391"/>
          <a:chExt cx="1821656" cy="2780109"/>
        </a:xfrm>
      </xdr:grpSpPr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554DAF28-AAB0-4FA8-9669-3EE2213FC15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613797" y="839391"/>
            <a:ext cx="1800225" cy="1771650"/>
          </a:xfrm>
          <a:prstGeom prst="rect">
            <a:avLst/>
          </a:prstGeom>
          <a:ln w="19050">
            <a:solidFill>
              <a:schemeClr val="tx1">
                <a:alpha val="96000"/>
              </a:schemeClr>
            </a:solidFill>
          </a:ln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9F3075E6-8C78-4A87-BBB2-8B35E6180824}"/>
              </a:ext>
            </a:extLst>
          </xdr:cNvPr>
          <xdr:cNvSpPr/>
        </xdr:nvSpPr>
        <xdr:spPr>
          <a:xfrm>
            <a:off x="5601891" y="2643187"/>
            <a:ext cx="1821656" cy="976313"/>
          </a:xfrm>
          <a:prstGeom prst="rect">
            <a:avLst/>
          </a:prstGeom>
          <a:solidFill>
            <a:srgbClr val="00B050"/>
          </a:solidFill>
          <a:ln w="19050">
            <a:solidFill>
              <a:schemeClr val="tx1">
                <a:alpha val="9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Worksheet</a:t>
            </a:r>
          </a:p>
          <a:p>
            <a:pPr algn="ctr"/>
            <a:r>
              <a:rPr lang="en-US" sz="2800"/>
              <a:t>Formulas</a:t>
            </a:r>
          </a:p>
        </xdr:txBody>
      </xdr:sp>
    </xdr:grpSp>
    <xdr:clientData/>
  </xdr:twoCellAnchor>
  <xdr:oneCellAnchor>
    <xdr:from>
      <xdr:col>15</xdr:col>
      <xdr:colOff>67258</xdr:colOff>
      <xdr:row>1</xdr:row>
      <xdr:rowOff>143800</xdr:rowOff>
    </xdr:from>
    <xdr:ext cx="2181875" cy="2836965"/>
    <xdr:pic>
      <xdr:nvPicPr>
        <xdr:cNvPr id="17" name="Picture 16">
          <a:extLst>
            <a:ext uri="{FF2B5EF4-FFF2-40B4-BE49-F238E27FC236}">
              <a16:creationId xmlns:a16="http://schemas.microsoft.com/office/drawing/2014/main" id="{8E760C69-EF40-4737-96C0-89D86531B286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048"/>
        <a:stretch/>
      </xdr:blipFill>
      <xdr:spPr>
        <a:xfrm>
          <a:off x="8325993" y="715300"/>
          <a:ext cx="2181875" cy="2836965"/>
        </a:xfrm>
        <a:prstGeom prst="rect">
          <a:avLst/>
        </a:prstGeom>
      </xdr:spPr>
    </xdr:pic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oneCellAnchor>
        <xdr:from>
          <xdr:col>18</xdr:col>
          <xdr:colOff>531159</xdr:colOff>
          <xdr:row>0</xdr:row>
          <xdr:rowOff>396127</xdr:rowOff>
        </xdr:from>
        <xdr:ext cx="1682003" cy="3629025"/>
        <xdr:pic>
          <xdr:nvPicPr>
            <xdr:cNvPr id="3" name="Picture 2">
              <a:extLst>
                <a:ext uri="{FF2B5EF4-FFF2-40B4-BE49-F238E27FC236}">
                  <a16:creationId xmlns:a16="http://schemas.microsoft.com/office/drawing/2014/main" id="{168BA8F5-7224-450D-B1EC-E2021D332EDC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B$44" spid="_x0000_s11328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10675284" y="396127"/>
              <a:ext cx="1682003" cy="362902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27</xdr:col>
      <xdr:colOff>995413</xdr:colOff>
      <xdr:row>56</xdr:row>
      <xdr:rowOff>110436</xdr:rowOff>
    </xdr:from>
    <xdr:ext cx="2221808" cy="3010785"/>
    <xdr:pic>
      <xdr:nvPicPr>
        <xdr:cNvPr id="4" name="Picture 3">
          <a:extLst>
            <a:ext uri="{FF2B5EF4-FFF2-40B4-BE49-F238E27FC236}">
              <a16:creationId xmlns:a16="http://schemas.microsoft.com/office/drawing/2014/main" id="{BF25DF1A-0C99-421D-B3C5-421D496E4F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2538" y="15559986"/>
          <a:ext cx="2221808" cy="3010785"/>
        </a:xfrm>
        <a:prstGeom prst="rect">
          <a:avLst/>
        </a:prstGeom>
      </xdr:spPr>
    </xdr:pic>
    <xdr:clientData/>
  </xdr:oneCellAnchor>
  <xdr:oneCellAnchor>
    <xdr:from>
      <xdr:col>25</xdr:col>
      <xdr:colOff>125940</xdr:colOff>
      <xdr:row>66</xdr:row>
      <xdr:rowOff>64803</xdr:rowOff>
    </xdr:from>
    <xdr:ext cx="1112225" cy="1112198"/>
    <xdr:pic>
      <xdr:nvPicPr>
        <xdr:cNvPr id="5" name="Picture 4">
          <a:extLst>
            <a:ext uri="{FF2B5EF4-FFF2-40B4-BE49-F238E27FC236}">
              <a16:creationId xmlns:a16="http://schemas.microsoft.com/office/drawing/2014/main" id="{EA93EE85-B658-402D-A0D3-2ABE15074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003865" y="17419353"/>
          <a:ext cx="1112225" cy="1112198"/>
        </a:xfrm>
        <a:prstGeom prst="rect">
          <a:avLst/>
        </a:prstGeom>
      </xdr:spPr>
    </xdr:pic>
    <xdr:clientData/>
  </xdr:oneCellAnchor>
  <xdr:oneCellAnchor>
    <xdr:from>
      <xdr:col>4</xdr:col>
      <xdr:colOff>305469</xdr:colOff>
      <xdr:row>60</xdr:row>
      <xdr:rowOff>94013</xdr:rowOff>
    </xdr:from>
    <xdr:ext cx="4260760" cy="3708256"/>
    <xdr:pic>
      <xdr:nvPicPr>
        <xdr:cNvPr id="6" name="Picture 5">
          <a:extLst>
            <a:ext uri="{FF2B5EF4-FFF2-40B4-BE49-F238E27FC236}">
              <a16:creationId xmlns:a16="http://schemas.microsoft.com/office/drawing/2014/main" id="{FB8733EC-36C1-47EF-9D6D-BC6227385A7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15194" y="16305563"/>
          <a:ext cx="4260760" cy="3708256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oneCellAnchor>
        <xdr:from>
          <xdr:col>17</xdr:col>
          <xdr:colOff>481693</xdr:colOff>
          <xdr:row>47</xdr:row>
          <xdr:rowOff>34016</xdr:rowOff>
        </xdr:from>
        <xdr:ext cx="3781425" cy="866775"/>
        <xdr:pic>
          <xdr:nvPicPr>
            <xdr:cNvPr id="7" name="Picture 6">
              <a:extLst>
                <a:ext uri="{FF2B5EF4-FFF2-40B4-BE49-F238E27FC236}">
                  <a16:creationId xmlns:a16="http://schemas.microsoft.com/office/drawing/2014/main" id="{BF9D0A76-A46B-44A7-99F5-51EA88185DC1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C$47" spid="_x0000_s11329"/>
                </a:ext>
              </a:extLst>
            </xdr:cNvPicPr>
          </xdr:nvPicPr>
          <xdr:blipFill>
            <a:blip xmlns:r="http://schemas.openxmlformats.org/officeDocument/2006/relationships" r:embed="rId5"/>
            <a:srcRect/>
            <a:stretch>
              <a:fillRect/>
            </a:stretch>
          </xdr:blipFill>
          <xdr:spPr bwMode="auto">
            <a:xfrm>
              <a:off x="10016218" y="13769066"/>
              <a:ext cx="3781425" cy="866775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oneCellAnchor>
    </mc:Choice>
    <mc:Fallback/>
  </mc:AlternateContent>
  <xdr:oneCellAnchor>
    <xdr:from>
      <xdr:col>2</xdr:col>
      <xdr:colOff>104775</xdr:colOff>
      <xdr:row>133</xdr:row>
      <xdr:rowOff>47625</xdr:rowOff>
    </xdr:from>
    <xdr:ext cx="7859766" cy="742950"/>
    <xdr:pic>
      <xdr:nvPicPr>
        <xdr:cNvPr id="8" name="Picture 7">
          <a:extLst>
            <a:ext uri="{FF2B5EF4-FFF2-40B4-BE49-F238E27FC236}">
              <a16:creationId xmlns:a16="http://schemas.microsoft.com/office/drawing/2014/main" id="{6EBBB260-B93C-4A4B-A005-E3E9BB2517D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2236" t="38583"/>
        <a:stretch/>
      </xdr:blipFill>
      <xdr:spPr>
        <a:xfrm>
          <a:off x="1257300" y="30803850"/>
          <a:ext cx="7859766" cy="742950"/>
        </a:xfrm>
        <a:prstGeom prst="rect">
          <a:avLst/>
        </a:prstGeom>
        <a:ln w="25400">
          <a:solidFill>
            <a:schemeClr val="tx1">
              <a:lumMod val="95000"/>
              <a:lumOff val="5000"/>
            </a:schemeClr>
          </a:solidFill>
        </a:ln>
      </xdr:spPr>
    </xdr:pic>
    <xdr:clientData/>
  </xdr:oneCellAnchor>
  <xdr:oneCellAnchor>
    <xdr:from>
      <xdr:col>4</xdr:col>
      <xdr:colOff>0</xdr:colOff>
      <xdr:row>120</xdr:row>
      <xdr:rowOff>0</xdr:rowOff>
    </xdr:from>
    <xdr:ext cx="4492999" cy="1009650"/>
    <xdr:pic>
      <xdr:nvPicPr>
        <xdr:cNvPr id="9" name="Picture 8">
          <a:extLst>
            <a:ext uri="{FF2B5EF4-FFF2-40B4-BE49-F238E27FC236}">
              <a16:creationId xmlns:a16="http://schemas.microsoft.com/office/drawing/2014/main" id="{1DCFF542-9060-4B40-8E5E-5ACECA290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9725" y="28279725"/>
          <a:ext cx="4492999" cy="1009650"/>
        </a:xfrm>
        <a:prstGeom prst="rect">
          <a:avLst/>
        </a:prstGeom>
        <a:ln w="25400">
          <a:solidFill>
            <a:schemeClr val="tx1">
              <a:lumMod val="95000"/>
              <a:lumOff val="5000"/>
            </a:schemeClr>
          </a:solidFill>
        </a:ln>
      </xdr:spPr>
    </xdr:pic>
    <xdr:clientData/>
  </xdr:oneCellAnchor>
  <xdr:twoCellAnchor>
    <xdr:from>
      <xdr:col>25</xdr:col>
      <xdr:colOff>120865</xdr:colOff>
      <xdr:row>82</xdr:row>
      <xdr:rowOff>51309</xdr:rowOff>
    </xdr:from>
    <xdr:to>
      <xdr:col>26</xdr:col>
      <xdr:colOff>461596</xdr:colOff>
      <xdr:row>86</xdr:row>
      <xdr:rowOff>153724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C4A65659-5A8F-4606-A607-25800C6BAA2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998790" y="20853909"/>
          <a:ext cx="950331" cy="1102540"/>
        </a:xfrm>
        <a:prstGeom prst="rect">
          <a:avLst/>
        </a:prstGeom>
      </xdr:spPr>
    </xdr:pic>
    <xdr:clientData/>
  </xdr:twoCellAnchor>
  <xdr:oneCellAnchor>
    <xdr:from>
      <xdr:col>27</xdr:col>
      <xdr:colOff>118797</xdr:colOff>
      <xdr:row>1</xdr:row>
      <xdr:rowOff>166969</xdr:rowOff>
    </xdr:from>
    <xdr:ext cx="2582382" cy="2589679"/>
    <xdr:pic>
      <xdr:nvPicPr>
        <xdr:cNvPr id="11" name="Picture 10">
          <a:extLst>
            <a:ext uri="{FF2B5EF4-FFF2-40B4-BE49-F238E27FC236}">
              <a16:creationId xmlns:a16="http://schemas.microsoft.com/office/drawing/2014/main" id="{FB8F8C56-60BB-4A15-B8B2-F3229272905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5215922" y="738469"/>
          <a:ext cx="2582382" cy="2589679"/>
        </a:xfrm>
        <a:prstGeom prst="rect">
          <a:avLst/>
        </a:prstGeom>
      </xdr:spPr>
    </xdr:pic>
    <xdr:clientData/>
  </xdr:oneCellAnchor>
  <xdr:oneCellAnchor>
    <xdr:from>
      <xdr:col>33</xdr:col>
      <xdr:colOff>419771</xdr:colOff>
      <xdr:row>20</xdr:row>
      <xdr:rowOff>76200</xdr:rowOff>
    </xdr:from>
    <xdr:ext cx="1795631" cy="2628900"/>
    <xdr:pic>
      <xdr:nvPicPr>
        <xdr:cNvPr id="12" name="Picture 11">
          <a:extLst>
            <a:ext uri="{FF2B5EF4-FFF2-40B4-BE49-F238E27FC236}">
              <a16:creationId xmlns:a16="http://schemas.microsoft.com/office/drawing/2014/main" id="{4EB309FC-5D20-467A-9238-29EF28F34B9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9269"/>
        <a:stretch/>
      </xdr:blipFill>
      <xdr:spPr>
        <a:xfrm>
          <a:off x="23041646" y="4267200"/>
          <a:ext cx="1795631" cy="2628900"/>
        </a:xfrm>
        <a:prstGeom prst="rect">
          <a:avLst/>
        </a:prstGeom>
      </xdr:spPr>
    </xdr:pic>
    <xdr:clientData/>
  </xdr:oneCellAnchor>
  <xdr:twoCellAnchor>
    <xdr:from>
      <xdr:col>27</xdr:col>
      <xdr:colOff>649942</xdr:colOff>
      <xdr:row>17</xdr:row>
      <xdr:rowOff>190498</xdr:rowOff>
    </xdr:from>
    <xdr:to>
      <xdr:col>27</xdr:col>
      <xdr:colOff>1587160</xdr:colOff>
      <xdr:row>21</xdr:row>
      <xdr:rowOff>2242</xdr:rowOff>
    </xdr:to>
    <xdr:grpSp>
      <xdr:nvGrpSpPr>
        <xdr:cNvPr id="13" name="Group 12">
          <a:extLst>
            <a:ext uri="{FF2B5EF4-FFF2-40B4-BE49-F238E27FC236}">
              <a16:creationId xmlns:a16="http://schemas.microsoft.com/office/drawing/2014/main" id="{B2CC725C-444B-40BD-A4FF-E5BB0A998DF4}"/>
            </a:ext>
          </a:extLst>
        </xdr:cNvPr>
        <xdr:cNvGrpSpPr/>
      </xdr:nvGrpSpPr>
      <xdr:grpSpPr>
        <a:xfrm>
          <a:off x="17680642" y="3809998"/>
          <a:ext cx="937218" cy="573744"/>
          <a:chOff x="281297" y="5343525"/>
          <a:chExt cx="1523770" cy="1028700"/>
        </a:xfrm>
      </xdr:grpSpPr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8EEEFB52-BE31-4BF7-AEFF-398FD1B22F48}"/>
              </a:ext>
            </a:extLst>
          </xdr:cNvPr>
          <xdr:cNvSpPr/>
        </xdr:nvSpPr>
        <xdr:spPr>
          <a:xfrm>
            <a:off x="666751" y="5343525"/>
            <a:ext cx="1138316" cy="1028700"/>
          </a:xfrm>
          <a:prstGeom prst="rect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en-US" sz="1100"/>
          </a:p>
        </xdr:txBody>
      </xdr:sp>
      <xdr:grpSp>
        <xdr:nvGrpSpPr>
          <xdr:cNvPr id="15" name="Group 14">
            <a:extLst>
              <a:ext uri="{FF2B5EF4-FFF2-40B4-BE49-F238E27FC236}">
                <a16:creationId xmlns:a16="http://schemas.microsoft.com/office/drawing/2014/main" id="{3698A169-E0C3-456C-9191-FB7A7A612B3B}"/>
              </a:ext>
            </a:extLst>
          </xdr:cNvPr>
          <xdr:cNvGrpSpPr/>
        </xdr:nvGrpSpPr>
        <xdr:grpSpPr>
          <a:xfrm>
            <a:off x="281297" y="5344767"/>
            <a:ext cx="1507780" cy="1027457"/>
            <a:chOff x="7305929" y="978700"/>
            <a:chExt cx="1756946" cy="1240065"/>
          </a:xfrm>
        </xdr:grpSpPr>
        <xdr:pic>
          <xdr:nvPicPr>
            <xdr:cNvPr id="16" name="Picture 15">
              <a:extLst>
                <a:ext uri="{FF2B5EF4-FFF2-40B4-BE49-F238E27FC236}">
                  <a16:creationId xmlns:a16="http://schemas.microsoft.com/office/drawing/2014/main" id="{8C6086C1-3628-4CDC-955E-0B5CC6EAC957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8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7305929" y="978700"/>
              <a:ext cx="1264875" cy="1240065"/>
            </a:xfrm>
            <a:prstGeom prst="rect">
              <a:avLst/>
            </a:prstGeom>
          </xdr:spPr>
        </xdr:pic>
        <xdr:pic>
          <xdr:nvPicPr>
            <xdr:cNvPr id="17" name="Picture 16">
              <a:extLst>
                <a:ext uri="{FF2B5EF4-FFF2-40B4-BE49-F238E27FC236}">
                  <a16:creationId xmlns:a16="http://schemas.microsoft.com/office/drawing/2014/main" id="{3BA38217-8B74-4AF3-9DF6-7C72C850DC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1" cstate="print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8051244" y="1085965"/>
              <a:ext cx="1011631" cy="1013747"/>
            </a:xfrm>
            <a:prstGeom prst="rect">
              <a:avLst/>
            </a:prstGeom>
          </xdr:spPr>
        </xdr:pic>
      </xdr:grpSp>
    </xdr:grpSp>
    <xdr:clientData/>
  </xdr:twoCellAnchor>
  <xdr:oneCellAnchor>
    <xdr:from>
      <xdr:col>28</xdr:col>
      <xdr:colOff>1490383</xdr:colOff>
      <xdr:row>28</xdr:row>
      <xdr:rowOff>123265</xdr:rowOff>
    </xdr:from>
    <xdr:ext cx="1696010" cy="438150"/>
    <xdr:pic>
      <xdr:nvPicPr>
        <xdr:cNvPr id="18" name="Picture 17">
          <a:extLst>
            <a:ext uri="{FF2B5EF4-FFF2-40B4-BE49-F238E27FC236}">
              <a16:creationId xmlns:a16="http://schemas.microsoft.com/office/drawing/2014/main" id="{8185FE28-BA3D-4E86-B33B-511559A4F8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2958" y="5838265"/>
          <a:ext cx="1696010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26</xdr:col>
      <xdr:colOff>39889</xdr:colOff>
      <xdr:row>0</xdr:row>
      <xdr:rowOff>394787</xdr:rowOff>
    </xdr:from>
    <xdr:to>
      <xdr:col>26</xdr:col>
      <xdr:colOff>259663</xdr:colOff>
      <xdr:row>15</xdr:row>
      <xdr:rowOff>123266</xdr:rowOff>
    </xdr:to>
    <xdr:cxnSp macro="">
      <xdr:nvCxnSpPr>
        <xdr:cNvPr id="19" name="Straight Arrow Connector 18">
          <a:extLst>
            <a:ext uri="{FF2B5EF4-FFF2-40B4-BE49-F238E27FC236}">
              <a16:creationId xmlns:a16="http://schemas.microsoft.com/office/drawing/2014/main" id="{5562DD37-0C9F-4666-ABC0-8FB6994DD3D8}"/>
            </a:ext>
          </a:extLst>
        </xdr:cNvPr>
        <xdr:cNvCxnSpPr/>
      </xdr:nvCxnSpPr>
      <xdr:spPr>
        <a:xfrm flipH="1">
          <a:off x="14527414" y="394787"/>
          <a:ext cx="219774" cy="2966979"/>
        </a:xfrm>
        <a:prstGeom prst="straightConnector1">
          <a:avLst/>
        </a:prstGeom>
        <a:ln w="136525">
          <a:solidFill>
            <a:srgbClr val="00B05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 editAs="oneCell">
    <xdr:from>
      <xdr:col>9</xdr:col>
      <xdr:colOff>441551</xdr:colOff>
      <xdr:row>15</xdr:row>
      <xdr:rowOff>112061</xdr:rowOff>
    </xdr:from>
    <xdr:to>
      <xdr:col>13</xdr:col>
      <xdr:colOff>514749</xdr:colOff>
      <xdr:row>28</xdr:row>
      <xdr:rowOff>89649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37BAED5C-E16C-401D-8F00-A751471A9FB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069580" y="3350561"/>
          <a:ext cx="2493669" cy="2454088"/>
        </a:xfrm>
        <a:prstGeom prst="rect">
          <a:avLst/>
        </a:prstGeom>
      </xdr:spPr>
    </xdr:pic>
    <xdr:clientData/>
  </xdr:twoCellAnchor>
  <xdr:twoCellAnchor editAs="oneCell">
    <xdr:from>
      <xdr:col>5</xdr:col>
      <xdr:colOff>241607</xdr:colOff>
      <xdr:row>12</xdr:row>
      <xdr:rowOff>101642</xdr:rowOff>
    </xdr:from>
    <xdr:to>
      <xdr:col>7</xdr:col>
      <xdr:colOff>536149</xdr:colOff>
      <xdr:row>22</xdr:row>
      <xdr:rowOff>128891</xdr:rowOff>
    </xdr:to>
    <xdr:pic>
      <xdr:nvPicPr>
        <xdr:cNvPr id="21" name="Graphic 20" descr="Back">
          <a:extLst>
            <a:ext uri="{FF2B5EF4-FFF2-40B4-BE49-F238E27FC236}">
              <a16:creationId xmlns:a16="http://schemas.microsoft.com/office/drawing/2014/main" id="{EC60A7E2-E614-4914-9718-2E2706CDC07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14"/>
            </a:ext>
          </a:extLst>
        </a:blip>
        <a:stretch>
          <a:fillRect/>
        </a:stretch>
      </xdr:blipFill>
      <xdr:spPr>
        <a:xfrm rot="5817145" flipV="1">
          <a:off x="2251678" y="2977896"/>
          <a:ext cx="1932249" cy="1513742"/>
        </a:xfrm>
        <a:prstGeom prst="rect">
          <a:avLst/>
        </a:prstGeom>
      </xdr:spPr>
    </xdr:pic>
    <xdr:clientData/>
  </xdr:twoCellAnchor>
  <xdr:twoCellAnchor editAs="oneCell">
    <xdr:from>
      <xdr:col>26</xdr:col>
      <xdr:colOff>11206</xdr:colOff>
      <xdr:row>18</xdr:row>
      <xdr:rowOff>34469</xdr:rowOff>
    </xdr:from>
    <xdr:to>
      <xdr:col>28</xdr:col>
      <xdr:colOff>717738</xdr:colOff>
      <xdr:row>31</xdr:row>
      <xdr:rowOff>151840</xdr:rowOff>
    </xdr:to>
    <xdr:pic>
      <xdr:nvPicPr>
        <xdr:cNvPr id="22" name="Picture 21">
          <a:extLst>
            <a:ext uri="{FF2B5EF4-FFF2-40B4-BE49-F238E27FC236}">
              <a16:creationId xmlns:a16="http://schemas.microsoft.com/office/drawing/2014/main" id="{5FFD853B-E3E3-4F31-90C7-DD3A6C6DE73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98731" y="3844469"/>
          <a:ext cx="3011582" cy="2593871"/>
        </a:xfrm>
        <a:prstGeom prst="rect">
          <a:avLst/>
        </a:prstGeom>
      </xdr:spPr>
    </xdr:pic>
    <xdr:clientData/>
  </xdr:twoCellAnchor>
  <xdr:twoCellAnchor>
    <xdr:from>
      <xdr:col>27</xdr:col>
      <xdr:colOff>56029</xdr:colOff>
      <xdr:row>11</xdr:row>
      <xdr:rowOff>44824</xdr:rowOff>
    </xdr:from>
    <xdr:to>
      <xdr:col>28</xdr:col>
      <xdr:colOff>827555</xdr:colOff>
      <xdr:row>34</xdr:row>
      <xdr:rowOff>76675</xdr:rowOff>
    </xdr:to>
    <xdr:grpSp>
      <xdr:nvGrpSpPr>
        <xdr:cNvPr id="23" name="Group 22">
          <a:extLst>
            <a:ext uri="{FF2B5EF4-FFF2-40B4-BE49-F238E27FC236}">
              <a16:creationId xmlns:a16="http://schemas.microsoft.com/office/drawing/2014/main" id="{67D44D08-F426-4924-A44E-E0A3144BAE83}"/>
            </a:ext>
          </a:extLst>
        </xdr:cNvPr>
        <xdr:cNvGrpSpPr/>
      </xdr:nvGrpSpPr>
      <xdr:grpSpPr>
        <a:xfrm>
          <a:off x="17086729" y="2521324"/>
          <a:ext cx="2705101" cy="4765776"/>
          <a:chOff x="5601891" y="839391"/>
          <a:chExt cx="1821656" cy="2780109"/>
        </a:xfrm>
      </xdr:grpSpPr>
      <xdr:pic>
        <xdr:nvPicPr>
          <xdr:cNvPr id="24" name="Picture 23">
            <a:extLst>
              <a:ext uri="{FF2B5EF4-FFF2-40B4-BE49-F238E27FC236}">
                <a16:creationId xmlns:a16="http://schemas.microsoft.com/office/drawing/2014/main" id="{FD16495B-CE73-41AE-941C-C3F916089FB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8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5613797" y="839391"/>
            <a:ext cx="1800225" cy="1771650"/>
          </a:xfrm>
          <a:prstGeom prst="rect">
            <a:avLst/>
          </a:prstGeom>
          <a:ln w="19050">
            <a:solidFill>
              <a:schemeClr val="tx1">
                <a:alpha val="96000"/>
              </a:schemeClr>
            </a:solidFill>
          </a:ln>
        </xdr:spPr>
      </xdr:pic>
      <xdr:sp macro="" textlink="">
        <xdr:nvSpPr>
          <xdr:cNvPr id="25" name="Rectangle 24">
            <a:extLst>
              <a:ext uri="{FF2B5EF4-FFF2-40B4-BE49-F238E27FC236}">
                <a16:creationId xmlns:a16="http://schemas.microsoft.com/office/drawing/2014/main" id="{1EFC41FF-2823-4679-8810-374A88B2FD25}"/>
              </a:ext>
            </a:extLst>
          </xdr:cNvPr>
          <xdr:cNvSpPr/>
        </xdr:nvSpPr>
        <xdr:spPr>
          <a:xfrm>
            <a:off x="5601891" y="2643187"/>
            <a:ext cx="1821656" cy="976313"/>
          </a:xfrm>
          <a:prstGeom prst="rect">
            <a:avLst/>
          </a:prstGeom>
          <a:solidFill>
            <a:srgbClr val="00B050"/>
          </a:solidFill>
          <a:ln w="19050">
            <a:solidFill>
              <a:schemeClr val="tx1">
                <a:alpha val="96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2800"/>
              <a:t>Worksheet</a:t>
            </a:r>
          </a:p>
          <a:p>
            <a:pPr algn="ctr"/>
            <a:r>
              <a:rPr lang="en-US" sz="2800"/>
              <a:t>Formulas</a:t>
            </a:r>
          </a:p>
        </xdr:txBody>
      </xdr:sp>
    </xdr:grpSp>
    <xdr:clientData/>
  </xdr:twoCellAnchor>
  <xdr:oneCellAnchor>
    <xdr:from>
      <xdr:col>15</xdr:col>
      <xdr:colOff>67258</xdr:colOff>
      <xdr:row>1</xdr:row>
      <xdr:rowOff>143800</xdr:rowOff>
    </xdr:from>
    <xdr:ext cx="2181875" cy="2836965"/>
    <xdr:pic>
      <xdr:nvPicPr>
        <xdr:cNvPr id="26" name="Picture 25">
          <a:extLst>
            <a:ext uri="{FF2B5EF4-FFF2-40B4-BE49-F238E27FC236}">
              <a16:creationId xmlns:a16="http://schemas.microsoft.com/office/drawing/2014/main" id="{7C6E3B58-C73C-4B30-876F-CA72D7F21A48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t="4048"/>
        <a:stretch/>
      </xdr:blipFill>
      <xdr:spPr>
        <a:xfrm>
          <a:off x="8382583" y="715300"/>
          <a:ext cx="2181875" cy="2836965"/>
        </a:xfrm>
        <a:prstGeom prst="rect">
          <a:avLst/>
        </a:prstGeom>
      </xdr:spPr>
    </xdr:pic>
    <xdr:clientData/>
  </xdr:oneCellAnchor>
  <xdr:twoCellAnchor editAs="oneCell">
    <xdr:from>
      <xdr:col>14</xdr:col>
      <xdr:colOff>291354</xdr:colOff>
      <xdr:row>20</xdr:row>
      <xdr:rowOff>90799</xdr:rowOff>
    </xdr:from>
    <xdr:to>
      <xdr:col>20</xdr:col>
      <xdr:colOff>77342</xdr:colOff>
      <xdr:row>29</xdr:row>
      <xdr:rowOff>145676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E1981881-B426-465C-A66F-3559403AAB62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9090" t="43840" r="39331" b="43008"/>
        <a:stretch/>
      </xdr:blipFill>
      <xdr:spPr bwMode="auto">
        <a:xfrm>
          <a:off x="7944972" y="4281799"/>
          <a:ext cx="3035694" cy="1769377"/>
        </a:xfrm>
        <a:prstGeom prst="rect">
          <a:avLst/>
        </a:prstGeom>
        <a:noFill/>
        <a:ln w="57150">
          <a:solidFill>
            <a:schemeClr val="tx1"/>
          </a:solidFill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00VideoClassStorage\000YouTubeExcelTricks\YouTubeTricks\1663-1670\EMT1663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00VideoClassStorage\000YouTubeExcelTricks\YouTubeTricks\1663-1670\EMT1665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(1663)"/>
      <sheetName val="Picture"/>
      <sheetName val="1663"/>
      <sheetName val="1663 (an)"/>
    </sheetNames>
    <sheetDataSet>
      <sheetData sheetId="0" refreshError="1"/>
      <sheetData sheetId="1" refreshError="1"/>
      <sheetData sheetId="2">
        <row r="3">
          <cell r="B3" t="str">
            <v>20MEMFEE</v>
          </cell>
        </row>
        <row r="4">
          <cell r="B4" t="str">
            <v>21MEMFEE</v>
          </cell>
        </row>
        <row r="5">
          <cell r="B5" t="str">
            <v>20MIEG</v>
          </cell>
        </row>
        <row r="6">
          <cell r="B6" t="str">
            <v>20PANCR</v>
          </cell>
        </row>
        <row r="7">
          <cell r="B7" t="str">
            <v>21MIEG</v>
          </cell>
        </row>
        <row r="8">
          <cell r="B8" t="str">
            <v>21PANCR</v>
          </cell>
        </row>
      </sheetData>
      <sheetData sheetId="3">
        <row r="3">
          <cell r="B3" t="str">
            <v>20MEMFEE</v>
          </cell>
        </row>
        <row r="4">
          <cell r="B4" t="str">
            <v>21MEMFEE</v>
          </cell>
        </row>
        <row r="5">
          <cell r="B5" t="str">
            <v>20MIEG</v>
          </cell>
        </row>
        <row r="6">
          <cell r="B6" t="str">
            <v>20PANCR</v>
          </cell>
        </row>
        <row r="7">
          <cell r="B7" t="str">
            <v>21MIEG</v>
          </cell>
        </row>
        <row r="8">
          <cell r="B8" t="str">
            <v>21PANCR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C(1665)"/>
      <sheetName val="C(1665.2)"/>
      <sheetName val="Picture"/>
      <sheetName val="1665"/>
      <sheetName val="1665 (an)"/>
    </sheetNames>
    <sheetDataSet>
      <sheetData sheetId="0" refreshError="1"/>
      <sheetData sheetId="1" refreshError="1"/>
      <sheetData sheetId="2" refreshError="1"/>
      <sheetData sheetId="3">
        <row r="2">
          <cell r="B2">
            <v>3</v>
          </cell>
        </row>
      </sheetData>
      <sheetData sheetId="4" refreshError="1"/>
    </sheetDataSet>
  </externalBook>
</externalLink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4BC0EF71-AA69-4CD9-8FBE-23865EC80DDE}" autoFormatId="16" applyNumberFormats="0" applyBorderFormats="0" applyFontFormats="0" applyPatternFormats="0" applyAlignmentFormats="0" applyWidthHeightFormats="0">
  <queryTableRefresh nextId="2">
    <queryTableFields count="1">
      <queryTableField id="1" name="Non-Number Data" tableColumnId="1"/>
    </queryTableFields>
  </queryTableRefresh>
</queryTable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63B2A88-B588-4D69-9F2D-D4C0026D8AD1}" name="PDDataImport" displayName="PDDataImport" ref="A1:A8" totalsRowShown="0" headerRowDxfId="6" headerRowBorderDxfId="5" tableBorderDxfId="4" totalsRowBorderDxfId="3">
  <autoFilter ref="A1:A8" xr:uid="{52583259-C711-4C71-AA04-5C2B25F84975}"/>
  <tableColumns count="1">
    <tableColumn id="1" xr3:uid="{0F67CCD3-A666-41C7-9D2A-680054ECA3DB}" name="Alphanumeric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DC14BD9-2000-4D9E-8BDE-2956C4312410}" name="PDDataImport_2" displayName="PDDataImport_2" ref="C4:C11" tableType="queryTable" totalsRowShown="0" tableBorderDxfId="1">
  <autoFilter ref="C4:C11" xr:uid="{866683AF-FDE7-49A9-A1A8-1B27B1524976}"/>
  <tableColumns count="1">
    <tableColumn id="1" xr3:uid="{A9D6D36C-467C-4C54-B7B1-D8663A8BD83E}" uniqueName="1" name="Non-Number Data" queryTableFieldId="1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7CD54C-66F1-4409-AADF-1511563D83AA}">
  <sheetPr codeName="Sheet1">
    <tabColor rgb="FFFFFF00"/>
  </sheetPr>
  <dimension ref="A1:AC167"/>
  <sheetViews>
    <sheetView showGridLines="0" zoomScale="85" zoomScaleNormal="85" workbookViewId="0">
      <selection activeCell="E36" sqref="E36:S59"/>
    </sheetView>
  </sheetViews>
  <sheetFormatPr defaultRowHeight="16.5" x14ac:dyDescent="0.3"/>
  <cols>
    <col min="1" max="1" width="12.375" customWidth="1"/>
    <col min="2" max="2" width="4.875" customWidth="1"/>
    <col min="3" max="4" width="3.375" customWidth="1"/>
    <col min="20" max="21" width="3.375" customWidth="1"/>
    <col min="22" max="22" width="4.875" customWidth="1"/>
    <col min="23" max="23" width="16.875" customWidth="1"/>
    <col min="28" max="28" width="25.375" customWidth="1"/>
    <col min="29" max="29" width="56.75" customWidth="1"/>
    <col min="32" max="32" width="3.25" customWidth="1"/>
  </cols>
  <sheetData>
    <row r="1" spans="1:23" ht="45" customHeight="1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</row>
    <row r="2" spans="1:23" ht="15" customHeight="1" x14ac:dyDescent="0.3">
      <c r="A2" s="22"/>
      <c r="B2" s="27" t="s">
        <v>29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2"/>
    </row>
    <row r="3" spans="1:23" ht="15" customHeight="1" x14ac:dyDescent="0.3">
      <c r="A3" s="22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2"/>
    </row>
    <row r="4" spans="1:23" ht="15" customHeight="1" x14ac:dyDescent="0.3">
      <c r="A4" s="22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2"/>
    </row>
    <row r="5" spans="1:23" ht="15" customHeight="1" x14ac:dyDescent="0.3">
      <c r="A5" s="22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2"/>
    </row>
    <row r="6" spans="1:23" ht="15" customHeight="1" x14ac:dyDescent="0.3">
      <c r="A6" s="22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2"/>
    </row>
    <row r="7" spans="1:23" ht="15" customHeight="1" x14ac:dyDescent="0.3">
      <c r="A7" s="22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2"/>
    </row>
    <row r="8" spans="1:23" ht="15" customHeight="1" x14ac:dyDescent="0.3">
      <c r="A8" s="22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2"/>
    </row>
    <row r="9" spans="1:23" ht="15" customHeight="1" x14ac:dyDescent="0.3">
      <c r="A9" s="22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2"/>
    </row>
    <row r="10" spans="1:23" ht="15" customHeight="1" x14ac:dyDescent="0.3">
      <c r="A10" s="22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2"/>
    </row>
    <row r="11" spans="1:23" ht="15" customHeight="1" x14ac:dyDescent="0.3">
      <c r="A11" s="22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2"/>
    </row>
    <row r="12" spans="1:23" ht="15" customHeight="1" x14ac:dyDescent="0.3">
      <c r="A12" s="22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2"/>
    </row>
    <row r="13" spans="1:23" ht="15" customHeight="1" x14ac:dyDescent="0.3">
      <c r="A13" s="22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2"/>
    </row>
    <row r="14" spans="1:23" ht="15" customHeight="1" x14ac:dyDescent="0.3">
      <c r="A14" s="22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2"/>
    </row>
    <row r="15" spans="1:23" ht="15" customHeight="1" x14ac:dyDescent="0.3">
      <c r="A15" s="22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2"/>
    </row>
    <row r="16" spans="1:23" ht="15" customHeight="1" x14ac:dyDescent="0.3">
      <c r="A16" s="22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2"/>
    </row>
    <row r="17" spans="1:23" ht="15" customHeight="1" x14ac:dyDescent="0.3">
      <c r="A17" s="22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2"/>
    </row>
    <row r="18" spans="1:23" ht="15" customHeight="1" x14ac:dyDescent="0.3">
      <c r="A18" s="22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2"/>
    </row>
    <row r="19" spans="1:23" ht="15" customHeight="1" x14ac:dyDescent="0.3">
      <c r="A19" s="22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2"/>
    </row>
    <row r="20" spans="1:23" ht="15" customHeight="1" x14ac:dyDescent="0.3">
      <c r="A20" s="22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2"/>
    </row>
    <row r="21" spans="1:23" ht="15" customHeight="1" x14ac:dyDescent="0.3">
      <c r="A21" s="22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2"/>
    </row>
    <row r="22" spans="1:23" ht="15" customHeight="1" x14ac:dyDescent="0.3">
      <c r="A22" s="22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2"/>
    </row>
    <row r="23" spans="1:23" ht="15" customHeight="1" x14ac:dyDescent="0.3">
      <c r="A23" s="22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2"/>
    </row>
    <row r="24" spans="1:23" ht="15" customHeight="1" x14ac:dyDescent="0.3">
      <c r="A24" s="22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2"/>
    </row>
    <row r="25" spans="1:23" ht="15" customHeight="1" x14ac:dyDescent="0.3">
      <c r="A25" s="22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2"/>
    </row>
    <row r="26" spans="1:23" ht="15" customHeight="1" x14ac:dyDescent="0.3">
      <c r="A26" s="22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2"/>
    </row>
    <row r="27" spans="1:23" ht="15" customHeight="1" x14ac:dyDescent="0.3">
      <c r="A27" s="22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2"/>
    </row>
    <row r="28" spans="1:23" ht="15" customHeight="1" x14ac:dyDescent="0.3">
      <c r="A28" s="22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2"/>
    </row>
    <row r="29" spans="1:23" ht="15" customHeight="1" x14ac:dyDescent="0.3">
      <c r="A29" s="22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2"/>
    </row>
    <row r="30" spans="1:23" ht="15" customHeight="1" x14ac:dyDescent="0.3">
      <c r="A30" s="22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2"/>
    </row>
    <row r="31" spans="1:23" ht="15" customHeight="1" x14ac:dyDescent="0.3">
      <c r="A31" s="22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2"/>
    </row>
    <row r="32" spans="1:23" ht="15" customHeight="1" x14ac:dyDescent="0.3">
      <c r="A32" s="22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2"/>
    </row>
    <row r="33" spans="1:29" ht="39" x14ac:dyDescent="0.65">
      <c r="A33" s="22"/>
      <c r="B33" s="23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</row>
    <row r="34" spans="1:29" ht="18.75" customHeight="1" x14ac:dyDescent="0.3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</row>
    <row r="36" spans="1:29" ht="15" customHeight="1" x14ac:dyDescent="0.3">
      <c r="E36" s="28" t="s">
        <v>24</v>
      </c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AA36" s="17" t="s">
        <v>25</v>
      </c>
    </row>
    <row r="37" spans="1:29" ht="15" customHeight="1" x14ac:dyDescent="0.3"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AA37">
        <f>LEN(AA36)</f>
        <v>91</v>
      </c>
    </row>
    <row r="38" spans="1:29" ht="15" customHeight="1" x14ac:dyDescent="0.3"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</row>
    <row r="39" spans="1:29" ht="15" customHeight="1" x14ac:dyDescent="0.3"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</row>
    <row r="40" spans="1:29" ht="15" customHeight="1" x14ac:dyDescent="0.3"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</row>
    <row r="41" spans="1:29" ht="15" customHeight="1" x14ac:dyDescent="0.3"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</row>
    <row r="42" spans="1:29" ht="15" customHeight="1" x14ac:dyDescent="0.3"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AB42" t="e" cm="1">
        <f t="array" aca="1" ref="AB42" ca="1">SUBSTITUTE(REPLACE(CELL("filename"),1,SEARCH("(",CELL("filename")),""),")","")</f>
        <v>#VALUE!</v>
      </c>
    </row>
    <row r="43" spans="1:29" ht="15" customHeight="1" x14ac:dyDescent="0.3"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</row>
    <row r="44" spans="1:29" ht="285.75" customHeight="1" x14ac:dyDescent="0.3"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AB44" s="18" t="str" cm="1">
        <f t="array" aca="1" ref="AB44" ca="1">"Excel
Magic
Trick
"&amp;SUBSTITUTE(REPLACE(CELL("filename",A1),1,SEARCH("(",CELL("filename",A1)),""),")","")</f>
        <v xml:space="preserve">Excel
Magic
Trick
1670 </v>
      </c>
    </row>
    <row r="45" spans="1:29" ht="15" customHeight="1" x14ac:dyDescent="0.3"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</row>
    <row r="46" spans="1:29" ht="15" customHeight="1" x14ac:dyDescent="0.3"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</row>
    <row r="47" spans="1:29" ht="68.25" customHeight="1" x14ac:dyDescent="0.3"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AC47" s="19" t="s">
        <v>26</v>
      </c>
    </row>
    <row r="48" spans="1:29" ht="15" customHeight="1" x14ac:dyDescent="0.3"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</row>
    <row r="49" spans="5:19" ht="15" customHeight="1" x14ac:dyDescent="0.3"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</row>
    <row r="50" spans="5:19" ht="15" customHeight="1" x14ac:dyDescent="0.3"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</row>
    <row r="51" spans="5:19" ht="15" customHeight="1" x14ac:dyDescent="0.3"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</row>
    <row r="52" spans="5:19" ht="15" customHeight="1" x14ac:dyDescent="0.3"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</row>
    <row r="53" spans="5:19" ht="15" customHeight="1" x14ac:dyDescent="0.3"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</row>
    <row r="54" spans="5:19" ht="15" customHeight="1" x14ac:dyDescent="0.3"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</row>
    <row r="55" spans="5:19" ht="15" customHeight="1" x14ac:dyDescent="0.3"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</row>
    <row r="56" spans="5:19" ht="15" customHeight="1" x14ac:dyDescent="0.3"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</row>
    <row r="57" spans="5:19" ht="15" customHeight="1" x14ac:dyDescent="0.3"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</row>
    <row r="58" spans="5:19" ht="15" customHeight="1" x14ac:dyDescent="0.3"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</row>
    <row r="59" spans="5:19" ht="15" customHeight="1" x14ac:dyDescent="0.3"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</row>
    <row r="79" spans="28:28" ht="54" x14ac:dyDescent="0.9">
      <c r="AB79" s="20" t="s">
        <v>10</v>
      </c>
    </row>
    <row r="85" spans="28:28" ht="39" x14ac:dyDescent="0.65">
      <c r="AB85" s="21" t="s">
        <v>27</v>
      </c>
    </row>
    <row r="142" spans="5:19" ht="17.25" thickBot="1" x14ac:dyDescent="0.35"/>
    <row r="143" spans="5:19" ht="15.75" customHeight="1" thickTop="1" x14ac:dyDescent="0.3">
      <c r="E143" s="29" t="s">
        <v>28</v>
      </c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1"/>
    </row>
    <row r="144" spans="5:19" ht="15" customHeight="1" x14ac:dyDescent="0.3">
      <c r="E144" s="32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4"/>
    </row>
    <row r="145" spans="5:19" ht="15" customHeight="1" x14ac:dyDescent="0.3">
      <c r="E145" s="32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4"/>
    </row>
    <row r="146" spans="5:19" ht="15" customHeight="1" x14ac:dyDescent="0.3">
      <c r="E146" s="32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4"/>
    </row>
    <row r="147" spans="5:19" ht="15" customHeight="1" x14ac:dyDescent="0.3">
      <c r="E147" s="32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4"/>
    </row>
    <row r="148" spans="5:19" ht="15" customHeight="1" x14ac:dyDescent="0.3">
      <c r="E148" s="32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4"/>
    </row>
    <row r="149" spans="5:19" ht="15" customHeight="1" x14ac:dyDescent="0.3">
      <c r="E149" s="32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4"/>
    </row>
    <row r="150" spans="5:19" ht="15" customHeight="1" x14ac:dyDescent="0.3">
      <c r="E150" s="32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4"/>
    </row>
    <row r="151" spans="5:19" ht="15" customHeight="1" x14ac:dyDescent="0.3">
      <c r="E151" s="32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4"/>
    </row>
    <row r="152" spans="5:19" ht="15" customHeight="1" x14ac:dyDescent="0.3">
      <c r="E152" s="32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4"/>
    </row>
    <row r="153" spans="5:19" ht="15" customHeight="1" x14ac:dyDescent="0.3">
      <c r="E153" s="32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4"/>
    </row>
    <row r="154" spans="5:19" ht="15" customHeight="1" x14ac:dyDescent="0.3">
      <c r="E154" s="32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4"/>
    </row>
    <row r="155" spans="5:19" ht="15" customHeight="1" x14ac:dyDescent="0.3">
      <c r="E155" s="32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4"/>
    </row>
    <row r="156" spans="5:19" ht="15" customHeight="1" x14ac:dyDescent="0.3">
      <c r="E156" s="32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4"/>
    </row>
    <row r="157" spans="5:19" ht="15" customHeight="1" x14ac:dyDescent="0.3">
      <c r="E157" s="32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4"/>
    </row>
    <row r="158" spans="5:19" ht="15" customHeight="1" x14ac:dyDescent="0.3">
      <c r="E158" s="32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4"/>
    </row>
    <row r="159" spans="5:19" ht="15" customHeight="1" x14ac:dyDescent="0.3">
      <c r="E159" s="32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4"/>
    </row>
    <row r="160" spans="5:19" ht="15" customHeight="1" x14ac:dyDescent="0.3">
      <c r="E160" s="32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4"/>
    </row>
    <row r="161" spans="5:19" ht="15" customHeight="1" x14ac:dyDescent="0.3">
      <c r="E161" s="32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4"/>
    </row>
    <row r="162" spans="5:19" ht="15" customHeight="1" x14ac:dyDescent="0.3">
      <c r="E162" s="32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4"/>
    </row>
    <row r="163" spans="5:19" ht="15" customHeight="1" x14ac:dyDescent="0.3">
      <c r="E163" s="32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4"/>
    </row>
    <row r="164" spans="5:19" ht="15" customHeight="1" x14ac:dyDescent="0.3">
      <c r="E164" s="32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4"/>
    </row>
    <row r="165" spans="5:19" ht="15" customHeight="1" x14ac:dyDescent="0.3">
      <c r="E165" s="32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4"/>
    </row>
    <row r="166" spans="5:19" ht="15.75" customHeight="1" thickBot="1" x14ac:dyDescent="0.35">
      <c r="E166" s="35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7"/>
    </row>
    <row r="167" spans="5:19" ht="17.25" thickTop="1" x14ac:dyDescent="0.3"/>
  </sheetData>
  <mergeCells count="3">
    <mergeCell ref="B2:V32"/>
    <mergeCell ref="E36:S59"/>
    <mergeCell ref="E143:S166"/>
  </mergeCells>
  <phoneticPr fontId="17" type="noConversion"/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4002E3-1931-4237-AC19-9C5351BBC22E}">
  <sheetPr codeName="Sheet2">
    <tabColor rgb="FFFFFF00"/>
  </sheetPr>
  <dimension ref="A1:AC167"/>
  <sheetViews>
    <sheetView showGridLines="0" zoomScale="85" zoomScaleNormal="85" workbookViewId="0">
      <selection activeCell="Y31" sqref="Y31"/>
    </sheetView>
  </sheetViews>
  <sheetFormatPr defaultRowHeight="16.5" x14ac:dyDescent="0.3"/>
  <cols>
    <col min="1" max="1" width="12.375" customWidth="1"/>
    <col min="2" max="2" width="4.875" customWidth="1"/>
    <col min="3" max="4" width="3.375" customWidth="1"/>
    <col min="20" max="21" width="3.375" customWidth="1"/>
    <col min="22" max="22" width="4.875" customWidth="1"/>
    <col min="23" max="23" width="16.875" customWidth="1"/>
    <col min="28" max="28" width="25.375" customWidth="1"/>
    <col min="29" max="29" width="56.75" customWidth="1"/>
    <col min="32" max="32" width="3.25" customWidth="1"/>
  </cols>
  <sheetData>
    <row r="1" spans="1:23" ht="45" customHeight="1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</row>
    <row r="2" spans="1:23" ht="15" customHeight="1" x14ac:dyDescent="0.3">
      <c r="A2" s="22"/>
      <c r="B2" s="27" t="s">
        <v>29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2"/>
    </row>
    <row r="3" spans="1:23" ht="15" customHeight="1" x14ac:dyDescent="0.3">
      <c r="A3" s="22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2"/>
    </row>
    <row r="4" spans="1:23" ht="15" customHeight="1" x14ac:dyDescent="0.3">
      <c r="A4" s="22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2"/>
    </row>
    <row r="5" spans="1:23" ht="15" customHeight="1" x14ac:dyDescent="0.3">
      <c r="A5" s="22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2"/>
    </row>
    <row r="6" spans="1:23" ht="15" customHeight="1" x14ac:dyDescent="0.3">
      <c r="A6" s="22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2"/>
    </row>
    <row r="7" spans="1:23" ht="15" customHeight="1" x14ac:dyDescent="0.3">
      <c r="A7" s="22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2"/>
    </row>
    <row r="8" spans="1:23" ht="15" customHeight="1" x14ac:dyDescent="0.3">
      <c r="A8" s="22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2"/>
    </row>
    <row r="9" spans="1:23" ht="15" customHeight="1" x14ac:dyDescent="0.3">
      <c r="A9" s="22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2"/>
    </row>
    <row r="10" spans="1:23" ht="15" customHeight="1" x14ac:dyDescent="0.3">
      <c r="A10" s="22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2"/>
    </row>
    <row r="11" spans="1:23" ht="15" customHeight="1" x14ac:dyDescent="0.3">
      <c r="A11" s="22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2"/>
    </row>
    <row r="12" spans="1:23" ht="15" customHeight="1" x14ac:dyDescent="0.3">
      <c r="A12" s="22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2"/>
    </row>
    <row r="13" spans="1:23" ht="15" customHeight="1" x14ac:dyDescent="0.3">
      <c r="A13" s="22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2"/>
    </row>
    <row r="14" spans="1:23" ht="15" customHeight="1" x14ac:dyDescent="0.3">
      <c r="A14" s="22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2"/>
    </row>
    <row r="15" spans="1:23" ht="15" customHeight="1" x14ac:dyDescent="0.3">
      <c r="A15" s="22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2"/>
    </row>
    <row r="16" spans="1:23" ht="15" customHeight="1" x14ac:dyDescent="0.3">
      <c r="A16" s="22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2"/>
    </row>
    <row r="17" spans="1:23" ht="15" customHeight="1" x14ac:dyDescent="0.3">
      <c r="A17" s="22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2"/>
    </row>
    <row r="18" spans="1:23" ht="15" customHeight="1" x14ac:dyDescent="0.3">
      <c r="A18" s="22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2"/>
    </row>
    <row r="19" spans="1:23" ht="15" customHeight="1" x14ac:dyDescent="0.3">
      <c r="A19" s="22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2"/>
    </row>
    <row r="20" spans="1:23" ht="15" customHeight="1" x14ac:dyDescent="0.3">
      <c r="A20" s="22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2"/>
    </row>
    <row r="21" spans="1:23" ht="15" customHeight="1" x14ac:dyDescent="0.3">
      <c r="A21" s="22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2"/>
    </row>
    <row r="22" spans="1:23" ht="15" customHeight="1" x14ac:dyDescent="0.3">
      <c r="A22" s="22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2"/>
    </row>
    <row r="23" spans="1:23" ht="15" customHeight="1" x14ac:dyDescent="0.3">
      <c r="A23" s="22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2"/>
    </row>
    <row r="24" spans="1:23" ht="15" customHeight="1" x14ac:dyDescent="0.3">
      <c r="A24" s="22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2"/>
    </row>
    <row r="25" spans="1:23" ht="15" customHeight="1" x14ac:dyDescent="0.3">
      <c r="A25" s="22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2"/>
    </row>
    <row r="26" spans="1:23" ht="15" customHeight="1" x14ac:dyDescent="0.3">
      <c r="A26" s="22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2"/>
    </row>
    <row r="27" spans="1:23" ht="15" customHeight="1" x14ac:dyDescent="0.3">
      <c r="A27" s="22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2"/>
    </row>
    <row r="28" spans="1:23" ht="15" customHeight="1" x14ac:dyDescent="0.3">
      <c r="A28" s="22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2"/>
    </row>
    <row r="29" spans="1:23" ht="15" customHeight="1" x14ac:dyDescent="0.3">
      <c r="A29" s="22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2"/>
    </row>
    <row r="30" spans="1:23" ht="15" customHeight="1" x14ac:dyDescent="0.3">
      <c r="A30" s="22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2"/>
    </row>
    <row r="31" spans="1:23" ht="15" customHeight="1" x14ac:dyDescent="0.3">
      <c r="A31" s="22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2"/>
    </row>
    <row r="32" spans="1:23" ht="15" customHeight="1" x14ac:dyDescent="0.3">
      <c r="A32" s="22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2"/>
    </row>
    <row r="33" spans="1:29" ht="39" x14ac:dyDescent="0.65">
      <c r="A33" s="22"/>
      <c r="B33" s="23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</row>
    <row r="34" spans="1:29" ht="18.75" customHeight="1" x14ac:dyDescent="0.3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</row>
    <row r="36" spans="1:29" ht="15" customHeight="1" x14ac:dyDescent="0.3">
      <c r="E36" s="28" t="s">
        <v>24</v>
      </c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AA36" s="17" t="s">
        <v>25</v>
      </c>
    </row>
    <row r="37" spans="1:29" ht="15" customHeight="1" x14ac:dyDescent="0.3"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AA37">
        <f>LEN(AA36)</f>
        <v>91</v>
      </c>
    </row>
    <row r="38" spans="1:29" ht="15" customHeight="1" x14ac:dyDescent="0.3"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</row>
    <row r="39" spans="1:29" ht="15" customHeight="1" x14ac:dyDescent="0.3"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</row>
    <row r="40" spans="1:29" ht="15" customHeight="1" x14ac:dyDescent="0.3"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</row>
    <row r="41" spans="1:29" ht="15" customHeight="1" x14ac:dyDescent="0.3"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</row>
    <row r="42" spans="1:29" ht="15" customHeight="1" x14ac:dyDescent="0.3"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AB42" t="e" cm="1">
        <f t="array" aca="1" ref="AB42" ca="1">SUBSTITUTE(REPLACE(CELL("filename"),1,SEARCH("(",CELL("filename")),""),")","")</f>
        <v>#VALUE!</v>
      </c>
    </row>
    <row r="43" spans="1:29" ht="15" customHeight="1" x14ac:dyDescent="0.3"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</row>
    <row r="44" spans="1:29" ht="285.75" customHeight="1" x14ac:dyDescent="0.3"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AB44" s="18" t="str" cm="1">
        <f t="array" aca="1" ref="AB44" ca="1">"Excel
Magic
Trick
"&amp;SUBSTITUTE(REPLACE(CELL("filename",A1),1,SEARCH("(",CELL("filename",A1)),""),")","")</f>
        <v>Excel
Magic
Trick
1670</v>
      </c>
    </row>
    <row r="45" spans="1:29" ht="15" customHeight="1" x14ac:dyDescent="0.3"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</row>
    <row r="46" spans="1:29" ht="15" customHeight="1" x14ac:dyDescent="0.3"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</row>
    <row r="47" spans="1:29" ht="68.25" customHeight="1" x14ac:dyDescent="0.3"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AC47" s="19" t="s">
        <v>26</v>
      </c>
    </row>
    <row r="48" spans="1:29" ht="15" customHeight="1" x14ac:dyDescent="0.3"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</row>
    <row r="49" spans="5:19" ht="15" customHeight="1" x14ac:dyDescent="0.3"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</row>
    <row r="50" spans="5:19" ht="15" customHeight="1" x14ac:dyDescent="0.3"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</row>
    <row r="51" spans="5:19" ht="15" customHeight="1" x14ac:dyDescent="0.3"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</row>
    <row r="52" spans="5:19" ht="15" customHeight="1" x14ac:dyDescent="0.3"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</row>
    <row r="53" spans="5:19" ht="15" customHeight="1" x14ac:dyDescent="0.3"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</row>
    <row r="54" spans="5:19" ht="15" customHeight="1" x14ac:dyDescent="0.3"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</row>
    <row r="55" spans="5:19" ht="15" customHeight="1" x14ac:dyDescent="0.3"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</row>
    <row r="56" spans="5:19" ht="15" customHeight="1" x14ac:dyDescent="0.3"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</row>
    <row r="57" spans="5:19" ht="15" customHeight="1" x14ac:dyDescent="0.3"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</row>
    <row r="58" spans="5:19" ht="15" customHeight="1" x14ac:dyDescent="0.3"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</row>
    <row r="59" spans="5:19" ht="15" customHeight="1" x14ac:dyDescent="0.3"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</row>
    <row r="79" spans="28:28" ht="54" x14ac:dyDescent="0.9">
      <c r="AB79" s="20" t="s">
        <v>10</v>
      </c>
    </row>
    <row r="85" spans="28:28" ht="39" x14ac:dyDescent="0.65">
      <c r="AB85" s="21" t="s">
        <v>27</v>
      </c>
    </row>
    <row r="142" spans="5:19" ht="17.25" thickBot="1" x14ac:dyDescent="0.35"/>
    <row r="143" spans="5:19" ht="15.75" customHeight="1" thickTop="1" x14ac:dyDescent="0.3">
      <c r="E143" s="29" t="s">
        <v>28</v>
      </c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1"/>
    </row>
    <row r="144" spans="5:19" ht="15" customHeight="1" x14ac:dyDescent="0.3">
      <c r="E144" s="32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4"/>
    </row>
    <row r="145" spans="5:19" ht="15" customHeight="1" x14ac:dyDescent="0.3">
      <c r="E145" s="32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4"/>
    </row>
    <row r="146" spans="5:19" ht="15" customHeight="1" x14ac:dyDescent="0.3">
      <c r="E146" s="32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4"/>
    </row>
    <row r="147" spans="5:19" ht="15" customHeight="1" x14ac:dyDescent="0.3">
      <c r="E147" s="32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4"/>
    </row>
    <row r="148" spans="5:19" ht="15" customHeight="1" x14ac:dyDescent="0.3">
      <c r="E148" s="32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4"/>
    </row>
    <row r="149" spans="5:19" ht="15" customHeight="1" x14ac:dyDescent="0.3">
      <c r="E149" s="32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4"/>
    </row>
    <row r="150" spans="5:19" ht="15" customHeight="1" x14ac:dyDescent="0.3">
      <c r="E150" s="32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4"/>
    </row>
    <row r="151" spans="5:19" ht="15" customHeight="1" x14ac:dyDescent="0.3">
      <c r="E151" s="32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4"/>
    </row>
    <row r="152" spans="5:19" ht="15" customHeight="1" x14ac:dyDescent="0.3">
      <c r="E152" s="32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4"/>
    </row>
    <row r="153" spans="5:19" ht="15" customHeight="1" x14ac:dyDescent="0.3">
      <c r="E153" s="32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4"/>
    </row>
    <row r="154" spans="5:19" ht="15" customHeight="1" x14ac:dyDescent="0.3">
      <c r="E154" s="32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4"/>
    </row>
    <row r="155" spans="5:19" ht="15" customHeight="1" x14ac:dyDescent="0.3">
      <c r="E155" s="32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4"/>
    </row>
    <row r="156" spans="5:19" ht="15" customHeight="1" x14ac:dyDescent="0.3">
      <c r="E156" s="32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4"/>
    </row>
    <row r="157" spans="5:19" ht="15" customHeight="1" x14ac:dyDescent="0.3">
      <c r="E157" s="32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4"/>
    </row>
    <row r="158" spans="5:19" ht="15" customHeight="1" x14ac:dyDescent="0.3">
      <c r="E158" s="32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4"/>
    </row>
    <row r="159" spans="5:19" ht="15" customHeight="1" x14ac:dyDescent="0.3">
      <c r="E159" s="32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4"/>
    </row>
    <row r="160" spans="5:19" ht="15" customHeight="1" x14ac:dyDescent="0.3">
      <c r="E160" s="32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4"/>
    </row>
    <row r="161" spans="5:19" ht="15" customHeight="1" x14ac:dyDescent="0.3">
      <c r="E161" s="32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4"/>
    </row>
    <row r="162" spans="5:19" ht="15" customHeight="1" x14ac:dyDescent="0.3">
      <c r="E162" s="32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4"/>
    </row>
    <row r="163" spans="5:19" ht="15" customHeight="1" x14ac:dyDescent="0.3">
      <c r="E163" s="32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4"/>
    </row>
    <row r="164" spans="5:19" ht="15" customHeight="1" x14ac:dyDescent="0.3">
      <c r="E164" s="32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4"/>
    </row>
    <row r="165" spans="5:19" ht="15" customHeight="1" x14ac:dyDescent="0.3">
      <c r="E165" s="32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4"/>
    </row>
    <row r="166" spans="5:19" ht="15.75" customHeight="1" thickBot="1" x14ac:dyDescent="0.35">
      <c r="E166" s="35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7"/>
    </row>
    <row r="167" spans="5:19" ht="17.25" thickTop="1" x14ac:dyDescent="0.3"/>
  </sheetData>
  <mergeCells count="3">
    <mergeCell ref="B2:V32"/>
    <mergeCell ref="E36:S59"/>
    <mergeCell ref="E143:S166"/>
  </mergeCells>
  <phoneticPr fontId="17" type="noConversion"/>
  <pageMargins left="0.7" right="0.7" top="0.75" bottom="0.75" header="0.3" footer="0.3"/>
  <pageSetup orientation="portrait" r:id="rId1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0E549-537C-496D-9EB5-762DA56683BC}">
  <sheetPr codeName="Sheet3">
    <tabColor rgb="FFFFFF00"/>
  </sheetPr>
  <dimension ref="A1:AC167"/>
  <sheetViews>
    <sheetView showGridLines="0" zoomScale="85" zoomScaleNormal="85" workbookViewId="0">
      <selection activeCell="AA29" sqref="AA29"/>
    </sheetView>
  </sheetViews>
  <sheetFormatPr defaultRowHeight="16.5" x14ac:dyDescent="0.3"/>
  <cols>
    <col min="1" max="1" width="12.375" customWidth="1"/>
    <col min="2" max="2" width="4.875" customWidth="1"/>
    <col min="3" max="4" width="3.375" customWidth="1"/>
    <col min="20" max="21" width="3.375" customWidth="1"/>
    <col min="22" max="22" width="4.875" customWidth="1"/>
    <col min="23" max="23" width="16.875" customWidth="1"/>
    <col min="28" max="28" width="25.375" customWidth="1"/>
    <col min="29" max="29" width="56.75" customWidth="1"/>
    <col min="32" max="32" width="3.25" customWidth="1"/>
  </cols>
  <sheetData>
    <row r="1" spans="1:23" ht="45" customHeight="1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</row>
    <row r="2" spans="1:23" ht="15" customHeight="1" x14ac:dyDescent="0.3">
      <c r="A2" s="22"/>
      <c r="B2" s="27" t="s">
        <v>29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2"/>
    </row>
    <row r="3" spans="1:23" ht="15" customHeight="1" x14ac:dyDescent="0.3">
      <c r="A3" s="22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2"/>
    </row>
    <row r="4" spans="1:23" ht="15" customHeight="1" x14ac:dyDescent="0.3">
      <c r="A4" s="22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2"/>
    </row>
    <row r="5" spans="1:23" ht="15" customHeight="1" x14ac:dyDescent="0.3">
      <c r="A5" s="22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2"/>
    </row>
    <row r="6" spans="1:23" ht="15" customHeight="1" x14ac:dyDescent="0.3">
      <c r="A6" s="22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2"/>
    </row>
    <row r="7" spans="1:23" ht="15" customHeight="1" x14ac:dyDescent="0.3">
      <c r="A7" s="22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2"/>
    </row>
    <row r="8" spans="1:23" ht="15" customHeight="1" x14ac:dyDescent="0.3">
      <c r="A8" s="22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2"/>
    </row>
    <row r="9" spans="1:23" ht="15" customHeight="1" x14ac:dyDescent="0.3">
      <c r="A9" s="22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2"/>
    </row>
    <row r="10" spans="1:23" ht="15" customHeight="1" x14ac:dyDescent="0.3">
      <c r="A10" s="22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2"/>
    </row>
    <row r="11" spans="1:23" ht="15" customHeight="1" x14ac:dyDescent="0.3">
      <c r="A11" s="22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2"/>
    </row>
    <row r="12" spans="1:23" ht="15" customHeight="1" x14ac:dyDescent="0.3">
      <c r="A12" s="22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2"/>
    </row>
    <row r="13" spans="1:23" ht="15" customHeight="1" x14ac:dyDescent="0.3">
      <c r="A13" s="22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2"/>
    </row>
    <row r="14" spans="1:23" ht="15" customHeight="1" x14ac:dyDescent="0.3">
      <c r="A14" s="22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2"/>
    </row>
    <row r="15" spans="1:23" ht="15" customHeight="1" x14ac:dyDescent="0.3">
      <c r="A15" s="22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2"/>
    </row>
    <row r="16" spans="1:23" ht="15" customHeight="1" x14ac:dyDescent="0.3">
      <c r="A16" s="22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2"/>
    </row>
    <row r="17" spans="1:23" ht="15" customHeight="1" x14ac:dyDescent="0.3">
      <c r="A17" s="22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2"/>
    </row>
    <row r="18" spans="1:23" ht="15" customHeight="1" x14ac:dyDescent="0.3">
      <c r="A18" s="22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2"/>
    </row>
    <row r="19" spans="1:23" ht="15" customHeight="1" x14ac:dyDescent="0.3">
      <c r="A19" s="22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2"/>
    </row>
    <row r="20" spans="1:23" ht="15" customHeight="1" x14ac:dyDescent="0.3">
      <c r="A20" s="22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2"/>
    </row>
    <row r="21" spans="1:23" ht="15" customHeight="1" x14ac:dyDescent="0.3">
      <c r="A21" s="22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2"/>
    </row>
    <row r="22" spans="1:23" ht="15" customHeight="1" x14ac:dyDescent="0.3">
      <c r="A22" s="22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2"/>
    </row>
    <row r="23" spans="1:23" ht="15" customHeight="1" x14ac:dyDescent="0.3">
      <c r="A23" s="22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2"/>
    </row>
    <row r="24" spans="1:23" ht="15" customHeight="1" x14ac:dyDescent="0.3">
      <c r="A24" s="22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2"/>
    </row>
    <row r="25" spans="1:23" ht="15" customHeight="1" x14ac:dyDescent="0.3">
      <c r="A25" s="22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2"/>
    </row>
    <row r="26" spans="1:23" ht="15" customHeight="1" x14ac:dyDescent="0.3">
      <c r="A26" s="22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2"/>
    </row>
    <row r="27" spans="1:23" ht="15" customHeight="1" x14ac:dyDescent="0.3">
      <c r="A27" s="22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2"/>
    </row>
    <row r="28" spans="1:23" ht="15" customHeight="1" x14ac:dyDescent="0.3">
      <c r="A28" s="22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2"/>
    </row>
    <row r="29" spans="1:23" ht="15" customHeight="1" x14ac:dyDescent="0.3">
      <c r="A29" s="22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2"/>
    </row>
    <row r="30" spans="1:23" ht="15" customHeight="1" x14ac:dyDescent="0.3">
      <c r="A30" s="22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2"/>
    </row>
    <row r="31" spans="1:23" ht="15" customHeight="1" x14ac:dyDescent="0.3">
      <c r="A31" s="22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2"/>
    </row>
    <row r="32" spans="1:23" ht="15" customHeight="1" x14ac:dyDescent="0.3">
      <c r="A32" s="22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2"/>
    </row>
    <row r="33" spans="1:29" ht="39" x14ac:dyDescent="0.65">
      <c r="A33" s="22"/>
      <c r="B33" s="23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</row>
    <row r="34" spans="1:29" ht="18.75" customHeight="1" x14ac:dyDescent="0.3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</row>
    <row r="36" spans="1:29" ht="15" customHeight="1" x14ac:dyDescent="0.3">
      <c r="E36" s="28" t="s">
        <v>24</v>
      </c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AA36" s="17" t="s">
        <v>25</v>
      </c>
    </row>
    <row r="37" spans="1:29" ht="15" customHeight="1" x14ac:dyDescent="0.3"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AA37">
        <f>LEN(AA36)</f>
        <v>91</v>
      </c>
    </row>
    <row r="38" spans="1:29" ht="15" customHeight="1" x14ac:dyDescent="0.3"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</row>
    <row r="39" spans="1:29" ht="15" customHeight="1" x14ac:dyDescent="0.3"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</row>
    <row r="40" spans="1:29" ht="15" customHeight="1" x14ac:dyDescent="0.3"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</row>
    <row r="41" spans="1:29" ht="15" customHeight="1" x14ac:dyDescent="0.3"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</row>
    <row r="42" spans="1:29" ht="15" customHeight="1" x14ac:dyDescent="0.3"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AB42" t="e" cm="1">
        <f t="array" aca="1" ref="AB42" ca="1">SUBSTITUTE(REPLACE(CELL("filename"),1,SEARCH("(",CELL("filename")),""),")","")</f>
        <v>#VALUE!</v>
      </c>
    </row>
    <row r="43" spans="1:29" ht="15" customHeight="1" x14ac:dyDescent="0.3"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</row>
    <row r="44" spans="1:29" ht="285.75" customHeight="1" x14ac:dyDescent="0.3"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AB44" s="18" t="str" cm="1">
        <f t="array" aca="1" ref="AB44" ca="1">"Excel
Magic
Trick
"&amp;SUBSTITUTE(REPLACE(CELL("filename",A1),1,SEARCH("(",CELL("filename",A1)),""),")","")</f>
        <v>Excel
Magic
Trick
1671</v>
      </c>
    </row>
    <row r="45" spans="1:29" ht="15" customHeight="1" x14ac:dyDescent="0.3"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</row>
    <row r="46" spans="1:29" ht="15" customHeight="1" x14ac:dyDescent="0.3"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</row>
    <row r="47" spans="1:29" ht="68.25" customHeight="1" x14ac:dyDescent="0.3"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AC47" s="19" t="s">
        <v>26</v>
      </c>
    </row>
    <row r="48" spans="1:29" ht="15" customHeight="1" x14ac:dyDescent="0.3"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</row>
    <row r="49" spans="5:19" ht="15" customHeight="1" x14ac:dyDescent="0.3"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</row>
    <row r="50" spans="5:19" ht="15" customHeight="1" x14ac:dyDescent="0.3"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</row>
    <row r="51" spans="5:19" ht="15" customHeight="1" x14ac:dyDescent="0.3"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</row>
    <row r="52" spans="5:19" ht="15" customHeight="1" x14ac:dyDescent="0.3"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</row>
    <row r="53" spans="5:19" ht="15" customHeight="1" x14ac:dyDescent="0.3"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</row>
    <row r="54" spans="5:19" ht="15" customHeight="1" x14ac:dyDescent="0.3"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</row>
    <row r="55" spans="5:19" ht="15" customHeight="1" x14ac:dyDescent="0.3"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</row>
    <row r="56" spans="5:19" ht="15" customHeight="1" x14ac:dyDescent="0.3"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</row>
    <row r="57" spans="5:19" ht="15" customHeight="1" x14ac:dyDescent="0.3"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</row>
    <row r="58" spans="5:19" ht="15" customHeight="1" x14ac:dyDescent="0.3"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</row>
    <row r="59" spans="5:19" ht="15" customHeight="1" x14ac:dyDescent="0.3"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</row>
    <row r="79" spans="28:28" ht="54" x14ac:dyDescent="0.9">
      <c r="AB79" s="20" t="s">
        <v>10</v>
      </c>
    </row>
    <row r="85" spans="28:28" ht="39" x14ac:dyDescent="0.65">
      <c r="AB85" s="21" t="s">
        <v>27</v>
      </c>
    </row>
    <row r="142" spans="5:19" ht="17.25" thickBot="1" x14ac:dyDescent="0.35"/>
    <row r="143" spans="5:19" ht="15.75" customHeight="1" thickTop="1" x14ac:dyDescent="0.3">
      <c r="E143" s="29" t="s">
        <v>28</v>
      </c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1"/>
    </row>
    <row r="144" spans="5:19" ht="15" customHeight="1" x14ac:dyDescent="0.3">
      <c r="E144" s="32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4"/>
    </row>
    <row r="145" spans="5:19" ht="15" customHeight="1" x14ac:dyDescent="0.3">
      <c r="E145" s="32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4"/>
    </row>
    <row r="146" spans="5:19" ht="15" customHeight="1" x14ac:dyDescent="0.3">
      <c r="E146" s="32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4"/>
    </row>
    <row r="147" spans="5:19" ht="15" customHeight="1" x14ac:dyDescent="0.3">
      <c r="E147" s="32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4"/>
    </row>
    <row r="148" spans="5:19" ht="15" customHeight="1" x14ac:dyDescent="0.3">
      <c r="E148" s="32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4"/>
    </row>
    <row r="149" spans="5:19" ht="15" customHeight="1" x14ac:dyDescent="0.3">
      <c r="E149" s="32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4"/>
    </row>
    <row r="150" spans="5:19" ht="15" customHeight="1" x14ac:dyDescent="0.3">
      <c r="E150" s="32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4"/>
    </row>
    <row r="151" spans="5:19" ht="15" customHeight="1" x14ac:dyDescent="0.3">
      <c r="E151" s="32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4"/>
    </row>
    <row r="152" spans="5:19" ht="15" customHeight="1" x14ac:dyDescent="0.3">
      <c r="E152" s="32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4"/>
    </row>
    <row r="153" spans="5:19" ht="15" customHeight="1" x14ac:dyDescent="0.3">
      <c r="E153" s="32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4"/>
    </row>
    <row r="154" spans="5:19" ht="15" customHeight="1" x14ac:dyDescent="0.3">
      <c r="E154" s="32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4"/>
    </row>
    <row r="155" spans="5:19" ht="15" customHeight="1" x14ac:dyDescent="0.3">
      <c r="E155" s="32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4"/>
    </row>
    <row r="156" spans="5:19" ht="15" customHeight="1" x14ac:dyDescent="0.3">
      <c r="E156" s="32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4"/>
    </row>
    <row r="157" spans="5:19" ht="15" customHeight="1" x14ac:dyDescent="0.3">
      <c r="E157" s="32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4"/>
    </row>
    <row r="158" spans="5:19" ht="15" customHeight="1" x14ac:dyDescent="0.3">
      <c r="E158" s="32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4"/>
    </row>
    <row r="159" spans="5:19" ht="15" customHeight="1" x14ac:dyDescent="0.3">
      <c r="E159" s="32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4"/>
    </row>
    <row r="160" spans="5:19" ht="15" customHeight="1" x14ac:dyDescent="0.3">
      <c r="E160" s="32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4"/>
    </row>
    <row r="161" spans="5:19" ht="15" customHeight="1" x14ac:dyDescent="0.3">
      <c r="E161" s="32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4"/>
    </row>
    <row r="162" spans="5:19" ht="15" customHeight="1" x14ac:dyDescent="0.3">
      <c r="E162" s="32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4"/>
    </row>
    <row r="163" spans="5:19" ht="15" customHeight="1" x14ac:dyDescent="0.3">
      <c r="E163" s="32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4"/>
    </row>
    <row r="164" spans="5:19" ht="15" customHeight="1" x14ac:dyDescent="0.3">
      <c r="E164" s="32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4"/>
    </row>
    <row r="165" spans="5:19" ht="15" customHeight="1" x14ac:dyDescent="0.3">
      <c r="E165" s="32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4"/>
    </row>
    <row r="166" spans="5:19" ht="15.75" customHeight="1" thickBot="1" x14ac:dyDescent="0.35">
      <c r="E166" s="35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7"/>
    </row>
    <row r="167" spans="5:19" ht="17.25" thickTop="1" x14ac:dyDescent="0.3"/>
  </sheetData>
  <mergeCells count="3">
    <mergeCell ref="B2:V32"/>
    <mergeCell ref="E36:S59"/>
    <mergeCell ref="E143:S166"/>
  </mergeCells>
  <phoneticPr fontId="17" type="noConversion"/>
  <pageMargins left="0.7" right="0.7" top="0.75" bottom="0.75" header="0.3" footer="0.3"/>
  <pageSetup orientation="portrait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2E47C-378D-4B0B-8125-7D1EC187C633}">
  <sheetPr codeName="Sheet4">
    <tabColor rgb="FFFFFF00"/>
  </sheetPr>
  <dimension ref="A1:AC167"/>
  <sheetViews>
    <sheetView showGridLines="0" zoomScale="85" zoomScaleNormal="85" workbookViewId="0">
      <selection activeCell="Z32" sqref="Z32"/>
    </sheetView>
  </sheetViews>
  <sheetFormatPr defaultRowHeight="16.5" x14ac:dyDescent="0.3"/>
  <cols>
    <col min="1" max="1" width="12.375" customWidth="1"/>
    <col min="2" max="2" width="4.875" customWidth="1"/>
    <col min="3" max="4" width="3.375" customWidth="1"/>
    <col min="20" max="21" width="3.375" customWidth="1"/>
    <col min="22" max="22" width="4.875" customWidth="1"/>
    <col min="23" max="23" width="16.875" customWidth="1"/>
    <col min="28" max="28" width="25.375" customWidth="1"/>
    <col min="29" max="29" width="56.75" customWidth="1"/>
    <col min="32" max="32" width="3.25" customWidth="1"/>
  </cols>
  <sheetData>
    <row r="1" spans="1:23" ht="45" customHeight="1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</row>
    <row r="2" spans="1:23" ht="15" customHeight="1" x14ac:dyDescent="0.3">
      <c r="A2" s="22"/>
      <c r="B2" s="27" t="s">
        <v>29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2"/>
    </row>
    <row r="3" spans="1:23" ht="15" customHeight="1" x14ac:dyDescent="0.3">
      <c r="A3" s="22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2"/>
    </row>
    <row r="4" spans="1:23" ht="15" customHeight="1" x14ac:dyDescent="0.3">
      <c r="A4" s="22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2"/>
    </row>
    <row r="5" spans="1:23" ht="15" customHeight="1" x14ac:dyDescent="0.3">
      <c r="A5" s="22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2"/>
    </row>
    <row r="6" spans="1:23" ht="15" customHeight="1" x14ac:dyDescent="0.3">
      <c r="A6" s="22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2"/>
    </row>
    <row r="7" spans="1:23" ht="15" customHeight="1" x14ac:dyDescent="0.3">
      <c r="A7" s="22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2"/>
    </row>
    <row r="8" spans="1:23" ht="15" customHeight="1" x14ac:dyDescent="0.3">
      <c r="A8" s="22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2"/>
    </row>
    <row r="9" spans="1:23" ht="15" customHeight="1" x14ac:dyDescent="0.3">
      <c r="A9" s="22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2"/>
    </row>
    <row r="10" spans="1:23" ht="15" customHeight="1" x14ac:dyDescent="0.3">
      <c r="A10" s="22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2"/>
    </row>
    <row r="11" spans="1:23" ht="15" customHeight="1" x14ac:dyDescent="0.3">
      <c r="A11" s="22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2"/>
    </row>
    <row r="12" spans="1:23" ht="15" customHeight="1" x14ac:dyDescent="0.3">
      <c r="A12" s="22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2"/>
    </row>
    <row r="13" spans="1:23" ht="15" customHeight="1" x14ac:dyDescent="0.3">
      <c r="A13" s="22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2"/>
    </row>
    <row r="14" spans="1:23" ht="15" customHeight="1" x14ac:dyDescent="0.3">
      <c r="A14" s="22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2"/>
    </row>
    <row r="15" spans="1:23" ht="15" customHeight="1" x14ac:dyDescent="0.3">
      <c r="A15" s="22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2"/>
    </row>
    <row r="16" spans="1:23" ht="15" customHeight="1" x14ac:dyDescent="0.3">
      <c r="A16" s="22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2"/>
    </row>
    <row r="17" spans="1:23" ht="15" customHeight="1" x14ac:dyDescent="0.3">
      <c r="A17" s="22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2"/>
    </row>
    <row r="18" spans="1:23" ht="15" customHeight="1" x14ac:dyDescent="0.3">
      <c r="A18" s="22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2"/>
    </row>
    <row r="19" spans="1:23" ht="15" customHeight="1" x14ac:dyDescent="0.3">
      <c r="A19" s="22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2"/>
    </row>
    <row r="20" spans="1:23" ht="15" customHeight="1" x14ac:dyDescent="0.3">
      <c r="A20" s="22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2"/>
    </row>
    <row r="21" spans="1:23" ht="15" customHeight="1" x14ac:dyDescent="0.3">
      <c r="A21" s="22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2"/>
    </row>
    <row r="22" spans="1:23" ht="15" customHeight="1" x14ac:dyDescent="0.3">
      <c r="A22" s="22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2"/>
    </row>
    <row r="23" spans="1:23" ht="15" customHeight="1" x14ac:dyDescent="0.3">
      <c r="A23" s="22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2"/>
    </row>
    <row r="24" spans="1:23" ht="15" customHeight="1" x14ac:dyDescent="0.3">
      <c r="A24" s="22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2"/>
    </row>
    <row r="25" spans="1:23" ht="15" customHeight="1" x14ac:dyDescent="0.3">
      <c r="A25" s="22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2"/>
    </row>
    <row r="26" spans="1:23" ht="15" customHeight="1" x14ac:dyDescent="0.3">
      <c r="A26" s="22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2"/>
    </row>
    <row r="27" spans="1:23" ht="15" customHeight="1" x14ac:dyDescent="0.3">
      <c r="A27" s="22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2"/>
    </row>
    <row r="28" spans="1:23" ht="15" customHeight="1" x14ac:dyDescent="0.3">
      <c r="A28" s="22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2"/>
    </row>
    <row r="29" spans="1:23" ht="15" customHeight="1" x14ac:dyDescent="0.3">
      <c r="A29" s="22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2"/>
    </row>
    <row r="30" spans="1:23" ht="15" customHeight="1" x14ac:dyDescent="0.3">
      <c r="A30" s="22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2"/>
    </row>
    <row r="31" spans="1:23" ht="15" customHeight="1" x14ac:dyDescent="0.3">
      <c r="A31" s="22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2"/>
    </row>
    <row r="32" spans="1:23" ht="15" customHeight="1" x14ac:dyDescent="0.3">
      <c r="A32" s="22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2"/>
    </row>
    <row r="33" spans="1:29" ht="39" x14ac:dyDescent="0.65">
      <c r="A33" s="22"/>
      <c r="B33" s="23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</row>
    <row r="34" spans="1:29" ht="18.75" customHeight="1" x14ac:dyDescent="0.3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</row>
    <row r="36" spans="1:29" ht="15" customHeight="1" x14ac:dyDescent="0.3">
      <c r="E36" s="28" t="s">
        <v>27</v>
      </c>
      <c r="F36" s="28"/>
      <c r="G36" s="28"/>
      <c r="H36" s="28"/>
      <c r="I36" s="28"/>
      <c r="J36" s="28"/>
      <c r="K36" s="28"/>
      <c r="L36" s="28"/>
      <c r="M36" s="28"/>
      <c r="N36" s="28"/>
      <c r="O36" s="28"/>
      <c r="P36" s="28"/>
      <c r="Q36" s="28"/>
      <c r="R36" s="28"/>
      <c r="S36" s="28"/>
      <c r="AA36" s="17" t="s">
        <v>25</v>
      </c>
    </row>
    <row r="37" spans="1:29" ht="15" customHeight="1" x14ac:dyDescent="0.3">
      <c r="E37" s="28"/>
      <c r="F37" s="28"/>
      <c r="G37" s="28"/>
      <c r="H37" s="28"/>
      <c r="I37" s="28"/>
      <c r="J37" s="28"/>
      <c r="K37" s="28"/>
      <c r="L37" s="28"/>
      <c r="M37" s="28"/>
      <c r="N37" s="28"/>
      <c r="O37" s="28"/>
      <c r="P37" s="28"/>
      <c r="Q37" s="28"/>
      <c r="R37" s="28"/>
      <c r="S37" s="28"/>
      <c r="AA37">
        <f>LEN(AA36)</f>
        <v>91</v>
      </c>
    </row>
    <row r="38" spans="1:29" ht="15" customHeight="1" x14ac:dyDescent="0.3">
      <c r="E38" s="28"/>
      <c r="F38" s="28"/>
      <c r="G38" s="28"/>
      <c r="H38" s="28"/>
      <c r="I38" s="28"/>
      <c r="J38" s="28"/>
      <c r="K38" s="28"/>
      <c r="L38" s="28"/>
      <c r="M38" s="28"/>
      <c r="N38" s="28"/>
      <c r="O38" s="28"/>
      <c r="P38" s="28"/>
      <c r="Q38" s="28"/>
      <c r="R38" s="28"/>
      <c r="S38" s="28"/>
    </row>
    <row r="39" spans="1:29" ht="15" customHeight="1" x14ac:dyDescent="0.3">
      <c r="E39" s="28"/>
      <c r="F39" s="28"/>
      <c r="G39" s="28"/>
      <c r="H39" s="28"/>
      <c r="I39" s="28"/>
      <c r="J39" s="28"/>
      <c r="K39" s="28"/>
      <c r="L39" s="28"/>
      <c r="M39" s="28"/>
      <c r="N39" s="28"/>
      <c r="O39" s="28"/>
      <c r="P39" s="28"/>
      <c r="Q39" s="28"/>
      <c r="R39" s="28"/>
      <c r="S39" s="28"/>
    </row>
    <row r="40" spans="1:29" ht="15" customHeight="1" x14ac:dyDescent="0.3">
      <c r="E40" s="28"/>
      <c r="F40" s="28"/>
      <c r="G40" s="28"/>
      <c r="H40" s="28"/>
      <c r="I40" s="28"/>
      <c r="J40" s="28"/>
      <c r="K40" s="28"/>
      <c r="L40" s="28"/>
      <c r="M40" s="28"/>
      <c r="N40" s="28"/>
      <c r="O40" s="28"/>
      <c r="P40" s="28"/>
      <c r="Q40" s="28"/>
      <c r="R40" s="28"/>
      <c r="S40" s="28"/>
    </row>
    <row r="41" spans="1:29" ht="15" customHeight="1" x14ac:dyDescent="0.3">
      <c r="E41" s="28"/>
      <c r="F41" s="28"/>
      <c r="G41" s="28"/>
      <c r="H41" s="28"/>
      <c r="I41" s="28"/>
      <c r="J41" s="28"/>
      <c r="K41" s="28"/>
      <c r="L41" s="28"/>
      <c r="M41" s="28"/>
      <c r="N41" s="28"/>
      <c r="O41" s="28"/>
      <c r="P41" s="28"/>
      <c r="Q41" s="28"/>
      <c r="R41" s="28"/>
      <c r="S41" s="28"/>
    </row>
    <row r="42" spans="1:29" ht="15" customHeight="1" x14ac:dyDescent="0.3">
      <c r="E42" s="28"/>
      <c r="F42" s="28"/>
      <c r="G42" s="28"/>
      <c r="H42" s="28"/>
      <c r="I42" s="28"/>
      <c r="J42" s="28"/>
      <c r="K42" s="28"/>
      <c r="L42" s="28"/>
      <c r="M42" s="28"/>
      <c r="N42" s="28"/>
      <c r="O42" s="28"/>
      <c r="P42" s="28"/>
      <c r="Q42" s="28"/>
      <c r="R42" s="28"/>
      <c r="S42" s="28"/>
      <c r="AB42" t="e" cm="1">
        <f t="array" aca="1" ref="AB42" ca="1">SUBSTITUTE(REPLACE(CELL("filename"),1,SEARCH("(",CELL("filename")),""),")","")</f>
        <v>#VALUE!</v>
      </c>
    </row>
    <row r="43" spans="1:29" ht="15" customHeight="1" x14ac:dyDescent="0.3">
      <c r="E43" s="28"/>
      <c r="F43" s="28"/>
      <c r="G43" s="28"/>
      <c r="H43" s="28"/>
      <c r="I43" s="28"/>
      <c r="J43" s="28"/>
      <c r="K43" s="28"/>
      <c r="L43" s="28"/>
      <c r="M43" s="28"/>
      <c r="N43" s="28"/>
      <c r="O43" s="28"/>
      <c r="P43" s="28"/>
      <c r="Q43" s="28"/>
      <c r="R43" s="28"/>
      <c r="S43" s="28"/>
    </row>
    <row r="44" spans="1:29" ht="285.75" customHeight="1" x14ac:dyDescent="0.3">
      <c r="E44" s="28"/>
      <c r="F44" s="28"/>
      <c r="G44" s="28"/>
      <c r="H44" s="28"/>
      <c r="I44" s="28"/>
      <c r="J44" s="28"/>
      <c r="K44" s="28"/>
      <c r="L44" s="28"/>
      <c r="M44" s="28"/>
      <c r="N44" s="28"/>
      <c r="O44" s="28"/>
      <c r="P44" s="28"/>
      <c r="Q44" s="28"/>
      <c r="R44" s="28"/>
      <c r="S44" s="28"/>
      <c r="AB44" s="18" t="str" cm="1">
        <f t="array" aca="1" ref="AB44" ca="1">"Excel
Magic
Trick
"&amp;SUBSTITUTE(REPLACE(CELL("filename",A1),1,SEARCH("(",CELL("filename",A1)),""),")","")</f>
        <v>Excel
Magic
Trick
1672</v>
      </c>
    </row>
    <row r="45" spans="1:29" ht="15" customHeight="1" x14ac:dyDescent="0.3">
      <c r="E45" s="28"/>
      <c r="F45" s="28"/>
      <c r="G45" s="28"/>
      <c r="H45" s="28"/>
      <c r="I45" s="28"/>
      <c r="J45" s="28"/>
      <c r="K45" s="28"/>
      <c r="L45" s="28"/>
      <c r="M45" s="28"/>
      <c r="N45" s="28"/>
      <c r="O45" s="28"/>
      <c r="P45" s="28"/>
      <c r="Q45" s="28"/>
      <c r="R45" s="28"/>
      <c r="S45" s="28"/>
    </row>
    <row r="46" spans="1:29" ht="15" customHeight="1" x14ac:dyDescent="0.3">
      <c r="E46" s="28"/>
      <c r="F46" s="28"/>
      <c r="G46" s="28"/>
      <c r="H46" s="28"/>
      <c r="I46" s="28"/>
      <c r="J46" s="28"/>
      <c r="K46" s="28"/>
      <c r="L46" s="28"/>
      <c r="M46" s="28"/>
      <c r="N46" s="28"/>
      <c r="O46" s="28"/>
      <c r="P46" s="28"/>
      <c r="Q46" s="28"/>
      <c r="R46" s="28"/>
      <c r="S46" s="28"/>
    </row>
    <row r="47" spans="1:29" ht="68.25" customHeight="1" x14ac:dyDescent="0.3">
      <c r="E47" s="28"/>
      <c r="F47" s="28"/>
      <c r="G47" s="28"/>
      <c r="H47" s="28"/>
      <c r="I47" s="28"/>
      <c r="J47" s="28"/>
      <c r="K47" s="28"/>
      <c r="L47" s="28"/>
      <c r="M47" s="28"/>
      <c r="N47" s="28"/>
      <c r="O47" s="28"/>
      <c r="P47" s="28"/>
      <c r="Q47" s="28"/>
      <c r="R47" s="28"/>
      <c r="S47" s="28"/>
      <c r="AC47" s="19" t="s">
        <v>26</v>
      </c>
    </row>
    <row r="48" spans="1:29" ht="15" customHeight="1" x14ac:dyDescent="0.3">
      <c r="E48" s="28"/>
      <c r="F48" s="28"/>
      <c r="G48" s="28"/>
      <c r="H48" s="28"/>
      <c r="I48" s="28"/>
      <c r="J48" s="28"/>
      <c r="K48" s="28"/>
      <c r="L48" s="28"/>
      <c r="M48" s="28"/>
      <c r="N48" s="28"/>
      <c r="O48" s="28"/>
      <c r="P48" s="28"/>
      <c r="Q48" s="28"/>
      <c r="R48" s="28"/>
      <c r="S48" s="28"/>
    </row>
    <row r="49" spans="5:19" ht="15" customHeight="1" x14ac:dyDescent="0.3">
      <c r="E49" s="28"/>
      <c r="F49" s="28"/>
      <c r="G49" s="28"/>
      <c r="H49" s="28"/>
      <c r="I49" s="28"/>
      <c r="J49" s="28"/>
      <c r="K49" s="28"/>
      <c r="L49" s="28"/>
      <c r="M49" s="28"/>
      <c r="N49" s="28"/>
      <c r="O49" s="28"/>
      <c r="P49" s="28"/>
      <c r="Q49" s="28"/>
      <c r="R49" s="28"/>
      <c r="S49" s="28"/>
    </row>
    <row r="50" spans="5:19" ht="15" customHeight="1" x14ac:dyDescent="0.3">
      <c r="E50" s="28"/>
      <c r="F50" s="28"/>
      <c r="G50" s="28"/>
      <c r="H50" s="28"/>
      <c r="I50" s="28"/>
      <c r="J50" s="28"/>
      <c r="K50" s="28"/>
      <c r="L50" s="28"/>
      <c r="M50" s="28"/>
      <c r="N50" s="28"/>
      <c r="O50" s="28"/>
      <c r="P50" s="28"/>
      <c r="Q50" s="28"/>
      <c r="R50" s="28"/>
      <c r="S50" s="28"/>
    </row>
    <row r="51" spans="5:19" ht="15" customHeight="1" x14ac:dyDescent="0.3">
      <c r="E51" s="28"/>
      <c r="F51" s="28"/>
      <c r="G51" s="28"/>
      <c r="H51" s="28"/>
      <c r="I51" s="28"/>
      <c r="J51" s="28"/>
      <c r="K51" s="28"/>
      <c r="L51" s="28"/>
      <c r="M51" s="28"/>
      <c r="N51" s="28"/>
      <c r="O51" s="28"/>
      <c r="P51" s="28"/>
      <c r="Q51" s="28"/>
      <c r="R51" s="28"/>
      <c r="S51" s="28"/>
    </row>
    <row r="52" spans="5:19" ht="15" customHeight="1" x14ac:dyDescent="0.3">
      <c r="E52" s="28"/>
      <c r="F52" s="28"/>
      <c r="G52" s="28"/>
      <c r="H52" s="28"/>
      <c r="I52" s="28"/>
      <c r="J52" s="28"/>
      <c r="K52" s="28"/>
      <c r="L52" s="28"/>
      <c r="M52" s="28"/>
      <c r="N52" s="28"/>
      <c r="O52" s="28"/>
      <c r="P52" s="28"/>
      <c r="Q52" s="28"/>
      <c r="R52" s="28"/>
      <c r="S52" s="28"/>
    </row>
    <row r="53" spans="5:19" ht="15" customHeight="1" x14ac:dyDescent="0.3">
      <c r="E53" s="28"/>
      <c r="F53" s="28"/>
      <c r="G53" s="28"/>
      <c r="H53" s="28"/>
      <c r="I53" s="28"/>
      <c r="J53" s="28"/>
      <c r="K53" s="28"/>
      <c r="L53" s="28"/>
      <c r="M53" s="28"/>
      <c r="N53" s="28"/>
      <c r="O53" s="28"/>
      <c r="P53" s="28"/>
      <c r="Q53" s="28"/>
      <c r="R53" s="28"/>
      <c r="S53" s="28"/>
    </row>
    <row r="54" spans="5:19" ht="15" customHeight="1" x14ac:dyDescent="0.3">
      <c r="E54" s="28"/>
      <c r="F54" s="28"/>
      <c r="G54" s="28"/>
      <c r="H54" s="28"/>
      <c r="I54" s="28"/>
      <c r="J54" s="28"/>
      <c r="K54" s="28"/>
      <c r="L54" s="28"/>
      <c r="M54" s="28"/>
      <c r="N54" s="28"/>
      <c r="O54" s="28"/>
      <c r="P54" s="28"/>
      <c r="Q54" s="28"/>
      <c r="R54" s="28"/>
      <c r="S54" s="28"/>
    </row>
    <row r="55" spans="5:19" ht="15" customHeight="1" x14ac:dyDescent="0.3">
      <c r="E55" s="28"/>
      <c r="F55" s="28"/>
      <c r="G55" s="28"/>
      <c r="H55" s="28"/>
      <c r="I55" s="28"/>
      <c r="J55" s="28"/>
      <c r="K55" s="28"/>
      <c r="L55" s="28"/>
      <c r="M55" s="28"/>
      <c r="N55" s="28"/>
      <c r="O55" s="28"/>
      <c r="P55" s="28"/>
      <c r="Q55" s="28"/>
      <c r="R55" s="28"/>
      <c r="S55" s="28"/>
    </row>
    <row r="56" spans="5:19" ht="15" customHeight="1" x14ac:dyDescent="0.3">
      <c r="E56" s="28"/>
      <c r="F56" s="28"/>
      <c r="G56" s="28"/>
      <c r="H56" s="28"/>
      <c r="I56" s="28"/>
      <c r="J56" s="28"/>
      <c r="K56" s="28"/>
      <c r="L56" s="28"/>
      <c r="M56" s="28"/>
      <c r="N56" s="28"/>
      <c r="O56" s="28"/>
      <c r="P56" s="28"/>
      <c r="Q56" s="28"/>
      <c r="R56" s="28"/>
      <c r="S56" s="28"/>
    </row>
    <row r="57" spans="5:19" ht="15" customHeight="1" x14ac:dyDescent="0.3">
      <c r="E57" s="28"/>
      <c r="F57" s="28"/>
      <c r="G57" s="28"/>
      <c r="H57" s="28"/>
      <c r="I57" s="28"/>
      <c r="J57" s="28"/>
      <c r="K57" s="28"/>
      <c r="L57" s="28"/>
      <c r="M57" s="28"/>
      <c r="N57" s="28"/>
      <c r="O57" s="28"/>
      <c r="P57" s="28"/>
      <c r="Q57" s="28"/>
      <c r="R57" s="28"/>
      <c r="S57" s="28"/>
    </row>
    <row r="58" spans="5:19" ht="15" customHeight="1" x14ac:dyDescent="0.3">
      <c r="E58" s="28"/>
      <c r="F58" s="28"/>
      <c r="G58" s="28"/>
      <c r="H58" s="28"/>
      <c r="I58" s="28"/>
      <c r="J58" s="28"/>
      <c r="K58" s="28"/>
      <c r="L58" s="28"/>
      <c r="M58" s="28"/>
      <c r="N58" s="28"/>
      <c r="O58" s="28"/>
      <c r="P58" s="28"/>
      <c r="Q58" s="28"/>
      <c r="R58" s="28"/>
      <c r="S58" s="28"/>
    </row>
    <row r="59" spans="5:19" ht="15" customHeight="1" x14ac:dyDescent="0.3">
      <c r="E59" s="28"/>
      <c r="F59" s="28"/>
      <c r="G59" s="28"/>
      <c r="H59" s="28"/>
      <c r="I59" s="28"/>
      <c r="J59" s="28"/>
      <c r="K59" s="28"/>
      <c r="L59" s="28"/>
      <c r="M59" s="28"/>
      <c r="N59" s="28"/>
      <c r="O59" s="28"/>
      <c r="P59" s="28"/>
      <c r="Q59" s="28"/>
      <c r="R59" s="28"/>
      <c r="S59" s="28"/>
    </row>
    <row r="79" spans="28:28" ht="54" x14ac:dyDescent="0.9">
      <c r="AB79" s="20" t="s">
        <v>10</v>
      </c>
    </row>
    <row r="85" spans="28:28" ht="39" x14ac:dyDescent="0.65">
      <c r="AB85" s="21" t="s">
        <v>27</v>
      </c>
    </row>
    <row r="142" spans="5:19" ht="17.25" thickBot="1" x14ac:dyDescent="0.35"/>
    <row r="143" spans="5:19" ht="15.75" customHeight="1" thickTop="1" x14ac:dyDescent="0.3">
      <c r="E143" s="29" t="s">
        <v>28</v>
      </c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1"/>
    </row>
    <row r="144" spans="5:19" ht="15" customHeight="1" x14ac:dyDescent="0.3">
      <c r="E144" s="32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4"/>
    </row>
    <row r="145" spans="5:19" ht="15" customHeight="1" x14ac:dyDescent="0.3">
      <c r="E145" s="32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4"/>
    </row>
    <row r="146" spans="5:19" ht="15" customHeight="1" x14ac:dyDescent="0.3">
      <c r="E146" s="32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4"/>
    </row>
    <row r="147" spans="5:19" ht="15" customHeight="1" x14ac:dyDescent="0.3">
      <c r="E147" s="32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4"/>
    </row>
    <row r="148" spans="5:19" ht="15" customHeight="1" x14ac:dyDescent="0.3">
      <c r="E148" s="32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4"/>
    </row>
    <row r="149" spans="5:19" ht="15" customHeight="1" x14ac:dyDescent="0.3">
      <c r="E149" s="32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4"/>
    </row>
    <row r="150" spans="5:19" ht="15" customHeight="1" x14ac:dyDescent="0.3">
      <c r="E150" s="32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4"/>
    </row>
    <row r="151" spans="5:19" ht="15" customHeight="1" x14ac:dyDescent="0.3">
      <c r="E151" s="32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4"/>
    </row>
    <row r="152" spans="5:19" ht="15" customHeight="1" x14ac:dyDescent="0.3">
      <c r="E152" s="32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4"/>
    </row>
    <row r="153" spans="5:19" ht="15" customHeight="1" x14ac:dyDescent="0.3">
      <c r="E153" s="32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4"/>
    </row>
    <row r="154" spans="5:19" ht="15" customHeight="1" x14ac:dyDescent="0.3">
      <c r="E154" s="32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4"/>
    </row>
    <row r="155" spans="5:19" ht="15" customHeight="1" x14ac:dyDescent="0.3">
      <c r="E155" s="32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4"/>
    </row>
    <row r="156" spans="5:19" ht="15" customHeight="1" x14ac:dyDescent="0.3">
      <c r="E156" s="32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4"/>
    </row>
    <row r="157" spans="5:19" ht="15" customHeight="1" x14ac:dyDescent="0.3">
      <c r="E157" s="32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4"/>
    </row>
    <row r="158" spans="5:19" ht="15" customHeight="1" x14ac:dyDescent="0.3">
      <c r="E158" s="32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4"/>
    </row>
    <row r="159" spans="5:19" ht="15" customHeight="1" x14ac:dyDescent="0.3">
      <c r="E159" s="32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4"/>
    </row>
    <row r="160" spans="5:19" ht="15" customHeight="1" x14ac:dyDescent="0.3">
      <c r="E160" s="32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4"/>
    </row>
    <row r="161" spans="5:19" ht="15" customHeight="1" x14ac:dyDescent="0.3">
      <c r="E161" s="32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4"/>
    </row>
    <row r="162" spans="5:19" ht="15" customHeight="1" x14ac:dyDescent="0.3">
      <c r="E162" s="32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4"/>
    </row>
    <row r="163" spans="5:19" ht="15" customHeight="1" x14ac:dyDescent="0.3">
      <c r="E163" s="32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4"/>
    </row>
    <row r="164" spans="5:19" ht="15" customHeight="1" x14ac:dyDescent="0.3">
      <c r="E164" s="32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4"/>
    </row>
    <row r="165" spans="5:19" ht="15" customHeight="1" x14ac:dyDescent="0.3">
      <c r="E165" s="32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4"/>
    </row>
    <row r="166" spans="5:19" ht="15.75" customHeight="1" thickBot="1" x14ac:dyDescent="0.35">
      <c r="E166" s="35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7"/>
    </row>
    <row r="167" spans="5:19" ht="17.25" thickTop="1" x14ac:dyDescent="0.3"/>
  </sheetData>
  <mergeCells count="3">
    <mergeCell ref="B2:V32"/>
    <mergeCell ref="E36:S59"/>
    <mergeCell ref="E143:S166"/>
  </mergeCells>
  <phoneticPr fontId="17" type="noConversion"/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63E8E-3D69-4ABE-B782-2CF88AC9B43A}">
  <sheetPr codeName="Sheet5">
    <tabColor rgb="FFFFFF00"/>
  </sheetPr>
  <dimension ref="A1:AC167"/>
  <sheetViews>
    <sheetView showGridLines="0" zoomScale="85" zoomScaleNormal="85" workbookViewId="0">
      <selection activeCell="X37" sqref="X37"/>
    </sheetView>
  </sheetViews>
  <sheetFormatPr defaultRowHeight="16.5" x14ac:dyDescent="0.3"/>
  <cols>
    <col min="1" max="1" width="12.375" customWidth="1"/>
    <col min="2" max="2" width="4.875" customWidth="1"/>
    <col min="3" max="4" width="3.375" customWidth="1"/>
    <col min="20" max="21" width="3.375" customWidth="1"/>
    <col min="22" max="22" width="4.875" customWidth="1"/>
    <col min="23" max="23" width="16.875" customWidth="1"/>
    <col min="28" max="28" width="25.375" customWidth="1"/>
    <col min="29" max="29" width="56.75" customWidth="1"/>
    <col min="32" max="32" width="3.25" customWidth="1"/>
  </cols>
  <sheetData>
    <row r="1" spans="1:23" ht="45" customHeight="1" x14ac:dyDescent="0.3">
      <c r="A1" s="22"/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2"/>
      <c r="U1" s="22"/>
      <c r="V1" s="22"/>
      <c r="W1" s="22"/>
    </row>
    <row r="2" spans="1:23" ht="15" customHeight="1" x14ac:dyDescent="0.3">
      <c r="A2" s="22"/>
      <c r="B2" s="27" t="s">
        <v>29</v>
      </c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2"/>
    </row>
    <row r="3" spans="1:23" ht="15" customHeight="1" x14ac:dyDescent="0.3">
      <c r="A3" s="22"/>
      <c r="B3" s="27"/>
      <c r="C3" s="27"/>
      <c r="D3" s="27"/>
      <c r="E3" s="27"/>
      <c r="F3" s="27"/>
      <c r="G3" s="27"/>
      <c r="H3" s="27"/>
      <c r="I3" s="27"/>
      <c r="J3" s="27"/>
      <c r="K3" s="27"/>
      <c r="L3" s="27"/>
      <c r="M3" s="27"/>
      <c r="N3" s="27"/>
      <c r="O3" s="27"/>
      <c r="P3" s="27"/>
      <c r="Q3" s="27"/>
      <c r="R3" s="27"/>
      <c r="S3" s="27"/>
      <c r="T3" s="27"/>
      <c r="U3" s="27"/>
      <c r="V3" s="27"/>
      <c r="W3" s="22"/>
    </row>
    <row r="4" spans="1:23" ht="15" customHeight="1" x14ac:dyDescent="0.3">
      <c r="A4" s="22"/>
      <c r="B4" s="27"/>
      <c r="C4" s="27"/>
      <c r="D4" s="27"/>
      <c r="E4" s="27"/>
      <c r="F4" s="27"/>
      <c r="G4" s="27"/>
      <c r="H4" s="27"/>
      <c r="I4" s="27"/>
      <c r="J4" s="27"/>
      <c r="K4" s="27"/>
      <c r="L4" s="27"/>
      <c r="M4" s="27"/>
      <c r="N4" s="27"/>
      <c r="O4" s="27"/>
      <c r="P4" s="27"/>
      <c r="Q4" s="27"/>
      <c r="R4" s="27"/>
      <c r="S4" s="27"/>
      <c r="T4" s="27"/>
      <c r="U4" s="27"/>
      <c r="V4" s="27"/>
      <c r="W4" s="22"/>
    </row>
    <row r="5" spans="1:23" ht="15" customHeight="1" x14ac:dyDescent="0.3">
      <c r="A5" s="22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2"/>
    </row>
    <row r="6" spans="1:23" ht="15" customHeight="1" x14ac:dyDescent="0.3">
      <c r="A6" s="22"/>
      <c r="B6" s="27"/>
      <c r="C6" s="27"/>
      <c r="D6" s="27"/>
      <c r="E6" s="27"/>
      <c r="F6" s="27"/>
      <c r="G6" s="27"/>
      <c r="H6" s="27"/>
      <c r="I6" s="27"/>
      <c r="J6" s="27"/>
      <c r="K6" s="27"/>
      <c r="L6" s="27"/>
      <c r="M6" s="27"/>
      <c r="N6" s="27"/>
      <c r="O6" s="27"/>
      <c r="P6" s="27"/>
      <c r="Q6" s="27"/>
      <c r="R6" s="27"/>
      <c r="S6" s="27"/>
      <c r="T6" s="27"/>
      <c r="U6" s="27"/>
      <c r="V6" s="27"/>
      <c r="W6" s="22"/>
    </row>
    <row r="7" spans="1:23" ht="15" customHeight="1" x14ac:dyDescent="0.3">
      <c r="A7" s="22"/>
      <c r="B7" s="27"/>
      <c r="C7" s="27"/>
      <c r="D7" s="27"/>
      <c r="E7" s="27"/>
      <c r="F7" s="27"/>
      <c r="G7" s="27"/>
      <c r="H7" s="27"/>
      <c r="I7" s="27"/>
      <c r="J7" s="27"/>
      <c r="K7" s="27"/>
      <c r="L7" s="27"/>
      <c r="M7" s="27"/>
      <c r="N7" s="27"/>
      <c r="O7" s="27"/>
      <c r="P7" s="27"/>
      <c r="Q7" s="27"/>
      <c r="R7" s="27"/>
      <c r="S7" s="27"/>
      <c r="T7" s="27"/>
      <c r="U7" s="27"/>
      <c r="V7" s="27"/>
      <c r="W7" s="22"/>
    </row>
    <row r="8" spans="1:23" ht="15" customHeight="1" x14ac:dyDescent="0.3">
      <c r="A8" s="22"/>
      <c r="B8" s="27"/>
      <c r="C8" s="27"/>
      <c r="D8" s="27"/>
      <c r="E8" s="27"/>
      <c r="F8" s="27"/>
      <c r="G8" s="27"/>
      <c r="H8" s="27"/>
      <c r="I8" s="27"/>
      <c r="J8" s="27"/>
      <c r="K8" s="27"/>
      <c r="L8" s="27"/>
      <c r="M8" s="27"/>
      <c r="N8" s="27"/>
      <c r="O8" s="27"/>
      <c r="P8" s="27"/>
      <c r="Q8" s="27"/>
      <c r="R8" s="27"/>
      <c r="S8" s="27"/>
      <c r="T8" s="27"/>
      <c r="U8" s="27"/>
      <c r="V8" s="27"/>
      <c r="W8" s="22"/>
    </row>
    <row r="9" spans="1:23" ht="15" customHeight="1" x14ac:dyDescent="0.3">
      <c r="A9" s="22"/>
      <c r="B9" s="27"/>
      <c r="C9" s="27"/>
      <c r="D9" s="27"/>
      <c r="E9" s="27"/>
      <c r="F9" s="27"/>
      <c r="G9" s="27"/>
      <c r="H9" s="27"/>
      <c r="I9" s="27"/>
      <c r="J9" s="27"/>
      <c r="K9" s="27"/>
      <c r="L9" s="27"/>
      <c r="M9" s="27"/>
      <c r="N9" s="27"/>
      <c r="O9" s="27"/>
      <c r="P9" s="27"/>
      <c r="Q9" s="27"/>
      <c r="R9" s="27"/>
      <c r="S9" s="27"/>
      <c r="T9" s="27"/>
      <c r="U9" s="27"/>
      <c r="V9" s="27"/>
      <c r="W9" s="22"/>
    </row>
    <row r="10" spans="1:23" ht="15" customHeight="1" x14ac:dyDescent="0.3">
      <c r="A10" s="22"/>
      <c r="B10" s="27"/>
      <c r="C10" s="27"/>
      <c r="D10" s="27"/>
      <c r="E10" s="27"/>
      <c r="F10" s="27"/>
      <c r="G10" s="27"/>
      <c r="H10" s="27"/>
      <c r="I10" s="27"/>
      <c r="J10" s="27"/>
      <c r="K10" s="27"/>
      <c r="L10" s="27"/>
      <c r="M10" s="27"/>
      <c r="N10" s="27"/>
      <c r="O10" s="27"/>
      <c r="P10" s="27"/>
      <c r="Q10" s="27"/>
      <c r="R10" s="27"/>
      <c r="S10" s="27"/>
      <c r="T10" s="27"/>
      <c r="U10" s="27"/>
      <c r="V10" s="27"/>
      <c r="W10" s="22"/>
    </row>
    <row r="11" spans="1:23" ht="15" customHeight="1" x14ac:dyDescent="0.3">
      <c r="A11" s="22"/>
      <c r="B11" s="27"/>
      <c r="C11" s="27"/>
      <c r="D11" s="27"/>
      <c r="E11" s="27"/>
      <c r="F11" s="27"/>
      <c r="G11" s="27"/>
      <c r="H11" s="27"/>
      <c r="I11" s="27"/>
      <c r="J11" s="27"/>
      <c r="K11" s="27"/>
      <c r="L11" s="27"/>
      <c r="M11" s="27"/>
      <c r="N11" s="27"/>
      <c r="O11" s="27"/>
      <c r="P11" s="27"/>
      <c r="Q11" s="27"/>
      <c r="R11" s="27"/>
      <c r="S11" s="27"/>
      <c r="T11" s="27"/>
      <c r="U11" s="27"/>
      <c r="V11" s="27"/>
      <c r="W11" s="22"/>
    </row>
    <row r="12" spans="1:23" ht="15" customHeight="1" x14ac:dyDescent="0.3">
      <c r="A12" s="22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2"/>
    </row>
    <row r="13" spans="1:23" ht="15" customHeight="1" x14ac:dyDescent="0.3">
      <c r="A13" s="22"/>
      <c r="B13" s="27"/>
      <c r="C13" s="27"/>
      <c r="D13" s="27"/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2"/>
    </row>
    <row r="14" spans="1:23" ht="15" customHeight="1" x14ac:dyDescent="0.3">
      <c r="A14" s="22"/>
      <c r="B14" s="27"/>
      <c r="C14" s="27"/>
      <c r="D14" s="27"/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2"/>
    </row>
    <row r="15" spans="1:23" ht="15" customHeight="1" x14ac:dyDescent="0.3">
      <c r="A15" s="22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2"/>
    </row>
    <row r="16" spans="1:23" ht="15" customHeight="1" x14ac:dyDescent="0.3">
      <c r="A16" s="22"/>
      <c r="B16" s="27"/>
      <c r="C16" s="27"/>
      <c r="D16" s="27"/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2"/>
    </row>
    <row r="17" spans="1:23" ht="15" customHeight="1" x14ac:dyDescent="0.3">
      <c r="A17" s="22"/>
      <c r="B17" s="27"/>
      <c r="C17" s="27"/>
      <c r="D17" s="27"/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2"/>
    </row>
    <row r="18" spans="1:23" ht="15" customHeight="1" x14ac:dyDescent="0.3">
      <c r="A18" s="22"/>
      <c r="B18" s="27"/>
      <c r="C18" s="27"/>
      <c r="D18" s="27"/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2"/>
    </row>
    <row r="19" spans="1:23" ht="15" customHeight="1" x14ac:dyDescent="0.3">
      <c r="A19" s="22"/>
      <c r="B19" s="27"/>
      <c r="C19" s="27"/>
      <c r="D19" s="27"/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2"/>
    </row>
    <row r="20" spans="1:23" ht="15" customHeight="1" x14ac:dyDescent="0.3">
      <c r="A20" s="22"/>
      <c r="B20" s="27"/>
      <c r="C20" s="27"/>
      <c r="D20" s="27"/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2"/>
    </row>
    <row r="21" spans="1:23" ht="15" customHeight="1" x14ac:dyDescent="0.3">
      <c r="A21" s="22"/>
      <c r="B21" s="27"/>
      <c r="C21" s="27"/>
      <c r="D21" s="27"/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2"/>
    </row>
    <row r="22" spans="1:23" ht="15" customHeight="1" x14ac:dyDescent="0.3">
      <c r="A22" s="22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2"/>
    </row>
    <row r="23" spans="1:23" ht="15" customHeight="1" x14ac:dyDescent="0.3">
      <c r="A23" s="22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2"/>
    </row>
    <row r="24" spans="1:23" ht="15" customHeight="1" x14ac:dyDescent="0.3">
      <c r="A24" s="22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2"/>
    </row>
    <row r="25" spans="1:23" ht="15" customHeight="1" x14ac:dyDescent="0.3">
      <c r="A25" s="22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2"/>
    </row>
    <row r="26" spans="1:23" ht="15" customHeight="1" x14ac:dyDescent="0.3">
      <c r="A26" s="22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2"/>
    </row>
    <row r="27" spans="1:23" ht="15" customHeight="1" x14ac:dyDescent="0.3">
      <c r="A27" s="22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2"/>
    </row>
    <row r="28" spans="1:23" ht="15" customHeight="1" x14ac:dyDescent="0.3">
      <c r="A28" s="22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2"/>
    </row>
    <row r="29" spans="1:23" ht="15" customHeight="1" x14ac:dyDescent="0.3">
      <c r="A29" s="22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2"/>
    </row>
    <row r="30" spans="1:23" ht="15" customHeight="1" x14ac:dyDescent="0.3">
      <c r="A30" s="22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2"/>
    </row>
    <row r="31" spans="1:23" ht="15" customHeight="1" x14ac:dyDescent="0.3">
      <c r="A31" s="22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2"/>
    </row>
    <row r="32" spans="1:23" ht="15" customHeight="1" x14ac:dyDescent="0.3">
      <c r="A32" s="22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2"/>
    </row>
    <row r="33" spans="1:29" ht="39" x14ac:dyDescent="0.65">
      <c r="A33" s="22"/>
      <c r="B33" s="23"/>
      <c r="C33" s="22"/>
      <c r="D33" s="22"/>
      <c r="E33" s="22"/>
      <c r="F33" s="22"/>
      <c r="G33" s="22"/>
      <c r="H33" s="22"/>
      <c r="I33" s="22"/>
      <c r="J33" s="22"/>
      <c r="K33" s="22"/>
      <c r="L33" s="22"/>
      <c r="M33" s="22"/>
      <c r="N33" s="22"/>
      <c r="O33" s="22"/>
      <c r="P33" s="22"/>
      <c r="Q33" s="22"/>
      <c r="R33" s="22"/>
      <c r="S33" s="22"/>
      <c r="T33" s="22"/>
      <c r="U33" s="22"/>
      <c r="V33" s="22"/>
      <c r="W33" s="22"/>
    </row>
    <row r="34" spans="1:29" ht="18.75" customHeight="1" x14ac:dyDescent="0.3">
      <c r="A34" s="22"/>
      <c r="B34" s="22"/>
      <c r="C34" s="22"/>
      <c r="D34" s="22"/>
      <c r="E34" s="22"/>
      <c r="F34" s="22"/>
      <c r="G34" s="22"/>
      <c r="H34" s="22"/>
      <c r="I34" s="22"/>
      <c r="J34" s="22"/>
      <c r="K34" s="22"/>
      <c r="L34" s="22"/>
      <c r="M34" s="22"/>
      <c r="N34" s="22"/>
      <c r="O34" s="22"/>
      <c r="P34" s="22"/>
      <c r="Q34" s="22"/>
      <c r="R34" s="22"/>
      <c r="S34" s="22"/>
      <c r="T34" s="22"/>
      <c r="U34" s="22"/>
      <c r="V34" s="22"/>
      <c r="W34" s="22"/>
    </row>
    <row r="36" spans="1:29" ht="15" customHeight="1" x14ac:dyDescent="0.3">
      <c r="E36" s="38" t="s">
        <v>14</v>
      </c>
      <c r="F36" s="38"/>
      <c r="G36" s="38"/>
      <c r="H36" s="38"/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AA36" s="17" t="s">
        <v>25</v>
      </c>
    </row>
    <row r="37" spans="1:29" ht="15" customHeight="1" x14ac:dyDescent="0.3">
      <c r="E37" s="38"/>
      <c r="F37" s="38"/>
      <c r="G37" s="38"/>
      <c r="H37" s="38"/>
      <c r="I37" s="38"/>
      <c r="J37" s="38"/>
      <c r="K37" s="38"/>
      <c r="L37" s="38"/>
      <c r="M37" s="38"/>
      <c r="N37" s="38"/>
      <c r="O37" s="38"/>
      <c r="P37" s="38"/>
      <c r="Q37" s="38"/>
      <c r="R37" s="38"/>
      <c r="S37" s="38"/>
      <c r="AA37">
        <f>LEN(AA36)</f>
        <v>91</v>
      </c>
    </row>
    <row r="38" spans="1:29" ht="15" customHeight="1" x14ac:dyDescent="0.3">
      <c r="E38" s="38"/>
      <c r="F38" s="38"/>
      <c r="G38" s="38"/>
      <c r="H38" s="38"/>
      <c r="I38" s="38"/>
      <c r="J38" s="38"/>
      <c r="K38" s="38"/>
      <c r="L38" s="38"/>
      <c r="M38" s="38"/>
      <c r="N38" s="38"/>
      <c r="O38" s="38"/>
      <c r="P38" s="38"/>
      <c r="Q38" s="38"/>
      <c r="R38" s="38"/>
      <c r="S38" s="38"/>
    </row>
    <row r="39" spans="1:29" ht="15" customHeight="1" x14ac:dyDescent="0.3">
      <c r="E39" s="38"/>
      <c r="F39" s="38"/>
      <c r="G39" s="38"/>
      <c r="H39" s="38"/>
      <c r="I39" s="38"/>
      <c r="J39" s="38"/>
      <c r="K39" s="38"/>
      <c r="L39" s="38"/>
      <c r="M39" s="38"/>
      <c r="N39" s="38"/>
      <c r="O39" s="38"/>
      <c r="P39" s="38"/>
      <c r="Q39" s="38"/>
      <c r="R39" s="38"/>
      <c r="S39" s="38"/>
    </row>
    <row r="40" spans="1:29" ht="15" customHeight="1" x14ac:dyDescent="0.3">
      <c r="E40" s="38"/>
      <c r="F40" s="38"/>
      <c r="G40" s="38"/>
      <c r="H40" s="38"/>
      <c r="I40" s="38"/>
      <c r="J40" s="38"/>
      <c r="K40" s="38"/>
      <c r="L40" s="38"/>
      <c r="M40" s="38"/>
      <c r="N40" s="38"/>
      <c r="O40" s="38"/>
      <c r="P40" s="38"/>
      <c r="Q40" s="38"/>
      <c r="R40" s="38"/>
      <c r="S40" s="38"/>
    </row>
    <row r="41" spans="1:29" ht="15" customHeight="1" x14ac:dyDescent="0.3">
      <c r="E41" s="38"/>
      <c r="F41" s="38"/>
      <c r="G41" s="38"/>
      <c r="H41" s="38"/>
      <c r="I41" s="38"/>
      <c r="J41" s="38"/>
      <c r="K41" s="38"/>
      <c r="L41" s="38"/>
      <c r="M41" s="38"/>
      <c r="N41" s="38"/>
      <c r="O41" s="38"/>
      <c r="P41" s="38"/>
      <c r="Q41" s="38"/>
      <c r="R41" s="38"/>
      <c r="S41" s="38"/>
    </row>
    <row r="42" spans="1:29" ht="15" customHeight="1" x14ac:dyDescent="0.3"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AB42" t="e" cm="1">
        <f t="array" aca="1" ref="AB42" ca="1">SUBSTITUTE(REPLACE(CELL("filename"),1,SEARCH("(",CELL("filename")),""),")","")</f>
        <v>#VALUE!</v>
      </c>
    </row>
    <row r="43" spans="1:29" ht="15" customHeight="1" x14ac:dyDescent="0.3"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</row>
    <row r="44" spans="1:29" ht="285.75" customHeight="1" x14ac:dyDescent="0.3">
      <c r="E44" s="38"/>
      <c r="F44" s="38"/>
      <c r="G44" s="38"/>
      <c r="H44" s="38"/>
      <c r="I44" s="38"/>
      <c r="J44" s="38"/>
      <c r="K44" s="38"/>
      <c r="L44" s="38"/>
      <c r="M44" s="38"/>
      <c r="N44" s="38"/>
      <c r="O44" s="38"/>
      <c r="P44" s="38"/>
      <c r="Q44" s="38"/>
      <c r="R44" s="38"/>
      <c r="S44" s="38"/>
      <c r="AB44" s="18" t="str" cm="1">
        <f t="array" aca="1" ref="AB44" ca="1">"Excel
Magic
Trick
"&amp;SUBSTITUTE(REPLACE(CELL("filename",A1),1,SEARCH("(",CELL("filename",A1)),""),")","")</f>
        <v>Excel
Magic
Trick
1673</v>
      </c>
    </row>
    <row r="45" spans="1:29" ht="15" customHeight="1" x14ac:dyDescent="0.3">
      <c r="E45" s="38"/>
      <c r="F45" s="38"/>
      <c r="G45" s="38"/>
      <c r="H45" s="38"/>
      <c r="I45" s="38"/>
      <c r="J45" s="38"/>
      <c r="K45" s="38"/>
      <c r="L45" s="38"/>
      <c r="M45" s="38"/>
      <c r="N45" s="38"/>
      <c r="O45" s="38"/>
      <c r="P45" s="38"/>
      <c r="Q45" s="38"/>
      <c r="R45" s="38"/>
      <c r="S45" s="38"/>
    </row>
    <row r="46" spans="1:29" ht="15" customHeight="1" x14ac:dyDescent="0.3">
      <c r="E46" s="38"/>
      <c r="F46" s="38"/>
      <c r="G46" s="38"/>
      <c r="H46" s="38"/>
      <c r="I46" s="38"/>
      <c r="J46" s="38"/>
      <c r="K46" s="38"/>
      <c r="L46" s="38"/>
      <c r="M46" s="38"/>
      <c r="N46" s="38"/>
      <c r="O46" s="38"/>
      <c r="P46" s="38"/>
      <c r="Q46" s="38"/>
      <c r="R46" s="38"/>
      <c r="S46" s="38"/>
    </row>
    <row r="47" spans="1:29" ht="68.25" customHeight="1" x14ac:dyDescent="0.3">
      <c r="E47" s="38"/>
      <c r="F47" s="38"/>
      <c r="G47" s="38"/>
      <c r="H47" s="38"/>
      <c r="I47" s="38"/>
      <c r="J47" s="38"/>
      <c r="K47" s="38"/>
      <c r="L47" s="38"/>
      <c r="M47" s="38"/>
      <c r="N47" s="38"/>
      <c r="O47" s="38"/>
      <c r="P47" s="38"/>
      <c r="Q47" s="38"/>
      <c r="R47" s="38"/>
      <c r="S47" s="38"/>
      <c r="AC47" s="19" t="s">
        <v>26</v>
      </c>
    </row>
    <row r="48" spans="1:29" ht="15" customHeight="1" x14ac:dyDescent="0.3">
      <c r="E48" s="38"/>
      <c r="F48" s="38"/>
      <c r="G48" s="38"/>
      <c r="H48" s="38"/>
      <c r="I48" s="38"/>
      <c r="J48" s="38"/>
      <c r="K48" s="38"/>
      <c r="L48" s="38"/>
      <c r="M48" s="38"/>
      <c r="N48" s="38"/>
      <c r="O48" s="38"/>
      <c r="P48" s="38"/>
      <c r="Q48" s="38"/>
      <c r="R48" s="38"/>
      <c r="S48" s="38"/>
    </row>
    <row r="49" spans="5:19" ht="15" customHeight="1" x14ac:dyDescent="0.3">
      <c r="E49" s="38"/>
      <c r="F49" s="38"/>
      <c r="G49" s="38"/>
      <c r="H49" s="38"/>
      <c r="I49" s="38"/>
      <c r="J49" s="38"/>
      <c r="K49" s="38"/>
      <c r="L49" s="38"/>
      <c r="M49" s="38"/>
      <c r="N49" s="38"/>
      <c r="O49" s="38"/>
      <c r="P49" s="38"/>
      <c r="Q49" s="38"/>
      <c r="R49" s="38"/>
      <c r="S49" s="38"/>
    </row>
    <row r="50" spans="5:19" ht="15" customHeight="1" x14ac:dyDescent="0.3">
      <c r="E50" s="38"/>
      <c r="F50" s="38"/>
      <c r="G50" s="38"/>
      <c r="H50" s="38"/>
      <c r="I50" s="38"/>
      <c r="J50" s="38"/>
      <c r="K50" s="38"/>
      <c r="L50" s="38"/>
      <c r="M50" s="38"/>
      <c r="N50" s="38"/>
      <c r="O50" s="38"/>
      <c r="P50" s="38"/>
      <c r="Q50" s="38"/>
      <c r="R50" s="38"/>
      <c r="S50" s="38"/>
    </row>
    <row r="51" spans="5:19" ht="15" customHeight="1" x14ac:dyDescent="0.3">
      <c r="E51" s="38"/>
      <c r="F51" s="38"/>
      <c r="G51" s="38"/>
      <c r="H51" s="38"/>
      <c r="I51" s="38"/>
      <c r="J51" s="38"/>
      <c r="K51" s="38"/>
      <c r="L51" s="38"/>
      <c r="M51" s="38"/>
      <c r="N51" s="38"/>
      <c r="O51" s="38"/>
      <c r="P51" s="38"/>
      <c r="Q51" s="38"/>
      <c r="R51" s="38"/>
      <c r="S51" s="38"/>
    </row>
    <row r="52" spans="5:19" ht="15" customHeight="1" x14ac:dyDescent="0.3">
      <c r="E52" s="38"/>
      <c r="F52" s="38"/>
      <c r="G52" s="38"/>
      <c r="H52" s="38"/>
      <c r="I52" s="38"/>
      <c r="J52" s="38"/>
      <c r="K52" s="38"/>
      <c r="L52" s="38"/>
      <c r="M52" s="38"/>
      <c r="N52" s="38"/>
      <c r="O52" s="38"/>
      <c r="P52" s="38"/>
      <c r="Q52" s="38"/>
      <c r="R52" s="38"/>
      <c r="S52" s="38"/>
    </row>
    <row r="53" spans="5:19" ht="15" customHeight="1" x14ac:dyDescent="0.3">
      <c r="E53" s="38"/>
      <c r="F53" s="38"/>
      <c r="G53" s="38"/>
      <c r="H53" s="38"/>
      <c r="I53" s="38"/>
      <c r="J53" s="38"/>
      <c r="K53" s="38"/>
      <c r="L53" s="38"/>
      <c r="M53" s="38"/>
      <c r="N53" s="38"/>
      <c r="O53" s="38"/>
      <c r="P53" s="38"/>
      <c r="Q53" s="38"/>
      <c r="R53" s="38"/>
      <c r="S53" s="38"/>
    </row>
    <row r="54" spans="5:19" ht="15" customHeight="1" x14ac:dyDescent="0.3">
      <c r="E54" s="38"/>
      <c r="F54" s="38"/>
      <c r="G54" s="38"/>
      <c r="H54" s="38"/>
      <c r="I54" s="38"/>
      <c r="J54" s="38"/>
      <c r="K54" s="38"/>
      <c r="L54" s="38"/>
      <c r="M54" s="38"/>
      <c r="N54" s="38"/>
      <c r="O54" s="38"/>
      <c r="P54" s="38"/>
      <c r="Q54" s="38"/>
      <c r="R54" s="38"/>
      <c r="S54" s="38"/>
    </row>
    <row r="55" spans="5:19" ht="15" customHeight="1" x14ac:dyDescent="0.3">
      <c r="E55" s="38"/>
      <c r="F55" s="38"/>
      <c r="G55" s="38"/>
      <c r="H55" s="38"/>
      <c r="I55" s="38"/>
      <c r="J55" s="38"/>
      <c r="K55" s="38"/>
      <c r="L55" s="38"/>
      <c r="M55" s="38"/>
      <c r="N55" s="38"/>
      <c r="O55" s="38"/>
      <c r="P55" s="38"/>
      <c r="Q55" s="38"/>
      <c r="R55" s="38"/>
      <c r="S55" s="38"/>
    </row>
    <row r="56" spans="5:19" ht="15" customHeight="1" x14ac:dyDescent="0.3">
      <c r="E56" s="38"/>
      <c r="F56" s="38"/>
      <c r="G56" s="38"/>
      <c r="H56" s="38"/>
      <c r="I56" s="38"/>
      <c r="J56" s="38"/>
      <c r="K56" s="38"/>
      <c r="L56" s="38"/>
      <c r="M56" s="38"/>
      <c r="N56" s="38"/>
      <c r="O56" s="38"/>
      <c r="P56" s="38"/>
      <c r="Q56" s="38"/>
      <c r="R56" s="38"/>
      <c r="S56" s="38"/>
    </row>
    <row r="57" spans="5:19" ht="15" customHeight="1" x14ac:dyDescent="0.3">
      <c r="E57" s="38"/>
      <c r="F57" s="38"/>
      <c r="G57" s="38"/>
      <c r="H57" s="38"/>
      <c r="I57" s="38"/>
      <c r="J57" s="38"/>
      <c r="K57" s="38"/>
      <c r="L57" s="38"/>
      <c r="M57" s="38"/>
      <c r="N57" s="38"/>
      <c r="O57" s="38"/>
      <c r="P57" s="38"/>
      <c r="Q57" s="38"/>
      <c r="R57" s="38"/>
      <c r="S57" s="38"/>
    </row>
    <row r="58" spans="5:19" ht="15" customHeight="1" x14ac:dyDescent="0.3">
      <c r="E58" s="38"/>
      <c r="F58" s="38"/>
      <c r="G58" s="38"/>
      <c r="H58" s="38"/>
      <c r="I58" s="38"/>
      <c r="J58" s="38"/>
      <c r="K58" s="38"/>
      <c r="L58" s="38"/>
      <c r="M58" s="38"/>
      <c r="N58" s="38"/>
      <c r="O58" s="38"/>
      <c r="P58" s="38"/>
      <c r="Q58" s="38"/>
      <c r="R58" s="38"/>
      <c r="S58" s="38"/>
    </row>
    <row r="59" spans="5:19" ht="15" customHeight="1" x14ac:dyDescent="0.3">
      <c r="E59" s="38"/>
      <c r="F59" s="38"/>
      <c r="G59" s="38"/>
      <c r="H59" s="38"/>
      <c r="I59" s="38"/>
      <c r="J59" s="38"/>
      <c r="K59" s="38"/>
      <c r="L59" s="38"/>
      <c r="M59" s="38"/>
      <c r="N59" s="38"/>
      <c r="O59" s="38"/>
      <c r="P59" s="38"/>
      <c r="Q59" s="38"/>
      <c r="R59" s="38"/>
      <c r="S59" s="38"/>
    </row>
    <row r="79" spans="28:28" ht="54" x14ac:dyDescent="0.9">
      <c r="AB79" s="20" t="s">
        <v>10</v>
      </c>
    </row>
    <row r="85" spans="28:28" ht="39" x14ac:dyDescent="0.65">
      <c r="AB85" s="21" t="s">
        <v>27</v>
      </c>
    </row>
    <row r="142" spans="5:19" ht="17.25" thickBot="1" x14ac:dyDescent="0.35"/>
    <row r="143" spans="5:19" ht="15.75" customHeight="1" thickTop="1" x14ac:dyDescent="0.3">
      <c r="E143" s="29" t="s">
        <v>28</v>
      </c>
      <c r="F143" s="30"/>
      <c r="G143" s="30"/>
      <c r="H143" s="30"/>
      <c r="I143" s="30"/>
      <c r="J143" s="30"/>
      <c r="K143" s="30"/>
      <c r="L143" s="30"/>
      <c r="M143" s="30"/>
      <c r="N143" s="30"/>
      <c r="O143" s="30"/>
      <c r="P143" s="30"/>
      <c r="Q143" s="30"/>
      <c r="R143" s="30"/>
      <c r="S143" s="31"/>
    </row>
    <row r="144" spans="5:19" ht="15" customHeight="1" x14ac:dyDescent="0.3">
      <c r="E144" s="32"/>
      <c r="F144" s="33"/>
      <c r="G144" s="33"/>
      <c r="H144" s="33"/>
      <c r="I144" s="33"/>
      <c r="J144" s="33"/>
      <c r="K144" s="33"/>
      <c r="L144" s="33"/>
      <c r="M144" s="33"/>
      <c r="N144" s="33"/>
      <c r="O144" s="33"/>
      <c r="P144" s="33"/>
      <c r="Q144" s="33"/>
      <c r="R144" s="33"/>
      <c r="S144" s="34"/>
    </row>
    <row r="145" spans="5:19" ht="15" customHeight="1" x14ac:dyDescent="0.3">
      <c r="E145" s="32"/>
      <c r="F145" s="33"/>
      <c r="G145" s="33"/>
      <c r="H145" s="33"/>
      <c r="I145" s="33"/>
      <c r="J145" s="33"/>
      <c r="K145" s="33"/>
      <c r="L145" s="33"/>
      <c r="M145" s="33"/>
      <c r="N145" s="33"/>
      <c r="O145" s="33"/>
      <c r="P145" s="33"/>
      <c r="Q145" s="33"/>
      <c r="R145" s="33"/>
      <c r="S145" s="34"/>
    </row>
    <row r="146" spans="5:19" ht="15" customHeight="1" x14ac:dyDescent="0.3">
      <c r="E146" s="32"/>
      <c r="F146" s="33"/>
      <c r="G146" s="33"/>
      <c r="H146" s="33"/>
      <c r="I146" s="33"/>
      <c r="J146" s="33"/>
      <c r="K146" s="33"/>
      <c r="L146" s="33"/>
      <c r="M146" s="33"/>
      <c r="N146" s="33"/>
      <c r="O146" s="33"/>
      <c r="P146" s="33"/>
      <c r="Q146" s="33"/>
      <c r="R146" s="33"/>
      <c r="S146" s="34"/>
    </row>
    <row r="147" spans="5:19" ht="15" customHeight="1" x14ac:dyDescent="0.3">
      <c r="E147" s="32"/>
      <c r="F147" s="33"/>
      <c r="G147" s="33"/>
      <c r="H147" s="33"/>
      <c r="I147" s="33"/>
      <c r="J147" s="33"/>
      <c r="K147" s="33"/>
      <c r="L147" s="33"/>
      <c r="M147" s="33"/>
      <c r="N147" s="33"/>
      <c r="O147" s="33"/>
      <c r="P147" s="33"/>
      <c r="Q147" s="33"/>
      <c r="R147" s="33"/>
      <c r="S147" s="34"/>
    </row>
    <row r="148" spans="5:19" ht="15" customHeight="1" x14ac:dyDescent="0.3">
      <c r="E148" s="32"/>
      <c r="F148" s="33"/>
      <c r="G148" s="33"/>
      <c r="H148" s="33"/>
      <c r="I148" s="33"/>
      <c r="J148" s="33"/>
      <c r="K148" s="33"/>
      <c r="L148" s="33"/>
      <c r="M148" s="33"/>
      <c r="N148" s="33"/>
      <c r="O148" s="33"/>
      <c r="P148" s="33"/>
      <c r="Q148" s="33"/>
      <c r="R148" s="33"/>
      <c r="S148" s="34"/>
    </row>
    <row r="149" spans="5:19" ht="15" customHeight="1" x14ac:dyDescent="0.3">
      <c r="E149" s="32"/>
      <c r="F149" s="33"/>
      <c r="G149" s="33"/>
      <c r="H149" s="33"/>
      <c r="I149" s="33"/>
      <c r="J149" s="33"/>
      <c r="K149" s="33"/>
      <c r="L149" s="33"/>
      <c r="M149" s="33"/>
      <c r="N149" s="33"/>
      <c r="O149" s="33"/>
      <c r="P149" s="33"/>
      <c r="Q149" s="33"/>
      <c r="R149" s="33"/>
      <c r="S149" s="34"/>
    </row>
    <row r="150" spans="5:19" ht="15" customHeight="1" x14ac:dyDescent="0.3">
      <c r="E150" s="32"/>
      <c r="F150" s="33"/>
      <c r="G150" s="33"/>
      <c r="H150" s="33"/>
      <c r="I150" s="33"/>
      <c r="J150" s="33"/>
      <c r="K150" s="33"/>
      <c r="L150" s="33"/>
      <c r="M150" s="33"/>
      <c r="N150" s="33"/>
      <c r="O150" s="33"/>
      <c r="P150" s="33"/>
      <c r="Q150" s="33"/>
      <c r="R150" s="33"/>
      <c r="S150" s="34"/>
    </row>
    <row r="151" spans="5:19" ht="15" customHeight="1" x14ac:dyDescent="0.3">
      <c r="E151" s="32"/>
      <c r="F151" s="33"/>
      <c r="G151" s="33"/>
      <c r="H151" s="33"/>
      <c r="I151" s="33"/>
      <c r="J151" s="33"/>
      <c r="K151" s="33"/>
      <c r="L151" s="33"/>
      <c r="M151" s="33"/>
      <c r="N151" s="33"/>
      <c r="O151" s="33"/>
      <c r="P151" s="33"/>
      <c r="Q151" s="33"/>
      <c r="R151" s="33"/>
      <c r="S151" s="34"/>
    </row>
    <row r="152" spans="5:19" ht="15" customHeight="1" x14ac:dyDescent="0.3">
      <c r="E152" s="32"/>
      <c r="F152" s="33"/>
      <c r="G152" s="33"/>
      <c r="H152" s="33"/>
      <c r="I152" s="33"/>
      <c r="J152" s="33"/>
      <c r="K152" s="33"/>
      <c r="L152" s="33"/>
      <c r="M152" s="33"/>
      <c r="N152" s="33"/>
      <c r="O152" s="33"/>
      <c r="P152" s="33"/>
      <c r="Q152" s="33"/>
      <c r="R152" s="33"/>
      <c r="S152" s="34"/>
    </row>
    <row r="153" spans="5:19" ht="15" customHeight="1" x14ac:dyDescent="0.3">
      <c r="E153" s="32"/>
      <c r="F153" s="33"/>
      <c r="G153" s="33"/>
      <c r="H153" s="33"/>
      <c r="I153" s="33"/>
      <c r="J153" s="33"/>
      <c r="K153" s="33"/>
      <c r="L153" s="33"/>
      <c r="M153" s="33"/>
      <c r="N153" s="33"/>
      <c r="O153" s="33"/>
      <c r="P153" s="33"/>
      <c r="Q153" s="33"/>
      <c r="R153" s="33"/>
      <c r="S153" s="34"/>
    </row>
    <row r="154" spans="5:19" ht="15" customHeight="1" x14ac:dyDescent="0.3">
      <c r="E154" s="32"/>
      <c r="F154" s="33"/>
      <c r="G154" s="33"/>
      <c r="H154" s="33"/>
      <c r="I154" s="33"/>
      <c r="J154" s="33"/>
      <c r="K154" s="33"/>
      <c r="L154" s="33"/>
      <c r="M154" s="33"/>
      <c r="N154" s="33"/>
      <c r="O154" s="33"/>
      <c r="P154" s="33"/>
      <c r="Q154" s="33"/>
      <c r="R154" s="33"/>
      <c r="S154" s="34"/>
    </row>
    <row r="155" spans="5:19" ht="15" customHeight="1" x14ac:dyDescent="0.3">
      <c r="E155" s="32"/>
      <c r="F155" s="33"/>
      <c r="G155" s="33"/>
      <c r="H155" s="33"/>
      <c r="I155" s="33"/>
      <c r="J155" s="33"/>
      <c r="K155" s="33"/>
      <c r="L155" s="33"/>
      <c r="M155" s="33"/>
      <c r="N155" s="33"/>
      <c r="O155" s="33"/>
      <c r="P155" s="33"/>
      <c r="Q155" s="33"/>
      <c r="R155" s="33"/>
      <c r="S155" s="34"/>
    </row>
    <row r="156" spans="5:19" ht="15" customHeight="1" x14ac:dyDescent="0.3">
      <c r="E156" s="32"/>
      <c r="F156" s="33"/>
      <c r="G156" s="33"/>
      <c r="H156" s="33"/>
      <c r="I156" s="33"/>
      <c r="J156" s="33"/>
      <c r="K156" s="33"/>
      <c r="L156" s="33"/>
      <c r="M156" s="33"/>
      <c r="N156" s="33"/>
      <c r="O156" s="33"/>
      <c r="P156" s="33"/>
      <c r="Q156" s="33"/>
      <c r="R156" s="33"/>
      <c r="S156" s="34"/>
    </row>
    <row r="157" spans="5:19" ht="15" customHeight="1" x14ac:dyDescent="0.3">
      <c r="E157" s="32"/>
      <c r="F157" s="33"/>
      <c r="G157" s="33"/>
      <c r="H157" s="33"/>
      <c r="I157" s="33"/>
      <c r="J157" s="33"/>
      <c r="K157" s="33"/>
      <c r="L157" s="33"/>
      <c r="M157" s="33"/>
      <c r="N157" s="33"/>
      <c r="O157" s="33"/>
      <c r="P157" s="33"/>
      <c r="Q157" s="33"/>
      <c r="R157" s="33"/>
      <c r="S157" s="34"/>
    </row>
    <row r="158" spans="5:19" ht="15" customHeight="1" x14ac:dyDescent="0.3">
      <c r="E158" s="32"/>
      <c r="F158" s="33"/>
      <c r="G158" s="33"/>
      <c r="H158" s="33"/>
      <c r="I158" s="33"/>
      <c r="J158" s="33"/>
      <c r="K158" s="33"/>
      <c r="L158" s="33"/>
      <c r="M158" s="33"/>
      <c r="N158" s="33"/>
      <c r="O158" s="33"/>
      <c r="P158" s="33"/>
      <c r="Q158" s="33"/>
      <c r="R158" s="33"/>
      <c r="S158" s="34"/>
    </row>
    <row r="159" spans="5:19" ht="15" customHeight="1" x14ac:dyDescent="0.3">
      <c r="E159" s="32"/>
      <c r="F159" s="33"/>
      <c r="G159" s="33"/>
      <c r="H159" s="33"/>
      <c r="I159" s="33"/>
      <c r="J159" s="33"/>
      <c r="K159" s="33"/>
      <c r="L159" s="33"/>
      <c r="M159" s="33"/>
      <c r="N159" s="33"/>
      <c r="O159" s="33"/>
      <c r="P159" s="33"/>
      <c r="Q159" s="33"/>
      <c r="R159" s="33"/>
      <c r="S159" s="34"/>
    </row>
    <row r="160" spans="5:19" ht="15" customHeight="1" x14ac:dyDescent="0.3">
      <c r="E160" s="32"/>
      <c r="F160" s="33"/>
      <c r="G160" s="33"/>
      <c r="H160" s="33"/>
      <c r="I160" s="33"/>
      <c r="J160" s="33"/>
      <c r="K160" s="33"/>
      <c r="L160" s="33"/>
      <c r="M160" s="33"/>
      <c r="N160" s="33"/>
      <c r="O160" s="33"/>
      <c r="P160" s="33"/>
      <c r="Q160" s="33"/>
      <c r="R160" s="33"/>
      <c r="S160" s="34"/>
    </row>
    <row r="161" spans="5:19" ht="15" customHeight="1" x14ac:dyDescent="0.3">
      <c r="E161" s="32"/>
      <c r="F161" s="33"/>
      <c r="G161" s="33"/>
      <c r="H161" s="33"/>
      <c r="I161" s="33"/>
      <c r="J161" s="33"/>
      <c r="K161" s="33"/>
      <c r="L161" s="33"/>
      <c r="M161" s="33"/>
      <c r="N161" s="33"/>
      <c r="O161" s="33"/>
      <c r="P161" s="33"/>
      <c r="Q161" s="33"/>
      <c r="R161" s="33"/>
      <c r="S161" s="34"/>
    </row>
    <row r="162" spans="5:19" ht="15" customHeight="1" x14ac:dyDescent="0.3">
      <c r="E162" s="32"/>
      <c r="F162" s="33"/>
      <c r="G162" s="33"/>
      <c r="H162" s="33"/>
      <c r="I162" s="33"/>
      <c r="J162" s="33"/>
      <c r="K162" s="33"/>
      <c r="L162" s="33"/>
      <c r="M162" s="33"/>
      <c r="N162" s="33"/>
      <c r="O162" s="33"/>
      <c r="P162" s="33"/>
      <c r="Q162" s="33"/>
      <c r="R162" s="33"/>
      <c r="S162" s="34"/>
    </row>
    <row r="163" spans="5:19" ht="15" customHeight="1" x14ac:dyDescent="0.3">
      <c r="E163" s="32"/>
      <c r="F163" s="33"/>
      <c r="G163" s="33"/>
      <c r="H163" s="33"/>
      <c r="I163" s="33"/>
      <c r="J163" s="33"/>
      <c r="K163" s="33"/>
      <c r="L163" s="33"/>
      <c r="M163" s="33"/>
      <c r="N163" s="33"/>
      <c r="O163" s="33"/>
      <c r="P163" s="33"/>
      <c r="Q163" s="33"/>
      <c r="R163" s="33"/>
      <c r="S163" s="34"/>
    </row>
    <row r="164" spans="5:19" ht="15" customHeight="1" x14ac:dyDescent="0.3">
      <c r="E164" s="32"/>
      <c r="F164" s="33"/>
      <c r="G164" s="33"/>
      <c r="H164" s="33"/>
      <c r="I164" s="33"/>
      <c r="J164" s="33"/>
      <c r="K164" s="33"/>
      <c r="L164" s="33"/>
      <c r="M164" s="33"/>
      <c r="N164" s="33"/>
      <c r="O164" s="33"/>
      <c r="P164" s="33"/>
      <c r="Q164" s="33"/>
      <c r="R164" s="33"/>
      <c r="S164" s="34"/>
    </row>
    <row r="165" spans="5:19" ht="15" customHeight="1" x14ac:dyDescent="0.3">
      <c r="E165" s="32"/>
      <c r="F165" s="33"/>
      <c r="G165" s="33"/>
      <c r="H165" s="33"/>
      <c r="I165" s="33"/>
      <c r="J165" s="33"/>
      <c r="K165" s="33"/>
      <c r="L165" s="33"/>
      <c r="M165" s="33"/>
      <c r="N165" s="33"/>
      <c r="O165" s="33"/>
      <c r="P165" s="33"/>
      <c r="Q165" s="33"/>
      <c r="R165" s="33"/>
      <c r="S165" s="34"/>
    </row>
    <row r="166" spans="5:19" ht="15.75" customHeight="1" thickBot="1" x14ac:dyDescent="0.35">
      <c r="E166" s="35"/>
      <c r="F166" s="36"/>
      <c r="G166" s="36"/>
      <c r="H166" s="36"/>
      <c r="I166" s="36"/>
      <c r="J166" s="36"/>
      <c r="K166" s="36"/>
      <c r="L166" s="36"/>
      <c r="M166" s="36"/>
      <c r="N166" s="36"/>
      <c r="O166" s="36"/>
      <c r="P166" s="36"/>
      <c r="Q166" s="36"/>
      <c r="R166" s="36"/>
      <c r="S166" s="37"/>
    </row>
    <row r="167" spans="5:19" ht="17.25" thickTop="1" x14ac:dyDescent="0.3"/>
  </sheetData>
  <mergeCells count="3">
    <mergeCell ref="B2:V32"/>
    <mergeCell ref="E36:S59"/>
    <mergeCell ref="E143:S166"/>
  </mergeCells>
  <phoneticPr fontId="17" type="noConversion"/>
  <pageMargins left="0.7" right="0.7" top="0.75" bottom="0.75" header="0.3" footer="0.3"/>
  <pageSetup orientation="portrait" r:id="rId1"/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409F7F-3462-4E08-9563-A23627F7C47E}">
  <sheetPr codeName="Sheet6">
    <tabColor rgb="FFFFFF00"/>
  </sheetPr>
  <dimension ref="A1:A8"/>
  <sheetViews>
    <sheetView zoomScaleNormal="100" workbookViewId="0">
      <selection activeCell="D9" sqref="D9"/>
    </sheetView>
  </sheetViews>
  <sheetFormatPr defaultRowHeight="16.5" x14ac:dyDescent="0.3"/>
  <cols>
    <col min="1" max="1" width="27.25" customWidth="1"/>
  </cols>
  <sheetData>
    <row r="1" spans="1:1" x14ac:dyDescent="0.3">
      <c r="A1" s="7" t="s">
        <v>0</v>
      </c>
    </row>
    <row r="2" spans="1:1" x14ac:dyDescent="0.3">
      <c r="A2" s="6" t="s">
        <v>30</v>
      </c>
    </row>
    <row r="3" spans="1:1" x14ac:dyDescent="0.3">
      <c r="A3" s="6" t="s">
        <v>23</v>
      </c>
    </row>
    <row r="4" spans="1:1" x14ac:dyDescent="0.3">
      <c r="A4" s="6" t="s">
        <v>5</v>
      </c>
    </row>
    <row r="5" spans="1:1" x14ac:dyDescent="0.3">
      <c r="A5" s="6" t="s">
        <v>1</v>
      </c>
    </row>
    <row r="6" spans="1:1" x14ac:dyDescent="0.3">
      <c r="A6" s="6" t="s">
        <v>4</v>
      </c>
    </row>
    <row r="7" spans="1:1" x14ac:dyDescent="0.3">
      <c r="A7" s="6" t="s">
        <v>2</v>
      </c>
    </row>
    <row r="8" spans="1:1" x14ac:dyDescent="0.3">
      <c r="A8" s="8" t="s">
        <v>11</v>
      </c>
    </row>
  </sheetData>
  <phoneticPr fontId="17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0385E9-1995-40EA-918D-087F67D8DA93}">
  <sheetPr codeName="Sheet7">
    <tabColor rgb="FF0000FF"/>
  </sheetPr>
  <dimension ref="A1:F22"/>
  <sheetViews>
    <sheetView tabSelected="1" zoomScaleNormal="100" workbookViewId="0">
      <selection activeCell="F5" sqref="F5"/>
    </sheetView>
  </sheetViews>
  <sheetFormatPr defaultRowHeight="16.5" x14ac:dyDescent="0.3"/>
  <cols>
    <col min="1" max="1" width="25.25" bestFit="1" customWidth="1"/>
    <col min="2" max="6" width="18.875" customWidth="1"/>
  </cols>
  <sheetData>
    <row r="1" spans="1:6" x14ac:dyDescent="0.3">
      <c r="B1" t="s">
        <v>19</v>
      </c>
      <c r="C1" t="s">
        <v>20</v>
      </c>
      <c r="D1" t="s">
        <v>21</v>
      </c>
      <c r="E1" t="s">
        <v>22</v>
      </c>
      <c r="F1" t="s">
        <v>21</v>
      </c>
    </row>
    <row r="2" spans="1:6" x14ac:dyDescent="0.3">
      <c r="B2" s="3" t="s">
        <v>9</v>
      </c>
      <c r="C2" s="4" t="s">
        <v>10</v>
      </c>
      <c r="D2" s="9" t="s">
        <v>13</v>
      </c>
      <c r="E2" s="11" t="s">
        <v>15</v>
      </c>
      <c r="F2" s="10" t="s">
        <v>14</v>
      </c>
    </row>
    <row r="4" spans="1:6" x14ac:dyDescent="0.3">
      <c r="A4" s="13" t="s">
        <v>0</v>
      </c>
      <c r="B4" s="1" t="s">
        <v>3</v>
      </c>
      <c r="D4" s="1" t="s">
        <v>3</v>
      </c>
      <c r="E4" s="1" t="s">
        <v>3</v>
      </c>
      <c r="F4" s="5" t="s">
        <v>3</v>
      </c>
    </row>
    <row r="5" spans="1:6" x14ac:dyDescent="0.3">
      <c r="A5" s="14" t="s">
        <v>30</v>
      </c>
      <c r="B5" s="2"/>
      <c r="D5" s="12"/>
      <c r="E5" s="12"/>
      <c r="F5" s="15" t="str">
        <f>RegexReplace(A5,"[^0-9]","")</f>
        <v>143</v>
      </c>
    </row>
    <row r="6" spans="1:6" x14ac:dyDescent="0.3">
      <c r="A6" t="s">
        <v>23</v>
      </c>
      <c r="B6" s="2"/>
      <c r="D6" s="12"/>
      <c r="E6" s="12"/>
      <c r="F6" s="15"/>
    </row>
    <row r="7" spans="1:6" x14ac:dyDescent="0.3">
      <c r="A7" s="14" t="s">
        <v>5</v>
      </c>
      <c r="B7" s="2"/>
      <c r="D7" s="12"/>
      <c r="E7" s="12"/>
      <c r="F7" s="15"/>
    </row>
    <row r="8" spans="1:6" x14ac:dyDescent="0.3">
      <c r="A8" s="14" t="s">
        <v>1</v>
      </c>
      <c r="B8" s="2"/>
      <c r="D8" s="12"/>
      <c r="E8" s="12"/>
      <c r="F8" s="15"/>
    </row>
    <row r="9" spans="1:6" x14ac:dyDescent="0.3">
      <c r="A9" s="14" t="s">
        <v>4</v>
      </c>
      <c r="B9" s="2"/>
      <c r="D9" s="12"/>
      <c r="E9" s="12"/>
      <c r="F9" s="15"/>
    </row>
    <row r="10" spans="1:6" x14ac:dyDescent="0.3">
      <c r="A10" s="14" t="s">
        <v>2</v>
      </c>
      <c r="B10" s="2"/>
      <c r="D10" s="12"/>
      <c r="E10" s="12"/>
      <c r="F10" s="15"/>
    </row>
    <row r="11" spans="1:6" x14ac:dyDescent="0.3">
      <c r="A11" s="14" t="s">
        <v>11</v>
      </c>
      <c r="B11" s="2"/>
      <c r="D11" s="12"/>
      <c r="E11" s="12"/>
      <c r="F11" s="15"/>
    </row>
    <row r="13" spans="1:6" x14ac:dyDescent="0.3">
      <c r="A13" t="s">
        <v>33</v>
      </c>
      <c r="B13" t="s">
        <v>34</v>
      </c>
      <c r="C13" t="s">
        <v>36</v>
      </c>
      <c r="D13" t="s">
        <v>39</v>
      </c>
      <c r="E13" t="s">
        <v>45</v>
      </c>
      <c r="F13" t="s">
        <v>42</v>
      </c>
    </row>
    <row r="14" spans="1:6" x14ac:dyDescent="0.3">
      <c r="B14" t="s">
        <v>32</v>
      </c>
      <c r="C14" t="s">
        <v>37</v>
      </c>
      <c r="D14" t="s">
        <v>40</v>
      </c>
      <c r="E14" t="s">
        <v>40</v>
      </c>
      <c r="F14" t="s">
        <v>43</v>
      </c>
    </row>
    <row r="15" spans="1:6" x14ac:dyDescent="0.3">
      <c r="B15" t="s">
        <v>35</v>
      </c>
      <c r="C15" t="s">
        <v>38</v>
      </c>
      <c r="D15" s="24" t="s">
        <v>41</v>
      </c>
      <c r="E15" s="24" t="s">
        <v>41</v>
      </c>
      <c r="F15" s="24" t="s">
        <v>46</v>
      </c>
    </row>
    <row r="16" spans="1:6" x14ac:dyDescent="0.3">
      <c r="B16" s="3"/>
      <c r="C16" s="4"/>
      <c r="D16" s="9"/>
      <c r="E16" s="11"/>
      <c r="F16" s="26" t="s">
        <v>44</v>
      </c>
    </row>
    <row r="17" spans="2:6" x14ac:dyDescent="0.3">
      <c r="B17" s="3"/>
      <c r="C17" s="4"/>
      <c r="D17" s="9"/>
      <c r="E17" s="11"/>
      <c r="F17" s="24" t="s">
        <v>47</v>
      </c>
    </row>
    <row r="18" spans="2:6" x14ac:dyDescent="0.3">
      <c r="B18" s="3"/>
      <c r="C18" s="4"/>
      <c r="D18" s="9"/>
      <c r="E18" s="11"/>
      <c r="F18" s="25" t="s">
        <v>48</v>
      </c>
    </row>
    <row r="19" spans="2:6" x14ac:dyDescent="0.3">
      <c r="B19" s="3"/>
      <c r="C19" s="4"/>
      <c r="D19" s="9"/>
      <c r="E19" s="11"/>
      <c r="F19" t="s">
        <v>40</v>
      </c>
    </row>
    <row r="20" spans="2:6" x14ac:dyDescent="0.3">
      <c r="B20" s="3"/>
      <c r="C20" s="4"/>
      <c r="D20" s="9"/>
      <c r="E20" s="11"/>
      <c r="F20" s="24" t="s">
        <v>41</v>
      </c>
    </row>
    <row r="21" spans="2:6" x14ac:dyDescent="0.3">
      <c r="B21" s="3"/>
      <c r="C21" s="4"/>
      <c r="D21" s="9"/>
      <c r="E21" s="11"/>
      <c r="F21" s="10"/>
    </row>
    <row r="22" spans="2:6" x14ac:dyDescent="0.3">
      <c r="B22" s="3"/>
      <c r="C22" s="4"/>
      <c r="D22" s="9"/>
      <c r="E22" s="11"/>
      <c r="F22" s="10"/>
    </row>
  </sheetData>
  <phoneticPr fontId="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67B707-78B8-47C2-AFB3-C5564A0000A0}">
  <sheetPr codeName="Sheet8">
    <tabColor rgb="FFFF0000"/>
  </sheetPr>
  <dimension ref="A1:F20"/>
  <sheetViews>
    <sheetView zoomScaleNormal="100" workbookViewId="0">
      <selection activeCell="F7" sqref="F7"/>
    </sheetView>
  </sheetViews>
  <sheetFormatPr defaultRowHeight="16.5" x14ac:dyDescent="0.3"/>
  <cols>
    <col min="1" max="1" width="25.25" bestFit="1" customWidth="1"/>
    <col min="2" max="6" width="18.875" customWidth="1"/>
  </cols>
  <sheetData>
    <row r="1" spans="1:6" x14ac:dyDescent="0.3">
      <c r="B1" t="s">
        <v>19</v>
      </c>
      <c r="C1" t="s">
        <v>20</v>
      </c>
      <c r="D1" t="s">
        <v>21</v>
      </c>
      <c r="E1" t="s">
        <v>21</v>
      </c>
      <c r="F1" t="s">
        <v>22</v>
      </c>
    </row>
    <row r="2" spans="1:6" x14ac:dyDescent="0.3">
      <c r="B2" s="3" t="s">
        <v>9</v>
      </c>
      <c r="C2" s="4" t="s">
        <v>10</v>
      </c>
      <c r="D2" s="9" t="s">
        <v>13</v>
      </c>
      <c r="E2" s="10" t="s">
        <v>14</v>
      </c>
      <c r="F2" s="11" t="s">
        <v>15</v>
      </c>
    </row>
    <row r="4" spans="1:6" x14ac:dyDescent="0.3">
      <c r="A4" s="1" t="s">
        <v>0</v>
      </c>
      <c r="B4" s="13" t="s">
        <v>3</v>
      </c>
      <c r="C4" t="s">
        <v>16</v>
      </c>
      <c r="D4" s="5" t="s">
        <v>3</v>
      </c>
      <c r="E4" s="1" t="s">
        <v>3</v>
      </c>
      <c r="F4" s="1" t="s">
        <v>3</v>
      </c>
    </row>
    <row r="5" spans="1:6" x14ac:dyDescent="0.3">
      <c r="A5" s="2" t="s">
        <v>30</v>
      </c>
      <c r="B5" s="14"/>
      <c r="C5" s="16" t="s">
        <v>31</v>
      </c>
      <c r="D5" s="15" t="str" cm="1">
        <f t="array" ref="D5">_xlfn.CONCAT(_xlfn._xlws.FILTER(MID(A5,_xlfn.SEQUENCE(LEN(A5)),1),ISERROR(--MID(A5,_xlfn.SEQUENCE(LEN(A5)),1))))</f>
        <v>cool</v>
      </c>
      <c r="E5" s="12" t="str" cm="1">
        <f t="array" ref="E5">_xlfn.LET(_xlpm.Char,MID(A5,_xlfn.SEQUENCE(LEN(A5)),1),
_xlfn.CONCAT(_xlfn._xlws.FILTER(_xlpm.Char,ISERROR(--_xlpm.Char))))</f>
        <v>cool</v>
      </c>
      <c r="F5" s="12" t="str" cm="1">
        <f t="array" aca="1" ref="F5" ca="1">_xlfn.TEXTJOIN(,,IF(ISERROR(--MID(A5,ROW(INDIRECT("1:"&amp;LEN(A5))),1)),MID(A5,ROW(INDIRECT("1:"&amp;LEN(A5))),1),""))</f>
        <v>cool</v>
      </c>
    </row>
    <row r="6" spans="1:6" x14ac:dyDescent="0.3">
      <c r="A6" t="s">
        <v>23</v>
      </c>
      <c r="B6" s="14"/>
      <c r="C6" s="16" t="s">
        <v>17</v>
      </c>
      <c r="D6" s="15" t="str" cm="1">
        <f t="array" ref="D6">_xlfn.CONCAT(_xlfn._xlws.FILTER(MID(A6,_xlfn.SEQUENCE(LEN(A6)),1),ISERROR(--MID(A6,_xlfn.SEQUENCE(LEN(A6)),1))))</f>
        <v>ART/LindamWGT</v>
      </c>
      <c r="E6" s="12" t="str" cm="1">
        <f t="array" ref="E6">_xlfn.LET(_xlpm.Char,MID(A6,_xlfn.SEQUENCE(LEN(A6)),1),
_xlfn.CONCAT(_xlfn._xlws.FILTER(_xlpm.Char,ISERROR(--_xlpm.Char))))</f>
        <v>ART/LindamWGT</v>
      </c>
      <c r="F6" s="12" t="str" cm="1">
        <f t="array" aca="1" ref="F6" ca="1">_xlfn.TEXTJOIN(,,IF(ISERROR(--MID(A6,ROW(INDIRECT("1:"&amp;LEN(A6))),1)),MID(A6,ROW(INDIRECT("1:"&amp;LEN(A6))),1),""))</f>
        <v>ART/LindamWGT</v>
      </c>
    </row>
    <row r="7" spans="1:6" x14ac:dyDescent="0.3">
      <c r="A7" s="2" t="s">
        <v>5</v>
      </c>
      <c r="B7" s="14"/>
      <c r="C7" s="16" t="s">
        <v>18</v>
      </c>
      <c r="D7" s="15" t="str" cm="1">
        <f t="array" ref="D7">_xlfn.CONCAT(_xlfn._xlws.FILTER(MID(A7,_xlfn.SEQUENCE(LEN(A7)),1),ISERROR(--MID(A7,_xlfn.SEQUENCE(LEN(A7)),1))))</f>
        <v>*asf{aa}</v>
      </c>
      <c r="E7" s="12" t="str" cm="1">
        <f t="array" ref="E7">_xlfn.LET(_xlpm.Char,MID(A7,_xlfn.SEQUENCE(LEN(A7)),1),
_xlfn.CONCAT(_xlfn._xlws.FILTER(_xlpm.Char,ISERROR(--_xlpm.Char))))</f>
        <v>*asf{aa}</v>
      </c>
      <c r="F7" s="12" t="str" cm="1">
        <f t="array" aca="1" ref="F7" ca="1">_xlfn.TEXTJOIN(,,IF(ISERROR(--MID(A7,ROW(INDIRECT("1:"&amp;LEN(A7))),1)),MID(A7,ROW(INDIRECT("1:"&amp;LEN(A7))),1),""))</f>
        <v>*asf{aa}</v>
      </c>
    </row>
    <row r="8" spans="1:6" x14ac:dyDescent="0.3">
      <c r="A8" s="2" t="s">
        <v>1</v>
      </c>
      <c r="B8" s="14"/>
      <c r="C8" s="16" t="s">
        <v>7</v>
      </c>
      <c r="D8" s="15" t="str" cm="1">
        <f t="array" ref="D8">_xlfn.CONCAT(_xlfn._xlws.FILTER(MID(A8,_xlfn.SEQUENCE(LEN(A8)),1),ISERROR(--MID(A8,_xlfn.SEQUENCE(LEN(A8)),1))))</f>
        <v>excelisfun</v>
      </c>
      <c r="E8" s="12" t="str" cm="1">
        <f t="array" ref="E8">_xlfn.LET(_xlpm.Char,MID(A8,_xlfn.SEQUENCE(LEN(A8)),1),
_xlfn.CONCAT(_xlfn._xlws.FILTER(_xlpm.Char,ISERROR(--_xlpm.Char))))</f>
        <v>excelisfun</v>
      </c>
      <c r="F8" s="12" t="str" cm="1">
        <f t="array" aca="1" ref="F8" ca="1">_xlfn.TEXTJOIN(,,IF(ISERROR(--MID(A8,ROW(INDIRECT("1:"&amp;LEN(A8))),1)),MID(A8,ROW(INDIRECT("1:"&amp;LEN(A8))),1),""))</f>
        <v>excelisfun</v>
      </c>
    </row>
    <row r="9" spans="1:6" x14ac:dyDescent="0.3">
      <c r="A9" s="2" t="s">
        <v>4</v>
      </c>
      <c r="B9" s="14"/>
      <c r="C9" s="16" t="s">
        <v>6</v>
      </c>
      <c r="D9" s="15" t="str" cm="1">
        <f t="array" ref="D9">_xlfn.CONCAT(_xlfn._xlws.FILTER(MID(A9,_xlfn.SEQUENCE(LEN(A9)),1),ISERROR(--MID(A9,_xlfn.SEQUENCE(LEN(A9)),1))))</f>
        <v>ApplesWA</v>
      </c>
      <c r="E9" s="12" t="str" cm="1">
        <f t="array" ref="E9">_xlfn.LET(_xlpm.Char,MID(A9,_xlfn.SEQUENCE(LEN(A9)),1),
_xlfn.CONCAT(_xlfn._xlws.FILTER(_xlpm.Char,ISERROR(--_xlpm.Char))))</f>
        <v>ApplesWA</v>
      </c>
      <c r="F9" s="12" t="str" cm="1">
        <f t="array" aca="1" ref="F9" ca="1">_xlfn.TEXTJOIN(,,IF(ISERROR(--MID(A9,ROW(INDIRECT("1:"&amp;LEN(A9))),1)),MID(A9,ROW(INDIRECT("1:"&amp;LEN(A9))),1),""))</f>
        <v>ApplesWA</v>
      </c>
    </row>
    <row r="10" spans="1:6" x14ac:dyDescent="0.3">
      <c r="A10" s="2" t="s">
        <v>2</v>
      </c>
      <c r="B10" s="14"/>
      <c r="C10" s="16" t="s">
        <v>8</v>
      </c>
      <c r="D10" s="15" t="str" cm="1">
        <f t="array" ref="D10">_xlfn.CONCAT(_xlfn._xlws.FILTER(MID(A10,_xlfn.SEQUENCE(LEN(A10)),1),ISERROR(--MID(A10,_xlfn.SEQUENCE(LEN(A10)),1))))</f>
        <v>hhyst</v>
      </c>
      <c r="E10" s="12" t="str" cm="1">
        <f t="array" ref="E10">_xlfn.LET(_xlpm.Char,MID(A10,_xlfn.SEQUENCE(LEN(A10)),1),
_xlfn.CONCAT(_xlfn._xlws.FILTER(_xlpm.Char,ISERROR(--_xlpm.Char))))</f>
        <v>hhyst</v>
      </c>
      <c r="F10" s="12" t="str" cm="1">
        <f t="array" aca="1" ref="F10" ca="1">_xlfn.TEXTJOIN(,,IF(ISERROR(--MID(A10,ROW(INDIRECT("1:"&amp;LEN(A10))),1)),MID(A10,ROW(INDIRECT("1:"&amp;LEN(A10))),1),""))</f>
        <v>hhyst</v>
      </c>
    </row>
    <row r="11" spans="1:6" x14ac:dyDescent="0.3">
      <c r="A11" s="2" t="s">
        <v>11</v>
      </c>
      <c r="B11" s="14"/>
      <c r="C11" s="16" t="s">
        <v>12</v>
      </c>
      <c r="D11" s="15" t="str" cm="1">
        <f t="array" ref="D11">_xlfn.CONCAT(_xlfn._xlws.FILTER(MID(A11,_xlfn.SEQUENCE(LEN(A11)),1),ISERROR(--MID(A11,_xlfn.SEQUENCE(LEN(A11)),1))))</f>
        <v>DataImport</v>
      </c>
      <c r="E11" s="12" t="str" cm="1">
        <f t="array" ref="E11">_xlfn.LET(_xlpm.Char,MID(A11,_xlfn.SEQUENCE(LEN(A11)),1),
_xlfn.CONCAT(_xlfn._xlws.FILTER(_xlpm.Char,ISERROR(--_xlpm.Char))))</f>
        <v>DataImport</v>
      </c>
      <c r="F11" s="12" t="str" cm="1">
        <f t="array" aca="1" ref="F11" ca="1">_xlfn.TEXTJOIN(,,IF(ISERROR(--MID(A11,ROW(INDIRECT("1:"&amp;LEN(A11))),1)),MID(A11,ROW(INDIRECT("1:"&amp;LEN(A11))),1),""))</f>
        <v>DataImport</v>
      </c>
    </row>
    <row r="13" spans="1:6" x14ac:dyDescent="0.3">
      <c r="A13" t="s">
        <v>33</v>
      </c>
      <c r="B13" t="s">
        <v>34</v>
      </c>
      <c r="C13" t="s">
        <v>36</v>
      </c>
      <c r="D13" t="s">
        <v>39</v>
      </c>
      <c r="E13" t="s">
        <v>42</v>
      </c>
      <c r="F13" t="s">
        <v>45</v>
      </c>
    </row>
    <row r="14" spans="1:6" x14ac:dyDescent="0.3">
      <c r="B14" t="s">
        <v>32</v>
      </c>
      <c r="C14" t="s">
        <v>37</v>
      </c>
      <c r="D14" t="s">
        <v>40</v>
      </c>
      <c r="E14" t="s">
        <v>43</v>
      </c>
      <c r="F14" t="s">
        <v>40</v>
      </c>
    </row>
    <row r="15" spans="1:6" x14ac:dyDescent="0.3">
      <c r="B15" t="s">
        <v>35</v>
      </c>
      <c r="C15" t="s">
        <v>38</v>
      </c>
      <c r="D15" s="24" t="s">
        <v>41</v>
      </c>
      <c r="E15" s="24" t="s">
        <v>46</v>
      </c>
      <c r="F15" s="24" t="s">
        <v>41</v>
      </c>
    </row>
    <row r="16" spans="1:6" x14ac:dyDescent="0.3">
      <c r="E16" s="26" t="s">
        <v>44</v>
      </c>
    </row>
    <row r="17" spans="5:5" x14ac:dyDescent="0.3">
      <c r="E17" s="24" t="s">
        <v>47</v>
      </c>
    </row>
    <row r="18" spans="5:5" x14ac:dyDescent="0.3">
      <c r="E18" s="25" t="s">
        <v>48</v>
      </c>
    </row>
    <row r="19" spans="5:5" x14ac:dyDescent="0.3">
      <c r="E19" t="s">
        <v>40</v>
      </c>
    </row>
    <row r="20" spans="5:5" x14ac:dyDescent="0.3">
      <c r="E20" s="24" t="s">
        <v>41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1C50AC6-6592-4DF2-AF1C-C8D9EE7BCB2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C(1670 )</vt:lpstr>
      <vt:lpstr>C(1670)</vt:lpstr>
      <vt:lpstr>C(1671)</vt:lpstr>
      <vt:lpstr>C(1672)</vt:lpstr>
      <vt:lpstr>C(1673)</vt:lpstr>
      <vt:lpstr>TextForPQ</vt:lpstr>
      <vt:lpstr>1670</vt:lpstr>
      <vt:lpstr>1670(an)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Girvin, Michael</dc:creator>
  <cp:lastModifiedBy>minhwasoo</cp:lastModifiedBy>
  <dcterms:created xsi:type="dcterms:W3CDTF">2020-05-21T18:13:13Z</dcterms:created>
  <dcterms:modified xsi:type="dcterms:W3CDTF">2021-01-17T06:27:57Z</dcterms:modified>
</cp:coreProperties>
</file>