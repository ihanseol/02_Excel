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2_반발강도\"/>
    </mc:Choice>
  </mc:AlternateContent>
  <xr:revisionPtr revIDLastSave="0" documentId="13_ncr:1_{BFE70A14-C7A6-437A-8E02-30B5B93D01C6}" xr6:coauthVersionLast="46" xr6:coauthVersionMax="46" xr10:uidLastSave="{00000000-0000-0000-0000-000000000000}"/>
  <bookViews>
    <workbookView xWindow="5430" yWindow="4110" windowWidth="24690" windowHeight="16545" tabRatio="783" xr2:uid="{00000000-000D-0000-FFFF-FFFF00000000}"/>
  </bookViews>
  <sheets>
    <sheet name="A-B" sheetId="25" r:id="rId1"/>
    <sheet name="B-C" sheetId="73" r:id="rId2"/>
    <sheet name="C-D" sheetId="74" r:id="rId3"/>
    <sheet name="E" sheetId="75" r:id="rId4"/>
    <sheet name="NewSheet" sheetId="101" r:id="rId5"/>
  </sheets>
  <functionGroups builtInGroupCount="19"/>
  <definedNames>
    <definedName name="_xlnm.Print_Area" localSheetId="0">'A-B'!$A$1:$M$35</definedName>
    <definedName name="_xlnm.Print_Area" localSheetId="1">'B-C'!$A$1:$M$35</definedName>
    <definedName name="_xlnm.Print_Area" localSheetId="2">'C-D'!$A$1:$M$35</definedName>
    <definedName name="_xlnm.Print_Area" localSheetId="3">E!$A$1:$M$35</definedName>
  </definedNames>
  <calcPr calcId="191029"/>
</workbook>
</file>

<file path=xl/calcChain.xml><?xml version="1.0" encoding="utf-8"?>
<calcChain xmlns="http://schemas.openxmlformats.org/spreadsheetml/2006/main">
  <c r="F58" i="25" l="1"/>
  <c r="F63" i="25"/>
  <c r="F68" i="25"/>
  <c r="F73" i="25"/>
  <c r="F58" i="73"/>
  <c r="F63" i="73"/>
  <c r="F68" i="73"/>
  <c r="F73" i="73"/>
  <c r="F73" i="74"/>
  <c r="F68" i="74"/>
  <c r="F63" i="74"/>
  <c r="F58" i="74"/>
  <c r="F73" i="75"/>
  <c r="F68" i="75"/>
  <c r="F63" i="75"/>
  <c r="F58" i="75"/>
  <c r="B35" i="75"/>
  <c r="E35" i="74"/>
  <c r="K35" i="73"/>
  <c r="H35" i="73"/>
  <c r="E35" i="73"/>
  <c r="B35" i="73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10" i="75"/>
  <c r="F10" i="75"/>
  <c r="L11" i="74"/>
  <c r="L12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L10" i="74"/>
  <c r="F10" i="74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10" i="73"/>
  <c r="L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10" i="73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4"/>
  <c r="I28" i="74"/>
  <c r="F34" i="75"/>
  <c r="I34" i="75"/>
  <c r="D34" i="75"/>
  <c r="C34" i="75"/>
  <c r="B34" i="75"/>
  <c r="L34" i="74"/>
  <c r="I34" i="74"/>
  <c r="F34" i="74"/>
  <c r="E34" i="74"/>
  <c r="G34" i="74" s="1"/>
  <c r="C34" i="74"/>
  <c r="L34" i="73"/>
  <c r="I34" i="73"/>
  <c r="H34" i="73"/>
  <c r="J34" i="73" s="1"/>
  <c r="F34" i="73"/>
  <c r="C34" i="73"/>
  <c r="M34" i="25"/>
  <c r="E77" i="75"/>
  <c r="D77" i="75"/>
  <c r="C77" i="75"/>
  <c r="B77" i="75"/>
  <c r="E76" i="75"/>
  <c r="D76" i="75"/>
  <c r="C76" i="75"/>
  <c r="B76" i="75"/>
  <c r="E75" i="75"/>
  <c r="D75" i="75"/>
  <c r="C75" i="75"/>
  <c r="B75" i="75"/>
  <c r="E74" i="75"/>
  <c r="D74" i="75"/>
  <c r="C74" i="75"/>
  <c r="B74" i="75"/>
  <c r="H73" i="75"/>
  <c r="E73" i="75"/>
  <c r="D73" i="75"/>
  <c r="C73" i="75"/>
  <c r="B73" i="75"/>
  <c r="E72" i="75"/>
  <c r="D72" i="75"/>
  <c r="C72" i="75"/>
  <c r="B72" i="75"/>
  <c r="E71" i="75"/>
  <c r="D71" i="75"/>
  <c r="C71" i="75"/>
  <c r="B71" i="75"/>
  <c r="E70" i="75"/>
  <c r="D70" i="75"/>
  <c r="C70" i="75"/>
  <c r="B70" i="75"/>
  <c r="E69" i="75"/>
  <c r="D69" i="75"/>
  <c r="C69" i="75"/>
  <c r="B69" i="75"/>
  <c r="H68" i="75"/>
  <c r="E68" i="75"/>
  <c r="D68" i="75"/>
  <c r="C68" i="75"/>
  <c r="B68" i="75"/>
  <c r="E67" i="75"/>
  <c r="D67" i="75"/>
  <c r="C67" i="75"/>
  <c r="B67" i="75"/>
  <c r="E66" i="75"/>
  <c r="D66" i="75"/>
  <c r="C66" i="75"/>
  <c r="B66" i="75"/>
  <c r="E65" i="75"/>
  <c r="D65" i="75"/>
  <c r="C65" i="75"/>
  <c r="B65" i="75"/>
  <c r="E64" i="75"/>
  <c r="D64" i="75"/>
  <c r="C64" i="75"/>
  <c r="B64" i="75"/>
  <c r="H63" i="75"/>
  <c r="E63" i="75"/>
  <c r="D63" i="75"/>
  <c r="C63" i="75"/>
  <c r="B63" i="75"/>
  <c r="E62" i="75"/>
  <c r="D62" i="75"/>
  <c r="C62" i="75"/>
  <c r="B62" i="75"/>
  <c r="E61" i="75"/>
  <c r="D61" i="75"/>
  <c r="C61" i="75"/>
  <c r="B61" i="75"/>
  <c r="E60" i="75"/>
  <c r="D60" i="75"/>
  <c r="C60" i="75"/>
  <c r="B60" i="75"/>
  <c r="AK59" i="75"/>
  <c r="AG59" i="75"/>
  <c r="AJ59" i="75" s="1"/>
  <c r="E59" i="75"/>
  <c r="D59" i="75"/>
  <c r="C59" i="75"/>
  <c r="B59" i="75"/>
  <c r="AG58" i="75"/>
  <c r="AK58" i="75" s="1"/>
  <c r="H58" i="75"/>
  <c r="E58" i="75"/>
  <c r="D58" i="75"/>
  <c r="C58" i="75"/>
  <c r="B58" i="75"/>
  <c r="AK57" i="75"/>
  <c r="AJ57" i="75"/>
  <c r="AG57" i="75"/>
  <c r="AI57" i="75" s="1"/>
  <c r="AH56" i="75"/>
  <c r="AG56" i="75"/>
  <c r="AK56" i="75" s="1"/>
  <c r="AG55" i="75"/>
  <c r="AK55" i="75" s="1"/>
  <c r="AJ54" i="75"/>
  <c r="AI54" i="75"/>
  <c r="AG54" i="75"/>
  <c r="AH54" i="75" s="1"/>
  <c r="AG53" i="75"/>
  <c r="AK53" i="75" s="1"/>
  <c r="AK52" i="75"/>
  <c r="AG52" i="75"/>
  <c r="AJ52" i="75" s="1"/>
  <c r="AK51" i="75"/>
  <c r="AI51" i="75"/>
  <c r="AH51" i="75"/>
  <c r="AG51" i="75"/>
  <c r="AJ51" i="75" s="1"/>
  <c r="AI50" i="75"/>
  <c r="AH50" i="75"/>
  <c r="AG50" i="75"/>
  <c r="AK50" i="75" s="1"/>
  <c r="AK49" i="75"/>
  <c r="AJ49" i="75"/>
  <c r="AG49" i="75"/>
  <c r="AI49" i="75" s="1"/>
  <c r="AH48" i="75"/>
  <c r="AG48" i="75"/>
  <c r="AK48" i="75" s="1"/>
  <c r="AG47" i="75"/>
  <c r="AK47" i="75" s="1"/>
  <c r="AJ46" i="75"/>
  <c r="AI46" i="75"/>
  <c r="AG46" i="75"/>
  <c r="AH46" i="75" s="1"/>
  <c r="AG45" i="75"/>
  <c r="AK45" i="75" s="1"/>
  <c r="AK44" i="75"/>
  <c r="AG44" i="75"/>
  <c r="AJ44" i="75" s="1"/>
  <c r="AK43" i="75"/>
  <c r="AI43" i="75"/>
  <c r="AH43" i="75"/>
  <c r="AG43" i="75"/>
  <c r="AJ43" i="75" s="1"/>
  <c r="AI42" i="75"/>
  <c r="AH42" i="75"/>
  <c r="AG42" i="75"/>
  <c r="AK42" i="75" s="1"/>
  <c r="AK41" i="75"/>
  <c r="AJ41" i="75"/>
  <c r="AG41" i="75"/>
  <c r="AI41" i="75" s="1"/>
  <c r="AH40" i="75"/>
  <c r="AG40" i="75"/>
  <c r="AK40" i="75" s="1"/>
  <c r="AG39" i="75"/>
  <c r="AK39" i="75" s="1"/>
  <c r="AJ38" i="75"/>
  <c r="AI38" i="75"/>
  <c r="AG38" i="75"/>
  <c r="AH38" i="75" s="1"/>
  <c r="AG37" i="75"/>
  <c r="AK37" i="75" s="1"/>
  <c r="AK36" i="75"/>
  <c r="AG36" i="75"/>
  <c r="AJ36" i="75" s="1"/>
  <c r="AG35" i="75"/>
  <c r="AK35" i="75" s="1"/>
  <c r="AK34" i="75"/>
  <c r="AJ34" i="75"/>
  <c r="AG34" i="75"/>
  <c r="AI34" i="75" s="1"/>
  <c r="AK33" i="75"/>
  <c r="AJ33" i="75"/>
  <c r="AG33" i="75"/>
  <c r="AI33" i="75" s="1"/>
  <c r="AG32" i="75"/>
  <c r="AH32" i="75" s="1"/>
  <c r="AG31" i="75"/>
  <c r="AK31" i="75" s="1"/>
  <c r="AK30" i="75"/>
  <c r="AJ30" i="75"/>
  <c r="AI30" i="75"/>
  <c r="AG30" i="75"/>
  <c r="AH30" i="75" s="1"/>
  <c r="AG29" i="75"/>
  <c r="AH29" i="75" s="1"/>
  <c r="AK28" i="75"/>
  <c r="AG28" i="75"/>
  <c r="AJ28" i="75" s="1"/>
  <c r="Y28" i="75"/>
  <c r="X28" i="75"/>
  <c r="W28" i="75"/>
  <c r="V28" i="75"/>
  <c r="C28" i="75"/>
  <c r="AH27" i="75"/>
  <c r="AG27" i="75"/>
  <c r="AK27" i="75" s="1"/>
  <c r="Y27" i="75"/>
  <c r="X27" i="75"/>
  <c r="W27" i="75"/>
  <c r="V27" i="75"/>
  <c r="C27" i="75"/>
  <c r="AG26" i="75"/>
  <c r="AK26" i="75" s="1"/>
  <c r="Y26" i="75"/>
  <c r="AD26" i="75" s="1"/>
  <c r="R26" i="75" s="1"/>
  <c r="X26" i="75"/>
  <c r="W26" i="75"/>
  <c r="V26" i="75"/>
  <c r="AA26" i="75" s="1"/>
  <c r="O26" i="75" s="1"/>
  <c r="C26" i="75"/>
  <c r="AK25" i="75"/>
  <c r="AJ25" i="75"/>
  <c r="AI25" i="75"/>
  <c r="AH25" i="75"/>
  <c r="AG25" i="75"/>
  <c r="Y25" i="75"/>
  <c r="AD25" i="75" s="1"/>
  <c r="R25" i="75" s="1"/>
  <c r="X25" i="75"/>
  <c r="W25" i="75"/>
  <c r="V25" i="75"/>
  <c r="C25" i="75"/>
  <c r="AK24" i="75"/>
  <c r="AH24" i="75"/>
  <c r="AG24" i="75"/>
  <c r="AJ24" i="75" s="1"/>
  <c r="Y24" i="75"/>
  <c r="X24" i="75"/>
  <c r="W24" i="75"/>
  <c r="V24" i="75"/>
  <c r="C24" i="75"/>
  <c r="AH23" i="75"/>
  <c r="AG23" i="75"/>
  <c r="AK23" i="75" s="1"/>
  <c r="AD23" i="75"/>
  <c r="R23" i="75" s="1"/>
  <c r="Y23" i="75"/>
  <c r="X23" i="75"/>
  <c r="W23" i="75"/>
  <c r="V23" i="75"/>
  <c r="C23" i="75"/>
  <c r="AG22" i="75"/>
  <c r="AK22" i="75" s="1"/>
  <c r="Y22" i="75"/>
  <c r="AD22" i="75" s="1"/>
  <c r="R22" i="75" s="1"/>
  <c r="X22" i="75"/>
  <c r="W22" i="75"/>
  <c r="V22" i="75"/>
  <c r="C22" i="75"/>
  <c r="AK21" i="75"/>
  <c r="AJ21" i="75"/>
  <c r="AI21" i="75"/>
  <c r="AH21" i="75"/>
  <c r="AG21" i="75"/>
  <c r="Y21" i="75"/>
  <c r="AD27" i="75" s="1"/>
  <c r="R27" i="75" s="1"/>
  <c r="X21" i="75"/>
  <c r="W21" i="75"/>
  <c r="V21" i="75"/>
  <c r="C21" i="75"/>
  <c r="AK20" i="75"/>
  <c r="AH20" i="75"/>
  <c r="AG20" i="75"/>
  <c r="AJ20" i="75" s="1"/>
  <c r="Y20" i="75"/>
  <c r="X20" i="75"/>
  <c r="W20" i="75"/>
  <c r="V20" i="75"/>
  <c r="C20" i="75"/>
  <c r="AH19" i="75"/>
  <c r="AG19" i="75"/>
  <c r="AK19" i="75" s="1"/>
  <c r="AD19" i="75"/>
  <c r="R19" i="75" s="1"/>
  <c r="Y19" i="75"/>
  <c r="X19" i="75"/>
  <c r="W19" i="75"/>
  <c r="V19" i="75"/>
  <c r="C19" i="75"/>
  <c r="AH18" i="75"/>
  <c r="AG18" i="75"/>
  <c r="AK18" i="75" s="1"/>
  <c r="AD18" i="75"/>
  <c r="R18" i="75" s="1"/>
  <c r="Y18" i="75"/>
  <c r="X18" i="75"/>
  <c r="W18" i="75"/>
  <c r="V18" i="75"/>
  <c r="AA18" i="75" s="1"/>
  <c r="O18" i="75" s="1"/>
  <c r="C18" i="75"/>
  <c r="AH17" i="75"/>
  <c r="AG17" i="75"/>
  <c r="AK17" i="75" s="1"/>
  <c r="AD17" i="75"/>
  <c r="R17" i="75" s="1"/>
  <c r="Y17" i="75"/>
  <c r="X17" i="75"/>
  <c r="W17" i="75"/>
  <c r="V17" i="75"/>
  <c r="C17" i="75"/>
  <c r="AH16" i="75"/>
  <c r="AG16" i="75"/>
  <c r="AK16" i="75" s="1"/>
  <c r="AD16" i="75"/>
  <c r="R16" i="75" s="1"/>
  <c r="Y16" i="75"/>
  <c r="X16" i="75"/>
  <c r="W16" i="75"/>
  <c r="V16" i="75"/>
  <c r="C16" i="75"/>
  <c r="AH15" i="75"/>
  <c r="AG15" i="75"/>
  <c r="AK15" i="75" s="1"/>
  <c r="AD15" i="75"/>
  <c r="R15" i="75" s="1"/>
  <c r="Y15" i="75"/>
  <c r="X15" i="75"/>
  <c r="W15" i="75"/>
  <c r="V15" i="75"/>
  <c r="C15" i="75"/>
  <c r="AH14" i="75"/>
  <c r="AG14" i="75"/>
  <c r="AK14" i="75" s="1"/>
  <c r="AD14" i="75"/>
  <c r="R14" i="75" s="1"/>
  <c r="Y14" i="75"/>
  <c r="X14" i="75"/>
  <c r="W14" i="75"/>
  <c r="V14" i="75"/>
  <c r="C14" i="75"/>
  <c r="AH13" i="75"/>
  <c r="AG13" i="75"/>
  <c r="AK13" i="75" s="1"/>
  <c r="AD13" i="75"/>
  <c r="R13" i="75" s="1"/>
  <c r="Y13" i="75"/>
  <c r="X13" i="75"/>
  <c r="W13" i="75"/>
  <c r="V13" i="75"/>
  <c r="C13" i="75"/>
  <c r="AH12" i="75"/>
  <c r="AG12" i="75"/>
  <c r="AK12" i="75" s="1"/>
  <c r="AD12" i="75"/>
  <c r="R12" i="75" s="1"/>
  <c r="Y12" i="75"/>
  <c r="X12" i="75"/>
  <c r="AC13" i="75" s="1"/>
  <c r="Q13" i="75" s="1"/>
  <c r="W12" i="75"/>
  <c r="V12" i="75"/>
  <c r="C12" i="75"/>
  <c r="AH11" i="75"/>
  <c r="AG11" i="75"/>
  <c r="AK11" i="75" s="1"/>
  <c r="AD11" i="75"/>
  <c r="R11" i="75" s="1"/>
  <c r="Y11" i="75"/>
  <c r="X11" i="75"/>
  <c r="W11" i="75"/>
  <c r="V11" i="75"/>
  <c r="C11" i="75"/>
  <c r="AG10" i="75"/>
  <c r="AK10" i="75" s="1"/>
  <c r="AD10" i="75"/>
  <c r="R10" i="75" s="1"/>
  <c r="Y10" i="75"/>
  <c r="X10" i="75"/>
  <c r="W10" i="75"/>
  <c r="V10" i="75"/>
  <c r="C10" i="75"/>
  <c r="AG9" i="75"/>
  <c r="AK9" i="75" s="1"/>
  <c r="AD9" i="75"/>
  <c r="R9" i="75" s="1"/>
  <c r="Y9" i="75"/>
  <c r="AD28" i="75" s="1"/>
  <c r="R28" i="75" s="1"/>
  <c r="X9" i="75"/>
  <c r="W9" i="75"/>
  <c r="V9" i="75"/>
  <c r="A4" i="75"/>
  <c r="E77" i="74"/>
  <c r="D77" i="74"/>
  <c r="C77" i="74"/>
  <c r="B77" i="74"/>
  <c r="E76" i="74"/>
  <c r="D76" i="74"/>
  <c r="C76" i="74"/>
  <c r="B76" i="74"/>
  <c r="E75" i="74"/>
  <c r="D75" i="74"/>
  <c r="C75" i="74"/>
  <c r="B75" i="74"/>
  <c r="E74" i="74"/>
  <c r="D74" i="74"/>
  <c r="C74" i="74"/>
  <c r="B74" i="74"/>
  <c r="H73" i="74"/>
  <c r="E73" i="74"/>
  <c r="D73" i="74"/>
  <c r="C73" i="74"/>
  <c r="B73" i="74"/>
  <c r="E72" i="74"/>
  <c r="D72" i="74"/>
  <c r="C72" i="74"/>
  <c r="B72" i="74"/>
  <c r="E71" i="74"/>
  <c r="D71" i="74"/>
  <c r="C71" i="74"/>
  <c r="B71" i="74"/>
  <c r="E70" i="74"/>
  <c r="D70" i="74"/>
  <c r="C70" i="74"/>
  <c r="B70" i="74"/>
  <c r="E69" i="74"/>
  <c r="D69" i="74"/>
  <c r="C69" i="74"/>
  <c r="B69" i="74"/>
  <c r="H68" i="74"/>
  <c r="E68" i="74"/>
  <c r="D68" i="74"/>
  <c r="C68" i="74"/>
  <c r="B68" i="74"/>
  <c r="E67" i="74"/>
  <c r="D67" i="74"/>
  <c r="C67" i="74"/>
  <c r="B67" i="74"/>
  <c r="E66" i="74"/>
  <c r="D66" i="74"/>
  <c r="C66" i="74"/>
  <c r="B66" i="74"/>
  <c r="E65" i="74"/>
  <c r="D65" i="74"/>
  <c r="C65" i="74"/>
  <c r="B65" i="74"/>
  <c r="E64" i="74"/>
  <c r="D64" i="74"/>
  <c r="C64" i="74"/>
  <c r="B64" i="74"/>
  <c r="H63" i="74"/>
  <c r="E63" i="74"/>
  <c r="D63" i="74"/>
  <c r="C63" i="74"/>
  <c r="B63" i="74"/>
  <c r="E62" i="74"/>
  <c r="D62" i="74"/>
  <c r="C62" i="74"/>
  <c r="B62" i="74"/>
  <c r="E61" i="74"/>
  <c r="D61" i="74"/>
  <c r="C61" i="74"/>
  <c r="B61" i="74"/>
  <c r="E60" i="74"/>
  <c r="D60" i="74"/>
  <c r="C60" i="74"/>
  <c r="B60" i="74"/>
  <c r="AJ59" i="74"/>
  <c r="AH59" i="74"/>
  <c r="AG59" i="74"/>
  <c r="AI59" i="74" s="1"/>
  <c r="E59" i="74"/>
  <c r="D59" i="74"/>
  <c r="C59" i="74"/>
  <c r="B59" i="74"/>
  <c r="AK58" i="74"/>
  <c r="AI58" i="74"/>
  <c r="AH58" i="74"/>
  <c r="AG58" i="74"/>
  <c r="AJ58" i="74" s="1"/>
  <c r="H58" i="74"/>
  <c r="E58" i="74"/>
  <c r="D58" i="74"/>
  <c r="C58" i="74"/>
  <c r="B58" i="74"/>
  <c r="AK57" i="74"/>
  <c r="AG57" i="74"/>
  <c r="AI57" i="74" s="1"/>
  <c r="AK56" i="74"/>
  <c r="AJ56" i="74"/>
  <c r="AI56" i="74"/>
  <c r="AH56" i="74"/>
  <c r="AG56" i="74"/>
  <c r="AK55" i="74"/>
  <c r="AI55" i="74"/>
  <c r="AG55" i="74"/>
  <c r="AJ55" i="74" s="1"/>
  <c r="AK54" i="74"/>
  <c r="AJ54" i="74"/>
  <c r="AI54" i="74"/>
  <c r="AH54" i="74"/>
  <c r="AG54" i="74"/>
  <c r="AG53" i="74"/>
  <c r="AK53" i="74" s="1"/>
  <c r="AJ52" i="74"/>
  <c r="AH52" i="74"/>
  <c r="AG52" i="74"/>
  <c r="AI52" i="74" s="1"/>
  <c r="AJ51" i="74"/>
  <c r="AI51" i="74"/>
  <c r="AG51" i="74"/>
  <c r="AK51" i="74" s="1"/>
  <c r="AG50" i="74"/>
  <c r="AK50" i="74" s="1"/>
  <c r="AK49" i="74"/>
  <c r="AG49" i="74"/>
  <c r="AI49" i="74" s="1"/>
  <c r="AK48" i="74"/>
  <c r="AJ48" i="74"/>
  <c r="AI48" i="74"/>
  <c r="AH48" i="74"/>
  <c r="AG48" i="74"/>
  <c r="AK47" i="74"/>
  <c r="AI47" i="74"/>
  <c r="AG47" i="74"/>
  <c r="AJ47" i="74" s="1"/>
  <c r="AK46" i="74"/>
  <c r="AJ46" i="74"/>
  <c r="AI46" i="74"/>
  <c r="AH46" i="74"/>
  <c r="AG46" i="74"/>
  <c r="AG45" i="74"/>
  <c r="AK45" i="74" s="1"/>
  <c r="AJ44" i="74"/>
  <c r="AH44" i="74"/>
  <c r="AG44" i="74"/>
  <c r="AI44" i="74" s="1"/>
  <c r="AJ43" i="74"/>
  <c r="AI43" i="74"/>
  <c r="AG43" i="74"/>
  <c r="AK43" i="74" s="1"/>
  <c r="AG42" i="74"/>
  <c r="AK42" i="74" s="1"/>
  <c r="AK41" i="74"/>
  <c r="AG41" i="74"/>
  <c r="AI41" i="74" s="1"/>
  <c r="AK40" i="74"/>
  <c r="AJ40" i="74"/>
  <c r="AI40" i="74"/>
  <c r="AH40" i="74"/>
  <c r="AG40" i="74"/>
  <c r="AK39" i="74"/>
  <c r="AI39" i="74"/>
  <c r="AG39" i="74"/>
  <c r="AJ39" i="74" s="1"/>
  <c r="AK38" i="74"/>
  <c r="AJ38" i="74"/>
  <c r="AI38" i="74"/>
  <c r="AH38" i="74"/>
  <c r="AG38" i="74"/>
  <c r="AG37" i="74"/>
  <c r="AK37" i="74" s="1"/>
  <c r="AJ36" i="74"/>
  <c r="AH36" i="74"/>
  <c r="AG36" i="74"/>
  <c r="AI36" i="74" s="1"/>
  <c r="AG35" i="74"/>
  <c r="AK35" i="74" s="1"/>
  <c r="AK34" i="74"/>
  <c r="AG34" i="74"/>
  <c r="AI34" i="74" s="1"/>
  <c r="AK33" i="74"/>
  <c r="AG33" i="74"/>
  <c r="AI33" i="74" s="1"/>
  <c r="AK32" i="74"/>
  <c r="AJ32" i="74"/>
  <c r="AI32" i="74"/>
  <c r="AH32" i="74"/>
  <c r="AG32" i="74"/>
  <c r="AG31" i="74"/>
  <c r="AK31" i="74" s="1"/>
  <c r="AK30" i="74"/>
  <c r="AJ30" i="74"/>
  <c r="AI30" i="74"/>
  <c r="AH30" i="74"/>
  <c r="AG30" i="74"/>
  <c r="AK29" i="74"/>
  <c r="AJ29" i="74"/>
  <c r="AI29" i="74"/>
  <c r="AH29" i="74"/>
  <c r="AG29" i="74"/>
  <c r="AJ28" i="74"/>
  <c r="AI28" i="74"/>
  <c r="AH28" i="74"/>
  <c r="AG28" i="74"/>
  <c r="AK28" i="74" s="1"/>
  <c r="Y28" i="74"/>
  <c r="AD28" i="74" s="1"/>
  <c r="R28" i="74" s="1"/>
  <c r="X28" i="74"/>
  <c r="W28" i="74"/>
  <c r="V28" i="74"/>
  <c r="C28" i="74"/>
  <c r="AK27" i="74"/>
  <c r="AJ27" i="74"/>
  <c r="AG27" i="74"/>
  <c r="AI27" i="74" s="1"/>
  <c r="Y27" i="74"/>
  <c r="X27" i="74"/>
  <c r="W27" i="74"/>
  <c r="V27" i="74"/>
  <c r="C27" i="74"/>
  <c r="AK26" i="74"/>
  <c r="AJ26" i="74"/>
  <c r="AI26" i="74"/>
  <c r="AH26" i="74"/>
  <c r="AG26" i="74"/>
  <c r="Y26" i="74"/>
  <c r="X26" i="74"/>
  <c r="W26" i="74"/>
  <c r="V26" i="74"/>
  <c r="C26" i="74"/>
  <c r="AJ25" i="74"/>
  <c r="AH25" i="74"/>
  <c r="AG25" i="74"/>
  <c r="AK25" i="74" s="1"/>
  <c r="Y25" i="74"/>
  <c r="X25" i="74"/>
  <c r="W25" i="74"/>
  <c r="V25" i="74"/>
  <c r="C25" i="74"/>
  <c r="AJ24" i="74"/>
  <c r="AI24" i="74"/>
  <c r="AH24" i="74"/>
  <c r="AG24" i="74"/>
  <c r="AK24" i="74" s="1"/>
  <c r="Y24" i="74"/>
  <c r="X24" i="74"/>
  <c r="W24" i="74"/>
  <c r="V24" i="74"/>
  <c r="C24" i="74"/>
  <c r="AK23" i="74"/>
  <c r="AJ23" i="74"/>
  <c r="AI23" i="74"/>
  <c r="AG23" i="74"/>
  <c r="AH23" i="74" s="1"/>
  <c r="Y23" i="74"/>
  <c r="X23" i="74"/>
  <c r="W23" i="74"/>
  <c r="V23" i="74"/>
  <c r="C23" i="74"/>
  <c r="AK22" i="74"/>
  <c r="AJ22" i="74"/>
  <c r="AI22" i="74"/>
  <c r="AH22" i="74"/>
  <c r="AG22" i="74"/>
  <c r="Y22" i="74"/>
  <c r="X22" i="74"/>
  <c r="W22" i="74"/>
  <c r="V22" i="74"/>
  <c r="C22" i="74"/>
  <c r="AJ21" i="74"/>
  <c r="AH21" i="74"/>
  <c r="AG21" i="74"/>
  <c r="AK21" i="74" s="1"/>
  <c r="Y21" i="74"/>
  <c r="X21" i="74"/>
  <c r="W21" i="74"/>
  <c r="V21" i="74"/>
  <c r="C21" i="74"/>
  <c r="AJ20" i="74"/>
  <c r="AI20" i="74"/>
  <c r="AH20" i="74"/>
  <c r="AG20" i="74"/>
  <c r="AK20" i="74" s="1"/>
  <c r="Y20" i="74"/>
  <c r="X20" i="74"/>
  <c r="W20" i="74"/>
  <c r="V20" i="74"/>
  <c r="C20" i="74"/>
  <c r="AK19" i="74"/>
  <c r="AJ19" i="74"/>
  <c r="AI19" i="74"/>
  <c r="AG19" i="74"/>
  <c r="AH19" i="74" s="1"/>
  <c r="Y19" i="74"/>
  <c r="X19" i="74"/>
  <c r="W19" i="74"/>
  <c r="AB19" i="74" s="1"/>
  <c r="P19" i="74" s="1"/>
  <c r="V19" i="74"/>
  <c r="C19" i="74"/>
  <c r="AK18" i="74"/>
  <c r="AG18" i="74"/>
  <c r="AH18" i="74" s="1"/>
  <c r="Y18" i="74"/>
  <c r="X18" i="74"/>
  <c r="W18" i="74"/>
  <c r="AB18" i="74" s="1"/>
  <c r="P18" i="74" s="1"/>
  <c r="V18" i="74"/>
  <c r="C18" i="74"/>
  <c r="AK17" i="74"/>
  <c r="AG17" i="74"/>
  <c r="AH17" i="74" s="1"/>
  <c r="Y17" i="74"/>
  <c r="X17" i="74"/>
  <c r="W17" i="74"/>
  <c r="V17" i="74"/>
  <c r="C17" i="74"/>
  <c r="AK16" i="74"/>
  <c r="AG16" i="74"/>
  <c r="AH16" i="74" s="1"/>
  <c r="Y16" i="74"/>
  <c r="X16" i="74"/>
  <c r="W16" i="74"/>
  <c r="V16" i="74"/>
  <c r="C16" i="74"/>
  <c r="AK15" i="74"/>
  <c r="AG15" i="74"/>
  <c r="AH15" i="74" s="1"/>
  <c r="Y15" i="74"/>
  <c r="X15" i="74"/>
  <c r="W15" i="74"/>
  <c r="V15" i="74"/>
  <c r="C15" i="74"/>
  <c r="AK14" i="74"/>
  <c r="AG14" i="74"/>
  <c r="AH14" i="74" s="1"/>
  <c r="Y14" i="74"/>
  <c r="X14" i="74"/>
  <c r="W14" i="74"/>
  <c r="AB14" i="74" s="1"/>
  <c r="P14" i="74" s="1"/>
  <c r="V14" i="74"/>
  <c r="C14" i="74"/>
  <c r="AK13" i="74"/>
  <c r="AG13" i="74"/>
  <c r="AH13" i="74" s="1"/>
  <c r="Y13" i="74"/>
  <c r="X13" i="74"/>
  <c r="W13" i="74"/>
  <c r="AB13" i="74" s="1"/>
  <c r="P13" i="74" s="1"/>
  <c r="V13" i="74"/>
  <c r="C13" i="74"/>
  <c r="AK12" i="74"/>
  <c r="AG12" i="74"/>
  <c r="AH12" i="74" s="1"/>
  <c r="Y12" i="74"/>
  <c r="X12" i="74"/>
  <c r="W12" i="74"/>
  <c r="AB16" i="74" s="1"/>
  <c r="P16" i="74" s="1"/>
  <c r="V12" i="74"/>
  <c r="C12" i="74"/>
  <c r="AK11" i="74"/>
  <c r="AG11" i="74"/>
  <c r="AH11" i="74" s="1"/>
  <c r="Y11" i="74"/>
  <c r="AD11" i="74" s="1"/>
  <c r="R11" i="74" s="1"/>
  <c r="X11" i="74"/>
  <c r="W11" i="74"/>
  <c r="AB15" i="74" s="1"/>
  <c r="P15" i="74" s="1"/>
  <c r="V11" i="74"/>
  <c r="C11" i="74"/>
  <c r="AK10" i="74"/>
  <c r="AG10" i="74"/>
  <c r="AH10" i="74" s="1"/>
  <c r="Y10" i="74"/>
  <c r="X10" i="74"/>
  <c r="W10" i="74"/>
  <c r="V10" i="74"/>
  <c r="C10" i="74"/>
  <c r="AK9" i="74"/>
  <c r="AG9" i="74"/>
  <c r="AH9" i="74" s="1"/>
  <c r="AA9" i="74"/>
  <c r="O9" i="74" s="1"/>
  <c r="Y9" i="74"/>
  <c r="X9" i="74"/>
  <c r="W9" i="74"/>
  <c r="V9" i="74"/>
  <c r="A4" i="74"/>
  <c r="AC19" i="75" l="1"/>
  <c r="Q19" i="75" s="1"/>
  <c r="AC29" i="75"/>
  <c r="AC22" i="75"/>
  <c r="Q22" i="75" s="1"/>
  <c r="AC9" i="75"/>
  <c r="Q9" i="75" s="1"/>
  <c r="AC10" i="75"/>
  <c r="Q10" i="75" s="1"/>
  <c r="AC11" i="75"/>
  <c r="Q11" i="75" s="1"/>
  <c r="AC15" i="75"/>
  <c r="Q15" i="75" s="1"/>
  <c r="AC18" i="75"/>
  <c r="Q18" i="75" s="1"/>
  <c r="AC21" i="75"/>
  <c r="Q21" i="75" s="1"/>
  <c r="AB9" i="75"/>
  <c r="P9" i="75" s="1"/>
  <c r="AB10" i="75"/>
  <c r="P10" i="75" s="1"/>
  <c r="AB14" i="75"/>
  <c r="P14" i="75" s="1"/>
  <c r="AB15" i="75"/>
  <c r="P15" i="75" s="1"/>
  <c r="AB16" i="75"/>
  <c r="P16" i="75" s="1"/>
  <c r="AB17" i="75"/>
  <c r="P17" i="75" s="1"/>
  <c r="AB18" i="75"/>
  <c r="P18" i="75" s="1"/>
  <c r="AB19" i="75"/>
  <c r="P19" i="75" s="1"/>
  <c r="AB23" i="75"/>
  <c r="P23" i="75" s="1"/>
  <c r="AB27" i="75"/>
  <c r="P27" i="75" s="1"/>
  <c r="AB11" i="75"/>
  <c r="P11" i="75" s="1"/>
  <c r="AB22" i="75"/>
  <c r="P22" i="75" s="1"/>
  <c r="AB20" i="75"/>
  <c r="P20" i="75" s="1"/>
  <c r="AB12" i="75"/>
  <c r="P12" i="75" s="1"/>
  <c r="AB13" i="75"/>
  <c r="P13" i="75" s="1"/>
  <c r="AB24" i="75"/>
  <c r="P24" i="75" s="1"/>
  <c r="AB26" i="75"/>
  <c r="P26" i="75" s="1"/>
  <c r="AD12" i="74"/>
  <c r="R12" i="74" s="1"/>
  <c r="AD20" i="74"/>
  <c r="R20" i="74" s="1"/>
  <c r="AD26" i="74"/>
  <c r="R26" i="74" s="1"/>
  <c r="AD10" i="74"/>
  <c r="R10" i="74" s="1"/>
  <c r="AD24" i="74"/>
  <c r="R24" i="74" s="1"/>
  <c r="AD14" i="74"/>
  <c r="R14" i="74" s="1"/>
  <c r="AD13" i="74"/>
  <c r="R13" i="74" s="1"/>
  <c r="AD25" i="74"/>
  <c r="R25" i="74" s="1"/>
  <c r="AD21" i="74"/>
  <c r="R21" i="74" s="1"/>
  <c r="AC29" i="74"/>
  <c r="AC18" i="74"/>
  <c r="Q18" i="74" s="1"/>
  <c r="AC15" i="74"/>
  <c r="Q15" i="74" s="1"/>
  <c r="AC23" i="74"/>
  <c r="Q23" i="74" s="1"/>
  <c r="AC24" i="74"/>
  <c r="Q24" i="74" s="1"/>
  <c r="AC13" i="74"/>
  <c r="Q13" i="74" s="1"/>
  <c r="AC12" i="74"/>
  <c r="Q12" i="74" s="1"/>
  <c r="AC14" i="74"/>
  <c r="Q14" i="74" s="1"/>
  <c r="AC11" i="74"/>
  <c r="Q11" i="74" s="1"/>
  <c r="AC19" i="74"/>
  <c r="Q19" i="74" s="1"/>
  <c r="AC27" i="74"/>
  <c r="Q27" i="74" s="1"/>
  <c r="AC28" i="74"/>
  <c r="Q28" i="74" s="1"/>
  <c r="AC20" i="74"/>
  <c r="Q20" i="74" s="1"/>
  <c r="AC17" i="74"/>
  <c r="Q17" i="74" s="1"/>
  <c r="AC10" i="74"/>
  <c r="Q10" i="74" s="1"/>
  <c r="AC16" i="74"/>
  <c r="Q16" i="74" s="1"/>
  <c r="AA15" i="74"/>
  <c r="O15" i="74" s="1"/>
  <c r="AA12" i="74"/>
  <c r="O12" i="74" s="1"/>
  <c r="AA10" i="74"/>
  <c r="O10" i="74" s="1"/>
  <c r="AA27" i="74"/>
  <c r="O27" i="74" s="1"/>
  <c r="AA11" i="74"/>
  <c r="O11" i="74" s="1"/>
  <c r="AA28" i="74"/>
  <c r="O28" i="74" s="1"/>
  <c r="AA13" i="74"/>
  <c r="O13" i="74" s="1"/>
  <c r="AA16" i="74"/>
  <c r="O16" i="74" s="1"/>
  <c r="AA23" i="74"/>
  <c r="O23" i="74" s="1"/>
  <c r="AA17" i="74"/>
  <c r="O17" i="74" s="1"/>
  <c r="AA19" i="74"/>
  <c r="O19" i="74" s="1"/>
  <c r="AA14" i="74"/>
  <c r="O14" i="74" s="1"/>
  <c r="AA20" i="74"/>
  <c r="O20" i="74" s="1"/>
  <c r="AA18" i="74"/>
  <c r="O18" i="74" s="1"/>
  <c r="AA24" i="74"/>
  <c r="O24" i="74" s="1"/>
  <c r="AA25" i="74"/>
  <c r="O25" i="74" s="1"/>
  <c r="AC12" i="75"/>
  <c r="Q12" i="75" s="1"/>
  <c r="AC25" i="75"/>
  <c r="Q25" i="75" s="1"/>
  <c r="AC14" i="75"/>
  <c r="Q14" i="75" s="1"/>
  <c r="AC26" i="75"/>
  <c r="Q26" i="75" s="1"/>
  <c r="AC16" i="75"/>
  <c r="Q16" i="75" s="1"/>
  <c r="AC17" i="75"/>
  <c r="Q17" i="75" s="1"/>
  <c r="G73" i="75"/>
  <c r="M36" i="75"/>
  <c r="J73" i="75" s="1"/>
  <c r="I73" i="75"/>
  <c r="I63" i="74"/>
  <c r="G36" i="74"/>
  <c r="J63" i="74" s="1"/>
  <c r="G63" i="74"/>
  <c r="AB20" i="74"/>
  <c r="P20" i="74" s="1"/>
  <c r="AB17" i="74"/>
  <c r="P17" i="74" s="1"/>
  <c r="AB10" i="74"/>
  <c r="P10" i="74" s="1"/>
  <c r="AB26" i="74"/>
  <c r="P26" i="74" s="1"/>
  <c r="AB9" i="74"/>
  <c r="P9" i="74" s="1"/>
  <c r="AB25" i="74"/>
  <c r="P25" i="74" s="1"/>
  <c r="AB12" i="74"/>
  <c r="P12" i="74" s="1"/>
  <c r="AB29" i="74"/>
  <c r="AB23" i="74"/>
  <c r="P23" i="74" s="1"/>
  <c r="AB11" i="74"/>
  <c r="P11" i="74" s="1"/>
  <c r="AB21" i="74"/>
  <c r="P21" i="74" s="1"/>
  <c r="AB22" i="74"/>
  <c r="P22" i="74" s="1"/>
  <c r="AA9" i="75"/>
  <c r="O9" i="75" s="1"/>
  <c r="AA10" i="75"/>
  <c r="O10" i="75" s="1"/>
  <c r="AA11" i="75"/>
  <c r="O11" i="75" s="1"/>
  <c r="AA19" i="75"/>
  <c r="O19" i="75" s="1"/>
  <c r="AA12" i="75"/>
  <c r="O12" i="75" s="1"/>
  <c r="AA13" i="75"/>
  <c r="O13" i="75" s="1"/>
  <c r="AA14" i="75"/>
  <c r="O14" i="75" s="1"/>
  <c r="AA15" i="75"/>
  <c r="O15" i="75" s="1"/>
  <c r="AA23" i="75"/>
  <c r="O23" i="75" s="1"/>
  <c r="AA16" i="75"/>
  <c r="O16" i="75" s="1"/>
  <c r="AA27" i="75"/>
  <c r="O27" i="75" s="1"/>
  <c r="AA17" i="75"/>
  <c r="O17" i="75" s="1"/>
  <c r="AA20" i="75"/>
  <c r="O20" i="75" s="1"/>
  <c r="AA22" i="75"/>
  <c r="O22" i="75" s="1"/>
  <c r="AC23" i="75"/>
  <c r="Q23" i="75" s="1"/>
  <c r="AA24" i="75"/>
  <c r="O24" i="75" s="1"/>
  <c r="AC27" i="75"/>
  <c r="Q27" i="75" s="1"/>
  <c r="AA28" i="75"/>
  <c r="O28" i="75" s="1"/>
  <c r="AH22" i="75"/>
  <c r="AC20" i="75"/>
  <c r="Q20" i="75" s="1"/>
  <c r="AA21" i="75"/>
  <c r="O21" i="75" s="1"/>
  <c r="AI22" i="75"/>
  <c r="AC24" i="75"/>
  <c r="Q24" i="75" s="1"/>
  <c r="AA25" i="75"/>
  <c r="O25" i="75" s="1"/>
  <c r="AI26" i="75"/>
  <c r="AC28" i="75"/>
  <c r="Q28" i="75" s="1"/>
  <c r="AI29" i="75"/>
  <c r="AI32" i="75"/>
  <c r="AH37" i="75"/>
  <c r="AK38" i="75"/>
  <c r="AI40" i="75"/>
  <c r="AH45" i="75"/>
  <c r="AK46" i="75"/>
  <c r="AI48" i="75"/>
  <c r="AH53" i="75"/>
  <c r="AK54" i="75"/>
  <c r="AI56" i="75"/>
  <c r="AH26" i="75"/>
  <c r="AH9" i="75"/>
  <c r="AH10" i="75"/>
  <c r="AD20" i="75"/>
  <c r="R20" i="75" s="1"/>
  <c r="R29" i="75" s="1"/>
  <c r="AB21" i="75"/>
  <c r="P21" i="75" s="1"/>
  <c r="AJ22" i="75"/>
  <c r="AD24" i="75"/>
  <c r="R24" i="75" s="1"/>
  <c r="AB25" i="75"/>
  <c r="P25" i="75" s="1"/>
  <c r="AJ26" i="75"/>
  <c r="AJ29" i="75"/>
  <c r="AJ32" i="75"/>
  <c r="AI37" i="75"/>
  <c r="AJ40" i="75"/>
  <c r="AI45" i="75"/>
  <c r="AJ48" i="75"/>
  <c r="AI53" i="75"/>
  <c r="AJ56" i="75"/>
  <c r="AI19" i="75"/>
  <c r="AI23" i="75"/>
  <c r="AI27" i="75"/>
  <c r="AK29" i="75"/>
  <c r="AH31" i="75"/>
  <c r="AK32" i="75"/>
  <c r="AH35" i="75"/>
  <c r="AJ37" i="75"/>
  <c r="AH39" i="75"/>
  <c r="AJ45" i="75"/>
  <c r="AH47" i="75"/>
  <c r="AJ53" i="75"/>
  <c r="AH55" i="75"/>
  <c r="AH58" i="75"/>
  <c r="AB28" i="75"/>
  <c r="P28" i="75" s="1"/>
  <c r="AJ19" i="75"/>
  <c r="AD21" i="75"/>
  <c r="R21" i="75" s="1"/>
  <c r="AJ23" i="75"/>
  <c r="AJ27" i="75"/>
  <c r="AH28" i="75"/>
  <c r="AA29" i="75"/>
  <c r="AB30" i="75"/>
  <c r="AI31" i="75"/>
  <c r="AI35" i="75"/>
  <c r="AH36" i="75"/>
  <c r="AI39" i="75"/>
  <c r="AJ42" i="75"/>
  <c r="AH44" i="75"/>
  <c r="AI47" i="75"/>
  <c r="AJ50" i="75"/>
  <c r="AH52" i="75"/>
  <c r="AI55" i="75"/>
  <c r="AI58" i="75"/>
  <c r="AH59" i="75"/>
  <c r="AI20" i="75"/>
  <c r="AI24" i="75"/>
  <c r="AI28" i="75"/>
  <c r="AB29" i="75"/>
  <c r="AJ31" i="75"/>
  <c r="AH33" i="75"/>
  <c r="AH34" i="75"/>
  <c r="AJ35" i="75"/>
  <c r="AI36" i="75"/>
  <c r="AJ39" i="75"/>
  <c r="AH41" i="75"/>
  <c r="AI44" i="75"/>
  <c r="AJ47" i="75"/>
  <c r="AH49" i="75"/>
  <c r="AI52" i="75"/>
  <c r="AJ55" i="75"/>
  <c r="AH57" i="75"/>
  <c r="AJ58" i="75"/>
  <c r="AI59" i="75"/>
  <c r="AB27" i="74"/>
  <c r="P27" i="74" s="1"/>
  <c r="AC9" i="74"/>
  <c r="Q9" i="74" s="1"/>
  <c r="AI21" i="74"/>
  <c r="AI25" i="74"/>
  <c r="AJ33" i="74"/>
  <c r="AJ34" i="74"/>
  <c r="AK36" i="74"/>
  <c r="AJ41" i="74"/>
  <c r="AH43" i="74"/>
  <c r="AK44" i="74"/>
  <c r="AJ49" i="74"/>
  <c r="AH51" i="74"/>
  <c r="AK52" i="74"/>
  <c r="AJ57" i="74"/>
  <c r="AK59" i="74"/>
  <c r="AD16" i="74"/>
  <c r="R16" i="74" s="1"/>
  <c r="AD18" i="74"/>
  <c r="R18" i="74" s="1"/>
  <c r="AD27" i="74"/>
  <c r="R27" i="74" s="1"/>
  <c r="AH37" i="74"/>
  <c r="AH45" i="74"/>
  <c r="AH53" i="74"/>
  <c r="AD9" i="74"/>
  <c r="R9" i="74" s="1"/>
  <c r="AD15" i="74"/>
  <c r="R15" i="74" s="1"/>
  <c r="AD17" i="74"/>
  <c r="R17" i="74" s="1"/>
  <c r="AB24" i="74"/>
  <c r="P24" i="74" s="1"/>
  <c r="AB28" i="74"/>
  <c r="P28" i="74" s="1"/>
  <c r="AA21" i="74"/>
  <c r="O21" i="74" s="1"/>
  <c r="AH27" i="74"/>
  <c r="AI37" i="74"/>
  <c r="AH42" i="74"/>
  <c r="AI45" i="74"/>
  <c r="AH50" i="74"/>
  <c r="AI53" i="74"/>
  <c r="AD19" i="74"/>
  <c r="R19" i="74" s="1"/>
  <c r="AD23" i="74"/>
  <c r="R23" i="74" s="1"/>
  <c r="AC21" i="74"/>
  <c r="Q21" i="74" s="1"/>
  <c r="AA22" i="74"/>
  <c r="O22" i="74" s="1"/>
  <c r="AC25" i="74"/>
  <c r="Q25" i="74" s="1"/>
  <c r="AA26" i="74"/>
  <c r="O26" i="74" s="1"/>
  <c r="AH31" i="74"/>
  <c r="AH35" i="74"/>
  <c r="AJ37" i="74"/>
  <c r="AH39" i="74"/>
  <c r="AI42" i="74"/>
  <c r="AJ45" i="74"/>
  <c r="AH47" i="74"/>
  <c r="AI50" i="74"/>
  <c r="AJ53" i="74"/>
  <c r="AH55" i="74"/>
  <c r="AA29" i="74"/>
  <c r="AB30" i="74"/>
  <c r="AI31" i="74"/>
  <c r="AI35" i="74"/>
  <c r="AJ42" i="74"/>
  <c r="AJ50" i="74"/>
  <c r="AC22" i="74"/>
  <c r="Q22" i="74" s="1"/>
  <c r="AC26" i="74"/>
  <c r="Q26" i="74" s="1"/>
  <c r="AJ31" i="74"/>
  <c r="AH33" i="74"/>
  <c r="AH34" i="74"/>
  <c r="AJ35" i="74"/>
  <c r="AH41" i="74"/>
  <c r="AH49" i="74"/>
  <c r="AH57" i="74"/>
  <c r="AD22" i="74"/>
  <c r="R22" i="74" s="1"/>
  <c r="A4" i="73"/>
  <c r="P29" i="75" l="1"/>
  <c r="E34" i="75" s="1"/>
  <c r="G63" i="75" s="1"/>
  <c r="O29" i="74"/>
  <c r="B34" i="74" s="1"/>
  <c r="D34" i="74" s="1"/>
  <c r="B35" i="74" s="1"/>
  <c r="Q29" i="75"/>
  <c r="H34" i="75" s="1"/>
  <c r="P29" i="74"/>
  <c r="O29" i="75"/>
  <c r="G58" i="75" s="1"/>
  <c r="R29" i="74"/>
  <c r="K34" i="74" s="1"/>
  <c r="Q29" i="74"/>
  <c r="H34" i="74" s="1"/>
  <c r="AG5" i="25"/>
  <c r="AH6" i="25" s="1"/>
  <c r="H73" i="73"/>
  <c r="H73" i="25"/>
  <c r="H68" i="73"/>
  <c r="H68" i="25"/>
  <c r="H63" i="73"/>
  <c r="H63" i="25"/>
  <c r="H58" i="73"/>
  <c r="H58" i="25"/>
  <c r="E77" i="73"/>
  <c r="D77" i="73"/>
  <c r="C77" i="73"/>
  <c r="B77" i="73"/>
  <c r="E76" i="73"/>
  <c r="D76" i="73"/>
  <c r="C76" i="73"/>
  <c r="B76" i="73"/>
  <c r="E75" i="73"/>
  <c r="D75" i="73"/>
  <c r="C75" i="73"/>
  <c r="B75" i="73"/>
  <c r="E74" i="73"/>
  <c r="D74" i="73"/>
  <c r="C74" i="73"/>
  <c r="B74" i="73"/>
  <c r="E73" i="73"/>
  <c r="D73" i="73"/>
  <c r="C73" i="73"/>
  <c r="B73" i="73"/>
  <c r="E72" i="73"/>
  <c r="D72" i="73"/>
  <c r="C72" i="73"/>
  <c r="B72" i="73"/>
  <c r="E71" i="73"/>
  <c r="D71" i="73"/>
  <c r="C71" i="73"/>
  <c r="B71" i="73"/>
  <c r="E70" i="73"/>
  <c r="D70" i="73"/>
  <c r="C70" i="73"/>
  <c r="B70" i="73"/>
  <c r="E69" i="73"/>
  <c r="D69" i="73"/>
  <c r="C69" i="73"/>
  <c r="B69" i="73"/>
  <c r="E68" i="73"/>
  <c r="D68" i="73"/>
  <c r="C68" i="73"/>
  <c r="B68" i="73"/>
  <c r="E67" i="73"/>
  <c r="D67" i="73"/>
  <c r="C67" i="73"/>
  <c r="B67" i="73"/>
  <c r="E66" i="73"/>
  <c r="D66" i="73"/>
  <c r="C66" i="73"/>
  <c r="B66" i="73"/>
  <c r="E65" i="73"/>
  <c r="D65" i="73"/>
  <c r="C65" i="73"/>
  <c r="B65" i="73"/>
  <c r="E64" i="73"/>
  <c r="D64" i="73"/>
  <c r="C64" i="73"/>
  <c r="B64" i="73"/>
  <c r="E63" i="73"/>
  <c r="D63" i="73"/>
  <c r="C63" i="73"/>
  <c r="B63" i="73"/>
  <c r="E62" i="73"/>
  <c r="D62" i="73"/>
  <c r="C62" i="73"/>
  <c r="B62" i="73"/>
  <c r="E61" i="73"/>
  <c r="D61" i="73"/>
  <c r="C61" i="73"/>
  <c r="B61" i="73"/>
  <c r="E60" i="73"/>
  <c r="D60" i="73"/>
  <c r="C60" i="73"/>
  <c r="B60" i="73"/>
  <c r="AG59" i="73"/>
  <c r="AH59" i="73" s="1"/>
  <c r="E59" i="73"/>
  <c r="D59" i="73"/>
  <c r="C59" i="73"/>
  <c r="B59" i="73"/>
  <c r="AG58" i="73"/>
  <c r="E58" i="73"/>
  <c r="D58" i="73"/>
  <c r="C58" i="73"/>
  <c r="B58" i="73"/>
  <c r="AG57" i="73"/>
  <c r="AI57" i="73" s="1"/>
  <c r="AG56" i="73"/>
  <c r="AJ56" i="73" s="1"/>
  <c r="AG55" i="73"/>
  <c r="AG54" i="73"/>
  <c r="AG53" i="73"/>
  <c r="AI53" i="73" s="1"/>
  <c r="AG52" i="73"/>
  <c r="AK52" i="73" s="1"/>
  <c r="AG51" i="73"/>
  <c r="AI51" i="73" s="1"/>
  <c r="AG50" i="73"/>
  <c r="AG49" i="73"/>
  <c r="AK49" i="73" s="1"/>
  <c r="AG48" i="73"/>
  <c r="AJ48" i="73" s="1"/>
  <c r="AG47" i="73"/>
  <c r="AH47" i="73" s="1"/>
  <c r="AG46" i="73"/>
  <c r="AI46" i="73" s="1"/>
  <c r="AG45" i="73"/>
  <c r="AG44" i="73"/>
  <c r="AG43" i="73"/>
  <c r="AH43" i="73" s="1"/>
  <c r="AG42" i="73"/>
  <c r="AH42" i="73" s="1"/>
  <c r="AG41" i="73"/>
  <c r="AK41" i="73" s="1"/>
  <c r="AG40" i="73"/>
  <c r="AJ40" i="73" s="1"/>
  <c r="AG39" i="73"/>
  <c r="AJ39" i="73" s="1"/>
  <c r="AG38" i="73"/>
  <c r="AG37" i="73"/>
  <c r="AK37" i="73" s="1"/>
  <c r="AG36" i="73"/>
  <c r="AG35" i="73"/>
  <c r="AG34" i="73"/>
  <c r="AK34" i="73" s="1"/>
  <c r="AG33" i="73"/>
  <c r="AH33" i="73" s="1"/>
  <c r="AG32" i="73"/>
  <c r="AK32" i="73" s="1"/>
  <c r="AG31" i="73"/>
  <c r="AH31" i="73" s="1"/>
  <c r="AG30" i="73"/>
  <c r="AK30" i="73" s="1"/>
  <c r="AG29" i="73"/>
  <c r="AI29" i="73" s="1"/>
  <c r="AG28" i="73"/>
  <c r="Y28" i="73"/>
  <c r="X28" i="73"/>
  <c r="W28" i="73"/>
  <c r="V28" i="73"/>
  <c r="C28" i="73"/>
  <c r="AG27" i="73"/>
  <c r="Y27" i="73"/>
  <c r="X27" i="73"/>
  <c r="W27" i="73"/>
  <c r="V27" i="73"/>
  <c r="C27" i="73"/>
  <c r="AG26" i="73"/>
  <c r="AI26" i="73" s="1"/>
  <c r="Y26" i="73"/>
  <c r="X26" i="73"/>
  <c r="W26" i="73"/>
  <c r="V26" i="73"/>
  <c r="C26" i="73"/>
  <c r="AG25" i="73"/>
  <c r="AK25" i="73" s="1"/>
  <c r="Y25" i="73"/>
  <c r="X25" i="73"/>
  <c r="W25" i="73"/>
  <c r="V25" i="73"/>
  <c r="C25" i="73"/>
  <c r="AG24" i="73"/>
  <c r="AK24" i="73" s="1"/>
  <c r="Y24" i="73"/>
  <c r="X24" i="73"/>
  <c r="W24" i="73"/>
  <c r="V24" i="73"/>
  <c r="C24" i="73"/>
  <c r="AG23" i="73"/>
  <c r="AH23" i="73" s="1"/>
  <c r="Y23" i="73"/>
  <c r="X23" i="73"/>
  <c r="W23" i="73"/>
  <c r="V23" i="73"/>
  <c r="C23" i="73"/>
  <c r="AG22" i="73"/>
  <c r="AK22" i="73" s="1"/>
  <c r="Y22" i="73"/>
  <c r="X22" i="73"/>
  <c r="W22" i="73"/>
  <c r="V22" i="73"/>
  <c r="C22" i="73"/>
  <c r="AG21" i="73"/>
  <c r="AK21" i="73" s="1"/>
  <c r="Y21" i="73"/>
  <c r="X21" i="73"/>
  <c r="W21" i="73"/>
  <c r="V21" i="73"/>
  <c r="C21" i="73"/>
  <c r="AG20" i="73"/>
  <c r="AK20" i="73" s="1"/>
  <c r="Y20" i="73"/>
  <c r="X20" i="73"/>
  <c r="W20" i="73"/>
  <c r="V20" i="73"/>
  <c r="C20" i="73"/>
  <c r="AG19" i="73"/>
  <c r="AJ19" i="73" s="1"/>
  <c r="Y19" i="73"/>
  <c r="X19" i="73"/>
  <c r="W19" i="73"/>
  <c r="V19" i="73"/>
  <c r="C19" i="73"/>
  <c r="AG18" i="73"/>
  <c r="AH18" i="73"/>
  <c r="Y18" i="73"/>
  <c r="X18" i="73"/>
  <c r="W18" i="73"/>
  <c r="V18" i="73"/>
  <c r="C18" i="73"/>
  <c r="AG17" i="73"/>
  <c r="Y17" i="73"/>
  <c r="X17" i="73"/>
  <c r="W17" i="73"/>
  <c r="V17" i="73"/>
  <c r="C17" i="73"/>
  <c r="AG16" i="73"/>
  <c r="Y16" i="73"/>
  <c r="X16" i="73"/>
  <c r="W16" i="73"/>
  <c r="V16" i="73"/>
  <c r="C16" i="73"/>
  <c r="AG15" i="73"/>
  <c r="AH15" i="73" s="1"/>
  <c r="Y15" i="73"/>
  <c r="X15" i="73"/>
  <c r="W15" i="73"/>
  <c r="V15" i="73"/>
  <c r="C15" i="73"/>
  <c r="AG14" i="73"/>
  <c r="AK14" i="73" s="1"/>
  <c r="Y14" i="73"/>
  <c r="X14" i="73"/>
  <c r="W14" i="73"/>
  <c r="V14" i="73"/>
  <c r="C14" i="73"/>
  <c r="AG13" i="73"/>
  <c r="AH13" i="73" s="1"/>
  <c r="Y13" i="73"/>
  <c r="X13" i="73"/>
  <c r="W13" i="73"/>
  <c r="V13" i="73"/>
  <c r="C13" i="73"/>
  <c r="AG12" i="73"/>
  <c r="Y12" i="73"/>
  <c r="X12" i="73"/>
  <c r="W12" i="73"/>
  <c r="V12" i="73"/>
  <c r="C12" i="73"/>
  <c r="AG11" i="73"/>
  <c r="AK11" i="73" s="1"/>
  <c r="Y11" i="73"/>
  <c r="X11" i="73"/>
  <c r="W11" i="73"/>
  <c r="V11" i="73"/>
  <c r="C11" i="73"/>
  <c r="AG10" i="73"/>
  <c r="AH10" i="73" s="1"/>
  <c r="Y10" i="73"/>
  <c r="X10" i="73"/>
  <c r="W10" i="73"/>
  <c r="V10" i="73"/>
  <c r="C10" i="73"/>
  <c r="AG9" i="73"/>
  <c r="Y9" i="73"/>
  <c r="X9" i="73"/>
  <c r="W9" i="73"/>
  <c r="V9" i="73"/>
  <c r="E77" i="25"/>
  <c r="D77" i="25"/>
  <c r="C77" i="25"/>
  <c r="E76" i="25"/>
  <c r="D76" i="25"/>
  <c r="C76" i="25"/>
  <c r="E75" i="25"/>
  <c r="D75" i="25"/>
  <c r="C75" i="25"/>
  <c r="E74" i="25"/>
  <c r="D74" i="25"/>
  <c r="C74" i="25"/>
  <c r="B77" i="25"/>
  <c r="B76" i="25"/>
  <c r="B75" i="25"/>
  <c r="B74" i="25"/>
  <c r="E73" i="25"/>
  <c r="D73" i="25"/>
  <c r="C73" i="25"/>
  <c r="B73" i="25"/>
  <c r="L34" i="25"/>
  <c r="I34" i="25"/>
  <c r="F34" i="25"/>
  <c r="C34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10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X28" i="25"/>
  <c r="X27" i="25"/>
  <c r="X26" i="25"/>
  <c r="X25" i="25"/>
  <c r="X24" i="25"/>
  <c r="X23" i="25"/>
  <c r="X22" i="25"/>
  <c r="X21" i="25"/>
  <c r="X20" i="25"/>
  <c r="X19" i="25"/>
  <c r="X18" i="25"/>
  <c r="X17" i="25"/>
  <c r="X16" i="25"/>
  <c r="X15" i="25"/>
  <c r="X14" i="25"/>
  <c r="X13" i="25"/>
  <c r="X12" i="25"/>
  <c r="X11" i="25"/>
  <c r="X10" i="25"/>
  <c r="X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AG10" i="25"/>
  <c r="AH10" i="25" s="1"/>
  <c r="AG11" i="25"/>
  <c r="AH11" i="25" s="1"/>
  <c r="AG12" i="25"/>
  <c r="AH12" i="25" s="1"/>
  <c r="AG13" i="25"/>
  <c r="AH13" i="25"/>
  <c r="AG14" i="25"/>
  <c r="AH14" i="25" s="1"/>
  <c r="AG15" i="25"/>
  <c r="AH15" i="25" s="1"/>
  <c r="AG16" i="25"/>
  <c r="AH16" i="25" s="1"/>
  <c r="AG17" i="25"/>
  <c r="AH17" i="25" s="1"/>
  <c r="AG18" i="25"/>
  <c r="AH18" i="25" s="1"/>
  <c r="AG19" i="25"/>
  <c r="AH19" i="25" s="1"/>
  <c r="AG20" i="25"/>
  <c r="AH20" i="25" s="1"/>
  <c r="AG21" i="25"/>
  <c r="AH21" i="25"/>
  <c r="AG22" i="25"/>
  <c r="AH22" i="25" s="1"/>
  <c r="AG23" i="25"/>
  <c r="AH23" i="25" s="1"/>
  <c r="AG24" i="25"/>
  <c r="AH24" i="25" s="1"/>
  <c r="AG25" i="25"/>
  <c r="AH25" i="25" s="1"/>
  <c r="AG26" i="25"/>
  <c r="AH26" i="25" s="1"/>
  <c r="AG27" i="25"/>
  <c r="AH27" i="25" s="1"/>
  <c r="AG28" i="25"/>
  <c r="AH28" i="25" s="1"/>
  <c r="AG29" i="25"/>
  <c r="AH29" i="25" s="1"/>
  <c r="AG30" i="25"/>
  <c r="AH30" i="25" s="1"/>
  <c r="AG31" i="25"/>
  <c r="AH31" i="25" s="1"/>
  <c r="AG32" i="25"/>
  <c r="AH32" i="25" s="1"/>
  <c r="AG33" i="25"/>
  <c r="AH33" i="25" s="1"/>
  <c r="AG34" i="25"/>
  <c r="AH34" i="25" s="1"/>
  <c r="AG35" i="25"/>
  <c r="AH35" i="25" s="1"/>
  <c r="AG36" i="25"/>
  <c r="AH36" i="25" s="1"/>
  <c r="AG37" i="25"/>
  <c r="AH37" i="25"/>
  <c r="AG38" i="25"/>
  <c r="AH38" i="25" s="1"/>
  <c r="AG39" i="25"/>
  <c r="AH39" i="25" s="1"/>
  <c r="AG40" i="25"/>
  <c r="AH40" i="25" s="1"/>
  <c r="AG41" i="25"/>
  <c r="AJ41" i="25" s="1"/>
  <c r="AG42" i="25"/>
  <c r="AH42" i="25" s="1"/>
  <c r="AG43" i="25"/>
  <c r="AH43" i="25" s="1"/>
  <c r="AG44" i="25"/>
  <c r="AH44" i="25" s="1"/>
  <c r="AG45" i="25"/>
  <c r="AH45" i="25"/>
  <c r="AG46" i="25"/>
  <c r="AH46" i="25" s="1"/>
  <c r="AG47" i="25"/>
  <c r="AH47" i="25" s="1"/>
  <c r="AG48" i="25"/>
  <c r="AH48" i="25" s="1"/>
  <c r="AG49" i="25"/>
  <c r="AH49" i="25" s="1"/>
  <c r="AG50" i="25"/>
  <c r="AH50" i="25" s="1"/>
  <c r="AG51" i="25"/>
  <c r="AH51" i="25" s="1"/>
  <c r="AG52" i="25"/>
  <c r="AH52" i="25" s="1"/>
  <c r="AG53" i="25"/>
  <c r="AH53" i="25"/>
  <c r="AG54" i="25"/>
  <c r="AH54" i="25" s="1"/>
  <c r="AG55" i="25"/>
  <c r="AH55" i="25" s="1"/>
  <c r="AG56" i="25"/>
  <c r="AH56" i="25" s="1"/>
  <c r="AG57" i="25"/>
  <c r="AH57" i="25" s="1"/>
  <c r="AG58" i="25"/>
  <c r="AH58" i="25" s="1"/>
  <c r="AG59" i="25"/>
  <c r="AH59" i="25" s="1"/>
  <c r="AG9" i="25"/>
  <c r="AK9" i="25" s="1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AI32" i="73"/>
  <c r="AH54" i="73"/>
  <c r="AJ54" i="73"/>
  <c r="AK18" i="73"/>
  <c r="AK51" i="73"/>
  <c r="AH14" i="73"/>
  <c r="AH24" i="73"/>
  <c r="AI31" i="73"/>
  <c r="AJ32" i="73"/>
  <c r="AI47" i="73"/>
  <c r="AJ51" i="73"/>
  <c r="AJ53" i="73"/>
  <c r="AI24" i="73"/>
  <c r="AJ29" i="73"/>
  <c r="AJ35" i="73"/>
  <c r="AJ47" i="73"/>
  <c r="AJ57" i="73"/>
  <c r="AK15" i="73"/>
  <c r="AI23" i="73"/>
  <c r="AJ28" i="73"/>
  <c r="AH32" i="73"/>
  <c r="AJ46" i="73"/>
  <c r="AH51" i="73"/>
  <c r="AI54" i="73"/>
  <c r="AJ20" i="73"/>
  <c r="AJ24" i="73"/>
  <c r="AJ31" i="73"/>
  <c r="AI48" i="73"/>
  <c r="AH39" i="73"/>
  <c r="AI39" i="73"/>
  <c r="AK10" i="73"/>
  <c r="AH29" i="73"/>
  <c r="AI36" i="73"/>
  <c r="AJ50" i="73"/>
  <c r="AK55" i="73"/>
  <c r="AK48" i="73"/>
  <c r="AH48" i="73"/>
  <c r="AI58" i="73"/>
  <c r="AJ36" i="73"/>
  <c r="AJ49" i="73"/>
  <c r="AK59" i="73"/>
  <c r="AI59" i="73"/>
  <c r="AH11" i="73"/>
  <c r="AK12" i="73"/>
  <c r="AH12" i="73"/>
  <c r="AK16" i="73"/>
  <c r="AH16" i="73"/>
  <c r="AK17" i="73"/>
  <c r="AH17" i="73"/>
  <c r="AJ45" i="73"/>
  <c r="AI45" i="73"/>
  <c r="AH45" i="73"/>
  <c r="AJ41" i="73"/>
  <c r="AI41" i="73"/>
  <c r="AH41" i="73"/>
  <c r="AK45" i="73"/>
  <c r="AJ52" i="73"/>
  <c r="AI52" i="73"/>
  <c r="AH52" i="73"/>
  <c r="AJ21" i="73"/>
  <c r="AI21" i="73"/>
  <c r="AH21" i="73"/>
  <c r="AI33" i="73"/>
  <c r="AJ25" i="73"/>
  <c r="AI25" i="73"/>
  <c r="AH25" i="73"/>
  <c r="AK26" i="73"/>
  <c r="AK38" i="73"/>
  <c r="AK42" i="73"/>
  <c r="AK46" i="73"/>
  <c r="AK53" i="73"/>
  <c r="AK57" i="73"/>
  <c r="AH22" i="73"/>
  <c r="AH26" i="73"/>
  <c r="AK31" i="73"/>
  <c r="AK35" i="73"/>
  <c r="AH38" i="73"/>
  <c r="AK39" i="73"/>
  <c r="AK43" i="73"/>
  <c r="AH46" i="73"/>
  <c r="AK47" i="73"/>
  <c r="AH53" i="73"/>
  <c r="AK54" i="73"/>
  <c r="AH57" i="73"/>
  <c r="AJ59" i="73"/>
  <c r="AK19" i="25"/>
  <c r="AK43" i="25"/>
  <c r="AK56" i="25"/>
  <c r="AK40" i="25"/>
  <c r="AK27" i="25"/>
  <c r="AK51" i="25"/>
  <c r="AK24" i="25"/>
  <c r="AK11" i="25"/>
  <c r="AK46" i="25"/>
  <c r="AK30" i="25"/>
  <c r="AK14" i="25"/>
  <c r="AK50" i="25"/>
  <c r="AK18" i="25"/>
  <c r="AK59" i="25"/>
  <c r="AK48" i="25"/>
  <c r="AK38" i="25"/>
  <c r="AK32" i="25"/>
  <c r="AK22" i="25"/>
  <c r="AK16" i="25"/>
  <c r="AK58" i="25"/>
  <c r="AK42" i="25"/>
  <c r="AK26" i="25"/>
  <c r="AK20" i="25"/>
  <c r="AK10" i="25"/>
  <c r="AK57" i="25"/>
  <c r="AJ59" i="25"/>
  <c r="AJ58" i="25"/>
  <c r="AJ57" i="25"/>
  <c r="AJ56" i="25"/>
  <c r="AJ54" i="25"/>
  <c r="AJ53" i="25"/>
  <c r="AJ51" i="25"/>
  <c r="AJ50" i="25"/>
  <c r="AJ49" i="25"/>
  <c r="AJ46" i="25"/>
  <c r="AJ45" i="25"/>
  <c r="AJ43" i="25"/>
  <c r="AJ42" i="25"/>
  <c r="AJ40" i="25"/>
  <c r="AJ38" i="25"/>
  <c r="AJ37" i="25"/>
  <c r="AJ35" i="25"/>
  <c r="AJ33" i="25"/>
  <c r="AJ32" i="25"/>
  <c r="AJ30" i="25"/>
  <c r="AJ29" i="25"/>
  <c r="AJ27" i="25"/>
  <c r="AJ26" i="25"/>
  <c r="AJ25" i="25"/>
  <c r="AJ24" i="25"/>
  <c r="AJ22" i="25"/>
  <c r="AJ21" i="25"/>
  <c r="AJ19" i="25"/>
  <c r="AK49" i="25"/>
  <c r="AK37" i="25"/>
  <c r="AK33" i="25"/>
  <c r="AK25" i="25"/>
  <c r="AK17" i="25"/>
  <c r="AI59" i="25"/>
  <c r="AI58" i="25"/>
  <c r="AI57" i="25"/>
  <c r="AI56" i="25"/>
  <c r="AI55" i="25"/>
  <c r="AI53" i="25"/>
  <c r="AI51" i="25"/>
  <c r="AI50" i="25"/>
  <c r="AI49" i="25"/>
  <c r="AI48" i="25"/>
  <c r="AI46" i="25"/>
  <c r="AI45" i="25"/>
  <c r="AI43" i="25"/>
  <c r="AI42" i="25"/>
  <c r="AI41" i="25"/>
  <c r="AI40" i="25"/>
  <c r="AI39" i="25"/>
  <c r="AI38" i="25"/>
  <c r="AI37" i="25"/>
  <c r="AI35" i="25"/>
  <c r="AI33" i="25"/>
  <c r="AI32" i="25"/>
  <c r="AI31" i="25"/>
  <c r="AI30" i="25"/>
  <c r="AI29" i="25"/>
  <c r="AI27" i="25"/>
  <c r="AI26" i="25"/>
  <c r="AI25" i="25"/>
  <c r="AI24" i="25"/>
  <c r="AI23" i="25"/>
  <c r="AI22" i="25"/>
  <c r="AI21" i="25"/>
  <c r="AI19" i="25"/>
  <c r="AK53" i="25"/>
  <c r="AK45" i="25"/>
  <c r="AK29" i="25"/>
  <c r="AK21" i="25"/>
  <c r="AK13" i="25"/>
  <c r="G34" i="75" l="1"/>
  <c r="E35" i="75" s="1"/>
  <c r="G73" i="74"/>
  <c r="M34" i="74"/>
  <c r="G68" i="74"/>
  <c r="J34" i="74"/>
  <c r="G58" i="74"/>
  <c r="J34" i="75"/>
  <c r="H35" i="75" s="1"/>
  <c r="G68" i="75"/>
  <c r="I58" i="75"/>
  <c r="I58" i="74"/>
  <c r="D36" i="74"/>
  <c r="J58" i="74" s="1"/>
  <c r="AH49" i="73"/>
  <c r="AH34" i="73"/>
  <c r="AH41" i="25"/>
  <c r="AK13" i="73"/>
  <c r="AH19" i="73"/>
  <c r="AJ34" i="25"/>
  <c r="AK54" i="25"/>
  <c r="AK35" i="25"/>
  <c r="AI49" i="73"/>
  <c r="AH9" i="25"/>
  <c r="AI19" i="73"/>
  <c r="AI54" i="25"/>
  <c r="AJ48" i="25"/>
  <c r="AK19" i="73"/>
  <c r="AK56" i="73"/>
  <c r="AH56" i="73"/>
  <c r="AI34" i="25"/>
  <c r="AK34" i="25"/>
  <c r="AI47" i="25"/>
  <c r="AK41" i="25"/>
  <c r="AI20" i="25"/>
  <c r="AI28" i="25"/>
  <c r="AI36" i="25"/>
  <c r="AI44" i="25"/>
  <c r="AI52" i="25"/>
  <c r="AK47" i="25"/>
  <c r="AK23" i="25"/>
  <c r="AK28" i="25"/>
  <c r="AK55" i="25"/>
  <c r="AK23" i="73"/>
  <c r="AH37" i="73"/>
  <c r="AI56" i="73"/>
  <c r="AI43" i="73"/>
  <c r="AJ26" i="73"/>
  <c r="AH40" i="73"/>
  <c r="AJ23" i="25"/>
  <c r="AJ31" i="25"/>
  <c r="AJ39" i="25"/>
  <c r="AK12" i="25"/>
  <c r="AI37" i="73"/>
  <c r="AI40" i="73"/>
  <c r="AJ43" i="73"/>
  <c r="AJ47" i="25"/>
  <c r="AJ55" i="25"/>
  <c r="AK31" i="25"/>
  <c r="AK52" i="25"/>
  <c r="AJ20" i="25"/>
  <c r="AJ28" i="25"/>
  <c r="AJ36" i="25"/>
  <c r="AJ44" i="25"/>
  <c r="AJ52" i="25"/>
  <c r="AK15" i="25"/>
  <c r="AK36" i="25"/>
  <c r="AK44" i="25"/>
  <c r="AK39" i="25"/>
  <c r="AH30" i="73"/>
  <c r="AJ37" i="73"/>
  <c r="AK40" i="73"/>
  <c r="AJ23" i="73"/>
  <c r="AD19" i="25"/>
  <c r="R19" i="25" s="1"/>
  <c r="AC27" i="73"/>
  <c r="Q27" i="73" s="1"/>
  <c r="AB17" i="73"/>
  <c r="P17" i="73" s="1"/>
  <c r="AB22" i="25"/>
  <c r="P22" i="25" s="1"/>
  <c r="AD28" i="73"/>
  <c r="R28" i="73" s="1"/>
  <c r="AD10" i="73"/>
  <c r="R10" i="73" s="1"/>
  <c r="AA23" i="73"/>
  <c r="O23" i="73" s="1"/>
  <c r="AD28" i="25"/>
  <c r="R28" i="25" s="1"/>
  <c r="AB20" i="25"/>
  <c r="P20" i="25" s="1"/>
  <c r="AB13" i="25"/>
  <c r="P13" i="25" s="1"/>
  <c r="AB25" i="25"/>
  <c r="P25" i="25" s="1"/>
  <c r="AA29" i="25"/>
  <c r="AD12" i="73"/>
  <c r="R12" i="73" s="1"/>
  <c r="AD15" i="73"/>
  <c r="R15" i="73" s="1"/>
  <c r="AC28" i="73"/>
  <c r="Q28" i="73" s="1"/>
  <c r="AC25" i="73"/>
  <c r="Q25" i="73" s="1"/>
  <c r="AC18" i="73"/>
  <c r="Q18" i="73" s="1"/>
  <c r="AB15" i="73"/>
  <c r="P15" i="73" s="1"/>
  <c r="AB24" i="73"/>
  <c r="P24" i="73" s="1"/>
  <c r="AD25" i="25"/>
  <c r="R25" i="25" s="1"/>
  <c r="AD21" i="25"/>
  <c r="R21" i="25" s="1"/>
  <c r="AB17" i="25"/>
  <c r="P17" i="25" s="1"/>
  <c r="AB28" i="25"/>
  <c r="P28" i="25" s="1"/>
  <c r="AB14" i="25"/>
  <c r="P14" i="25" s="1"/>
  <c r="AB26" i="25"/>
  <c r="P26" i="25" s="1"/>
  <c r="AB11" i="25"/>
  <c r="P11" i="25" s="1"/>
  <c r="AB23" i="25"/>
  <c r="P23" i="25" s="1"/>
  <c r="AB21" i="25"/>
  <c r="P21" i="25" s="1"/>
  <c r="AB10" i="25"/>
  <c r="P10" i="25" s="1"/>
  <c r="AA23" i="25"/>
  <c r="O23" i="25" s="1"/>
  <c r="AC24" i="73"/>
  <c r="Q24" i="73" s="1"/>
  <c r="AC10" i="73"/>
  <c r="Q10" i="73" s="1"/>
  <c r="AC16" i="73"/>
  <c r="Q16" i="73" s="1"/>
  <c r="AB30" i="73"/>
  <c r="AB23" i="73"/>
  <c r="P23" i="73" s="1"/>
  <c r="AB27" i="73"/>
  <c r="P27" i="73" s="1"/>
  <c r="AA21" i="73"/>
  <c r="O21" i="73" s="1"/>
  <c r="AA28" i="73"/>
  <c r="O28" i="73" s="1"/>
  <c r="AA26" i="73"/>
  <c r="O26" i="73" s="1"/>
  <c r="AD20" i="25"/>
  <c r="R20" i="25" s="1"/>
  <c r="AD14" i="25"/>
  <c r="R14" i="25" s="1"/>
  <c r="AD18" i="25"/>
  <c r="R18" i="25" s="1"/>
  <c r="AD22" i="25"/>
  <c r="R22" i="25" s="1"/>
  <c r="AD26" i="25"/>
  <c r="R26" i="25" s="1"/>
  <c r="AD11" i="25"/>
  <c r="R11" i="25" s="1"/>
  <c r="AD23" i="25"/>
  <c r="R23" i="25" s="1"/>
  <c r="AD27" i="25"/>
  <c r="R27" i="25" s="1"/>
  <c r="AD24" i="25"/>
  <c r="R24" i="25" s="1"/>
  <c r="AD10" i="25"/>
  <c r="R10" i="25" s="1"/>
  <c r="AD13" i="25"/>
  <c r="R13" i="25" s="1"/>
  <c r="AD16" i="25"/>
  <c r="R16" i="25" s="1"/>
  <c r="AD9" i="25"/>
  <c r="R9" i="25" s="1"/>
  <c r="AD15" i="25"/>
  <c r="R15" i="25" s="1"/>
  <c r="AD12" i="25"/>
  <c r="R12" i="25" s="1"/>
  <c r="AD17" i="25"/>
  <c r="R17" i="25" s="1"/>
  <c r="AB9" i="25"/>
  <c r="P9" i="25" s="1"/>
  <c r="AB29" i="25"/>
  <c r="AB19" i="25"/>
  <c r="P19" i="25" s="1"/>
  <c r="AB18" i="25"/>
  <c r="P18" i="25" s="1"/>
  <c r="AB16" i="25"/>
  <c r="P16" i="25" s="1"/>
  <c r="AB30" i="25"/>
  <c r="AB15" i="25"/>
  <c r="P15" i="25" s="1"/>
  <c r="AB27" i="25"/>
  <c r="P27" i="25" s="1"/>
  <c r="AB24" i="25"/>
  <c r="P24" i="25" s="1"/>
  <c r="AB12" i="25"/>
  <c r="P12" i="25" s="1"/>
  <c r="AA14" i="25"/>
  <c r="O14" i="25" s="1"/>
  <c r="AA25" i="25"/>
  <c r="O25" i="25" s="1"/>
  <c r="AA17" i="25"/>
  <c r="O17" i="25" s="1"/>
  <c r="AA26" i="25"/>
  <c r="O26" i="25" s="1"/>
  <c r="AA18" i="25"/>
  <c r="O18" i="25" s="1"/>
  <c r="AA11" i="25"/>
  <c r="O11" i="25" s="1"/>
  <c r="AA19" i="25"/>
  <c r="O19" i="25" s="1"/>
  <c r="AA15" i="25"/>
  <c r="O15" i="25" s="1"/>
  <c r="AA20" i="25"/>
  <c r="O20" i="25" s="1"/>
  <c r="AA22" i="25"/>
  <c r="O22" i="25" s="1"/>
  <c r="AA21" i="25"/>
  <c r="O21" i="25" s="1"/>
  <c r="AA12" i="25"/>
  <c r="O12" i="25" s="1"/>
  <c r="AA24" i="25"/>
  <c r="O24" i="25" s="1"/>
  <c r="AA10" i="25"/>
  <c r="O10" i="25" s="1"/>
  <c r="AA9" i="25"/>
  <c r="O9" i="25" s="1"/>
  <c r="AA16" i="25"/>
  <c r="O16" i="25" s="1"/>
  <c r="AA28" i="25"/>
  <c r="O28" i="25" s="1"/>
  <c r="AA13" i="25"/>
  <c r="O13" i="25" s="1"/>
  <c r="AK28" i="73"/>
  <c r="AI28" i="73"/>
  <c r="AH28" i="73"/>
  <c r="AD13" i="73"/>
  <c r="R13" i="73" s="1"/>
  <c r="AD18" i="73"/>
  <c r="R18" i="73" s="1"/>
  <c r="AC19" i="73"/>
  <c r="Q19" i="73" s="1"/>
  <c r="AA20" i="73"/>
  <c r="O20" i="73" s="1"/>
  <c r="AD9" i="73"/>
  <c r="R9" i="73" s="1"/>
  <c r="AB26" i="73"/>
  <c r="P26" i="73" s="1"/>
  <c r="AC20" i="73"/>
  <c r="Q20" i="73" s="1"/>
  <c r="AB29" i="73"/>
  <c r="AA24" i="73"/>
  <c r="O24" i="73" s="1"/>
  <c r="AD21" i="73"/>
  <c r="R21" i="73" s="1"/>
  <c r="AC13" i="73"/>
  <c r="Q13" i="73" s="1"/>
  <c r="AD20" i="73"/>
  <c r="R20" i="73" s="1"/>
  <c r="AD25" i="73"/>
  <c r="R25" i="73" s="1"/>
  <c r="AD14" i="73"/>
  <c r="R14" i="73" s="1"/>
  <c r="AC12" i="73"/>
  <c r="Q12" i="73" s="1"/>
  <c r="AC26" i="73"/>
  <c r="Q26" i="73" s="1"/>
  <c r="AB21" i="73"/>
  <c r="P21" i="73" s="1"/>
  <c r="AA27" i="25"/>
  <c r="O27" i="25" s="1"/>
  <c r="AB14" i="73"/>
  <c r="P14" i="73" s="1"/>
  <c r="AB13" i="73"/>
  <c r="P13" i="73" s="1"/>
  <c r="AB16" i="73"/>
  <c r="P16" i="73" s="1"/>
  <c r="AB10" i="73"/>
  <c r="P10" i="73" s="1"/>
  <c r="AB28" i="73"/>
  <c r="P28" i="73" s="1"/>
  <c r="AB18" i="73"/>
  <c r="P18" i="73" s="1"/>
  <c r="AB19" i="73"/>
  <c r="P19" i="73" s="1"/>
  <c r="AB20" i="73"/>
  <c r="P20" i="73" s="1"/>
  <c r="AB9" i="73"/>
  <c r="P9" i="73" s="1"/>
  <c r="AB25" i="73"/>
  <c r="P25" i="73" s="1"/>
  <c r="AD22" i="73"/>
  <c r="R22" i="73" s="1"/>
  <c r="AD27" i="73"/>
  <c r="R27" i="73" s="1"/>
  <c r="AD17" i="73"/>
  <c r="R17" i="73" s="1"/>
  <c r="AD19" i="73"/>
  <c r="R19" i="73" s="1"/>
  <c r="AH27" i="73"/>
  <c r="AJ27" i="73"/>
  <c r="AI27" i="73"/>
  <c r="AK27" i="73"/>
  <c r="AI38" i="73"/>
  <c r="AJ38" i="73"/>
  <c r="AH44" i="73"/>
  <c r="AJ44" i="73"/>
  <c r="AI44" i="73"/>
  <c r="AK44" i="73"/>
  <c r="AI22" i="73"/>
  <c r="AJ22" i="73"/>
  <c r="AA16" i="73"/>
  <c r="O16" i="73" s="1"/>
  <c r="AA13" i="73"/>
  <c r="O13" i="73" s="1"/>
  <c r="AA17" i="73"/>
  <c r="O17" i="73" s="1"/>
  <c r="AA15" i="73"/>
  <c r="O15" i="73" s="1"/>
  <c r="AA29" i="73"/>
  <c r="AA22" i="73"/>
  <c r="O22" i="73" s="1"/>
  <c r="AA9" i="73"/>
  <c r="O9" i="73" s="1"/>
  <c r="AC22" i="73"/>
  <c r="Q22" i="73" s="1"/>
  <c r="AC23" i="73"/>
  <c r="Q23" i="73" s="1"/>
  <c r="AC29" i="73"/>
  <c r="AD24" i="73"/>
  <c r="R24" i="73" s="1"/>
  <c r="AA27" i="73"/>
  <c r="O27" i="73" s="1"/>
  <c r="AA14" i="73"/>
  <c r="O14" i="73" s="1"/>
  <c r="AC9" i="73"/>
  <c r="Q9" i="73" s="1"/>
  <c r="AA19" i="73"/>
  <c r="O19" i="73" s="1"/>
  <c r="AD11" i="73"/>
  <c r="R11" i="73" s="1"/>
  <c r="AH58" i="73"/>
  <c r="AJ58" i="73"/>
  <c r="AA18" i="73"/>
  <c r="O18" i="73" s="1"/>
  <c r="AD23" i="73"/>
  <c r="R23" i="73" s="1"/>
  <c r="AC17" i="73"/>
  <c r="Q17" i="73" s="1"/>
  <c r="AB22" i="73"/>
  <c r="P22" i="73" s="1"/>
  <c r="AC21" i="73"/>
  <c r="Q21" i="73" s="1"/>
  <c r="AK58" i="73"/>
  <c r="AA25" i="73"/>
  <c r="O25" i="73" s="1"/>
  <c r="AC11" i="73"/>
  <c r="Q11" i="73" s="1"/>
  <c r="AJ33" i="73"/>
  <c r="AK33" i="73"/>
  <c r="AH50" i="73"/>
  <c r="AI50" i="73"/>
  <c r="AK50" i="73"/>
  <c r="AK9" i="73"/>
  <c r="AH9" i="73"/>
  <c r="AD16" i="73"/>
  <c r="R16" i="73" s="1"/>
  <c r="AB12" i="73"/>
  <c r="P12" i="73" s="1"/>
  <c r="AA12" i="73"/>
  <c r="O12" i="73" s="1"/>
  <c r="AA11" i="73"/>
  <c r="O11" i="73" s="1"/>
  <c r="AA10" i="73"/>
  <c r="O10" i="73" s="1"/>
  <c r="AC14" i="73"/>
  <c r="Q14" i="73" s="1"/>
  <c r="AH20" i="73"/>
  <c r="AI20" i="73"/>
  <c r="AI30" i="73"/>
  <c r="AJ30" i="73"/>
  <c r="AK36" i="73"/>
  <c r="AH36" i="73"/>
  <c r="AJ55" i="73"/>
  <c r="AI55" i="73"/>
  <c r="AH55" i="73"/>
  <c r="AD26" i="73"/>
  <c r="R26" i="73" s="1"/>
  <c r="AI35" i="73"/>
  <c r="AH35" i="73"/>
  <c r="AB11" i="73"/>
  <c r="P11" i="73" s="1"/>
  <c r="AC15" i="73"/>
  <c r="Q15" i="73" s="1"/>
  <c r="AK29" i="73"/>
  <c r="AI34" i="73"/>
  <c r="AJ34" i="73"/>
  <c r="AI42" i="73"/>
  <c r="AJ42" i="73"/>
  <c r="AC10" i="25"/>
  <c r="Q10" i="25" s="1"/>
  <c r="AC12" i="25"/>
  <c r="Q12" i="25" s="1"/>
  <c r="AC20" i="25"/>
  <c r="Q20" i="25" s="1"/>
  <c r="AC28" i="25"/>
  <c r="Q28" i="25" s="1"/>
  <c r="AC17" i="25"/>
  <c r="Q17" i="25" s="1"/>
  <c r="AC16" i="25"/>
  <c r="Q16" i="25" s="1"/>
  <c r="AC24" i="25"/>
  <c r="Q24" i="25" s="1"/>
  <c r="AC26" i="25"/>
  <c r="Q26" i="25" s="1"/>
  <c r="AC15" i="25"/>
  <c r="Q15" i="25" s="1"/>
  <c r="AC13" i="25"/>
  <c r="Q13" i="25" s="1"/>
  <c r="AC21" i="25"/>
  <c r="Q21" i="25" s="1"/>
  <c r="AC25" i="25"/>
  <c r="Q25" i="25" s="1"/>
  <c r="AC29" i="25"/>
  <c r="AC18" i="25"/>
  <c r="Q18" i="25" s="1"/>
  <c r="AC23" i="25"/>
  <c r="Q23" i="25" s="1"/>
  <c r="AC9" i="25"/>
  <c r="Q9" i="25" s="1"/>
  <c r="AC11" i="25"/>
  <c r="Q11" i="25" s="1"/>
  <c r="AC22" i="25"/>
  <c r="Q22" i="25" s="1"/>
  <c r="AC14" i="25"/>
  <c r="Q14" i="25" s="1"/>
  <c r="AC27" i="25"/>
  <c r="Q27" i="25" s="1"/>
  <c r="AC19" i="25"/>
  <c r="Q19" i="25" s="1"/>
  <c r="G36" i="75" l="1"/>
  <c r="J63" i="75" s="1"/>
  <c r="I63" i="75"/>
  <c r="K35" i="74"/>
  <c r="M36" i="74"/>
  <c r="J73" i="74" s="1"/>
  <c r="I73" i="74"/>
  <c r="J36" i="74"/>
  <c r="J68" i="74" s="1"/>
  <c r="H35" i="74"/>
  <c r="I68" i="74"/>
  <c r="J36" i="75"/>
  <c r="J68" i="75" s="1"/>
  <c r="I68" i="75"/>
  <c r="D36" i="75"/>
  <c r="J58" i="75" s="1"/>
  <c r="P29" i="25"/>
  <c r="E34" i="25" s="1"/>
  <c r="G63" i="25" s="1"/>
  <c r="R29" i="25"/>
  <c r="K34" i="25" s="1"/>
  <c r="O29" i="25"/>
  <c r="B34" i="25" s="1"/>
  <c r="G58" i="25" s="1"/>
  <c r="P29" i="73"/>
  <c r="E34" i="73" s="1"/>
  <c r="G34" i="73" s="1"/>
  <c r="R29" i="73"/>
  <c r="K34" i="73" s="1"/>
  <c r="M34" i="73" s="1"/>
  <c r="O29" i="73"/>
  <c r="B34" i="73" s="1"/>
  <c r="D34" i="73" s="1"/>
  <c r="Q29" i="73"/>
  <c r="Q29" i="25"/>
  <c r="H34" i="25" s="1"/>
  <c r="J34" i="25" s="1"/>
  <c r="G34" i="25" l="1"/>
  <c r="I63" i="25" s="1"/>
  <c r="G73" i="25"/>
  <c r="D34" i="25"/>
  <c r="D36" i="25" s="1"/>
  <c r="J58" i="25" s="1"/>
  <c r="G68" i="73"/>
  <c r="G73" i="73"/>
  <c r="G63" i="73"/>
  <c r="I73" i="25"/>
  <c r="K35" i="25"/>
  <c r="M36" i="25"/>
  <c r="J73" i="25" s="1"/>
  <c r="G58" i="73"/>
  <c r="G68" i="25"/>
  <c r="H35" i="25"/>
  <c r="J36" i="25"/>
  <c r="J68" i="25" s="1"/>
  <c r="I68" i="25"/>
  <c r="E35" i="25" l="1"/>
  <c r="G36" i="25"/>
  <c r="J63" i="25" s="1"/>
  <c r="I58" i="25"/>
  <c r="B35" i="25"/>
  <c r="G36" i="73"/>
  <c r="J63" i="73" s="1"/>
  <c r="I63" i="73"/>
  <c r="I58" i="73"/>
  <c r="D36" i="73"/>
  <c r="J58" i="73" s="1"/>
  <c r="I73" i="73"/>
  <c r="M36" i="73"/>
  <c r="J73" i="73" s="1"/>
  <c r="I68" i="73"/>
  <c r="J36" i="73"/>
  <c r="J68" i="73" s="1"/>
</calcChain>
</file>

<file path=xl/sharedStrings.xml><?xml version="1.0" encoding="utf-8"?>
<sst xmlns="http://schemas.openxmlformats.org/spreadsheetml/2006/main" count="619" uniqueCount="118">
  <si>
    <t>2회</t>
  </si>
  <si>
    <t>3회</t>
  </si>
  <si>
    <t>4회</t>
  </si>
  <si>
    <t>5회</t>
  </si>
  <si>
    <t>6회</t>
  </si>
  <si>
    <t>7회</t>
  </si>
  <si>
    <t>8회</t>
  </si>
  <si>
    <t>9회</t>
  </si>
  <si>
    <t>10회</t>
  </si>
  <si>
    <t>11회</t>
  </si>
  <si>
    <t>R</t>
    <phoneticPr fontId="2" type="noConversion"/>
  </si>
  <si>
    <t>1회</t>
    <phoneticPr fontId="2" type="noConversion"/>
  </si>
  <si>
    <t>Rock class(qu)</t>
    <phoneticPr fontId="2" type="noConversion"/>
  </si>
  <si>
    <t>절리군</t>
    <phoneticPr fontId="2" type="noConversion"/>
  </si>
  <si>
    <t>Average</t>
    <phoneticPr fontId="2" type="noConversion"/>
  </si>
  <si>
    <t>암반 비파괴강도시험</t>
    <phoneticPr fontId="2" type="noConversion"/>
  </si>
  <si>
    <t>측정
각도</t>
    <phoneticPr fontId="2" type="noConversion"/>
  </si>
  <si>
    <t xml:space="preserve">              
               구분            
측정회수</t>
    <phoneticPr fontId="2" type="noConversion"/>
  </si>
  <si>
    <t>12회</t>
  </si>
  <si>
    <t>13회</t>
  </si>
  <si>
    <t>14회</t>
  </si>
  <si>
    <t>15회</t>
  </si>
  <si>
    <t>16회</t>
  </si>
  <si>
    <t>17회</t>
  </si>
  <si>
    <t>18회</t>
  </si>
  <si>
    <t>19회</t>
  </si>
  <si>
    <t>20회</t>
  </si>
  <si>
    <t>-45˚</t>
    <phoneticPr fontId="2" type="noConversion"/>
  </si>
  <si>
    <t>-90˚</t>
    <phoneticPr fontId="2" type="noConversion"/>
  </si>
  <si>
    <t>+0˚</t>
    <phoneticPr fontId="2" type="noConversion"/>
  </si>
  <si>
    <t>방향</t>
    <phoneticPr fontId="2" type="noConversion"/>
  </si>
  <si>
    <t>평균경도</t>
    <phoneticPr fontId="2" type="noConversion"/>
  </si>
  <si>
    <t>측정강도</t>
    <phoneticPr fontId="2" type="noConversion"/>
  </si>
  <si>
    <t>암종</t>
    <phoneticPr fontId="2" type="noConversion"/>
  </si>
  <si>
    <t>-</t>
    <phoneticPr fontId="2" type="noConversion"/>
  </si>
  <si>
    <t>단위중량</t>
    <phoneticPr fontId="2" type="noConversion"/>
  </si>
  <si>
    <t>kPa</t>
    <phoneticPr fontId="2" type="noConversion"/>
  </si>
  <si>
    <t>Site 1</t>
    <phoneticPr fontId="2" type="noConversion"/>
  </si>
  <si>
    <t>Site 2</t>
    <phoneticPr fontId="2" type="noConversion"/>
  </si>
  <si>
    <t>Site 3</t>
    <phoneticPr fontId="2" type="noConversion"/>
  </si>
  <si>
    <t>Site 4</t>
    <phoneticPr fontId="2" type="noConversion"/>
  </si>
  <si>
    <t>평균</t>
    <phoneticPr fontId="2" type="noConversion"/>
  </si>
  <si>
    <t>90˚</t>
    <phoneticPr fontId="2" type="noConversion"/>
  </si>
  <si>
    <t>45˚</t>
    <phoneticPr fontId="2" type="noConversion"/>
  </si>
  <si>
    <t>상위 10개정렬값, 동일값존재하는 경우 있기에 확인필요</t>
    <phoneticPr fontId="2" type="noConversion"/>
  </si>
  <si>
    <t>순위용 변환값</t>
    <phoneticPr fontId="2" type="noConversion"/>
  </si>
  <si>
    <r>
      <t>환산 q</t>
    </r>
    <r>
      <rPr>
        <vertAlign val="subscript"/>
        <sz val="9"/>
        <color indexed="8"/>
        <rFont val="돋움"/>
        <family val="3"/>
        <charset val="129"/>
      </rPr>
      <t>u</t>
    </r>
    <r>
      <rPr>
        <sz val="9"/>
        <color indexed="8"/>
        <rFont val="돋움"/>
        <family val="3"/>
        <charset val="129"/>
      </rPr>
      <t xml:space="preserve">
(MPa)</t>
    </r>
    <phoneticPr fontId="2" type="noConversion"/>
  </si>
  <si>
    <t>기준방향</t>
    <phoneticPr fontId="2" type="noConversion"/>
  </si>
  <si>
    <t>좌</t>
  </si>
  <si>
    <t>좌</t>
    <phoneticPr fontId="2" type="noConversion"/>
  </si>
  <si>
    <t>우</t>
  </si>
  <si>
    <t>우</t>
    <phoneticPr fontId="2" type="noConversion"/>
  </si>
  <si>
    <t>보정치</t>
    <phoneticPr fontId="2" type="noConversion"/>
  </si>
  <si>
    <t>시산</t>
    <phoneticPr fontId="2" type="noConversion"/>
  </si>
  <si>
    <t>r</t>
    <phoneticPr fontId="2" type="noConversion"/>
  </si>
  <si>
    <t>지수</t>
    <phoneticPr fontId="2" type="noConversion"/>
  </si>
  <si>
    <t>강도</t>
    <phoneticPr fontId="2" type="noConversion"/>
  </si>
  <si>
    <t>방향은집계에서입력</t>
    <phoneticPr fontId="2" type="noConversion"/>
  </si>
  <si>
    <t>Site A-1</t>
    <phoneticPr fontId="2" type="noConversion"/>
  </si>
  <si>
    <t>Site D-1</t>
    <phoneticPr fontId="2" type="noConversion"/>
  </si>
  <si>
    <t>풍-CW</t>
    <phoneticPr fontId="2" type="noConversion"/>
  </si>
  <si>
    <t>연-HW</t>
    <phoneticPr fontId="2" type="noConversion"/>
  </si>
  <si>
    <t>풍-HW</t>
    <phoneticPr fontId="2" type="noConversion"/>
  </si>
  <si>
    <t>연-MW</t>
    <phoneticPr fontId="2" type="noConversion"/>
  </si>
  <si>
    <t>보-MW</t>
    <phoneticPr fontId="2" type="noConversion"/>
  </si>
  <si>
    <t>보-SW</t>
    <phoneticPr fontId="2" type="noConversion"/>
  </si>
  <si>
    <t>경-SW</t>
    <phoneticPr fontId="2" type="noConversion"/>
  </si>
  <si>
    <t>경-F</t>
    <phoneticPr fontId="2" type="noConversion"/>
  </si>
  <si>
    <t>-45일때</t>
    <phoneticPr fontId="2" type="noConversion"/>
  </si>
  <si>
    <t>35~41</t>
    <phoneticPr fontId="2" type="noConversion"/>
  </si>
  <si>
    <t>42~46</t>
    <phoneticPr fontId="2" type="noConversion"/>
  </si>
  <si>
    <t>~34</t>
    <phoneticPr fontId="2" type="noConversion"/>
  </si>
  <si>
    <t>47~49</t>
    <phoneticPr fontId="2" type="noConversion"/>
  </si>
  <si>
    <t>50~52</t>
    <phoneticPr fontId="2" type="noConversion"/>
  </si>
  <si>
    <t>53~55</t>
    <phoneticPr fontId="2" type="noConversion"/>
  </si>
  <si>
    <t>56~58</t>
    <phoneticPr fontId="2" type="noConversion"/>
  </si>
  <si>
    <t>59~</t>
    <phoneticPr fontId="2" type="noConversion"/>
  </si>
  <si>
    <t>+0˚</t>
  </si>
  <si>
    <t>27</t>
    <phoneticPr fontId="2" type="noConversion"/>
  </si>
  <si>
    <t>23</t>
    <phoneticPr fontId="2" type="noConversion"/>
  </si>
  <si>
    <t>* 사면명 : 39. 중부내륙선 232.430k(창원)</t>
    <phoneticPr fontId="2" type="noConversion"/>
  </si>
  <si>
    <t>Site B-1</t>
    <phoneticPr fontId="2" type="noConversion"/>
  </si>
  <si>
    <t>Site C-1</t>
    <phoneticPr fontId="2" type="noConversion"/>
  </si>
  <si>
    <t>Site E-1</t>
    <phoneticPr fontId="2" type="noConversion"/>
  </si>
  <si>
    <t>Site A-2</t>
    <phoneticPr fontId="2" type="noConversion"/>
  </si>
  <si>
    <t>Site A-3</t>
    <phoneticPr fontId="2" type="noConversion"/>
  </si>
  <si>
    <t>Site B-2</t>
    <phoneticPr fontId="2" type="noConversion"/>
  </si>
  <si>
    <t>Site B-3</t>
    <phoneticPr fontId="2" type="noConversion"/>
  </si>
  <si>
    <t>Site C-2</t>
    <phoneticPr fontId="2" type="noConversion"/>
  </si>
  <si>
    <t>Site C-3</t>
    <phoneticPr fontId="2" type="noConversion"/>
  </si>
  <si>
    <t>Site D-2</t>
    <phoneticPr fontId="2" type="noConversion"/>
  </si>
  <si>
    <t>Site D-3</t>
    <phoneticPr fontId="2" type="noConversion"/>
  </si>
  <si>
    <t>Site E-2</t>
    <phoneticPr fontId="2" type="noConversion"/>
  </si>
  <si>
    <t>Site E-3</t>
    <phoneticPr fontId="2" type="noConversion"/>
  </si>
  <si>
    <t>보통암</t>
  </si>
  <si>
    <t>연암</t>
  </si>
  <si>
    <t>→</t>
  </si>
  <si>
    <t>?</t>
  </si>
  <si>
    <t>풍화암</t>
  </si>
  <si>
    <t>Site A-1</t>
  </si>
  <si>
    <t>Site A-2</t>
  </si>
  <si>
    <t>Site A-3</t>
  </si>
  <si>
    <t>Site B-1</t>
  </si>
  <si>
    <t>Site B-2</t>
  </si>
  <si>
    <t>Site B-3</t>
  </si>
  <si>
    <t>Site C-1</t>
  </si>
  <si>
    <t>Site C-2</t>
  </si>
  <si>
    <t>Site C-3</t>
  </si>
  <si>
    <t>Site D-1</t>
  </si>
  <si>
    <t>Site D-2</t>
  </si>
  <si>
    <t>Site D-3</t>
  </si>
  <si>
    <t>Site E-1</t>
  </si>
  <si>
    <t>Site E-2</t>
  </si>
  <si>
    <t>Site E-3</t>
  </si>
  <si>
    <r>
      <t>환산 q</t>
    </r>
    <r>
      <rPr>
        <vertAlign val="subscript"/>
        <sz val="10"/>
        <color indexed="8"/>
        <rFont val="맑은고딕"/>
        <family val="3"/>
        <charset val="129"/>
      </rPr>
      <t>u</t>
    </r>
    <r>
      <rPr>
        <sz val="10"/>
        <color indexed="8"/>
        <rFont val="맑은고딕"/>
        <family val="3"/>
        <charset val="129"/>
      </rPr>
      <t xml:space="preserve">
(MPa)</t>
    </r>
    <phoneticPr fontId="2" type="noConversion"/>
  </si>
  <si>
    <t>45˚</t>
  </si>
  <si>
    <t>↗</t>
  </si>
  <si>
    <t>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</si>
</sst>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_ "/>
    <numFmt numFmtId="178" formatCode="0.000_ "/>
    <numFmt numFmtId="179" formatCode="#,##0.0_);[Red]\(#,##0.0\)"/>
  </numFmts>
  <fonts count="3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vertAlign val="subscript"/>
      <sz val="9"/>
      <color indexed="8"/>
      <name val="돋움"/>
      <family val="3"/>
      <charset val="129"/>
    </font>
    <font>
      <sz val="16"/>
      <color indexed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6"/>
      <color rgb="FFFF0000"/>
      <name val="돋움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70C0"/>
      <name val="돋움"/>
      <family val="3"/>
      <charset val="129"/>
    </font>
    <font>
      <sz val="10"/>
      <color rgb="FF7030A0"/>
      <name val="돋움"/>
      <family val="3"/>
      <charset val="129"/>
    </font>
    <font>
      <sz val="11"/>
      <color indexed="8"/>
      <name val="돋움"/>
      <family val="3"/>
      <charset val="129"/>
    </font>
    <font>
      <sz val="10"/>
      <color indexed="8"/>
      <name val="맑은고딕"/>
      <family val="3"/>
      <charset val="129"/>
    </font>
    <font>
      <sz val="10"/>
      <name val="맑은고딕"/>
      <family val="3"/>
      <charset val="129"/>
    </font>
    <font>
      <b/>
      <sz val="10"/>
      <color rgb="FFFF0000"/>
      <name val="맑은고딕"/>
      <family val="3"/>
      <charset val="129"/>
    </font>
    <font>
      <b/>
      <sz val="10"/>
      <color indexed="8"/>
      <name val="맑은고딕"/>
      <family val="3"/>
      <charset val="129"/>
    </font>
    <font>
      <b/>
      <sz val="10"/>
      <name val="맑은고딕"/>
      <family val="3"/>
      <charset val="129"/>
    </font>
    <font>
      <sz val="10"/>
      <color indexed="10"/>
      <name val="맑은고딕"/>
      <family val="3"/>
      <charset val="129"/>
    </font>
    <font>
      <b/>
      <sz val="10"/>
      <color theme="0"/>
      <name val="맑은고딕"/>
      <family val="3"/>
      <charset val="129"/>
    </font>
    <font>
      <sz val="10"/>
      <color rgb="FFFF0000"/>
      <name val="맑은고딕"/>
      <family val="3"/>
      <charset val="129"/>
    </font>
    <font>
      <sz val="10"/>
      <color theme="1"/>
      <name val="맑은고딕"/>
      <family val="3"/>
      <charset val="129"/>
    </font>
    <font>
      <sz val="10"/>
      <color rgb="FF0070C0"/>
      <name val="맑은고딕"/>
      <family val="3"/>
      <charset val="129"/>
    </font>
    <font>
      <sz val="10"/>
      <color rgb="FF7030A0"/>
      <name val="맑은고딕"/>
      <family val="3"/>
      <charset val="129"/>
    </font>
    <font>
      <b/>
      <u/>
      <sz val="10"/>
      <color indexed="8"/>
      <name val="맑은고딕"/>
      <family val="3"/>
      <charset val="129"/>
    </font>
    <font>
      <vertAlign val="subscript"/>
      <sz val="10"/>
      <color indexed="8"/>
      <name val="맑은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42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4" fillId="0" borderId="0">
      <alignment vertical="center"/>
    </xf>
  </cellStyleXfs>
  <cellXfs count="19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38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76" fontId="3" fillId="0" borderId="8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17" fillId="0" borderId="15" xfId="10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0" fontId="17" fillId="0" borderId="13" xfId="10" applyNumberFormat="1" applyFont="1" applyBorder="1" applyAlignment="1">
      <alignment horizontal="center" vertical="center"/>
    </xf>
    <xf numFmtId="0" fontId="17" fillId="0" borderId="13" xfId="9" applyNumberFormat="1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center" vertical="center"/>
    </xf>
    <xf numFmtId="49" fontId="3" fillId="0" borderId="18" xfId="0" quotePrefix="1" applyNumberFormat="1" applyFont="1" applyBorder="1" applyAlignment="1">
      <alignment horizontal="center" vertical="center"/>
    </xf>
    <xf numFmtId="0" fontId="3" fillId="0" borderId="13" xfId="0" quotePrefix="1" applyNumberFormat="1" applyFont="1" applyBorder="1" applyAlignment="1">
      <alignment horizontal="center" vertical="center"/>
    </xf>
    <xf numFmtId="0" fontId="3" fillId="0" borderId="12" xfId="0" quotePrefix="1" applyNumberFormat="1" applyFont="1" applyBorder="1" applyAlignment="1">
      <alignment horizontal="center" vertical="center"/>
    </xf>
    <xf numFmtId="177" fontId="3" fillId="0" borderId="12" xfId="0" quotePrefix="1" applyNumberFormat="1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3" xfId="0" quotePrefix="1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/>
    <xf numFmtId="0" fontId="3" fillId="0" borderId="0" xfId="0" quotePrefix="1" applyFont="1"/>
    <xf numFmtId="176" fontId="3" fillId="0" borderId="0" xfId="0" applyNumberFormat="1" applyFont="1"/>
    <xf numFmtId="0" fontId="4" fillId="2" borderId="19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2" fillId="0" borderId="18" xfId="0" quotePrefix="1" applyNumberFormat="1" applyFont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7" fontId="3" fillId="0" borderId="0" xfId="0" quotePrefix="1" applyNumberFormat="1" applyFont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8" fontId="3" fillId="0" borderId="0" xfId="0" applyNumberFormat="1" applyFont="1" applyAlignment="1">
      <alignment horizontal="center" vertical="center"/>
    </xf>
    <xf numFmtId="179" fontId="3" fillId="0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79" fontId="3" fillId="0" borderId="20" xfId="0" applyNumberFormat="1" applyFont="1" applyFill="1" applyBorder="1" applyAlignment="1">
      <alignment horizontal="center" vertical="center"/>
    </xf>
    <xf numFmtId="0" fontId="21" fillId="0" borderId="0" xfId="0" applyFont="1"/>
    <xf numFmtId="179" fontId="3" fillId="0" borderId="0" xfId="0" applyNumberFormat="1" applyFont="1"/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3" fillId="0" borderId="12" xfId="16" applyFont="1" applyBorder="1" applyAlignment="1">
      <alignment horizontal="center" vertical="center"/>
    </xf>
    <xf numFmtId="0" fontId="3" fillId="0" borderId="13" xfId="16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2" xfId="16" applyFont="1" applyFill="1" applyBorder="1" applyAlignment="1">
      <alignment horizontal="center" vertical="center"/>
    </xf>
    <xf numFmtId="0" fontId="3" fillId="0" borderId="12" xfId="0" quotePrefix="1" applyNumberFormat="1" applyFont="1" applyFill="1" applyBorder="1" applyAlignment="1">
      <alignment horizontal="center" vertical="center"/>
    </xf>
    <xf numFmtId="0" fontId="3" fillId="0" borderId="12" xfId="0" applyNumberFormat="1" applyFont="1" applyFill="1" applyBorder="1" applyAlignment="1">
      <alignment horizontal="center" vertical="center"/>
    </xf>
    <xf numFmtId="0" fontId="3" fillId="0" borderId="13" xfId="16" applyFont="1" applyFill="1" applyBorder="1" applyAlignment="1">
      <alignment horizontal="center" vertical="center"/>
    </xf>
    <xf numFmtId="177" fontId="3" fillId="0" borderId="13" xfId="0" quotePrefix="1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177" fontId="25" fillId="0" borderId="0" xfId="0" applyNumberFormat="1" applyFont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49" fontId="26" fillId="0" borderId="18" xfId="0" quotePrefix="1" applyNumberFormat="1" applyFont="1" applyBorder="1" applyAlignment="1">
      <alignment horizontal="center" vertical="center"/>
    </xf>
    <xf numFmtId="49" fontId="25" fillId="0" borderId="18" xfId="0" quotePrefix="1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77" fontId="25" fillId="0" borderId="0" xfId="0" quotePrefix="1" applyNumberFormat="1" applyFont="1" applyBorder="1" applyAlignment="1">
      <alignment horizontal="center" vertical="center"/>
    </xf>
    <xf numFmtId="0" fontId="25" fillId="0" borderId="0" xfId="0" quotePrefix="1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177" fontId="25" fillId="0" borderId="12" xfId="0" quotePrefix="1" applyNumberFormat="1" applyFont="1" applyBorder="1" applyAlignment="1">
      <alignment horizontal="center" vertical="center"/>
    </xf>
    <xf numFmtId="177" fontId="25" fillId="0" borderId="12" xfId="0" applyNumberFormat="1" applyFont="1" applyBorder="1" applyAlignment="1">
      <alignment horizontal="center" vertical="center"/>
    </xf>
    <xf numFmtId="0" fontId="25" fillId="0" borderId="12" xfId="0" applyNumberFormat="1" applyFont="1" applyBorder="1" applyAlignment="1">
      <alignment horizontal="center" vertical="center"/>
    </xf>
    <xf numFmtId="0" fontId="25" fillId="0" borderId="12" xfId="0" quotePrefix="1" applyNumberFormat="1" applyFont="1" applyBorder="1" applyAlignment="1">
      <alignment horizontal="center" vertical="center"/>
    </xf>
    <xf numFmtId="0" fontId="25" fillId="0" borderId="17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13" xfId="16" applyFont="1" applyBorder="1" applyAlignment="1">
      <alignment horizontal="center" vertical="center"/>
    </xf>
    <xf numFmtId="177" fontId="25" fillId="0" borderId="13" xfId="0" quotePrefix="1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0" fontId="25" fillId="0" borderId="13" xfId="0" applyNumberFormat="1" applyFont="1" applyBorder="1" applyAlignment="1">
      <alignment horizontal="center" vertical="center"/>
    </xf>
    <xf numFmtId="0" fontId="25" fillId="0" borderId="14" xfId="0" applyNumberFormat="1" applyFont="1" applyBorder="1" applyAlignment="1">
      <alignment horizontal="center" vertical="center"/>
    </xf>
    <xf numFmtId="0" fontId="33" fillId="0" borderId="13" xfId="9" applyNumberFormat="1" applyFont="1" applyBorder="1" applyAlignment="1">
      <alignment horizontal="center" vertical="center"/>
    </xf>
    <xf numFmtId="0" fontId="33" fillId="0" borderId="13" xfId="10" applyNumberFormat="1" applyFont="1" applyBorder="1" applyAlignment="1">
      <alignment horizontal="center" vertical="center"/>
    </xf>
    <xf numFmtId="0" fontId="33" fillId="0" borderId="15" xfId="10" applyNumberFormat="1" applyFont="1" applyBorder="1" applyAlignment="1">
      <alignment horizontal="center" vertical="center"/>
    </xf>
    <xf numFmtId="0" fontId="25" fillId="0" borderId="15" xfId="0" applyNumberFormat="1" applyFont="1" applyBorder="1" applyAlignment="1">
      <alignment horizontal="center" vertical="center"/>
    </xf>
    <xf numFmtId="0" fontId="25" fillId="0" borderId="16" xfId="0" applyNumberFormat="1" applyFont="1" applyBorder="1" applyAlignment="1">
      <alignment horizontal="center" vertical="center"/>
    </xf>
    <xf numFmtId="38" fontId="25" fillId="0" borderId="6" xfId="0" applyNumberFormat="1" applyFont="1" applyBorder="1" applyAlignment="1">
      <alignment horizontal="center" vertical="center"/>
    </xf>
    <xf numFmtId="176" fontId="25" fillId="0" borderId="8" xfId="0" applyNumberFormat="1" applyFont="1" applyBorder="1" applyAlignment="1">
      <alignment horizontal="center" vertical="center"/>
    </xf>
    <xf numFmtId="179" fontId="25" fillId="0" borderId="13" xfId="0" applyNumberFormat="1" applyFont="1" applyFill="1" applyBorder="1" applyAlignment="1">
      <alignment horizontal="center" vertical="center"/>
    </xf>
    <xf numFmtId="0" fontId="25" fillId="0" borderId="13" xfId="0" quotePrefix="1" applyNumberFormat="1" applyFont="1" applyBorder="1" applyAlignment="1">
      <alignment horizontal="center" vertical="center"/>
    </xf>
    <xf numFmtId="179" fontId="25" fillId="0" borderId="20" xfId="0" applyNumberFormat="1" applyFont="1" applyFill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 wrapText="1"/>
    </xf>
    <xf numFmtId="0" fontId="25" fillId="2" borderId="2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 wrapText="1"/>
    </xf>
    <xf numFmtId="0" fontId="28" fillId="2" borderId="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8" fillId="3" borderId="26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41" xfId="0" applyFont="1" applyBorder="1" applyAlignment="1">
      <alignment horizontal="center" vertical="center"/>
    </xf>
  </cellXfs>
  <cellStyles count="17">
    <cellStyle name="Normal" xfId="0" builtinId="0"/>
    <cellStyle name="표준 10" xfId="1" xr:uid="{00000000-0005-0000-0000-000001000000}"/>
    <cellStyle name="표준 11" xfId="2" xr:uid="{00000000-0005-0000-0000-000002000000}"/>
    <cellStyle name="표준 12" xfId="3" xr:uid="{00000000-0005-0000-0000-000003000000}"/>
    <cellStyle name="표준 13" xfId="4" xr:uid="{00000000-0005-0000-0000-000004000000}"/>
    <cellStyle name="표준 14" xfId="5" xr:uid="{00000000-0005-0000-0000-000005000000}"/>
    <cellStyle name="표준 15" xfId="6" xr:uid="{00000000-0005-0000-0000-000006000000}"/>
    <cellStyle name="표준 16" xfId="7" xr:uid="{00000000-0005-0000-0000-000007000000}"/>
    <cellStyle name="표준 2" xfId="8" xr:uid="{00000000-0005-0000-0000-000008000000}"/>
    <cellStyle name="표준 3" xfId="9" xr:uid="{00000000-0005-0000-0000-000009000000}"/>
    <cellStyle name="표준 4" xfId="10" xr:uid="{00000000-0005-0000-0000-00000A000000}"/>
    <cellStyle name="표준 5" xfId="11" xr:uid="{00000000-0005-0000-0000-00000B000000}"/>
    <cellStyle name="표준 6" xfId="12" xr:uid="{00000000-0005-0000-0000-00000C000000}"/>
    <cellStyle name="표준 7" xfId="13" xr:uid="{00000000-0005-0000-0000-00000D000000}"/>
    <cellStyle name="표준 8" xfId="14" xr:uid="{00000000-0005-0000-0000-00000E000000}"/>
    <cellStyle name="표준 9" xfId="15" xr:uid="{00000000-0005-0000-0000-00000F000000}"/>
    <cellStyle name="표준_A~D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213" name="Picture 2" descr="각도">
          <a:extLst>
            <a:ext uri="{FF2B5EF4-FFF2-40B4-BE49-F238E27FC236}">
              <a16:creationId xmlns:a16="http://schemas.microsoft.com/office/drawing/2014/main" id="{ADEBE4C3-CC60-4B17-BBFB-A72B2CED9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392819</xdr:colOff>
      <xdr:row>37</xdr:row>
      <xdr:rowOff>46509</xdr:rowOff>
    </xdr:from>
    <xdr:to>
      <xdr:col>17</xdr:col>
      <xdr:colOff>170328</xdr:colOff>
      <xdr:row>55</xdr:row>
      <xdr:rowOff>152401</xdr:rowOff>
    </xdr:to>
    <xdr:pic>
      <xdr:nvPicPr>
        <xdr:cNvPr id="1214" name="그림 3">
          <a:extLst>
            <a:ext uri="{FF2B5EF4-FFF2-40B4-BE49-F238E27FC236}">
              <a16:creationId xmlns:a16="http://schemas.microsoft.com/office/drawing/2014/main" id="{E63FF9F1-E1B6-4C2C-9919-92BF04314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772" y="9396697"/>
          <a:ext cx="3775768" cy="3297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19488" name="Picture 2" descr="각도">
          <a:extLst>
            <a:ext uri="{FF2B5EF4-FFF2-40B4-BE49-F238E27FC236}">
              <a16:creationId xmlns:a16="http://schemas.microsoft.com/office/drawing/2014/main" id="{8A1DEE64-7EB3-46DC-A009-9DFD64324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7380"/>
          <a:ext cx="4518660" cy="1013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19489" name="그림 3">
          <a:extLst>
            <a:ext uri="{FF2B5EF4-FFF2-40B4-BE49-F238E27FC236}">
              <a16:creationId xmlns:a16="http://schemas.microsoft.com/office/drawing/2014/main" id="{59B7D3DE-5747-409D-BB0B-A6CDE007F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840" y="18204180"/>
          <a:ext cx="4320540" cy="373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34DAEC0F-CC30-4E7A-84E8-7D272DDC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C95AC7C-4430-421A-BE1A-09EDABE8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160020</xdr:rowOff>
    </xdr:from>
    <xdr:to>
      <xdr:col>9</xdr:col>
      <xdr:colOff>190500</xdr:colOff>
      <xdr:row>44</xdr:row>
      <xdr:rowOff>0</xdr:rowOff>
    </xdr:to>
    <xdr:pic>
      <xdr:nvPicPr>
        <xdr:cNvPr id="2" name="Picture 2" descr="각도">
          <a:extLst>
            <a:ext uri="{FF2B5EF4-FFF2-40B4-BE49-F238E27FC236}">
              <a16:creationId xmlns:a16="http://schemas.microsoft.com/office/drawing/2014/main" id="{9DD0D979-814E-4455-903D-78B37EB4A3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61170"/>
          <a:ext cx="5048250" cy="9163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</xdr:colOff>
      <xdr:row>86</xdr:row>
      <xdr:rowOff>144780</xdr:rowOff>
    </xdr:from>
    <xdr:to>
      <xdr:col>12</xdr:col>
      <xdr:colOff>434340</xdr:colOff>
      <xdr:row>109</xdr:row>
      <xdr:rowOff>22860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B9E1CC93-BF14-42DB-BF6F-E46FCD2FD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7390" y="17394555"/>
          <a:ext cx="4800600" cy="338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7"/>
  <sheetViews>
    <sheetView tabSelected="1" zoomScale="85" zoomScaleNormal="85" zoomScaleSheetLayoutView="85" workbookViewId="0">
      <selection activeCell="F59" sqref="F59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7" width="6.77734375" style="4" customWidth="1"/>
    <col min="18" max="18" width="6.44140625" style="4" customWidth="1"/>
    <col min="19" max="19" width="6.77734375" style="5" customWidth="1"/>
    <col min="20" max="20" width="7" style="4" customWidth="1"/>
    <col min="21" max="23" width="6.77734375" style="4" customWidth="1"/>
    <col min="24" max="43" width="8.88671875" style="1" customWidth="1"/>
    <col min="44" max="16384" width="8.88671875" style="1"/>
  </cols>
  <sheetData>
    <row r="1" spans="1:42">
      <c r="A1" s="148" t="s">
        <v>15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50"/>
      <c r="S1" s="1">
        <v>1</v>
      </c>
      <c r="T1" s="1" t="s">
        <v>47</v>
      </c>
      <c r="U1" s="58" t="s">
        <v>50</v>
      </c>
      <c r="W1" s="67" t="s">
        <v>68</v>
      </c>
      <c r="X1" s="1" t="s">
        <v>60</v>
      </c>
      <c r="Y1" s="1" t="s">
        <v>71</v>
      </c>
      <c r="Z1" s="1" t="s">
        <v>64</v>
      </c>
      <c r="AA1" s="1" t="s">
        <v>73</v>
      </c>
    </row>
    <row r="2" spans="1:42">
      <c r="A2" s="151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  <c r="S2" s="1">
        <v>2</v>
      </c>
      <c r="T2" s="1" t="s">
        <v>47</v>
      </c>
      <c r="U2" s="58" t="s">
        <v>48</v>
      </c>
      <c r="X2" s="1" t="s">
        <v>62</v>
      </c>
      <c r="Y2" s="1" t="s">
        <v>69</v>
      </c>
      <c r="Z2" s="1" t="s">
        <v>65</v>
      </c>
      <c r="AA2" s="1" t="s">
        <v>74</v>
      </c>
      <c r="AG2" s="1" t="s">
        <v>53</v>
      </c>
    </row>
    <row r="3" spans="1:42" ht="12.75" customHeight="1">
      <c r="A3" s="154"/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6"/>
      <c r="N3" s="157"/>
      <c r="O3" s="138"/>
      <c r="P3" s="157"/>
      <c r="Q3" s="138"/>
      <c r="R3" s="63"/>
      <c r="S3" s="1">
        <v>3</v>
      </c>
      <c r="T3" s="1" t="s">
        <v>47</v>
      </c>
      <c r="U3" s="58" t="s">
        <v>48</v>
      </c>
      <c r="V3" s="66" t="s">
        <v>79</v>
      </c>
      <c r="W3" s="65"/>
      <c r="X3" s="1" t="s">
        <v>61</v>
      </c>
      <c r="Y3" s="1" t="s">
        <v>70</v>
      </c>
      <c r="Z3" s="1" t="s">
        <v>66</v>
      </c>
      <c r="AA3" s="1" t="s">
        <v>75</v>
      </c>
    </row>
    <row r="4" spans="1:42" ht="21" customHeight="1">
      <c r="A4" s="158" t="s">
        <v>80</v>
      </c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  <c r="N4" s="3"/>
      <c r="O4" s="46"/>
      <c r="P4" s="46"/>
      <c r="Q4" s="46"/>
      <c r="R4" s="46"/>
      <c r="S4" s="1">
        <v>4</v>
      </c>
      <c r="T4" s="1" t="s">
        <v>47</v>
      </c>
      <c r="U4" s="58" t="s">
        <v>50</v>
      </c>
      <c r="V4" s="46">
        <v>50</v>
      </c>
      <c r="W4" s="46"/>
      <c r="X4" s="47" t="s">
        <v>63</v>
      </c>
      <c r="Y4" s="47" t="s">
        <v>72</v>
      </c>
      <c r="Z4" s="48" t="s">
        <v>67</v>
      </c>
      <c r="AA4" s="31" t="s">
        <v>76</v>
      </c>
      <c r="AB4" s="31"/>
      <c r="AC4" s="31"/>
      <c r="AD4" s="31"/>
      <c r="AF4" s="1" t="s">
        <v>54</v>
      </c>
      <c r="AG4" s="1">
        <v>30</v>
      </c>
    </row>
    <row r="5" spans="1:42" ht="21" customHeight="1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  <c r="AF5" s="1" t="s">
        <v>55</v>
      </c>
      <c r="AG5" s="1">
        <f>0.0008*25*AG4+1.01</f>
        <v>1.6099999999999999</v>
      </c>
      <c r="AH5" s="1" t="s">
        <v>56</v>
      </c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  <c r="AG6" s="1">
        <v>10</v>
      </c>
      <c r="AH6" s="1">
        <f>AG6^AG5</f>
        <v>40.738027780411279</v>
      </c>
    </row>
    <row r="7" spans="1:42" ht="20.100000000000001" customHeight="1">
      <c r="A7" s="10" t="s">
        <v>13</v>
      </c>
      <c r="B7" s="145" t="s">
        <v>58</v>
      </c>
      <c r="C7" s="145"/>
      <c r="D7" s="146"/>
      <c r="E7" s="145" t="s">
        <v>84</v>
      </c>
      <c r="F7" s="145"/>
      <c r="G7" s="146"/>
      <c r="H7" s="145" t="s">
        <v>85</v>
      </c>
      <c r="I7" s="145"/>
      <c r="J7" s="146"/>
      <c r="K7" s="145" t="s">
        <v>81</v>
      </c>
      <c r="L7" s="145"/>
      <c r="M7" s="147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 t="s">
        <v>52</v>
      </c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51" t="s">
        <v>27</v>
      </c>
      <c r="AN8" s="50" t="s">
        <v>42</v>
      </c>
      <c r="AO8" s="51" t="s">
        <v>43</v>
      </c>
      <c r="AP8" s="51" t="s">
        <v>29</v>
      </c>
    </row>
    <row r="9" spans="1:42" ht="20.100000000000001" customHeight="1" thickTop="1">
      <c r="A9" s="21" t="s">
        <v>11</v>
      </c>
      <c r="B9" s="68">
        <v>56</v>
      </c>
      <c r="C9" s="34" t="s">
        <v>115</v>
      </c>
      <c r="D9" s="35"/>
      <c r="E9" s="71">
        <v>52</v>
      </c>
      <c r="F9" s="72" t="s">
        <v>77</v>
      </c>
      <c r="G9" s="73"/>
      <c r="H9" s="71">
        <v>54</v>
      </c>
      <c r="I9" s="72" t="s">
        <v>27</v>
      </c>
      <c r="J9" s="73"/>
      <c r="K9" s="68">
        <v>49</v>
      </c>
      <c r="L9" s="33" t="s">
        <v>77</v>
      </c>
      <c r="M9" s="30"/>
      <c r="N9" s="6"/>
      <c r="O9" s="56">
        <f>IF(AA9="","",ROUND(AA9,0))</f>
        <v>56</v>
      </c>
      <c r="P9" s="56">
        <f>IF(AB9="","",ROUND(AB9,0))</f>
        <v>52</v>
      </c>
      <c r="Q9" s="56">
        <f>IF(AC9="","",ROUND(AC9,0))</f>
        <v>54</v>
      </c>
      <c r="R9" s="56">
        <f>IF(AD9="","",ROUND(AD9,0))</f>
        <v>49</v>
      </c>
      <c r="S9" s="49"/>
      <c r="T9" s="43"/>
      <c r="V9" s="53">
        <f>B9-0.02</f>
        <v>55.98</v>
      </c>
      <c r="W9" s="53">
        <f>E9-0.02</f>
        <v>51.98</v>
      </c>
      <c r="X9" s="53">
        <f>H9-0.02</f>
        <v>53.98</v>
      </c>
      <c r="Y9" s="53">
        <f>K9-0.02</f>
        <v>48.98</v>
      </c>
      <c r="AA9" s="44">
        <f>IF(V9&gt;=LARGE($V$9:$V$28,10),V9,"")</f>
        <v>55.98</v>
      </c>
      <c r="AB9" s="44">
        <f>IF(W9&gt;=LARGE($W$9:$W$28,10),W9,"")</f>
        <v>51.98</v>
      </c>
      <c r="AC9" s="44">
        <f>IF(X9&gt;=LARGE($X$9:$X$28,10),X9,"")</f>
        <v>53.98</v>
      </c>
      <c r="AD9" s="44">
        <f>IF(Y9&gt;=LARGE($Y$9:$Y$28,10),Y9,"")</f>
        <v>48.98</v>
      </c>
      <c r="AF9" s="1">
        <v>10</v>
      </c>
      <c r="AG9" s="4">
        <f t="shared" ref="AG9:AG40" si="0">ROUNDDOWN(10^(0.0008*$P$5*$AF9+1.01),2)</f>
        <v>16.21</v>
      </c>
      <c r="AH9" s="4">
        <f t="shared" ref="AH9:AH40" si="1">$AG9+AM9</f>
        <v>15.41</v>
      </c>
      <c r="AI9" s="4" t="s">
        <v>34</v>
      </c>
      <c r="AJ9" s="4" t="s">
        <v>34</v>
      </c>
      <c r="AK9" s="4">
        <f t="shared" ref="AK9:AK40" si="2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69">
        <v>54</v>
      </c>
      <c r="C10" s="36" t="str">
        <f>$C$9</f>
        <v>45˚</v>
      </c>
      <c r="D10" s="37"/>
      <c r="E10" s="74">
        <v>50</v>
      </c>
      <c r="F10" s="75" t="str">
        <f>$F$9</f>
        <v>+0˚</v>
      </c>
      <c r="G10" s="76"/>
      <c r="H10" s="74">
        <v>48</v>
      </c>
      <c r="I10" s="75" t="str">
        <f>$I$9</f>
        <v>-45˚</v>
      </c>
      <c r="J10" s="76"/>
      <c r="K10" s="69">
        <v>50</v>
      </c>
      <c r="L10" s="36" t="str">
        <f>$L$9</f>
        <v>+0˚</v>
      </c>
      <c r="M10" s="24"/>
      <c r="N10" s="6"/>
      <c r="O10" s="56">
        <f t="shared" ref="O10:O28" si="3">IF(AA10="","",ROUND(AA10,0))</f>
        <v>54</v>
      </c>
      <c r="P10" s="56">
        <f t="shared" ref="P10:P28" si="4">IF(AB10="","",ROUND(AB10,0))</f>
        <v>50</v>
      </c>
      <c r="Q10" s="56">
        <f t="shared" ref="Q10:Q28" si="5">IF(AC10="","",ROUND(AC10,0))</f>
        <v>48</v>
      </c>
      <c r="R10" s="56">
        <f t="shared" ref="R10:R28" si="6">IF(AD10="","",ROUND(AD10,0))</f>
        <v>50</v>
      </c>
      <c r="S10" s="49"/>
      <c r="T10" s="43"/>
      <c r="V10" s="53">
        <f>B10-0.019</f>
        <v>53.981000000000002</v>
      </c>
      <c r="W10" s="53">
        <f>E10-0.019</f>
        <v>49.981000000000002</v>
      </c>
      <c r="X10" s="53">
        <f>H10-0.019</f>
        <v>47.981000000000002</v>
      </c>
      <c r="Y10" s="53">
        <f>K10-0.019</f>
        <v>49.981000000000002</v>
      </c>
      <c r="AA10" s="44">
        <f t="shared" ref="AA10:AA29" si="7">IF(V10&gt;=LARGE($V$9:$V$28,10),V10,"")</f>
        <v>53.981000000000002</v>
      </c>
      <c r="AB10" s="44">
        <f t="shared" ref="AB10:AB30" si="8">IF(W10&gt;=LARGE($W$9:$W$28,10),W10,"")</f>
        <v>49.981000000000002</v>
      </c>
      <c r="AC10" s="44">
        <f t="shared" ref="AC10:AC29" si="9">IF(X10&gt;=LARGE($X$9:$X$28,10),X10,"")</f>
        <v>47.981000000000002</v>
      </c>
      <c r="AD10" s="44">
        <f t="shared" ref="AD10:AD28" si="10">IF(Y10&gt;=LARGE($Y$9:$Y$28,10),Y10,"")</f>
        <v>49.981000000000002</v>
      </c>
      <c r="AF10" s="1">
        <v>11</v>
      </c>
      <c r="AG10" s="4">
        <f t="shared" si="0"/>
        <v>16.98</v>
      </c>
      <c r="AH10" s="4">
        <f t="shared" si="1"/>
        <v>16.170000000000002</v>
      </c>
      <c r="AI10" s="4" t="s">
        <v>34</v>
      </c>
      <c r="AJ10" s="4" t="s">
        <v>34</v>
      </c>
      <c r="AK10" s="4">
        <f t="shared" si="2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69">
        <v>50</v>
      </c>
      <c r="C11" s="36" t="str">
        <f t="shared" ref="C11:C28" si="11">$C$9</f>
        <v>45˚</v>
      </c>
      <c r="D11" s="37"/>
      <c r="E11" s="74">
        <v>46</v>
      </c>
      <c r="F11" s="75" t="str">
        <f t="shared" ref="F11:F28" si="12">$F$9</f>
        <v>+0˚</v>
      </c>
      <c r="G11" s="76"/>
      <c r="H11" s="74">
        <v>41</v>
      </c>
      <c r="I11" s="75" t="str">
        <f t="shared" ref="I11:I28" si="13">$I$9</f>
        <v>-45˚</v>
      </c>
      <c r="J11" s="76"/>
      <c r="K11" s="69">
        <v>46</v>
      </c>
      <c r="L11" s="36" t="str">
        <f t="shared" ref="L11:L28" si="14">$L$9</f>
        <v>+0˚</v>
      </c>
      <c r="M11" s="24"/>
      <c r="N11" s="6"/>
      <c r="O11" s="56">
        <f t="shared" si="3"/>
        <v>50</v>
      </c>
      <c r="P11" s="56" t="str">
        <f t="shared" si="4"/>
        <v/>
      </c>
      <c r="Q11" s="56" t="str">
        <f t="shared" si="5"/>
        <v/>
      </c>
      <c r="R11" s="64">
        <f t="shared" si="6"/>
        <v>46</v>
      </c>
      <c r="S11" s="49"/>
      <c r="T11" s="43"/>
      <c r="V11" s="53">
        <f>B11-0.018</f>
        <v>49.981999999999999</v>
      </c>
      <c r="W11" s="53">
        <f>E11-0.018</f>
        <v>45.981999999999999</v>
      </c>
      <c r="X11" s="53">
        <f>H11-0.018</f>
        <v>40.981999999999999</v>
      </c>
      <c r="Y11" s="53">
        <f>K11-0.018</f>
        <v>45.981999999999999</v>
      </c>
      <c r="AA11" s="44">
        <f t="shared" si="7"/>
        <v>49.981999999999999</v>
      </c>
      <c r="AB11" s="44" t="str">
        <f t="shared" si="8"/>
        <v/>
      </c>
      <c r="AC11" s="44" t="str">
        <f t="shared" si="9"/>
        <v/>
      </c>
      <c r="AD11" s="44">
        <f t="shared" si="10"/>
        <v>45.981999999999999</v>
      </c>
      <c r="AF11" s="1">
        <v>12</v>
      </c>
      <c r="AG11" s="4">
        <f t="shared" si="0"/>
        <v>17.78</v>
      </c>
      <c r="AH11" s="4">
        <f t="shared" si="1"/>
        <v>16.96</v>
      </c>
      <c r="AI11" s="4" t="s">
        <v>34</v>
      </c>
      <c r="AJ11" s="4" t="s">
        <v>34</v>
      </c>
      <c r="AK11" s="4">
        <f t="shared" si="2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69">
        <v>50</v>
      </c>
      <c r="C12" s="36" t="str">
        <f t="shared" si="11"/>
        <v>45˚</v>
      </c>
      <c r="D12" s="37"/>
      <c r="E12" s="74">
        <v>47</v>
      </c>
      <c r="F12" s="75" t="str">
        <f t="shared" si="12"/>
        <v>+0˚</v>
      </c>
      <c r="G12" s="76"/>
      <c r="H12" s="74">
        <v>47</v>
      </c>
      <c r="I12" s="75" t="str">
        <f t="shared" si="13"/>
        <v>-45˚</v>
      </c>
      <c r="J12" s="76"/>
      <c r="K12" s="69">
        <v>47</v>
      </c>
      <c r="L12" s="36" t="str">
        <f t="shared" si="14"/>
        <v>+0˚</v>
      </c>
      <c r="M12" s="24"/>
      <c r="N12" s="6"/>
      <c r="O12" s="56">
        <f t="shared" si="3"/>
        <v>50</v>
      </c>
      <c r="P12" s="56" t="str">
        <f t="shared" si="4"/>
        <v/>
      </c>
      <c r="Q12" s="56">
        <f t="shared" si="5"/>
        <v>47</v>
      </c>
      <c r="R12" s="56">
        <f t="shared" si="6"/>
        <v>47</v>
      </c>
      <c r="S12" s="49"/>
      <c r="T12" s="43"/>
      <c r="V12" s="53">
        <f>B12-0.0117</f>
        <v>49.988300000000002</v>
      </c>
      <c r="W12" s="53">
        <f>E12-0.0117</f>
        <v>46.988300000000002</v>
      </c>
      <c r="X12" s="53">
        <f>H12-0.0117</f>
        <v>46.988300000000002</v>
      </c>
      <c r="Y12" s="53">
        <f>K12-0.0117</f>
        <v>46.988300000000002</v>
      </c>
      <c r="AA12" s="44">
        <f t="shared" si="7"/>
        <v>49.988300000000002</v>
      </c>
      <c r="AB12" s="44" t="str">
        <f t="shared" si="8"/>
        <v/>
      </c>
      <c r="AC12" s="44">
        <f t="shared" si="9"/>
        <v>46.988300000000002</v>
      </c>
      <c r="AD12" s="44">
        <f t="shared" si="10"/>
        <v>46.988300000000002</v>
      </c>
      <c r="AF12" s="1">
        <v>13</v>
      </c>
      <c r="AG12" s="4">
        <f t="shared" si="0"/>
        <v>18.62</v>
      </c>
      <c r="AH12" s="4">
        <f t="shared" si="1"/>
        <v>17.790000000000003</v>
      </c>
      <c r="AI12" s="4" t="s">
        <v>34</v>
      </c>
      <c r="AJ12" s="4" t="s">
        <v>34</v>
      </c>
      <c r="AK12" s="4">
        <f t="shared" si="2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69">
        <v>42</v>
      </c>
      <c r="C13" s="36" t="str">
        <f t="shared" si="11"/>
        <v>45˚</v>
      </c>
      <c r="D13" s="37"/>
      <c r="E13" s="74">
        <v>53</v>
      </c>
      <c r="F13" s="75" t="str">
        <f t="shared" si="12"/>
        <v>+0˚</v>
      </c>
      <c r="G13" s="76"/>
      <c r="H13" s="74">
        <v>52</v>
      </c>
      <c r="I13" s="75" t="str">
        <f t="shared" si="13"/>
        <v>-45˚</v>
      </c>
      <c r="J13" s="76"/>
      <c r="K13" s="69">
        <v>45</v>
      </c>
      <c r="L13" s="36" t="str">
        <f t="shared" si="14"/>
        <v>+0˚</v>
      </c>
      <c r="M13" s="24"/>
      <c r="N13" s="6"/>
      <c r="O13" s="56" t="str">
        <f t="shared" si="3"/>
        <v/>
      </c>
      <c r="P13" s="56">
        <f t="shared" si="4"/>
        <v>53</v>
      </c>
      <c r="Q13" s="56">
        <f t="shared" si="5"/>
        <v>52</v>
      </c>
      <c r="R13" s="56" t="str">
        <f t="shared" si="6"/>
        <v/>
      </c>
      <c r="S13" s="49"/>
      <c r="T13" s="43"/>
      <c r="V13" s="53">
        <f>B13-0.016</f>
        <v>41.984000000000002</v>
      </c>
      <c r="W13" s="53">
        <f>E13-0.016</f>
        <v>52.984000000000002</v>
      </c>
      <c r="X13" s="53">
        <f>H13-0.016</f>
        <v>51.984000000000002</v>
      </c>
      <c r="Y13" s="53">
        <f>K13-0.016</f>
        <v>44.984000000000002</v>
      </c>
      <c r="AA13" s="44" t="str">
        <f t="shared" si="7"/>
        <v/>
      </c>
      <c r="AB13" s="44">
        <f t="shared" si="8"/>
        <v>52.984000000000002</v>
      </c>
      <c r="AC13" s="44">
        <f t="shared" si="9"/>
        <v>51.984000000000002</v>
      </c>
      <c r="AD13" s="44" t="str">
        <f t="shared" si="10"/>
        <v/>
      </c>
      <c r="AF13" s="1">
        <v>14</v>
      </c>
      <c r="AG13" s="4">
        <f t="shared" si="0"/>
        <v>19.489999999999998</v>
      </c>
      <c r="AH13" s="4">
        <f t="shared" si="1"/>
        <v>18.649999999999999</v>
      </c>
      <c r="AI13" s="4" t="s">
        <v>34</v>
      </c>
      <c r="AJ13" s="4" t="s">
        <v>34</v>
      </c>
      <c r="AK13" s="4">
        <f t="shared" si="2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69">
        <v>50</v>
      </c>
      <c r="C14" s="36" t="str">
        <f t="shared" si="11"/>
        <v>45˚</v>
      </c>
      <c r="D14" s="37"/>
      <c r="E14" s="74">
        <v>47</v>
      </c>
      <c r="F14" s="75" t="str">
        <f t="shared" si="12"/>
        <v>+0˚</v>
      </c>
      <c r="G14" s="76"/>
      <c r="H14" s="74">
        <v>47</v>
      </c>
      <c r="I14" s="75" t="str">
        <f t="shared" si="13"/>
        <v>-45˚</v>
      </c>
      <c r="J14" s="76"/>
      <c r="K14" s="69">
        <v>47</v>
      </c>
      <c r="L14" s="36" t="str">
        <f t="shared" si="14"/>
        <v>+0˚</v>
      </c>
      <c r="M14" s="24"/>
      <c r="N14" s="6"/>
      <c r="O14" s="56">
        <f t="shared" si="3"/>
        <v>50</v>
      </c>
      <c r="P14" s="56" t="str">
        <f t="shared" si="4"/>
        <v/>
      </c>
      <c r="Q14" s="56" t="str">
        <f t="shared" si="5"/>
        <v/>
      </c>
      <c r="R14" s="56">
        <f t="shared" si="6"/>
        <v>47</v>
      </c>
      <c r="S14" s="49"/>
      <c r="T14" s="43"/>
      <c r="V14" s="53">
        <f>B14-0.015</f>
        <v>49.984999999999999</v>
      </c>
      <c r="W14" s="53">
        <f>E14-0.015</f>
        <v>46.984999999999999</v>
      </c>
      <c r="X14" s="53">
        <f>H14-0.015</f>
        <v>46.984999999999999</v>
      </c>
      <c r="Y14" s="53">
        <f>K14-0.015</f>
        <v>46.984999999999999</v>
      </c>
      <c r="AA14" s="44">
        <f t="shared" si="7"/>
        <v>49.984999999999999</v>
      </c>
      <c r="AB14" s="44" t="str">
        <f t="shared" si="8"/>
        <v/>
      </c>
      <c r="AC14" s="44" t="str">
        <f t="shared" si="9"/>
        <v/>
      </c>
      <c r="AD14" s="44">
        <f t="shared" si="10"/>
        <v>46.984999999999999</v>
      </c>
      <c r="AF14" s="1">
        <v>15</v>
      </c>
      <c r="AG14" s="4">
        <f t="shared" si="0"/>
        <v>20.41</v>
      </c>
      <c r="AH14" s="4">
        <f t="shared" si="1"/>
        <v>19.559999999999999</v>
      </c>
      <c r="AI14" s="4" t="s">
        <v>34</v>
      </c>
      <c r="AJ14" s="4" t="s">
        <v>34</v>
      </c>
      <c r="AK14" s="4">
        <f t="shared" si="2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69">
        <v>50</v>
      </c>
      <c r="C15" s="36" t="str">
        <f t="shared" si="11"/>
        <v>45˚</v>
      </c>
      <c r="D15" s="37"/>
      <c r="E15" s="74">
        <v>50</v>
      </c>
      <c r="F15" s="75" t="str">
        <f t="shared" si="12"/>
        <v>+0˚</v>
      </c>
      <c r="G15" s="76"/>
      <c r="H15" s="74">
        <v>50</v>
      </c>
      <c r="I15" s="75" t="str">
        <f t="shared" si="13"/>
        <v>-45˚</v>
      </c>
      <c r="J15" s="76"/>
      <c r="K15" s="69">
        <v>42</v>
      </c>
      <c r="L15" s="36" t="str">
        <f t="shared" si="14"/>
        <v>+0˚</v>
      </c>
      <c r="M15" s="24"/>
      <c r="O15" s="56">
        <f t="shared" si="3"/>
        <v>50</v>
      </c>
      <c r="P15" s="56">
        <f t="shared" si="4"/>
        <v>50</v>
      </c>
      <c r="Q15" s="56">
        <f t="shared" si="5"/>
        <v>50</v>
      </c>
      <c r="R15" s="56" t="str">
        <f t="shared" si="6"/>
        <v/>
      </c>
      <c r="S15" s="49"/>
      <c r="T15" s="43"/>
      <c r="V15" s="53">
        <f>B15-0.014</f>
        <v>49.985999999999997</v>
      </c>
      <c r="W15" s="53">
        <f>E15-0.014</f>
        <v>49.985999999999997</v>
      </c>
      <c r="X15" s="53">
        <f>H15-0.014</f>
        <v>49.985999999999997</v>
      </c>
      <c r="Y15" s="53">
        <f>K15-0.014</f>
        <v>41.985999999999997</v>
      </c>
      <c r="AA15" s="44">
        <f t="shared" si="7"/>
        <v>49.985999999999997</v>
      </c>
      <c r="AB15" s="44">
        <f t="shared" si="8"/>
        <v>49.985999999999997</v>
      </c>
      <c r="AC15" s="44">
        <f t="shared" si="9"/>
        <v>49.985999999999997</v>
      </c>
      <c r="AD15" s="44" t="str">
        <f t="shared" si="10"/>
        <v/>
      </c>
      <c r="AF15" s="1">
        <v>16</v>
      </c>
      <c r="AG15" s="4">
        <f t="shared" si="0"/>
        <v>21.37</v>
      </c>
      <c r="AH15" s="4">
        <f t="shared" si="1"/>
        <v>20.51</v>
      </c>
      <c r="AI15" s="4" t="s">
        <v>34</v>
      </c>
      <c r="AJ15" s="4" t="s">
        <v>34</v>
      </c>
      <c r="AK15" s="4">
        <f t="shared" si="2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69">
        <v>48</v>
      </c>
      <c r="C16" s="36" t="str">
        <f t="shared" si="11"/>
        <v>45˚</v>
      </c>
      <c r="D16" s="37"/>
      <c r="E16" s="74">
        <v>48</v>
      </c>
      <c r="F16" s="75" t="str">
        <f t="shared" si="12"/>
        <v>+0˚</v>
      </c>
      <c r="G16" s="76"/>
      <c r="H16" s="74">
        <v>46</v>
      </c>
      <c r="I16" s="75" t="str">
        <f t="shared" si="13"/>
        <v>-45˚</v>
      </c>
      <c r="J16" s="76"/>
      <c r="K16" s="69">
        <v>43</v>
      </c>
      <c r="L16" s="36" t="str">
        <f t="shared" si="14"/>
        <v>+0˚</v>
      </c>
      <c r="M16" s="24"/>
      <c r="O16" s="56">
        <f t="shared" si="3"/>
        <v>48</v>
      </c>
      <c r="P16" s="56" t="str">
        <f t="shared" si="4"/>
        <v/>
      </c>
      <c r="Q16" s="56" t="str">
        <f t="shared" si="5"/>
        <v/>
      </c>
      <c r="R16" s="56" t="str">
        <f t="shared" si="6"/>
        <v/>
      </c>
      <c r="S16" s="49"/>
      <c r="T16" s="43"/>
      <c r="V16" s="53">
        <f>B16-0.013</f>
        <v>47.987000000000002</v>
      </c>
      <c r="W16" s="53">
        <f>E16-0.013</f>
        <v>47.987000000000002</v>
      </c>
      <c r="X16" s="53">
        <f>H16-0.013</f>
        <v>45.987000000000002</v>
      </c>
      <c r="Y16" s="53">
        <f>K16-0.013</f>
        <v>42.987000000000002</v>
      </c>
      <c r="AA16" s="44">
        <f t="shared" si="7"/>
        <v>47.987000000000002</v>
      </c>
      <c r="AB16" s="44" t="str">
        <f t="shared" si="8"/>
        <v/>
      </c>
      <c r="AC16" s="44" t="str">
        <f t="shared" si="9"/>
        <v/>
      </c>
      <c r="AD16" s="44" t="str">
        <f t="shared" si="10"/>
        <v/>
      </c>
      <c r="AF16" s="1">
        <v>17</v>
      </c>
      <c r="AG16" s="4">
        <f t="shared" si="0"/>
        <v>22.38</v>
      </c>
      <c r="AH16" s="4">
        <f t="shared" si="1"/>
        <v>21.509999999999998</v>
      </c>
      <c r="AI16" s="4" t="s">
        <v>34</v>
      </c>
      <c r="AJ16" s="4" t="s">
        <v>34</v>
      </c>
      <c r="AK16" s="4">
        <f t="shared" si="2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69">
        <v>48</v>
      </c>
      <c r="C17" s="36" t="str">
        <f t="shared" si="11"/>
        <v>45˚</v>
      </c>
      <c r="D17" s="37"/>
      <c r="E17" s="74">
        <v>45</v>
      </c>
      <c r="F17" s="75" t="str">
        <f t="shared" si="12"/>
        <v>+0˚</v>
      </c>
      <c r="G17" s="76"/>
      <c r="H17" s="74">
        <v>45</v>
      </c>
      <c r="I17" s="75" t="str">
        <f t="shared" si="13"/>
        <v>-45˚</v>
      </c>
      <c r="J17" s="76"/>
      <c r="K17" s="69">
        <v>45</v>
      </c>
      <c r="L17" s="36" t="str">
        <f t="shared" si="14"/>
        <v>+0˚</v>
      </c>
      <c r="M17" s="24"/>
      <c r="O17" s="56">
        <f t="shared" si="3"/>
        <v>48</v>
      </c>
      <c r="P17" s="56" t="str">
        <f t="shared" si="4"/>
        <v/>
      </c>
      <c r="Q17" s="56" t="str">
        <f t="shared" si="5"/>
        <v/>
      </c>
      <c r="R17" s="56" t="str">
        <f t="shared" si="6"/>
        <v/>
      </c>
      <c r="S17" s="49"/>
      <c r="T17" s="43"/>
      <c r="V17" s="53">
        <f>B17-0.012</f>
        <v>47.988</v>
      </c>
      <c r="W17" s="53">
        <f>E17-0.012</f>
        <v>44.988</v>
      </c>
      <c r="X17" s="53">
        <f>H17-0.012</f>
        <v>44.988</v>
      </c>
      <c r="Y17" s="53">
        <f>K17-0.012</f>
        <v>44.988</v>
      </c>
      <c r="AA17" s="44">
        <f t="shared" si="7"/>
        <v>47.988</v>
      </c>
      <c r="AB17" s="44" t="str">
        <f t="shared" si="8"/>
        <v/>
      </c>
      <c r="AC17" s="44" t="str">
        <f t="shared" si="9"/>
        <v/>
      </c>
      <c r="AD17" s="44" t="str">
        <f t="shared" si="10"/>
        <v/>
      </c>
      <c r="AF17" s="1">
        <v>18</v>
      </c>
      <c r="AG17" s="4">
        <f t="shared" si="0"/>
        <v>23.44</v>
      </c>
      <c r="AH17" s="4">
        <f t="shared" si="1"/>
        <v>22.560000000000002</v>
      </c>
      <c r="AI17" s="4" t="s">
        <v>34</v>
      </c>
      <c r="AJ17" s="4" t="s">
        <v>34</v>
      </c>
      <c r="AK17" s="4">
        <f t="shared" si="2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69">
        <v>42</v>
      </c>
      <c r="C18" s="36" t="str">
        <f t="shared" si="11"/>
        <v>45˚</v>
      </c>
      <c r="D18" s="37"/>
      <c r="E18" s="74">
        <v>43</v>
      </c>
      <c r="F18" s="75" t="str">
        <f t="shared" si="12"/>
        <v>+0˚</v>
      </c>
      <c r="G18" s="76"/>
      <c r="H18" s="74">
        <v>49</v>
      </c>
      <c r="I18" s="75" t="str">
        <f t="shared" si="13"/>
        <v>-45˚</v>
      </c>
      <c r="J18" s="76"/>
      <c r="K18" s="69">
        <v>43</v>
      </c>
      <c r="L18" s="36" t="str">
        <f t="shared" si="14"/>
        <v>+0˚</v>
      </c>
      <c r="M18" s="24"/>
      <c r="O18" s="56" t="str">
        <f t="shared" si="3"/>
        <v/>
      </c>
      <c r="P18" s="56" t="str">
        <f t="shared" si="4"/>
        <v/>
      </c>
      <c r="Q18" s="56">
        <f t="shared" si="5"/>
        <v>49</v>
      </c>
      <c r="R18" s="56" t="str">
        <f t="shared" si="6"/>
        <v/>
      </c>
      <c r="S18" s="49"/>
      <c r="T18" s="43"/>
      <c r="V18" s="53">
        <f>B18-0.011</f>
        <v>41.988999999999997</v>
      </c>
      <c r="W18" s="53">
        <f>E18-0.011</f>
        <v>42.988999999999997</v>
      </c>
      <c r="X18" s="53">
        <f>H18-0.011</f>
        <v>48.988999999999997</v>
      </c>
      <c r="Y18" s="53">
        <f>K18-0.011</f>
        <v>42.988999999999997</v>
      </c>
      <c r="AA18" s="44" t="str">
        <f t="shared" si="7"/>
        <v/>
      </c>
      <c r="AB18" s="44" t="str">
        <f t="shared" si="8"/>
        <v/>
      </c>
      <c r="AC18" s="44">
        <f t="shared" si="9"/>
        <v>48.988999999999997</v>
      </c>
      <c r="AD18" s="44" t="str">
        <f t="shared" si="10"/>
        <v/>
      </c>
      <c r="AF18" s="1">
        <v>19</v>
      </c>
      <c r="AG18" s="4">
        <f t="shared" si="0"/>
        <v>24.54</v>
      </c>
      <c r="AH18" s="4">
        <f t="shared" si="1"/>
        <v>23.65</v>
      </c>
      <c r="AI18" s="4" t="s">
        <v>34</v>
      </c>
      <c r="AJ18" s="4" t="s">
        <v>34</v>
      </c>
      <c r="AK18" s="4">
        <f t="shared" si="2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69">
        <v>48</v>
      </c>
      <c r="C19" s="36" t="str">
        <f t="shared" si="11"/>
        <v>45˚</v>
      </c>
      <c r="D19" s="37"/>
      <c r="E19" s="74">
        <v>54</v>
      </c>
      <c r="F19" s="75" t="str">
        <f t="shared" si="12"/>
        <v>+0˚</v>
      </c>
      <c r="G19" s="76"/>
      <c r="H19" s="74">
        <v>44</v>
      </c>
      <c r="I19" s="75" t="str">
        <f t="shared" si="13"/>
        <v>-45˚</v>
      </c>
      <c r="J19" s="76"/>
      <c r="K19" s="69">
        <v>43</v>
      </c>
      <c r="L19" s="36" t="str">
        <f t="shared" si="14"/>
        <v>+0˚</v>
      </c>
      <c r="M19" s="24"/>
      <c r="O19" s="56">
        <f t="shared" si="3"/>
        <v>48</v>
      </c>
      <c r="P19" s="56">
        <f t="shared" si="4"/>
        <v>54</v>
      </c>
      <c r="Q19" s="56" t="str">
        <f t="shared" si="5"/>
        <v/>
      </c>
      <c r="R19" s="56" t="str">
        <f t="shared" si="6"/>
        <v/>
      </c>
      <c r="S19" s="49"/>
      <c r="T19" s="43"/>
      <c r="V19" s="53">
        <f>B19-0.01</f>
        <v>47.99</v>
      </c>
      <c r="W19" s="53">
        <f>E19-0.01</f>
        <v>53.99</v>
      </c>
      <c r="X19" s="53">
        <f>H19-0.01</f>
        <v>43.99</v>
      </c>
      <c r="Y19" s="53">
        <f>K19-0.01</f>
        <v>42.99</v>
      </c>
      <c r="AA19" s="44">
        <f t="shared" si="7"/>
        <v>47.99</v>
      </c>
      <c r="AB19" s="44">
        <f t="shared" si="8"/>
        <v>53.99</v>
      </c>
      <c r="AC19" s="44" t="str">
        <f t="shared" si="9"/>
        <v/>
      </c>
      <c r="AD19" s="44" t="str">
        <f t="shared" si="10"/>
        <v/>
      </c>
      <c r="AF19" s="1">
        <v>20</v>
      </c>
      <c r="AG19" s="4">
        <f t="shared" si="0"/>
        <v>25.7</v>
      </c>
      <c r="AH19" s="4">
        <f t="shared" si="1"/>
        <v>24.8</v>
      </c>
      <c r="AI19" s="4">
        <f t="shared" ref="AI19:AI59" si="15">$AG19+AN19</f>
        <v>16.899999999999999</v>
      </c>
      <c r="AJ19" s="4">
        <f t="shared" ref="AJ19:AJ59" si="16">$AG19+AO19</f>
        <v>18.799999999999997</v>
      </c>
      <c r="AK19" s="4">
        <f t="shared" si="2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69">
        <v>48</v>
      </c>
      <c r="C20" s="36" t="str">
        <f t="shared" si="11"/>
        <v>45˚</v>
      </c>
      <c r="D20" s="37"/>
      <c r="E20" s="74">
        <v>45</v>
      </c>
      <c r="F20" s="75" t="str">
        <f t="shared" si="12"/>
        <v>+0˚</v>
      </c>
      <c r="G20" s="76"/>
      <c r="H20" s="74">
        <v>50</v>
      </c>
      <c r="I20" s="75" t="str">
        <f t="shared" si="13"/>
        <v>-45˚</v>
      </c>
      <c r="J20" s="76"/>
      <c r="K20" s="69">
        <v>45</v>
      </c>
      <c r="L20" s="36" t="str">
        <f t="shared" si="14"/>
        <v>+0˚</v>
      </c>
      <c r="M20" s="24"/>
      <c r="O20" s="56">
        <f t="shared" si="3"/>
        <v>48</v>
      </c>
      <c r="P20" s="56" t="str">
        <f t="shared" si="4"/>
        <v/>
      </c>
      <c r="Q20" s="56">
        <f t="shared" si="5"/>
        <v>50</v>
      </c>
      <c r="R20" s="56">
        <f t="shared" si="6"/>
        <v>45</v>
      </c>
      <c r="S20" s="49"/>
      <c r="T20" s="43"/>
      <c r="V20" s="53">
        <f>B20-0.009</f>
        <v>47.991</v>
      </c>
      <c r="W20" s="53">
        <f>E20-0.009</f>
        <v>44.991</v>
      </c>
      <c r="X20" s="53">
        <f>H20-0.009</f>
        <v>49.991</v>
      </c>
      <c r="Y20" s="53">
        <f>K20-0.009</f>
        <v>44.991</v>
      </c>
      <c r="AA20" s="44">
        <f t="shared" si="7"/>
        <v>47.991</v>
      </c>
      <c r="AB20" s="44" t="str">
        <f t="shared" si="8"/>
        <v/>
      </c>
      <c r="AC20" s="44">
        <f t="shared" si="9"/>
        <v>49.991</v>
      </c>
      <c r="AD20" s="44">
        <f t="shared" si="10"/>
        <v>44.991</v>
      </c>
      <c r="AF20" s="1">
        <v>21</v>
      </c>
      <c r="AG20" s="4">
        <f t="shared" si="0"/>
        <v>26.91</v>
      </c>
      <c r="AH20" s="4">
        <f t="shared" si="1"/>
        <v>26.02</v>
      </c>
      <c r="AI20" s="4">
        <f t="shared" si="15"/>
        <v>18.21</v>
      </c>
      <c r="AJ20" s="4">
        <f t="shared" si="16"/>
        <v>20.079999999999998</v>
      </c>
      <c r="AK20" s="4">
        <f t="shared" si="2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69">
        <v>46</v>
      </c>
      <c r="C21" s="36" t="str">
        <f t="shared" si="11"/>
        <v>45˚</v>
      </c>
      <c r="D21" s="37"/>
      <c r="E21" s="74">
        <v>50</v>
      </c>
      <c r="F21" s="75" t="str">
        <f t="shared" si="12"/>
        <v>+0˚</v>
      </c>
      <c r="G21" s="76"/>
      <c r="H21" s="74">
        <v>43</v>
      </c>
      <c r="I21" s="75" t="str">
        <f t="shared" si="13"/>
        <v>-45˚</v>
      </c>
      <c r="J21" s="76"/>
      <c r="K21" s="69">
        <v>43</v>
      </c>
      <c r="L21" s="36" t="str">
        <f t="shared" si="14"/>
        <v>+0˚</v>
      </c>
      <c r="M21" s="24"/>
      <c r="O21" s="56" t="str">
        <f t="shared" si="3"/>
        <v/>
      </c>
      <c r="P21" s="56">
        <f t="shared" si="4"/>
        <v>50</v>
      </c>
      <c r="Q21" s="56" t="str">
        <f t="shared" si="5"/>
        <v/>
      </c>
      <c r="R21" s="56" t="str">
        <f t="shared" si="6"/>
        <v/>
      </c>
      <c r="S21" s="49"/>
      <c r="T21" s="43"/>
      <c r="V21" s="53">
        <f>B21-0.008</f>
        <v>45.991999999999997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42.991999999999997</v>
      </c>
      <c r="AA21" s="44" t="str">
        <f t="shared" si="7"/>
        <v/>
      </c>
      <c r="AB21" s="44">
        <f t="shared" si="8"/>
        <v>49.991999999999997</v>
      </c>
      <c r="AC21" s="44" t="str">
        <f t="shared" si="9"/>
        <v/>
      </c>
      <c r="AD21" s="44" t="str">
        <f t="shared" si="10"/>
        <v/>
      </c>
      <c r="AF21" s="1">
        <v>22</v>
      </c>
      <c r="AG21" s="4">
        <f t="shared" si="0"/>
        <v>28.18</v>
      </c>
      <c r="AH21" s="4">
        <f t="shared" si="1"/>
        <v>27.3</v>
      </c>
      <c r="AI21" s="4">
        <f t="shared" si="15"/>
        <v>19.579999999999998</v>
      </c>
      <c r="AJ21" s="4">
        <f t="shared" si="16"/>
        <v>21.42</v>
      </c>
      <c r="AK21" s="4">
        <f t="shared" si="2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69">
        <v>46</v>
      </c>
      <c r="C22" s="36" t="str">
        <f t="shared" si="11"/>
        <v>45˚</v>
      </c>
      <c r="D22" s="37"/>
      <c r="E22" s="74">
        <v>51</v>
      </c>
      <c r="F22" s="75" t="str">
        <f t="shared" si="12"/>
        <v>+0˚</v>
      </c>
      <c r="G22" s="76"/>
      <c r="H22" s="74">
        <v>51</v>
      </c>
      <c r="I22" s="75" t="str">
        <f t="shared" si="13"/>
        <v>-45˚</v>
      </c>
      <c r="J22" s="76"/>
      <c r="K22" s="69">
        <v>42</v>
      </c>
      <c r="L22" s="36" t="str">
        <f t="shared" si="14"/>
        <v>+0˚</v>
      </c>
      <c r="M22" s="24"/>
      <c r="O22" s="56" t="str">
        <f t="shared" si="3"/>
        <v/>
      </c>
      <c r="P22" s="56">
        <f t="shared" si="4"/>
        <v>51</v>
      </c>
      <c r="Q22" s="56">
        <f t="shared" si="5"/>
        <v>51</v>
      </c>
      <c r="R22" s="56" t="str">
        <f t="shared" si="6"/>
        <v/>
      </c>
      <c r="S22" s="49"/>
      <c r="T22" s="43"/>
      <c r="V22" s="53">
        <f>B22-0.007</f>
        <v>45.993000000000002</v>
      </c>
      <c r="W22" s="53">
        <f>E22-0.007</f>
        <v>50.993000000000002</v>
      </c>
      <c r="X22" s="53">
        <f>H22-0.007</f>
        <v>50.993000000000002</v>
      </c>
      <c r="Y22" s="53">
        <f>K22-0.007</f>
        <v>41.993000000000002</v>
      </c>
      <c r="AA22" s="44" t="str">
        <f t="shared" si="7"/>
        <v/>
      </c>
      <c r="AB22" s="44">
        <f t="shared" si="8"/>
        <v>50.993000000000002</v>
      </c>
      <c r="AC22" s="44">
        <f t="shared" si="9"/>
        <v>50.993000000000002</v>
      </c>
      <c r="AD22" s="44" t="str">
        <f t="shared" si="10"/>
        <v/>
      </c>
      <c r="AF22" s="1">
        <v>23</v>
      </c>
      <c r="AG22" s="4">
        <f t="shared" si="0"/>
        <v>29.51</v>
      </c>
      <c r="AH22" s="4">
        <f t="shared" si="1"/>
        <v>28.64</v>
      </c>
      <c r="AI22" s="4">
        <f t="shared" si="15"/>
        <v>21.01</v>
      </c>
      <c r="AJ22" s="4">
        <f t="shared" si="16"/>
        <v>22.82</v>
      </c>
      <c r="AK22" s="4">
        <f t="shared" si="2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69">
        <v>40</v>
      </c>
      <c r="C23" s="36" t="str">
        <f t="shared" si="11"/>
        <v>45˚</v>
      </c>
      <c r="D23" s="37"/>
      <c r="E23" s="74">
        <v>47</v>
      </c>
      <c r="F23" s="75" t="str">
        <f t="shared" si="12"/>
        <v>+0˚</v>
      </c>
      <c r="G23" s="76"/>
      <c r="H23" s="74">
        <v>35</v>
      </c>
      <c r="I23" s="75" t="str">
        <f t="shared" si="13"/>
        <v>-45˚</v>
      </c>
      <c r="J23" s="76"/>
      <c r="K23" s="69">
        <v>47</v>
      </c>
      <c r="L23" s="36" t="str">
        <f t="shared" si="14"/>
        <v>+0˚</v>
      </c>
      <c r="M23" s="24"/>
      <c r="O23" s="56" t="str">
        <f t="shared" si="3"/>
        <v/>
      </c>
      <c r="P23" s="56" t="str">
        <f t="shared" si="4"/>
        <v/>
      </c>
      <c r="Q23" s="56" t="str">
        <f t="shared" si="5"/>
        <v/>
      </c>
      <c r="R23" s="56">
        <f t="shared" si="6"/>
        <v>47</v>
      </c>
      <c r="S23" s="49"/>
      <c r="T23" s="43"/>
      <c r="V23" s="53">
        <f>B23-0.006</f>
        <v>39.994</v>
      </c>
      <c r="W23" s="53">
        <f>E23-0.006</f>
        <v>46.994</v>
      </c>
      <c r="X23" s="53">
        <f>H23-0.006</f>
        <v>34.994</v>
      </c>
      <c r="Y23" s="53">
        <f>K23-0.006</f>
        <v>46.994</v>
      </c>
      <c r="AA23" s="44" t="str">
        <f t="shared" si="7"/>
        <v/>
      </c>
      <c r="AB23" s="44" t="str">
        <f t="shared" si="8"/>
        <v/>
      </c>
      <c r="AC23" s="44" t="str">
        <f t="shared" si="9"/>
        <v/>
      </c>
      <c r="AD23" s="44">
        <f t="shared" si="10"/>
        <v>46.994</v>
      </c>
      <c r="AF23" s="1">
        <v>24</v>
      </c>
      <c r="AG23" s="4">
        <f t="shared" si="0"/>
        <v>30.9</v>
      </c>
      <c r="AH23" s="4">
        <f t="shared" si="1"/>
        <v>30.04</v>
      </c>
      <c r="AI23" s="4">
        <f t="shared" si="15"/>
        <v>22.5</v>
      </c>
      <c r="AJ23" s="4">
        <f t="shared" si="16"/>
        <v>24.279999999999998</v>
      </c>
      <c r="AK23" s="4">
        <f t="shared" si="2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69">
        <v>46</v>
      </c>
      <c r="C24" s="36" t="str">
        <f t="shared" si="11"/>
        <v>45˚</v>
      </c>
      <c r="D24" s="37"/>
      <c r="E24" s="74">
        <v>48</v>
      </c>
      <c r="F24" s="75" t="str">
        <f t="shared" si="12"/>
        <v>+0˚</v>
      </c>
      <c r="G24" s="76"/>
      <c r="H24" s="74">
        <v>43</v>
      </c>
      <c r="I24" s="75" t="str">
        <f t="shared" si="13"/>
        <v>-45˚</v>
      </c>
      <c r="J24" s="76"/>
      <c r="K24" s="69">
        <v>48</v>
      </c>
      <c r="L24" s="36" t="str">
        <f t="shared" si="14"/>
        <v>+0˚</v>
      </c>
      <c r="M24" s="24"/>
      <c r="O24" s="56" t="str">
        <f t="shared" si="3"/>
        <v/>
      </c>
      <c r="P24" s="56" t="str">
        <f t="shared" si="4"/>
        <v/>
      </c>
      <c r="Q24" s="56" t="str">
        <f t="shared" si="5"/>
        <v/>
      </c>
      <c r="R24" s="56">
        <f t="shared" si="6"/>
        <v>48</v>
      </c>
      <c r="S24" s="49"/>
      <c r="T24" s="43"/>
      <c r="V24" s="53">
        <f>B24-0.005</f>
        <v>45.994999999999997</v>
      </c>
      <c r="W24" s="53">
        <f>E24-0.005</f>
        <v>47.994999999999997</v>
      </c>
      <c r="X24" s="53">
        <f>H24-0.005</f>
        <v>42.994999999999997</v>
      </c>
      <c r="Y24" s="53">
        <f>K24-0.005</f>
        <v>47.994999999999997</v>
      </c>
      <c r="AA24" s="44" t="str">
        <f t="shared" si="7"/>
        <v/>
      </c>
      <c r="AB24" s="44" t="str">
        <f t="shared" si="8"/>
        <v/>
      </c>
      <c r="AC24" s="44" t="str">
        <f t="shared" si="9"/>
        <v/>
      </c>
      <c r="AD24" s="44">
        <f t="shared" si="10"/>
        <v>47.994999999999997</v>
      </c>
      <c r="AF24" s="1">
        <v>25</v>
      </c>
      <c r="AG24" s="4">
        <f t="shared" si="0"/>
        <v>32.35</v>
      </c>
      <c r="AH24" s="4">
        <f t="shared" si="1"/>
        <v>31.5</v>
      </c>
      <c r="AI24" s="4">
        <f t="shared" si="15"/>
        <v>24.050000000000011</v>
      </c>
      <c r="AJ24" s="4">
        <f t="shared" si="16"/>
        <v>25.8</v>
      </c>
      <c r="AK24" s="4">
        <f t="shared" si="2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69">
        <v>46</v>
      </c>
      <c r="C25" s="36" t="str">
        <f t="shared" si="11"/>
        <v>45˚</v>
      </c>
      <c r="D25" s="37"/>
      <c r="E25" s="74">
        <v>50</v>
      </c>
      <c r="F25" s="75" t="str">
        <f t="shared" si="12"/>
        <v>+0˚</v>
      </c>
      <c r="G25" s="76"/>
      <c r="H25" s="74">
        <v>43</v>
      </c>
      <c r="I25" s="75" t="str">
        <f t="shared" si="13"/>
        <v>-45˚</v>
      </c>
      <c r="J25" s="76"/>
      <c r="K25" s="69">
        <v>44</v>
      </c>
      <c r="L25" s="36" t="str">
        <f t="shared" si="14"/>
        <v>+0˚</v>
      </c>
      <c r="M25" s="24"/>
      <c r="O25" s="56" t="str">
        <f t="shared" si="3"/>
        <v/>
      </c>
      <c r="P25" s="56">
        <f t="shared" si="4"/>
        <v>50</v>
      </c>
      <c r="Q25" s="56" t="str">
        <f t="shared" si="5"/>
        <v/>
      </c>
      <c r="R25" s="56" t="str">
        <f t="shared" si="6"/>
        <v/>
      </c>
      <c r="S25" s="49"/>
      <c r="T25" s="43"/>
      <c r="V25" s="53">
        <f>B25-0.004</f>
        <v>45.996000000000002</v>
      </c>
      <c r="W25" s="53">
        <f>E25-0.004</f>
        <v>49.996000000000002</v>
      </c>
      <c r="X25" s="53">
        <f>H25-0.004</f>
        <v>42.996000000000002</v>
      </c>
      <c r="Y25" s="53">
        <f>K25-0.004</f>
        <v>43.996000000000002</v>
      </c>
      <c r="AA25" s="44" t="str">
        <f t="shared" si="7"/>
        <v/>
      </c>
      <c r="AB25" s="44">
        <f t="shared" si="8"/>
        <v>49.996000000000002</v>
      </c>
      <c r="AC25" s="44" t="str">
        <f t="shared" si="9"/>
        <v/>
      </c>
      <c r="AD25" s="44" t="str">
        <f t="shared" si="10"/>
        <v/>
      </c>
      <c r="AF25" s="1">
        <v>26</v>
      </c>
      <c r="AG25" s="4">
        <f t="shared" si="0"/>
        <v>33.880000000000003</v>
      </c>
      <c r="AH25" s="4">
        <f t="shared" si="1"/>
        <v>33.04</v>
      </c>
      <c r="AI25" s="4">
        <f t="shared" si="15"/>
        <v>25.680000000000014</v>
      </c>
      <c r="AJ25" s="4">
        <f t="shared" si="16"/>
        <v>27.400000000000002</v>
      </c>
      <c r="AK25" s="4">
        <f t="shared" si="2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69">
        <v>44</v>
      </c>
      <c r="C26" s="36" t="str">
        <f t="shared" si="11"/>
        <v>45˚</v>
      </c>
      <c r="D26" s="37"/>
      <c r="E26" s="74">
        <v>45</v>
      </c>
      <c r="F26" s="75" t="str">
        <f t="shared" si="12"/>
        <v>+0˚</v>
      </c>
      <c r="G26" s="76"/>
      <c r="H26" s="74">
        <v>50</v>
      </c>
      <c r="I26" s="75" t="str">
        <f t="shared" si="13"/>
        <v>-45˚</v>
      </c>
      <c r="J26" s="76"/>
      <c r="K26" s="69">
        <v>45</v>
      </c>
      <c r="L26" s="36" t="str">
        <f t="shared" si="14"/>
        <v>+0˚</v>
      </c>
      <c r="M26" s="24"/>
      <c r="O26" s="56" t="str">
        <f t="shared" si="3"/>
        <v/>
      </c>
      <c r="P26" s="56" t="str">
        <f t="shared" si="4"/>
        <v/>
      </c>
      <c r="Q26" s="56">
        <f t="shared" si="5"/>
        <v>50</v>
      </c>
      <c r="R26" s="56">
        <f t="shared" si="6"/>
        <v>45</v>
      </c>
      <c r="S26" s="49"/>
      <c r="T26" s="43"/>
      <c r="V26" s="53">
        <f>B26-0.003</f>
        <v>43.997</v>
      </c>
      <c r="W26" s="53">
        <f>E26-0.003</f>
        <v>44.997</v>
      </c>
      <c r="X26" s="53">
        <f>H26-0.003</f>
        <v>49.997</v>
      </c>
      <c r="Y26" s="53">
        <f>K26-0.003</f>
        <v>44.997</v>
      </c>
      <c r="AA26" s="44" t="str">
        <f t="shared" si="7"/>
        <v/>
      </c>
      <c r="AB26" s="44" t="str">
        <f t="shared" si="8"/>
        <v/>
      </c>
      <c r="AC26" s="44">
        <f t="shared" si="9"/>
        <v>49.997</v>
      </c>
      <c r="AD26" s="44">
        <f t="shared" si="10"/>
        <v>44.997</v>
      </c>
      <c r="AF26" s="1">
        <v>27</v>
      </c>
      <c r="AG26" s="4">
        <f t="shared" si="0"/>
        <v>35.479999999999997</v>
      </c>
      <c r="AH26" s="4">
        <f t="shared" si="1"/>
        <v>34.65</v>
      </c>
      <c r="AI26" s="4">
        <f t="shared" si="15"/>
        <v>27.380000000000006</v>
      </c>
      <c r="AJ26" s="4">
        <f t="shared" si="16"/>
        <v>29.069999999999997</v>
      </c>
      <c r="AK26" s="4">
        <f t="shared" si="2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69">
        <v>44</v>
      </c>
      <c r="C27" s="36" t="str">
        <f t="shared" si="11"/>
        <v>45˚</v>
      </c>
      <c r="D27" s="37"/>
      <c r="E27" s="74">
        <v>48</v>
      </c>
      <c r="F27" s="75" t="str">
        <f t="shared" si="12"/>
        <v>+0˚</v>
      </c>
      <c r="G27" s="76"/>
      <c r="H27" s="74">
        <v>39</v>
      </c>
      <c r="I27" s="75" t="str">
        <f t="shared" si="13"/>
        <v>-45˚</v>
      </c>
      <c r="J27" s="76"/>
      <c r="K27" s="69">
        <v>48</v>
      </c>
      <c r="L27" s="36" t="str">
        <f t="shared" si="14"/>
        <v>+0˚</v>
      </c>
      <c r="M27" s="24"/>
      <c r="O27" s="56" t="str">
        <f t="shared" si="3"/>
        <v/>
      </c>
      <c r="P27" s="56">
        <f t="shared" si="4"/>
        <v>48</v>
      </c>
      <c r="Q27" s="56" t="str">
        <f t="shared" si="5"/>
        <v/>
      </c>
      <c r="R27" s="56">
        <f t="shared" si="6"/>
        <v>48</v>
      </c>
      <c r="S27" s="49"/>
      <c r="T27" s="43"/>
      <c r="V27" s="53">
        <f>B27-0.002</f>
        <v>43.997999999999998</v>
      </c>
      <c r="W27" s="53">
        <f>E27-0.002</f>
        <v>47.997999999999998</v>
      </c>
      <c r="X27" s="53">
        <f>H27-0.002</f>
        <v>38.997999999999998</v>
      </c>
      <c r="Y27" s="53">
        <f>K27-0.002</f>
        <v>47.997999999999998</v>
      </c>
      <c r="AA27" s="44" t="str">
        <f t="shared" si="7"/>
        <v/>
      </c>
      <c r="AB27" s="44">
        <f t="shared" si="8"/>
        <v>47.997999999999998</v>
      </c>
      <c r="AC27" s="44" t="str">
        <f t="shared" si="9"/>
        <v/>
      </c>
      <c r="AD27" s="44">
        <f t="shared" si="10"/>
        <v>47.997999999999998</v>
      </c>
      <c r="AF27" s="1">
        <v>28</v>
      </c>
      <c r="AG27" s="4">
        <f t="shared" si="0"/>
        <v>37.15</v>
      </c>
      <c r="AH27" s="4">
        <f t="shared" si="1"/>
        <v>36.33</v>
      </c>
      <c r="AI27" s="4">
        <f t="shared" si="15"/>
        <v>29.150000000000009</v>
      </c>
      <c r="AJ27" s="4">
        <f t="shared" si="16"/>
        <v>30.81</v>
      </c>
      <c r="AK27" s="4">
        <f t="shared" si="2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69">
        <v>38</v>
      </c>
      <c r="C28" s="36" t="str">
        <f t="shared" si="11"/>
        <v>45˚</v>
      </c>
      <c r="D28" s="37"/>
      <c r="E28" s="74">
        <v>52</v>
      </c>
      <c r="F28" s="75" t="str">
        <f t="shared" si="12"/>
        <v>+0˚</v>
      </c>
      <c r="G28" s="76"/>
      <c r="H28" s="74">
        <v>52</v>
      </c>
      <c r="I28" s="75" t="str">
        <f t="shared" si="13"/>
        <v>-45˚</v>
      </c>
      <c r="J28" s="76"/>
      <c r="K28" s="69">
        <v>44</v>
      </c>
      <c r="L28" s="36" t="str">
        <f t="shared" si="14"/>
        <v>+0˚</v>
      </c>
      <c r="M28" s="24"/>
      <c r="O28" s="56" t="str">
        <f t="shared" si="3"/>
        <v/>
      </c>
      <c r="P28" s="56">
        <f t="shared" si="4"/>
        <v>52</v>
      </c>
      <c r="Q28" s="56">
        <f t="shared" si="5"/>
        <v>52</v>
      </c>
      <c r="R28" s="56" t="str">
        <f t="shared" si="6"/>
        <v/>
      </c>
      <c r="S28" s="49"/>
      <c r="T28" s="43"/>
      <c r="V28" s="53">
        <f>B28-0.001</f>
        <v>37.999000000000002</v>
      </c>
      <c r="W28" s="53">
        <f>E28-0.001</f>
        <v>51.999000000000002</v>
      </c>
      <c r="X28" s="53">
        <f>H28-0.001</f>
        <v>51.999000000000002</v>
      </c>
      <c r="Y28" s="53">
        <f>K28-0.001</f>
        <v>43.999000000000002</v>
      </c>
      <c r="AA28" s="44" t="str">
        <f t="shared" si="7"/>
        <v/>
      </c>
      <c r="AB28" s="44">
        <f t="shared" si="8"/>
        <v>51.999000000000002</v>
      </c>
      <c r="AC28" s="44">
        <f t="shared" si="9"/>
        <v>51.999000000000002</v>
      </c>
      <c r="AD28" s="44" t="str">
        <f t="shared" si="10"/>
        <v/>
      </c>
      <c r="AF28" s="1">
        <v>29</v>
      </c>
      <c r="AG28" s="4">
        <f t="shared" si="0"/>
        <v>38.9</v>
      </c>
      <c r="AH28" s="4">
        <f t="shared" si="1"/>
        <v>38.089999999999996</v>
      </c>
      <c r="AI28" s="4">
        <f t="shared" si="15"/>
        <v>31.000000000000007</v>
      </c>
      <c r="AJ28" s="4">
        <f t="shared" si="16"/>
        <v>32.629999999999995</v>
      </c>
      <c r="AK28" s="4">
        <f t="shared" si="2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50</v>
      </c>
      <c r="P29" s="56">
        <f>ROUND(AVERAGE(P9:P28),0)</f>
        <v>51</v>
      </c>
      <c r="Q29" s="56">
        <f>ROUND(AVERAGE(Q9:Q28),0)</f>
        <v>50</v>
      </c>
      <c r="R29" s="56">
        <f>ROUND(AVERAGE(R9:R28),0)</f>
        <v>47</v>
      </c>
      <c r="S29" s="49"/>
      <c r="AA29" s="44" t="str">
        <f t="shared" si="7"/>
        <v/>
      </c>
      <c r="AB29" s="44" t="str">
        <f t="shared" si="8"/>
        <v/>
      </c>
      <c r="AC29" s="44" t="str">
        <f t="shared" si="9"/>
        <v/>
      </c>
      <c r="AF29" s="1">
        <v>30</v>
      </c>
      <c r="AG29" s="4">
        <f t="shared" si="0"/>
        <v>40.729999999999997</v>
      </c>
      <c r="AH29" s="4">
        <f t="shared" si="1"/>
        <v>39.93</v>
      </c>
      <c r="AI29" s="4">
        <f t="shared" si="15"/>
        <v>32.93</v>
      </c>
      <c r="AJ29" s="4">
        <f t="shared" si="16"/>
        <v>34.529999999999994</v>
      </c>
      <c r="AK29" s="4">
        <f t="shared" si="2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8"/>
        <v/>
      </c>
      <c r="AF30" s="1">
        <v>31</v>
      </c>
      <c r="AG30" s="4">
        <f t="shared" si="0"/>
        <v>42.65</v>
      </c>
      <c r="AH30" s="4">
        <f t="shared" si="1"/>
        <v>41.86</v>
      </c>
      <c r="AI30" s="4">
        <f t="shared" si="15"/>
        <v>34.97</v>
      </c>
      <c r="AJ30" s="4">
        <f t="shared" si="16"/>
        <v>36.54</v>
      </c>
      <c r="AK30" s="4">
        <f t="shared" si="2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0"/>
        <v>44.66</v>
      </c>
      <c r="AH31" s="4">
        <f t="shared" si="1"/>
        <v>43.879999999999995</v>
      </c>
      <c r="AI31" s="4">
        <f t="shared" si="15"/>
        <v>37.099999999999994</v>
      </c>
      <c r="AJ31" s="4">
        <f t="shared" si="16"/>
        <v>38.64</v>
      </c>
      <c r="AK31" s="4">
        <f t="shared" si="2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0"/>
        <v>46.77</v>
      </c>
      <c r="AH32" s="4">
        <f t="shared" si="1"/>
        <v>46</v>
      </c>
      <c r="AI32" s="4">
        <f t="shared" si="15"/>
        <v>39.330000000000005</v>
      </c>
      <c r="AJ32" s="4">
        <f t="shared" si="16"/>
        <v>40.840000000000003</v>
      </c>
      <c r="AK32" s="4">
        <f t="shared" si="2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0"/>
        <v>48.97</v>
      </c>
      <c r="AH33" s="4">
        <f t="shared" si="1"/>
        <v>48.21</v>
      </c>
      <c r="AI33" s="4">
        <f t="shared" si="15"/>
        <v>41.65</v>
      </c>
      <c r="AJ33" s="4">
        <f t="shared" si="16"/>
        <v>43.129999999999995</v>
      </c>
      <c r="AK33" s="4">
        <f t="shared" si="2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50</v>
      </c>
      <c r="C34" s="36" t="str">
        <f>$C$9</f>
        <v>45˚</v>
      </c>
      <c r="D34" s="54">
        <f>ROUND(INDEX($AG$9:$AK$60,MATCH(B34,$AF$9:$AF$59,0),MATCH(C34,$AG$8:$AK$8,0)),1)</f>
        <v>98</v>
      </c>
      <c r="E34" s="15">
        <f>P29</f>
        <v>51</v>
      </c>
      <c r="F34" s="32" t="str">
        <f>$F$9</f>
        <v>+0˚</v>
      </c>
      <c r="G34" s="54">
        <f>ROUND(INDEX($AG$9:$AK$60,MATCH(E34,$AF$9:$AF$59,0),MATCH(F34,$AG$8:$AK$8,0)),1)</f>
        <v>105</v>
      </c>
      <c r="H34" s="15">
        <f>Q29</f>
        <v>50</v>
      </c>
      <c r="I34" s="32" t="str">
        <f>$I$9</f>
        <v>-45˚</v>
      </c>
      <c r="J34" s="54">
        <f>ROUND(INDEX($AG$9:$AK$60,MATCH(H34,$AF$9:$AF$59,0),MATCH(I34,$AG$8:$AK$8,0)),1)</f>
        <v>101.7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44"/>
      <c r="S34" s="49"/>
      <c r="AF34" s="1">
        <v>35</v>
      </c>
      <c r="AG34" s="4">
        <f t="shared" si="0"/>
        <v>51.28</v>
      </c>
      <c r="AH34" s="4">
        <f t="shared" si="1"/>
        <v>50.53</v>
      </c>
      <c r="AI34" s="4">
        <f t="shared" si="15"/>
        <v>44.08</v>
      </c>
      <c r="AJ34" s="4">
        <f t="shared" si="16"/>
        <v>45.53</v>
      </c>
      <c r="AK34" s="4">
        <f t="shared" si="2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39" t="str">
        <f>IF(D34&lt;=50,"CW",IF(D34&lt;=85,"HW",IF(D34&lt;=115,"MW",IF(D34&lt;=145,"SW","F"))))</f>
        <v>MW</v>
      </c>
      <c r="C35" s="139"/>
      <c r="D35" s="140"/>
      <c r="E35" s="139" t="str">
        <f>IF(G34&lt;=50,"CW",IF(G34&lt;=85,"HW",IF(G34&lt;=115,"MW",IF(G34&lt;=145,"SW","F"))))</f>
        <v>MW</v>
      </c>
      <c r="F35" s="139"/>
      <c r="G35" s="140"/>
      <c r="H35" s="139" t="str">
        <f>IF(J34&lt;=50,"CW",IF(J34&lt;=85,"HW",IF(J34&lt;=115,"MW",IF(J34&lt;=145,"SW","F"))))</f>
        <v>MW</v>
      </c>
      <c r="I35" s="139"/>
      <c r="J35" s="140"/>
      <c r="K35" s="139" t="str">
        <f>IF(M34&lt;=50,"CW",IF(M34&lt;=85,"HW",IF(M34&lt;=115,"MW",IF(M34&lt;=145,"SW","F"))))</f>
        <v>MW</v>
      </c>
      <c r="L35" s="139"/>
      <c r="M35" s="141"/>
      <c r="O35" s="44"/>
      <c r="P35" s="44"/>
      <c r="Q35" s="44"/>
      <c r="R35" s="44"/>
      <c r="S35" s="49"/>
      <c r="AF35" s="1">
        <v>36</v>
      </c>
      <c r="AG35" s="4">
        <f t="shared" si="0"/>
        <v>53.7</v>
      </c>
      <c r="AH35" s="4">
        <f t="shared" si="1"/>
        <v>52.96</v>
      </c>
      <c r="AI35" s="4">
        <f t="shared" si="15"/>
        <v>46.620000000000005</v>
      </c>
      <c r="AJ35" s="4">
        <f t="shared" si="16"/>
        <v>48.040000000000006</v>
      </c>
      <c r="AK35" s="4">
        <f t="shared" si="2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보통암</v>
      </c>
      <c r="J36" s="1" t="str">
        <f>IF(J34&lt;70,"풍화암",IF(J34&lt;100,"연암",IF(J34&lt;130,"보통암",IF(J34&lt;160,"경암","극경암"))))</f>
        <v>보통암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0"/>
        <v>56.23</v>
      </c>
      <c r="AH36" s="4">
        <f t="shared" si="1"/>
        <v>55.499999999999993</v>
      </c>
      <c r="AI36" s="4">
        <f t="shared" si="15"/>
        <v>49.269999999999996</v>
      </c>
      <c r="AJ36" s="4">
        <f t="shared" si="16"/>
        <v>50.66</v>
      </c>
      <c r="AK36" s="4">
        <f t="shared" si="2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AF37" s="1">
        <v>38</v>
      </c>
      <c r="AG37" s="4">
        <f t="shared" si="0"/>
        <v>58.88</v>
      </c>
      <c r="AH37" s="4">
        <f t="shared" si="1"/>
        <v>58.160000000000004</v>
      </c>
      <c r="AI37" s="4">
        <f t="shared" si="15"/>
        <v>52.040000000000006</v>
      </c>
      <c r="AJ37" s="4">
        <f t="shared" si="16"/>
        <v>53.400000000000006</v>
      </c>
      <c r="AK37" s="4">
        <f t="shared" si="2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0"/>
        <v>61.65</v>
      </c>
      <c r="AH38" s="4">
        <f t="shared" si="1"/>
        <v>60.94</v>
      </c>
      <c r="AI38" s="4">
        <f t="shared" si="15"/>
        <v>54.93</v>
      </c>
      <c r="AJ38" s="4">
        <f t="shared" si="16"/>
        <v>56.260000000000005</v>
      </c>
      <c r="AK38" s="4">
        <f t="shared" si="2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0"/>
        <v>64.56</v>
      </c>
      <c r="AH39" s="4">
        <f t="shared" si="1"/>
        <v>63.86</v>
      </c>
      <c r="AI39" s="4">
        <f t="shared" si="15"/>
        <v>57.96</v>
      </c>
      <c r="AJ39" s="4">
        <f t="shared" si="16"/>
        <v>59.260000000000005</v>
      </c>
      <c r="AK39" s="4">
        <f t="shared" si="2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0"/>
        <v>67.599999999999994</v>
      </c>
      <c r="AH40" s="4">
        <f t="shared" si="1"/>
        <v>66.91</v>
      </c>
      <c r="AI40" s="4">
        <f t="shared" si="15"/>
        <v>61.129999999999995</v>
      </c>
      <c r="AJ40" s="4">
        <f t="shared" si="16"/>
        <v>62.399999999999991</v>
      </c>
      <c r="AK40" s="4">
        <f t="shared" si="2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7">ROUNDDOWN(10^(0.0008*$P$5*$AF41+1.01),2)</f>
        <v>70.790000000000006</v>
      </c>
      <c r="AH41" s="43">
        <f t="shared" ref="AH41:AH59" si="18">$AG41+AM41</f>
        <v>70.11</v>
      </c>
      <c r="AI41" s="4">
        <f t="shared" si="15"/>
        <v>64.45</v>
      </c>
      <c r="AJ41" s="4">
        <f t="shared" si="16"/>
        <v>65.690000000000012</v>
      </c>
      <c r="AK41" s="4">
        <f t="shared" ref="AK41:AK59" si="19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7"/>
        <v>74.13</v>
      </c>
      <c r="AH42" s="43">
        <f t="shared" si="18"/>
        <v>73.459999999999994</v>
      </c>
      <c r="AI42" s="4">
        <f t="shared" si="15"/>
        <v>67.92</v>
      </c>
      <c r="AJ42" s="4">
        <f t="shared" si="16"/>
        <v>69.13</v>
      </c>
      <c r="AK42" s="43">
        <f t="shared" si="19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7"/>
        <v>77.62</v>
      </c>
      <c r="AH43" s="43">
        <f t="shared" si="18"/>
        <v>76.960000000000008</v>
      </c>
      <c r="AI43" s="43">
        <f t="shared" si="15"/>
        <v>71.540000000000006</v>
      </c>
      <c r="AJ43" s="43">
        <f t="shared" si="16"/>
        <v>72.72</v>
      </c>
      <c r="AK43" s="43">
        <f t="shared" si="19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7"/>
        <v>81.28</v>
      </c>
      <c r="AH44" s="43">
        <f t="shared" si="18"/>
        <v>80.63</v>
      </c>
      <c r="AI44" s="43">
        <f t="shared" si="15"/>
        <v>75.33</v>
      </c>
      <c r="AJ44" s="43">
        <f t="shared" si="16"/>
        <v>76.48</v>
      </c>
      <c r="AK44" s="43">
        <f t="shared" si="19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7"/>
        <v>85.11</v>
      </c>
      <c r="AH45" s="43">
        <f t="shared" si="18"/>
        <v>84.47</v>
      </c>
      <c r="AI45" s="43">
        <f t="shared" si="15"/>
        <v>79.289999999999992</v>
      </c>
      <c r="AJ45" s="43">
        <f t="shared" si="16"/>
        <v>80.41</v>
      </c>
      <c r="AK45" s="43">
        <f t="shared" si="19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AF46" s="1">
        <v>47</v>
      </c>
      <c r="AG46" s="43">
        <f t="shared" si="17"/>
        <v>89.12</v>
      </c>
      <c r="AH46" s="43">
        <f t="shared" si="18"/>
        <v>88.490000000000009</v>
      </c>
      <c r="AI46" s="43">
        <f t="shared" si="15"/>
        <v>83.43</v>
      </c>
      <c r="AJ46" s="43">
        <f t="shared" si="16"/>
        <v>84.52000000000001</v>
      </c>
      <c r="AK46" s="43">
        <f t="shared" si="19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AF47" s="1">
        <v>48</v>
      </c>
      <c r="AG47" s="43">
        <f t="shared" si="17"/>
        <v>93.32</v>
      </c>
      <c r="AH47" s="43">
        <f t="shared" si="18"/>
        <v>92.699999999999989</v>
      </c>
      <c r="AI47" s="43">
        <f t="shared" si="15"/>
        <v>87.759999999999991</v>
      </c>
      <c r="AJ47" s="43">
        <f t="shared" si="16"/>
        <v>88.82</v>
      </c>
      <c r="AK47" s="43">
        <f t="shared" si="19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7"/>
        <v>97.72</v>
      </c>
      <c r="AH48" s="43">
        <f t="shared" si="18"/>
        <v>97.11</v>
      </c>
      <c r="AI48" s="43">
        <f t="shared" si="15"/>
        <v>92.289999999999992</v>
      </c>
      <c r="AJ48" s="43">
        <f t="shared" si="16"/>
        <v>93.32</v>
      </c>
      <c r="AK48" s="43">
        <f t="shared" si="19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7"/>
        <v>102.32</v>
      </c>
      <c r="AH49" s="61">
        <f t="shared" si="18"/>
        <v>101.72</v>
      </c>
      <c r="AI49" s="43">
        <f t="shared" si="15"/>
        <v>97.02</v>
      </c>
      <c r="AJ49" s="43">
        <f t="shared" si="16"/>
        <v>98.02</v>
      </c>
      <c r="AK49" s="61">
        <f t="shared" si="19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7"/>
        <v>107.15</v>
      </c>
      <c r="AH50" s="61">
        <f t="shared" si="18"/>
        <v>106.57000000000001</v>
      </c>
      <c r="AI50" s="61">
        <f t="shared" si="15"/>
        <v>101.98</v>
      </c>
      <c r="AJ50" s="61">
        <f t="shared" si="16"/>
        <v>102.95</v>
      </c>
      <c r="AK50" s="61">
        <f t="shared" si="19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7"/>
        <v>112.2</v>
      </c>
      <c r="AH51" s="61">
        <f t="shared" si="18"/>
        <v>111.64</v>
      </c>
      <c r="AI51" s="61">
        <f t="shared" si="15"/>
        <v>107.16</v>
      </c>
      <c r="AJ51" s="61">
        <f t="shared" si="16"/>
        <v>108.10000000000001</v>
      </c>
      <c r="AK51" s="61">
        <f t="shared" si="19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7"/>
        <v>117.48</v>
      </c>
      <c r="AH52" s="61">
        <f t="shared" si="18"/>
        <v>116.94</v>
      </c>
      <c r="AI52" s="61">
        <f t="shared" si="15"/>
        <v>112.57000000000001</v>
      </c>
      <c r="AJ52" s="61">
        <f t="shared" si="16"/>
        <v>113.48</v>
      </c>
      <c r="AK52" s="61">
        <f t="shared" si="19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7"/>
        <v>123.02</v>
      </c>
      <c r="AH53" s="61">
        <f t="shared" si="18"/>
        <v>122.5</v>
      </c>
      <c r="AI53" s="61">
        <f t="shared" si="15"/>
        <v>118.24</v>
      </c>
      <c r="AJ53" s="61">
        <f t="shared" si="16"/>
        <v>119.11999999999999</v>
      </c>
      <c r="AK53" s="61">
        <f t="shared" si="19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7"/>
        <v>128.82</v>
      </c>
      <c r="AH54" s="61">
        <f t="shared" si="18"/>
        <v>128.32</v>
      </c>
      <c r="AI54" s="61">
        <f t="shared" si="15"/>
        <v>124.16999999999999</v>
      </c>
      <c r="AJ54" s="61">
        <f t="shared" si="16"/>
        <v>125.02</v>
      </c>
      <c r="AK54" s="61">
        <f t="shared" si="19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7"/>
        <v>134.88999999999999</v>
      </c>
      <c r="AH55" s="62">
        <f t="shared" si="18"/>
        <v>134.41</v>
      </c>
      <c r="AI55" s="62">
        <f t="shared" si="15"/>
        <v>130.36999999999998</v>
      </c>
      <c r="AJ55" s="62">
        <f t="shared" si="16"/>
        <v>131.19</v>
      </c>
      <c r="AK55" s="62">
        <f t="shared" si="19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7"/>
        <v>141.25</v>
      </c>
      <c r="AH56" s="62">
        <f t="shared" si="18"/>
        <v>140.79</v>
      </c>
      <c r="AI56" s="62">
        <f t="shared" si="15"/>
        <v>136.86000000000001</v>
      </c>
      <c r="AJ56" s="62">
        <f t="shared" si="16"/>
        <v>137.65</v>
      </c>
      <c r="AK56" s="62">
        <f t="shared" si="19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7"/>
        <v>147.91</v>
      </c>
      <c r="AH57" s="62">
        <f t="shared" si="18"/>
        <v>147.47</v>
      </c>
      <c r="AI57" s="62">
        <f t="shared" si="15"/>
        <v>143.65</v>
      </c>
      <c r="AJ57" s="62">
        <f t="shared" si="16"/>
        <v>144.41</v>
      </c>
      <c r="AK57" s="62">
        <f t="shared" si="19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56</v>
      </c>
      <c r="C58" s="39">
        <f>B10</f>
        <v>54</v>
      </c>
      <c r="D58" s="39">
        <f>B11</f>
        <v>50</v>
      </c>
      <c r="E58" s="39">
        <f>B12</f>
        <v>50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↗</v>
      </c>
      <c r="G58" s="41">
        <f>B34</f>
        <v>50</v>
      </c>
      <c r="H58" s="1">
        <f>$P$5</f>
        <v>25</v>
      </c>
      <c r="I58" s="59">
        <f>D34</f>
        <v>98</v>
      </c>
      <c r="J58" s="1" t="str">
        <f>D36</f>
        <v>연암</v>
      </c>
      <c r="AF58" s="1">
        <v>59</v>
      </c>
      <c r="AG58" s="62">
        <f t="shared" si="17"/>
        <v>154.88</v>
      </c>
      <c r="AH58" s="62">
        <f t="shared" si="18"/>
        <v>154.46</v>
      </c>
      <c r="AI58" s="62">
        <f t="shared" si="15"/>
        <v>150.75</v>
      </c>
      <c r="AJ58" s="62">
        <f t="shared" si="16"/>
        <v>151.47999999999999</v>
      </c>
      <c r="AK58" s="62">
        <f t="shared" si="19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42</v>
      </c>
      <c r="C59" s="39">
        <f>B14</f>
        <v>50</v>
      </c>
      <c r="D59" s="39">
        <f>B15</f>
        <v>50</v>
      </c>
      <c r="E59" s="39">
        <f>B16</f>
        <v>48</v>
      </c>
      <c r="AF59" s="1">
        <v>60</v>
      </c>
      <c r="AG59" s="4">
        <f t="shared" si="17"/>
        <v>162.18</v>
      </c>
      <c r="AH59" s="4">
        <f t="shared" si="18"/>
        <v>161.78</v>
      </c>
      <c r="AI59" s="62">
        <f t="shared" si="15"/>
        <v>158.18</v>
      </c>
      <c r="AJ59" s="62">
        <f t="shared" si="16"/>
        <v>158.88</v>
      </c>
      <c r="AK59" s="44">
        <f t="shared" si="19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48</v>
      </c>
      <c r="C60" s="39">
        <f>B18</f>
        <v>42</v>
      </c>
      <c r="D60" s="39">
        <f>B19</f>
        <v>48</v>
      </c>
      <c r="E60" s="39">
        <f>B20</f>
        <v>48</v>
      </c>
    </row>
    <row r="61" spans="1:42">
      <c r="B61" s="38">
        <f>B21</f>
        <v>46</v>
      </c>
      <c r="C61" s="39">
        <f>B22</f>
        <v>46</v>
      </c>
      <c r="D61" s="39">
        <f>B23</f>
        <v>40</v>
      </c>
      <c r="E61" s="39">
        <f>B24</f>
        <v>46</v>
      </c>
    </row>
    <row r="62" spans="1:42">
      <c r="B62" s="38">
        <f>B25</f>
        <v>46</v>
      </c>
      <c r="C62" s="39">
        <f>B26</f>
        <v>44</v>
      </c>
      <c r="D62" s="39">
        <f>B27</f>
        <v>44</v>
      </c>
      <c r="E62" s="39">
        <f>B28</f>
        <v>38</v>
      </c>
      <c r="O62" s="45"/>
    </row>
    <row r="63" spans="1:42" ht="20.25">
      <c r="A63" s="60">
        <v>2</v>
      </c>
      <c r="B63" s="38">
        <f>E9</f>
        <v>52</v>
      </c>
      <c r="C63" s="39">
        <f>E10</f>
        <v>50</v>
      </c>
      <c r="D63" s="39">
        <f>E11</f>
        <v>46</v>
      </c>
      <c r="E63" s="39">
        <f>E12</f>
        <v>47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51</v>
      </c>
      <c r="H63" s="1">
        <f>$P$5</f>
        <v>25</v>
      </c>
      <c r="I63" s="59">
        <f>G34</f>
        <v>105</v>
      </c>
      <c r="J63" s="1" t="str">
        <f>G36</f>
        <v>보통암</v>
      </c>
    </row>
    <row r="64" spans="1:42">
      <c r="B64" s="38">
        <f>E13</f>
        <v>53</v>
      </c>
      <c r="C64" s="39">
        <f>E14</f>
        <v>47</v>
      </c>
      <c r="D64" s="39">
        <f>E15</f>
        <v>50</v>
      </c>
      <c r="E64" s="39">
        <f>E16</f>
        <v>48</v>
      </c>
    </row>
    <row r="65" spans="1:10">
      <c r="B65" s="38">
        <f>E17</f>
        <v>45</v>
      </c>
      <c r="C65" s="39">
        <f>E18</f>
        <v>43</v>
      </c>
      <c r="D65" s="39">
        <f>E19</f>
        <v>54</v>
      </c>
      <c r="E65" s="39">
        <f>E20</f>
        <v>45</v>
      </c>
    </row>
    <row r="66" spans="1:10">
      <c r="B66" s="38">
        <f>E21</f>
        <v>50</v>
      </c>
      <c r="C66" s="39">
        <f>E22</f>
        <v>51</v>
      </c>
      <c r="D66" s="39">
        <f>E23</f>
        <v>47</v>
      </c>
      <c r="E66" s="39">
        <f>E24</f>
        <v>48</v>
      </c>
    </row>
    <row r="67" spans="1:10">
      <c r="B67" s="38">
        <f>E25</f>
        <v>50</v>
      </c>
      <c r="C67" s="39">
        <f>E26</f>
        <v>45</v>
      </c>
      <c r="D67" s="39">
        <f>E27</f>
        <v>48</v>
      </c>
      <c r="E67" s="39">
        <f>E28</f>
        <v>52</v>
      </c>
    </row>
    <row r="68" spans="1:10" ht="20.25">
      <c r="A68" s="60">
        <v>3</v>
      </c>
      <c r="B68" s="38">
        <f>H9</f>
        <v>54</v>
      </c>
      <c r="C68" s="39">
        <f>H10</f>
        <v>48</v>
      </c>
      <c r="D68" s="39">
        <f>H11</f>
        <v>41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50</v>
      </c>
      <c r="H68" s="1">
        <f>$P$5</f>
        <v>25</v>
      </c>
      <c r="I68" s="59">
        <f>J34</f>
        <v>101.7</v>
      </c>
      <c r="J68" s="1" t="str">
        <f>J36</f>
        <v>보통암</v>
      </c>
    </row>
    <row r="69" spans="1:10">
      <c r="B69" s="38">
        <f>H13</f>
        <v>52</v>
      </c>
      <c r="C69" s="39">
        <f>H14</f>
        <v>47</v>
      </c>
      <c r="D69" s="39">
        <f>H15</f>
        <v>50</v>
      </c>
      <c r="E69" s="39">
        <f>H16</f>
        <v>46</v>
      </c>
    </row>
    <row r="70" spans="1:10">
      <c r="B70" s="38">
        <f>H17</f>
        <v>45</v>
      </c>
      <c r="C70" s="39">
        <f>H18</f>
        <v>49</v>
      </c>
      <c r="D70" s="39">
        <f>H19</f>
        <v>44</v>
      </c>
      <c r="E70" s="39">
        <f>H20</f>
        <v>50</v>
      </c>
    </row>
    <row r="71" spans="1:10">
      <c r="B71" s="38">
        <f>H21</f>
        <v>43</v>
      </c>
      <c r="C71" s="39">
        <f>H22</f>
        <v>51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50</v>
      </c>
      <c r="D72" s="39">
        <f>H27</f>
        <v>39</v>
      </c>
      <c r="E72" s="39">
        <f>H28</f>
        <v>52</v>
      </c>
    </row>
    <row r="73" spans="1:10" ht="20.25">
      <c r="A73" s="60">
        <v>4</v>
      </c>
      <c r="B73" s="38">
        <f>K9</f>
        <v>49</v>
      </c>
      <c r="C73" s="39">
        <f>K10</f>
        <v>50</v>
      </c>
      <c r="D73" s="39">
        <f>K11</f>
        <v>46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→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45</v>
      </c>
      <c r="C74" s="39">
        <f>K14</f>
        <v>47</v>
      </c>
      <c r="D74" s="39">
        <f>K15</f>
        <v>42</v>
      </c>
      <c r="E74" s="39">
        <f>K16</f>
        <v>43</v>
      </c>
    </row>
    <row r="75" spans="1:10">
      <c r="B75" s="38">
        <f>K17</f>
        <v>45</v>
      </c>
      <c r="C75" s="39">
        <f>K18</f>
        <v>43</v>
      </c>
      <c r="D75" s="39">
        <f>K19</f>
        <v>43</v>
      </c>
      <c r="E75" s="39">
        <f>K20</f>
        <v>45</v>
      </c>
    </row>
    <row r="76" spans="1:10">
      <c r="B76" s="38">
        <f>K21</f>
        <v>43</v>
      </c>
      <c r="C76" s="39">
        <f>K22</f>
        <v>42</v>
      </c>
      <c r="D76" s="39">
        <f>K23</f>
        <v>47</v>
      </c>
      <c r="E76" s="39">
        <f>K24</f>
        <v>48</v>
      </c>
    </row>
    <row r="77" spans="1:10">
      <c r="B77" s="38">
        <f>K25</f>
        <v>44</v>
      </c>
      <c r="C77" s="39">
        <f>K26</f>
        <v>45</v>
      </c>
      <c r="D77" s="39">
        <f>K27</f>
        <v>48</v>
      </c>
      <c r="E77" s="39">
        <f>K28</f>
        <v>44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count="2">
    <dataValidation type="list" allowBlank="1" showInputMessage="1" showErrorMessage="1" sqref="C9 F9 I9 L9" xr:uid="{00000000-0002-0000-0000-000000000000}">
      <formula1>$AG$8:$AK$8</formula1>
    </dataValidation>
    <dataValidation type="list" allowBlank="1" showInputMessage="1" showErrorMessage="1" sqref="U1:U4" xr:uid="{00000000-0002-0000-0000-00000100000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77"/>
  <sheetViews>
    <sheetView topLeftCell="A37" zoomScale="85" zoomScaleNormal="85" zoomScaleSheetLayoutView="85" workbookViewId="0">
      <selection activeCell="F59" sqref="F59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148" t="s">
        <v>15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50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151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154"/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6"/>
      <c r="N3" s="157"/>
      <c r="O3" s="138"/>
      <c r="P3" s="157"/>
      <c r="Q3" s="138"/>
      <c r="R3" s="63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158" t="str">
        <f>'A-B'!$A$4</f>
        <v>* 사면명 : 39. 중부내륙선 232.430k(창원)</v>
      </c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145" t="s">
        <v>86</v>
      </c>
      <c r="C7" s="145"/>
      <c r="D7" s="146"/>
      <c r="E7" s="145" t="s">
        <v>87</v>
      </c>
      <c r="F7" s="145"/>
      <c r="G7" s="146"/>
      <c r="H7" s="145" t="s">
        <v>82</v>
      </c>
      <c r="I7" s="145"/>
      <c r="J7" s="146"/>
      <c r="K7" s="145" t="s">
        <v>88</v>
      </c>
      <c r="L7" s="145"/>
      <c r="M7" s="146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40</v>
      </c>
      <c r="C9" s="34" t="s">
        <v>27</v>
      </c>
      <c r="D9" s="35"/>
      <c r="E9" s="68">
        <v>46</v>
      </c>
      <c r="F9" s="34" t="s">
        <v>29</v>
      </c>
      <c r="G9" s="22"/>
      <c r="H9" s="68">
        <v>48</v>
      </c>
      <c r="I9" s="34" t="s">
        <v>29</v>
      </c>
      <c r="J9" s="22"/>
      <c r="K9" s="68">
        <v>46</v>
      </c>
      <c r="L9" s="34" t="s">
        <v>29</v>
      </c>
      <c r="M9" s="30"/>
      <c r="N9" s="6"/>
      <c r="O9" s="56" t="str">
        <f t="shared" ref="O9:O28" si="0">IF(AA9="","",ROUND(AA9,0))</f>
        <v/>
      </c>
      <c r="P9" s="56">
        <f t="shared" ref="P9:R24" si="1">IF(AB9="","",ROUND(AB9,0))</f>
        <v>46</v>
      </c>
      <c r="Q9" s="56">
        <f t="shared" si="1"/>
        <v>48</v>
      </c>
      <c r="R9" s="56">
        <f t="shared" si="1"/>
        <v>46</v>
      </c>
      <c r="S9" s="49"/>
      <c r="T9" s="43"/>
      <c r="V9" s="53">
        <f>B9-0.02</f>
        <v>39.979999999999997</v>
      </c>
      <c r="W9" s="53">
        <f>E9-0.02</f>
        <v>45.98</v>
      </c>
      <c r="X9" s="53">
        <f>H9-0.02</f>
        <v>47.98</v>
      </c>
      <c r="Y9" s="53">
        <f>K9-0.02</f>
        <v>45.98</v>
      </c>
      <c r="AA9" s="44" t="str">
        <f>IF(V9&gt;=LARGE($V$9:$V$28,10),V9,"")</f>
        <v/>
      </c>
      <c r="AB9" s="44">
        <f>IF(W9&gt;=LARGE($W$9:$W$28,10),W9,"")</f>
        <v>45.98</v>
      </c>
      <c r="AC9" s="44">
        <f>IF(X9&gt;=LARGE($X$9:$X$28,10),X9,"")</f>
        <v>47.98</v>
      </c>
      <c r="AD9" s="44">
        <f>IF(Y9&gt;=LARGE($Y$9:$Y$28,10),Y9,"")</f>
        <v>45.98</v>
      </c>
      <c r="AF9" s="1">
        <v>10</v>
      </c>
      <c r="AG9" s="4">
        <f t="shared" ref="AG9:AG40" si="2">ROUNDDOWN(10^(0.0008*$P$5*$AF9+1.01),2)</f>
        <v>16.21</v>
      </c>
      <c r="AH9" s="4">
        <f t="shared" ref="AH9:AH40" si="3">$AG9+AM9</f>
        <v>15.41</v>
      </c>
      <c r="AI9" s="4" t="s">
        <v>34</v>
      </c>
      <c r="AJ9" s="4" t="s">
        <v>34</v>
      </c>
      <c r="AK9" s="4">
        <f t="shared" ref="AK9:AK40" si="4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52</v>
      </c>
      <c r="C10" s="36" t="str">
        <f>$C$9</f>
        <v>-45˚</v>
      </c>
      <c r="D10" s="37"/>
      <c r="E10" s="69">
        <v>46</v>
      </c>
      <c r="F10" s="36" t="str">
        <f>$F$9</f>
        <v>+0˚</v>
      </c>
      <c r="G10" s="23"/>
      <c r="H10" s="69">
        <v>48</v>
      </c>
      <c r="I10" s="36" t="str">
        <f>$I$9</f>
        <v>+0˚</v>
      </c>
      <c r="J10" s="23"/>
      <c r="K10" s="69">
        <v>45</v>
      </c>
      <c r="L10" s="36" t="str">
        <f>$L$9</f>
        <v>+0˚</v>
      </c>
      <c r="M10" s="24"/>
      <c r="N10" s="6"/>
      <c r="O10" s="56">
        <f t="shared" si="0"/>
        <v>52</v>
      </c>
      <c r="P10" s="56">
        <f t="shared" si="1"/>
        <v>46</v>
      </c>
      <c r="Q10" s="56">
        <f t="shared" si="1"/>
        <v>48</v>
      </c>
      <c r="R10" s="56" t="str">
        <f t="shared" si="1"/>
        <v/>
      </c>
      <c r="S10" s="49"/>
      <c r="T10" s="43"/>
      <c r="V10" s="53">
        <f>B10-0.019</f>
        <v>51.981000000000002</v>
      </c>
      <c r="W10" s="53">
        <f>E10-0.019</f>
        <v>45.981000000000002</v>
      </c>
      <c r="X10" s="53">
        <f>H10-0.019</f>
        <v>47.981000000000002</v>
      </c>
      <c r="Y10" s="53">
        <f>K10-0.019</f>
        <v>44.981000000000002</v>
      </c>
      <c r="AA10" s="44">
        <f t="shared" ref="AA10:AA29" si="5">IF(V10&gt;=LARGE($V$9:$V$28,10),V10,"")</f>
        <v>51.981000000000002</v>
      </c>
      <c r="AB10" s="44">
        <f t="shared" ref="AB10:AB30" si="6">IF(W10&gt;=LARGE($W$9:$W$28,10),W10,"")</f>
        <v>45.981000000000002</v>
      </c>
      <c r="AC10" s="44">
        <f t="shared" ref="AC10:AC29" si="7">IF(X10&gt;=LARGE($X$9:$X$28,10),X10,"")</f>
        <v>47.981000000000002</v>
      </c>
      <c r="AD10" s="44" t="str">
        <f t="shared" ref="AD10:AD28" si="8">IF(Y10&gt;=LARGE($Y$9:$Y$28,10),Y10,"")</f>
        <v/>
      </c>
      <c r="AF10" s="1">
        <v>11</v>
      </c>
      <c r="AG10" s="4">
        <f t="shared" si="2"/>
        <v>16.98</v>
      </c>
      <c r="AH10" s="4">
        <f t="shared" si="3"/>
        <v>16.170000000000002</v>
      </c>
      <c r="AI10" s="4" t="s">
        <v>34</v>
      </c>
      <c r="AJ10" s="4" t="s">
        <v>34</v>
      </c>
      <c r="AK10" s="4">
        <f t="shared" si="4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48</v>
      </c>
      <c r="C11" s="36" t="str">
        <f t="shared" ref="C11:C28" si="9">$C$9</f>
        <v>-45˚</v>
      </c>
      <c r="D11" s="37"/>
      <c r="E11" s="69">
        <v>42</v>
      </c>
      <c r="F11" s="36" t="str">
        <f t="shared" ref="F11:F28" si="10">$F$9</f>
        <v>+0˚</v>
      </c>
      <c r="G11" s="23"/>
      <c r="H11" s="69">
        <v>48</v>
      </c>
      <c r="I11" s="36" t="str">
        <f t="shared" ref="I11:I28" si="11">$I$9</f>
        <v>+0˚</v>
      </c>
      <c r="J11" s="23"/>
      <c r="K11" s="69">
        <v>32</v>
      </c>
      <c r="L11" s="36" t="str">
        <f t="shared" ref="L11:L28" si="12">$L$9</f>
        <v>+0˚</v>
      </c>
      <c r="M11" s="24"/>
      <c r="N11" s="6"/>
      <c r="O11" s="56">
        <f t="shared" si="0"/>
        <v>48</v>
      </c>
      <c r="P11" s="56" t="str">
        <f t="shared" si="1"/>
        <v/>
      </c>
      <c r="Q11" s="56">
        <f t="shared" si="1"/>
        <v>48</v>
      </c>
      <c r="R11" s="56" t="str">
        <f t="shared" si="1"/>
        <v/>
      </c>
      <c r="S11" s="49"/>
      <c r="T11" s="43"/>
      <c r="V11" s="53">
        <f>B11-0.018</f>
        <v>47.981999999999999</v>
      </c>
      <c r="W11" s="53">
        <f>E11-0.018</f>
        <v>41.981999999999999</v>
      </c>
      <c r="X11" s="53">
        <f>H11-0.018</f>
        <v>47.981999999999999</v>
      </c>
      <c r="Y11" s="53">
        <f>K11-0.018</f>
        <v>31.981999999999999</v>
      </c>
      <c r="AA11" s="44">
        <f t="shared" si="5"/>
        <v>47.981999999999999</v>
      </c>
      <c r="AB11" s="44" t="str">
        <f t="shared" si="6"/>
        <v/>
      </c>
      <c r="AC11" s="44">
        <f t="shared" si="7"/>
        <v>47.981999999999999</v>
      </c>
      <c r="AD11" s="44" t="str">
        <f t="shared" si="8"/>
        <v/>
      </c>
      <c r="AF11" s="1">
        <v>12</v>
      </c>
      <c r="AG11" s="4">
        <f t="shared" si="2"/>
        <v>17.78</v>
      </c>
      <c r="AH11" s="4">
        <f t="shared" si="3"/>
        <v>16.96</v>
      </c>
      <c r="AI11" s="4" t="s">
        <v>34</v>
      </c>
      <c r="AJ11" s="4" t="s">
        <v>34</v>
      </c>
      <c r="AK11" s="4">
        <f t="shared" si="4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41</v>
      </c>
      <c r="C12" s="36" t="str">
        <f t="shared" si="9"/>
        <v>-45˚</v>
      </c>
      <c r="D12" s="37"/>
      <c r="E12" s="69">
        <v>50</v>
      </c>
      <c r="F12" s="36" t="str">
        <f t="shared" si="10"/>
        <v>+0˚</v>
      </c>
      <c r="G12" s="23"/>
      <c r="H12" s="69">
        <v>47</v>
      </c>
      <c r="I12" s="36" t="str">
        <f t="shared" si="11"/>
        <v>+0˚</v>
      </c>
      <c r="J12" s="23"/>
      <c r="K12" s="69">
        <v>47</v>
      </c>
      <c r="L12" s="36" t="str">
        <f t="shared" si="12"/>
        <v>+0˚</v>
      </c>
      <c r="M12" s="24"/>
      <c r="N12" s="6"/>
      <c r="O12" s="56" t="str">
        <f t="shared" si="0"/>
        <v/>
      </c>
      <c r="P12" s="56">
        <f t="shared" si="1"/>
        <v>50</v>
      </c>
      <c r="Q12" s="56">
        <f t="shared" si="1"/>
        <v>47</v>
      </c>
      <c r="R12" s="56">
        <f t="shared" si="1"/>
        <v>47</v>
      </c>
      <c r="S12" s="49"/>
      <c r="T12" s="43"/>
      <c r="V12" s="53">
        <f>B12-0.0117</f>
        <v>40.988300000000002</v>
      </c>
      <c r="W12" s="53">
        <f>E12-0.0117</f>
        <v>49.988300000000002</v>
      </c>
      <c r="X12" s="53">
        <f>H12-0.0117</f>
        <v>46.988300000000002</v>
      </c>
      <c r="Y12" s="53">
        <f>K12-0.0117</f>
        <v>46.988300000000002</v>
      </c>
      <c r="AA12" s="44" t="str">
        <f t="shared" si="5"/>
        <v/>
      </c>
      <c r="AB12" s="44">
        <f t="shared" si="6"/>
        <v>49.988300000000002</v>
      </c>
      <c r="AC12" s="44">
        <f t="shared" si="7"/>
        <v>46.988300000000002</v>
      </c>
      <c r="AD12" s="44">
        <f t="shared" si="8"/>
        <v>46.988300000000002</v>
      </c>
      <c r="AF12" s="1">
        <v>13</v>
      </c>
      <c r="AG12" s="4">
        <f t="shared" si="2"/>
        <v>18.62</v>
      </c>
      <c r="AH12" s="4">
        <f t="shared" si="3"/>
        <v>17.790000000000003</v>
      </c>
      <c r="AI12" s="4" t="s">
        <v>34</v>
      </c>
      <c r="AJ12" s="4" t="s">
        <v>34</v>
      </c>
      <c r="AK12" s="4">
        <f t="shared" si="4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9"/>
        <v>-45˚</v>
      </c>
      <c r="D13" s="37"/>
      <c r="E13" s="69">
        <v>45</v>
      </c>
      <c r="F13" s="36" t="str">
        <f t="shared" si="10"/>
        <v>+0˚</v>
      </c>
      <c r="G13" s="23"/>
      <c r="H13" s="69">
        <v>39</v>
      </c>
      <c r="I13" s="36" t="str">
        <f t="shared" si="11"/>
        <v>+0˚</v>
      </c>
      <c r="J13" s="23"/>
      <c r="K13" s="69">
        <v>50</v>
      </c>
      <c r="L13" s="36" t="str">
        <f t="shared" si="12"/>
        <v>+0˚</v>
      </c>
      <c r="M13" s="24"/>
      <c r="N13" s="6"/>
      <c r="O13" s="56" t="str">
        <f t="shared" si="0"/>
        <v/>
      </c>
      <c r="P13" s="56">
        <f t="shared" si="1"/>
        <v>45</v>
      </c>
      <c r="Q13" s="56" t="str">
        <f t="shared" si="1"/>
        <v/>
      </c>
      <c r="R13" s="56">
        <f t="shared" si="1"/>
        <v>50</v>
      </c>
      <c r="S13" s="49"/>
      <c r="T13" s="43"/>
      <c r="V13" s="53">
        <f>B13-0.016</f>
        <v>31.984000000000002</v>
      </c>
      <c r="W13" s="53">
        <f>E13-0.016</f>
        <v>44.984000000000002</v>
      </c>
      <c r="X13" s="53">
        <f>H13-0.016</f>
        <v>38.984000000000002</v>
      </c>
      <c r="Y13" s="53">
        <f>K13-0.016</f>
        <v>49.984000000000002</v>
      </c>
      <c r="AA13" s="44" t="str">
        <f t="shared" si="5"/>
        <v/>
      </c>
      <c r="AB13" s="44">
        <f t="shared" si="6"/>
        <v>44.984000000000002</v>
      </c>
      <c r="AC13" s="44" t="str">
        <f t="shared" si="7"/>
        <v/>
      </c>
      <c r="AD13" s="44">
        <f t="shared" si="8"/>
        <v>49.984000000000002</v>
      </c>
      <c r="AF13" s="1">
        <v>14</v>
      </c>
      <c r="AG13" s="4">
        <f t="shared" si="2"/>
        <v>19.489999999999998</v>
      </c>
      <c r="AH13" s="4">
        <f t="shared" si="3"/>
        <v>18.649999999999999</v>
      </c>
      <c r="AI13" s="4" t="s">
        <v>34</v>
      </c>
      <c r="AJ13" s="4" t="s">
        <v>34</v>
      </c>
      <c r="AK13" s="4">
        <f t="shared" si="4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48</v>
      </c>
      <c r="C14" s="36" t="str">
        <f t="shared" si="9"/>
        <v>-45˚</v>
      </c>
      <c r="D14" s="37"/>
      <c r="E14" s="69">
        <v>26</v>
      </c>
      <c r="F14" s="36" t="str">
        <f t="shared" si="10"/>
        <v>+0˚</v>
      </c>
      <c r="G14" s="23"/>
      <c r="H14" s="69">
        <v>47</v>
      </c>
      <c r="I14" s="36" t="str">
        <f t="shared" si="11"/>
        <v>+0˚</v>
      </c>
      <c r="J14" s="23"/>
      <c r="K14" s="69">
        <v>56</v>
      </c>
      <c r="L14" s="36" t="str">
        <f t="shared" si="12"/>
        <v>+0˚</v>
      </c>
      <c r="M14" s="24"/>
      <c r="N14" s="6"/>
      <c r="O14" s="56">
        <f t="shared" si="0"/>
        <v>48</v>
      </c>
      <c r="P14" s="56" t="str">
        <f t="shared" si="1"/>
        <v/>
      </c>
      <c r="Q14" s="56">
        <f t="shared" si="1"/>
        <v>47</v>
      </c>
      <c r="R14" s="56">
        <f t="shared" si="1"/>
        <v>56</v>
      </c>
      <c r="S14" s="49"/>
      <c r="T14" s="43"/>
      <c r="V14" s="53">
        <f>B14-0.015</f>
        <v>47.984999999999999</v>
      </c>
      <c r="W14" s="53">
        <f>E14-0.015</f>
        <v>25.984999999999999</v>
      </c>
      <c r="X14" s="53">
        <f>H14-0.015</f>
        <v>46.984999999999999</v>
      </c>
      <c r="Y14" s="53">
        <f>K14-0.015</f>
        <v>55.984999999999999</v>
      </c>
      <c r="AA14" s="44">
        <f t="shared" si="5"/>
        <v>47.984999999999999</v>
      </c>
      <c r="AB14" s="44" t="str">
        <f t="shared" si="6"/>
        <v/>
      </c>
      <c r="AC14" s="44">
        <f t="shared" si="7"/>
        <v>46.984999999999999</v>
      </c>
      <c r="AD14" s="44">
        <f t="shared" si="8"/>
        <v>55.984999999999999</v>
      </c>
      <c r="AF14" s="1">
        <v>15</v>
      </c>
      <c r="AG14" s="4">
        <f t="shared" si="2"/>
        <v>20.41</v>
      </c>
      <c r="AH14" s="4">
        <f t="shared" si="3"/>
        <v>19.559999999999999</v>
      </c>
      <c r="AI14" s="4" t="s">
        <v>34</v>
      </c>
      <c r="AJ14" s="4" t="s">
        <v>34</v>
      </c>
      <c r="AK14" s="4">
        <f t="shared" si="4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52</v>
      </c>
      <c r="C15" s="36" t="str">
        <f t="shared" si="9"/>
        <v>-45˚</v>
      </c>
      <c r="D15" s="37"/>
      <c r="E15" s="69">
        <v>32</v>
      </c>
      <c r="F15" s="36" t="str">
        <f t="shared" si="10"/>
        <v>+0˚</v>
      </c>
      <c r="G15" s="23"/>
      <c r="H15" s="69">
        <v>47</v>
      </c>
      <c r="I15" s="36" t="str">
        <f t="shared" si="11"/>
        <v>+0˚</v>
      </c>
      <c r="J15" s="23"/>
      <c r="K15" s="69">
        <v>45</v>
      </c>
      <c r="L15" s="36" t="str">
        <f t="shared" si="12"/>
        <v>+0˚</v>
      </c>
      <c r="M15" s="24"/>
      <c r="O15" s="56">
        <f t="shared" si="0"/>
        <v>52</v>
      </c>
      <c r="P15" s="56" t="str">
        <f t="shared" si="1"/>
        <v/>
      </c>
      <c r="Q15" s="56">
        <f t="shared" si="1"/>
        <v>47</v>
      </c>
      <c r="R15" s="56">
        <f t="shared" si="1"/>
        <v>45</v>
      </c>
      <c r="S15" s="49"/>
      <c r="T15" s="43"/>
      <c r="V15" s="53">
        <f>B15-0.014</f>
        <v>51.985999999999997</v>
      </c>
      <c r="W15" s="53">
        <f>E15-0.014</f>
        <v>31.986000000000001</v>
      </c>
      <c r="X15" s="53">
        <f>H15-0.014</f>
        <v>46.985999999999997</v>
      </c>
      <c r="Y15" s="53">
        <f>K15-0.014</f>
        <v>44.985999999999997</v>
      </c>
      <c r="AA15" s="44">
        <f t="shared" si="5"/>
        <v>51.985999999999997</v>
      </c>
      <c r="AB15" s="44" t="str">
        <f t="shared" si="6"/>
        <v/>
      </c>
      <c r="AC15" s="44">
        <f t="shared" si="7"/>
        <v>46.985999999999997</v>
      </c>
      <c r="AD15" s="44">
        <f t="shared" si="8"/>
        <v>44.985999999999997</v>
      </c>
      <c r="AF15" s="1">
        <v>16</v>
      </c>
      <c r="AG15" s="4">
        <f t="shared" si="2"/>
        <v>21.37</v>
      </c>
      <c r="AH15" s="4">
        <f t="shared" si="3"/>
        <v>20.51</v>
      </c>
      <c r="AI15" s="4" t="s">
        <v>34</v>
      </c>
      <c r="AJ15" s="4" t="s">
        <v>34</v>
      </c>
      <c r="AK15" s="4">
        <f t="shared" si="4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50</v>
      </c>
      <c r="C16" s="36" t="str">
        <f t="shared" si="9"/>
        <v>-45˚</v>
      </c>
      <c r="D16" s="37"/>
      <c r="E16" s="69">
        <v>54</v>
      </c>
      <c r="F16" s="36" t="str">
        <f t="shared" si="10"/>
        <v>+0˚</v>
      </c>
      <c r="G16" s="23"/>
      <c r="H16" s="69">
        <v>46</v>
      </c>
      <c r="I16" s="36" t="str">
        <f t="shared" si="11"/>
        <v>+0˚</v>
      </c>
      <c r="J16" s="23"/>
      <c r="K16" s="69">
        <v>42</v>
      </c>
      <c r="L16" s="36" t="str">
        <f t="shared" si="12"/>
        <v>+0˚</v>
      </c>
      <c r="M16" s="24"/>
      <c r="O16" s="56">
        <f t="shared" si="0"/>
        <v>50</v>
      </c>
      <c r="P16" s="56">
        <f t="shared" si="1"/>
        <v>54</v>
      </c>
      <c r="Q16" s="56">
        <f t="shared" si="1"/>
        <v>46</v>
      </c>
      <c r="R16" s="56" t="str">
        <f t="shared" si="1"/>
        <v/>
      </c>
      <c r="S16" s="49"/>
      <c r="T16" s="43"/>
      <c r="V16" s="53">
        <f>B16-0.013</f>
        <v>49.987000000000002</v>
      </c>
      <c r="W16" s="53">
        <f>E16-0.013</f>
        <v>53.987000000000002</v>
      </c>
      <c r="X16" s="53">
        <f>H16-0.013</f>
        <v>45.987000000000002</v>
      </c>
      <c r="Y16" s="53">
        <f>K16-0.013</f>
        <v>41.987000000000002</v>
      </c>
      <c r="AA16" s="44">
        <f t="shared" si="5"/>
        <v>49.987000000000002</v>
      </c>
      <c r="AB16" s="44">
        <f t="shared" si="6"/>
        <v>53.987000000000002</v>
      </c>
      <c r="AC16" s="44">
        <f t="shared" si="7"/>
        <v>45.987000000000002</v>
      </c>
      <c r="AD16" s="44" t="str">
        <f t="shared" si="8"/>
        <v/>
      </c>
      <c r="AF16" s="1">
        <v>17</v>
      </c>
      <c r="AG16" s="4">
        <f t="shared" si="2"/>
        <v>22.38</v>
      </c>
      <c r="AH16" s="4">
        <f t="shared" si="3"/>
        <v>21.509999999999998</v>
      </c>
      <c r="AI16" s="4" t="s">
        <v>34</v>
      </c>
      <c r="AJ16" s="4" t="s">
        <v>34</v>
      </c>
      <c r="AK16" s="4">
        <f t="shared" si="4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44</v>
      </c>
      <c r="C17" s="36" t="str">
        <f t="shared" si="9"/>
        <v>-45˚</v>
      </c>
      <c r="D17" s="37"/>
      <c r="E17" s="69">
        <v>34</v>
      </c>
      <c r="F17" s="36" t="str">
        <f t="shared" si="10"/>
        <v>+0˚</v>
      </c>
      <c r="G17" s="23"/>
      <c r="H17" s="69">
        <v>45</v>
      </c>
      <c r="I17" s="36" t="str">
        <f t="shared" si="11"/>
        <v>+0˚</v>
      </c>
      <c r="J17" s="23"/>
      <c r="K17" s="69">
        <v>49</v>
      </c>
      <c r="L17" s="36" t="str">
        <f t="shared" si="12"/>
        <v>+0˚</v>
      </c>
      <c r="M17" s="24"/>
      <c r="O17" s="56">
        <f t="shared" si="0"/>
        <v>44</v>
      </c>
      <c r="P17" s="56" t="str">
        <f t="shared" si="1"/>
        <v/>
      </c>
      <c r="Q17" s="56">
        <f t="shared" si="1"/>
        <v>45</v>
      </c>
      <c r="R17" s="56">
        <f t="shared" si="1"/>
        <v>49</v>
      </c>
      <c r="S17" s="49"/>
      <c r="T17" s="43"/>
      <c r="V17" s="53">
        <f>B17-0.012</f>
        <v>43.988</v>
      </c>
      <c r="W17" s="53">
        <f>E17-0.012</f>
        <v>33.988</v>
      </c>
      <c r="X17" s="53">
        <f>H17-0.012</f>
        <v>44.988</v>
      </c>
      <c r="Y17" s="53">
        <f>K17-0.012</f>
        <v>48.988</v>
      </c>
      <c r="AA17" s="44">
        <f t="shared" si="5"/>
        <v>43.988</v>
      </c>
      <c r="AB17" s="44" t="str">
        <f t="shared" si="6"/>
        <v/>
      </c>
      <c r="AC17" s="44">
        <f t="shared" si="7"/>
        <v>44.988</v>
      </c>
      <c r="AD17" s="44">
        <f t="shared" si="8"/>
        <v>48.988</v>
      </c>
      <c r="AF17" s="1">
        <v>18</v>
      </c>
      <c r="AG17" s="4">
        <f t="shared" si="2"/>
        <v>23.44</v>
      </c>
      <c r="AH17" s="4">
        <f t="shared" si="3"/>
        <v>22.560000000000002</v>
      </c>
      <c r="AI17" s="4" t="s">
        <v>34</v>
      </c>
      <c r="AJ17" s="4" t="s">
        <v>34</v>
      </c>
      <c r="AK17" s="4">
        <f t="shared" si="4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44</v>
      </c>
      <c r="C18" s="36" t="str">
        <f t="shared" si="9"/>
        <v>-45˚</v>
      </c>
      <c r="D18" s="37"/>
      <c r="E18" s="69">
        <v>42</v>
      </c>
      <c r="F18" s="36" t="str">
        <f t="shared" si="10"/>
        <v>+0˚</v>
      </c>
      <c r="G18" s="23"/>
      <c r="H18" s="69">
        <v>37</v>
      </c>
      <c r="I18" s="36" t="str">
        <f t="shared" si="11"/>
        <v>+0˚</v>
      </c>
      <c r="J18" s="23"/>
      <c r="K18" s="69">
        <v>36</v>
      </c>
      <c r="L18" s="36" t="str">
        <f t="shared" si="12"/>
        <v>+0˚</v>
      </c>
      <c r="M18" s="24"/>
      <c r="O18" s="56">
        <f t="shared" si="0"/>
        <v>44</v>
      </c>
      <c r="P18" s="56" t="str">
        <f t="shared" si="1"/>
        <v/>
      </c>
      <c r="Q18" s="56" t="str">
        <f t="shared" si="1"/>
        <v/>
      </c>
      <c r="R18" s="56" t="str">
        <f t="shared" si="1"/>
        <v/>
      </c>
      <c r="S18" s="49"/>
      <c r="T18" s="43"/>
      <c r="V18" s="53">
        <f>B18-0.011</f>
        <v>43.988999999999997</v>
      </c>
      <c r="W18" s="53">
        <f>E18-0.011</f>
        <v>41.988999999999997</v>
      </c>
      <c r="X18" s="53">
        <f>H18-0.011</f>
        <v>36.988999999999997</v>
      </c>
      <c r="Y18" s="53">
        <f>K18-0.011</f>
        <v>35.988999999999997</v>
      </c>
      <c r="AA18" s="44">
        <f t="shared" si="5"/>
        <v>43.988999999999997</v>
      </c>
      <c r="AB18" s="44" t="str">
        <f t="shared" si="6"/>
        <v/>
      </c>
      <c r="AC18" s="44" t="str">
        <f t="shared" si="7"/>
        <v/>
      </c>
      <c r="AD18" s="44" t="str">
        <f t="shared" si="8"/>
        <v/>
      </c>
      <c r="AF18" s="1">
        <v>19</v>
      </c>
      <c r="AG18" s="4">
        <f t="shared" si="2"/>
        <v>24.54</v>
      </c>
      <c r="AH18" s="4">
        <f t="shared" si="3"/>
        <v>23.65</v>
      </c>
      <c r="AI18" s="4" t="s">
        <v>34</v>
      </c>
      <c r="AJ18" s="4" t="s">
        <v>34</v>
      </c>
      <c r="AK18" s="4">
        <f t="shared" si="4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52</v>
      </c>
      <c r="C19" s="36" t="str">
        <f t="shared" si="9"/>
        <v>-45˚</v>
      </c>
      <c r="D19" s="37"/>
      <c r="E19" s="69">
        <v>42</v>
      </c>
      <c r="F19" s="36" t="str">
        <f t="shared" si="10"/>
        <v>+0˚</v>
      </c>
      <c r="G19" s="23"/>
      <c r="H19" s="69">
        <v>44</v>
      </c>
      <c r="I19" s="36" t="str">
        <f t="shared" si="11"/>
        <v>+0˚</v>
      </c>
      <c r="J19" s="23"/>
      <c r="K19" s="69">
        <v>22</v>
      </c>
      <c r="L19" s="36" t="str">
        <f t="shared" si="12"/>
        <v>+0˚</v>
      </c>
      <c r="M19" s="24"/>
      <c r="O19" s="56">
        <f t="shared" si="0"/>
        <v>52</v>
      </c>
      <c r="P19" s="56" t="str">
        <f t="shared" si="1"/>
        <v/>
      </c>
      <c r="Q19" s="56">
        <f t="shared" si="1"/>
        <v>44</v>
      </c>
      <c r="R19" s="56" t="str">
        <f t="shared" si="1"/>
        <v/>
      </c>
      <c r="S19" s="49"/>
      <c r="T19" s="43"/>
      <c r="V19" s="53">
        <f>B19-0.01</f>
        <v>51.99</v>
      </c>
      <c r="W19" s="53">
        <f>E19-0.01</f>
        <v>41.99</v>
      </c>
      <c r="X19" s="53">
        <f>H19-0.01</f>
        <v>43.99</v>
      </c>
      <c r="Y19" s="53">
        <f>K19-0.01</f>
        <v>21.99</v>
      </c>
      <c r="AA19" s="44">
        <f t="shared" si="5"/>
        <v>51.99</v>
      </c>
      <c r="AB19" s="44" t="str">
        <f t="shared" si="6"/>
        <v/>
      </c>
      <c r="AC19" s="44">
        <f t="shared" si="7"/>
        <v>43.99</v>
      </c>
      <c r="AD19" s="44" t="str">
        <f t="shared" si="8"/>
        <v/>
      </c>
      <c r="AF19" s="1">
        <v>20</v>
      </c>
      <c r="AG19" s="4">
        <f t="shared" si="2"/>
        <v>25.7</v>
      </c>
      <c r="AH19" s="4">
        <f t="shared" si="3"/>
        <v>24.8</v>
      </c>
      <c r="AI19" s="4">
        <f t="shared" ref="AI19:AI59" si="13">$AG19+AN19</f>
        <v>16.899999999999999</v>
      </c>
      <c r="AJ19" s="4">
        <f t="shared" ref="AJ19:AJ59" si="14">$AG19+AO19</f>
        <v>18.799999999999997</v>
      </c>
      <c r="AK19" s="4">
        <f t="shared" si="4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35</v>
      </c>
      <c r="C20" s="36" t="str">
        <f t="shared" si="9"/>
        <v>-45˚</v>
      </c>
      <c r="D20" s="37"/>
      <c r="E20" s="69">
        <v>35</v>
      </c>
      <c r="F20" s="36" t="str">
        <f t="shared" si="10"/>
        <v>+0˚</v>
      </c>
      <c r="G20" s="23"/>
      <c r="H20" s="69">
        <v>43</v>
      </c>
      <c r="I20" s="36" t="str">
        <f t="shared" si="11"/>
        <v>+0˚</v>
      </c>
      <c r="J20" s="23"/>
      <c r="K20" s="69">
        <v>38</v>
      </c>
      <c r="L20" s="36" t="str">
        <f t="shared" si="12"/>
        <v>+0˚</v>
      </c>
      <c r="M20" s="24"/>
      <c r="O20" s="56" t="str">
        <f t="shared" si="0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49"/>
      <c r="T20" s="43"/>
      <c r="V20" s="53">
        <f>B20-0.009</f>
        <v>34.991</v>
      </c>
      <c r="W20" s="53">
        <f>E20-0.009</f>
        <v>34.991</v>
      </c>
      <c r="X20" s="53">
        <f>H20-0.009</f>
        <v>42.991</v>
      </c>
      <c r="Y20" s="53">
        <f>K20-0.009</f>
        <v>37.991</v>
      </c>
      <c r="AA20" s="44" t="str">
        <f t="shared" si="5"/>
        <v/>
      </c>
      <c r="AB20" s="44" t="str">
        <f t="shared" si="6"/>
        <v/>
      </c>
      <c r="AC20" s="44" t="str">
        <f t="shared" si="7"/>
        <v/>
      </c>
      <c r="AD20" s="44" t="str">
        <f t="shared" si="8"/>
        <v/>
      </c>
      <c r="AF20" s="1">
        <v>21</v>
      </c>
      <c r="AG20" s="4">
        <f t="shared" si="2"/>
        <v>26.91</v>
      </c>
      <c r="AH20" s="4">
        <f t="shared" si="3"/>
        <v>26.02</v>
      </c>
      <c r="AI20" s="4">
        <f t="shared" si="13"/>
        <v>18.21</v>
      </c>
      <c r="AJ20" s="4">
        <f t="shared" si="14"/>
        <v>20.079999999999998</v>
      </c>
      <c r="AK20" s="4">
        <f t="shared" si="4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42</v>
      </c>
      <c r="C21" s="36" t="str">
        <f t="shared" si="9"/>
        <v>-45˚</v>
      </c>
      <c r="D21" s="37"/>
      <c r="E21" s="69">
        <v>50</v>
      </c>
      <c r="F21" s="36" t="str">
        <f t="shared" si="10"/>
        <v>+0˚</v>
      </c>
      <c r="G21" s="23"/>
      <c r="H21" s="69">
        <v>43</v>
      </c>
      <c r="I21" s="36" t="str">
        <f t="shared" si="11"/>
        <v>+0˚</v>
      </c>
      <c r="J21" s="23"/>
      <c r="K21" s="69">
        <v>47</v>
      </c>
      <c r="L21" s="36" t="str">
        <f t="shared" si="12"/>
        <v>+0˚</v>
      </c>
      <c r="M21" s="24"/>
      <c r="O21" s="56" t="str">
        <f t="shared" si="0"/>
        <v/>
      </c>
      <c r="P21" s="56">
        <f t="shared" si="1"/>
        <v>50</v>
      </c>
      <c r="Q21" s="56" t="str">
        <f t="shared" si="1"/>
        <v/>
      </c>
      <c r="R21" s="56">
        <f t="shared" si="1"/>
        <v>47</v>
      </c>
      <c r="S21" s="49"/>
      <c r="T21" s="43"/>
      <c r="V21" s="53">
        <f>B21-0.008</f>
        <v>41.991999999999997</v>
      </c>
      <c r="W21" s="53">
        <f>E21-0.008</f>
        <v>49.991999999999997</v>
      </c>
      <c r="X21" s="53">
        <f>H21-0.008</f>
        <v>42.991999999999997</v>
      </c>
      <c r="Y21" s="53">
        <f>K21-0.008</f>
        <v>46.991999999999997</v>
      </c>
      <c r="AA21" s="44" t="str">
        <f t="shared" si="5"/>
        <v/>
      </c>
      <c r="AB21" s="44">
        <f t="shared" si="6"/>
        <v>49.991999999999997</v>
      </c>
      <c r="AC21" s="44" t="str">
        <f t="shared" si="7"/>
        <v/>
      </c>
      <c r="AD21" s="44">
        <f t="shared" si="8"/>
        <v>46.991999999999997</v>
      </c>
      <c r="AF21" s="1">
        <v>22</v>
      </c>
      <c r="AG21" s="4">
        <f t="shared" si="2"/>
        <v>28.18</v>
      </c>
      <c r="AH21" s="4">
        <f t="shared" si="3"/>
        <v>27.3</v>
      </c>
      <c r="AI21" s="4">
        <f t="shared" si="13"/>
        <v>19.579999999999998</v>
      </c>
      <c r="AJ21" s="4">
        <f t="shared" si="14"/>
        <v>21.42</v>
      </c>
      <c r="AK21" s="4">
        <f t="shared" si="4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34</v>
      </c>
      <c r="C22" s="36" t="str">
        <f t="shared" si="9"/>
        <v>-45˚</v>
      </c>
      <c r="D22" s="37"/>
      <c r="E22" s="69">
        <v>42</v>
      </c>
      <c r="F22" s="36" t="str">
        <f t="shared" si="10"/>
        <v>+0˚</v>
      </c>
      <c r="G22" s="23"/>
      <c r="H22" s="69">
        <v>43</v>
      </c>
      <c r="I22" s="36" t="str">
        <f t="shared" si="11"/>
        <v>+0˚</v>
      </c>
      <c r="J22" s="23"/>
      <c r="K22" s="69">
        <v>27</v>
      </c>
      <c r="L22" s="36" t="str">
        <f t="shared" si="12"/>
        <v>+0˚</v>
      </c>
      <c r="M22" s="24"/>
      <c r="O22" s="56" t="str">
        <f t="shared" si="0"/>
        <v/>
      </c>
      <c r="P22" s="56">
        <f t="shared" si="1"/>
        <v>42</v>
      </c>
      <c r="Q22" s="56" t="str">
        <f t="shared" si="1"/>
        <v/>
      </c>
      <c r="R22" s="56" t="str">
        <f t="shared" si="1"/>
        <v/>
      </c>
      <c r="S22" s="49"/>
      <c r="T22" s="43"/>
      <c r="V22" s="53">
        <f>B22-0.007</f>
        <v>33.993000000000002</v>
      </c>
      <c r="W22" s="53">
        <f>E22-0.007</f>
        <v>41.993000000000002</v>
      </c>
      <c r="X22" s="53">
        <f>H22-0.007</f>
        <v>42.993000000000002</v>
      </c>
      <c r="Y22" s="53">
        <f>K22-0.007</f>
        <v>26.992999999999999</v>
      </c>
      <c r="AA22" s="44" t="str">
        <f t="shared" si="5"/>
        <v/>
      </c>
      <c r="AB22" s="44">
        <f t="shared" si="6"/>
        <v>41.993000000000002</v>
      </c>
      <c r="AC22" s="44" t="str">
        <f t="shared" si="7"/>
        <v/>
      </c>
      <c r="AD22" s="44" t="str">
        <f t="shared" si="8"/>
        <v/>
      </c>
      <c r="AF22" s="1">
        <v>23</v>
      </c>
      <c r="AG22" s="4">
        <f t="shared" si="2"/>
        <v>29.51</v>
      </c>
      <c r="AH22" s="4">
        <f t="shared" si="3"/>
        <v>28.64</v>
      </c>
      <c r="AI22" s="4">
        <f t="shared" si="13"/>
        <v>21.01</v>
      </c>
      <c r="AJ22" s="4">
        <f t="shared" si="14"/>
        <v>22.82</v>
      </c>
      <c r="AK22" s="4">
        <f t="shared" si="4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50</v>
      </c>
      <c r="C23" s="36" t="str">
        <f t="shared" si="9"/>
        <v>-45˚</v>
      </c>
      <c r="D23" s="37"/>
      <c r="E23" s="69">
        <v>48</v>
      </c>
      <c r="F23" s="36" t="str">
        <f t="shared" si="10"/>
        <v>+0˚</v>
      </c>
      <c r="G23" s="23"/>
      <c r="H23" s="69">
        <v>35</v>
      </c>
      <c r="I23" s="36" t="str">
        <f t="shared" si="11"/>
        <v>+0˚</v>
      </c>
      <c r="J23" s="23"/>
      <c r="K23" s="69">
        <v>44</v>
      </c>
      <c r="L23" s="36" t="str">
        <f t="shared" si="12"/>
        <v>+0˚</v>
      </c>
      <c r="M23" s="24"/>
      <c r="O23" s="56">
        <f t="shared" si="0"/>
        <v>50</v>
      </c>
      <c r="P23" s="56">
        <f t="shared" si="1"/>
        <v>48</v>
      </c>
      <c r="Q23" s="56" t="str">
        <f t="shared" si="1"/>
        <v/>
      </c>
      <c r="R23" s="56" t="str">
        <f t="shared" si="1"/>
        <v/>
      </c>
      <c r="S23" s="49"/>
      <c r="T23" s="43"/>
      <c r="V23" s="53">
        <f>B23-0.006</f>
        <v>49.994</v>
      </c>
      <c r="W23" s="53">
        <f>E23-0.006</f>
        <v>47.994</v>
      </c>
      <c r="X23" s="53">
        <f>H23-0.006</f>
        <v>34.994</v>
      </c>
      <c r="Y23" s="53">
        <f>K23-0.006</f>
        <v>43.994</v>
      </c>
      <c r="AA23" s="44">
        <f t="shared" si="5"/>
        <v>49.994</v>
      </c>
      <c r="AB23" s="44">
        <f t="shared" si="6"/>
        <v>47.994</v>
      </c>
      <c r="AC23" s="44" t="str">
        <f t="shared" si="7"/>
        <v/>
      </c>
      <c r="AD23" s="44" t="str">
        <f t="shared" si="8"/>
        <v/>
      </c>
      <c r="AF23" s="1">
        <v>24</v>
      </c>
      <c r="AG23" s="4">
        <f t="shared" si="2"/>
        <v>30.9</v>
      </c>
      <c r="AH23" s="4">
        <f t="shared" si="3"/>
        <v>30.04</v>
      </c>
      <c r="AI23" s="4">
        <f t="shared" si="13"/>
        <v>22.5</v>
      </c>
      <c r="AJ23" s="4">
        <f t="shared" si="14"/>
        <v>24.279999999999998</v>
      </c>
      <c r="AK23" s="4">
        <f t="shared" si="4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42</v>
      </c>
      <c r="C24" s="36" t="str">
        <f t="shared" si="9"/>
        <v>-45˚</v>
      </c>
      <c r="D24" s="37"/>
      <c r="E24" s="69">
        <v>34</v>
      </c>
      <c r="F24" s="36" t="str">
        <f t="shared" si="10"/>
        <v>+0˚</v>
      </c>
      <c r="G24" s="23"/>
      <c r="H24" s="69">
        <v>43</v>
      </c>
      <c r="I24" s="36" t="str">
        <f t="shared" si="11"/>
        <v>+0˚</v>
      </c>
      <c r="J24" s="23"/>
      <c r="K24" s="69">
        <v>55</v>
      </c>
      <c r="L24" s="36" t="str">
        <f t="shared" si="12"/>
        <v>+0˚</v>
      </c>
      <c r="M24" s="24"/>
      <c r="O24" s="56" t="str">
        <f t="shared" si="0"/>
        <v/>
      </c>
      <c r="P24" s="56" t="str">
        <f t="shared" si="1"/>
        <v/>
      </c>
      <c r="Q24" s="56" t="str">
        <f t="shared" si="1"/>
        <v/>
      </c>
      <c r="R24" s="56">
        <f t="shared" si="1"/>
        <v>55</v>
      </c>
      <c r="S24" s="49"/>
      <c r="T24" s="43"/>
      <c r="V24" s="53">
        <f>B24-0.005</f>
        <v>41.994999999999997</v>
      </c>
      <c r="W24" s="53">
        <f>E24-0.005</f>
        <v>33.994999999999997</v>
      </c>
      <c r="X24" s="53">
        <f>H24-0.005</f>
        <v>42.994999999999997</v>
      </c>
      <c r="Y24" s="53">
        <f>K24-0.005</f>
        <v>54.994999999999997</v>
      </c>
      <c r="AA24" s="44" t="str">
        <f t="shared" si="5"/>
        <v/>
      </c>
      <c r="AB24" s="44" t="str">
        <f t="shared" si="6"/>
        <v/>
      </c>
      <c r="AC24" s="44" t="str">
        <f t="shared" si="7"/>
        <v/>
      </c>
      <c r="AD24" s="44">
        <f t="shared" si="8"/>
        <v>54.994999999999997</v>
      </c>
      <c r="AF24" s="1">
        <v>25</v>
      </c>
      <c r="AG24" s="4">
        <f t="shared" si="2"/>
        <v>32.35</v>
      </c>
      <c r="AH24" s="4">
        <f t="shared" si="3"/>
        <v>31.5</v>
      </c>
      <c r="AI24" s="4">
        <f t="shared" si="13"/>
        <v>24.050000000000011</v>
      </c>
      <c r="AJ24" s="4">
        <f t="shared" si="14"/>
        <v>25.8</v>
      </c>
      <c r="AK24" s="4">
        <f t="shared" si="4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40</v>
      </c>
      <c r="C25" s="36" t="str">
        <f t="shared" si="9"/>
        <v>-45˚</v>
      </c>
      <c r="D25" s="37"/>
      <c r="E25" s="69">
        <v>32</v>
      </c>
      <c r="F25" s="36" t="str">
        <f t="shared" si="10"/>
        <v>+0˚</v>
      </c>
      <c r="G25" s="23"/>
      <c r="H25" s="69">
        <v>43</v>
      </c>
      <c r="I25" s="36" t="str">
        <f t="shared" si="11"/>
        <v>+0˚</v>
      </c>
      <c r="J25" s="23"/>
      <c r="K25" s="69">
        <v>32</v>
      </c>
      <c r="L25" s="36" t="str">
        <f t="shared" si="12"/>
        <v>+0˚</v>
      </c>
      <c r="M25" s="24"/>
      <c r="O25" s="56" t="str">
        <f t="shared" si="0"/>
        <v/>
      </c>
      <c r="P25" s="56" t="str">
        <f t="shared" ref="P25:R28" si="15">IF(AB25="","",ROUND(AB25,0))</f>
        <v/>
      </c>
      <c r="Q25" s="56">
        <f t="shared" si="15"/>
        <v>43</v>
      </c>
      <c r="R25" s="56" t="str">
        <f t="shared" si="15"/>
        <v/>
      </c>
      <c r="S25" s="49"/>
      <c r="T25" s="43"/>
      <c r="V25" s="53">
        <f>B25-0.004</f>
        <v>39.996000000000002</v>
      </c>
      <c r="W25" s="53">
        <f>E25-0.004</f>
        <v>31.995999999999999</v>
      </c>
      <c r="X25" s="53">
        <f>H25-0.004</f>
        <v>42.996000000000002</v>
      </c>
      <c r="Y25" s="53">
        <f>K25-0.004</f>
        <v>31.995999999999999</v>
      </c>
      <c r="AA25" s="44" t="str">
        <f t="shared" si="5"/>
        <v/>
      </c>
      <c r="AB25" s="44" t="str">
        <f t="shared" si="6"/>
        <v/>
      </c>
      <c r="AC25" s="44">
        <f t="shared" si="7"/>
        <v>42.996000000000002</v>
      </c>
      <c r="AD25" s="44" t="str">
        <f t="shared" si="8"/>
        <v/>
      </c>
      <c r="AF25" s="1">
        <v>26</v>
      </c>
      <c r="AG25" s="4">
        <f t="shared" si="2"/>
        <v>33.880000000000003</v>
      </c>
      <c r="AH25" s="4">
        <f t="shared" si="3"/>
        <v>33.04</v>
      </c>
      <c r="AI25" s="4">
        <f t="shared" si="13"/>
        <v>25.680000000000014</v>
      </c>
      <c r="AJ25" s="4">
        <f t="shared" si="14"/>
        <v>27.400000000000002</v>
      </c>
      <c r="AK25" s="4">
        <f t="shared" si="4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48</v>
      </c>
      <c r="C26" s="36" t="str">
        <f t="shared" si="9"/>
        <v>-45˚</v>
      </c>
      <c r="D26" s="37"/>
      <c r="E26" s="69">
        <v>50</v>
      </c>
      <c r="F26" s="36" t="str">
        <f t="shared" si="10"/>
        <v>+0˚</v>
      </c>
      <c r="G26" s="23"/>
      <c r="H26" s="69">
        <v>39</v>
      </c>
      <c r="I26" s="36" t="str">
        <f t="shared" si="11"/>
        <v>+0˚</v>
      </c>
      <c r="J26" s="23"/>
      <c r="K26" s="69">
        <v>45</v>
      </c>
      <c r="L26" s="36" t="str">
        <f t="shared" si="12"/>
        <v>+0˚</v>
      </c>
      <c r="M26" s="24"/>
      <c r="O26" s="56">
        <f t="shared" si="0"/>
        <v>48</v>
      </c>
      <c r="P26" s="56">
        <f t="shared" si="15"/>
        <v>50</v>
      </c>
      <c r="Q26" s="56" t="str">
        <f t="shared" si="15"/>
        <v/>
      </c>
      <c r="R26" s="56">
        <f t="shared" si="15"/>
        <v>45</v>
      </c>
      <c r="S26" s="49"/>
      <c r="T26" s="43"/>
      <c r="V26" s="53">
        <f>B26-0.003</f>
        <v>47.997</v>
      </c>
      <c r="W26" s="53">
        <f>E26-0.003</f>
        <v>49.997</v>
      </c>
      <c r="X26" s="53">
        <f>H26-0.003</f>
        <v>38.997</v>
      </c>
      <c r="Y26" s="53">
        <f>K26-0.003</f>
        <v>44.997</v>
      </c>
      <c r="AA26" s="44">
        <f t="shared" si="5"/>
        <v>47.997</v>
      </c>
      <c r="AB26" s="44">
        <f t="shared" si="6"/>
        <v>49.997</v>
      </c>
      <c r="AC26" s="44" t="str">
        <f t="shared" si="7"/>
        <v/>
      </c>
      <c r="AD26" s="44">
        <f t="shared" si="8"/>
        <v>44.997</v>
      </c>
      <c r="AF26" s="1">
        <v>27</v>
      </c>
      <c r="AG26" s="4">
        <f t="shared" si="2"/>
        <v>35.479999999999997</v>
      </c>
      <c r="AH26" s="4">
        <f t="shared" si="3"/>
        <v>34.65</v>
      </c>
      <c r="AI26" s="4">
        <f t="shared" si="13"/>
        <v>27.380000000000006</v>
      </c>
      <c r="AJ26" s="4">
        <f t="shared" si="14"/>
        <v>29.069999999999997</v>
      </c>
      <c r="AK26" s="4">
        <f t="shared" si="4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28</v>
      </c>
      <c r="C27" s="36" t="str">
        <f t="shared" si="9"/>
        <v>-45˚</v>
      </c>
      <c r="D27" s="37"/>
      <c r="E27" s="69">
        <v>44</v>
      </c>
      <c r="F27" s="36" t="str">
        <f t="shared" si="10"/>
        <v>+0˚</v>
      </c>
      <c r="G27" s="23"/>
      <c r="H27" s="69">
        <v>39</v>
      </c>
      <c r="I27" s="36" t="str">
        <f t="shared" si="11"/>
        <v>+0˚</v>
      </c>
      <c r="J27" s="23"/>
      <c r="K27" s="69">
        <v>29</v>
      </c>
      <c r="L27" s="36" t="str">
        <f t="shared" si="12"/>
        <v>+0˚</v>
      </c>
      <c r="M27" s="24"/>
      <c r="O27" s="56" t="str">
        <f t="shared" si="0"/>
        <v/>
      </c>
      <c r="P27" s="56">
        <f t="shared" si="15"/>
        <v>44</v>
      </c>
      <c r="Q27" s="56" t="str">
        <f t="shared" si="15"/>
        <v/>
      </c>
      <c r="R27" s="56" t="str">
        <f t="shared" si="15"/>
        <v/>
      </c>
      <c r="S27" s="49"/>
      <c r="T27" s="43"/>
      <c r="V27" s="53">
        <f>B27-0.002</f>
        <v>27.998000000000001</v>
      </c>
      <c r="W27" s="53">
        <f>E27-0.002</f>
        <v>43.997999999999998</v>
      </c>
      <c r="X27" s="53">
        <f>H27-0.002</f>
        <v>38.997999999999998</v>
      </c>
      <c r="Y27" s="53">
        <f>K27-0.002</f>
        <v>28.998000000000001</v>
      </c>
      <c r="AA27" s="44" t="str">
        <f t="shared" si="5"/>
        <v/>
      </c>
      <c r="AB27" s="44">
        <f t="shared" si="6"/>
        <v>43.997999999999998</v>
      </c>
      <c r="AC27" s="44" t="str">
        <f t="shared" si="7"/>
        <v/>
      </c>
      <c r="AD27" s="44" t="str">
        <f t="shared" si="8"/>
        <v/>
      </c>
      <c r="AF27" s="1">
        <v>28</v>
      </c>
      <c r="AG27" s="4">
        <f t="shared" si="2"/>
        <v>37.15</v>
      </c>
      <c r="AH27" s="4">
        <f t="shared" si="3"/>
        <v>36.33</v>
      </c>
      <c r="AI27" s="4">
        <f t="shared" si="13"/>
        <v>29.150000000000009</v>
      </c>
      <c r="AJ27" s="4">
        <f t="shared" si="14"/>
        <v>30.81</v>
      </c>
      <c r="AK27" s="4">
        <f t="shared" si="4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39</v>
      </c>
      <c r="C28" s="36" t="str">
        <f t="shared" si="9"/>
        <v>-45˚</v>
      </c>
      <c r="D28" s="37"/>
      <c r="E28" s="69">
        <v>39</v>
      </c>
      <c r="F28" s="36" t="str">
        <f t="shared" si="10"/>
        <v>+0˚</v>
      </c>
      <c r="G28" s="23"/>
      <c r="H28" s="69">
        <v>34</v>
      </c>
      <c r="I28" s="36" t="str">
        <f t="shared" si="11"/>
        <v>+0˚</v>
      </c>
      <c r="J28" s="23"/>
      <c r="K28" s="69">
        <v>51</v>
      </c>
      <c r="L28" s="36" t="str">
        <f t="shared" si="12"/>
        <v>+0˚</v>
      </c>
      <c r="M28" s="24"/>
      <c r="O28" s="56" t="str">
        <f t="shared" si="0"/>
        <v/>
      </c>
      <c r="P28" s="56" t="str">
        <f t="shared" si="15"/>
        <v/>
      </c>
      <c r="Q28" s="56" t="str">
        <f t="shared" si="15"/>
        <v/>
      </c>
      <c r="R28" s="56">
        <f t="shared" si="15"/>
        <v>51</v>
      </c>
      <c r="S28" s="49"/>
      <c r="T28" s="43"/>
      <c r="V28" s="53">
        <f>B28-0.001</f>
        <v>38.999000000000002</v>
      </c>
      <c r="W28" s="53">
        <f>E28-0.001</f>
        <v>38.999000000000002</v>
      </c>
      <c r="X28" s="53">
        <f>H28-0.001</f>
        <v>33.999000000000002</v>
      </c>
      <c r="Y28" s="53">
        <f>K28-0.001</f>
        <v>50.999000000000002</v>
      </c>
      <c r="AA28" s="44" t="str">
        <f t="shared" si="5"/>
        <v/>
      </c>
      <c r="AB28" s="44" t="str">
        <f t="shared" si="6"/>
        <v/>
      </c>
      <c r="AC28" s="44" t="str">
        <f t="shared" si="7"/>
        <v/>
      </c>
      <c r="AD28" s="44">
        <f t="shared" si="8"/>
        <v>50.999000000000002</v>
      </c>
      <c r="AF28" s="1">
        <v>29</v>
      </c>
      <c r="AG28" s="4">
        <f t="shared" si="2"/>
        <v>38.9</v>
      </c>
      <c r="AH28" s="4">
        <f t="shared" si="3"/>
        <v>38.089999999999996</v>
      </c>
      <c r="AI28" s="4">
        <f t="shared" si="13"/>
        <v>31.000000000000007</v>
      </c>
      <c r="AJ28" s="4">
        <f t="shared" si="14"/>
        <v>32.629999999999995</v>
      </c>
      <c r="AK28" s="4">
        <f t="shared" si="4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48</v>
      </c>
      <c r="Q29" s="56">
        <f>ROUND(AVERAGE(Q9:Q28),0)</f>
        <v>46</v>
      </c>
      <c r="R29" s="56">
        <f>ROUND(AVERAGE(R9:R28),0)</f>
        <v>49</v>
      </c>
      <c r="S29" s="49"/>
      <c r="AA29" s="44" t="str">
        <f t="shared" si="5"/>
        <v/>
      </c>
      <c r="AB29" s="44" t="str">
        <f t="shared" si="6"/>
        <v/>
      </c>
      <c r="AC29" s="44" t="str">
        <f t="shared" si="7"/>
        <v/>
      </c>
      <c r="AF29" s="1">
        <v>30</v>
      </c>
      <c r="AG29" s="4">
        <f t="shared" si="2"/>
        <v>40.729999999999997</v>
      </c>
      <c r="AH29" s="4">
        <f t="shared" si="3"/>
        <v>39.93</v>
      </c>
      <c r="AI29" s="4">
        <f t="shared" si="13"/>
        <v>32.93</v>
      </c>
      <c r="AJ29" s="4">
        <f t="shared" si="14"/>
        <v>34.529999999999994</v>
      </c>
      <c r="AK29" s="4">
        <f t="shared" si="4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6"/>
        <v/>
      </c>
      <c r="AF30" s="1">
        <v>31</v>
      </c>
      <c r="AG30" s="4">
        <f t="shared" si="2"/>
        <v>42.65</v>
      </c>
      <c r="AH30" s="4">
        <f t="shared" si="3"/>
        <v>41.86</v>
      </c>
      <c r="AI30" s="4">
        <f t="shared" si="13"/>
        <v>34.97</v>
      </c>
      <c r="AJ30" s="4">
        <f t="shared" si="14"/>
        <v>36.54</v>
      </c>
      <c r="AK30" s="4">
        <f t="shared" si="4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2"/>
        <v>44.66</v>
      </c>
      <c r="AH31" s="4">
        <f t="shared" si="3"/>
        <v>43.879999999999995</v>
      </c>
      <c r="AI31" s="4">
        <f t="shared" si="13"/>
        <v>37.099999999999994</v>
      </c>
      <c r="AJ31" s="4">
        <f t="shared" si="14"/>
        <v>38.64</v>
      </c>
      <c r="AK31" s="4">
        <f t="shared" si="4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2"/>
        <v>46.77</v>
      </c>
      <c r="AH32" s="4">
        <f t="shared" si="3"/>
        <v>46</v>
      </c>
      <c r="AI32" s="4">
        <f t="shared" si="13"/>
        <v>39.330000000000005</v>
      </c>
      <c r="AJ32" s="4">
        <f t="shared" si="14"/>
        <v>40.840000000000003</v>
      </c>
      <c r="AK32" s="4">
        <f t="shared" si="4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44"/>
      <c r="S33" s="49"/>
      <c r="AF33" s="1">
        <v>34</v>
      </c>
      <c r="AG33" s="4">
        <f t="shared" si="2"/>
        <v>48.97</v>
      </c>
      <c r="AH33" s="4">
        <f t="shared" si="3"/>
        <v>48.21</v>
      </c>
      <c r="AI33" s="4">
        <f t="shared" si="13"/>
        <v>41.65</v>
      </c>
      <c r="AJ33" s="4">
        <f t="shared" si="14"/>
        <v>43.129999999999995</v>
      </c>
      <c r="AK33" s="4">
        <f t="shared" si="4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-45˚</v>
      </c>
      <c r="D34" s="54">
        <f>ROUND(INDEX($AG$9:$AK$60,MATCH(B34,$AF$9:$AF$59,0),MATCH(C34,$AG$8:$AK$8,0)),1)</f>
        <v>97.1</v>
      </c>
      <c r="E34" s="15">
        <f>P29</f>
        <v>48</v>
      </c>
      <c r="F34" s="32" t="str">
        <f>$F$9</f>
        <v>+0˚</v>
      </c>
      <c r="G34" s="54">
        <f>ROUND(INDEX($AG$9:$AK$60,MATCH(E34,$AF$9:$AF$59,0),MATCH(F34,$AG$8:$AK$8,0)),1)</f>
        <v>91</v>
      </c>
      <c r="H34" s="15">
        <f>Q29</f>
        <v>46</v>
      </c>
      <c r="I34" s="32" t="str">
        <f>$I$9</f>
        <v>+0˚</v>
      </c>
      <c r="J34" s="54">
        <f>ROUND(INDEX($AG$9:$AK$60,MATCH(H34,$AF$9:$AF$59,0),MATCH(I34,$AG$8:$AK$8,0)),1)</f>
        <v>82.7</v>
      </c>
      <c r="K34" s="15">
        <f>R29</f>
        <v>49</v>
      </c>
      <c r="L34" s="32" t="str">
        <f>$L$9</f>
        <v>+0˚</v>
      </c>
      <c r="M34" s="57">
        <f>ROUND(INDEX($AG$9:$AK$60,MATCH(K34,$AF$9:$AF$59,0),MATCH(L34,$AG$8:$AK$8,0)),1)</f>
        <v>95.5</v>
      </c>
      <c r="O34" s="44"/>
      <c r="P34" s="44"/>
      <c r="Q34" s="44"/>
      <c r="R34" s="44"/>
      <c r="S34" s="49"/>
      <c r="AF34" s="1">
        <v>35</v>
      </c>
      <c r="AG34" s="4">
        <f t="shared" si="2"/>
        <v>51.28</v>
      </c>
      <c r="AH34" s="4">
        <f t="shared" si="3"/>
        <v>50.53</v>
      </c>
      <c r="AI34" s="4">
        <f t="shared" si="13"/>
        <v>44.08</v>
      </c>
      <c r="AJ34" s="4">
        <f t="shared" si="14"/>
        <v>45.53</v>
      </c>
      <c r="AK34" s="4">
        <f t="shared" si="4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39" t="str">
        <f>IF(D34&lt;=50,"CW",IF(D34&lt;=85,"HW",IF(D34&lt;=115,"MW",IF(D34&lt;=145,"SW","F"))))</f>
        <v>MW</v>
      </c>
      <c r="C35" s="139"/>
      <c r="D35" s="140"/>
      <c r="E35" s="139" t="str">
        <f>IF(G34&lt;=50,"CW",IF(G34&lt;=85,"HW",IF(G34&lt;=115,"MW",IF(G34&lt;=145,"SW","F"))))</f>
        <v>MW</v>
      </c>
      <c r="F35" s="139"/>
      <c r="G35" s="140"/>
      <c r="H35" s="139" t="str">
        <f>IF(J34&lt;=50,"CW",IF(J34&lt;=85,"HW",IF(J34&lt;=115,"MW",IF(J34&lt;=145,"SW","F"))))</f>
        <v>HW</v>
      </c>
      <c r="I35" s="139"/>
      <c r="J35" s="140"/>
      <c r="K35" s="139" t="str">
        <f>IF(M34&lt;=50,"CW",IF(M34&lt;=85,"HW",IF(M34&lt;=115,"MW",IF(M34&lt;=145,"SW","F"))))</f>
        <v>MW</v>
      </c>
      <c r="L35" s="139"/>
      <c r="M35" s="141"/>
      <c r="O35" s="44"/>
      <c r="P35" s="44"/>
      <c r="Q35" s="44"/>
      <c r="R35" s="44"/>
      <c r="S35" s="49"/>
      <c r="AF35" s="1">
        <v>36</v>
      </c>
      <c r="AG35" s="4">
        <f t="shared" si="2"/>
        <v>53.7</v>
      </c>
      <c r="AH35" s="4">
        <f t="shared" si="3"/>
        <v>52.96</v>
      </c>
      <c r="AI35" s="4">
        <f t="shared" si="13"/>
        <v>46.620000000000005</v>
      </c>
      <c r="AJ35" s="4">
        <f t="shared" si="14"/>
        <v>48.040000000000006</v>
      </c>
      <c r="AK35" s="4">
        <f t="shared" si="4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AF36" s="1">
        <v>37</v>
      </c>
      <c r="AG36" s="4">
        <f t="shared" si="2"/>
        <v>56.23</v>
      </c>
      <c r="AH36" s="4">
        <f t="shared" si="3"/>
        <v>55.499999999999993</v>
      </c>
      <c r="AI36" s="4">
        <f t="shared" si="13"/>
        <v>49.269999999999996</v>
      </c>
      <c r="AJ36" s="4">
        <f t="shared" si="14"/>
        <v>50.66</v>
      </c>
      <c r="AK36" s="4">
        <f t="shared" si="4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AF37" s="1">
        <v>38</v>
      </c>
      <c r="AG37" s="4">
        <f t="shared" si="2"/>
        <v>58.88</v>
      </c>
      <c r="AH37" s="4">
        <f t="shared" si="3"/>
        <v>58.160000000000004</v>
      </c>
      <c r="AI37" s="4">
        <f t="shared" si="13"/>
        <v>52.040000000000006</v>
      </c>
      <c r="AJ37" s="4">
        <f t="shared" si="14"/>
        <v>53.400000000000006</v>
      </c>
      <c r="AK37" s="4">
        <f t="shared" si="4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2"/>
        <v>61.65</v>
      </c>
      <c r="AH38" s="4">
        <f t="shared" si="3"/>
        <v>60.94</v>
      </c>
      <c r="AI38" s="4">
        <f t="shared" si="13"/>
        <v>54.93</v>
      </c>
      <c r="AJ38" s="4">
        <f t="shared" si="14"/>
        <v>56.260000000000005</v>
      </c>
      <c r="AK38" s="4">
        <f t="shared" si="4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2"/>
        <v>64.56</v>
      </c>
      <c r="AH39" s="4">
        <f t="shared" si="3"/>
        <v>63.86</v>
      </c>
      <c r="AI39" s="4">
        <f t="shared" si="13"/>
        <v>57.96</v>
      </c>
      <c r="AJ39" s="4">
        <f t="shared" si="14"/>
        <v>59.260000000000005</v>
      </c>
      <c r="AK39" s="4">
        <f t="shared" si="4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2"/>
        <v>67.599999999999994</v>
      </c>
      <c r="AH40" s="4">
        <f t="shared" si="3"/>
        <v>66.91</v>
      </c>
      <c r="AI40" s="4">
        <f t="shared" si="13"/>
        <v>61.129999999999995</v>
      </c>
      <c r="AJ40" s="4">
        <f t="shared" si="14"/>
        <v>62.399999999999991</v>
      </c>
      <c r="AK40" s="4">
        <f t="shared" si="4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ref="AG41:AG59" si="16">ROUNDDOWN(10^(0.0008*$P$5*$AF41+1.01),2)</f>
        <v>70.790000000000006</v>
      </c>
      <c r="AH41" s="43">
        <f t="shared" ref="AH41:AH59" si="17">$AG41+AM41</f>
        <v>70.11</v>
      </c>
      <c r="AI41" s="4">
        <f t="shared" si="13"/>
        <v>64.45</v>
      </c>
      <c r="AJ41" s="4">
        <f t="shared" si="14"/>
        <v>65.690000000000012</v>
      </c>
      <c r="AK41" s="4">
        <f t="shared" ref="AK41:AK59" si="18">$AG41+AP41</f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6"/>
        <v>74.13</v>
      </c>
      <c r="AH42" s="43">
        <f t="shared" si="17"/>
        <v>73.459999999999994</v>
      </c>
      <c r="AI42" s="4">
        <f t="shared" si="13"/>
        <v>67.92</v>
      </c>
      <c r="AJ42" s="4">
        <f t="shared" si="14"/>
        <v>69.13</v>
      </c>
      <c r="AK42" s="43">
        <f t="shared" si="18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6"/>
        <v>77.62</v>
      </c>
      <c r="AH43" s="43">
        <f t="shared" si="17"/>
        <v>76.960000000000008</v>
      </c>
      <c r="AI43" s="43">
        <f t="shared" si="13"/>
        <v>71.540000000000006</v>
      </c>
      <c r="AJ43" s="43">
        <f t="shared" si="14"/>
        <v>72.72</v>
      </c>
      <c r="AK43" s="43">
        <f t="shared" si="18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6"/>
        <v>81.28</v>
      </c>
      <c r="AH44" s="43">
        <f t="shared" si="17"/>
        <v>80.63</v>
      </c>
      <c r="AI44" s="43">
        <f t="shared" si="13"/>
        <v>75.33</v>
      </c>
      <c r="AJ44" s="43">
        <f t="shared" si="14"/>
        <v>76.48</v>
      </c>
      <c r="AK44" s="43">
        <f t="shared" si="18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6"/>
        <v>85.11</v>
      </c>
      <c r="AH45" s="43">
        <f t="shared" si="17"/>
        <v>84.47</v>
      </c>
      <c r="AI45" s="43">
        <f t="shared" si="13"/>
        <v>79.289999999999992</v>
      </c>
      <c r="AJ45" s="43">
        <f t="shared" si="14"/>
        <v>80.41</v>
      </c>
      <c r="AK45" s="43">
        <f t="shared" si="18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AF46" s="1">
        <v>47</v>
      </c>
      <c r="AG46" s="43">
        <f t="shared" si="16"/>
        <v>89.12</v>
      </c>
      <c r="AH46" s="43">
        <f t="shared" si="17"/>
        <v>88.490000000000009</v>
      </c>
      <c r="AI46" s="43">
        <f t="shared" si="13"/>
        <v>83.43</v>
      </c>
      <c r="AJ46" s="43">
        <f t="shared" si="14"/>
        <v>84.52000000000001</v>
      </c>
      <c r="AK46" s="43">
        <f t="shared" si="18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AF47" s="1">
        <v>48</v>
      </c>
      <c r="AG47" s="43">
        <f t="shared" si="16"/>
        <v>93.32</v>
      </c>
      <c r="AH47" s="43">
        <f t="shared" si="17"/>
        <v>92.699999999999989</v>
      </c>
      <c r="AI47" s="43">
        <f t="shared" si="13"/>
        <v>87.759999999999991</v>
      </c>
      <c r="AJ47" s="43">
        <f t="shared" si="14"/>
        <v>88.82</v>
      </c>
      <c r="AK47" s="43">
        <f t="shared" si="18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6"/>
        <v>97.72</v>
      </c>
      <c r="AH48" s="43">
        <f t="shared" si="17"/>
        <v>97.11</v>
      </c>
      <c r="AI48" s="43">
        <f t="shared" si="13"/>
        <v>92.289999999999992</v>
      </c>
      <c r="AJ48" s="43">
        <f t="shared" si="14"/>
        <v>93.32</v>
      </c>
      <c r="AK48" s="43">
        <f t="shared" si="18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6"/>
        <v>102.32</v>
      </c>
      <c r="AH49" s="61">
        <f t="shared" si="17"/>
        <v>101.72</v>
      </c>
      <c r="AI49" s="43">
        <f t="shared" si="13"/>
        <v>97.02</v>
      </c>
      <c r="AJ49" s="43">
        <f t="shared" si="14"/>
        <v>98.02</v>
      </c>
      <c r="AK49" s="61">
        <f t="shared" si="18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6"/>
        <v>107.15</v>
      </c>
      <c r="AH50" s="61">
        <f t="shared" si="17"/>
        <v>106.57000000000001</v>
      </c>
      <c r="AI50" s="61">
        <f t="shared" si="13"/>
        <v>101.98</v>
      </c>
      <c r="AJ50" s="61">
        <f t="shared" si="14"/>
        <v>102.95</v>
      </c>
      <c r="AK50" s="61">
        <f t="shared" si="18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6"/>
        <v>112.2</v>
      </c>
      <c r="AH51" s="61">
        <f t="shared" si="17"/>
        <v>111.64</v>
      </c>
      <c r="AI51" s="61">
        <f t="shared" si="13"/>
        <v>107.16</v>
      </c>
      <c r="AJ51" s="61">
        <f t="shared" si="14"/>
        <v>108.10000000000001</v>
      </c>
      <c r="AK51" s="61">
        <f t="shared" si="18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6"/>
        <v>117.48</v>
      </c>
      <c r="AH52" s="61">
        <f t="shared" si="17"/>
        <v>116.94</v>
      </c>
      <c r="AI52" s="61">
        <f t="shared" si="13"/>
        <v>112.57000000000001</v>
      </c>
      <c r="AJ52" s="61">
        <f t="shared" si="14"/>
        <v>113.48</v>
      </c>
      <c r="AK52" s="61">
        <f t="shared" si="18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6"/>
        <v>123.02</v>
      </c>
      <c r="AH53" s="61">
        <f t="shared" si="17"/>
        <v>122.5</v>
      </c>
      <c r="AI53" s="61">
        <f t="shared" si="13"/>
        <v>118.24</v>
      </c>
      <c r="AJ53" s="61">
        <f t="shared" si="14"/>
        <v>119.11999999999999</v>
      </c>
      <c r="AK53" s="61">
        <f t="shared" si="18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6"/>
        <v>128.82</v>
      </c>
      <c r="AH54" s="61">
        <f t="shared" si="17"/>
        <v>128.32</v>
      </c>
      <c r="AI54" s="61">
        <f t="shared" si="13"/>
        <v>124.16999999999999</v>
      </c>
      <c r="AJ54" s="61">
        <f t="shared" si="14"/>
        <v>125.02</v>
      </c>
      <c r="AK54" s="61">
        <f t="shared" si="18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6"/>
        <v>134.88999999999999</v>
      </c>
      <c r="AH55" s="62">
        <f t="shared" si="17"/>
        <v>134.41</v>
      </c>
      <c r="AI55" s="62">
        <f t="shared" si="13"/>
        <v>130.36999999999998</v>
      </c>
      <c r="AJ55" s="62">
        <f t="shared" si="14"/>
        <v>131.19</v>
      </c>
      <c r="AK55" s="62">
        <f t="shared" si="18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6"/>
        <v>141.25</v>
      </c>
      <c r="AH56" s="62">
        <f t="shared" si="17"/>
        <v>140.79</v>
      </c>
      <c r="AI56" s="62">
        <f t="shared" si="13"/>
        <v>136.86000000000001</v>
      </c>
      <c r="AJ56" s="62">
        <f t="shared" si="14"/>
        <v>137.65</v>
      </c>
      <c r="AK56" s="62">
        <f t="shared" si="18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6"/>
        <v>147.91</v>
      </c>
      <c r="AH57" s="62">
        <f t="shared" si="17"/>
        <v>147.47</v>
      </c>
      <c r="AI57" s="62">
        <f t="shared" si="13"/>
        <v>143.65</v>
      </c>
      <c r="AJ57" s="62">
        <f t="shared" si="14"/>
        <v>144.41</v>
      </c>
      <c r="AK57" s="62">
        <f t="shared" si="18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40</v>
      </c>
      <c r="C58" s="39">
        <f>B10</f>
        <v>52</v>
      </c>
      <c r="D58" s="39">
        <f>B11</f>
        <v>48</v>
      </c>
      <c r="E58" s="39">
        <f>B12</f>
        <v>41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↙</v>
      </c>
      <c r="G58" s="41">
        <f>B34</f>
        <v>49</v>
      </c>
      <c r="H58" s="1">
        <f>$P$5</f>
        <v>25</v>
      </c>
      <c r="I58" s="59">
        <f>D34</f>
        <v>97.1</v>
      </c>
      <c r="J58" s="1" t="str">
        <f>D36</f>
        <v>연암</v>
      </c>
      <c r="AF58" s="1">
        <v>59</v>
      </c>
      <c r="AG58" s="62">
        <f t="shared" si="16"/>
        <v>154.88</v>
      </c>
      <c r="AH58" s="62">
        <f t="shared" si="17"/>
        <v>154.46</v>
      </c>
      <c r="AI58" s="62">
        <f t="shared" si="13"/>
        <v>150.75</v>
      </c>
      <c r="AJ58" s="62">
        <f t="shared" si="14"/>
        <v>151.47999999999999</v>
      </c>
      <c r="AK58" s="62">
        <f t="shared" si="18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48</v>
      </c>
      <c r="D59" s="39">
        <f>B15</f>
        <v>52</v>
      </c>
      <c r="E59" s="39">
        <f>B16</f>
        <v>50</v>
      </c>
      <c r="AF59" s="1">
        <v>60</v>
      </c>
      <c r="AG59" s="4">
        <f t="shared" si="16"/>
        <v>162.18</v>
      </c>
      <c r="AH59" s="4">
        <f t="shared" si="17"/>
        <v>161.78</v>
      </c>
      <c r="AI59" s="62">
        <f t="shared" si="13"/>
        <v>158.18</v>
      </c>
      <c r="AJ59" s="62">
        <f t="shared" si="14"/>
        <v>158.88</v>
      </c>
      <c r="AK59" s="44">
        <f t="shared" si="18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44</v>
      </c>
      <c r="C60" s="39">
        <f>B18</f>
        <v>44</v>
      </c>
      <c r="D60" s="39">
        <f>B19</f>
        <v>52</v>
      </c>
      <c r="E60" s="39">
        <f>B20</f>
        <v>35</v>
      </c>
    </row>
    <row r="61" spans="1:42">
      <c r="B61" s="38">
        <f>B21</f>
        <v>42</v>
      </c>
      <c r="C61" s="39">
        <f>B22</f>
        <v>34</v>
      </c>
      <c r="D61" s="39">
        <f>B23</f>
        <v>50</v>
      </c>
      <c r="E61" s="39">
        <f>B24</f>
        <v>42</v>
      </c>
    </row>
    <row r="62" spans="1:42">
      <c r="B62" s="38">
        <f>B25</f>
        <v>40</v>
      </c>
      <c r="C62" s="39">
        <f>B26</f>
        <v>48</v>
      </c>
      <c r="D62" s="39">
        <f>B27</f>
        <v>28</v>
      </c>
      <c r="E62" s="39">
        <f>B28</f>
        <v>39</v>
      </c>
      <c r="O62" s="45"/>
    </row>
    <row r="63" spans="1:42" ht="20.25">
      <c r="A63" s="60">
        <v>2</v>
      </c>
      <c r="B63" s="38">
        <f>E9</f>
        <v>46</v>
      </c>
      <c r="C63" s="39">
        <f>E10</f>
        <v>46</v>
      </c>
      <c r="D63" s="39">
        <f>E11</f>
        <v>42</v>
      </c>
      <c r="E63" s="39">
        <f>E12</f>
        <v>50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48</v>
      </c>
      <c r="H63" s="1">
        <f>$P$5</f>
        <v>25</v>
      </c>
      <c r="I63" s="59">
        <f>G34</f>
        <v>91</v>
      </c>
      <c r="J63" s="1" t="str">
        <f>G36</f>
        <v>연암</v>
      </c>
    </row>
    <row r="64" spans="1:42">
      <c r="B64" s="38">
        <f>E13</f>
        <v>45</v>
      </c>
      <c r="C64" s="39">
        <f>E14</f>
        <v>26</v>
      </c>
      <c r="D64" s="39">
        <f>E15</f>
        <v>32</v>
      </c>
      <c r="E64" s="39">
        <f>E16</f>
        <v>54</v>
      </c>
    </row>
    <row r="65" spans="1:10">
      <c r="B65" s="38">
        <f>E17</f>
        <v>34</v>
      </c>
      <c r="C65" s="39">
        <f>E18</f>
        <v>42</v>
      </c>
      <c r="D65" s="39">
        <f>E19</f>
        <v>42</v>
      </c>
      <c r="E65" s="39">
        <f>E20</f>
        <v>35</v>
      </c>
    </row>
    <row r="66" spans="1:10">
      <c r="B66" s="38">
        <f>E21</f>
        <v>50</v>
      </c>
      <c r="C66" s="39">
        <f>E22</f>
        <v>42</v>
      </c>
      <c r="D66" s="39">
        <f>E23</f>
        <v>48</v>
      </c>
      <c r="E66" s="39">
        <f>E24</f>
        <v>34</v>
      </c>
    </row>
    <row r="67" spans="1:10">
      <c r="B67" s="38">
        <f>E25</f>
        <v>32</v>
      </c>
      <c r="C67" s="39">
        <f>E26</f>
        <v>50</v>
      </c>
      <c r="D67" s="39">
        <f>E27</f>
        <v>44</v>
      </c>
      <c r="E67" s="39">
        <f>E28</f>
        <v>39</v>
      </c>
    </row>
    <row r="68" spans="1:10" ht="20.25">
      <c r="A68" s="60">
        <v>3</v>
      </c>
      <c r="B68" s="38">
        <f>H9</f>
        <v>48</v>
      </c>
      <c r="C68" s="39">
        <f>H10</f>
        <v>48</v>
      </c>
      <c r="D68" s="39">
        <f>H11</f>
        <v>48</v>
      </c>
      <c r="E68" s="39">
        <f>H12</f>
        <v>47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←</v>
      </c>
      <c r="G68" s="41">
        <f>H34</f>
        <v>46</v>
      </c>
      <c r="H68" s="1">
        <f>$P$5</f>
        <v>25</v>
      </c>
      <c r="I68" s="59">
        <f>J34</f>
        <v>82.7</v>
      </c>
      <c r="J68" s="1" t="str">
        <f>J36</f>
        <v>연암</v>
      </c>
    </row>
    <row r="69" spans="1:10">
      <c r="B69" s="38">
        <f>H13</f>
        <v>39</v>
      </c>
      <c r="C69" s="39">
        <f>H14</f>
        <v>47</v>
      </c>
      <c r="D69" s="39">
        <f>H15</f>
        <v>47</v>
      </c>
      <c r="E69" s="39">
        <f>H16</f>
        <v>46</v>
      </c>
    </row>
    <row r="70" spans="1:10">
      <c r="B70" s="38">
        <f>H17</f>
        <v>45</v>
      </c>
      <c r="C70" s="39">
        <f>H18</f>
        <v>37</v>
      </c>
      <c r="D70" s="39">
        <f>H19</f>
        <v>44</v>
      </c>
      <c r="E70" s="39">
        <f>H20</f>
        <v>43</v>
      </c>
    </row>
    <row r="71" spans="1:10">
      <c r="B71" s="38">
        <f>H21</f>
        <v>43</v>
      </c>
      <c r="C71" s="39">
        <f>H22</f>
        <v>43</v>
      </c>
      <c r="D71" s="39">
        <f>H23</f>
        <v>35</v>
      </c>
      <c r="E71" s="39">
        <f>H24</f>
        <v>43</v>
      </c>
    </row>
    <row r="72" spans="1:10">
      <c r="B72" s="38">
        <f>H25</f>
        <v>43</v>
      </c>
      <c r="C72" s="39">
        <f>H26</f>
        <v>39</v>
      </c>
      <c r="D72" s="39">
        <f>H27</f>
        <v>39</v>
      </c>
      <c r="E72" s="39">
        <f>H28</f>
        <v>34</v>
      </c>
    </row>
    <row r="73" spans="1:10" ht="20.25">
      <c r="A73" s="60">
        <v>4</v>
      </c>
      <c r="B73" s="38">
        <f>K9</f>
        <v>46</v>
      </c>
      <c r="C73" s="39">
        <f>K10</f>
        <v>45</v>
      </c>
      <c r="D73" s="39">
        <f>K11</f>
        <v>32</v>
      </c>
      <c r="E73" s="39">
        <f>K12</f>
        <v>47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49</v>
      </c>
      <c r="H73" s="1">
        <f>$P$5</f>
        <v>25</v>
      </c>
      <c r="I73" s="59">
        <f>M34</f>
        <v>95.5</v>
      </c>
      <c r="J73" s="1" t="str">
        <f>M36</f>
        <v>연암</v>
      </c>
    </row>
    <row r="74" spans="1:10">
      <c r="B74" s="38">
        <f>K13</f>
        <v>50</v>
      </c>
      <c r="C74" s="39">
        <f>K14</f>
        <v>56</v>
      </c>
      <c r="D74" s="39">
        <f>K15</f>
        <v>45</v>
      </c>
      <c r="E74" s="39">
        <f>K16</f>
        <v>42</v>
      </c>
    </row>
    <row r="75" spans="1:10">
      <c r="B75" s="38">
        <f>K17</f>
        <v>49</v>
      </c>
      <c r="C75" s="39">
        <f>K18</f>
        <v>36</v>
      </c>
      <c r="D75" s="39">
        <f>K19</f>
        <v>22</v>
      </c>
      <c r="E75" s="39">
        <f>K20</f>
        <v>38</v>
      </c>
    </row>
    <row r="76" spans="1:10">
      <c r="B76" s="38">
        <f>K21</f>
        <v>47</v>
      </c>
      <c r="C76" s="39">
        <f>K22</f>
        <v>27</v>
      </c>
      <c r="D76" s="39">
        <f>K23</f>
        <v>44</v>
      </c>
      <c r="E76" s="39">
        <f>K24</f>
        <v>55</v>
      </c>
    </row>
    <row r="77" spans="1:10">
      <c r="B77" s="38">
        <f>K25</f>
        <v>32</v>
      </c>
      <c r="C77" s="39">
        <f>K26</f>
        <v>45</v>
      </c>
      <c r="D77" s="39">
        <f>K27</f>
        <v>29</v>
      </c>
      <c r="E77" s="39">
        <f>K28</f>
        <v>51</v>
      </c>
    </row>
  </sheetData>
  <mergeCells count="17">
    <mergeCell ref="A1:M2"/>
    <mergeCell ref="A3:M3"/>
    <mergeCell ref="N3:O3"/>
    <mergeCell ref="P3:Q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2" type="noConversion"/>
  <dataValidations disablePrompts="1" count="2">
    <dataValidation type="list" allowBlank="1" showInputMessage="1" showErrorMessage="1" sqref="U1:U4" xr:uid="{00000000-0002-0000-0100-000000000000}">
      <formula1>$N$55:$N$56</formula1>
    </dataValidation>
    <dataValidation type="list" allowBlank="1" showInputMessage="1" showErrorMessage="1" sqref="C9 I9 F9 L9" xr:uid="{00000000-0002-0000-0100-000001000000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D7A0-E22C-4F1E-9AA2-5FE42CE4FEEB}">
  <sheetPr codeName="Sheet3"/>
  <dimension ref="A1:AP77"/>
  <sheetViews>
    <sheetView topLeftCell="A32" zoomScale="85" zoomScaleNormal="85" zoomScaleSheetLayoutView="85" workbookViewId="0">
      <selection activeCell="F74" sqref="F74"/>
    </sheetView>
  </sheetViews>
  <sheetFormatPr defaultColWidth="8.88671875" defaultRowHeight="12"/>
  <cols>
    <col min="1" max="1" width="12.44140625" style="1" customWidth="1"/>
    <col min="2" max="2" width="4.77734375" style="2" customWidth="1"/>
    <col min="3" max="3" width="4.77734375" style="1" customWidth="1"/>
    <col min="4" max="4" width="7.77734375" style="1" customWidth="1"/>
    <col min="5" max="6" width="4.77734375" style="1" customWidth="1"/>
    <col min="7" max="7" width="7.77734375" style="1" customWidth="1"/>
    <col min="8" max="9" width="4.77734375" style="1" customWidth="1"/>
    <col min="10" max="10" width="7.77734375" style="1" customWidth="1"/>
    <col min="11" max="12" width="4.77734375" style="1" customWidth="1"/>
    <col min="13" max="13" width="7.77734375" style="1" customWidth="1"/>
    <col min="14" max="18" width="6.77734375" style="4" customWidth="1"/>
    <col min="19" max="19" width="6.77734375" style="5" customWidth="1"/>
    <col min="20" max="23" width="6.77734375" style="4" customWidth="1"/>
    <col min="24" max="43" width="8.88671875" style="1" customWidth="1"/>
    <col min="44" max="16384" width="8.88671875" style="1"/>
  </cols>
  <sheetData>
    <row r="1" spans="1:42">
      <c r="A1" s="148" t="s">
        <v>15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50"/>
      <c r="S1" s="1">
        <v>1</v>
      </c>
      <c r="T1" s="1" t="s">
        <v>47</v>
      </c>
      <c r="U1" s="58" t="s">
        <v>48</v>
      </c>
      <c r="V1" s="67" t="s">
        <v>68</v>
      </c>
      <c r="W1" s="1" t="s">
        <v>60</v>
      </c>
      <c r="X1" s="1" t="s">
        <v>71</v>
      </c>
      <c r="Y1" s="1" t="s">
        <v>64</v>
      </c>
      <c r="Z1" s="1" t="s">
        <v>73</v>
      </c>
    </row>
    <row r="2" spans="1:42">
      <c r="A2" s="151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  <c r="S2" s="1">
        <v>2</v>
      </c>
      <c r="T2" s="1" t="s">
        <v>47</v>
      </c>
      <c r="U2" s="58" t="s">
        <v>48</v>
      </c>
      <c r="W2" s="1" t="s">
        <v>62</v>
      </c>
      <c r="X2" s="1" t="s">
        <v>69</v>
      </c>
      <c r="Y2" s="1" t="s">
        <v>65</v>
      </c>
      <c r="Z2" s="1" t="s">
        <v>74</v>
      </c>
    </row>
    <row r="3" spans="1:42" ht="12.75" customHeight="1">
      <c r="A3" s="154"/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6"/>
      <c r="N3" s="157"/>
      <c r="O3" s="138"/>
      <c r="P3" s="157"/>
      <c r="Q3" s="138"/>
      <c r="R3" s="70"/>
      <c r="S3" s="1">
        <v>3</v>
      </c>
      <c r="T3" s="1" t="s">
        <v>47</v>
      </c>
      <c r="U3" s="58" t="s">
        <v>48</v>
      </c>
      <c r="V3" s="66" t="s">
        <v>78</v>
      </c>
      <c r="W3" s="1" t="s">
        <v>61</v>
      </c>
      <c r="X3" s="1" t="s">
        <v>70</v>
      </c>
      <c r="Y3" s="1" t="s">
        <v>66</v>
      </c>
      <c r="Z3" s="1" t="s">
        <v>75</v>
      </c>
    </row>
    <row r="4" spans="1:42" ht="21" customHeight="1">
      <c r="A4" s="158" t="str">
        <f>'A-B'!$A$4</f>
        <v>* 사면명 : 39. 중부내륙선 232.430k(창원)</v>
      </c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60"/>
      <c r="N4" s="3"/>
      <c r="O4" s="46"/>
      <c r="P4" s="46"/>
      <c r="Q4" s="46"/>
      <c r="R4" s="46"/>
      <c r="S4" s="1">
        <v>4</v>
      </c>
      <c r="T4" s="1" t="s">
        <v>47</v>
      </c>
      <c r="U4" s="58" t="s">
        <v>48</v>
      </c>
      <c r="V4" s="46">
        <v>58</v>
      </c>
      <c r="W4" s="47" t="s">
        <v>63</v>
      </c>
      <c r="X4" s="47" t="s">
        <v>72</v>
      </c>
      <c r="Y4" s="48" t="s">
        <v>67</v>
      </c>
      <c r="Z4" s="31" t="s">
        <v>76</v>
      </c>
      <c r="AA4" s="31"/>
      <c r="AB4" s="31"/>
      <c r="AC4" s="31"/>
      <c r="AD4" s="31"/>
    </row>
    <row r="5" spans="1:42" ht="21" customHeight="1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4"/>
      <c r="N5" s="6"/>
      <c r="O5" s="1" t="s">
        <v>35</v>
      </c>
      <c r="P5" s="55">
        <v>25</v>
      </c>
      <c r="Q5" s="3" t="s">
        <v>36</v>
      </c>
      <c r="R5" s="44"/>
      <c r="S5" s="49"/>
      <c r="T5" s="44"/>
      <c r="U5" s="44"/>
      <c r="V5" s="44"/>
      <c r="W5" s="44"/>
      <c r="X5" s="47"/>
      <c r="Y5" s="44"/>
      <c r="Z5" s="44"/>
      <c r="AA5" s="6"/>
      <c r="AB5" s="5"/>
      <c r="AC5" s="6"/>
      <c r="AD5" s="4"/>
    </row>
    <row r="6" spans="1:42" ht="15" customHeight="1" thickBot="1">
      <c r="A6" s="17"/>
      <c r="B6" s="18"/>
      <c r="C6" s="18"/>
      <c r="D6" s="19"/>
      <c r="E6" s="19"/>
      <c r="F6" s="19"/>
      <c r="G6" s="19"/>
      <c r="H6" s="19"/>
      <c r="I6" s="19"/>
      <c r="J6" s="19"/>
      <c r="K6" s="18"/>
      <c r="L6" s="18"/>
      <c r="M6" s="20"/>
      <c r="N6" s="6"/>
      <c r="O6" s="44"/>
      <c r="P6" s="44"/>
      <c r="Q6" s="44"/>
      <c r="R6" s="44"/>
      <c r="S6" s="49"/>
      <c r="T6" s="44"/>
      <c r="U6" s="44"/>
      <c r="V6" s="44"/>
      <c r="W6" s="44"/>
      <c r="X6" s="47"/>
      <c r="Y6" s="44"/>
      <c r="Z6" s="44"/>
      <c r="AA6" s="6"/>
      <c r="AB6" s="5"/>
      <c r="AC6" s="6"/>
      <c r="AD6" s="4"/>
    </row>
    <row r="7" spans="1:42" ht="20.100000000000001" customHeight="1">
      <c r="A7" s="10" t="s">
        <v>13</v>
      </c>
      <c r="B7" s="145" t="s">
        <v>89</v>
      </c>
      <c r="C7" s="145"/>
      <c r="D7" s="146"/>
      <c r="E7" s="145" t="s">
        <v>59</v>
      </c>
      <c r="F7" s="145"/>
      <c r="G7" s="146"/>
      <c r="H7" s="145" t="s">
        <v>90</v>
      </c>
      <c r="I7" s="145"/>
      <c r="J7" s="146"/>
      <c r="K7" s="145" t="s">
        <v>91</v>
      </c>
      <c r="L7" s="145"/>
      <c r="M7" s="146"/>
      <c r="N7" s="6"/>
      <c r="O7" s="52" t="s">
        <v>44</v>
      </c>
      <c r="P7" s="44"/>
      <c r="Q7" s="44"/>
      <c r="R7" s="44"/>
      <c r="S7" s="49"/>
      <c r="V7" s="4" t="s">
        <v>45</v>
      </c>
      <c r="AI7" s="4"/>
      <c r="AJ7" s="4"/>
      <c r="AK7" s="4"/>
      <c r="AL7" s="5"/>
      <c r="AM7" s="4"/>
      <c r="AN7" s="4"/>
      <c r="AO7" s="4"/>
      <c r="AP7" s="4"/>
    </row>
    <row r="8" spans="1:42" ht="39.75" customHeight="1" thickBot="1">
      <c r="A8" s="11" t="s">
        <v>17</v>
      </c>
      <c r="B8" s="7" t="s">
        <v>10</v>
      </c>
      <c r="C8" s="8" t="s">
        <v>16</v>
      </c>
      <c r="D8" s="16" t="s">
        <v>46</v>
      </c>
      <c r="E8" s="9" t="s">
        <v>10</v>
      </c>
      <c r="F8" s="8" t="s">
        <v>16</v>
      </c>
      <c r="G8" s="16" t="s">
        <v>46</v>
      </c>
      <c r="H8" s="9" t="s">
        <v>10</v>
      </c>
      <c r="I8" s="8" t="s">
        <v>16</v>
      </c>
      <c r="J8" s="16" t="s">
        <v>46</v>
      </c>
      <c r="K8" s="9" t="s">
        <v>10</v>
      </c>
      <c r="L8" s="8" t="s">
        <v>16</v>
      </c>
      <c r="M8" s="42" t="s">
        <v>46</v>
      </c>
      <c r="N8" s="6"/>
      <c r="O8" s="56" t="s">
        <v>37</v>
      </c>
      <c r="P8" s="56" t="s">
        <v>38</v>
      </c>
      <c r="Q8" s="56" t="s">
        <v>39</v>
      </c>
      <c r="R8" s="56" t="s">
        <v>40</v>
      </c>
      <c r="S8" s="49"/>
      <c r="V8" s="44" t="s">
        <v>37</v>
      </c>
      <c r="W8" s="44" t="s">
        <v>38</v>
      </c>
      <c r="X8" s="44" t="s">
        <v>39</v>
      </c>
      <c r="Y8" s="44" t="s">
        <v>40</v>
      </c>
      <c r="AA8" s="44" t="s">
        <v>37</v>
      </c>
      <c r="AB8" s="44" t="s">
        <v>38</v>
      </c>
      <c r="AC8" s="44" t="s">
        <v>39</v>
      </c>
      <c r="AD8" s="44" t="s">
        <v>40</v>
      </c>
      <c r="AG8" s="50" t="s">
        <v>28</v>
      </c>
      <c r="AH8" s="51" t="s">
        <v>27</v>
      </c>
      <c r="AI8" s="50" t="s">
        <v>42</v>
      </c>
      <c r="AJ8" s="51" t="s">
        <v>43</v>
      </c>
      <c r="AK8" s="51" t="s">
        <v>29</v>
      </c>
      <c r="AL8" s="5"/>
      <c r="AM8" s="4">
        <v>-45</v>
      </c>
      <c r="AN8" s="4">
        <v>90</v>
      </c>
      <c r="AO8" s="4">
        <v>45</v>
      </c>
      <c r="AP8" s="4">
        <v>0</v>
      </c>
    </row>
    <row r="9" spans="1:42" ht="20.100000000000001" customHeight="1" thickTop="1">
      <c r="A9" s="21" t="s">
        <v>11</v>
      </c>
      <c r="B9" s="71">
        <v>52</v>
      </c>
      <c r="C9" s="34" t="s">
        <v>115</v>
      </c>
      <c r="D9" s="35"/>
      <c r="E9" s="68">
        <v>45</v>
      </c>
      <c r="F9" s="34" t="s">
        <v>29</v>
      </c>
      <c r="G9" s="22"/>
      <c r="H9" s="68">
        <v>42</v>
      </c>
      <c r="I9" s="34" t="s">
        <v>27</v>
      </c>
      <c r="J9" s="22"/>
      <c r="K9" s="68">
        <v>48</v>
      </c>
      <c r="L9" s="34" t="s">
        <v>29</v>
      </c>
      <c r="M9" s="30"/>
      <c r="N9" s="6"/>
      <c r="O9" s="56">
        <f t="shared" ref="O9:R28" si="0">IF(AA9="","",ROUND(AA9,0))</f>
        <v>52</v>
      </c>
      <c r="P9" s="56">
        <f t="shared" si="0"/>
        <v>45</v>
      </c>
      <c r="Q9" s="56" t="str">
        <f t="shared" si="0"/>
        <v/>
      </c>
      <c r="R9" s="56">
        <f t="shared" si="0"/>
        <v>48</v>
      </c>
      <c r="S9" s="49"/>
      <c r="T9" s="43"/>
      <c r="V9" s="53">
        <f>B9-0.02</f>
        <v>51.98</v>
      </c>
      <c r="W9" s="53">
        <f>E9-0.02</f>
        <v>44.98</v>
      </c>
      <c r="X9" s="53">
        <f>H9-0.02</f>
        <v>41.98</v>
      </c>
      <c r="Y9" s="53">
        <f>K9-0.02</f>
        <v>47.98</v>
      </c>
      <c r="AA9" s="44">
        <f>IF(V9&gt;=LARGE($V$9:$V$28,10),V9,"")</f>
        <v>51.98</v>
      </c>
      <c r="AB9" s="44">
        <f>IF(W9&gt;=LARGE($W$9:$W$28,10),W9,"")</f>
        <v>44.98</v>
      </c>
      <c r="AC9" s="44" t="str">
        <f>IF(X9&gt;=LARGE($X$9:$X$28,10),X9,"")</f>
        <v/>
      </c>
      <c r="AD9" s="44">
        <f>IF(Y9&gt;=LARGE($Y$9:$Y$28,10),Y9,"")</f>
        <v>47.98</v>
      </c>
      <c r="AF9" s="1">
        <v>10</v>
      </c>
      <c r="AG9" s="4">
        <f t="shared" ref="AG9:AG59" si="1">ROUNDDOWN(10^(0.0008*$P$5*$AF9+1.01),2)</f>
        <v>16.21</v>
      </c>
      <c r="AH9" s="4">
        <f t="shared" ref="AH9:AJ40" si="2">$AG9+AM9</f>
        <v>15.41</v>
      </c>
      <c r="AI9" s="4" t="s">
        <v>34</v>
      </c>
      <c r="AJ9" s="4" t="s">
        <v>34</v>
      </c>
      <c r="AK9" s="4">
        <f t="shared" ref="AK9:AK59" si="3">$AG9+AP9</f>
        <v>13.010000000000002</v>
      </c>
      <c r="AL9" s="5"/>
      <c r="AM9" s="4">
        <v>-0.8</v>
      </c>
      <c r="AN9" s="4" t="s">
        <v>34</v>
      </c>
      <c r="AO9" s="4" t="s">
        <v>34</v>
      </c>
      <c r="AP9" s="4">
        <v>-3.2</v>
      </c>
    </row>
    <row r="10" spans="1:42" ht="20.100000000000001" customHeight="1">
      <c r="A10" s="12" t="s">
        <v>0</v>
      </c>
      <c r="B10" s="74">
        <v>36</v>
      </c>
      <c r="C10" s="36" t="str">
        <f>$C$9</f>
        <v>45˚</v>
      </c>
      <c r="D10" s="37"/>
      <c r="E10" s="69">
        <v>46</v>
      </c>
      <c r="F10" s="36" t="str">
        <f>$F$9</f>
        <v>+0˚</v>
      </c>
      <c r="G10" s="23"/>
      <c r="H10" s="69">
        <v>31</v>
      </c>
      <c r="I10" s="36" t="str">
        <f>$I$9</f>
        <v>-45˚</v>
      </c>
      <c r="J10" s="23"/>
      <c r="K10" s="69">
        <v>58</v>
      </c>
      <c r="L10" s="36" t="str">
        <f>$L$9</f>
        <v>+0˚</v>
      </c>
      <c r="M10" s="24"/>
      <c r="N10" s="6"/>
      <c r="O10" s="56" t="str">
        <f t="shared" si="0"/>
        <v/>
      </c>
      <c r="P10" s="56">
        <f t="shared" si="0"/>
        <v>46</v>
      </c>
      <c r="Q10" s="56" t="str">
        <f t="shared" si="0"/>
        <v/>
      </c>
      <c r="R10" s="56">
        <f t="shared" si="0"/>
        <v>58</v>
      </c>
      <c r="S10" s="49"/>
      <c r="T10" s="43"/>
      <c r="V10" s="53">
        <f>B10-0.019</f>
        <v>35.981000000000002</v>
      </c>
      <c r="W10" s="53">
        <f>E10-0.019</f>
        <v>45.981000000000002</v>
      </c>
      <c r="X10" s="53">
        <f>H10-0.019</f>
        <v>30.981000000000002</v>
      </c>
      <c r="Y10" s="53">
        <f>K10-0.019</f>
        <v>57.981000000000002</v>
      </c>
      <c r="AA10" s="44" t="str">
        <f t="shared" ref="AA10:AA29" si="4">IF(V10&gt;=LARGE($V$9:$V$28,10),V10,"")</f>
        <v/>
      </c>
      <c r="AB10" s="44">
        <f t="shared" ref="AB10:AB30" si="5">IF(W10&gt;=LARGE($W$9:$W$28,10),W10,"")</f>
        <v>45.981000000000002</v>
      </c>
      <c r="AC10" s="44" t="str">
        <f t="shared" ref="AC10:AC29" si="6">IF(X10&gt;=LARGE($X$9:$X$28,10),X10,"")</f>
        <v/>
      </c>
      <c r="AD10" s="44">
        <f t="shared" ref="AD10:AD28" si="7">IF(Y10&gt;=LARGE($Y$9:$Y$28,10),Y10,"")</f>
        <v>57.981000000000002</v>
      </c>
      <c r="AF10" s="1">
        <v>11</v>
      </c>
      <c r="AG10" s="4">
        <f t="shared" si="1"/>
        <v>16.98</v>
      </c>
      <c r="AH10" s="4">
        <f t="shared" si="2"/>
        <v>16.170000000000002</v>
      </c>
      <c r="AI10" s="4" t="s">
        <v>34</v>
      </c>
      <c r="AJ10" s="4" t="s">
        <v>34</v>
      </c>
      <c r="AK10" s="4">
        <f t="shared" si="3"/>
        <v>13.76</v>
      </c>
      <c r="AL10" s="5"/>
      <c r="AM10" s="4">
        <v>-0.81</v>
      </c>
      <c r="AN10" s="4" t="s">
        <v>34</v>
      </c>
      <c r="AO10" s="4" t="s">
        <v>34</v>
      </c>
      <c r="AP10" s="4">
        <v>-3.22</v>
      </c>
    </row>
    <row r="11" spans="1:42" ht="20.100000000000001" customHeight="1">
      <c r="A11" s="12" t="s">
        <v>1</v>
      </c>
      <c r="B11" s="74">
        <v>30</v>
      </c>
      <c r="C11" s="36" t="str">
        <f t="shared" ref="C11:C28" si="8">$C$9</f>
        <v>45˚</v>
      </c>
      <c r="D11" s="37"/>
      <c r="E11" s="69">
        <v>39</v>
      </c>
      <c r="F11" s="36" t="str">
        <f t="shared" ref="F11:F28" si="9">$F$9</f>
        <v>+0˚</v>
      </c>
      <c r="G11" s="23"/>
      <c r="H11" s="69">
        <v>44</v>
      </c>
      <c r="I11" s="36" t="str">
        <f t="shared" ref="I11:I28" si="10">$C$9</f>
        <v>45˚</v>
      </c>
      <c r="J11" s="23"/>
      <c r="K11" s="69">
        <v>20</v>
      </c>
      <c r="L11" s="36" t="str">
        <f t="shared" ref="L11:L28" si="11">$L$9</f>
        <v>+0˚</v>
      </c>
      <c r="M11" s="24"/>
      <c r="N11" s="6"/>
      <c r="O11" s="56" t="str">
        <f t="shared" si="0"/>
        <v/>
      </c>
      <c r="P11" s="56" t="str">
        <f t="shared" si="0"/>
        <v/>
      </c>
      <c r="Q11" s="56" t="str">
        <f t="shared" si="0"/>
        <v/>
      </c>
      <c r="R11" s="56" t="str">
        <f t="shared" si="0"/>
        <v/>
      </c>
      <c r="S11" s="49"/>
      <c r="T11" s="43"/>
      <c r="V11" s="53">
        <f>B11-0.018</f>
        <v>29.981999999999999</v>
      </c>
      <c r="W11" s="53">
        <f>E11-0.018</f>
        <v>38.981999999999999</v>
      </c>
      <c r="X11" s="53">
        <f>H11-0.018</f>
        <v>43.981999999999999</v>
      </c>
      <c r="Y11" s="53">
        <f>K11-0.018</f>
        <v>19.981999999999999</v>
      </c>
      <c r="AA11" s="44" t="str">
        <f t="shared" si="4"/>
        <v/>
      </c>
      <c r="AB11" s="44" t="str">
        <f t="shared" si="5"/>
        <v/>
      </c>
      <c r="AC11" s="44" t="str">
        <f t="shared" si="6"/>
        <v/>
      </c>
      <c r="AD11" s="44" t="str">
        <f t="shared" si="7"/>
        <v/>
      </c>
      <c r="AF11" s="1">
        <v>12</v>
      </c>
      <c r="AG11" s="4">
        <f t="shared" si="1"/>
        <v>17.78</v>
      </c>
      <c r="AH11" s="4">
        <f t="shared" si="2"/>
        <v>16.96</v>
      </c>
      <c r="AI11" s="4" t="s">
        <v>34</v>
      </c>
      <c r="AJ11" s="4" t="s">
        <v>34</v>
      </c>
      <c r="AK11" s="4">
        <f t="shared" si="3"/>
        <v>14.540000000000001</v>
      </c>
      <c r="AL11" s="5"/>
      <c r="AM11" s="4">
        <v>-0.82</v>
      </c>
      <c r="AN11" s="4" t="s">
        <v>34</v>
      </c>
      <c r="AO11" s="4" t="s">
        <v>34</v>
      </c>
      <c r="AP11" s="4">
        <v>-3.24</v>
      </c>
    </row>
    <row r="12" spans="1:42" ht="20.100000000000001" customHeight="1">
      <c r="A12" s="12" t="s">
        <v>2</v>
      </c>
      <c r="B12" s="74">
        <v>52</v>
      </c>
      <c r="C12" s="36" t="str">
        <f t="shared" si="8"/>
        <v>45˚</v>
      </c>
      <c r="D12" s="37"/>
      <c r="E12" s="69">
        <v>41</v>
      </c>
      <c r="F12" s="36" t="str">
        <f t="shared" si="9"/>
        <v>+0˚</v>
      </c>
      <c r="G12" s="23"/>
      <c r="H12" s="69">
        <v>46</v>
      </c>
      <c r="I12" s="36" t="str">
        <f t="shared" si="10"/>
        <v>45˚</v>
      </c>
      <c r="J12" s="23"/>
      <c r="K12" s="69">
        <v>31</v>
      </c>
      <c r="L12" s="36" t="str">
        <f t="shared" si="11"/>
        <v>+0˚</v>
      </c>
      <c r="M12" s="24"/>
      <c r="N12" s="6"/>
      <c r="O12" s="56">
        <f t="shared" si="0"/>
        <v>52</v>
      </c>
      <c r="P12" s="56" t="str">
        <f t="shared" si="0"/>
        <v/>
      </c>
      <c r="Q12" s="56">
        <f t="shared" si="0"/>
        <v>46</v>
      </c>
      <c r="R12" s="56" t="str">
        <f t="shared" si="0"/>
        <v/>
      </c>
      <c r="S12" s="49"/>
      <c r="T12" s="43"/>
      <c r="V12" s="53">
        <f>B12-0.0117</f>
        <v>51.988300000000002</v>
      </c>
      <c r="W12" s="53">
        <f>E12-0.0117</f>
        <v>40.988300000000002</v>
      </c>
      <c r="X12" s="53">
        <f>H12-0.0117</f>
        <v>45.988300000000002</v>
      </c>
      <c r="Y12" s="53">
        <f>K12-0.0117</f>
        <v>30.988299999999999</v>
      </c>
      <c r="AA12" s="44">
        <f t="shared" si="4"/>
        <v>51.988300000000002</v>
      </c>
      <c r="AB12" s="44" t="str">
        <f t="shared" si="5"/>
        <v/>
      </c>
      <c r="AC12" s="44">
        <f t="shared" si="6"/>
        <v>45.988300000000002</v>
      </c>
      <c r="AD12" s="44" t="str">
        <f t="shared" si="7"/>
        <v/>
      </c>
      <c r="AF12" s="1">
        <v>13</v>
      </c>
      <c r="AG12" s="4">
        <f t="shared" si="1"/>
        <v>18.62</v>
      </c>
      <c r="AH12" s="4">
        <f t="shared" si="2"/>
        <v>17.790000000000003</v>
      </c>
      <c r="AI12" s="4" t="s">
        <v>34</v>
      </c>
      <c r="AJ12" s="4" t="s">
        <v>34</v>
      </c>
      <c r="AK12" s="4">
        <f t="shared" si="3"/>
        <v>15.360000000000001</v>
      </c>
      <c r="AL12" s="5"/>
      <c r="AM12" s="4">
        <v>-0.83</v>
      </c>
      <c r="AN12" s="4" t="s">
        <v>34</v>
      </c>
      <c r="AO12" s="4" t="s">
        <v>34</v>
      </c>
      <c r="AP12" s="4">
        <v>-3.26</v>
      </c>
    </row>
    <row r="13" spans="1:42" ht="20.100000000000001" customHeight="1">
      <c r="A13" s="12" t="s">
        <v>3</v>
      </c>
      <c r="B13" s="74">
        <v>32</v>
      </c>
      <c r="C13" s="36" t="str">
        <f t="shared" si="8"/>
        <v>45˚</v>
      </c>
      <c r="D13" s="37"/>
      <c r="E13" s="69">
        <v>36</v>
      </c>
      <c r="F13" s="36" t="str">
        <f t="shared" si="9"/>
        <v>+0˚</v>
      </c>
      <c r="G13" s="23"/>
      <c r="H13" s="69">
        <v>45</v>
      </c>
      <c r="I13" s="36" t="str">
        <f t="shared" si="10"/>
        <v>45˚</v>
      </c>
      <c r="J13" s="23"/>
      <c r="K13" s="69">
        <v>41</v>
      </c>
      <c r="L13" s="36" t="str">
        <f t="shared" si="11"/>
        <v>+0˚</v>
      </c>
      <c r="M13" s="24"/>
      <c r="N13" s="6"/>
      <c r="O13" s="56" t="str">
        <f t="shared" si="0"/>
        <v/>
      </c>
      <c r="P13" s="56" t="str">
        <f t="shared" si="0"/>
        <v/>
      </c>
      <c r="Q13" s="56" t="str">
        <f t="shared" si="0"/>
        <v/>
      </c>
      <c r="R13" s="56">
        <f t="shared" si="0"/>
        <v>41</v>
      </c>
      <c r="S13" s="49"/>
      <c r="T13" s="43"/>
      <c r="V13" s="53">
        <f>B13-0.016</f>
        <v>31.984000000000002</v>
      </c>
      <c r="W13" s="53">
        <f>E13-0.016</f>
        <v>35.984000000000002</v>
      </c>
      <c r="X13" s="53">
        <f>H13-0.016</f>
        <v>44.984000000000002</v>
      </c>
      <c r="Y13" s="53">
        <f>K13-0.016</f>
        <v>40.984000000000002</v>
      </c>
      <c r="AA13" s="44" t="str">
        <f t="shared" si="4"/>
        <v/>
      </c>
      <c r="AB13" s="44" t="str">
        <f t="shared" si="5"/>
        <v/>
      </c>
      <c r="AC13" s="44" t="str">
        <f t="shared" si="6"/>
        <v/>
      </c>
      <c r="AD13" s="44">
        <f t="shared" si="7"/>
        <v>40.984000000000002</v>
      </c>
      <c r="AF13" s="1">
        <v>14</v>
      </c>
      <c r="AG13" s="4">
        <f t="shared" si="1"/>
        <v>19.489999999999998</v>
      </c>
      <c r="AH13" s="4">
        <f t="shared" si="2"/>
        <v>18.649999999999999</v>
      </c>
      <c r="AI13" s="4" t="s">
        <v>34</v>
      </c>
      <c r="AJ13" s="4" t="s">
        <v>34</v>
      </c>
      <c r="AK13" s="4">
        <f t="shared" si="3"/>
        <v>16.209999999999997</v>
      </c>
      <c r="AL13" s="5"/>
      <c r="AM13" s="4">
        <v>-0.84</v>
      </c>
      <c r="AN13" s="4" t="s">
        <v>34</v>
      </c>
      <c r="AO13" s="4" t="s">
        <v>34</v>
      </c>
      <c r="AP13" s="4">
        <v>-3.28</v>
      </c>
    </row>
    <row r="14" spans="1:42" ht="20.100000000000001" customHeight="1">
      <c r="A14" s="12" t="s">
        <v>4</v>
      </c>
      <c r="B14" s="74">
        <v>44</v>
      </c>
      <c r="C14" s="36" t="str">
        <f t="shared" si="8"/>
        <v>45˚</v>
      </c>
      <c r="D14" s="37"/>
      <c r="E14" s="69">
        <v>39</v>
      </c>
      <c r="F14" s="36" t="str">
        <f t="shared" si="9"/>
        <v>+0˚</v>
      </c>
      <c r="G14" s="23"/>
      <c r="H14" s="69">
        <v>42</v>
      </c>
      <c r="I14" s="36" t="str">
        <f t="shared" si="10"/>
        <v>45˚</v>
      </c>
      <c r="J14" s="23"/>
      <c r="K14" s="69">
        <v>37</v>
      </c>
      <c r="L14" s="36" t="str">
        <f t="shared" si="11"/>
        <v>+0˚</v>
      </c>
      <c r="M14" s="24"/>
      <c r="N14" s="6"/>
      <c r="O14" s="56" t="str">
        <f t="shared" si="0"/>
        <v/>
      </c>
      <c r="P14" s="56" t="str">
        <f t="shared" si="0"/>
        <v/>
      </c>
      <c r="Q14" s="56" t="str">
        <f t="shared" si="0"/>
        <v/>
      </c>
      <c r="R14" s="56">
        <f t="shared" si="0"/>
        <v>37</v>
      </c>
      <c r="S14" s="49"/>
      <c r="T14" s="43"/>
      <c r="V14" s="53">
        <f>B14-0.015</f>
        <v>43.984999999999999</v>
      </c>
      <c r="W14" s="53">
        <f>E14-0.015</f>
        <v>38.984999999999999</v>
      </c>
      <c r="X14" s="53">
        <f>H14-0.015</f>
        <v>41.984999999999999</v>
      </c>
      <c r="Y14" s="53">
        <f>K14-0.015</f>
        <v>36.984999999999999</v>
      </c>
      <c r="AA14" s="44" t="str">
        <f t="shared" si="4"/>
        <v/>
      </c>
      <c r="AB14" s="44" t="str">
        <f t="shared" si="5"/>
        <v/>
      </c>
      <c r="AC14" s="44" t="str">
        <f t="shared" si="6"/>
        <v/>
      </c>
      <c r="AD14" s="44">
        <f t="shared" si="7"/>
        <v>36.984999999999999</v>
      </c>
      <c r="AF14" s="1">
        <v>15</v>
      </c>
      <c r="AG14" s="4">
        <f t="shared" si="1"/>
        <v>20.41</v>
      </c>
      <c r="AH14" s="4">
        <f t="shared" si="2"/>
        <v>19.559999999999999</v>
      </c>
      <c r="AI14" s="4" t="s">
        <v>34</v>
      </c>
      <c r="AJ14" s="4" t="s">
        <v>34</v>
      </c>
      <c r="AK14" s="4">
        <f t="shared" si="3"/>
        <v>17.11</v>
      </c>
      <c r="AL14" s="5"/>
      <c r="AM14" s="4">
        <v>-0.85</v>
      </c>
      <c r="AN14" s="4" t="s">
        <v>34</v>
      </c>
      <c r="AO14" s="4" t="s">
        <v>34</v>
      </c>
      <c r="AP14" s="4">
        <v>-3.3</v>
      </c>
    </row>
    <row r="15" spans="1:42" ht="20.100000000000001" customHeight="1">
      <c r="A15" s="12" t="s">
        <v>5</v>
      </c>
      <c r="B15" s="74">
        <v>40</v>
      </c>
      <c r="C15" s="36" t="str">
        <f t="shared" si="8"/>
        <v>45˚</v>
      </c>
      <c r="D15" s="37"/>
      <c r="E15" s="69">
        <v>41</v>
      </c>
      <c r="F15" s="36" t="str">
        <f t="shared" si="9"/>
        <v>+0˚</v>
      </c>
      <c r="G15" s="23"/>
      <c r="H15" s="69">
        <v>34</v>
      </c>
      <c r="I15" s="36" t="str">
        <f t="shared" si="10"/>
        <v>45˚</v>
      </c>
      <c r="J15" s="23"/>
      <c r="K15" s="69">
        <v>21</v>
      </c>
      <c r="L15" s="36" t="str">
        <f t="shared" si="11"/>
        <v>+0˚</v>
      </c>
      <c r="M15" s="24"/>
      <c r="O15" s="56" t="str">
        <f t="shared" si="0"/>
        <v/>
      </c>
      <c r="P15" s="56" t="str">
        <f t="shared" si="0"/>
        <v/>
      </c>
      <c r="Q15" s="56" t="str">
        <f t="shared" si="0"/>
        <v/>
      </c>
      <c r="R15" s="56" t="str">
        <f t="shared" si="0"/>
        <v/>
      </c>
      <c r="S15" s="49"/>
      <c r="T15" s="43"/>
      <c r="V15" s="53">
        <f>B15-0.014</f>
        <v>39.985999999999997</v>
      </c>
      <c r="W15" s="53">
        <f>E15-0.014</f>
        <v>40.985999999999997</v>
      </c>
      <c r="X15" s="53">
        <f>H15-0.014</f>
        <v>33.985999999999997</v>
      </c>
      <c r="Y15" s="53">
        <f>K15-0.014</f>
        <v>20.986000000000001</v>
      </c>
      <c r="AA15" s="44" t="str">
        <f t="shared" si="4"/>
        <v/>
      </c>
      <c r="AB15" s="44" t="str">
        <f t="shared" si="5"/>
        <v/>
      </c>
      <c r="AC15" s="44" t="str">
        <f t="shared" si="6"/>
        <v/>
      </c>
      <c r="AD15" s="44" t="str">
        <f t="shared" si="7"/>
        <v/>
      </c>
      <c r="AF15" s="1">
        <v>16</v>
      </c>
      <c r="AG15" s="4">
        <f t="shared" si="1"/>
        <v>21.37</v>
      </c>
      <c r="AH15" s="4">
        <f t="shared" si="2"/>
        <v>20.51</v>
      </c>
      <c r="AI15" s="4" t="s">
        <v>34</v>
      </c>
      <c r="AJ15" s="4" t="s">
        <v>34</v>
      </c>
      <c r="AK15" s="4">
        <f t="shared" si="3"/>
        <v>18.05</v>
      </c>
      <c r="AL15" s="5"/>
      <c r="AM15" s="4">
        <v>-0.86</v>
      </c>
      <c r="AN15" s="4" t="s">
        <v>34</v>
      </c>
      <c r="AO15" s="4" t="s">
        <v>34</v>
      </c>
      <c r="AP15" s="4">
        <v>-3.32</v>
      </c>
    </row>
    <row r="16" spans="1:42" ht="20.100000000000001" customHeight="1">
      <c r="A16" s="12" t="s">
        <v>6</v>
      </c>
      <c r="B16" s="74">
        <v>46</v>
      </c>
      <c r="C16" s="36" t="str">
        <f t="shared" si="8"/>
        <v>45˚</v>
      </c>
      <c r="D16" s="37"/>
      <c r="E16" s="69">
        <v>43</v>
      </c>
      <c r="F16" s="36" t="str">
        <f t="shared" si="9"/>
        <v>+0˚</v>
      </c>
      <c r="G16" s="23"/>
      <c r="H16" s="69">
        <v>51</v>
      </c>
      <c r="I16" s="36" t="str">
        <f t="shared" si="10"/>
        <v>45˚</v>
      </c>
      <c r="J16" s="23"/>
      <c r="K16" s="69">
        <v>35</v>
      </c>
      <c r="L16" s="36" t="str">
        <f t="shared" si="11"/>
        <v>+0˚</v>
      </c>
      <c r="M16" s="24"/>
      <c r="O16" s="56">
        <f t="shared" si="0"/>
        <v>46</v>
      </c>
      <c r="P16" s="56">
        <f t="shared" si="0"/>
        <v>43</v>
      </c>
      <c r="Q16" s="56">
        <f t="shared" si="0"/>
        <v>51</v>
      </c>
      <c r="R16" s="56" t="str">
        <f t="shared" si="0"/>
        <v/>
      </c>
      <c r="S16" s="49"/>
      <c r="T16" s="43"/>
      <c r="V16" s="53">
        <f>B16-0.013</f>
        <v>45.987000000000002</v>
      </c>
      <c r="W16" s="53">
        <f>E16-0.013</f>
        <v>42.987000000000002</v>
      </c>
      <c r="X16" s="53">
        <f>H16-0.013</f>
        <v>50.987000000000002</v>
      </c>
      <c r="Y16" s="53">
        <f>K16-0.013</f>
        <v>34.987000000000002</v>
      </c>
      <c r="AA16" s="44">
        <f t="shared" si="4"/>
        <v>45.987000000000002</v>
      </c>
      <c r="AB16" s="44">
        <f t="shared" si="5"/>
        <v>42.987000000000002</v>
      </c>
      <c r="AC16" s="44">
        <f t="shared" si="6"/>
        <v>50.987000000000002</v>
      </c>
      <c r="AD16" s="44" t="str">
        <f t="shared" si="7"/>
        <v/>
      </c>
      <c r="AF16" s="1">
        <v>17</v>
      </c>
      <c r="AG16" s="4">
        <f t="shared" si="1"/>
        <v>22.38</v>
      </c>
      <c r="AH16" s="4">
        <f t="shared" si="2"/>
        <v>21.509999999999998</v>
      </c>
      <c r="AI16" s="4" t="s">
        <v>34</v>
      </c>
      <c r="AJ16" s="4" t="s">
        <v>34</v>
      </c>
      <c r="AK16" s="4">
        <f t="shared" si="3"/>
        <v>19.04</v>
      </c>
      <c r="AL16" s="5"/>
      <c r="AM16" s="4">
        <v>-0.87</v>
      </c>
      <c r="AN16" s="4" t="s">
        <v>34</v>
      </c>
      <c r="AO16" s="4" t="s">
        <v>34</v>
      </c>
      <c r="AP16" s="4">
        <v>-3.34</v>
      </c>
    </row>
    <row r="17" spans="1:42" ht="20.100000000000001" customHeight="1">
      <c r="A17" s="12" t="s">
        <v>7</v>
      </c>
      <c r="B17" s="74">
        <v>49</v>
      </c>
      <c r="C17" s="36" t="str">
        <f t="shared" si="8"/>
        <v>45˚</v>
      </c>
      <c r="D17" s="37"/>
      <c r="E17" s="69">
        <v>41</v>
      </c>
      <c r="F17" s="36" t="str">
        <f t="shared" si="9"/>
        <v>+0˚</v>
      </c>
      <c r="G17" s="23"/>
      <c r="H17" s="69">
        <v>45</v>
      </c>
      <c r="I17" s="36" t="str">
        <f t="shared" si="10"/>
        <v>45˚</v>
      </c>
      <c r="J17" s="23"/>
      <c r="K17" s="69">
        <v>36</v>
      </c>
      <c r="L17" s="36" t="str">
        <f t="shared" si="11"/>
        <v>+0˚</v>
      </c>
      <c r="M17" s="24"/>
      <c r="O17" s="56">
        <f t="shared" si="0"/>
        <v>49</v>
      </c>
      <c r="P17" s="56" t="str">
        <f t="shared" si="0"/>
        <v/>
      </c>
      <c r="Q17" s="56" t="str">
        <f t="shared" si="0"/>
        <v/>
      </c>
      <c r="R17" s="56" t="str">
        <f t="shared" si="0"/>
        <v/>
      </c>
      <c r="S17" s="49"/>
      <c r="T17" s="43"/>
      <c r="V17" s="53">
        <f>B17-0.012</f>
        <v>48.988</v>
      </c>
      <c r="W17" s="53">
        <f>E17-0.012</f>
        <v>40.988</v>
      </c>
      <c r="X17" s="53">
        <f>H17-0.012</f>
        <v>44.988</v>
      </c>
      <c r="Y17" s="53">
        <f>K17-0.012</f>
        <v>35.988</v>
      </c>
      <c r="AA17" s="44">
        <f t="shared" si="4"/>
        <v>48.988</v>
      </c>
      <c r="AB17" s="44" t="str">
        <f t="shared" si="5"/>
        <v/>
      </c>
      <c r="AC17" s="44" t="str">
        <f t="shared" si="6"/>
        <v/>
      </c>
      <c r="AD17" s="44" t="str">
        <f t="shared" si="7"/>
        <v/>
      </c>
      <c r="AF17" s="1">
        <v>18</v>
      </c>
      <c r="AG17" s="4">
        <f t="shared" si="1"/>
        <v>23.44</v>
      </c>
      <c r="AH17" s="4">
        <f t="shared" si="2"/>
        <v>22.560000000000002</v>
      </c>
      <c r="AI17" s="4" t="s">
        <v>34</v>
      </c>
      <c r="AJ17" s="4" t="s">
        <v>34</v>
      </c>
      <c r="AK17" s="4">
        <f t="shared" si="3"/>
        <v>20.080000000000002</v>
      </c>
      <c r="AL17" s="5"/>
      <c r="AM17" s="4">
        <v>-0.88</v>
      </c>
      <c r="AN17" s="4" t="s">
        <v>34</v>
      </c>
      <c r="AO17" s="4" t="s">
        <v>34</v>
      </c>
      <c r="AP17" s="4">
        <v>-3.36</v>
      </c>
    </row>
    <row r="18" spans="1:42" ht="20.100000000000001" customHeight="1">
      <c r="A18" s="12" t="s">
        <v>8</v>
      </c>
      <c r="B18" s="74">
        <v>50</v>
      </c>
      <c r="C18" s="36" t="str">
        <f t="shared" si="8"/>
        <v>45˚</v>
      </c>
      <c r="D18" s="37"/>
      <c r="E18" s="69">
        <v>39</v>
      </c>
      <c r="F18" s="36" t="str">
        <f t="shared" si="9"/>
        <v>+0˚</v>
      </c>
      <c r="G18" s="23"/>
      <c r="H18" s="69">
        <v>50</v>
      </c>
      <c r="I18" s="36" t="str">
        <f t="shared" si="10"/>
        <v>45˚</v>
      </c>
      <c r="J18" s="23"/>
      <c r="K18" s="69">
        <v>31</v>
      </c>
      <c r="L18" s="36" t="str">
        <f t="shared" si="11"/>
        <v>+0˚</v>
      </c>
      <c r="M18" s="24"/>
      <c r="O18" s="56">
        <f t="shared" si="0"/>
        <v>50</v>
      </c>
      <c r="P18" s="56" t="str">
        <f t="shared" si="0"/>
        <v/>
      </c>
      <c r="Q18" s="56">
        <f t="shared" si="0"/>
        <v>50</v>
      </c>
      <c r="R18" s="56" t="str">
        <f t="shared" si="0"/>
        <v/>
      </c>
      <c r="S18" s="49"/>
      <c r="T18" s="43"/>
      <c r="V18" s="53">
        <f>B18-0.011</f>
        <v>49.988999999999997</v>
      </c>
      <c r="W18" s="53">
        <f>E18-0.011</f>
        <v>38.988999999999997</v>
      </c>
      <c r="X18" s="53">
        <f>H18-0.011</f>
        <v>49.988999999999997</v>
      </c>
      <c r="Y18" s="53">
        <f>K18-0.011</f>
        <v>30.989000000000001</v>
      </c>
      <c r="AA18" s="44">
        <f t="shared" si="4"/>
        <v>49.988999999999997</v>
      </c>
      <c r="AB18" s="44" t="str">
        <f t="shared" si="5"/>
        <v/>
      </c>
      <c r="AC18" s="44">
        <f t="shared" si="6"/>
        <v>49.988999999999997</v>
      </c>
      <c r="AD18" s="44" t="str">
        <f t="shared" si="7"/>
        <v/>
      </c>
      <c r="AF18" s="1">
        <v>19</v>
      </c>
      <c r="AG18" s="4">
        <f t="shared" si="1"/>
        <v>24.54</v>
      </c>
      <c r="AH18" s="4">
        <f t="shared" si="2"/>
        <v>23.65</v>
      </c>
      <c r="AI18" s="4" t="s">
        <v>34</v>
      </c>
      <c r="AJ18" s="4" t="s">
        <v>34</v>
      </c>
      <c r="AK18" s="4">
        <f t="shared" si="3"/>
        <v>21.16</v>
      </c>
      <c r="AL18" s="5"/>
      <c r="AM18" s="4">
        <v>-0.89</v>
      </c>
      <c r="AN18" s="4" t="s">
        <v>34</v>
      </c>
      <c r="AO18" s="4" t="s">
        <v>34</v>
      </c>
      <c r="AP18" s="4">
        <v>-3.38</v>
      </c>
    </row>
    <row r="19" spans="1:42" ht="20.100000000000001" customHeight="1">
      <c r="A19" s="12" t="s">
        <v>9</v>
      </c>
      <c r="B19" s="74">
        <v>50</v>
      </c>
      <c r="C19" s="36" t="str">
        <f t="shared" si="8"/>
        <v>45˚</v>
      </c>
      <c r="D19" s="37"/>
      <c r="E19" s="69">
        <v>39</v>
      </c>
      <c r="F19" s="36" t="str">
        <f t="shared" si="9"/>
        <v>+0˚</v>
      </c>
      <c r="G19" s="23"/>
      <c r="H19" s="69">
        <v>50</v>
      </c>
      <c r="I19" s="36" t="str">
        <f t="shared" si="10"/>
        <v>45˚</v>
      </c>
      <c r="J19" s="23"/>
      <c r="K19" s="69">
        <v>34</v>
      </c>
      <c r="L19" s="36" t="str">
        <f t="shared" si="11"/>
        <v>+0˚</v>
      </c>
      <c r="M19" s="24"/>
      <c r="O19" s="56">
        <f t="shared" si="0"/>
        <v>50</v>
      </c>
      <c r="P19" s="56" t="str">
        <f t="shared" si="0"/>
        <v/>
      </c>
      <c r="Q19" s="56">
        <f t="shared" si="0"/>
        <v>50</v>
      </c>
      <c r="R19" s="56" t="str">
        <f t="shared" si="0"/>
        <v/>
      </c>
      <c r="S19" s="49"/>
      <c r="T19" s="43"/>
      <c r="V19" s="53">
        <f>B19-0.01</f>
        <v>49.99</v>
      </c>
      <c r="W19" s="53">
        <f>E19-0.01</f>
        <v>38.99</v>
      </c>
      <c r="X19" s="53">
        <f>H19-0.01</f>
        <v>49.99</v>
      </c>
      <c r="Y19" s="53">
        <f>K19-0.01</f>
        <v>33.99</v>
      </c>
      <c r="AA19" s="44">
        <f t="shared" si="4"/>
        <v>49.99</v>
      </c>
      <c r="AB19" s="44" t="str">
        <f t="shared" si="5"/>
        <v/>
      </c>
      <c r="AC19" s="44">
        <f t="shared" si="6"/>
        <v>49.99</v>
      </c>
      <c r="AD19" s="44" t="str">
        <f t="shared" si="7"/>
        <v/>
      </c>
      <c r="AF19" s="1">
        <v>20</v>
      </c>
      <c r="AG19" s="4">
        <f t="shared" si="1"/>
        <v>25.7</v>
      </c>
      <c r="AH19" s="4">
        <f t="shared" si="2"/>
        <v>24.8</v>
      </c>
      <c r="AI19" s="4">
        <f t="shared" si="2"/>
        <v>16.899999999999999</v>
      </c>
      <c r="AJ19" s="4">
        <f t="shared" si="2"/>
        <v>18.799999999999997</v>
      </c>
      <c r="AK19" s="4">
        <f t="shared" si="3"/>
        <v>22.3</v>
      </c>
      <c r="AL19" s="5"/>
      <c r="AM19" s="43">
        <v>-0.9</v>
      </c>
      <c r="AN19" s="43">
        <v>-8.8000000000000007</v>
      </c>
      <c r="AO19" s="43">
        <v>-6.9</v>
      </c>
      <c r="AP19" s="43">
        <v>-3.4</v>
      </c>
    </row>
    <row r="20" spans="1:42" ht="20.100000000000001" customHeight="1">
      <c r="A20" s="12" t="s">
        <v>18</v>
      </c>
      <c r="B20" s="74">
        <v>31</v>
      </c>
      <c r="C20" s="36" t="str">
        <f t="shared" si="8"/>
        <v>45˚</v>
      </c>
      <c r="D20" s="37"/>
      <c r="E20" s="69">
        <v>44</v>
      </c>
      <c r="F20" s="36" t="str">
        <f t="shared" si="9"/>
        <v>+0˚</v>
      </c>
      <c r="G20" s="23"/>
      <c r="H20" s="69">
        <v>49</v>
      </c>
      <c r="I20" s="36" t="str">
        <f t="shared" si="10"/>
        <v>45˚</v>
      </c>
      <c r="J20" s="23"/>
      <c r="K20" s="69">
        <v>38</v>
      </c>
      <c r="L20" s="36" t="str">
        <f t="shared" si="11"/>
        <v>+0˚</v>
      </c>
      <c r="M20" s="24"/>
      <c r="O20" s="56" t="str">
        <f t="shared" si="0"/>
        <v/>
      </c>
      <c r="P20" s="56">
        <f t="shared" si="0"/>
        <v>44</v>
      </c>
      <c r="Q20" s="56">
        <f t="shared" si="0"/>
        <v>49</v>
      </c>
      <c r="R20" s="56">
        <f t="shared" si="0"/>
        <v>38</v>
      </c>
      <c r="S20" s="49"/>
      <c r="T20" s="43"/>
      <c r="V20" s="53">
        <f>B20-0.009</f>
        <v>30.991</v>
      </c>
      <c r="W20" s="53">
        <f>E20-0.009</f>
        <v>43.991</v>
      </c>
      <c r="X20" s="53">
        <f>H20-0.009</f>
        <v>48.991</v>
      </c>
      <c r="Y20" s="53">
        <f>K20-0.009</f>
        <v>37.991</v>
      </c>
      <c r="AA20" s="44" t="str">
        <f t="shared" si="4"/>
        <v/>
      </c>
      <c r="AB20" s="44">
        <f t="shared" si="5"/>
        <v>43.991</v>
      </c>
      <c r="AC20" s="44">
        <f t="shared" si="6"/>
        <v>48.991</v>
      </c>
      <c r="AD20" s="44">
        <f t="shared" si="7"/>
        <v>37.991</v>
      </c>
      <c r="AF20" s="1">
        <v>21</v>
      </c>
      <c r="AG20" s="4">
        <f t="shared" si="1"/>
        <v>26.91</v>
      </c>
      <c r="AH20" s="4">
        <f t="shared" si="2"/>
        <v>26.02</v>
      </c>
      <c r="AI20" s="4">
        <f t="shared" si="2"/>
        <v>18.21</v>
      </c>
      <c r="AJ20" s="4">
        <f t="shared" si="2"/>
        <v>20.079999999999998</v>
      </c>
      <c r="AK20" s="4">
        <f t="shared" si="3"/>
        <v>23.54</v>
      </c>
      <c r="AL20" s="5"/>
      <c r="AM20" s="4">
        <v>-0.89</v>
      </c>
      <c r="AN20" s="4">
        <v>-8.6999999999999993</v>
      </c>
      <c r="AO20" s="4">
        <v>-6.83</v>
      </c>
      <c r="AP20" s="4">
        <v>-3.37</v>
      </c>
    </row>
    <row r="21" spans="1:42" ht="20.100000000000001" customHeight="1">
      <c r="A21" s="12" t="s">
        <v>19</v>
      </c>
      <c r="B21" s="74">
        <v>32</v>
      </c>
      <c r="C21" s="36" t="str">
        <f t="shared" si="8"/>
        <v>45˚</v>
      </c>
      <c r="D21" s="37"/>
      <c r="E21" s="69">
        <v>50</v>
      </c>
      <c r="F21" s="36" t="str">
        <f t="shared" si="9"/>
        <v>+0˚</v>
      </c>
      <c r="G21" s="23"/>
      <c r="H21" s="69">
        <v>36</v>
      </c>
      <c r="I21" s="36" t="str">
        <f t="shared" si="10"/>
        <v>45˚</v>
      </c>
      <c r="J21" s="23"/>
      <c r="K21" s="69">
        <v>21</v>
      </c>
      <c r="L21" s="36" t="str">
        <f t="shared" si="11"/>
        <v>+0˚</v>
      </c>
      <c r="M21" s="24"/>
      <c r="O21" s="56" t="str">
        <f t="shared" si="0"/>
        <v/>
      </c>
      <c r="P21" s="56">
        <f t="shared" si="0"/>
        <v>50</v>
      </c>
      <c r="Q21" s="56" t="str">
        <f t="shared" si="0"/>
        <v/>
      </c>
      <c r="R21" s="56" t="str">
        <f t="shared" si="0"/>
        <v/>
      </c>
      <c r="S21" s="49"/>
      <c r="T21" s="43"/>
      <c r="V21" s="53">
        <f>B21-0.008</f>
        <v>31.992000000000001</v>
      </c>
      <c r="W21" s="53">
        <f>E21-0.008</f>
        <v>49.991999999999997</v>
      </c>
      <c r="X21" s="53">
        <f>H21-0.008</f>
        <v>35.991999999999997</v>
      </c>
      <c r="Y21" s="53">
        <f>K21-0.008</f>
        <v>20.992000000000001</v>
      </c>
      <c r="AA21" s="44" t="str">
        <f t="shared" si="4"/>
        <v/>
      </c>
      <c r="AB21" s="44">
        <f t="shared" si="5"/>
        <v>49.991999999999997</v>
      </c>
      <c r="AC21" s="44" t="str">
        <f t="shared" si="6"/>
        <v/>
      </c>
      <c r="AD21" s="44" t="str">
        <f t="shared" si="7"/>
        <v/>
      </c>
      <c r="AF21" s="1">
        <v>22</v>
      </c>
      <c r="AG21" s="4">
        <f t="shared" si="1"/>
        <v>28.18</v>
      </c>
      <c r="AH21" s="4">
        <f t="shared" si="2"/>
        <v>27.3</v>
      </c>
      <c r="AI21" s="4">
        <f t="shared" si="2"/>
        <v>19.579999999999998</v>
      </c>
      <c r="AJ21" s="4">
        <f t="shared" si="2"/>
        <v>21.42</v>
      </c>
      <c r="AK21" s="4">
        <f t="shared" si="3"/>
        <v>24.84</v>
      </c>
      <c r="AL21" s="5"/>
      <c r="AM21" s="4">
        <v>-0.88</v>
      </c>
      <c r="AN21" s="4">
        <v>-8.6</v>
      </c>
      <c r="AO21" s="4">
        <v>-6.76</v>
      </c>
      <c r="AP21" s="4">
        <v>-3.34</v>
      </c>
    </row>
    <row r="22" spans="1:42" ht="20.100000000000001" customHeight="1">
      <c r="A22" s="12" t="s">
        <v>20</v>
      </c>
      <c r="B22" s="74">
        <v>49</v>
      </c>
      <c r="C22" s="36" t="str">
        <f t="shared" si="8"/>
        <v>45˚</v>
      </c>
      <c r="D22" s="37"/>
      <c r="E22" s="69">
        <v>44</v>
      </c>
      <c r="F22" s="36" t="str">
        <f t="shared" si="9"/>
        <v>+0˚</v>
      </c>
      <c r="G22" s="23"/>
      <c r="H22" s="69">
        <v>50</v>
      </c>
      <c r="I22" s="36" t="str">
        <f t="shared" si="10"/>
        <v>45˚</v>
      </c>
      <c r="J22" s="23"/>
      <c r="K22" s="69">
        <v>28</v>
      </c>
      <c r="L22" s="36" t="str">
        <f t="shared" si="11"/>
        <v>+0˚</v>
      </c>
      <c r="M22" s="24"/>
      <c r="O22" s="56">
        <f t="shared" si="0"/>
        <v>49</v>
      </c>
      <c r="P22" s="56">
        <f t="shared" si="0"/>
        <v>44</v>
      </c>
      <c r="Q22" s="56">
        <f t="shared" si="0"/>
        <v>50</v>
      </c>
      <c r="R22" s="56" t="str">
        <f t="shared" si="0"/>
        <v/>
      </c>
      <c r="S22" s="49"/>
      <c r="T22" s="43"/>
      <c r="V22" s="53">
        <f>B22-0.007</f>
        <v>48.993000000000002</v>
      </c>
      <c r="W22" s="53">
        <f>E22-0.007</f>
        <v>43.993000000000002</v>
      </c>
      <c r="X22" s="53">
        <f>H22-0.007</f>
        <v>49.993000000000002</v>
      </c>
      <c r="Y22" s="53">
        <f>K22-0.007</f>
        <v>27.992999999999999</v>
      </c>
      <c r="AA22" s="44">
        <f t="shared" si="4"/>
        <v>48.993000000000002</v>
      </c>
      <c r="AB22" s="44">
        <f t="shared" si="5"/>
        <v>43.993000000000002</v>
      </c>
      <c r="AC22" s="44">
        <f t="shared" si="6"/>
        <v>49.993000000000002</v>
      </c>
      <c r="AD22" s="44" t="str">
        <f t="shared" si="7"/>
        <v/>
      </c>
      <c r="AF22" s="1">
        <v>23</v>
      </c>
      <c r="AG22" s="4">
        <f t="shared" si="1"/>
        <v>29.51</v>
      </c>
      <c r="AH22" s="4">
        <f t="shared" si="2"/>
        <v>28.64</v>
      </c>
      <c r="AI22" s="4">
        <f t="shared" si="2"/>
        <v>21.01</v>
      </c>
      <c r="AJ22" s="4">
        <f t="shared" si="2"/>
        <v>22.82</v>
      </c>
      <c r="AK22" s="4">
        <f t="shared" si="3"/>
        <v>26.200000000000003</v>
      </c>
      <c r="AL22" s="5"/>
      <c r="AM22" s="4">
        <v>-0.87</v>
      </c>
      <c r="AN22" s="44">
        <v>-8.5</v>
      </c>
      <c r="AO22" s="4">
        <v>-6.69</v>
      </c>
      <c r="AP22" s="4">
        <v>-3.31</v>
      </c>
    </row>
    <row r="23" spans="1:42" ht="20.100000000000001" customHeight="1">
      <c r="A23" s="12" t="s">
        <v>21</v>
      </c>
      <c r="B23" s="74">
        <v>40</v>
      </c>
      <c r="C23" s="36" t="str">
        <f t="shared" si="8"/>
        <v>45˚</v>
      </c>
      <c r="D23" s="37"/>
      <c r="E23" s="69">
        <v>43</v>
      </c>
      <c r="F23" s="36" t="str">
        <f t="shared" si="9"/>
        <v>+0˚</v>
      </c>
      <c r="G23" s="23"/>
      <c r="H23" s="69">
        <v>55</v>
      </c>
      <c r="I23" s="36" t="str">
        <f t="shared" si="10"/>
        <v>45˚</v>
      </c>
      <c r="J23" s="23"/>
      <c r="K23" s="69">
        <v>60</v>
      </c>
      <c r="L23" s="36" t="str">
        <f t="shared" si="11"/>
        <v>+0˚</v>
      </c>
      <c r="M23" s="24"/>
      <c r="O23" s="56" t="str">
        <f t="shared" si="0"/>
        <v/>
      </c>
      <c r="P23" s="56">
        <f t="shared" si="0"/>
        <v>43</v>
      </c>
      <c r="Q23" s="56">
        <f t="shared" si="0"/>
        <v>55</v>
      </c>
      <c r="R23" s="56">
        <f t="shared" si="0"/>
        <v>60</v>
      </c>
      <c r="S23" s="49"/>
      <c r="T23" s="43"/>
      <c r="V23" s="53">
        <f>B23-0.006</f>
        <v>39.994</v>
      </c>
      <c r="W23" s="53">
        <f>E23-0.006</f>
        <v>42.994</v>
      </c>
      <c r="X23" s="53">
        <f>H23-0.006</f>
        <v>54.994</v>
      </c>
      <c r="Y23" s="53">
        <f>K23-0.006</f>
        <v>59.994</v>
      </c>
      <c r="AA23" s="44" t="str">
        <f t="shared" si="4"/>
        <v/>
      </c>
      <c r="AB23" s="44">
        <f t="shared" si="5"/>
        <v>42.994</v>
      </c>
      <c r="AC23" s="44">
        <f t="shared" si="6"/>
        <v>54.994</v>
      </c>
      <c r="AD23" s="44">
        <f t="shared" si="7"/>
        <v>59.994</v>
      </c>
      <c r="AF23" s="1">
        <v>24</v>
      </c>
      <c r="AG23" s="4">
        <f t="shared" si="1"/>
        <v>30.9</v>
      </c>
      <c r="AH23" s="4">
        <f t="shared" si="2"/>
        <v>30.04</v>
      </c>
      <c r="AI23" s="4">
        <f t="shared" si="2"/>
        <v>22.5</v>
      </c>
      <c r="AJ23" s="4">
        <f t="shared" si="2"/>
        <v>24.279999999999998</v>
      </c>
      <c r="AK23" s="4">
        <f t="shared" si="3"/>
        <v>27.619999999999997</v>
      </c>
      <c r="AL23" s="5"/>
      <c r="AM23" s="4">
        <v>-0.86</v>
      </c>
      <c r="AN23" s="44">
        <v>-8.4</v>
      </c>
      <c r="AO23" s="4">
        <v>-6.62</v>
      </c>
      <c r="AP23" s="4">
        <v>-3.28</v>
      </c>
    </row>
    <row r="24" spans="1:42" ht="20.100000000000001" customHeight="1">
      <c r="A24" s="12" t="s">
        <v>22</v>
      </c>
      <c r="B24" s="74">
        <v>51</v>
      </c>
      <c r="C24" s="36" t="str">
        <f t="shared" si="8"/>
        <v>45˚</v>
      </c>
      <c r="D24" s="37"/>
      <c r="E24" s="69">
        <v>39</v>
      </c>
      <c r="F24" s="36" t="str">
        <f t="shared" si="9"/>
        <v>+0˚</v>
      </c>
      <c r="G24" s="23"/>
      <c r="H24" s="69">
        <v>46</v>
      </c>
      <c r="I24" s="36" t="str">
        <f t="shared" si="10"/>
        <v>45˚</v>
      </c>
      <c r="J24" s="23"/>
      <c r="K24" s="69">
        <v>54</v>
      </c>
      <c r="L24" s="36" t="str">
        <f t="shared" si="11"/>
        <v>+0˚</v>
      </c>
      <c r="M24" s="24"/>
      <c r="O24" s="56">
        <f t="shared" si="0"/>
        <v>51</v>
      </c>
      <c r="P24" s="56" t="str">
        <f t="shared" si="0"/>
        <v/>
      </c>
      <c r="Q24" s="56">
        <f t="shared" si="0"/>
        <v>46</v>
      </c>
      <c r="R24" s="56">
        <f t="shared" si="0"/>
        <v>54</v>
      </c>
      <c r="S24" s="49"/>
      <c r="T24" s="43"/>
      <c r="V24" s="53">
        <f>B24-0.005</f>
        <v>50.994999999999997</v>
      </c>
      <c r="W24" s="53">
        <f>E24-0.005</f>
        <v>38.994999999999997</v>
      </c>
      <c r="X24" s="53">
        <f>H24-0.005</f>
        <v>45.994999999999997</v>
      </c>
      <c r="Y24" s="53">
        <f>K24-0.005</f>
        <v>53.994999999999997</v>
      </c>
      <c r="AA24" s="44">
        <f t="shared" si="4"/>
        <v>50.994999999999997</v>
      </c>
      <c r="AB24" s="44" t="str">
        <f t="shared" si="5"/>
        <v/>
      </c>
      <c r="AC24" s="44">
        <f t="shared" si="6"/>
        <v>45.994999999999997</v>
      </c>
      <c r="AD24" s="44">
        <f t="shared" si="7"/>
        <v>53.994999999999997</v>
      </c>
      <c r="AF24" s="1">
        <v>25</v>
      </c>
      <c r="AG24" s="4">
        <f t="shared" si="1"/>
        <v>32.35</v>
      </c>
      <c r="AH24" s="4">
        <f t="shared" si="2"/>
        <v>31.5</v>
      </c>
      <c r="AI24" s="4">
        <f t="shared" si="2"/>
        <v>24.050000000000011</v>
      </c>
      <c r="AJ24" s="4">
        <f t="shared" si="2"/>
        <v>25.8</v>
      </c>
      <c r="AK24" s="4">
        <f t="shared" si="3"/>
        <v>29.1</v>
      </c>
      <c r="AL24" s="5"/>
      <c r="AM24" s="4">
        <v>-0.85</v>
      </c>
      <c r="AN24" s="44">
        <v>-8.2999999999999901</v>
      </c>
      <c r="AO24" s="4">
        <v>-6.55</v>
      </c>
      <c r="AP24" s="4">
        <v>-3.25</v>
      </c>
    </row>
    <row r="25" spans="1:42" ht="20.100000000000001" customHeight="1">
      <c r="A25" s="12" t="s">
        <v>23</v>
      </c>
      <c r="B25" s="74">
        <v>26</v>
      </c>
      <c r="C25" s="36" t="str">
        <f t="shared" si="8"/>
        <v>45˚</v>
      </c>
      <c r="D25" s="37"/>
      <c r="E25" s="69">
        <v>41</v>
      </c>
      <c r="F25" s="36" t="str">
        <f t="shared" si="9"/>
        <v>+0˚</v>
      </c>
      <c r="G25" s="23"/>
      <c r="H25" s="69">
        <v>40</v>
      </c>
      <c r="I25" s="36" t="str">
        <f t="shared" si="10"/>
        <v>45˚</v>
      </c>
      <c r="J25" s="23"/>
      <c r="K25" s="69">
        <v>36</v>
      </c>
      <c r="L25" s="36" t="str">
        <f t="shared" si="11"/>
        <v>+0˚</v>
      </c>
      <c r="M25" s="24"/>
      <c r="O25" s="56" t="str">
        <f t="shared" si="0"/>
        <v/>
      </c>
      <c r="P25" s="56">
        <f t="shared" si="0"/>
        <v>41</v>
      </c>
      <c r="Q25" s="56" t="str">
        <f t="shared" si="0"/>
        <v/>
      </c>
      <c r="R25" s="56">
        <f t="shared" si="0"/>
        <v>36</v>
      </c>
      <c r="S25" s="49"/>
      <c r="T25" s="43"/>
      <c r="V25" s="53">
        <f>B25-0.004</f>
        <v>25.995999999999999</v>
      </c>
      <c r="W25" s="53">
        <f>E25-0.004</f>
        <v>40.996000000000002</v>
      </c>
      <c r="X25" s="53">
        <f>H25-0.004</f>
        <v>39.996000000000002</v>
      </c>
      <c r="Y25" s="53">
        <f>K25-0.004</f>
        <v>35.996000000000002</v>
      </c>
      <c r="AA25" s="44" t="str">
        <f t="shared" si="4"/>
        <v/>
      </c>
      <c r="AB25" s="44">
        <f t="shared" si="5"/>
        <v>40.996000000000002</v>
      </c>
      <c r="AC25" s="44" t="str">
        <f t="shared" si="6"/>
        <v/>
      </c>
      <c r="AD25" s="44">
        <f t="shared" si="7"/>
        <v>35.996000000000002</v>
      </c>
      <c r="AF25" s="1">
        <v>26</v>
      </c>
      <c r="AG25" s="4">
        <f t="shared" si="1"/>
        <v>33.880000000000003</v>
      </c>
      <c r="AH25" s="4">
        <f t="shared" si="2"/>
        <v>33.04</v>
      </c>
      <c r="AI25" s="4">
        <f t="shared" si="2"/>
        <v>25.680000000000014</v>
      </c>
      <c r="AJ25" s="4">
        <f t="shared" si="2"/>
        <v>27.400000000000002</v>
      </c>
      <c r="AK25" s="4">
        <f t="shared" si="3"/>
        <v>30.660000000000004</v>
      </c>
      <c r="AL25" s="5"/>
      <c r="AM25" s="4">
        <v>-0.84</v>
      </c>
      <c r="AN25" s="44">
        <v>-8.1999999999999904</v>
      </c>
      <c r="AO25" s="4">
        <v>-6.48</v>
      </c>
      <c r="AP25" s="4">
        <v>-3.22</v>
      </c>
    </row>
    <row r="26" spans="1:42" ht="20.100000000000001" customHeight="1">
      <c r="A26" s="12" t="s">
        <v>24</v>
      </c>
      <c r="B26" s="74">
        <v>44</v>
      </c>
      <c r="C26" s="36" t="str">
        <f t="shared" si="8"/>
        <v>45˚</v>
      </c>
      <c r="D26" s="37"/>
      <c r="E26" s="69">
        <v>43</v>
      </c>
      <c r="F26" s="36" t="str">
        <f t="shared" si="9"/>
        <v>+0˚</v>
      </c>
      <c r="G26" s="23"/>
      <c r="H26" s="69">
        <v>38</v>
      </c>
      <c r="I26" s="36" t="str">
        <f t="shared" si="10"/>
        <v>45˚</v>
      </c>
      <c r="J26" s="23"/>
      <c r="K26" s="69">
        <v>36</v>
      </c>
      <c r="L26" s="36" t="str">
        <f t="shared" si="11"/>
        <v>+0˚</v>
      </c>
      <c r="M26" s="24"/>
      <c r="O26" s="56">
        <f t="shared" si="0"/>
        <v>44</v>
      </c>
      <c r="P26" s="56">
        <f t="shared" si="0"/>
        <v>43</v>
      </c>
      <c r="Q26" s="56" t="str">
        <f t="shared" si="0"/>
        <v/>
      </c>
      <c r="R26" s="56">
        <f t="shared" si="0"/>
        <v>36</v>
      </c>
      <c r="S26" s="49"/>
      <c r="T26" s="43"/>
      <c r="V26" s="53">
        <f>B26-0.003</f>
        <v>43.997</v>
      </c>
      <c r="W26" s="53">
        <f>E26-0.003</f>
        <v>42.997</v>
      </c>
      <c r="X26" s="53">
        <f>H26-0.003</f>
        <v>37.997</v>
      </c>
      <c r="Y26" s="53">
        <f>K26-0.003</f>
        <v>35.997</v>
      </c>
      <c r="AA26" s="44">
        <f t="shared" si="4"/>
        <v>43.997</v>
      </c>
      <c r="AB26" s="44">
        <f t="shared" si="5"/>
        <v>42.997</v>
      </c>
      <c r="AC26" s="44" t="str">
        <f t="shared" si="6"/>
        <v/>
      </c>
      <c r="AD26" s="44">
        <f t="shared" si="7"/>
        <v>35.997</v>
      </c>
      <c r="AF26" s="1">
        <v>27</v>
      </c>
      <c r="AG26" s="4">
        <f t="shared" si="1"/>
        <v>35.479999999999997</v>
      </c>
      <c r="AH26" s="4">
        <f t="shared" si="2"/>
        <v>34.65</v>
      </c>
      <c r="AI26" s="4">
        <f t="shared" si="2"/>
        <v>27.380000000000006</v>
      </c>
      <c r="AJ26" s="4">
        <f t="shared" si="2"/>
        <v>29.069999999999997</v>
      </c>
      <c r="AK26" s="4">
        <f t="shared" si="3"/>
        <v>32.29</v>
      </c>
      <c r="AL26" s="5"/>
      <c r="AM26" s="4">
        <v>-0.83</v>
      </c>
      <c r="AN26" s="44">
        <v>-8.0999999999999908</v>
      </c>
      <c r="AO26" s="4">
        <v>-6.41</v>
      </c>
      <c r="AP26" s="4">
        <v>-3.19</v>
      </c>
    </row>
    <row r="27" spans="1:42" ht="20.100000000000001" customHeight="1">
      <c r="A27" s="12" t="s">
        <v>25</v>
      </c>
      <c r="B27" s="74">
        <v>35</v>
      </c>
      <c r="C27" s="36" t="str">
        <f t="shared" si="8"/>
        <v>45˚</v>
      </c>
      <c r="D27" s="37"/>
      <c r="E27" s="69">
        <v>41</v>
      </c>
      <c r="F27" s="36" t="str">
        <f t="shared" si="9"/>
        <v>+0˚</v>
      </c>
      <c r="G27" s="23"/>
      <c r="H27" s="69">
        <v>49</v>
      </c>
      <c r="I27" s="36" t="str">
        <f t="shared" si="10"/>
        <v>45˚</v>
      </c>
      <c r="J27" s="23"/>
      <c r="K27" s="69">
        <v>58</v>
      </c>
      <c r="L27" s="36" t="str">
        <f t="shared" si="11"/>
        <v>+0˚</v>
      </c>
      <c r="M27" s="24"/>
      <c r="O27" s="56" t="str">
        <f t="shared" si="0"/>
        <v/>
      </c>
      <c r="P27" s="56">
        <f t="shared" si="0"/>
        <v>41</v>
      </c>
      <c r="Q27" s="56">
        <f t="shared" si="0"/>
        <v>49</v>
      </c>
      <c r="R27" s="56">
        <f t="shared" si="0"/>
        <v>58</v>
      </c>
      <c r="S27" s="49"/>
      <c r="T27" s="43"/>
      <c r="V27" s="53">
        <f>B27-0.002</f>
        <v>34.997999999999998</v>
      </c>
      <c r="W27" s="53">
        <f>E27-0.002</f>
        <v>40.997999999999998</v>
      </c>
      <c r="X27" s="53">
        <f>H27-0.002</f>
        <v>48.997999999999998</v>
      </c>
      <c r="Y27" s="53">
        <f>K27-0.002</f>
        <v>57.997999999999998</v>
      </c>
      <c r="AA27" s="44" t="str">
        <f t="shared" si="4"/>
        <v/>
      </c>
      <c r="AB27" s="44">
        <f t="shared" si="5"/>
        <v>40.997999999999998</v>
      </c>
      <c r="AC27" s="44">
        <f t="shared" si="6"/>
        <v>48.997999999999998</v>
      </c>
      <c r="AD27" s="44">
        <f t="shared" si="7"/>
        <v>57.997999999999998</v>
      </c>
      <c r="AF27" s="1">
        <v>28</v>
      </c>
      <c r="AG27" s="4">
        <f t="shared" si="1"/>
        <v>37.15</v>
      </c>
      <c r="AH27" s="4">
        <f t="shared" si="2"/>
        <v>36.33</v>
      </c>
      <c r="AI27" s="4">
        <f t="shared" si="2"/>
        <v>29.150000000000009</v>
      </c>
      <c r="AJ27" s="4">
        <f t="shared" si="2"/>
        <v>30.81</v>
      </c>
      <c r="AK27" s="4">
        <f t="shared" si="3"/>
        <v>33.989999999999995</v>
      </c>
      <c r="AL27" s="5"/>
      <c r="AM27" s="4">
        <v>-0.82</v>
      </c>
      <c r="AN27" s="44">
        <v>-7.9999999999999902</v>
      </c>
      <c r="AO27" s="4">
        <v>-6.34</v>
      </c>
      <c r="AP27" s="4">
        <v>-3.16</v>
      </c>
    </row>
    <row r="28" spans="1:42" ht="20.100000000000001" customHeight="1">
      <c r="A28" s="12" t="s">
        <v>26</v>
      </c>
      <c r="B28" s="74">
        <v>49</v>
      </c>
      <c r="C28" s="36" t="str">
        <f t="shared" si="8"/>
        <v>45˚</v>
      </c>
      <c r="D28" s="37"/>
      <c r="E28" s="69">
        <v>39</v>
      </c>
      <c r="F28" s="36" t="str">
        <f t="shared" si="9"/>
        <v>+0˚</v>
      </c>
      <c r="G28" s="23"/>
      <c r="H28" s="69">
        <v>46</v>
      </c>
      <c r="I28" s="36" t="str">
        <f t="shared" si="10"/>
        <v>45˚</v>
      </c>
      <c r="J28" s="23"/>
      <c r="K28" s="69">
        <v>30</v>
      </c>
      <c r="L28" s="36" t="str">
        <f t="shared" si="11"/>
        <v>+0˚</v>
      </c>
      <c r="M28" s="24"/>
      <c r="O28" s="56">
        <f t="shared" si="0"/>
        <v>49</v>
      </c>
      <c r="P28" s="56" t="str">
        <f t="shared" si="0"/>
        <v/>
      </c>
      <c r="Q28" s="56">
        <f t="shared" si="0"/>
        <v>46</v>
      </c>
      <c r="R28" s="56" t="str">
        <f t="shared" si="0"/>
        <v/>
      </c>
      <c r="S28" s="49"/>
      <c r="T28" s="43"/>
      <c r="V28" s="53">
        <f>B28-0.001</f>
        <v>48.999000000000002</v>
      </c>
      <c r="W28" s="53">
        <f>E28-0.001</f>
        <v>38.999000000000002</v>
      </c>
      <c r="X28" s="53">
        <f>H28-0.001</f>
        <v>45.999000000000002</v>
      </c>
      <c r="Y28" s="53">
        <f>K28-0.001</f>
        <v>29.998999999999999</v>
      </c>
      <c r="AA28" s="44">
        <f t="shared" si="4"/>
        <v>48.999000000000002</v>
      </c>
      <c r="AB28" s="44" t="str">
        <f t="shared" si="5"/>
        <v/>
      </c>
      <c r="AC28" s="44">
        <f t="shared" si="6"/>
        <v>45.999000000000002</v>
      </c>
      <c r="AD28" s="44" t="str">
        <f t="shared" si="7"/>
        <v/>
      </c>
      <c r="AF28" s="1">
        <v>29</v>
      </c>
      <c r="AG28" s="4">
        <f t="shared" si="1"/>
        <v>38.9</v>
      </c>
      <c r="AH28" s="4">
        <f t="shared" si="2"/>
        <v>38.089999999999996</v>
      </c>
      <c r="AI28" s="4">
        <f t="shared" si="2"/>
        <v>31.000000000000007</v>
      </c>
      <c r="AJ28" s="4">
        <f t="shared" si="2"/>
        <v>32.629999999999995</v>
      </c>
      <c r="AK28" s="4">
        <f t="shared" si="3"/>
        <v>35.769999999999996</v>
      </c>
      <c r="AL28" s="5"/>
      <c r="AM28" s="4">
        <v>-0.81</v>
      </c>
      <c r="AN28" s="44">
        <v>-7.8999999999999897</v>
      </c>
      <c r="AO28" s="4">
        <v>-6.27</v>
      </c>
      <c r="AP28" s="4">
        <v>-3.13</v>
      </c>
    </row>
    <row r="29" spans="1:42" ht="20.100000000000001" customHeight="1">
      <c r="A29" s="1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4"/>
      <c r="N29" s="4" t="s">
        <v>41</v>
      </c>
      <c r="O29" s="56">
        <f>ROUND(AVERAGE(O9:O28),0)</f>
        <v>49</v>
      </c>
      <c r="P29" s="56">
        <f>ROUND(AVERAGE(P9:P28),0)</f>
        <v>44</v>
      </c>
      <c r="Q29" s="56">
        <f>ROUND(AVERAGE(Q9:Q28),0)</f>
        <v>49</v>
      </c>
      <c r="R29" s="56">
        <f>ROUND(AVERAGE(R9:R28),0)</f>
        <v>47</v>
      </c>
      <c r="S29" s="49"/>
      <c r="AA29" s="44" t="str">
        <f t="shared" si="4"/>
        <v/>
      </c>
      <c r="AB29" s="44" t="str">
        <f t="shared" si="5"/>
        <v/>
      </c>
      <c r="AC29" s="44" t="str">
        <f t="shared" si="6"/>
        <v/>
      </c>
      <c r="AF29" s="1">
        <v>30</v>
      </c>
      <c r="AG29" s="4">
        <f t="shared" si="1"/>
        <v>40.729999999999997</v>
      </c>
      <c r="AH29" s="4">
        <f t="shared" si="2"/>
        <v>39.93</v>
      </c>
      <c r="AI29" s="4">
        <f t="shared" si="2"/>
        <v>32.93</v>
      </c>
      <c r="AJ29" s="4">
        <f t="shared" si="2"/>
        <v>34.529999999999994</v>
      </c>
      <c r="AK29" s="4">
        <f t="shared" si="3"/>
        <v>37.629999999999995</v>
      </c>
      <c r="AL29" s="5"/>
      <c r="AM29" s="43">
        <v>-0.8</v>
      </c>
      <c r="AN29" s="43">
        <v>-7.8</v>
      </c>
      <c r="AO29" s="43">
        <v>-6.2</v>
      </c>
      <c r="AP29" s="43">
        <v>-3.1</v>
      </c>
    </row>
    <row r="30" spans="1:42" ht="20.100000000000001" customHeight="1">
      <c r="A30" s="12"/>
      <c r="B30" s="29"/>
      <c r="C30" s="23"/>
      <c r="D30" s="23"/>
      <c r="E30" s="29"/>
      <c r="F30" s="23"/>
      <c r="G30" s="23"/>
      <c r="H30" s="29"/>
      <c r="I30" s="23"/>
      <c r="J30" s="23"/>
      <c r="K30" s="29"/>
      <c r="L30" s="23"/>
      <c r="M30" s="24"/>
      <c r="O30" s="44"/>
      <c r="P30" s="44"/>
      <c r="Q30" s="44"/>
      <c r="R30" s="44"/>
      <c r="S30" s="49"/>
      <c r="AB30" s="44" t="str">
        <f t="shared" si="5"/>
        <v/>
      </c>
      <c r="AF30" s="1">
        <v>31</v>
      </c>
      <c r="AG30" s="4">
        <f t="shared" si="1"/>
        <v>42.65</v>
      </c>
      <c r="AH30" s="4">
        <f t="shared" si="2"/>
        <v>41.86</v>
      </c>
      <c r="AI30" s="4">
        <f t="shared" si="2"/>
        <v>34.97</v>
      </c>
      <c r="AJ30" s="4">
        <f t="shared" si="2"/>
        <v>36.54</v>
      </c>
      <c r="AK30" s="4">
        <f t="shared" si="3"/>
        <v>39.589999999999996</v>
      </c>
      <c r="AL30" s="5"/>
      <c r="AM30" s="4">
        <v>-0.79</v>
      </c>
      <c r="AN30" s="4">
        <v>-7.68</v>
      </c>
      <c r="AO30" s="4">
        <v>-6.11</v>
      </c>
      <c r="AP30" s="4">
        <v>-3.06</v>
      </c>
    </row>
    <row r="31" spans="1:42" ht="20.100000000000001" customHeight="1">
      <c r="A31" s="12"/>
      <c r="B31" s="28"/>
      <c r="C31" s="23"/>
      <c r="D31" s="23"/>
      <c r="E31" s="28"/>
      <c r="F31" s="23"/>
      <c r="G31" s="23"/>
      <c r="H31" s="28"/>
      <c r="I31" s="23"/>
      <c r="J31" s="23"/>
      <c r="K31" s="28"/>
      <c r="L31" s="23"/>
      <c r="M31" s="24"/>
      <c r="O31" s="44"/>
      <c r="P31" s="44"/>
      <c r="Q31" s="44"/>
      <c r="R31" s="44"/>
      <c r="S31" s="49"/>
      <c r="AF31" s="1">
        <v>32</v>
      </c>
      <c r="AG31" s="4">
        <f t="shared" si="1"/>
        <v>44.66</v>
      </c>
      <c r="AH31" s="4">
        <f t="shared" si="2"/>
        <v>43.879999999999995</v>
      </c>
      <c r="AI31" s="4">
        <f t="shared" si="2"/>
        <v>37.099999999999994</v>
      </c>
      <c r="AJ31" s="4">
        <f t="shared" si="2"/>
        <v>38.64</v>
      </c>
      <c r="AK31" s="4">
        <f t="shared" si="3"/>
        <v>41.639999999999993</v>
      </c>
      <c r="AL31" s="5"/>
      <c r="AM31" s="4">
        <v>-0.78</v>
      </c>
      <c r="AN31" s="4">
        <v>-7.56</v>
      </c>
      <c r="AO31" s="4">
        <v>-6.02</v>
      </c>
      <c r="AP31" s="4">
        <v>-3.02</v>
      </c>
    </row>
    <row r="32" spans="1:42" ht="20.100000000000001" customHeight="1" thickBot="1">
      <c r="A32" s="12"/>
      <c r="B32" s="28"/>
      <c r="C32" s="23"/>
      <c r="D32" s="23"/>
      <c r="E32" s="28"/>
      <c r="F32" s="23"/>
      <c r="G32" s="23"/>
      <c r="H32" s="28"/>
      <c r="I32" s="23"/>
      <c r="J32" s="23"/>
      <c r="K32" s="28"/>
      <c r="L32" s="23"/>
      <c r="M32" s="24"/>
      <c r="O32" s="44"/>
      <c r="P32" s="44"/>
      <c r="Q32" s="44"/>
      <c r="R32" s="44"/>
      <c r="S32" s="49"/>
      <c r="AF32" s="1">
        <v>33</v>
      </c>
      <c r="AG32" s="4">
        <f t="shared" si="1"/>
        <v>46.77</v>
      </c>
      <c r="AH32" s="4">
        <f t="shared" si="2"/>
        <v>46</v>
      </c>
      <c r="AI32" s="4">
        <f t="shared" si="2"/>
        <v>39.330000000000005</v>
      </c>
      <c r="AJ32" s="4">
        <f t="shared" si="2"/>
        <v>40.840000000000003</v>
      </c>
      <c r="AK32" s="4">
        <f t="shared" si="3"/>
        <v>43.790000000000006</v>
      </c>
      <c r="AL32" s="5"/>
      <c r="AM32" s="4">
        <v>-0.77</v>
      </c>
      <c r="AN32" s="4">
        <v>-7.44</v>
      </c>
      <c r="AO32" s="4">
        <v>-5.93</v>
      </c>
      <c r="AP32" s="4">
        <v>-2.98</v>
      </c>
    </row>
    <row r="33" spans="1:42" ht="20.100000000000001" customHeight="1" thickTop="1">
      <c r="A33" s="12"/>
      <c r="B33" s="25"/>
      <c r="C33" s="26"/>
      <c r="D33" s="26"/>
      <c r="E33" s="25"/>
      <c r="F33" s="26"/>
      <c r="G33" s="26"/>
      <c r="H33" s="25"/>
      <c r="I33" s="26"/>
      <c r="J33" s="26"/>
      <c r="K33" s="25"/>
      <c r="L33" s="26"/>
      <c r="M33" s="27"/>
      <c r="O33" s="44"/>
      <c r="P33" s="44"/>
      <c r="Q33" s="44"/>
      <c r="R33" s="71"/>
      <c r="S33" s="74"/>
      <c r="T33" s="74"/>
      <c r="U33" s="74"/>
      <c r="AF33" s="1">
        <v>34</v>
      </c>
      <c r="AG33" s="4">
        <f t="shared" si="1"/>
        <v>48.97</v>
      </c>
      <c r="AH33" s="4">
        <f t="shared" si="2"/>
        <v>48.21</v>
      </c>
      <c r="AI33" s="4">
        <f t="shared" si="2"/>
        <v>41.65</v>
      </c>
      <c r="AJ33" s="4">
        <f t="shared" si="2"/>
        <v>43.129999999999995</v>
      </c>
      <c r="AK33" s="4">
        <f t="shared" si="3"/>
        <v>46.03</v>
      </c>
      <c r="AL33" s="5"/>
      <c r="AM33" s="4">
        <v>-0.76000000000000101</v>
      </c>
      <c r="AN33" s="4">
        <v>-7.32</v>
      </c>
      <c r="AO33" s="4">
        <v>-5.84</v>
      </c>
      <c r="AP33" s="4">
        <v>-2.94</v>
      </c>
    </row>
    <row r="34" spans="1:42" ht="28.5" customHeight="1">
      <c r="A34" s="13" t="s">
        <v>14</v>
      </c>
      <c r="B34" s="15">
        <f>O29</f>
        <v>49</v>
      </c>
      <c r="C34" s="36" t="str">
        <f>$C$9</f>
        <v>45˚</v>
      </c>
      <c r="D34" s="54">
        <f>ROUND(INDEX($AG$9:$AK$60,MATCH(B34,$AF$9:$AF$59,0),MATCH(C34,$AG$8:$AK$8,0)),1)</f>
        <v>93.3</v>
      </c>
      <c r="E34" s="15">
        <f>P29</f>
        <v>44</v>
      </c>
      <c r="F34" s="32" t="str">
        <f>$F$9</f>
        <v>+0˚</v>
      </c>
      <c r="G34" s="54">
        <f>ROUND(INDEX($AG$9:$AK$60,MATCH(E34,$AF$9:$AF$59,0),MATCH(F34,$AG$8:$AK$8,0)),1)</f>
        <v>75.099999999999994</v>
      </c>
      <c r="H34" s="15">
        <f>Q29</f>
        <v>49</v>
      </c>
      <c r="I34" s="32" t="str">
        <f>$I$9</f>
        <v>-45˚</v>
      </c>
      <c r="J34" s="54">
        <f>ROUND(INDEX($AG$9:$AK$60,MATCH(H34,$AF$9:$AF$59,0),MATCH(I34,$AG$8:$AK$8,0)),1)</f>
        <v>97.1</v>
      </c>
      <c r="K34" s="15">
        <f>R29</f>
        <v>47</v>
      </c>
      <c r="L34" s="32" t="str">
        <f>$L$9</f>
        <v>+0˚</v>
      </c>
      <c r="M34" s="57">
        <f>ROUND(INDEX($AG$9:$AK$60,MATCH(K34,$AF$9:$AF$59,0),MATCH(L34,$AG$8:$AK$8,0)),1)</f>
        <v>86.8</v>
      </c>
      <c r="O34" s="44"/>
      <c r="P34" s="44"/>
      <c r="Q34" s="44"/>
      <c r="R34" s="74"/>
      <c r="S34" s="74"/>
      <c r="T34" s="74"/>
      <c r="U34" s="74"/>
      <c r="W34" s="15"/>
      <c r="X34" s="55"/>
      <c r="Y34" s="4"/>
      <c r="AF34" s="1">
        <v>35</v>
      </c>
      <c r="AG34" s="4">
        <f t="shared" si="1"/>
        <v>51.28</v>
      </c>
      <c r="AH34" s="4">
        <f t="shared" si="2"/>
        <v>50.53</v>
      </c>
      <c r="AI34" s="4">
        <f t="shared" si="2"/>
        <v>44.08</v>
      </c>
      <c r="AJ34" s="4">
        <f t="shared" si="2"/>
        <v>45.53</v>
      </c>
      <c r="AK34" s="4">
        <f t="shared" si="3"/>
        <v>48.38</v>
      </c>
      <c r="AL34" s="5"/>
      <c r="AM34" s="4">
        <v>-0.750000000000001</v>
      </c>
      <c r="AN34" s="4">
        <v>-7.2</v>
      </c>
      <c r="AO34" s="4">
        <v>-5.75</v>
      </c>
      <c r="AP34" s="4">
        <v>-2.9</v>
      </c>
    </row>
    <row r="35" spans="1:42" ht="30.75" customHeight="1" thickBot="1">
      <c r="A35" s="14" t="s">
        <v>12</v>
      </c>
      <c r="B35" s="139" t="str">
        <f>IF(D34&lt;=50,"CW",IF(D34&lt;=85,"HW",IF(D34&lt;=115,"MW",IF(D34&lt;=145,"SW","F"))))</f>
        <v>MW</v>
      </c>
      <c r="C35" s="139"/>
      <c r="D35" s="140"/>
      <c r="E35" s="139" t="str">
        <f>IF(G34&lt;=50,"CW",IF(G34&lt;=85,"HW",IF(G34&lt;=115,"MW",IF(G34&lt;=145,"SW","F"))))</f>
        <v>HW</v>
      </c>
      <c r="F35" s="139"/>
      <c r="G35" s="140"/>
      <c r="H35" s="139" t="str">
        <f>IF(J34&lt;=50,"CW",IF(J34&lt;=85,"HW",IF(J34&lt;=115,"MW",IF(J34&lt;=145,"SW","F"))))</f>
        <v>MW</v>
      </c>
      <c r="I35" s="139"/>
      <c r="J35" s="140"/>
      <c r="K35" s="139" t="str">
        <f>IF(M34&lt;=50,"CW",IF(M34&lt;=85,"HW",IF(M34&lt;=115,"MW",IF(M34&lt;=145,"SW","F"))))</f>
        <v>MW</v>
      </c>
      <c r="L35" s="139"/>
      <c r="M35" s="141"/>
      <c r="O35" s="44"/>
      <c r="P35" s="44"/>
      <c r="Q35" s="44"/>
      <c r="R35" s="74"/>
      <c r="S35" s="74"/>
      <c r="T35" s="74"/>
      <c r="U35" s="74"/>
      <c r="AF35" s="1">
        <v>36</v>
      </c>
      <c r="AG35" s="4">
        <f t="shared" si="1"/>
        <v>53.7</v>
      </c>
      <c r="AH35" s="4">
        <f t="shared" si="2"/>
        <v>52.96</v>
      </c>
      <c r="AI35" s="4">
        <f t="shared" si="2"/>
        <v>46.620000000000005</v>
      </c>
      <c r="AJ35" s="4">
        <f t="shared" si="2"/>
        <v>48.040000000000006</v>
      </c>
      <c r="AK35" s="4">
        <f t="shared" si="3"/>
        <v>50.84</v>
      </c>
      <c r="AL35" s="5"/>
      <c r="AM35" s="4">
        <v>-0.74000000000000099</v>
      </c>
      <c r="AN35" s="4">
        <v>-7.08</v>
      </c>
      <c r="AO35" s="4">
        <v>-5.66</v>
      </c>
      <c r="AP35" s="4">
        <v>-2.86</v>
      </c>
    </row>
    <row r="36" spans="1:42">
      <c r="A36" s="2" t="s">
        <v>33</v>
      </c>
      <c r="D36" s="1" t="str">
        <f>IF(D34&lt;70,"풍화암",IF(D34&lt;100,"연암",IF(D34&lt;130,"보통암",IF(D34&lt;160,"경암","극경암"))))</f>
        <v>연암</v>
      </c>
      <c r="G36" s="1" t="str">
        <f>IF(G34&lt;70,"풍화암",IF(G34&lt;100,"연암",IF(G34&lt;130,"보통암",IF(G34&lt;160,"경암","극경암"))))</f>
        <v>연암</v>
      </c>
      <c r="J36" s="1" t="str">
        <f>IF(J34&lt;70,"풍화암",IF(J34&lt;100,"연암",IF(J34&lt;130,"보통암",IF(J34&lt;160,"경암","극경암"))))</f>
        <v>연암</v>
      </c>
      <c r="M36" s="1" t="str">
        <f>IF(M34&lt;70,"풍화암",IF(M34&lt;100,"연암",IF(M34&lt;130,"보통암",IF(M34&lt;160,"경암","극경암"))))</f>
        <v>연암</v>
      </c>
      <c r="R36" s="74"/>
      <c r="S36" s="74"/>
      <c r="T36" s="74"/>
      <c r="U36" s="74"/>
      <c r="AF36" s="1">
        <v>37</v>
      </c>
      <c r="AG36" s="4">
        <f t="shared" si="1"/>
        <v>56.23</v>
      </c>
      <c r="AH36" s="4">
        <f t="shared" si="2"/>
        <v>55.499999999999993</v>
      </c>
      <c r="AI36" s="4">
        <f t="shared" si="2"/>
        <v>49.269999999999996</v>
      </c>
      <c r="AJ36" s="4">
        <f t="shared" si="2"/>
        <v>50.66</v>
      </c>
      <c r="AK36" s="4">
        <f t="shared" si="3"/>
        <v>53.41</v>
      </c>
      <c r="AL36" s="5"/>
      <c r="AM36" s="4">
        <v>-0.73000000000000098</v>
      </c>
      <c r="AN36" s="4">
        <v>-6.96</v>
      </c>
      <c r="AO36" s="4">
        <v>-5.57</v>
      </c>
      <c r="AP36" s="4">
        <v>-2.82</v>
      </c>
    </row>
    <row r="37" spans="1:42" ht="13.5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R37" s="74"/>
      <c r="S37" s="74"/>
      <c r="T37" s="74"/>
      <c r="U37" s="74"/>
      <c r="AF37" s="1">
        <v>38</v>
      </c>
      <c r="AG37" s="4">
        <f t="shared" si="1"/>
        <v>58.88</v>
      </c>
      <c r="AH37" s="4">
        <f t="shared" si="2"/>
        <v>58.160000000000004</v>
      </c>
      <c r="AI37" s="4">
        <f t="shared" si="2"/>
        <v>52.040000000000006</v>
      </c>
      <c r="AJ37" s="4">
        <f t="shared" si="2"/>
        <v>53.400000000000006</v>
      </c>
      <c r="AK37" s="4">
        <f t="shared" si="3"/>
        <v>56.1</v>
      </c>
      <c r="AL37" s="5"/>
      <c r="AM37" s="4">
        <v>-0.72000000000000097</v>
      </c>
      <c r="AN37" s="4">
        <v>-6.84</v>
      </c>
      <c r="AO37" s="4">
        <v>-5.48</v>
      </c>
      <c r="AP37" s="4">
        <v>-2.78</v>
      </c>
    </row>
    <row r="38" spans="1:42">
      <c r="A38" s="2"/>
      <c r="AF38" s="1">
        <v>39</v>
      </c>
      <c r="AG38" s="4">
        <f t="shared" si="1"/>
        <v>61.65</v>
      </c>
      <c r="AH38" s="4">
        <f t="shared" si="2"/>
        <v>60.94</v>
      </c>
      <c r="AI38" s="4">
        <f t="shared" si="2"/>
        <v>54.93</v>
      </c>
      <c r="AJ38" s="4">
        <f t="shared" si="2"/>
        <v>56.260000000000005</v>
      </c>
      <c r="AK38" s="4">
        <f t="shared" si="3"/>
        <v>58.91</v>
      </c>
      <c r="AL38" s="5"/>
      <c r="AM38" s="4">
        <v>-0.71000000000000096</v>
      </c>
      <c r="AN38" s="4">
        <v>-6.72</v>
      </c>
      <c r="AO38" s="4">
        <v>-5.3899999999999899</v>
      </c>
      <c r="AP38" s="4">
        <v>-2.74</v>
      </c>
    </row>
    <row r="39" spans="1:42">
      <c r="A39" s="2"/>
      <c r="AF39" s="1">
        <v>40</v>
      </c>
      <c r="AG39" s="4">
        <f t="shared" si="1"/>
        <v>64.56</v>
      </c>
      <c r="AH39" s="4">
        <f t="shared" si="2"/>
        <v>63.86</v>
      </c>
      <c r="AI39" s="4">
        <f t="shared" si="2"/>
        <v>57.96</v>
      </c>
      <c r="AJ39" s="4">
        <f t="shared" si="2"/>
        <v>59.260000000000005</v>
      </c>
      <c r="AK39" s="4">
        <f t="shared" si="3"/>
        <v>61.86</v>
      </c>
      <c r="AL39" s="5"/>
      <c r="AM39" s="43">
        <v>-0.70000000000000095</v>
      </c>
      <c r="AN39" s="43">
        <v>-6.6</v>
      </c>
      <c r="AO39" s="43">
        <v>-5.3</v>
      </c>
      <c r="AP39" s="43">
        <v>-2.7</v>
      </c>
    </row>
    <row r="40" spans="1:42">
      <c r="A40" s="2"/>
      <c r="AF40" s="1">
        <v>41</v>
      </c>
      <c r="AG40" s="4">
        <f t="shared" si="1"/>
        <v>67.599999999999994</v>
      </c>
      <c r="AH40" s="4">
        <f t="shared" si="2"/>
        <v>66.91</v>
      </c>
      <c r="AI40" s="4">
        <f t="shared" si="2"/>
        <v>61.129999999999995</v>
      </c>
      <c r="AJ40" s="4">
        <f t="shared" si="2"/>
        <v>62.399999999999991</v>
      </c>
      <c r="AK40" s="4">
        <f t="shared" si="3"/>
        <v>64.949999999999989</v>
      </c>
      <c r="AL40" s="5"/>
      <c r="AM40" s="4">
        <v>-0.69000000000000095</v>
      </c>
      <c r="AN40" s="4">
        <v>-6.47</v>
      </c>
      <c r="AO40" s="4">
        <v>-5.2</v>
      </c>
      <c r="AP40" s="4">
        <v>-2.65</v>
      </c>
    </row>
    <row r="41" spans="1:42">
      <c r="A41" s="2"/>
      <c r="AF41" s="1">
        <v>42</v>
      </c>
      <c r="AG41" s="43">
        <f t="shared" si="1"/>
        <v>70.790000000000006</v>
      </c>
      <c r="AH41" s="43">
        <f t="shared" ref="AH41:AJ59" si="12">$AG41+AM41</f>
        <v>70.11</v>
      </c>
      <c r="AI41" s="4">
        <f t="shared" si="12"/>
        <v>64.45</v>
      </c>
      <c r="AJ41" s="4">
        <f t="shared" si="12"/>
        <v>65.690000000000012</v>
      </c>
      <c r="AK41" s="4">
        <f t="shared" si="3"/>
        <v>68.190000000000012</v>
      </c>
      <c r="AL41" s="5"/>
      <c r="AM41" s="4">
        <v>-0.68000000000000105</v>
      </c>
      <c r="AN41" s="4">
        <v>-6.34</v>
      </c>
      <c r="AO41" s="4">
        <v>-5.0999999999999996</v>
      </c>
      <c r="AP41" s="4">
        <v>-2.6</v>
      </c>
    </row>
    <row r="42" spans="1:42">
      <c r="A42" s="2"/>
      <c r="AF42" s="1">
        <v>43</v>
      </c>
      <c r="AG42" s="43">
        <f t="shared" si="1"/>
        <v>74.13</v>
      </c>
      <c r="AH42" s="43">
        <f t="shared" si="12"/>
        <v>73.459999999999994</v>
      </c>
      <c r="AI42" s="4">
        <f t="shared" si="12"/>
        <v>67.92</v>
      </c>
      <c r="AJ42" s="4">
        <f t="shared" si="12"/>
        <v>69.13</v>
      </c>
      <c r="AK42" s="43">
        <f t="shared" si="3"/>
        <v>71.58</v>
      </c>
      <c r="AL42" s="5"/>
      <c r="AM42" s="4">
        <v>-0.67000000000000204</v>
      </c>
      <c r="AN42" s="4">
        <v>-6.21</v>
      </c>
      <c r="AO42" s="4">
        <v>-5</v>
      </c>
      <c r="AP42" s="4">
        <v>-2.5499999999999998</v>
      </c>
    </row>
    <row r="43" spans="1:42">
      <c r="A43" s="2"/>
      <c r="AF43" s="1">
        <v>44</v>
      </c>
      <c r="AG43" s="43">
        <f t="shared" si="1"/>
        <v>77.62</v>
      </c>
      <c r="AH43" s="43">
        <f t="shared" si="12"/>
        <v>76.960000000000008</v>
      </c>
      <c r="AI43" s="43">
        <f t="shared" si="12"/>
        <v>71.540000000000006</v>
      </c>
      <c r="AJ43" s="43">
        <f t="shared" si="12"/>
        <v>72.72</v>
      </c>
      <c r="AK43" s="43">
        <f t="shared" si="3"/>
        <v>75.12</v>
      </c>
      <c r="AL43" s="5"/>
      <c r="AM43" s="4">
        <v>-0.66000000000000203</v>
      </c>
      <c r="AN43" s="4">
        <v>-6.08</v>
      </c>
      <c r="AO43" s="4">
        <v>-4.9000000000000004</v>
      </c>
      <c r="AP43" s="4">
        <v>-2.5</v>
      </c>
    </row>
    <row r="44" spans="1:42">
      <c r="A44" s="2"/>
      <c r="AF44" s="1">
        <v>45</v>
      </c>
      <c r="AG44" s="43">
        <f t="shared" si="1"/>
        <v>81.28</v>
      </c>
      <c r="AH44" s="43">
        <f t="shared" si="12"/>
        <v>80.63</v>
      </c>
      <c r="AI44" s="43">
        <f t="shared" si="12"/>
        <v>75.33</v>
      </c>
      <c r="AJ44" s="43">
        <f t="shared" si="12"/>
        <v>76.48</v>
      </c>
      <c r="AK44" s="43">
        <f t="shared" si="3"/>
        <v>78.83</v>
      </c>
      <c r="AL44" s="5"/>
      <c r="AM44" s="4">
        <v>-0.65000000000000202</v>
      </c>
      <c r="AN44" s="4">
        <v>-5.95</v>
      </c>
      <c r="AO44" s="4">
        <v>-4.8</v>
      </c>
      <c r="AP44" s="4">
        <v>-2.4500000000000002</v>
      </c>
    </row>
    <row r="45" spans="1:42">
      <c r="A45" s="2"/>
      <c r="AF45" s="1">
        <v>46</v>
      </c>
      <c r="AG45" s="43">
        <f t="shared" si="1"/>
        <v>85.11</v>
      </c>
      <c r="AH45" s="43">
        <f t="shared" si="12"/>
        <v>84.47</v>
      </c>
      <c r="AI45" s="43">
        <f t="shared" si="12"/>
        <v>79.289999999999992</v>
      </c>
      <c r="AJ45" s="43">
        <f t="shared" si="12"/>
        <v>80.41</v>
      </c>
      <c r="AK45" s="43">
        <f t="shared" si="3"/>
        <v>82.71</v>
      </c>
      <c r="AL45" s="5"/>
      <c r="AM45" s="4">
        <v>-0.64000000000000201</v>
      </c>
      <c r="AN45" s="4">
        <v>-5.82</v>
      </c>
      <c r="AO45" s="4">
        <v>-4.7</v>
      </c>
      <c r="AP45" s="4">
        <v>-2.4</v>
      </c>
    </row>
    <row r="46" spans="1:42" ht="18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AF46" s="1">
        <v>47</v>
      </c>
      <c r="AG46" s="43">
        <f t="shared" si="1"/>
        <v>89.12</v>
      </c>
      <c r="AH46" s="43">
        <f t="shared" si="12"/>
        <v>88.490000000000009</v>
      </c>
      <c r="AI46" s="43">
        <f t="shared" si="12"/>
        <v>83.43</v>
      </c>
      <c r="AJ46" s="43">
        <f t="shared" si="12"/>
        <v>84.52000000000001</v>
      </c>
      <c r="AK46" s="43">
        <f t="shared" si="3"/>
        <v>86.77000000000001</v>
      </c>
      <c r="AL46" s="5"/>
      <c r="AM46" s="4">
        <v>-0.630000000000002</v>
      </c>
      <c r="AN46" s="4">
        <v>-5.69</v>
      </c>
      <c r="AO46" s="4">
        <v>-4.5999999999999996</v>
      </c>
      <c r="AP46" s="4">
        <v>-2.35</v>
      </c>
    </row>
    <row r="47" spans="1:42" ht="18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AF47" s="1">
        <v>48</v>
      </c>
      <c r="AG47" s="43">
        <f t="shared" si="1"/>
        <v>93.32</v>
      </c>
      <c r="AH47" s="43">
        <f t="shared" si="12"/>
        <v>92.699999999999989</v>
      </c>
      <c r="AI47" s="43">
        <f t="shared" si="12"/>
        <v>87.759999999999991</v>
      </c>
      <c r="AJ47" s="43">
        <f t="shared" si="12"/>
        <v>88.82</v>
      </c>
      <c r="AK47" s="43">
        <f t="shared" si="3"/>
        <v>91.02</v>
      </c>
      <c r="AL47" s="5"/>
      <c r="AM47" s="4">
        <v>-0.62000000000000199</v>
      </c>
      <c r="AN47" s="4">
        <v>-5.56</v>
      </c>
      <c r="AO47" s="4">
        <v>-4.5</v>
      </c>
      <c r="AP47" s="4">
        <v>-2.2999999999999998</v>
      </c>
    </row>
    <row r="48" spans="1:42">
      <c r="AF48" s="1">
        <v>49</v>
      </c>
      <c r="AG48" s="43">
        <f t="shared" si="1"/>
        <v>97.72</v>
      </c>
      <c r="AH48" s="43">
        <f t="shared" si="12"/>
        <v>97.11</v>
      </c>
      <c r="AI48" s="43">
        <f t="shared" si="12"/>
        <v>92.289999999999992</v>
      </c>
      <c r="AJ48" s="43">
        <f t="shared" si="12"/>
        <v>93.32</v>
      </c>
      <c r="AK48" s="43">
        <f t="shared" si="3"/>
        <v>95.47</v>
      </c>
      <c r="AL48" s="5"/>
      <c r="AM48" s="4">
        <v>-0.61000000000000199</v>
      </c>
      <c r="AN48" s="4">
        <v>-5.43</v>
      </c>
      <c r="AO48" s="4">
        <v>-4.4000000000000004</v>
      </c>
      <c r="AP48" s="4">
        <v>-2.25</v>
      </c>
    </row>
    <row r="49" spans="1:42">
      <c r="AF49" s="1">
        <v>50</v>
      </c>
      <c r="AG49" s="61">
        <f t="shared" si="1"/>
        <v>102.32</v>
      </c>
      <c r="AH49" s="61">
        <f t="shared" si="12"/>
        <v>101.72</v>
      </c>
      <c r="AI49" s="43">
        <f t="shared" si="12"/>
        <v>97.02</v>
      </c>
      <c r="AJ49" s="43">
        <f t="shared" si="12"/>
        <v>98.02</v>
      </c>
      <c r="AK49" s="61">
        <f t="shared" si="3"/>
        <v>100.11999999999999</v>
      </c>
      <c r="AL49" s="5"/>
      <c r="AM49" s="43">
        <v>-0.6</v>
      </c>
      <c r="AN49" s="43">
        <v>-5.3</v>
      </c>
      <c r="AO49" s="43">
        <v>-4.3</v>
      </c>
      <c r="AP49" s="43">
        <v>-2.2000000000000002</v>
      </c>
    </row>
    <row r="50" spans="1:42">
      <c r="AF50" s="1">
        <v>51</v>
      </c>
      <c r="AG50" s="61">
        <f t="shared" si="1"/>
        <v>107.15</v>
      </c>
      <c r="AH50" s="61">
        <f t="shared" si="12"/>
        <v>106.57000000000001</v>
      </c>
      <c r="AI50" s="61">
        <f t="shared" si="12"/>
        <v>101.98</v>
      </c>
      <c r="AJ50" s="61">
        <f t="shared" si="12"/>
        <v>102.95</v>
      </c>
      <c r="AK50" s="61">
        <f t="shared" si="3"/>
        <v>105</v>
      </c>
      <c r="AL50" s="5"/>
      <c r="AM50" s="4">
        <v>-0.57999999999999996</v>
      </c>
      <c r="AN50" s="4">
        <v>-5.17</v>
      </c>
      <c r="AO50" s="4">
        <v>-4.2</v>
      </c>
      <c r="AP50" s="4">
        <v>-2.15</v>
      </c>
    </row>
    <row r="51" spans="1:42">
      <c r="I51" s="50"/>
      <c r="J51" s="51"/>
      <c r="K51" s="50"/>
      <c r="L51" s="51"/>
      <c r="M51" s="51"/>
      <c r="AF51" s="1">
        <v>52</v>
      </c>
      <c r="AG51" s="61">
        <f t="shared" si="1"/>
        <v>112.2</v>
      </c>
      <c r="AH51" s="61">
        <f t="shared" si="12"/>
        <v>111.64</v>
      </c>
      <c r="AI51" s="61">
        <f t="shared" si="12"/>
        <v>107.16</v>
      </c>
      <c r="AJ51" s="61">
        <f t="shared" si="12"/>
        <v>108.10000000000001</v>
      </c>
      <c r="AK51" s="61">
        <f t="shared" si="3"/>
        <v>110.10000000000001</v>
      </c>
      <c r="AL51" s="5"/>
      <c r="AM51" s="4">
        <v>-0.56000000000000005</v>
      </c>
      <c r="AN51" s="4">
        <v>-5.04</v>
      </c>
      <c r="AO51" s="4">
        <v>-4.0999999999999996</v>
      </c>
      <c r="AP51" s="4">
        <v>-2.1</v>
      </c>
    </row>
    <row r="52" spans="1:42">
      <c r="AF52" s="1">
        <v>53</v>
      </c>
      <c r="AG52" s="61">
        <f t="shared" si="1"/>
        <v>117.48</v>
      </c>
      <c r="AH52" s="61">
        <f t="shared" si="12"/>
        <v>116.94</v>
      </c>
      <c r="AI52" s="61">
        <f t="shared" si="12"/>
        <v>112.57000000000001</v>
      </c>
      <c r="AJ52" s="61">
        <f t="shared" si="12"/>
        <v>113.48</v>
      </c>
      <c r="AK52" s="61">
        <f t="shared" si="3"/>
        <v>115.43</v>
      </c>
      <c r="AL52" s="5"/>
      <c r="AM52" s="4">
        <v>-0.54</v>
      </c>
      <c r="AN52" s="4">
        <v>-4.91</v>
      </c>
      <c r="AO52" s="4">
        <v>-4</v>
      </c>
      <c r="AP52" s="4">
        <v>-2.0499999999999998</v>
      </c>
    </row>
    <row r="53" spans="1:42">
      <c r="AF53" s="1">
        <v>54</v>
      </c>
      <c r="AG53" s="61">
        <f t="shared" si="1"/>
        <v>123.02</v>
      </c>
      <c r="AH53" s="61">
        <f t="shared" si="12"/>
        <v>122.5</v>
      </c>
      <c r="AI53" s="61">
        <f t="shared" si="12"/>
        <v>118.24</v>
      </c>
      <c r="AJ53" s="61">
        <f t="shared" si="12"/>
        <v>119.11999999999999</v>
      </c>
      <c r="AK53" s="61">
        <f t="shared" si="3"/>
        <v>121.02</v>
      </c>
      <c r="AL53" s="5"/>
      <c r="AM53" s="4">
        <v>-0.52</v>
      </c>
      <c r="AN53" s="4">
        <v>-4.78</v>
      </c>
      <c r="AO53" s="4">
        <v>-3.9</v>
      </c>
      <c r="AP53" s="4">
        <v>-2</v>
      </c>
    </row>
    <row r="54" spans="1:42">
      <c r="AF54" s="1">
        <v>55</v>
      </c>
      <c r="AG54" s="61">
        <f t="shared" si="1"/>
        <v>128.82</v>
      </c>
      <c r="AH54" s="61">
        <f t="shared" si="12"/>
        <v>128.32</v>
      </c>
      <c r="AI54" s="61">
        <f t="shared" si="12"/>
        <v>124.16999999999999</v>
      </c>
      <c r="AJ54" s="61">
        <f t="shared" si="12"/>
        <v>125.02</v>
      </c>
      <c r="AK54" s="61">
        <f t="shared" si="3"/>
        <v>126.86999999999999</v>
      </c>
      <c r="AL54" s="5"/>
      <c r="AM54" s="4">
        <v>-0.5</v>
      </c>
      <c r="AN54" s="4">
        <v>-4.6500000000000004</v>
      </c>
      <c r="AO54" s="4">
        <v>-3.8</v>
      </c>
      <c r="AP54" s="4">
        <v>-1.95</v>
      </c>
    </row>
    <row r="55" spans="1:42">
      <c r="N55" s="4" t="s">
        <v>49</v>
      </c>
      <c r="AF55" s="1">
        <v>56</v>
      </c>
      <c r="AG55" s="62">
        <f t="shared" si="1"/>
        <v>134.88999999999999</v>
      </c>
      <c r="AH55" s="62">
        <f t="shared" si="12"/>
        <v>134.41</v>
      </c>
      <c r="AI55" s="62">
        <f t="shared" si="12"/>
        <v>130.36999999999998</v>
      </c>
      <c r="AJ55" s="62">
        <f t="shared" si="12"/>
        <v>131.19</v>
      </c>
      <c r="AK55" s="62">
        <f t="shared" si="3"/>
        <v>132.98999999999998</v>
      </c>
      <c r="AL55" s="5"/>
      <c r="AM55" s="4">
        <v>-0.48</v>
      </c>
      <c r="AN55" s="4">
        <v>-4.5199999999999996</v>
      </c>
      <c r="AO55" s="4">
        <v>-3.7</v>
      </c>
      <c r="AP55" s="4">
        <v>-1.9</v>
      </c>
    </row>
    <row r="56" spans="1:42">
      <c r="F56" s="1" t="s">
        <v>57</v>
      </c>
      <c r="N56" s="4" t="s">
        <v>51</v>
      </c>
      <c r="AF56" s="1">
        <v>57</v>
      </c>
      <c r="AG56" s="62">
        <f t="shared" si="1"/>
        <v>141.25</v>
      </c>
      <c r="AH56" s="62">
        <f t="shared" si="12"/>
        <v>140.79</v>
      </c>
      <c r="AI56" s="62">
        <f t="shared" si="12"/>
        <v>136.86000000000001</v>
      </c>
      <c r="AJ56" s="62">
        <f t="shared" si="12"/>
        <v>137.65</v>
      </c>
      <c r="AK56" s="62">
        <f t="shared" si="3"/>
        <v>139.4</v>
      </c>
      <c r="AL56" s="5"/>
      <c r="AM56" s="4">
        <v>-0.46</v>
      </c>
      <c r="AN56" s="4">
        <v>-4.3899999999999997</v>
      </c>
      <c r="AO56" s="4">
        <v>-3.6</v>
      </c>
      <c r="AP56" s="4">
        <v>-1.85</v>
      </c>
    </row>
    <row r="57" spans="1:42">
      <c r="B57" s="2">
        <v>1</v>
      </c>
      <c r="F57" s="1" t="s">
        <v>30</v>
      </c>
      <c r="G57" s="1" t="s">
        <v>31</v>
      </c>
      <c r="H57" s="1" t="s">
        <v>35</v>
      </c>
      <c r="I57" s="1" t="s">
        <v>32</v>
      </c>
      <c r="AF57" s="1">
        <v>58</v>
      </c>
      <c r="AG57" s="62">
        <f t="shared" si="1"/>
        <v>147.91</v>
      </c>
      <c r="AH57" s="62">
        <f t="shared" si="12"/>
        <v>147.47</v>
      </c>
      <c r="AI57" s="62">
        <f t="shared" si="12"/>
        <v>143.65</v>
      </c>
      <c r="AJ57" s="62">
        <f t="shared" si="12"/>
        <v>144.41</v>
      </c>
      <c r="AK57" s="62">
        <f t="shared" si="3"/>
        <v>146.10999999999999</v>
      </c>
      <c r="AL57" s="5"/>
      <c r="AM57" s="4">
        <v>-0.44</v>
      </c>
      <c r="AN57" s="4">
        <v>-4.26</v>
      </c>
      <c r="AO57" s="4">
        <v>-3.5</v>
      </c>
      <c r="AP57" s="4">
        <v>-1.8</v>
      </c>
    </row>
    <row r="58" spans="1:42" ht="20.25">
      <c r="A58" s="60">
        <v>1</v>
      </c>
      <c r="B58" s="38">
        <f>B9</f>
        <v>52</v>
      </c>
      <c r="C58" s="39">
        <f>B10</f>
        <v>36</v>
      </c>
      <c r="D58" s="39">
        <f>B11</f>
        <v>30</v>
      </c>
      <c r="E58" s="39">
        <f>B12</f>
        <v>52</v>
      </c>
      <c r="F58" s="40" t="str">
        <f>IF(U1="좌",IF(C34="-90˚","↓",IF(C34="-45˚","↙",IF(C34="+0˚","←",IF(C34="45˚","↖",IF(C34="90˚","↑","?"))))),IF(C34="-90˚","↓",IF(C34="-45˚","↘",IF(C34="+0˚","→",IF(C34="45˚","↗",IF(C34="90˚","↑","?"))))))</f>
        <v>↖</v>
      </c>
      <c r="G58" s="41">
        <f>B34</f>
        <v>49</v>
      </c>
      <c r="H58" s="1">
        <f>$P$5</f>
        <v>25</v>
      </c>
      <c r="I58" s="59">
        <f>D34</f>
        <v>93.3</v>
      </c>
      <c r="J58" s="1" t="str">
        <f>D36</f>
        <v>연암</v>
      </c>
      <c r="AF58" s="1">
        <v>59</v>
      </c>
      <c r="AG58" s="62">
        <f t="shared" si="1"/>
        <v>154.88</v>
      </c>
      <c r="AH58" s="62">
        <f t="shared" si="12"/>
        <v>154.46</v>
      </c>
      <c r="AI58" s="62">
        <f t="shared" si="12"/>
        <v>150.75</v>
      </c>
      <c r="AJ58" s="62">
        <f t="shared" si="12"/>
        <v>151.47999999999999</v>
      </c>
      <c r="AK58" s="62">
        <f t="shared" si="3"/>
        <v>153.13</v>
      </c>
      <c r="AL58" s="5"/>
      <c r="AM58" s="4">
        <v>-0.42</v>
      </c>
      <c r="AN58" s="4">
        <v>-4.13</v>
      </c>
      <c r="AO58" s="4">
        <v>-3.4</v>
      </c>
      <c r="AP58" s="4">
        <v>-1.75</v>
      </c>
    </row>
    <row r="59" spans="1:42">
      <c r="B59" s="38">
        <f>B13</f>
        <v>32</v>
      </c>
      <c r="C59" s="39">
        <f>B14</f>
        <v>44</v>
      </c>
      <c r="D59" s="39">
        <f>B15</f>
        <v>40</v>
      </c>
      <c r="E59" s="39">
        <f>B16</f>
        <v>46</v>
      </c>
      <c r="AF59" s="1">
        <v>60</v>
      </c>
      <c r="AG59" s="4">
        <f t="shared" si="1"/>
        <v>162.18</v>
      </c>
      <c r="AH59" s="4">
        <f t="shared" si="12"/>
        <v>161.78</v>
      </c>
      <c r="AI59" s="62">
        <f t="shared" si="12"/>
        <v>158.18</v>
      </c>
      <c r="AJ59" s="62">
        <f t="shared" si="12"/>
        <v>158.88</v>
      </c>
      <c r="AK59" s="44">
        <f t="shared" si="3"/>
        <v>160.48000000000002</v>
      </c>
      <c r="AL59" s="5"/>
      <c r="AM59" s="43">
        <v>-0.4</v>
      </c>
      <c r="AN59" s="43">
        <v>-4</v>
      </c>
      <c r="AO59" s="43">
        <v>-3.3</v>
      </c>
      <c r="AP59" s="43">
        <v>-1.7</v>
      </c>
    </row>
    <row r="60" spans="1:42">
      <c r="B60" s="38">
        <f>B17</f>
        <v>49</v>
      </c>
      <c r="C60" s="39">
        <f>B18</f>
        <v>50</v>
      </c>
      <c r="D60" s="39">
        <f>B19</f>
        <v>50</v>
      </c>
      <c r="E60" s="39">
        <f>B20</f>
        <v>31</v>
      </c>
    </row>
    <row r="61" spans="1:42">
      <c r="B61" s="38">
        <f>B21</f>
        <v>32</v>
      </c>
      <c r="C61" s="39">
        <f>B22</f>
        <v>49</v>
      </c>
      <c r="D61" s="39">
        <f>B23</f>
        <v>40</v>
      </c>
      <c r="E61" s="39">
        <f>B24</f>
        <v>51</v>
      </c>
    </row>
    <row r="62" spans="1:42">
      <c r="B62" s="38">
        <f>B25</f>
        <v>26</v>
      </c>
      <c r="C62" s="39">
        <f>B26</f>
        <v>44</v>
      </c>
      <c r="D62" s="39">
        <f>B27</f>
        <v>35</v>
      </c>
      <c r="E62" s="39">
        <f>B28</f>
        <v>49</v>
      </c>
      <c r="O62" s="45"/>
    </row>
    <row r="63" spans="1:42" ht="20.25">
      <c r="A63" s="60">
        <v>2</v>
      </c>
      <c r="B63" s="38">
        <f>E9</f>
        <v>45</v>
      </c>
      <c r="C63" s="39">
        <f>E10</f>
        <v>46</v>
      </c>
      <c r="D63" s="39">
        <f>E11</f>
        <v>39</v>
      </c>
      <c r="E63" s="39">
        <f>E12</f>
        <v>41</v>
      </c>
      <c r="F63" s="40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41">
        <f>E34</f>
        <v>44</v>
      </c>
      <c r="H63" s="1">
        <f>$P$5</f>
        <v>25</v>
      </c>
      <c r="I63" s="59">
        <f>G34</f>
        <v>75.099999999999994</v>
      </c>
      <c r="J63" s="1" t="str">
        <f>G36</f>
        <v>연암</v>
      </c>
    </row>
    <row r="64" spans="1:42">
      <c r="B64" s="38">
        <f>E13</f>
        <v>36</v>
      </c>
      <c r="C64" s="39">
        <f>E14</f>
        <v>39</v>
      </c>
      <c r="D64" s="39">
        <f>E15</f>
        <v>41</v>
      </c>
      <c r="E64" s="39">
        <f>E16</f>
        <v>43</v>
      </c>
    </row>
    <row r="65" spans="1:10">
      <c r="B65" s="38">
        <f>E17</f>
        <v>41</v>
      </c>
      <c r="C65" s="39">
        <f>E18</f>
        <v>39</v>
      </c>
      <c r="D65" s="39">
        <f>E19</f>
        <v>39</v>
      </c>
      <c r="E65" s="39">
        <f>E20</f>
        <v>44</v>
      </c>
    </row>
    <row r="66" spans="1:10">
      <c r="B66" s="38">
        <f>E21</f>
        <v>50</v>
      </c>
      <c r="C66" s="39">
        <f>E22</f>
        <v>44</v>
      </c>
      <c r="D66" s="39">
        <f>E23</f>
        <v>43</v>
      </c>
      <c r="E66" s="39">
        <f>E24</f>
        <v>39</v>
      </c>
    </row>
    <row r="67" spans="1:10">
      <c r="B67" s="38">
        <f>E25</f>
        <v>41</v>
      </c>
      <c r="C67" s="39">
        <f>E26</f>
        <v>43</v>
      </c>
      <c r="D67" s="39">
        <f>E27</f>
        <v>41</v>
      </c>
      <c r="E67" s="39">
        <f>E28</f>
        <v>39</v>
      </c>
    </row>
    <row r="68" spans="1:10" ht="20.25">
      <c r="A68" s="60">
        <v>3</v>
      </c>
      <c r="B68" s="38">
        <f>H9</f>
        <v>42</v>
      </c>
      <c r="C68" s="39">
        <f>H10</f>
        <v>31</v>
      </c>
      <c r="D68" s="39">
        <f>H11</f>
        <v>44</v>
      </c>
      <c r="E68" s="39">
        <f>H12</f>
        <v>46</v>
      </c>
      <c r="F68" s="40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41">
        <f>H34</f>
        <v>49</v>
      </c>
      <c r="H68" s="1">
        <f>$P$5</f>
        <v>25</v>
      </c>
      <c r="I68" s="59">
        <f>J34</f>
        <v>97.1</v>
      </c>
      <c r="J68" s="1" t="str">
        <f>J36</f>
        <v>연암</v>
      </c>
    </row>
    <row r="69" spans="1:10">
      <c r="B69" s="38">
        <f>H13</f>
        <v>45</v>
      </c>
      <c r="C69" s="39">
        <f>H14</f>
        <v>42</v>
      </c>
      <c r="D69" s="39">
        <f>H15</f>
        <v>34</v>
      </c>
      <c r="E69" s="39">
        <f>H16</f>
        <v>51</v>
      </c>
    </row>
    <row r="70" spans="1:10">
      <c r="B70" s="38">
        <f>H17</f>
        <v>45</v>
      </c>
      <c r="C70" s="39">
        <f>H18</f>
        <v>50</v>
      </c>
      <c r="D70" s="39">
        <f>H19</f>
        <v>50</v>
      </c>
      <c r="E70" s="39">
        <f>H20</f>
        <v>49</v>
      </c>
    </row>
    <row r="71" spans="1:10">
      <c r="B71" s="38">
        <f>H21</f>
        <v>36</v>
      </c>
      <c r="C71" s="39">
        <f>H22</f>
        <v>50</v>
      </c>
      <c r="D71" s="39">
        <f>H23</f>
        <v>55</v>
      </c>
      <c r="E71" s="39">
        <f>H24</f>
        <v>46</v>
      </c>
    </row>
    <row r="72" spans="1:10">
      <c r="B72" s="38">
        <f>H25</f>
        <v>40</v>
      </c>
      <c r="C72" s="39">
        <f>H26</f>
        <v>38</v>
      </c>
      <c r="D72" s="39">
        <f>H27</f>
        <v>49</v>
      </c>
      <c r="E72" s="39">
        <f>H28</f>
        <v>46</v>
      </c>
    </row>
    <row r="73" spans="1:10" ht="20.25">
      <c r="A73" s="60">
        <v>4</v>
      </c>
      <c r="B73" s="38">
        <f>K9</f>
        <v>48</v>
      </c>
      <c r="C73" s="39">
        <f>K10</f>
        <v>58</v>
      </c>
      <c r="D73" s="39">
        <f>K11</f>
        <v>20</v>
      </c>
      <c r="E73" s="39">
        <f>K12</f>
        <v>31</v>
      </c>
      <c r="F73" s="40" t="str">
        <f>IF(U4="좌",IF(L34="-90˚","↓",IF(L34="-45˚","↙",IF(L34="+0˚","←",IF(L34="45˚","↖",IF(L34="90˚","↑","?"))))),IF(L34="-90˚","↓",IF(L34="-45˚","↘",IF(L34="+0˚","→",IF(L34="45˚","↗",IF(L34="90˚","↑","?"))))))</f>
        <v>←</v>
      </c>
      <c r="G73" s="41">
        <f>K34</f>
        <v>47</v>
      </c>
      <c r="H73" s="1">
        <f>$P$5</f>
        <v>25</v>
      </c>
      <c r="I73" s="59">
        <f>M34</f>
        <v>86.8</v>
      </c>
      <c r="J73" s="1" t="str">
        <f>M36</f>
        <v>연암</v>
      </c>
    </row>
    <row r="74" spans="1:10">
      <c r="B74" s="38">
        <f>K13</f>
        <v>41</v>
      </c>
      <c r="C74" s="39">
        <f>K14</f>
        <v>37</v>
      </c>
      <c r="D74" s="39">
        <f>K15</f>
        <v>21</v>
      </c>
      <c r="E74" s="39">
        <f>K16</f>
        <v>35</v>
      </c>
    </row>
    <row r="75" spans="1:10">
      <c r="B75" s="38">
        <f>K17</f>
        <v>36</v>
      </c>
      <c r="C75" s="39">
        <f>K18</f>
        <v>31</v>
      </c>
      <c r="D75" s="39">
        <f>K19</f>
        <v>34</v>
      </c>
      <c r="E75" s="39">
        <f>K20</f>
        <v>38</v>
      </c>
    </row>
    <row r="76" spans="1:10">
      <c r="B76" s="38">
        <f>K21</f>
        <v>21</v>
      </c>
      <c r="C76" s="39">
        <f>K22</f>
        <v>28</v>
      </c>
      <c r="D76" s="39">
        <f>K23</f>
        <v>60</v>
      </c>
      <c r="E76" s="39">
        <f>K24</f>
        <v>54</v>
      </c>
    </row>
    <row r="77" spans="1:10">
      <c r="B77" s="38">
        <f>K25</f>
        <v>36</v>
      </c>
      <c r="C77" s="39">
        <f>K26</f>
        <v>36</v>
      </c>
      <c r="D77" s="39">
        <f>K27</f>
        <v>58</v>
      </c>
      <c r="E77" s="39">
        <f>K28</f>
        <v>30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C9 I9 F9 L9" xr:uid="{A21CD7BC-1334-4C9B-99E1-685701878CDD}">
      <formula1>$AG$8:$AK$8</formula1>
    </dataValidation>
    <dataValidation type="list" allowBlank="1" showInputMessage="1" showErrorMessage="1" sqref="U1:U4" xr:uid="{CFB1F450-17DF-423F-AEEE-901E5CA3A6E0}">
      <formula1>$N$55:$N$56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07F-72D2-4001-A0CC-ADB0A898DB8A}">
  <sheetPr codeName="Sheet4"/>
  <dimension ref="A1:AP77"/>
  <sheetViews>
    <sheetView topLeftCell="A31" zoomScale="85" zoomScaleNormal="85" zoomScaleSheetLayoutView="85" workbookViewId="0">
      <selection activeCell="F74" sqref="F74"/>
    </sheetView>
  </sheetViews>
  <sheetFormatPr defaultColWidth="8.88671875" defaultRowHeight="12"/>
  <cols>
    <col min="1" max="1" width="12.44140625" style="80" customWidth="1"/>
    <col min="2" max="3" width="4.77734375" style="80" customWidth="1"/>
    <col min="4" max="4" width="7.77734375" style="80" customWidth="1"/>
    <col min="5" max="6" width="4.77734375" style="80" customWidth="1"/>
    <col min="7" max="7" width="7.77734375" style="80" customWidth="1"/>
    <col min="8" max="9" width="4.77734375" style="80" customWidth="1"/>
    <col min="10" max="10" width="7.77734375" style="80" customWidth="1"/>
    <col min="11" max="12" width="4.77734375" style="80" customWidth="1"/>
    <col min="13" max="13" width="7.77734375" style="80" customWidth="1"/>
    <col min="14" max="18" width="6.77734375" style="80" customWidth="1"/>
    <col min="19" max="19" width="6.77734375" style="79" customWidth="1"/>
    <col min="20" max="23" width="6.77734375" style="80" customWidth="1"/>
    <col min="24" max="43" width="8.88671875" style="80" customWidth="1"/>
    <col min="44" max="16384" width="8.88671875" style="80"/>
  </cols>
  <sheetData>
    <row r="1" spans="1:42">
      <c r="A1" s="164" t="s">
        <v>15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6"/>
      <c r="S1" s="80">
        <v>1</v>
      </c>
      <c r="T1" s="80" t="s">
        <v>47</v>
      </c>
      <c r="U1" s="127" t="s">
        <v>48</v>
      </c>
      <c r="V1" s="78" t="s">
        <v>68</v>
      </c>
      <c r="W1" s="80" t="s">
        <v>60</v>
      </c>
      <c r="X1" s="80" t="s">
        <v>71</v>
      </c>
      <c r="Y1" s="80" t="s">
        <v>64</v>
      </c>
      <c r="Z1" s="80" t="s">
        <v>73</v>
      </c>
    </row>
    <row r="2" spans="1:42">
      <c r="A2" s="167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9"/>
      <c r="S2" s="80">
        <v>2</v>
      </c>
      <c r="T2" s="80" t="s">
        <v>47</v>
      </c>
      <c r="U2" s="127" t="s">
        <v>48</v>
      </c>
      <c r="W2" s="80" t="s">
        <v>62</v>
      </c>
      <c r="X2" s="80" t="s">
        <v>69</v>
      </c>
      <c r="Y2" s="80" t="s">
        <v>65</v>
      </c>
      <c r="Z2" s="80" t="s">
        <v>74</v>
      </c>
    </row>
    <row r="3" spans="1:42" ht="12.75" customHeight="1">
      <c r="A3" s="170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2"/>
      <c r="N3" s="173"/>
      <c r="O3" s="174"/>
      <c r="P3" s="173"/>
      <c r="Q3" s="174"/>
      <c r="R3" s="87"/>
      <c r="S3" s="80">
        <v>3</v>
      </c>
      <c r="T3" s="80" t="s">
        <v>47</v>
      </c>
      <c r="U3" s="127" t="s">
        <v>48</v>
      </c>
      <c r="V3" s="126" t="s">
        <v>78</v>
      </c>
      <c r="W3" s="80" t="s">
        <v>61</v>
      </c>
      <c r="X3" s="80" t="s">
        <v>70</v>
      </c>
      <c r="Y3" s="80" t="s">
        <v>66</v>
      </c>
      <c r="Z3" s="80" t="s">
        <v>75</v>
      </c>
    </row>
    <row r="4" spans="1:42" ht="21" customHeight="1">
      <c r="A4" s="175" t="str">
        <f>'A-B'!$A$4</f>
        <v>* 사면명 : 39. 중부내륙선 232.430k(창원)</v>
      </c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7"/>
      <c r="N4" s="87"/>
      <c r="O4" s="88"/>
      <c r="P4" s="88"/>
      <c r="Q4" s="88"/>
      <c r="R4" s="88"/>
      <c r="S4" s="80">
        <v>4</v>
      </c>
      <c r="T4" s="80" t="s">
        <v>47</v>
      </c>
      <c r="U4" s="127" t="s">
        <v>48</v>
      </c>
      <c r="V4" s="88">
        <v>58</v>
      </c>
      <c r="W4" s="82" t="s">
        <v>63</v>
      </c>
      <c r="X4" s="82" t="s">
        <v>72</v>
      </c>
      <c r="Y4" s="89" t="s">
        <v>67</v>
      </c>
      <c r="Z4" s="90" t="s">
        <v>76</v>
      </c>
      <c r="AA4" s="90"/>
      <c r="AB4" s="90"/>
      <c r="AC4" s="90"/>
      <c r="AD4" s="90"/>
    </row>
    <row r="5" spans="1:42" ht="21" customHeight="1">
      <c r="A5" s="161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3"/>
      <c r="N5" s="91"/>
      <c r="O5" s="80" t="s">
        <v>35</v>
      </c>
      <c r="P5" s="127">
        <v>25</v>
      </c>
      <c r="Q5" s="87" t="s">
        <v>36</v>
      </c>
      <c r="R5" s="82"/>
      <c r="S5" s="92"/>
      <c r="T5" s="82"/>
      <c r="U5" s="82"/>
      <c r="V5" s="82"/>
      <c r="W5" s="82"/>
      <c r="X5" s="82"/>
      <c r="Y5" s="82"/>
      <c r="Z5" s="82"/>
      <c r="AA5" s="91"/>
      <c r="AB5" s="79"/>
      <c r="AC5" s="91"/>
    </row>
    <row r="6" spans="1:42" ht="15" customHeight="1" thickBot="1">
      <c r="A6" s="128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30"/>
      <c r="N6" s="91"/>
      <c r="O6" s="82"/>
      <c r="P6" s="82"/>
      <c r="Q6" s="82"/>
      <c r="R6" s="82"/>
      <c r="S6" s="92"/>
      <c r="T6" s="82"/>
      <c r="U6" s="82"/>
      <c r="V6" s="82"/>
      <c r="W6" s="82"/>
      <c r="X6" s="82"/>
      <c r="Y6" s="82"/>
      <c r="Z6" s="82"/>
      <c r="AA6" s="91"/>
      <c r="AB6" s="79"/>
      <c r="AC6" s="91"/>
    </row>
    <row r="7" spans="1:42" ht="20.100000000000001" customHeight="1">
      <c r="A7" s="93" t="s">
        <v>13</v>
      </c>
      <c r="B7" s="178" t="s">
        <v>83</v>
      </c>
      <c r="C7" s="178"/>
      <c r="D7" s="179"/>
      <c r="E7" s="178" t="s">
        <v>92</v>
      </c>
      <c r="F7" s="178"/>
      <c r="G7" s="179"/>
      <c r="H7" s="178" t="s">
        <v>93</v>
      </c>
      <c r="I7" s="178"/>
      <c r="J7" s="179"/>
      <c r="K7" s="178"/>
      <c r="L7" s="178"/>
      <c r="M7" s="179"/>
      <c r="N7" s="91"/>
      <c r="O7" s="82" t="s">
        <v>44</v>
      </c>
      <c r="P7" s="82"/>
      <c r="Q7" s="82"/>
      <c r="R7" s="82"/>
      <c r="S7" s="92"/>
      <c r="V7" s="80" t="s">
        <v>45</v>
      </c>
      <c r="AL7" s="79"/>
    </row>
    <row r="8" spans="1:42" ht="39.75" customHeight="1" thickBot="1">
      <c r="A8" s="136" t="s">
        <v>17</v>
      </c>
      <c r="B8" s="131" t="s">
        <v>10</v>
      </c>
      <c r="C8" s="132" t="s">
        <v>16</v>
      </c>
      <c r="D8" s="133" t="s">
        <v>114</v>
      </c>
      <c r="E8" s="134" t="s">
        <v>10</v>
      </c>
      <c r="F8" s="132" t="s">
        <v>16</v>
      </c>
      <c r="G8" s="133" t="s">
        <v>114</v>
      </c>
      <c r="H8" s="134" t="s">
        <v>10</v>
      </c>
      <c r="I8" s="132" t="s">
        <v>16</v>
      </c>
      <c r="J8" s="133" t="s">
        <v>114</v>
      </c>
      <c r="K8" s="134" t="s">
        <v>10</v>
      </c>
      <c r="L8" s="132" t="s">
        <v>16</v>
      </c>
      <c r="M8" s="135" t="s">
        <v>114</v>
      </c>
      <c r="N8" s="91"/>
      <c r="O8" s="94" t="s">
        <v>37</v>
      </c>
      <c r="P8" s="94" t="s">
        <v>38</v>
      </c>
      <c r="Q8" s="94" t="s">
        <v>39</v>
      </c>
      <c r="R8" s="94" t="s">
        <v>40</v>
      </c>
      <c r="S8" s="92"/>
      <c r="V8" s="82" t="s">
        <v>37</v>
      </c>
      <c r="W8" s="82" t="s">
        <v>38</v>
      </c>
      <c r="X8" s="82" t="s">
        <v>39</v>
      </c>
      <c r="Y8" s="82" t="s">
        <v>40</v>
      </c>
      <c r="AA8" s="82" t="s">
        <v>37</v>
      </c>
      <c r="AB8" s="82" t="s">
        <v>38</v>
      </c>
      <c r="AC8" s="82" t="s">
        <v>39</v>
      </c>
      <c r="AD8" s="82" t="s">
        <v>40</v>
      </c>
      <c r="AG8" s="95" t="s">
        <v>28</v>
      </c>
      <c r="AH8" s="96" t="s">
        <v>27</v>
      </c>
      <c r="AI8" s="95" t="s">
        <v>42</v>
      </c>
      <c r="AJ8" s="96" t="s">
        <v>43</v>
      </c>
      <c r="AK8" s="96" t="s">
        <v>29</v>
      </c>
      <c r="AL8" s="79"/>
      <c r="AM8" s="80">
        <v>-45</v>
      </c>
      <c r="AN8" s="80">
        <v>90</v>
      </c>
      <c r="AO8" s="80">
        <v>45</v>
      </c>
      <c r="AP8" s="80">
        <v>0</v>
      </c>
    </row>
    <row r="9" spans="1:42" ht="20.100000000000001" customHeight="1" thickTop="1">
      <c r="A9" s="97" t="s">
        <v>11</v>
      </c>
      <c r="B9" s="98">
        <v>41</v>
      </c>
      <c r="C9" s="99" t="s">
        <v>77</v>
      </c>
      <c r="D9" s="100"/>
      <c r="E9" s="98">
        <v>21</v>
      </c>
      <c r="F9" s="99" t="s">
        <v>29</v>
      </c>
      <c r="G9" s="101"/>
      <c r="H9" s="98">
        <v>39</v>
      </c>
      <c r="I9" s="99" t="s">
        <v>27</v>
      </c>
      <c r="J9" s="101"/>
      <c r="K9" s="98"/>
      <c r="L9" s="102"/>
      <c r="M9" s="103"/>
      <c r="N9" s="91"/>
      <c r="O9" s="94">
        <f t="shared" ref="O9:R28" si="0">IF(AA9="","",ROUND(AA9,0))</f>
        <v>41</v>
      </c>
      <c r="P9" s="94" t="str">
        <f t="shared" si="0"/>
        <v/>
      </c>
      <c r="Q9" s="94">
        <f t="shared" si="0"/>
        <v>39</v>
      </c>
      <c r="R9" s="94" t="str">
        <f t="shared" si="0"/>
        <v/>
      </c>
      <c r="S9" s="92"/>
      <c r="T9" s="104"/>
      <c r="V9" s="105">
        <f>B9-0.02</f>
        <v>40.98</v>
      </c>
      <c r="W9" s="105">
        <f>E9-0.02</f>
        <v>20.98</v>
      </c>
      <c r="X9" s="105">
        <f>H9-0.02</f>
        <v>38.979999999999997</v>
      </c>
      <c r="Y9" s="105">
        <f>K9-0.02</f>
        <v>-0.02</v>
      </c>
      <c r="AA9" s="82">
        <f>IF(V9&gt;=LARGE($V$9:$V$28,10),V9,"")</f>
        <v>40.98</v>
      </c>
      <c r="AB9" s="82" t="str">
        <f>IF(W9&gt;=LARGE($W$9:$W$28,10),W9,"")</f>
        <v/>
      </c>
      <c r="AC9" s="82">
        <f>IF(X9&gt;=LARGE($X$9:$X$28,10),X9,"")</f>
        <v>38.979999999999997</v>
      </c>
      <c r="AD9" s="82" t="str">
        <f>IF(Y9&gt;=LARGE($Y$9:$Y$28,10),Y9,"")</f>
        <v/>
      </c>
      <c r="AF9" s="80">
        <v>10</v>
      </c>
      <c r="AG9" s="80">
        <f t="shared" ref="AG9:AG59" si="1">ROUNDDOWN(10^(0.0008*$P$5*$AF9+1.01),2)</f>
        <v>16.21</v>
      </c>
      <c r="AH9" s="80">
        <f t="shared" ref="AH9:AJ40" si="2">$AG9+AM9</f>
        <v>15.41</v>
      </c>
      <c r="AI9" s="80" t="s">
        <v>34</v>
      </c>
      <c r="AJ9" s="80" t="s">
        <v>34</v>
      </c>
      <c r="AK9" s="80">
        <f t="shared" ref="AK9:AK59" si="3">$AG9+AP9</f>
        <v>13.010000000000002</v>
      </c>
      <c r="AL9" s="79"/>
      <c r="AM9" s="80">
        <v>-0.8</v>
      </c>
      <c r="AN9" s="80" t="s">
        <v>34</v>
      </c>
      <c r="AO9" s="80" t="s">
        <v>34</v>
      </c>
      <c r="AP9" s="80">
        <v>-3.2</v>
      </c>
    </row>
    <row r="10" spans="1:42" ht="20.100000000000001" customHeight="1">
      <c r="A10" s="106" t="s">
        <v>0</v>
      </c>
      <c r="B10" s="107">
        <v>35</v>
      </c>
      <c r="C10" s="108" t="str">
        <f>$C$9</f>
        <v>+0˚</v>
      </c>
      <c r="D10" s="109"/>
      <c r="E10" s="107">
        <v>48</v>
      </c>
      <c r="F10" s="108" t="str">
        <f>$F$9</f>
        <v>+0˚</v>
      </c>
      <c r="G10" s="110"/>
      <c r="H10" s="107">
        <v>42</v>
      </c>
      <c r="I10" s="108" t="str">
        <f>$I$9</f>
        <v>-45˚</v>
      </c>
      <c r="J10" s="110"/>
      <c r="K10" s="107"/>
      <c r="L10" s="108"/>
      <c r="M10" s="111"/>
      <c r="N10" s="91"/>
      <c r="O10" s="94" t="str">
        <f t="shared" si="0"/>
        <v/>
      </c>
      <c r="P10" s="94">
        <f t="shared" si="0"/>
        <v>48</v>
      </c>
      <c r="Q10" s="94">
        <f t="shared" si="0"/>
        <v>42</v>
      </c>
      <c r="R10" s="94" t="str">
        <f t="shared" si="0"/>
        <v/>
      </c>
      <c r="S10" s="92"/>
      <c r="T10" s="104"/>
      <c r="V10" s="105">
        <f>B10-0.019</f>
        <v>34.981000000000002</v>
      </c>
      <c r="W10" s="105">
        <f>E10-0.019</f>
        <v>47.981000000000002</v>
      </c>
      <c r="X10" s="105">
        <f>H10-0.019</f>
        <v>41.981000000000002</v>
      </c>
      <c r="Y10" s="105">
        <f>K10-0.019</f>
        <v>-1.9E-2</v>
      </c>
      <c r="AA10" s="82" t="str">
        <f t="shared" ref="AA10:AA29" si="4">IF(V10&gt;=LARGE($V$9:$V$28,10),V10,"")</f>
        <v/>
      </c>
      <c r="AB10" s="82">
        <f t="shared" ref="AB10:AB30" si="5">IF(W10&gt;=LARGE($W$9:$W$28,10),W10,"")</f>
        <v>47.981000000000002</v>
      </c>
      <c r="AC10" s="82">
        <f t="shared" ref="AC10:AC29" si="6">IF(X10&gt;=LARGE($X$9:$X$28,10),X10,"")</f>
        <v>41.981000000000002</v>
      </c>
      <c r="AD10" s="82" t="str">
        <f t="shared" ref="AD10:AD28" si="7">IF(Y10&gt;=LARGE($Y$9:$Y$28,10),Y10,"")</f>
        <v/>
      </c>
      <c r="AF10" s="80">
        <v>11</v>
      </c>
      <c r="AG10" s="80">
        <f t="shared" si="1"/>
        <v>16.98</v>
      </c>
      <c r="AH10" s="80">
        <f t="shared" si="2"/>
        <v>16.170000000000002</v>
      </c>
      <c r="AI10" s="80" t="s">
        <v>34</v>
      </c>
      <c r="AJ10" s="80" t="s">
        <v>34</v>
      </c>
      <c r="AK10" s="80">
        <f t="shared" si="3"/>
        <v>13.76</v>
      </c>
      <c r="AL10" s="79"/>
      <c r="AM10" s="80">
        <v>-0.81</v>
      </c>
      <c r="AN10" s="80" t="s">
        <v>34</v>
      </c>
      <c r="AO10" s="80" t="s">
        <v>34</v>
      </c>
      <c r="AP10" s="80">
        <v>-3.22</v>
      </c>
    </row>
    <row r="11" spans="1:42" ht="20.100000000000001" customHeight="1">
      <c r="A11" s="106" t="s">
        <v>1</v>
      </c>
      <c r="B11" s="107">
        <v>41</v>
      </c>
      <c r="C11" s="108" t="str">
        <f t="shared" ref="C11:C28" si="8">$C$9</f>
        <v>+0˚</v>
      </c>
      <c r="D11" s="109"/>
      <c r="E11" s="107">
        <v>30</v>
      </c>
      <c r="F11" s="108" t="str">
        <f t="shared" ref="F11:F28" si="9">$F$9</f>
        <v>+0˚</v>
      </c>
      <c r="G11" s="110"/>
      <c r="H11" s="107">
        <v>32</v>
      </c>
      <c r="I11" s="108" t="str">
        <f t="shared" ref="I11:I28" si="10">$I$9</f>
        <v>-45˚</v>
      </c>
      <c r="J11" s="110"/>
      <c r="K11" s="107"/>
      <c r="L11" s="108"/>
      <c r="M11" s="111"/>
      <c r="N11" s="91"/>
      <c r="O11" s="94">
        <f t="shared" si="0"/>
        <v>41</v>
      </c>
      <c r="P11" s="94" t="str">
        <f t="shared" si="0"/>
        <v/>
      </c>
      <c r="Q11" s="94" t="str">
        <f t="shared" si="0"/>
        <v/>
      </c>
      <c r="R11" s="94" t="str">
        <f t="shared" si="0"/>
        <v/>
      </c>
      <c r="S11" s="92"/>
      <c r="T11" s="104"/>
      <c r="V11" s="105">
        <f>B11-0.018</f>
        <v>40.981999999999999</v>
      </c>
      <c r="W11" s="105">
        <f>E11-0.018</f>
        <v>29.981999999999999</v>
      </c>
      <c r="X11" s="105">
        <f>H11-0.018</f>
        <v>31.981999999999999</v>
      </c>
      <c r="Y11" s="105">
        <f>K11-0.018</f>
        <v>-1.7999999999999999E-2</v>
      </c>
      <c r="AA11" s="82">
        <f t="shared" si="4"/>
        <v>40.981999999999999</v>
      </c>
      <c r="AB11" s="82" t="str">
        <f t="shared" si="5"/>
        <v/>
      </c>
      <c r="AC11" s="82" t="str">
        <f t="shared" si="6"/>
        <v/>
      </c>
      <c r="AD11" s="82" t="str">
        <f t="shared" si="7"/>
        <v/>
      </c>
      <c r="AF11" s="80">
        <v>12</v>
      </c>
      <c r="AG11" s="80">
        <f t="shared" si="1"/>
        <v>17.78</v>
      </c>
      <c r="AH11" s="80">
        <f t="shared" si="2"/>
        <v>16.96</v>
      </c>
      <c r="AI11" s="80" t="s">
        <v>34</v>
      </c>
      <c r="AJ11" s="80" t="s">
        <v>34</v>
      </c>
      <c r="AK11" s="80">
        <f t="shared" si="3"/>
        <v>14.540000000000001</v>
      </c>
      <c r="AL11" s="79"/>
      <c r="AM11" s="80">
        <v>-0.82</v>
      </c>
      <c r="AN11" s="80" t="s">
        <v>34</v>
      </c>
      <c r="AO11" s="80" t="s">
        <v>34</v>
      </c>
      <c r="AP11" s="80">
        <v>-3.24</v>
      </c>
    </row>
    <row r="12" spans="1:42" ht="20.100000000000001" customHeight="1">
      <c r="A12" s="106" t="s">
        <v>2</v>
      </c>
      <c r="B12" s="107">
        <v>38</v>
      </c>
      <c r="C12" s="108" t="str">
        <f t="shared" si="8"/>
        <v>+0˚</v>
      </c>
      <c r="D12" s="109"/>
      <c r="E12" s="107">
        <v>65</v>
      </c>
      <c r="F12" s="108" t="str">
        <f t="shared" si="9"/>
        <v>+0˚</v>
      </c>
      <c r="G12" s="110"/>
      <c r="H12" s="107">
        <v>33</v>
      </c>
      <c r="I12" s="108" t="str">
        <f t="shared" si="10"/>
        <v>-45˚</v>
      </c>
      <c r="J12" s="110"/>
      <c r="K12" s="107"/>
      <c r="L12" s="108"/>
      <c r="M12" s="111"/>
      <c r="N12" s="91"/>
      <c r="O12" s="94" t="str">
        <f t="shared" si="0"/>
        <v/>
      </c>
      <c r="P12" s="94">
        <f t="shared" si="0"/>
        <v>65</v>
      </c>
      <c r="Q12" s="94" t="str">
        <f t="shared" si="0"/>
        <v/>
      </c>
      <c r="R12" s="94" t="str">
        <f t="shared" si="0"/>
        <v/>
      </c>
      <c r="S12" s="92"/>
      <c r="T12" s="104"/>
      <c r="V12" s="105">
        <f>B12-0.0117</f>
        <v>37.988300000000002</v>
      </c>
      <c r="W12" s="105">
        <f>E12-0.0117</f>
        <v>64.988299999999995</v>
      </c>
      <c r="X12" s="105">
        <f>H12-0.0117</f>
        <v>32.988300000000002</v>
      </c>
      <c r="Y12" s="105">
        <f>K12-0.0117</f>
        <v>-1.17E-2</v>
      </c>
      <c r="AA12" s="82" t="str">
        <f t="shared" si="4"/>
        <v/>
      </c>
      <c r="AB12" s="82">
        <f t="shared" si="5"/>
        <v>64.988299999999995</v>
      </c>
      <c r="AC12" s="82" t="str">
        <f t="shared" si="6"/>
        <v/>
      </c>
      <c r="AD12" s="82" t="str">
        <f t="shared" si="7"/>
        <v/>
      </c>
      <c r="AF12" s="80">
        <v>13</v>
      </c>
      <c r="AG12" s="80">
        <f t="shared" si="1"/>
        <v>18.62</v>
      </c>
      <c r="AH12" s="80">
        <f t="shared" si="2"/>
        <v>17.790000000000003</v>
      </c>
      <c r="AI12" s="80" t="s">
        <v>34</v>
      </c>
      <c r="AJ12" s="80" t="s">
        <v>34</v>
      </c>
      <c r="AK12" s="80">
        <f t="shared" si="3"/>
        <v>15.360000000000001</v>
      </c>
      <c r="AL12" s="79"/>
      <c r="AM12" s="80">
        <v>-0.83</v>
      </c>
      <c r="AN12" s="80" t="s">
        <v>34</v>
      </c>
      <c r="AO12" s="80" t="s">
        <v>34</v>
      </c>
      <c r="AP12" s="80">
        <v>-3.26</v>
      </c>
    </row>
    <row r="13" spans="1:42" ht="20.100000000000001" customHeight="1">
      <c r="A13" s="106" t="s">
        <v>3</v>
      </c>
      <c r="B13" s="107">
        <v>31</v>
      </c>
      <c r="C13" s="108" t="str">
        <f t="shared" si="8"/>
        <v>+0˚</v>
      </c>
      <c r="D13" s="109"/>
      <c r="E13" s="107">
        <v>24</v>
      </c>
      <c r="F13" s="108" t="str">
        <f t="shared" si="9"/>
        <v>+0˚</v>
      </c>
      <c r="G13" s="110"/>
      <c r="H13" s="107">
        <v>42</v>
      </c>
      <c r="I13" s="108" t="str">
        <f t="shared" si="10"/>
        <v>-45˚</v>
      </c>
      <c r="J13" s="110"/>
      <c r="K13" s="107"/>
      <c r="L13" s="108"/>
      <c r="M13" s="111"/>
      <c r="N13" s="91"/>
      <c r="O13" s="94" t="str">
        <f t="shared" si="0"/>
        <v/>
      </c>
      <c r="P13" s="94" t="str">
        <f t="shared" si="0"/>
        <v/>
      </c>
      <c r="Q13" s="94">
        <f t="shared" si="0"/>
        <v>42</v>
      </c>
      <c r="R13" s="94" t="str">
        <f t="shared" si="0"/>
        <v/>
      </c>
      <c r="S13" s="92"/>
      <c r="T13" s="104"/>
      <c r="V13" s="105">
        <f>B13-0.016</f>
        <v>30.984000000000002</v>
      </c>
      <c r="W13" s="105">
        <f>E13-0.016</f>
        <v>23.984000000000002</v>
      </c>
      <c r="X13" s="105">
        <f>H13-0.016</f>
        <v>41.984000000000002</v>
      </c>
      <c r="Y13" s="105">
        <f>K13-0.016</f>
        <v>-1.6E-2</v>
      </c>
      <c r="AA13" s="82" t="str">
        <f t="shared" si="4"/>
        <v/>
      </c>
      <c r="AB13" s="82" t="str">
        <f t="shared" si="5"/>
        <v/>
      </c>
      <c r="AC13" s="82">
        <f t="shared" si="6"/>
        <v>41.984000000000002</v>
      </c>
      <c r="AD13" s="82" t="str">
        <f t="shared" si="7"/>
        <v/>
      </c>
      <c r="AF13" s="80">
        <v>14</v>
      </c>
      <c r="AG13" s="80">
        <f t="shared" si="1"/>
        <v>19.489999999999998</v>
      </c>
      <c r="AH13" s="80">
        <f t="shared" si="2"/>
        <v>18.649999999999999</v>
      </c>
      <c r="AI13" s="80" t="s">
        <v>34</v>
      </c>
      <c r="AJ13" s="80" t="s">
        <v>34</v>
      </c>
      <c r="AK13" s="80">
        <f t="shared" si="3"/>
        <v>16.209999999999997</v>
      </c>
      <c r="AL13" s="79"/>
      <c r="AM13" s="80">
        <v>-0.84</v>
      </c>
      <c r="AN13" s="80" t="s">
        <v>34</v>
      </c>
      <c r="AO13" s="80" t="s">
        <v>34</v>
      </c>
      <c r="AP13" s="80">
        <v>-3.28</v>
      </c>
    </row>
    <row r="14" spans="1:42" ht="20.100000000000001" customHeight="1">
      <c r="A14" s="106" t="s">
        <v>4</v>
      </c>
      <c r="B14" s="107">
        <v>41</v>
      </c>
      <c r="C14" s="108" t="str">
        <f t="shared" si="8"/>
        <v>+0˚</v>
      </c>
      <c r="D14" s="109"/>
      <c r="E14" s="107">
        <v>30</v>
      </c>
      <c r="F14" s="108" t="str">
        <f t="shared" si="9"/>
        <v>+0˚</v>
      </c>
      <c r="G14" s="110"/>
      <c r="H14" s="107">
        <v>34</v>
      </c>
      <c r="I14" s="108" t="str">
        <f t="shared" si="10"/>
        <v>-45˚</v>
      </c>
      <c r="J14" s="110"/>
      <c r="K14" s="107"/>
      <c r="L14" s="108"/>
      <c r="M14" s="111"/>
      <c r="N14" s="91"/>
      <c r="O14" s="94">
        <f t="shared" si="0"/>
        <v>41</v>
      </c>
      <c r="P14" s="94" t="str">
        <f t="shared" si="0"/>
        <v/>
      </c>
      <c r="Q14" s="94" t="str">
        <f t="shared" si="0"/>
        <v/>
      </c>
      <c r="R14" s="94" t="str">
        <f t="shared" si="0"/>
        <v/>
      </c>
      <c r="S14" s="92"/>
      <c r="T14" s="104"/>
      <c r="V14" s="105">
        <f>B14-0.015</f>
        <v>40.984999999999999</v>
      </c>
      <c r="W14" s="105">
        <f>E14-0.015</f>
        <v>29.984999999999999</v>
      </c>
      <c r="X14" s="105">
        <f>H14-0.015</f>
        <v>33.984999999999999</v>
      </c>
      <c r="Y14" s="105">
        <f>K14-0.015</f>
        <v>-1.4999999999999999E-2</v>
      </c>
      <c r="AA14" s="82">
        <f t="shared" si="4"/>
        <v>40.984999999999999</v>
      </c>
      <c r="AB14" s="82" t="str">
        <f t="shared" si="5"/>
        <v/>
      </c>
      <c r="AC14" s="82" t="str">
        <f t="shared" si="6"/>
        <v/>
      </c>
      <c r="AD14" s="82" t="str">
        <f t="shared" si="7"/>
        <v/>
      </c>
      <c r="AF14" s="80">
        <v>15</v>
      </c>
      <c r="AG14" s="80">
        <f t="shared" si="1"/>
        <v>20.41</v>
      </c>
      <c r="AH14" s="80">
        <f t="shared" si="2"/>
        <v>19.559999999999999</v>
      </c>
      <c r="AI14" s="80" t="s">
        <v>34</v>
      </c>
      <c r="AJ14" s="80" t="s">
        <v>34</v>
      </c>
      <c r="AK14" s="80">
        <f t="shared" si="3"/>
        <v>17.11</v>
      </c>
      <c r="AL14" s="79"/>
      <c r="AM14" s="80">
        <v>-0.85</v>
      </c>
      <c r="AN14" s="80" t="s">
        <v>34</v>
      </c>
      <c r="AO14" s="80" t="s">
        <v>34</v>
      </c>
      <c r="AP14" s="80">
        <v>-3.3</v>
      </c>
    </row>
    <row r="15" spans="1:42" ht="20.100000000000001" customHeight="1">
      <c r="A15" s="106" t="s">
        <v>5</v>
      </c>
      <c r="B15" s="107">
        <v>34</v>
      </c>
      <c r="C15" s="108" t="str">
        <f t="shared" si="8"/>
        <v>+0˚</v>
      </c>
      <c r="D15" s="109"/>
      <c r="E15" s="107">
        <v>59</v>
      </c>
      <c r="F15" s="108" t="str">
        <f t="shared" si="9"/>
        <v>+0˚</v>
      </c>
      <c r="G15" s="110"/>
      <c r="H15" s="107">
        <v>32</v>
      </c>
      <c r="I15" s="108" t="str">
        <f t="shared" si="10"/>
        <v>-45˚</v>
      </c>
      <c r="J15" s="110"/>
      <c r="K15" s="107"/>
      <c r="L15" s="108"/>
      <c r="M15" s="111"/>
      <c r="O15" s="94" t="str">
        <f t="shared" si="0"/>
        <v/>
      </c>
      <c r="P15" s="94">
        <f t="shared" si="0"/>
        <v>59</v>
      </c>
      <c r="Q15" s="94" t="str">
        <f t="shared" si="0"/>
        <v/>
      </c>
      <c r="R15" s="94" t="str">
        <f t="shared" si="0"/>
        <v/>
      </c>
      <c r="S15" s="92"/>
      <c r="T15" s="104"/>
      <c r="V15" s="105">
        <f>B15-0.014</f>
        <v>33.985999999999997</v>
      </c>
      <c r="W15" s="105">
        <f>E15-0.014</f>
        <v>58.985999999999997</v>
      </c>
      <c r="X15" s="105">
        <f>H15-0.014</f>
        <v>31.986000000000001</v>
      </c>
      <c r="Y15" s="105">
        <f>K15-0.014</f>
        <v>-1.4E-2</v>
      </c>
      <c r="AA15" s="82" t="str">
        <f t="shared" si="4"/>
        <v/>
      </c>
      <c r="AB15" s="82">
        <f t="shared" si="5"/>
        <v>58.985999999999997</v>
      </c>
      <c r="AC15" s="82" t="str">
        <f t="shared" si="6"/>
        <v/>
      </c>
      <c r="AD15" s="82" t="str">
        <f t="shared" si="7"/>
        <v/>
      </c>
      <c r="AF15" s="80">
        <v>16</v>
      </c>
      <c r="AG15" s="80">
        <f t="shared" si="1"/>
        <v>21.37</v>
      </c>
      <c r="AH15" s="80">
        <f t="shared" si="2"/>
        <v>20.51</v>
      </c>
      <c r="AI15" s="80" t="s">
        <v>34</v>
      </c>
      <c r="AJ15" s="80" t="s">
        <v>34</v>
      </c>
      <c r="AK15" s="80">
        <f t="shared" si="3"/>
        <v>18.05</v>
      </c>
      <c r="AL15" s="79"/>
      <c r="AM15" s="80">
        <v>-0.86</v>
      </c>
      <c r="AN15" s="80" t="s">
        <v>34</v>
      </c>
      <c r="AO15" s="80" t="s">
        <v>34</v>
      </c>
      <c r="AP15" s="80">
        <v>-3.32</v>
      </c>
    </row>
    <row r="16" spans="1:42" ht="20.100000000000001" customHeight="1">
      <c r="A16" s="106" t="s">
        <v>6</v>
      </c>
      <c r="B16" s="107">
        <v>37</v>
      </c>
      <c r="C16" s="108" t="str">
        <f t="shared" si="8"/>
        <v>+0˚</v>
      </c>
      <c r="D16" s="109"/>
      <c r="E16" s="107">
        <v>44</v>
      </c>
      <c r="F16" s="108" t="str">
        <f t="shared" si="9"/>
        <v>+0˚</v>
      </c>
      <c r="G16" s="110"/>
      <c r="H16" s="107">
        <v>45</v>
      </c>
      <c r="I16" s="108" t="str">
        <f t="shared" si="10"/>
        <v>-45˚</v>
      </c>
      <c r="J16" s="110"/>
      <c r="K16" s="107"/>
      <c r="L16" s="108"/>
      <c r="M16" s="111"/>
      <c r="O16" s="94" t="str">
        <f t="shared" si="0"/>
        <v/>
      </c>
      <c r="P16" s="94">
        <f t="shared" si="0"/>
        <v>44</v>
      </c>
      <c r="Q16" s="94">
        <f t="shared" si="0"/>
        <v>45</v>
      </c>
      <c r="R16" s="94" t="str">
        <f t="shared" si="0"/>
        <v/>
      </c>
      <c r="S16" s="92"/>
      <c r="T16" s="104"/>
      <c r="V16" s="105">
        <f>B16-0.013</f>
        <v>36.987000000000002</v>
      </c>
      <c r="W16" s="105">
        <f>E16-0.013</f>
        <v>43.987000000000002</v>
      </c>
      <c r="X16" s="105">
        <f>H16-0.013</f>
        <v>44.987000000000002</v>
      </c>
      <c r="Y16" s="105">
        <f>K16-0.013</f>
        <v>-1.2999999999999999E-2</v>
      </c>
      <c r="AA16" s="82" t="str">
        <f t="shared" si="4"/>
        <v/>
      </c>
      <c r="AB16" s="82">
        <f t="shared" si="5"/>
        <v>43.987000000000002</v>
      </c>
      <c r="AC16" s="82">
        <f t="shared" si="6"/>
        <v>44.987000000000002</v>
      </c>
      <c r="AD16" s="82" t="str">
        <f t="shared" si="7"/>
        <v/>
      </c>
      <c r="AF16" s="80">
        <v>17</v>
      </c>
      <c r="AG16" s="80">
        <f t="shared" si="1"/>
        <v>22.38</v>
      </c>
      <c r="AH16" s="80">
        <f t="shared" si="2"/>
        <v>21.509999999999998</v>
      </c>
      <c r="AI16" s="80" t="s">
        <v>34</v>
      </c>
      <c r="AJ16" s="80" t="s">
        <v>34</v>
      </c>
      <c r="AK16" s="80">
        <f t="shared" si="3"/>
        <v>19.04</v>
      </c>
      <c r="AL16" s="79"/>
      <c r="AM16" s="80">
        <v>-0.87</v>
      </c>
      <c r="AN16" s="80" t="s">
        <v>34</v>
      </c>
      <c r="AO16" s="80" t="s">
        <v>34</v>
      </c>
      <c r="AP16" s="80">
        <v>-3.34</v>
      </c>
    </row>
    <row r="17" spans="1:42" ht="20.100000000000001" customHeight="1">
      <c r="A17" s="106" t="s">
        <v>7</v>
      </c>
      <c r="B17" s="107">
        <v>43</v>
      </c>
      <c r="C17" s="108" t="str">
        <f t="shared" si="8"/>
        <v>+0˚</v>
      </c>
      <c r="D17" s="109"/>
      <c r="E17" s="107">
        <v>36</v>
      </c>
      <c r="F17" s="108" t="str">
        <f t="shared" si="9"/>
        <v>+0˚</v>
      </c>
      <c r="G17" s="110"/>
      <c r="H17" s="107">
        <v>38</v>
      </c>
      <c r="I17" s="108" t="str">
        <f t="shared" si="10"/>
        <v>-45˚</v>
      </c>
      <c r="J17" s="110"/>
      <c r="K17" s="107"/>
      <c r="L17" s="108"/>
      <c r="M17" s="111"/>
      <c r="O17" s="94">
        <f t="shared" si="0"/>
        <v>43</v>
      </c>
      <c r="P17" s="94">
        <f t="shared" si="0"/>
        <v>36</v>
      </c>
      <c r="Q17" s="94" t="str">
        <f t="shared" si="0"/>
        <v/>
      </c>
      <c r="R17" s="94" t="str">
        <f t="shared" si="0"/>
        <v/>
      </c>
      <c r="S17" s="92"/>
      <c r="T17" s="104"/>
      <c r="V17" s="105">
        <f>B17-0.012</f>
        <v>42.988</v>
      </c>
      <c r="W17" s="105">
        <f>E17-0.012</f>
        <v>35.988</v>
      </c>
      <c r="X17" s="105">
        <f>H17-0.012</f>
        <v>37.988</v>
      </c>
      <c r="Y17" s="105">
        <f>K17-0.012</f>
        <v>-1.2E-2</v>
      </c>
      <c r="AA17" s="82">
        <f t="shared" si="4"/>
        <v>42.988</v>
      </c>
      <c r="AB17" s="82">
        <f t="shared" si="5"/>
        <v>35.988</v>
      </c>
      <c r="AC17" s="82" t="str">
        <f t="shared" si="6"/>
        <v/>
      </c>
      <c r="AD17" s="82" t="str">
        <f t="shared" si="7"/>
        <v/>
      </c>
      <c r="AF17" s="80">
        <v>18</v>
      </c>
      <c r="AG17" s="80">
        <f t="shared" si="1"/>
        <v>23.44</v>
      </c>
      <c r="AH17" s="80">
        <f t="shared" si="2"/>
        <v>22.560000000000002</v>
      </c>
      <c r="AI17" s="80" t="s">
        <v>34</v>
      </c>
      <c r="AJ17" s="80" t="s">
        <v>34</v>
      </c>
      <c r="AK17" s="80">
        <f t="shared" si="3"/>
        <v>20.080000000000002</v>
      </c>
      <c r="AL17" s="79"/>
      <c r="AM17" s="80">
        <v>-0.88</v>
      </c>
      <c r="AN17" s="80" t="s">
        <v>34</v>
      </c>
      <c r="AO17" s="80" t="s">
        <v>34</v>
      </c>
      <c r="AP17" s="80">
        <v>-3.36</v>
      </c>
    </row>
    <row r="18" spans="1:42" ht="20.100000000000001" customHeight="1">
      <c r="A18" s="106" t="s">
        <v>8</v>
      </c>
      <c r="B18" s="107">
        <v>45</v>
      </c>
      <c r="C18" s="108" t="str">
        <f t="shared" si="8"/>
        <v>+0˚</v>
      </c>
      <c r="D18" s="109"/>
      <c r="E18" s="107">
        <v>35</v>
      </c>
      <c r="F18" s="108" t="str">
        <f t="shared" si="9"/>
        <v>+0˚</v>
      </c>
      <c r="G18" s="110"/>
      <c r="H18" s="107">
        <v>39</v>
      </c>
      <c r="I18" s="108" t="str">
        <f t="shared" si="10"/>
        <v>-45˚</v>
      </c>
      <c r="J18" s="110"/>
      <c r="K18" s="107"/>
      <c r="L18" s="108"/>
      <c r="M18" s="111"/>
      <c r="O18" s="94">
        <f t="shared" si="0"/>
        <v>45</v>
      </c>
      <c r="P18" s="94" t="str">
        <f t="shared" si="0"/>
        <v/>
      </c>
      <c r="Q18" s="94">
        <f t="shared" si="0"/>
        <v>39</v>
      </c>
      <c r="R18" s="94" t="str">
        <f t="shared" si="0"/>
        <v/>
      </c>
      <c r="S18" s="92"/>
      <c r="T18" s="104"/>
      <c r="V18" s="105">
        <f>B18-0.011</f>
        <v>44.988999999999997</v>
      </c>
      <c r="W18" s="105">
        <f>E18-0.011</f>
        <v>34.988999999999997</v>
      </c>
      <c r="X18" s="105">
        <f>H18-0.011</f>
        <v>38.988999999999997</v>
      </c>
      <c r="Y18" s="105">
        <f>K18-0.011</f>
        <v>-1.0999999999999999E-2</v>
      </c>
      <c r="AA18" s="82">
        <f t="shared" si="4"/>
        <v>44.988999999999997</v>
      </c>
      <c r="AB18" s="82" t="str">
        <f t="shared" si="5"/>
        <v/>
      </c>
      <c r="AC18" s="82">
        <f t="shared" si="6"/>
        <v>38.988999999999997</v>
      </c>
      <c r="AD18" s="82" t="str">
        <f t="shared" si="7"/>
        <v/>
      </c>
      <c r="AF18" s="80">
        <v>19</v>
      </c>
      <c r="AG18" s="80">
        <f t="shared" si="1"/>
        <v>24.54</v>
      </c>
      <c r="AH18" s="80">
        <f t="shared" si="2"/>
        <v>23.65</v>
      </c>
      <c r="AI18" s="80" t="s">
        <v>34</v>
      </c>
      <c r="AJ18" s="80" t="s">
        <v>34</v>
      </c>
      <c r="AK18" s="80">
        <f t="shared" si="3"/>
        <v>21.16</v>
      </c>
      <c r="AL18" s="79"/>
      <c r="AM18" s="80">
        <v>-0.89</v>
      </c>
      <c r="AN18" s="80" t="s">
        <v>34</v>
      </c>
      <c r="AO18" s="80" t="s">
        <v>34</v>
      </c>
      <c r="AP18" s="80">
        <v>-3.38</v>
      </c>
    </row>
    <row r="19" spans="1:42" ht="20.100000000000001" customHeight="1">
      <c r="A19" s="106" t="s">
        <v>9</v>
      </c>
      <c r="B19" s="107">
        <v>40</v>
      </c>
      <c r="C19" s="108" t="str">
        <f t="shared" si="8"/>
        <v>+0˚</v>
      </c>
      <c r="D19" s="109"/>
      <c r="E19" s="107">
        <v>29</v>
      </c>
      <c r="F19" s="108" t="str">
        <f t="shared" si="9"/>
        <v>+0˚</v>
      </c>
      <c r="G19" s="110"/>
      <c r="H19" s="107">
        <v>48</v>
      </c>
      <c r="I19" s="108" t="str">
        <f t="shared" si="10"/>
        <v>-45˚</v>
      </c>
      <c r="J19" s="110"/>
      <c r="K19" s="107"/>
      <c r="L19" s="108"/>
      <c r="M19" s="111"/>
      <c r="O19" s="94" t="str">
        <f t="shared" si="0"/>
        <v/>
      </c>
      <c r="P19" s="94" t="str">
        <f t="shared" si="0"/>
        <v/>
      </c>
      <c r="Q19" s="94">
        <f t="shared" si="0"/>
        <v>48</v>
      </c>
      <c r="R19" s="94">
        <f t="shared" si="0"/>
        <v>0</v>
      </c>
      <c r="S19" s="92"/>
      <c r="T19" s="104"/>
      <c r="V19" s="105">
        <f>B19-0.01</f>
        <v>39.99</v>
      </c>
      <c r="W19" s="105">
        <f>E19-0.01</f>
        <v>28.99</v>
      </c>
      <c r="X19" s="105">
        <f>H19-0.01</f>
        <v>47.99</v>
      </c>
      <c r="Y19" s="105">
        <f>K19-0.01</f>
        <v>-0.01</v>
      </c>
      <c r="AA19" s="82" t="str">
        <f t="shared" si="4"/>
        <v/>
      </c>
      <c r="AB19" s="82" t="str">
        <f t="shared" si="5"/>
        <v/>
      </c>
      <c r="AC19" s="82">
        <f t="shared" si="6"/>
        <v>47.99</v>
      </c>
      <c r="AD19" s="82">
        <f t="shared" si="7"/>
        <v>-0.01</v>
      </c>
      <c r="AF19" s="80">
        <v>20</v>
      </c>
      <c r="AG19" s="80">
        <f t="shared" si="1"/>
        <v>25.7</v>
      </c>
      <c r="AH19" s="80">
        <f t="shared" si="2"/>
        <v>24.8</v>
      </c>
      <c r="AI19" s="80">
        <f t="shared" si="2"/>
        <v>16.899999999999999</v>
      </c>
      <c r="AJ19" s="80">
        <f t="shared" si="2"/>
        <v>18.799999999999997</v>
      </c>
      <c r="AK19" s="80">
        <f t="shared" si="3"/>
        <v>22.3</v>
      </c>
      <c r="AL19" s="79"/>
      <c r="AM19" s="104">
        <v>-0.9</v>
      </c>
      <c r="AN19" s="104">
        <v>-8.8000000000000007</v>
      </c>
      <c r="AO19" s="104">
        <v>-6.9</v>
      </c>
      <c r="AP19" s="104">
        <v>-3.4</v>
      </c>
    </row>
    <row r="20" spans="1:42" ht="20.100000000000001" customHeight="1">
      <c r="A20" s="106" t="s">
        <v>18</v>
      </c>
      <c r="B20" s="107">
        <v>44</v>
      </c>
      <c r="C20" s="108" t="str">
        <f t="shared" si="8"/>
        <v>+0˚</v>
      </c>
      <c r="D20" s="109"/>
      <c r="E20" s="107">
        <v>36</v>
      </c>
      <c r="F20" s="108" t="str">
        <f t="shared" si="9"/>
        <v>+0˚</v>
      </c>
      <c r="G20" s="110"/>
      <c r="H20" s="107">
        <v>34</v>
      </c>
      <c r="I20" s="108" t="str">
        <f t="shared" si="10"/>
        <v>-45˚</v>
      </c>
      <c r="J20" s="110"/>
      <c r="K20" s="107"/>
      <c r="L20" s="108"/>
      <c r="M20" s="111"/>
      <c r="O20" s="94">
        <f t="shared" si="0"/>
        <v>44</v>
      </c>
      <c r="P20" s="94">
        <f t="shared" si="0"/>
        <v>36</v>
      </c>
      <c r="Q20" s="94" t="str">
        <f t="shared" si="0"/>
        <v/>
      </c>
      <c r="R20" s="94">
        <f t="shared" si="0"/>
        <v>0</v>
      </c>
      <c r="S20" s="92"/>
      <c r="T20" s="104"/>
      <c r="V20" s="105">
        <f>B20-0.009</f>
        <v>43.991</v>
      </c>
      <c r="W20" s="105">
        <f>E20-0.009</f>
        <v>35.991</v>
      </c>
      <c r="X20" s="105">
        <f>H20-0.009</f>
        <v>33.991</v>
      </c>
      <c r="Y20" s="105">
        <f>K20-0.009</f>
        <v>-8.9999999999999993E-3</v>
      </c>
      <c r="AA20" s="82">
        <f t="shared" si="4"/>
        <v>43.991</v>
      </c>
      <c r="AB20" s="82">
        <f t="shared" si="5"/>
        <v>35.991</v>
      </c>
      <c r="AC20" s="82" t="str">
        <f t="shared" si="6"/>
        <v/>
      </c>
      <c r="AD20" s="82">
        <f t="shared" si="7"/>
        <v>-8.9999999999999993E-3</v>
      </c>
      <c r="AF20" s="80">
        <v>21</v>
      </c>
      <c r="AG20" s="80">
        <f t="shared" si="1"/>
        <v>26.91</v>
      </c>
      <c r="AH20" s="80">
        <f t="shared" si="2"/>
        <v>26.02</v>
      </c>
      <c r="AI20" s="80">
        <f t="shared" si="2"/>
        <v>18.21</v>
      </c>
      <c r="AJ20" s="80">
        <f t="shared" si="2"/>
        <v>20.079999999999998</v>
      </c>
      <c r="AK20" s="80">
        <f t="shared" si="3"/>
        <v>23.54</v>
      </c>
      <c r="AL20" s="79"/>
      <c r="AM20" s="80">
        <v>-0.89</v>
      </c>
      <c r="AN20" s="80">
        <v>-8.6999999999999993</v>
      </c>
      <c r="AO20" s="80">
        <v>-6.83</v>
      </c>
      <c r="AP20" s="80">
        <v>-3.37</v>
      </c>
    </row>
    <row r="21" spans="1:42" ht="20.100000000000001" customHeight="1">
      <c r="A21" s="106" t="s">
        <v>19</v>
      </c>
      <c r="B21" s="107">
        <v>45</v>
      </c>
      <c r="C21" s="108" t="str">
        <f t="shared" si="8"/>
        <v>+0˚</v>
      </c>
      <c r="D21" s="109"/>
      <c r="E21" s="107">
        <v>25</v>
      </c>
      <c r="F21" s="108" t="str">
        <f t="shared" si="9"/>
        <v>+0˚</v>
      </c>
      <c r="G21" s="110"/>
      <c r="H21" s="107">
        <v>49</v>
      </c>
      <c r="I21" s="108" t="str">
        <f t="shared" si="10"/>
        <v>-45˚</v>
      </c>
      <c r="J21" s="110"/>
      <c r="K21" s="107"/>
      <c r="L21" s="108"/>
      <c r="M21" s="111"/>
      <c r="O21" s="94">
        <f t="shared" si="0"/>
        <v>45</v>
      </c>
      <c r="P21" s="94" t="str">
        <f t="shared" si="0"/>
        <v/>
      </c>
      <c r="Q21" s="94">
        <f t="shared" si="0"/>
        <v>49</v>
      </c>
      <c r="R21" s="94">
        <f t="shared" si="0"/>
        <v>0</v>
      </c>
      <c r="S21" s="92"/>
      <c r="T21" s="104"/>
      <c r="V21" s="105">
        <f>B21-0.008</f>
        <v>44.991999999999997</v>
      </c>
      <c r="W21" s="105">
        <f>E21-0.008</f>
        <v>24.992000000000001</v>
      </c>
      <c r="X21" s="105">
        <f>H21-0.008</f>
        <v>48.991999999999997</v>
      </c>
      <c r="Y21" s="105">
        <f>K21-0.008</f>
        <v>-8.0000000000000002E-3</v>
      </c>
      <c r="AA21" s="82">
        <f t="shared" si="4"/>
        <v>44.991999999999997</v>
      </c>
      <c r="AB21" s="82" t="str">
        <f t="shared" si="5"/>
        <v/>
      </c>
      <c r="AC21" s="82">
        <f t="shared" si="6"/>
        <v>48.991999999999997</v>
      </c>
      <c r="AD21" s="82">
        <f t="shared" si="7"/>
        <v>-8.0000000000000002E-3</v>
      </c>
      <c r="AF21" s="80">
        <v>22</v>
      </c>
      <c r="AG21" s="80">
        <f t="shared" si="1"/>
        <v>28.18</v>
      </c>
      <c r="AH21" s="80">
        <f t="shared" si="2"/>
        <v>27.3</v>
      </c>
      <c r="AI21" s="80">
        <f t="shared" si="2"/>
        <v>19.579999999999998</v>
      </c>
      <c r="AJ21" s="80">
        <f t="shared" si="2"/>
        <v>21.42</v>
      </c>
      <c r="AK21" s="80">
        <f t="shared" si="3"/>
        <v>24.84</v>
      </c>
      <c r="AL21" s="79"/>
      <c r="AM21" s="80">
        <v>-0.88</v>
      </c>
      <c r="AN21" s="80">
        <v>-8.6</v>
      </c>
      <c r="AO21" s="80">
        <v>-6.76</v>
      </c>
      <c r="AP21" s="80">
        <v>-3.34</v>
      </c>
    </row>
    <row r="22" spans="1:42" ht="20.100000000000001" customHeight="1">
      <c r="A22" s="106" t="s">
        <v>20</v>
      </c>
      <c r="B22" s="107">
        <v>43</v>
      </c>
      <c r="C22" s="108" t="str">
        <f t="shared" si="8"/>
        <v>+0˚</v>
      </c>
      <c r="D22" s="109"/>
      <c r="E22" s="107">
        <v>32</v>
      </c>
      <c r="F22" s="108" t="str">
        <f t="shared" si="9"/>
        <v>+0˚</v>
      </c>
      <c r="G22" s="110"/>
      <c r="H22" s="107">
        <v>39</v>
      </c>
      <c r="I22" s="108" t="str">
        <f t="shared" si="10"/>
        <v>-45˚</v>
      </c>
      <c r="J22" s="110"/>
      <c r="K22" s="107"/>
      <c r="L22" s="108"/>
      <c r="M22" s="111"/>
      <c r="O22" s="94">
        <f t="shared" si="0"/>
        <v>43</v>
      </c>
      <c r="P22" s="94" t="str">
        <f t="shared" si="0"/>
        <v/>
      </c>
      <c r="Q22" s="94">
        <f t="shared" si="0"/>
        <v>39</v>
      </c>
      <c r="R22" s="94">
        <f t="shared" si="0"/>
        <v>0</v>
      </c>
      <c r="S22" s="92"/>
      <c r="T22" s="104"/>
      <c r="V22" s="105">
        <f>B22-0.007</f>
        <v>42.993000000000002</v>
      </c>
      <c r="W22" s="105">
        <f>E22-0.007</f>
        <v>31.992999999999999</v>
      </c>
      <c r="X22" s="105">
        <f>H22-0.007</f>
        <v>38.993000000000002</v>
      </c>
      <c r="Y22" s="105">
        <f>K22-0.007</f>
        <v>-7.0000000000000001E-3</v>
      </c>
      <c r="AA22" s="82">
        <f t="shared" si="4"/>
        <v>42.993000000000002</v>
      </c>
      <c r="AB22" s="82" t="str">
        <f t="shared" si="5"/>
        <v/>
      </c>
      <c r="AC22" s="82">
        <f t="shared" si="6"/>
        <v>38.993000000000002</v>
      </c>
      <c r="AD22" s="82">
        <f t="shared" si="7"/>
        <v>-7.0000000000000001E-3</v>
      </c>
      <c r="AF22" s="80">
        <v>23</v>
      </c>
      <c r="AG22" s="80">
        <f t="shared" si="1"/>
        <v>29.51</v>
      </c>
      <c r="AH22" s="80">
        <f t="shared" si="2"/>
        <v>28.64</v>
      </c>
      <c r="AI22" s="80">
        <f t="shared" si="2"/>
        <v>21.01</v>
      </c>
      <c r="AJ22" s="80">
        <f t="shared" si="2"/>
        <v>22.82</v>
      </c>
      <c r="AK22" s="80">
        <f t="shared" si="3"/>
        <v>26.200000000000003</v>
      </c>
      <c r="AL22" s="79"/>
      <c r="AM22" s="80">
        <v>-0.87</v>
      </c>
      <c r="AN22" s="82">
        <v>-8.5</v>
      </c>
      <c r="AO22" s="80">
        <v>-6.69</v>
      </c>
      <c r="AP22" s="80">
        <v>-3.31</v>
      </c>
    </row>
    <row r="23" spans="1:42" ht="20.100000000000001" customHeight="1">
      <c r="A23" s="106" t="s">
        <v>21</v>
      </c>
      <c r="B23" s="107">
        <v>41</v>
      </c>
      <c r="C23" s="108" t="str">
        <f t="shared" si="8"/>
        <v>+0˚</v>
      </c>
      <c r="D23" s="109"/>
      <c r="E23" s="107">
        <v>32</v>
      </c>
      <c r="F23" s="108" t="str">
        <f t="shared" si="9"/>
        <v>+0˚</v>
      </c>
      <c r="G23" s="110"/>
      <c r="H23" s="107">
        <v>35</v>
      </c>
      <c r="I23" s="108" t="str">
        <f t="shared" si="10"/>
        <v>-45˚</v>
      </c>
      <c r="J23" s="110"/>
      <c r="K23" s="107"/>
      <c r="L23" s="108"/>
      <c r="M23" s="111"/>
      <c r="O23" s="94">
        <f t="shared" si="0"/>
        <v>41</v>
      </c>
      <c r="P23" s="94" t="str">
        <f t="shared" si="0"/>
        <v/>
      </c>
      <c r="Q23" s="94" t="str">
        <f t="shared" si="0"/>
        <v/>
      </c>
      <c r="R23" s="94">
        <f t="shared" si="0"/>
        <v>0</v>
      </c>
      <c r="S23" s="92"/>
      <c r="T23" s="104"/>
      <c r="V23" s="105">
        <f>B23-0.006</f>
        <v>40.994</v>
      </c>
      <c r="W23" s="105">
        <f>E23-0.006</f>
        <v>31.994</v>
      </c>
      <c r="X23" s="105">
        <f>H23-0.006</f>
        <v>34.994</v>
      </c>
      <c r="Y23" s="105">
        <f>K23-0.006</f>
        <v>-6.0000000000000001E-3</v>
      </c>
      <c r="AA23" s="82">
        <f t="shared" si="4"/>
        <v>40.994</v>
      </c>
      <c r="AB23" s="82" t="str">
        <f t="shared" si="5"/>
        <v/>
      </c>
      <c r="AC23" s="82" t="str">
        <f t="shared" si="6"/>
        <v/>
      </c>
      <c r="AD23" s="82">
        <f t="shared" si="7"/>
        <v>-6.0000000000000001E-3</v>
      </c>
      <c r="AF23" s="80">
        <v>24</v>
      </c>
      <c r="AG23" s="80">
        <f t="shared" si="1"/>
        <v>30.9</v>
      </c>
      <c r="AH23" s="80">
        <f t="shared" si="2"/>
        <v>30.04</v>
      </c>
      <c r="AI23" s="80">
        <f t="shared" si="2"/>
        <v>22.5</v>
      </c>
      <c r="AJ23" s="80">
        <f t="shared" si="2"/>
        <v>24.279999999999998</v>
      </c>
      <c r="AK23" s="80">
        <f t="shared" si="3"/>
        <v>27.619999999999997</v>
      </c>
      <c r="AL23" s="79"/>
      <c r="AM23" s="80">
        <v>-0.86</v>
      </c>
      <c r="AN23" s="82">
        <v>-8.4</v>
      </c>
      <c r="AO23" s="80">
        <v>-6.62</v>
      </c>
      <c r="AP23" s="80">
        <v>-3.28</v>
      </c>
    </row>
    <row r="24" spans="1:42" ht="20.100000000000001" customHeight="1">
      <c r="A24" s="106" t="s">
        <v>22</v>
      </c>
      <c r="B24" s="107">
        <v>39</v>
      </c>
      <c r="C24" s="108" t="str">
        <f t="shared" si="8"/>
        <v>+0˚</v>
      </c>
      <c r="D24" s="109"/>
      <c r="E24" s="107">
        <v>26</v>
      </c>
      <c r="F24" s="108" t="str">
        <f t="shared" si="9"/>
        <v>+0˚</v>
      </c>
      <c r="G24" s="110"/>
      <c r="H24" s="107">
        <v>37</v>
      </c>
      <c r="I24" s="108" t="str">
        <f t="shared" si="10"/>
        <v>-45˚</v>
      </c>
      <c r="J24" s="110"/>
      <c r="K24" s="107"/>
      <c r="L24" s="108"/>
      <c r="M24" s="111"/>
      <c r="O24" s="94" t="str">
        <f t="shared" si="0"/>
        <v/>
      </c>
      <c r="P24" s="94" t="str">
        <f t="shared" si="0"/>
        <v/>
      </c>
      <c r="Q24" s="94" t="str">
        <f t="shared" si="0"/>
        <v/>
      </c>
      <c r="R24" s="94">
        <f t="shared" si="0"/>
        <v>0</v>
      </c>
      <c r="S24" s="92"/>
      <c r="T24" s="104"/>
      <c r="V24" s="105">
        <f>B24-0.005</f>
        <v>38.994999999999997</v>
      </c>
      <c r="W24" s="105">
        <f>E24-0.005</f>
        <v>25.995000000000001</v>
      </c>
      <c r="X24" s="105">
        <f>H24-0.005</f>
        <v>36.994999999999997</v>
      </c>
      <c r="Y24" s="105">
        <f>K24-0.005</f>
        <v>-5.0000000000000001E-3</v>
      </c>
      <c r="AA24" s="82" t="str">
        <f t="shared" si="4"/>
        <v/>
      </c>
      <c r="AB24" s="82" t="str">
        <f t="shared" si="5"/>
        <v/>
      </c>
      <c r="AC24" s="82" t="str">
        <f t="shared" si="6"/>
        <v/>
      </c>
      <c r="AD24" s="82">
        <f t="shared" si="7"/>
        <v>-5.0000000000000001E-3</v>
      </c>
      <c r="AF24" s="80">
        <v>25</v>
      </c>
      <c r="AG24" s="80">
        <f t="shared" si="1"/>
        <v>32.35</v>
      </c>
      <c r="AH24" s="80">
        <f t="shared" si="2"/>
        <v>31.5</v>
      </c>
      <c r="AI24" s="80">
        <f t="shared" si="2"/>
        <v>24.050000000000011</v>
      </c>
      <c r="AJ24" s="80">
        <f t="shared" si="2"/>
        <v>25.8</v>
      </c>
      <c r="AK24" s="80">
        <f t="shared" si="3"/>
        <v>29.1</v>
      </c>
      <c r="AL24" s="79"/>
      <c r="AM24" s="80">
        <v>-0.85</v>
      </c>
      <c r="AN24" s="82">
        <v>-8.2999999999999901</v>
      </c>
      <c r="AO24" s="80">
        <v>-6.55</v>
      </c>
      <c r="AP24" s="80">
        <v>-3.25</v>
      </c>
    </row>
    <row r="25" spans="1:42" ht="20.100000000000001" customHeight="1">
      <c r="A25" s="106" t="s">
        <v>23</v>
      </c>
      <c r="B25" s="107">
        <v>35</v>
      </c>
      <c r="C25" s="108" t="str">
        <f t="shared" si="8"/>
        <v>+0˚</v>
      </c>
      <c r="D25" s="109"/>
      <c r="E25" s="107">
        <v>39</v>
      </c>
      <c r="F25" s="108" t="str">
        <f t="shared" si="9"/>
        <v>+0˚</v>
      </c>
      <c r="G25" s="110"/>
      <c r="H25" s="107">
        <v>48</v>
      </c>
      <c r="I25" s="108" t="str">
        <f t="shared" si="10"/>
        <v>-45˚</v>
      </c>
      <c r="J25" s="110"/>
      <c r="K25" s="107"/>
      <c r="L25" s="108"/>
      <c r="M25" s="111"/>
      <c r="O25" s="94" t="str">
        <f t="shared" si="0"/>
        <v/>
      </c>
      <c r="P25" s="94">
        <f t="shared" si="0"/>
        <v>39</v>
      </c>
      <c r="Q25" s="94">
        <f t="shared" si="0"/>
        <v>48</v>
      </c>
      <c r="R25" s="94">
        <f t="shared" si="0"/>
        <v>0</v>
      </c>
      <c r="S25" s="92"/>
      <c r="T25" s="104"/>
      <c r="V25" s="105">
        <f>B25-0.004</f>
        <v>34.996000000000002</v>
      </c>
      <c r="W25" s="105">
        <f>E25-0.004</f>
        <v>38.996000000000002</v>
      </c>
      <c r="X25" s="105">
        <f>H25-0.004</f>
        <v>47.996000000000002</v>
      </c>
      <c r="Y25" s="105">
        <f>K25-0.004</f>
        <v>-4.0000000000000001E-3</v>
      </c>
      <c r="AA25" s="82" t="str">
        <f t="shared" si="4"/>
        <v/>
      </c>
      <c r="AB25" s="82">
        <f t="shared" si="5"/>
        <v>38.996000000000002</v>
      </c>
      <c r="AC25" s="82">
        <f t="shared" si="6"/>
        <v>47.996000000000002</v>
      </c>
      <c r="AD25" s="82">
        <f t="shared" si="7"/>
        <v>-4.0000000000000001E-3</v>
      </c>
      <c r="AF25" s="80">
        <v>26</v>
      </c>
      <c r="AG25" s="80">
        <f t="shared" si="1"/>
        <v>33.880000000000003</v>
      </c>
      <c r="AH25" s="80">
        <f t="shared" si="2"/>
        <v>33.04</v>
      </c>
      <c r="AI25" s="80">
        <f t="shared" si="2"/>
        <v>25.680000000000014</v>
      </c>
      <c r="AJ25" s="80">
        <f t="shared" si="2"/>
        <v>27.400000000000002</v>
      </c>
      <c r="AK25" s="80">
        <f t="shared" si="3"/>
        <v>30.660000000000004</v>
      </c>
      <c r="AL25" s="79"/>
      <c r="AM25" s="80">
        <v>-0.84</v>
      </c>
      <c r="AN25" s="82">
        <v>-8.1999999999999904</v>
      </c>
      <c r="AO25" s="80">
        <v>-6.48</v>
      </c>
      <c r="AP25" s="80">
        <v>-3.22</v>
      </c>
    </row>
    <row r="26" spans="1:42" ht="20.100000000000001" customHeight="1">
      <c r="A26" s="106" t="s">
        <v>24</v>
      </c>
      <c r="B26" s="107">
        <v>37</v>
      </c>
      <c r="C26" s="108" t="str">
        <f t="shared" si="8"/>
        <v>+0˚</v>
      </c>
      <c r="D26" s="109"/>
      <c r="E26" s="107">
        <v>35</v>
      </c>
      <c r="F26" s="108" t="str">
        <f t="shared" si="9"/>
        <v>+0˚</v>
      </c>
      <c r="G26" s="110"/>
      <c r="H26" s="107">
        <v>32</v>
      </c>
      <c r="I26" s="108" t="str">
        <f t="shared" si="10"/>
        <v>-45˚</v>
      </c>
      <c r="J26" s="110"/>
      <c r="K26" s="107"/>
      <c r="L26" s="108"/>
      <c r="M26" s="111"/>
      <c r="O26" s="94" t="str">
        <f t="shared" si="0"/>
        <v/>
      </c>
      <c r="P26" s="94">
        <f t="shared" si="0"/>
        <v>35</v>
      </c>
      <c r="Q26" s="94" t="str">
        <f t="shared" si="0"/>
        <v/>
      </c>
      <c r="R26" s="94">
        <f t="shared" si="0"/>
        <v>0</v>
      </c>
      <c r="S26" s="92"/>
      <c r="T26" s="104"/>
      <c r="V26" s="105">
        <f>B26-0.003</f>
        <v>36.997</v>
      </c>
      <c r="W26" s="105">
        <f>E26-0.003</f>
        <v>34.997</v>
      </c>
      <c r="X26" s="105">
        <f>H26-0.003</f>
        <v>31.997</v>
      </c>
      <c r="Y26" s="105">
        <f>K26-0.003</f>
        <v>-3.0000000000000001E-3</v>
      </c>
      <c r="AA26" s="82" t="str">
        <f t="shared" si="4"/>
        <v/>
      </c>
      <c r="AB26" s="82">
        <f t="shared" si="5"/>
        <v>34.997</v>
      </c>
      <c r="AC26" s="82" t="str">
        <f t="shared" si="6"/>
        <v/>
      </c>
      <c r="AD26" s="82">
        <f t="shared" si="7"/>
        <v>-3.0000000000000001E-3</v>
      </c>
      <c r="AF26" s="80">
        <v>27</v>
      </c>
      <c r="AG26" s="80">
        <f t="shared" si="1"/>
        <v>35.479999999999997</v>
      </c>
      <c r="AH26" s="80">
        <f t="shared" si="2"/>
        <v>34.65</v>
      </c>
      <c r="AI26" s="80">
        <f t="shared" si="2"/>
        <v>27.380000000000006</v>
      </c>
      <c r="AJ26" s="80">
        <f t="shared" si="2"/>
        <v>29.069999999999997</v>
      </c>
      <c r="AK26" s="80">
        <f t="shared" si="3"/>
        <v>32.29</v>
      </c>
      <c r="AL26" s="79"/>
      <c r="AM26" s="80">
        <v>-0.83</v>
      </c>
      <c r="AN26" s="82">
        <v>-8.0999999999999908</v>
      </c>
      <c r="AO26" s="80">
        <v>-6.41</v>
      </c>
      <c r="AP26" s="80">
        <v>-3.19</v>
      </c>
    </row>
    <row r="27" spans="1:42" ht="20.100000000000001" customHeight="1">
      <c r="A27" s="106" t="s">
        <v>25</v>
      </c>
      <c r="B27" s="107">
        <v>33</v>
      </c>
      <c r="C27" s="108" t="str">
        <f t="shared" si="8"/>
        <v>+0˚</v>
      </c>
      <c r="D27" s="109"/>
      <c r="E27" s="107">
        <v>46</v>
      </c>
      <c r="F27" s="108" t="str">
        <f t="shared" si="9"/>
        <v>+0˚</v>
      </c>
      <c r="G27" s="110"/>
      <c r="H27" s="107">
        <v>34</v>
      </c>
      <c r="I27" s="108" t="str">
        <f t="shared" si="10"/>
        <v>-45˚</v>
      </c>
      <c r="J27" s="110"/>
      <c r="K27" s="107"/>
      <c r="L27" s="108"/>
      <c r="M27" s="111"/>
      <c r="O27" s="94" t="str">
        <f t="shared" si="0"/>
        <v/>
      </c>
      <c r="P27" s="94">
        <f t="shared" si="0"/>
        <v>46</v>
      </c>
      <c r="Q27" s="94" t="str">
        <f t="shared" si="0"/>
        <v/>
      </c>
      <c r="R27" s="94">
        <f t="shared" si="0"/>
        <v>0</v>
      </c>
      <c r="S27" s="92"/>
      <c r="T27" s="104"/>
      <c r="V27" s="105">
        <f>B27-0.002</f>
        <v>32.997999999999998</v>
      </c>
      <c r="W27" s="105">
        <f>E27-0.002</f>
        <v>45.997999999999998</v>
      </c>
      <c r="X27" s="105">
        <f>H27-0.002</f>
        <v>33.997999999999998</v>
      </c>
      <c r="Y27" s="105">
        <f>K27-0.002</f>
        <v>-2E-3</v>
      </c>
      <c r="AA27" s="82" t="str">
        <f t="shared" si="4"/>
        <v/>
      </c>
      <c r="AB27" s="82">
        <f t="shared" si="5"/>
        <v>45.997999999999998</v>
      </c>
      <c r="AC27" s="82" t="str">
        <f t="shared" si="6"/>
        <v/>
      </c>
      <c r="AD27" s="82">
        <f t="shared" si="7"/>
        <v>-2E-3</v>
      </c>
      <c r="AF27" s="80">
        <v>28</v>
      </c>
      <c r="AG27" s="80">
        <f t="shared" si="1"/>
        <v>37.15</v>
      </c>
      <c r="AH27" s="80">
        <f t="shared" si="2"/>
        <v>36.33</v>
      </c>
      <c r="AI27" s="80">
        <f t="shared" si="2"/>
        <v>29.150000000000009</v>
      </c>
      <c r="AJ27" s="80">
        <f t="shared" si="2"/>
        <v>30.81</v>
      </c>
      <c r="AK27" s="80">
        <f t="shared" si="3"/>
        <v>33.989999999999995</v>
      </c>
      <c r="AL27" s="79"/>
      <c r="AM27" s="80">
        <v>-0.82</v>
      </c>
      <c r="AN27" s="82">
        <v>-7.9999999999999902</v>
      </c>
      <c r="AO27" s="80">
        <v>-6.34</v>
      </c>
      <c r="AP27" s="80">
        <v>-3.16</v>
      </c>
    </row>
    <row r="28" spans="1:42" ht="20.100000000000001" customHeight="1">
      <c r="A28" s="106" t="s">
        <v>26</v>
      </c>
      <c r="B28" s="107">
        <v>41</v>
      </c>
      <c r="C28" s="108" t="str">
        <f t="shared" si="8"/>
        <v>+0˚</v>
      </c>
      <c r="D28" s="109"/>
      <c r="E28" s="107">
        <v>48</v>
      </c>
      <c r="F28" s="108" t="str">
        <f t="shared" si="9"/>
        <v>+0˚</v>
      </c>
      <c r="G28" s="110"/>
      <c r="H28" s="107">
        <v>40</v>
      </c>
      <c r="I28" s="108" t="str">
        <f t="shared" si="10"/>
        <v>-45˚</v>
      </c>
      <c r="J28" s="110"/>
      <c r="K28" s="107"/>
      <c r="L28" s="108"/>
      <c r="M28" s="111"/>
      <c r="O28" s="94">
        <f t="shared" si="0"/>
        <v>41</v>
      </c>
      <c r="P28" s="94">
        <f t="shared" si="0"/>
        <v>48</v>
      </c>
      <c r="Q28" s="94">
        <f t="shared" si="0"/>
        <v>40</v>
      </c>
      <c r="R28" s="94">
        <f t="shared" si="0"/>
        <v>0</v>
      </c>
      <c r="S28" s="92"/>
      <c r="T28" s="104"/>
      <c r="V28" s="105">
        <f>B28-0.001</f>
        <v>40.999000000000002</v>
      </c>
      <c r="W28" s="105">
        <f>E28-0.001</f>
        <v>47.999000000000002</v>
      </c>
      <c r="X28" s="105">
        <f>H28-0.001</f>
        <v>39.999000000000002</v>
      </c>
      <c r="Y28" s="105">
        <f>K28-0.001</f>
        <v>-1E-3</v>
      </c>
      <c r="AA28" s="82">
        <f t="shared" si="4"/>
        <v>40.999000000000002</v>
      </c>
      <c r="AB28" s="82">
        <f t="shared" si="5"/>
        <v>47.999000000000002</v>
      </c>
      <c r="AC28" s="82">
        <f t="shared" si="6"/>
        <v>39.999000000000002</v>
      </c>
      <c r="AD28" s="82">
        <f t="shared" si="7"/>
        <v>-1E-3</v>
      </c>
      <c r="AF28" s="80">
        <v>29</v>
      </c>
      <c r="AG28" s="80">
        <f t="shared" si="1"/>
        <v>38.9</v>
      </c>
      <c r="AH28" s="80">
        <f t="shared" si="2"/>
        <v>38.089999999999996</v>
      </c>
      <c r="AI28" s="80">
        <f t="shared" si="2"/>
        <v>31.000000000000007</v>
      </c>
      <c r="AJ28" s="80">
        <f t="shared" si="2"/>
        <v>32.629999999999995</v>
      </c>
      <c r="AK28" s="80">
        <f t="shared" si="3"/>
        <v>35.769999999999996</v>
      </c>
      <c r="AL28" s="79"/>
      <c r="AM28" s="80">
        <v>-0.81</v>
      </c>
      <c r="AN28" s="82">
        <v>-7.8999999999999897</v>
      </c>
      <c r="AO28" s="80">
        <v>-6.27</v>
      </c>
      <c r="AP28" s="80">
        <v>-3.13</v>
      </c>
    </row>
    <row r="29" spans="1:42" ht="20.100000000000001" customHeight="1">
      <c r="A29" s="106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1"/>
      <c r="N29" s="80" t="s">
        <v>41</v>
      </c>
      <c r="O29" s="94">
        <f>ROUND(AVERAGE(O9:O28),0)</f>
        <v>43</v>
      </c>
      <c r="P29" s="94">
        <f>ROUND(AVERAGE(P9:P28),0)</f>
        <v>46</v>
      </c>
      <c r="Q29" s="94">
        <f>ROUND(AVERAGE(Q9:Q28),0)</f>
        <v>43</v>
      </c>
      <c r="R29" s="94">
        <f>ROUND(AVERAGE(R9:R28),0)</f>
        <v>0</v>
      </c>
      <c r="S29" s="92"/>
      <c r="AA29" s="82" t="str">
        <f t="shared" si="4"/>
        <v/>
      </c>
      <c r="AB29" s="82" t="str">
        <f t="shared" si="5"/>
        <v/>
      </c>
      <c r="AC29" s="82" t="str">
        <f t="shared" si="6"/>
        <v/>
      </c>
      <c r="AF29" s="80">
        <v>30</v>
      </c>
      <c r="AG29" s="80">
        <f t="shared" si="1"/>
        <v>40.729999999999997</v>
      </c>
      <c r="AH29" s="80">
        <f t="shared" si="2"/>
        <v>39.93</v>
      </c>
      <c r="AI29" s="80">
        <f t="shared" si="2"/>
        <v>32.93</v>
      </c>
      <c r="AJ29" s="80">
        <f t="shared" si="2"/>
        <v>34.529999999999994</v>
      </c>
      <c r="AK29" s="80">
        <f t="shared" si="3"/>
        <v>37.629999999999995</v>
      </c>
      <c r="AL29" s="79"/>
      <c r="AM29" s="104">
        <v>-0.8</v>
      </c>
      <c r="AN29" s="104">
        <v>-7.8</v>
      </c>
      <c r="AO29" s="104">
        <v>-6.2</v>
      </c>
      <c r="AP29" s="104">
        <v>-3.1</v>
      </c>
    </row>
    <row r="30" spans="1:42" ht="20.100000000000001" customHeight="1">
      <c r="A30" s="106"/>
      <c r="B30" s="112"/>
      <c r="C30" s="110"/>
      <c r="D30" s="110"/>
      <c r="E30" s="112"/>
      <c r="F30" s="110"/>
      <c r="G30" s="110"/>
      <c r="H30" s="112"/>
      <c r="I30" s="110"/>
      <c r="J30" s="110"/>
      <c r="K30" s="112"/>
      <c r="L30" s="110"/>
      <c r="M30" s="111"/>
      <c r="O30" s="82"/>
      <c r="P30" s="82"/>
      <c r="Q30" s="82"/>
      <c r="R30" s="82"/>
      <c r="S30" s="92"/>
      <c r="AB30" s="82" t="str">
        <f t="shared" si="5"/>
        <v/>
      </c>
      <c r="AF30" s="80">
        <v>31</v>
      </c>
      <c r="AG30" s="80">
        <f t="shared" si="1"/>
        <v>42.65</v>
      </c>
      <c r="AH30" s="80">
        <f t="shared" si="2"/>
        <v>41.86</v>
      </c>
      <c r="AI30" s="80">
        <f t="shared" si="2"/>
        <v>34.97</v>
      </c>
      <c r="AJ30" s="80">
        <f t="shared" si="2"/>
        <v>36.54</v>
      </c>
      <c r="AK30" s="80">
        <f t="shared" si="3"/>
        <v>39.589999999999996</v>
      </c>
      <c r="AL30" s="79"/>
      <c r="AM30" s="80">
        <v>-0.79</v>
      </c>
      <c r="AN30" s="80">
        <v>-7.68</v>
      </c>
      <c r="AO30" s="80">
        <v>-6.11</v>
      </c>
      <c r="AP30" s="80">
        <v>-3.06</v>
      </c>
    </row>
    <row r="31" spans="1:42" ht="20.100000000000001" customHeight="1">
      <c r="A31" s="106"/>
      <c r="B31" s="113"/>
      <c r="C31" s="110"/>
      <c r="D31" s="110"/>
      <c r="E31" s="113"/>
      <c r="F31" s="110"/>
      <c r="G31" s="110"/>
      <c r="H31" s="113"/>
      <c r="I31" s="110"/>
      <c r="J31" s="110"/>
      <c r="K31" s="113"/>
      <c r="L31" s="110"/>
      <c r="M31" s="111"/>
      <c r="O31" s="82"/>
      <c r="P31" s="82"/>
      <c r="Q31" s="82"/>
      <c r="R31" s="82"/>
      <c r="S31" s="92"/>
      <c r="AF31" s="80">
        <v>32</v>
      </c>
      <c r="AG31" s="80">
        <f t="shared" si="1"/>
        <v>44.66</v>
      </c>
      <c r="AH31" s="80">
        <f t="shared" si="2"/>
        <v>43.879999999999995</v>
      </c>
      <c r="AI31" s="80">
        <f t="shared" si="2"/>
        <v>37.099999999999994</v>
      </c>
      <c r="AJ31" s="80">
        <f t="shared" si="2"/>
        <v>38.64</v>
      </c>
      <c r="AK31" s="80">
        <f t="shared" si="3"/>
        <v>41.639999999999993</v>
      </c>
      <c r="AL31" s="79"/>
      <c r="AM31" s="80">
        <v>-0.78</v>
      </c>
      <c r="AN31" s="80">
        <v>-7.56</v>
      </c>
      <c r="AO31" s="80">
        <v>-6.02</v>
      </c>
      <c r="AP31" s="80">
        <v>-3.02</v>
      </c>
    </row>
    <row r="32" spans="1:42" ht="20.100000000000001" customHeight="1">
      <c r="A32" s="106"/>
      <c r="B32" s="113"/>
      <c r="C32" s="110"/>
      <c r="D32" s="110"/>
      <c r="E32" s="113"/>
      <c r="F32" s="110"/>
      <c r="G32" s="110"/>
      <c r="H32" s="113"/>
      <c r="I32" s="110"/>
      <c r="J32" s="110"/>
      <c r="K32" s="113"/>
      <c r="L32" s="110"/>
      <c r="M32" s="111"/>
      <c r="O32" s="82"/>
      <c r="P32" s="82"/>
      <c r="Q32" s="82"/>
      <c r="R32" s="82"/>
      <c r="S32" s="92"/>
      <c r="AF32" s="80">
        <v>33</v>
      </c>
      <c r="AG32" s="80">
        <f t="shared" si="1"/>
        <v>46.77</v>
      </c>
      <c r="AH32" s="80">
        <f t="shared" si="2"/>
        <v>46</v>
      </c>
      <c r="AI32" s="80">
        <f t="shared" si="2"/>
        <v>39.330000000000005</v>
      </c>
      <c r="AJ32" s="80">
        <f t="shared" si="2"/>
        <v>40.840000000000003</v>
      </c>
      <c r="AK32" s="80">
        <f t="shared" si="3"/>
        <v>43.790000000000006</v>
      </c>
      <c r="AL32" s="79"/>
      <c r="AM32" s="80">
        <v>-0.77</v>
      </c>
      <c r="AN32" s="80">
        <v>-7.44</v>
      </c>
      <c r="AO32" s="80">
        <v>-5.93</v>
      </c>
      <c r="AP32" s="80">
        <v>-2.98</v>
      </c>
    </row>
    <row r="33" spans="1:42" ht="20.100000000000001" customHeight="1">
      <c r="A33" s="106"/>
      <c r="B33" s="114"/>
      <c r="C33" s="115"/>
      <c r="D33" s="115"/>
      <c r="E33" s="114"/>
      <c r="F33" s="115"/>
      <c r="G33" s="115"/>
      <c r="H33" s="114"/>
      <c r="I33" s="115"/>
      <c r="J33" s="115"/>
      <c r="K33" s="114"/>
      <c r="L33" s="115"/>
      <c r="M33" s="116"/>
      <c r="O33" s="82"/>
      <c r="P33" s="82"/>
      <c r="Q33" s="82"/>
      <c r="R33" s="82"/>
      <c r="S33" s="92"/>
      <c r="AF33" s="80">
        <v>34</v>
      </c>
      <c r="AG33" s="80">
        <f t="shared" si="1"/>
        <v>48.97</v>
      </c>
      <c r="AH33" s="80">
        <f t="shared" si="2"/>
        <v>48.21</v>
      </c>
      <c r="AI33" s="80">
        <f t="shared" si="2"/>
        <v>41.65</v>
      </c>
      <c r="AJ33" s="80">
        <f t="shared" si="2"/>
        <v>43.129999999999995</v>
      </c>
      <c r="AK33" s="80">
        <f t="shared" si="3"/>
        <v>46.03</v>
      </c>
      <c r="AL33" s="79"/>
      <c r="AM33" s="80">
        <v>-0.76000000000000101</v>
      </c>
      <c r="AN33" s="80">
        <v>-7.32</v>
      </c>
      <c r="AO33" s="80">
        <v>-5.84</v>
      </c>
      <c r="AP33" s="80">
        <v>-2.94</v>
      </c>
    </row>
    <row r="34" spans="1:42" ht="28.5" customHeight="1">
      <c r="A34" s="117" t="s">
        <v>14</v>
      </c>
      <c r="B34" s="118">
        <f>O29</f>
        <v>43</v>
      </c>
      <c r="C34" s="108" t="str">
        <f>$C$9</f>
        <v>+0˚</v>
      </c>
      <c r="D34" s="119">
        <f>ROUND(INDEX($AG$9:$AK$60,MATCH(B34,$AF$9:$AF$59,0),MATCH(C34,$AG$8:$AK$8,0)),1)</f>
        <v>71.599999999999994</v>
      </c>
      <c r="E34" s="118">
        <f>P29</f>
        <v>46</v>
      </c>
      <c r="F34" s="120" t="str">
        <f>$F$9</f>
        <v>+0˚</v>
      </c>
      <c r="G34" s="119">
        <f>ROUND(INDEX($AG$9:$AK$60,MATCH(E34,$AF$9:$AF$59,0),MATCH(F34,$AG$8:$AK$8,0)),1)</f>
        <v>82.7</v>
      </c>
      <c r="H34" s="118">
        <f>Q29</f>
        <v>43</v>
      </c>
      <c r="I34" s="120" t="str">
        <f>$I$9</f>
        <v>-45˚</v>
      </c>
      <c r="J34" s="119">
        <f>ROUND(INDEX($AG$9:$AK$60,MATCH(H34,$AF$9:$AF$59,0),MATCH(I34,$AG$8:$AK$8,0)),1)</f>
        <v>73.5</v>
      </c>
      <c r="K34" s="118"/>
      <c r="L34" s="120"/>
      <c r="M34" s="121"/>
      <c r="O34" s="82"/>
      <c r="P34" s="82"/>
      <c r="Q34" s="82"/>
      <c r="R34" s="82"/>
      <c r="S34" s="92"/>
      <c r="AF34" s="80">
        <v>35</v>
      </c>
      <c r="AG34" s="80">
        <f t="shared" si="1"/>
        <v>51.28</v>
      </c>
      <c r="AH34" s="80">
        <f t="shared" si="2"/>
        <v>50.53</v>
      </c>
      <c r="AI34" s="80">
        <f t="shared" si="2"/>
        <v>44.08</v>
      </c>
      <c r="AJ34" s="80">
        <f t="shared" si="2"/>
        <v>45.53</v>
      </c>
      <c r="AK34" s="80">
        <f t="shared" si="3"/>
        <v>48.38</v>
      </c>
      <c r="AL34" s="79"/>
      <c r="AM34" s="80">
        <v>-0.750000000000001</v>
      </c>
      <c r="AN34" s="80">
        <v>-7.2</v>
      </c>
      <c r="AO34" s="80">
        <v>-5.75</v>
      </c>
      <c r="AP34" s="80">
        <v>-2.9</v>
      </c>
    </row>
    <row r="35" spans="1:42" ht="30.75" customHeight="1" thickBot="1">
      <c r="A35" s="122" t="s">
        <v>12</v>
      </c>
      <c r="B35" s="180" t="str">
        <f>IF(D34&lt;=50,"CW",IF(D34&lt;=85,"HW",IF(D34&lt;=115,"MW",IF(D34&lt;=145,"SW","F"))))</f>
        <v>HW</v>
      </c>
      <c r="C35" s="180"/>
      <c r="D35" s="181"/>
      <c r="E35" s="180" t="str">
        <f>IF(G34&lt;=50,"CW",IF(G34&lt;=85,"HW",IF(G34&lt;=115,"MW",IF(G34&lt;=145,"SW","F"))))</f>
        <v>HW</v>
      </c>
      <c r="F35" s="180"/>
      <c r="G35" s="181"/>
      <c r="H35" s="180" t="str">
        <f>IF(J34&lt;=50,"CW",IF(J34&lt;=85,"HW",IF(J34&lt;=115,"MW",IF(J34&lt;=145,"SW","F"))))</f>
        <v>HW</v>
      </c>
      <c r="I35" s="180"/>
      <c r="J35" s="181"/>
      <c r="K35" s="180"/>
      <c r="L35" s="180"/>
      <c r="M35" s="182"/>
      <c r="O35" s="82"/>
      <c r="P35" s="82"/>
      <c r="Q35" s="82"/>
      <c r="R35" s="82"/>
      <c r="S35" s="92"/>
      <c r="AF35" s="80">
        <v>36</v>
      </c>
      <c r="AG35" s="80">
        <f t="shared" si="1"/>
        <v>53.7</v>
      </c>
      <c r="AH35" s="80">
        <f t="shared" si="2"/>
        <v>52.96</v>
      </c>
      <c r="AI35" s="80">
        <f t="shared" si="2"/>
        <v>46.620000000000005</v>
      </c>
      <c r="AJ35" s="80">
        <f t="shared" si="2"/>
        <v>48.040000000000006</v>
      </c>
      <c r="AK35" s="80">
        <f t="shared" si="3"/>
        <v>50.84</v>
      </c>
      <c r="AL35" s="79"/>
      <c r="AM35" s="80">
        <v>-0.74000000000000099</v>
      </c>
      <c r="AN35" s="80">
        <v>-7.08</v>
      </c>
      <c r="AO35" s="80">
        <v>-5.66</v>
      </c>
      <c r="AP35" s="80">
        <v>-2.86</v>
      </c>
    </row>
    <row r="36" spans="1:42">
      <c r="A36" s="80" t="s">
        <v>33</v>
      </c>
      <c r="D36" s="80" t="str">
        <f>IF(D34&lt;70,"풍화암",IF(D34&lt;100,"연암",IF(D34&lt;130,"보통암",IF(D34&lt;160,"경암","극경암"))))</f>
        <v>연암</v>
      </c>
      <c r="G36" s="80" t="str">
        <f>IF(G34&lt;70,"풍화암",IF(G34&lt;100,"연암",IF(G34&lt;130,"보통암",IF(G34&lt;160,"경암","극경암"))))</f>
        <v>연암</v>
      </c>
      <c r="J36" s="80" t="str">
        <f>IF(J34&lt;70,"풍화암",IF(J34&lt;100,"연암",IF(J34&lt;130,"보통암",IF(J34&lt;160,"경암","극경암"))))</f>
        <v>연암</v>
      </c>
      <c r="M36" s="80" t="str">
        <f>IF(M34&lt;70,"풍화암",IF(M34&lt;100,"연암",IF(M34&lt;130,"보통암",IF(M34&lt;160,"경암","극경암"))))</f>
        <v>풍화암</v>
      </c>
      <c r="AF36" s="80">
        <v>37</v>
      </c>
      <c r="AG36" s="80">
        <f t="shared" si="1"/>
        <v>56.23</v>
      </c>
      <c r="AH36" s="80">
        <f t="shared" si="2"/>
        <v>55.499999999999993</v>
      </c>
      <c r="AI36" s="80">
        <f t="shared" si="2"/>
        <v>49.269999999999996</v>
      </c>
      <c r="AJ36" s="80">
        <f t="shared" si="2"/>
        <v>50.66</v>
      </c>
      <c r="AK36" s="80">
        <f t="shared" si="3"/>
        <v>53.41</v>
      </c>
      <c r="AL36" s="79"/>
      <c r="AM36" s="80">
        <v>-0.73000000000000098</v>
      </c>
      <c r="AN36" s="80">
        <v>-6.96</v>
      </c>
      <c r="AO36" s="80">
        <v>-5.57</v>
      </c>
      <c r="AP36" s="80">
        <v>-2.82</v>
      </c>
    </row>
    <row r="37" spans="1:42">
      <c r="A37" s="174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AF37" s="80">
        <v>38</v>
      </c>
      <c r="AG37" s="80">
        <f t="shared" si="1"/>
        <v>58.88</v>
      </c>
      <c r="AH37" s="80">
        <f t="shared" si="2"/>
        <v>58.160000000000004</v>
      </c>
      <c r="AI37" s="80">
        <f t="shared" si="2"/>
        <v>52.040000000000006</v>
      </c>
      <c r="AJ37" s="80">
        <f t="shared" si="2"/>
        <v>53.400000000000006</v>
      </c>
      <c r="AK37" s="80">
        <f t="shared" si="3"/>
        <v>56.1</v>
      </c>
      <c r="AL37" s="79"/>
      <c r="AM37" s="80">
        <v>-0.72000000000000097</v>
      </c>
      <c r="AN37" s="80">
        <v>-6.84</v>
      </c>
      <c r="AO37" s="80">
        <v>-5.48</v>
      </c>
      <c r="AP37" s="80">
        <v>-2.78</v>
      </c>
    </row>
    <row r="38" spans="1:42">
      <c r="AF38" s="80">
        <v>39</v>
      </c>
      <c r="AG38" s="80">
        <f t="shared" si="1"/>
        <v>61.65</v>
      </c>
      <c r="AH38" s="80">
        <f t="shared" si="2"/>
        <v>60.94</v>
      </c>
      <c r="AI38" s="80">
        <f t="shared" si="2"/>
        <v>54.93</v>
      </c>
      <c r="AJ38" s="80">
        <f t="shared" si="2"/>
        <v>56.260000000000005</v>
      </c>
      <c r="AK38" s="80">
        <f t="shared" si="3"/>
        <v>58.91</v>
      </c>
      <c r="AL38" s="79"/>
      <c r="AM38" s="80">
        <v>-0.71000000000000096</v>
      </c>
      <c r="AN38" s="80">
        <v>-6.72</v>
      </c>
      <c r="AO38" s="80">
        <v>-5.3899999999999899</v>
      </c>
      <c r="AP38" s="80">
        <v>-2.74</v>
      </c>
    </row>
    <row r="39" spans="1:42">
      <c r="AF39" s="80">
        <v>40</v>
      </c>
      <c r="AG39" s="80">
        <f t="shared" si="1"/>
        <v>64.56</v>
      </c>
      <c r="AH39" s="80">
        <f t="shared" si="2"/>
        <v>63.86</v>
      </c>
      <c r="AI39" s="80">
        <f t="shared" si="2"/>
        <v>57.96</v>
      </c>
      <c r="AJ39" s="80">
        <f t="shared" si="2"/>
        <v>59.260000000000005</v>
      </c>
      <c r="AK39" s="80">
        <f t="shared" si="3"/>
        <v>61.86</v>
      </c>
      <c r="AL39" s="79"/>
      <c r="AM39" s="104">
        <v>-0.70000000000000095</v>
      </c>
      <c r="AN39" s="104">
        <v>-6.6</v>
      </c>
      <c r="AO39" s="104">
        <v>-5.3</v>
      </c>
      <c r="AP39" s="104">
        <v>-2.7</v>
      </c>
    </row>
    <row r="40" spans="1:42">
      <c r="AF40" s="80">
        <v>41</v>
      </c>
      <c r="AG40" s="80">
        <f t="shared" si="1"/>
        <v>67.599999999999994</v>
      </c>
      <c r="AH40" s="80">
        <f t="shared" si="2"/>
        <v>66.91</v>
      </c>
      <c r="AI40" s="80">
        <f t="shared" si="2"/>
        <v>61.129999999999995</v>
      </c>
      <c r="AJ40" s="80">
        <f t="shared" si="2"/>
        <v>62.399999999999991</v>
      </c>
      <c r="AK40" s="80">
        <f t="shared" si="3"/>
        <v>64.949999999999989</v>
      </c>
      <c r="AL40" s="79"/>
      <c r="AM40" s="80">
        <v>-0.69000000000000095</v>
      </c>
      <c r="AN40" s="80">
        <v>-6.47</v>
      </c>
      <c r="AO40" s="80">
        <v>-5.2</v>
      </c>
      <c r="AP40" s="80">
        <v>-2.65</v>
      </c>
    </row>
    <row r="41" spans="1:42">
      <c r="AF41" s="80">
        <v>42</v>
      </c>
      <c r="AG41" s="104">
        <f t="shared" si="1"/>
        <v>70.790000000000006</v>
      </c>
      <c r="AH41" s="104">
        <f t="shared" ref="AH41:AJ59" si="11">$AG41+AM41</f>
        <v>70.11</v>
      </c>
      <c r="AI41" s="80">
        <f t="shared" si="11"/>
        <v>64.45</v>
      </c>
      <c r="AJ41" s="80">
        <f t="shared" si="11"/>
        <v>65.690000000000012</v>
      </c>
      <c r="AK41" s="80">
        <f t="shared" si="3"/>
        <v>68.190000000000012</v>
      </c>
      <c r="AL41" s="79"/>
      <c r="AM41" s="80">
        <v>-0.68000000000000105</v>
      </c>
      <c r="AN41" s="80">
        <v>-6.34</v>
      </c>
      <c r="AO41" s="80">
        <v>-5.0999999999999996</v>
      </c>
      <c r="AP41" s="80">
        <v>-2.6</v>
      </c>
    </row>
    <row r="42" spans="1:42">
      <c r="AF42" s="80">
        <v>43</v>
      </c>
      <c r="AG42" s="104">
        <f t="shared" si="1"/>
        <v>74.13</v>
      </c>
      <c r="AH42" s="104">
        <f t="shared" si="11"/>
        <v>73.459999999999994</v>
      </c>
      <c r="AI42" s="80">
        <f t="shared" si="11"/>
        <v>67.92</v>
      </c>
      <c r="AJ42" s="80">
        <f t="shared" si="11"/>
        <v>69.13</v>
      </c>
      <c r="AK42" s="104">
        <f t="shared" si="3"/>
        <v>71.58</v>
      </c>
      <c r="AL42" s="79"/>
      <c r="AM42" s="80">
        <v>-0.67000000000000204</v>
      </c>
      <c r="AN42" s="80">
        <v>-6.21</v>
      </c>
      <c r="AO42" s="80">
        <v>-5</v>
      </c>
      <c r="AP42" s="80">
        <v>-2.5499999999999998</v>
      </c>
    </row>
    <row r="43" spans="1:42">
      <c r="AF43" s="80">
        <v>44</v>
      </c>
      <c r="AG43" s="104">
        <f t="shared" si="1"/>
        <v>77.62</v>
      </c>
      <c r="AH43" s="104">
        <f t="shared" si="11"/>
        <v>76.960000000000008</v>
      </c>
      <c r="AI43" s="104">
        <f t="shared" si="11"/>
        <v>71.540000000000006</v>
      </c>
      <c r="AJ43" s="104">
        <f t="shared" si="11"/>
        <v>72.72</v>
      </c>
      <c r="AK43" s="104">
        <f t="shared" si="3"/>
        <v>75.12</v>
      </c>
      <c r="AL43" s="79"/>
      <c r="AM43" s="80">
        <v>-0.66000000000000203</v>
      </c>
      <c r="AN43" s="80">
        <v>-6.08</v>
      </c>
      <c r="AO43" s="80">
        <v>-4.9000000000000004</v>
      </c>
      <c r="AP43" s="80">
        <v>-2.5</v>
      </c>
    </row>
    <row r="44" spans="1:42">
      <c r="AF44" s="80">
        <v>45</v>
      </c>
      <c r="AG44" s="104">
        <f t="shared" si="1"/>
        <v>81.28</v>
      </c>
      <c r="AH44" s="104">
        <f t="shared" si="11"/>
        <v>80.63</v>
      </c>
      <c r="AI44" s="104">
        <f t="shared" si="11"/>
        <v>75.33</v>
      </c>
      <c r="AJ44" s="104">
        <f t="shared" si="11"/>
        <v>76.48</v>
      </c>
      <c r="AK44" s="104">
        <f t="shared" si="3"/>
        <v>78.83</v>
      </c>
      <c r="AL44" s="79"/>
      <c r="AM44" s="80">
        <v>-0.65000000000000202</v>
      </c>
      <c r="AN44" s="80">
        <v>-5.95</v>
      </c>
      <c r="AO44" s="80">
        <v>-4.8</v>
      </c>
      <c r="AP44" s="80">
        <v>-2.4500000000000002</v>
      </c>
    </row>
    <row r="45" spans="1:42">
      <c r="AF45" s="80">
        <v>46</v>
      </c>
      <c r="AG45" s="104">
        <f t="shared" si="1"/>
        <v>85.11</v>
      </c>
      <c r="AH45" s="104">
        <f t="shared" si="11"/>
        <v>84.47</v>
      </c>
      <c r="AI45" s="104">
        <f t="shared" si="11"/>
        <v>79.289999999999992</v>
      </c>
      <c r="AJ45" s="104">
        <f t="shared" si="11"/>
        <v>80.41</v>
      </c>
      <c r="AK45" s="104">
        <f t="shared" si="3"/>
        <v>82.71</v>
      </c>
      <c r="AL45" s="79"/>
      <c r="AM45" s="80">
        <v>-0.64000000000000201</v>
      </c>
      <c r="AN45" s="80">
        <v>-5.82</v>
      </c>
      <c r="AO45" s="80">
        <v>-4.7</v>
      </c>
      <c r="AP45" s="80">
        <v>-2.4</v>
      </c>
    </row>
    <row r="46" spans="1:42" ht="18" customHeight="1">
      <c r="A46" s="174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AF46" s="80">
        <v>47</v>
      </c>
      <c r="AG46" s="104">
        <f t="shared" si="1"/>
        <v>89.12</v>
      </c>
      <c r="AH46" s="104">
        <f t="shared" si="11"/>
        <v>88.490000000000009</v>
      </c>
      <c r="AI46" s="104">
        <f t="shared" si="11"/>
        <v>83.43</v>
      </c>
      <c r="AJ46" s="104">
        <f t="shared" si="11"/>
        <v>84.52000000000001</v>
      </c>
      <c r="AK46" s="104">
        <f t="shared" si="3"/>
        <v>86.77000000000001</v>
      </c>
      <c r="AL46" s="79"/>
      <c r="AM46" s="80">
        <v>-0.630000000000002</v>
      </c>
      <c r="AN46" s="80">
        <v>-5.69</v>
      </c>
      <c r="AO46" s="80">
        <v>-4.5999999999999996</v>
      </c>
      <c r="AP46" s="80">
        <v>-2.35</v>
      </c>
    </row>
    <row r="47" spans="1:42" ht="18" customHeight="1">
      <c r="A47" s="174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AF47" s="80">
        <v>48</v>
      </c>
      <c r="AG47" s="104">
        <f t="shared" si="1"/>
        <v>93.32</v>
      </c>
      <c r="AH47" s="104">
        <f t="shared" si="11"/>
        <v>92.699999999999989</v>
      </c>
      <c r="AI47" s="104">
        <f t="shared" si="11"/>
        <v>87.759999999999991</v>
      </c>
      <c r="AJ47" s="104">
        <f t="shared" si="11"/>
        <v>88.82</v>
      </c>
      <c r="AK47" s="104">
        <f t="shared" si="3"/>
        <v>91.02</v>
      </c>
      <c r="AL47" s="79"/>
      <c r="AM47" s="80">
        <v>-0.62000000000000199</v>
      </c>
      <c r="AN47" s="80">
        <v>-5.56</v>
      </c>
      <c r="AO47" s="80">
        <v>-4.5</v>
      </c>
      <c r="AP47" s="80">
        <v>-2.2999999999999998</v>
      </c>
    </row>
    <row r="48" spans="1:42">
      <c r="AF48" s="80">
        <v>49</v>
      </c>
      <c r="AG48" s="104">
        <f t="shared" si="1"/>
        <v>97.72</v>
      </c>
      <c r="AH48" s="104">
        <f t="shared" si="11"/>
        <v>97.11</v>
      </c>
      <c r="AI48" s="104">
        <f t="shared" si="11"/>
        <v>92.289999999999992</v>
      </c>
      <c r="AJ48" s="104">
        <f t="shared" si="11"/>
        <v>93.32</v>
      </c>
      <c r="AK48" s="104">
        <f t="shared" si="3"/>
        <v>95.47</v>
      </c>
      <c r="AL48" s="79"/>
      <c r="AM48" s="80">
        <v>-0.61000000000000199</v>
      </c>
      <c r="AN48" s="80">
        <v>-5.43</v>
      </c>
      <c r="AO48" s="80">
        <v>-4.4000000000000004</v>
      </c>
      <c r="AP48" s="80">
        <v>-2.25</v>
      </c>
    </row>
    <row r="49" spans="1:42">
      <c r="AF49" s="80">
        <v>50</v>
      </c>
      <c r="AG49" s="123">
        <f t="shared" si="1"/>
        <v>102.32</v>
      </c>
      <c r="AH49" s="123">
        <f t="shared" si="11"/>
        <v>101.72</v>
      </c>
      <c r="AI49" s="104">
        <f t="shared" si="11"/>
        <v>97.02</v>
      </c>
      <c r="AJ49" s="104">
        <f t="shared" si="11"/>
        <v>98.02</v>
      </c>
      <c r="AK49" s="123">
        <f t="shared" si="3"/>
        <v>100.11999999999999</v>
      </c>
      <c r="AL49" s="79"/>
      <c r="AM49" s="104">
        <v>-0.6</v>
      </c>
      <c r="AN49" s="104">
        <v>-5.3</v>
      </c>
      <c r="AO49" s="104">
        <v>-4.3</v>
      </c>
      <c r="AP49" s="104">
        <v>-2.2000000000000002</v>
      </c>
    </row>
    <row r="50" spans="1:42">
      <c r="AF50" s="80">
        <v>51</v>
      </c>
      <c r="AG50" s="123">
        <f t="shared" si="1"/>
        <v>107.15</v>
      </c>
      <c r="AH50" s="123">
        <f t="shared" si="11"/>
        <v>106.57000000000001</v>
      </c>
      <c r="AI50" s="123">
        <f t="shared" si="11"/>
        <v>101.98</v>
      </c>
      <c r="AJ50" s="123">
        <f t="shared" si="11"/>
        <v>102.95</v>
      </c>
      <c r="AK50" s="123">
        <f t="shared" si="3"/>
        <v>105</v>
      </c>
      <c r="AL50" s="79"/>
      <c r="AM50" s="80">
        <v>-0.57999999999999996</v>
      </c>
      <c r="AN50" s="80">
        <v>-5.17</v>
      </c>
      <c r="AO50" s="80">
        <v>-4.2</v>
      </c>
      <c r="AP50" s="80">
        <v>-2.15</v>
      </c>
    </row>
    <row r="51" spans="1:42">
      <c r="I51" s="95"/>
      <c r="J51" s="96"/>
      <c r="K51" s="95"/>
      <c r="L51" s="96"/>
      <c r="M51" s="96"/>
      <c r="AF51" s="80">
        <v>52</v>
      </c>
      <c r="AG51" s="123">
        <f t="shared" si="1"/>
        <v>112.2</v>
      </c>
      <c r="AH51" s="123">
        <f t="shared" si="11"/>
        <v>111.64</v>
      </c>
      <c r="AI51" s="123">
        <f t="shared" si="11"/>
        <v>107.16</v>
      </c>
      <c r="AJ51" s="123">
        <f t="shared" si="11"/>
        <v>108.10000000000001</v>
      </c>
      <c r="AK51" s="123">
        <f t="shared" si="3"/>
        <v>110.10000000000001</v>
      </c>
      <c r="AL51" s="79"/>
      <c r="AM51" s="80">
        <v>-0.56000000000000005</v>
      </c>
      <c r="AN51" s="80">
        <v>-5.04</v>
      </c>
      <c r="AO51" s="80">
        <v>-4.0999999999999996</v>
      </c>
      <c r="AP51" s="80">
        <v>-2.1</v>
      </c>
    </row>
    <row r="52" spans="1:42">
      <c r="AF52" s="80">
        <v>53</v>
      </c>
      <c r="AG52" s="123">
        <f t="shared" si="1"/>
        <v>117.48</v>
      </c>
      <c r="AH52" s="123">
        <f t="shared" si="11"/>
        <v>116.94</v>
      </c>
      <c r="AI52" s="123">
        <f t="shared" si="11"/>
        <v>112.57000000000001</v>
      </c>
      <c r="AJ52" s="123">
        <f t="shared" si="11"/>
        <v>113.48</v>
      </c>
      <c r="AK52" s="123">
        <f t="shared" si="3"/>
        <v>115.43</v>
      </c>
      <c r="AL52" s="79"/>
      <c r="AM52" s="80">
        <v>-0.54</v>
      </c>
      <c r="AN52" s="80">
        <v>-4.91</v>
      </c>
      <c r="AO52" s="80">
        <v>-4</v>
      </c>
      <c r="AP52" s="80">
        <v>-2.0499999999999998</v>
      </c>
    </row>
    <row r="53" spans="1:42">
      <c r="AF53" s="80">
        <v>54</v>
      </c>
      <c r="AG53" s="123">
        <f t="shared" si="1"/>
        <v>123.02</v>
      </c>
      <c r="AH53" s="123">
        <f t="shared" si="11"/>
        <v>122.5</v>
      </c>
      <c r="AI53" s="123">
        <f t="shared" si="11"/>
        <v>118.24</v>
      </c>
      <c r="AJ53" s="123">
        <f t="shared" si="11"/>
        <v>119.11999999999999</v>
      </c>
      <c r="AK53" s="123">
        <f t="shared" si="3"/>
        <v>121.02</v>
      </c>
      <c r="AL53" s="79"/>
      <c r="AM53" s="80">
        <v>-0.52</v>
      </c>
      <c r="AN53" s="80">
        <v>-4.78</v>
      </c>
      <c r="AO53" s="80">
        <v>-3.9</v>
      </c>
      <c r="AP53" s="80">
        <v>-2</v>
      </c>
    </row>
    <row r="54" spans="1:42">
      <c r="AF54" s="80">
        <v>55</v>
      </c>
      <c r="AG54" s="123">
        <f t="shared" si="1"/>
        <v>128.82</v>
      </c>
      <c r="AH54" s="123">
        <f t="shared" si="11"/>
        <v>128.32</v>
      </c>
      <c r="AI54" s="123">
        <f t="shared" si="11"/>
        <v>124.16999999999999</v>
      </c>
      <c r="AJ54" s="123">
        <f t="shared" si="11"/>
        <v>125.02</v>
      </c>
      <c r="AK54" s="123">
        <f t="shared" si="3"/>
        <v>126.86999999999999</v>
      </c>
      <c r="AL54" s="79"/>
      <c r="AM54" s="80">
        <v>-0.5</v>
      </c>
      <c r="AN54" s="80">
        <v>-4.6500000000000004</v>
      </c>
      <c r="AO54" s="80">
        <v>-3.8</v>
      </c>
      <c r="AP54" s="80">
        <v>-1.95</v>
      </c>
    </row>
    <row r="55" spans="1:42">
      <c r="N55" s="80" t="s">
        <v>49</v>
      </c>
      <c r="AF55" s="80">
        <v>56</v>
      </c>
      <c r="AG55" s="124">
        <f t="shared" si="1"/>
        <v>134.88999999999999</v>
      </c>
      <c r="AH55" s="124">
        <f t="shared" si="11"/>
        <v>134.41</v>
      </c>
      <c r="AI55" s="124">
        <f t="shared" si="11"/>
        <v>130.36999999999998</v>
      </c>
      <c r="AJ55" s="124">
        <f t="shared" si="11"/>
        <v>131.19</v>
      </c>
      <c r="AK55" s="124">
        <f t="shared" si="3"/>
        <v>132.98999999999998</v>
      </c>
      <c r="AL55" s="79"/>
      <c r="AM55" s="80">
        <v>-0.48</v>
      </c>
      <c r="AN55" s="80">
        <v>-4.5199999999999996</v>
      </c>
      <c r="AO55" s="80">
        <v>-3.7</v>
      </c>
      <c r="AP55" s="80">
        <v>-1.9</v>
      </c>
    </row>
    <row r="56" spans="1:42">
      <c r="F56" s="80" t="s">
        <v>57</v>
      </c>
      <c r="N56" s="80" t="s">
        <v>51</v>
      </c>
      <c r="AF56" s="80">
        <v>57</v>
      </c>
      <c r="AG56" s="124">
        <f t="shared" si="1"/>
        <v>141.25</v>
      </c>
      <c r="AH56" s="124">
        <f t="shared" si="11"/>
        <v>140.79</v>
      </c>
      <c r="AI56" s="124">
        <f t="shared" si="11"/>
        <v>136.86000000000001</v>
      </c>
      <c r="AJ56" s="124">
        <f t="shared" si="11"/>
        <v>137.65</v>
      </c>
      <c r="AK56" s="124">
        <f t="shared" si="3"/>
        <v>139.4</v>
      </c>
      <c r="AL56" s="79"/>
      <c r="AM56" s="80">
        <v>-0.46</v>
      </c>
      <c r="AN56" s="80">
        <v>-4.3899999999999997</v>
      </c>
      <c r="AO56" s="80">
        <v>-3.6</v>
      </c>
      <c r="AP56" s="80">
        <v>-1.85</v>
      </c>
    </row>
    <row r="57" spans="1:42">
      <c r="B57" s="80">
        <v>1</v>
      </c>
      <c r="F57" s="80" t="s">
        <v>30</v>
      </c>
      <c r="G57" s="80" t="s">
        <v>31</v>
      </c>
      <c r="H57" s="80" t="s">
        <v>35</v>
      </c>
      <c r="I57" s="80" t="s">
        <v>32</v>
      </c>
      <c r="AF57" s="80">
        <v>58</v>
      </c>
      <c r="AG57" s="124">
        <f t="shared" si="1"/>
        <v>147.91</v>
      </c>
      <c r="AH57" s="124">
        <f t="shared" si="11"/>
        <v>147.47</v>
      </c>
      <c r="AI57" s="124">
        <f t="shared" si="11"/>
        <v>143.65</v>
      </c>
      <c r="AJ57" s="124">
        <f t="shared" si="11"/>
        <v>144.41</v>
      </c>
      <c r="AK57" s="124">
        <f t="shared" si="3"/>
        <v>146.10999999999999</v>
      </c>
      <c r="AL57" s="79"/>
      <c r="AM57" s="80">
        <v>-0.44</v>
      </c>
      <c r="AN57" s="80">
        <v>-4.26</v>
      </c>
      <c r="AO57" s="80">
        <v>-3.5</v>
      </c>
      <c r="AP57" s="80">
        <v>-1.8</v>
      </c>
    </row>
    <row r="58" spans="1:42">
      <c r="A58" s="80">
        <v>1</v>
      </c>
      <c r="B58" s="77">
        <f>B9</f>
        <v>41</v>
      </c>
      <c r="C58" s="77">
        <f>B10</f>
        <v>35</v>
      </c>
      <c r="D58" s="77">
        <f>B11</f>
        <v>41</v>
      </c>
      <c r="E58" s="77">
        <f>B12</f>
        <v>38</v>
      </c>
      <c r="F58" s="78" t="str">
        <f>IF(U1="좌",IF(C34="-90˚","↓",IF(C34="-45˚","↙",IF(C34="+0˚","←",IF(C34="45˚","↖",IF(C34="90˚","↑","?"))))),IF(C34="-90˚","↓",IF(C34="-45˚","↘",IF(C34="+0˚","→",IF(C34="45˚","↗",IF(C34="90˚","↑","?"))))))</f>
        <v>←</v>
      </c>
      <c r="G58" s="79">
        <f>B34</f>
        <v>43</v>
      </c>
      <c r="H58" s="80">
        <f>$P$5</f>
        <v>25</v>
      </c>
      <c r="I58" s="81">
        <f>D34</f>
        <v>71.599999999999994</v>
      </c>
      <c r="J58" s="80" t="str">
        <f>D36</f>
        <v>연암</v>
      </c>
      <c r="AF58" s="80">
        <v>59</v>
      </c>
      <c r="AG58" s="124">
        <f t="shared" si="1"/>
        <v>154.88</v>
      </c>
      <c r="AH58" s="124">
        <f t="shared" si="11"/>
        <v>154.46</v>
      </c>
      <c r="AI58" s="124">
        <f t="shared" si="11"/>
        <v>150.75</v>
      </c>
      <c r="AJ58" s="124">
        <f t="shared" si="11"/>
        <v>151.47999999999999</v>
      </c>
      <c r="AK58" s="124">
        <f t="shared" si="3"/>
        <v>153.13</v>
      </c>
      <c r="AL58" s="79"/>
      <c r="AM58" s="80">
        <v>-0.42</v>
      </c>
      <c r="AN58" s="80">
        <v>-4.13</v>
      </c>
      <c r="AO58" s="80">
        <v>-3.4</v>
      </c>
      <c r="AP58" s="80">
        <v>-1.75</v>
      </c>
    </row>
    <row r="59" spans="1:42">
      <c r="B59" s="77">
        <f>B13</f>
        <v>31</v>
      </c>
      <c r="C59" s="77">
        <f>B14</f>
        <v>41</v>
      </c>
      <c r="D59" s="77">
        <f>B15</f>
        <v>34</v>
      </c>
      <c r="E59" s="77">
        <f>B16</f>
        <v>37</v>
      </c>
      <c r="AF59" s="80">
        <v>60</v>
      </c>
      <c r="AG59" s="80">
        <f t="shared" si="1"/>
        <v>162.18</v>
      </c>
      <c r="AH59" s="80">
        <f t="shared" si="11"/>
        <v>161.78</v>
      </c>
      <c r="AI59" s="124">
        <f t="shared" si="11"/>
        <v>158.18</v>
      </c>
      <c r="AJ59" s="124">
        <f t="shared" si="11"/>
        <v>158.88</v>
      </c>
      <c r="AK59" s="82">
        <f t="shared" si="3"/>
        <v>160.48000000000002</v>
      </c>
      <c r="AL59" s="79"/>
      <c r="AM59" s="104">
        <v>-0.4</v>
      </c>
      <c r="AN59" s="104">
        <v>-4</v>
      </c>
      <c r="AO59" s="104">
        <v>-3.3</v>
      </c>
      <c r="AP59" s="104">
        <v>-1.7</v>
      </c>
    </row>
    <row r="60" spans="1:42">
      <c r="B60" s="77">
        <f>B17</f>
        <v>43</v>
      </c>
      <c r="C60" s="77">
        <f>B18</f>
        <v>45</v>
      </c>
      <c r="D60" s="77">
        <f>B19</f>
        <v>40</v>
      </c>
      <c r="E60" s="77">
        <f>B20</f>
        <v>44</v>
      </c>
    </row>
    <row r="61" spans="1:42">
      <c r="B61" s="77">
        <f>B21</f>
        <v>45</v>
      </c>
      <c r="C61" s="77">
        <f>B22</f>
        <v>43</v>
      </c>
      <c r="D61" s="77">
        <f>B23</f>
        <v>41</v>
      </c>
      <c r="E61" s="77">
        <f>B24</f>
        <v>39</v>
      </c>
    </row>
    <row r="62" spans="1:42">
      <c r="B62" s="77">
        <f>B25</f>
        <v>35</v>
      </c>
      <c r="C62" s="77">
        <f>B26</f>
        <v>37</v>
      </c>
      <c r="D62" s="77">
        <f>B27</f>
        <v>33</v>
      </c>
      <c r="E62" s="77">
        <f>B28</f>
        <v>41</v>
      </c>
      <c r="O62" s="125"/>
    </row>
    <row r="63" spans="1:42">
      <c r="A63" s="80">
        <v>2</v>
      </c>
      <c r="B63" s="77">
        <f>E9</f>
        <v>21</v>
      </c>
      <c r="C63" s="77">
        <f>E10</f>
        <v>48</v>
      </c>
      <c r="D63" s="77">
        <f>E11</f>
        <v>30</v>
      </c>
      <c r="E63" s="77">
        <f>E12</f>
        <v>65</v>
      </c>
      <c r="F63" s="78" t="str">
        <f>IF(U2="좌",IF(F34="-90˚","↓",IF(F34="-45˚","↙",IF(F34="+0˚","←",IF(F34="45˚","↖",IF(F34="90˚","↑","?"))))),IF(F34="-90˚","↓",IF(F34="-45˚","↘",IF(F34="+0˚","→",IF(F34="45˚","↗",IF(F34="90˚","↑","?"))))))</f>
        <v>←</v>
      </c>
      <c r="G63" s="79">
        <f>E34</f>
        <v>46</v>
      </c>
      <c r="H63" s="80">
        <f>$P$5</f>
        <v>25</v>
      </c>
      <c r="I63" s="81">
        <f>G34</f>
        <v>82.7</v>
      </c>
      <c r="J63" s="80" t="str">
        <f>G36</f>
        <v>연암</v>
      </c>
    </row>
    <row r="64" spans="1:42">
      <c r="B64" s="77">
        <f>E13</f>
        <v>24</v>
      </c>
      <c r="C64" s="77">
        <f>E14</f>
        <v>30</v>
      </c>
      <c r="D64" s="77">
        <f>E15</f>
        <v>59</v>
      </c>
      <c r="E64" s="77">
        <f>E16</f>
        <v>44</v>
      </c>
    </row>
    <row r="65" spans="1:10">
      <c r="B65" s="77">
        <f>E17</f>
        <v>36</v>
      </c>
      <c r="C65" s="77">
        <f>E18</f>
        <v>35</v>
      </c>
      <c r="D65" s="77">
        <f>E19</f>
        <v>29</v>
      </c>
      <c r="E65" s="77">
        <f>E20</f>
        <v>36</v>
      </c>
    </row>
    <row r="66" spans="1:10">
      <c r="B66" s="77">
        <f>E21</f>
        <v>25</v>
      </c>
      <c r="C66" s="77">
        <f>E22</f>
        <v>32</v>
      </c>
      <c r="D66" s="77">
        <f>E23</f>
        <v>32</v>
      </c>
      <c r="E66" s="77">
        <f>E24</f>
        <v>26</v>
      </c>
    </row>
    <row r="67" spans="1:10">
      <c r="B67" s="77">
        <f>E25</f>
        <v>39</v>
      </c>
      <c r="C67" s="77">
        <f>E26</f>
        <v>35</v>
      </c>
      <c r="D67" s="77">
        <f>E27</f>
        <v>46</v>
      </c>
      <c r="E67" s="77">
        <f>E28</f>
        <v>48</v>
      </c>
    </row>
    <row r="68" spans="1:10">
      <c r="A68" s="80">
        <v>3</v>
      </c>
      <c r="B68" s="77">
        <f>H9</f>
        <v>39</v>
      </c>
      <c r="C68" s="77">
        <f>H10</f>
        <v>42</v>
      </c>
      <c r="D68" s="77">
        <f>H11</f>
        <v>32</v>
      </c>
      <c r="E68" s="77">
        <f>H12</f>
        <v>33</v>
      </c>
      <c r="F68" s="78" t="str">
        <f>IF(U3="좌",IF(I34="-90˚","↓",IF(I34="-45˚","↙",IF(I34="+0˚","←",IF(I34="45˚","↖",IF(I34="90˚","↑","?"))))),IF(I34="-90˚","↓",IF(I34="-45˚","↘",IF(I34="+0˚","→",IF(I34="45˚","↗",IF(I34="90˚","↑","?"))))))</f>
        <v>↙</v>
      </c>
      <c r="G68" s="79">
        <f>H34</f>
        <v>43</v>
      </c>
      <c r="H68" s="80">
        <f>$P$5</f>
        <v>25</v>
      </c>
      <c r="I68" s="81">
        <f>J34</f>
        <v>73.5</v>
      </c>
      <c r="J68" s="80" t="str">
        <f>J36</f>
        <v>연암</v>
      </c>
    </row>
    <row r="69" spans="1:10">
      <c r="B69" s="77">
        <f>H13</f>
        <v>42</v>
      </c>
      <c r="C69" s="77">
        <f>H14</f>
        <v>34</v>
      </c>
      <c r="D69" s="77">
        <f>H15</f>
        <v>32</v>
      </c>
      <c r="E69" s="77">
        <f>H16</f>
        <v>45</v>
      </c>
    </row>
    <row r="70" spans="1:10">
      <c r="B70" s="77">
        <f>H17</f>
        <v>38</v>
      </c>
      <c r="C70" s="77">
        <f>H18</f>
        <v>39</v>
      </c>
      <c r="D70" s="77">
        <f>H19</f>
        <v>48</v>
      </c>
      <c r="E70" s="77">
        <f>H20</f>
        <v>34</v>
      </c>
    </row>
    <row r="71" spans="1:10">
      <c r="B71" s="77">
        <f>H21</f>
        <v>49</v>
      </c>
      <c r="C71" s="77">
        <f>H22</f>
        <v>39</v>
      </c>
      <c r="D71" s="77">
        <f>H23</f>
        <v>35</v>
      </c>
      <c r="E71" s="77">
        <f>H24</f>
        <v>37</v>
      </c>
    </row>
    <row r="72" spans="1:10">
      <c r="B72" s="77">
        <f>H25</f>
        <v>48</v>
      </c>
      <c r="C72" s="77">
        <f>H26</f>
        <v>32</v>
      </c>
      <c r="D72" s="77">
        <f>H27</f>
        <v>34</v>
      </c>
      <c r="E72" s="77">
        <f>H28</f>
        <v>40</v>
      </c>
    </row>
    <row r="73" spans="1:10">
      <c r="A73" s="80">
        <v>4</v>
      </c>
      <c r="B73" s="77">
        <f>K9</f>
        <v>0</v>
      </c>
      <c r="C73" s="77">
        <f>K10</f>
        <v>0</v>
      </c>
      <c r="D73" s="77">
        <f>K11</f>
        <v>0</v>
      </c>
      <c r="E73" s="77">
        <f>K12</f>
        <v>0</v>
      </c>
      <c r="F73" s="78" t="str">
        <f>IF(U4="좌",IF(L34="-90˚","↓",IF(L34="-45˚","↙",IF(L34="+0˚","←",IF(L34="45˚","↖",IF(L34="90˚","↑","?"))))),IF(L34="-90˚","↓",IF(L34="-45˚","↘",IF(L34="+0˚","→",IF(L34="45˚","↗",IF(L34="90˚","↑","?"))))))</f>
        <v>?</v>
      </c>
      <c r="G73" s="79">
        <f>K34</f>
        <v>0</v>
      </c>
      <c r="H73" s="80">
        <f>$P$5</f>
        <v>25</v>
      </c>
      <c r="I73" s="81">
        <f>M34</f>
        <v>0</v>
      </c>
      <c r="J73" s="80" t="str">
        <f>M36</f>
        <v>풍화암</v>
      </c>
    </row>
    <row r="74" spans="1:10">
      <c r="B74" s="77">
        <f>K13</f>
        <v>0</v>
      </c>
      <c r="C74" s="77">
        <f>K14</f>
        <v>0</v>
      </c>
      <c r="D74" s="77">
        <f>K15</f>
        <v>0</v>
      </c>
      <c r="E74" s="77">
        <f>K16</f>
        <v>0</v>
      </c>
    </row>
    <row r="75" spans="1:10">
      <c r="B75" s="77">
        <f>K17</f>
        <v>0</v>
      </c>
      <c r="C75" s="77">
        <f>K18</f>
        <v>0</v>
      </c>
      <c r="D75" s="77">
        <f>K19</f>
        <v>0</v>
      </c>
      <c r="E75" s="77">
        <f>K20</f>
        <v>0</v>
      </c>
    </row>
    <row r="76" spans="1:10">
      <c r="B76" s="77">
        <f>K21</f>
        <v>0</v>
      </c>
      <c r="C76" s="77">
        <f>K22</f>
        <v>0</v>
      </c>
      <c r="D76" s="77">
        <f>K23</f>
        <v>0</v>
      </c>
      <c r="E76" s="77">
        <f>K24</f>
        <v>0</v>
      </c>
    </row>
    <row r="77" spans="1:10">
      <c r="B77" s="77">
        <f>K25</f>
        <v>0</v>
      </c>
      <c r="C77" s="77">
        <f>K26</f>
        <v>0</v>
      </c>
      <c r="D77" s="77">
        <f>K27</f>
        <v>0</v>
      </c>
      <c r="E77" s="77">
        <f>K28</f>
        <v>0</v>
      </c>
    </row>
  </sheetData>
  <mergeCells count="17">
    <mergeCell ref="A37:M37"/>
    <mergeCell ref="A46:M46"/>
    <mergeCell ref="A47:M47"/>
    <mergeCell ref="B7:D7"/>
    <mergeCell ref="E7:G7"/>
    <mergeCell ref="H7:J7"/>
    <mergeCell ref="K7:M7"/>
    <mergeCell ref="B35:D35"/>
    <mergeCell ref="E35:G35"/>
    <mergeCell ref="H35:J35"/>
    <mergeCell ref="K35:M35"/>
    <mergeCell ref="A5:M5"/>
    <mergeCell ref="A1:M2"/>
    <mergeCell ref="A3:M3"/>
    <mergeCell ref="N3:O3"/>
    <mergeCell ref="P3:Q3"/>
    <mergeCell ref="A4:M4"/>
  </mergeCells>
  <phoneticPr fontId="2" type="noConversion"/>
  <dataValidations count="2">
    <dataValidation type="list" allowBlank="1" showInputMessage="1" showErrorMessage="1" sqref="U1:U4" xr:uid="{E593E31D-4288-40DD-8C90-F21AFD47147C}">
      <formula1>$N$55:$N$56</formula1>
    </dataValidation>
    <dataValidation type="list" allowBlank="1" showInputMessage="1" showErrorMessage="1" sqref="C9 L9 I9 F9" xr:uid="{8EBF40B4-E58F-4583-94E9-4329112A99DE}">
      <formula1>$AG$8:$AK$8</formula1>
    </dataValidation>
  </dataValidations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D5BB8-449F-4605-9B8B-5C3AB426C4F8}">
  <dimension ref="B1:K81"/>
  <sheetViews>
    <sheetView topLeftCell="A58" workbookViewId="0">
      <selection activeCell="N27" sqref="N27"/>
    </sheetView>
  </sheetViews>
  <sheetFormatPr defaultRowHeight="12"/>
  <cols>
    <col min="1" max="16384" width="8.88671875" style="137"/>
  </cols>
  <sheetData>
    <row r="1" spans="2:11" ht="12.75" thickBot="1"/>
    <row r="2" spans="2:11">
      <c r="B2" s="183" t="s">
        <v>99</v>
      </c>
      <c r="C2" s="84">
        <v>56</v>
      </c>
      <c r="D2" s="84">
        <v>54</v>
      </c>
      <c r="E2" s="84">
        <v>50</v>
      </c>
      <c r="F2" s="84">
        <v>50</v>
      </c>
      <c r="G2" s="186" t="s">
        <v>116</v>
      </c>
      <c r="H2" s="186">
        <v>50</v>
      </c>
      <c r="I2" s="186">
        <v>25</v>
      </c>
      <c r="J2" s="186">
        <v>98</v>
      </c>
      <c r="K2" s="189" t="s">
        <v>95</v>
      </c>
    </row>
    <row r="3" spans="2:11">
      <c r="B3" s="184"/>
      <c r="C3" s="83">
        <v>42</v>
      </c>
      <c r="D3" s="83">
        <v>50</v>
      </c>
      <c r="E3" s="83">
        <v>50</v>
      </c>
      <c r="F3" s="83">
        <v>48</v>
      </c>
      <c r="G3" s="187"/>
      <c r="H3" s="187"/>
      <c r="I3" s="187"/>
      <c r="J3" s="187"/>
      <c r="K3" s="190"/>
    </row>
    <row r="4" spans="2:11">
      <c r="B4" s="184"/>
      <c r="C4" s="83">
        <v>48</v>
      </c>
      <c r="D4" s="83">
        <v>42</v>
      </c>
      <c r="E4" s="83">
        <v>48</v>
      </c>
      <c r="F4" s="83">
        <v>48</v>
      </c>
      <c r="G4" s="187"/>
      <c r="H4" s="187"/>
      <c r="I4" s="187"/>
      <c r="J4" s="187"/>
      <c r="K4" s="190"/>
    </row>
    <row r="5" spans="2:11">
      <c r="B5" s="184"/>
      <c r="C5" s="83">
        <v>46</v>
      </c>
      <c r="D5" s="83">
        <v>46</v>
      </c>
      <c r="E5" s="83">
        <v>40</v>
      </c>
      <c r="F5" s="83">
        <v>46</v>
      </c>
      <c r="G5" s="187"/>
      <c r="H5" s="187"/>
      <c r="I5" s="187"/>
      <c r="J5" s="187"/>
      <c r="K5" s="190"/>
    </row>
    <row r="6" spans="2:11" ht="12.75" thickBot="1">
      <c r="B6" s="184"/>
      <c r="C6" s="86">
        <v>46</v>
      </c>
      <c r="D6" s="86">
        <v>44</v>
      </c>
      <c r="E6" s="86">
        <v>44</v>
      </c>
      <c r="F6" s="86">
        <v>38</v>
      </c>
      <c r="G6" s="187"/>
      <c r="H6" s="187"/>
      <c r="I6" s="187"/>
      <c r="J6" s="187"/>
      <c r="K6" s="190"/>
    </row>
    <row r="7" spans="2:11">
      <c r="B7" s="183" t="s">
        <v>100</v>
      </c>
      <c r="C7" s="84">
        <v>52</v>
      </c>
      <c r="D7" s="84">
        <v>50</v>
      </c>
      <c r="E7" s="84">
        <v>46</v>
      </c>
      <c r="F7" s="84">
        <v>47</v>
      </c>
      <c r="G7" s="186" t="s">
        <v>96</v>
      </c>
      <c r="H7" s="186">
        <v>51</v>
      </c>
      <c r="I7" s="186">
        <v>25</v>
      </c>
      <c r="J7" s="186">
        <v>105</v>
      </c>
      <c r="K7" s="189" t="s">
        <v>94</v>
      </c>
    </row>
    <row r="8" spans="2:11">
      <c r="B8" s="184"/>
      <c r="C8" s="83">
        <v>53</v>
      </c>
      <c r="D8" s="83">
        <v>47</v>
      </c>
      <c r="E8" s="83">
        <v>50</v>
      </c>
      <c r="F8" s="83">
        <v>48</v>
      </c>
      <c r="G8" s="187"/>
      <c r="H8" s="187"/>
      <c r="I8" s="187"/>
      <c r="J8" s="187"/>
      <c r="K8" s="190"/>
    </row>
    <row r="9" spans="2:11">
      <c r="B9" s="184"/>
      <c r="C9" s="83">
        <v>45</v>
      </c>
      <c r="D9" s="83">
        <v>43</v>
      </c>
      <c r="E9" s="83">
        <v>54</v>
      </c>
      <c r="F9" s="83">
        <v>45</v>
      </c>
      <c r="G9" s="187"/>
      <c r="H9" s="187"/>
      <c r="I9" s="187"/>
      <c r="J9" s="187"/>
      <c r="K9" s="190"/>
    </row>
    <row r="10" spans="2:11">
      <c r="B10" s="184"/>
      <c r="C10" s="83">
        <v>50</v>
      </c>
      <c r="D10" s="83">
        <v>51</v>
      </c>
      <c r="E10" s="83">
        <v>47</v>
      </c>
      <c r="F10" s="83">
        <v>48</v>
      </c>
      <c r="G10" s="187"/>
      <c r="H10" s="187"/>
      <c r="I10" s="187"/>
      <c r="J10" s="187"/>
      <c r="K10" s="190"/>
    </row>
    <row r="11" spans="2:11" ht="12.75" thickBot="1">
      <c r="B11" s="184"/>
      <c r="C11" s="86">
        <v>50</v>
      </c>
      <c r="D11" s="86">
        <v>45</v>
      </c>
      <c r="E11" s="86">
        <v>48</v>
      </c>
      <c r="F11" s="86">
        <v>52</v>
      </c>
      <c r="G11" s="187"/>
      <c r="H11" s="187"/>
      <c r="I11" s="187"/>
      <c r="J11" s="187"/>
      <c r="K11" s="190"/>
    </row>
    <row r="12" spans="2:11">
      <c r="B12" s="183" t="s">
        <v>101</v>
      </c>
      <c r="C12" s="84">
        <v>54</v>
      </c>
      <c r="D12" s="84">
        <v>48</v>
      </c>
      <c r="E12" s="84">
        <v>41</v>
      </c>
      <c r="F12" s="84">
        <v>47</v>
      </c>
      <c r="G12" s="186" t="s">
        <v>117</v>
      </c>
      <c r="H12" s="186">
        <v>50</v>
      </c>
      <c r="I12" s="186">
        <v>25</v>
      </c>
      <c r="J12" s="186">
        <v>101.7</v>
      </c>
      <c r="K12" s="189" t="s">
        <v>94</v>
      </c>
    </row>
    <row r="13" spans="2:11">
      <c r="B13" s="184"/>
      <c r="C13" s="83">
        <v>52</v>
      </c>
      <c r="D13" s="83">
        <v>47</v>
      </c>
      <c r="E13" s="83">
        <v>50</v>
      </c>
      <c r="F13" s="83">
        <v>46</v>
      </c>
      <c r="G13" s="187"/>
      <c r="H13" s="187"/>
      <c r="I13" s="187"/>
      <c r="J13" s="187"/>
      <c r="K13" s="190"/>
    </row>
    <row r="14" spans="2:11">
      <c r="B14" s="184"/>
      <c r="C14" s="83">
        <v>45</v>
      </c>
      <c r="D14" s="83">
        <v>49</v>
      </c>
      <c r="E14" s="83">
        <v>44</v>
      </c>
      <c r="F14" s="83">
        <v>50</v>
      </c>
      <c r="G14" s="187"/>
      <c r="H14" s="187"/>
      <c r="I14" s="187"/>
      <c r="J14" s="187"/>
      <c r="K14" s="190"/>
    </row>
    <row r="15" spans="2:11">
      <c r="B15" s="184"/>
      <c r="C15" s="83">
        <v>43</v>
      </c>
      <c r="D15" s="83">
        <v>51</v>
      </c>
      <c r="E15" s="83">
        <v>35</v>
      </c>
      <c r="F15" s="83">
        <v>43</v>
      </c>
      <c r="G15" s="187"/>
      <c r="H15" s="187"/>
      <c r="I15" s="187"/>
      <c r="J15" s="187"/>
      <c r="K15" s="190"/>
    </row>
    <row r="16" spans="2:11" ht="12.75" thickBot="1">
      <c r="B16" s="184"/>
      <c r="C16" s="86">
        <v>43</v>
      </c>
      <c r="D16" s="86">
        <v>50</v>
      </c>
      <c r="E16" s="86">
        <v>39</v>
      </c>
      <c r="F16" s="86">
        <v>52</v>
      </c>
      <c r="G16" s="187"/>
      <c r="H16" s="187"/>
      <c r="I16" s="187"/>
      <c r="J16" s="187"/>
      <c r="K16" s="190"/>
    </row>
    <row r="17" spans="2:11">
      <c r="B17" s="183" t="s">
        <v>102</v>
      </c>
      <c r="C17" s="84">
        <v>49</v>
      </c>
      <c r="D17" s="84">
        <v>50</v>
      </c>
      <c r="E17" s="84">
        <v>46</v>
      </c>
      <c r="F17" s="84">
        <v>47</v>
      </c>
      <c r="G17" s="186" t="s">
        <v>96</v>
      </c>
      <c r="H17" s="186">
        <v>47</v>
      </c>
      <c r="I17" s="186">
        <v>25</v>
      </c>
      <c r="J17" s="186">
        <v>86.8</v>
      </c>
      <c r="K17" s="189" t="s">
        <v>95</v>
      </c>
    </row>
    <row r="18" spans="2:11">
      <c r="B18" s="184"/>
      <c r="C18" s="83">
        <v>45</v>
      </c>
      <c r="D18" s="83">
        <v>47</v>
      </c>
      <c r="E18" s="83">
        <v>42</v>
      </c>
      <c r="F18" s="83">
        <v>43</v>
      </c>
      <c r="G18" s="187"/>
      <c r="H18" s="187"/>
      <c r="I18" s="187"/>
      <c r="J18" s="187"/>
      <c r="K18" s="190"/>
    </row>
    <row r="19" spans="2:11">
      <c r="B19" s="184"/>
      <c r="C19" s="83">
        <v>45</v>
      </c>
      <c r="D19" s="83">
        <v>43</v>
      </c>
      <c r="E19" s="83">
        <v>43</v>
      </c>
      <c r="F19" s="83">
        <v>45</v>
      </c>
      <c r="G19" s="187"/>
      <c r="H19" s="187"/>
      <c r="I19" s="187"/>
      <c r="J19" s="187"/>
      <c r="K19" s="190"/>
    </row>
    <row r="20" spans="2:11">
      <c r="B20" s="184"/>
      <c r="C20" s="83">
        <v>43</v>
      </c>
      <c r="D20" s="83">
        <v>42</v>
      </c>
      <c r="E20" s="83">
        <v>47</v>
      </c>
      <c r="F20" s="83">
        <v>48</v>
      </c>
      <c r="G20" s="187"/>
      <c r="H20" s="187"/>
      <c r="I20" s="187"/>
      <c r="J20" s="187"/>
      <c r="K20" s="190"/>
    </row>
    <row r="21" spans="2:11" ht="12.75" thickBot="1">
      <c r="B21" s="184"/>
      <c r="C21" s="86">
        <v>44</v>
      </c>
      <c r="D21" s="86">
        <v>45</v>
      </c>
      <c r="E21" s="86">
        <v>48</v>
      </c>
      <c r="F21" s="86">
        <v>44</v>
      </c>
      <c r="G21" s="187"/>
      <c r="H21" s="187"/>
      <c r="I21" s="187"/>
      <c r="J21" s="187"/>
      <c r="K21" s="190"/>
    </row>
    <row r="22" spans="2:11">
      <c r="B22" s="183" t="s">
        <v>103</v>
      </c>
      <c r="C22" s="84">
        <v>40</v>
      </c>
      <c r="D22" s="84">
        <v>52</v>
      </c>
      <c r="E22" s="84">
        <v>48</v>
      </c>
      <c r="F22" s="84">
        <v>41</v>
      </c>
      <c r="G22" s="186" t="s">
        <v>117</v>
      </c>
      <c r="H22" s="186">
        <v>49</v>
      </c>
      <c r="I22" s="186">
        <v>25</v>
      </c>
      <c r="J22" s="186">
        <v>97.1</v>
      </c>
      <c r="K22" s="189" t="s">
        <v>95</v>
      </c>
    </row>
    <row r="23" spans="2:11">
      <c r="B23" s="184"/>
      <c r="C23" s="83">
        <v>32</v>
      </c>
      <c r="D23" s="83">
        <v>48</v>
      </c>
      <c r="E23" s="83">
        <v>52</v>
      </c>
      <c r="F23" s="83">
        <v>50</v>
      </c>
      <c r="G23" s="187"/>
      <c r="H23" s="187"/>
      <c r="I23" s="187"/>
      <c r="J23" s="187"/>
      <c r="K23" s="190"/>
    </row>
    <row r="24" spans="2:11">
      <c r="B24" s="184"/>
      <c r="C24" s="83">
        <v>44</v>
      </c>
      <c r="D24" s="83">
        <v>44</v>
      </c>
      <c r="E24" s="83">
        <v>52</v>
      </c>
      <c r="F24" s="83">
        <v>35</v>
      </c>
      <c r="G24" s="187"/>
      <c r="H24" s="187"/>
      <c r="I24" s="187"/>
      <c r="J24" s="187"/>
      <c r="K24" s="190"/>
    </row>
    <row r="25" spans="2:11">
      <c r="B25" s="184"/>
      <c r="C25" s="83">
        <v>42</v>
      </c>
      <c r="D25" s="83">
        <v>34</v>
      </c>
      <c r="E25" s="83">
        <v>50</v>
      </c>
      <c r="F25" s="83">
        <v>42</v>
      </c>
      <c r="G25" s="187"/>
      <c r="H25" s="187"/>
      <c r="I25" s="187"/>
      <c r="J25" s="187"/>
      <c r="K25" s="190"/>
    </row>
    <row r="26" spans="2:11" ht="12.75" thickBot="1">
      <c r="B26" s="184"/>
      <c r="C26" s="86">
        <v>40</v>
      </c>
      <c r="D26" s="86">
        <v>48</v>
      </c>
      <c r="E26" s="86">
        <v>28</v>
      </c>
      <c r="F26" s="86">
        <v>39</v>
      </c>
      <c r="G26" s="187"/>
      <c r="H26" s="187"/>
      <c r="I26" s="187"/>
      <c r="J26" s="187"/>
      <c r="K26" s="190"/>
    </row>
    <row r="27" spans="2:11">
      <c r="B27" s="183" t="s">
        <v>104</v>
      </c>
      <c r="C27" s="84">
        <v>46</v>
      </c>
      <c r="D27" s="84">
        <v>46</v>
      </c>
      <c r="E27" s="84">
        <v>42</v>
      </c>
      <c r="F27" s="84">
        <v>50</v>
      </c>
      <c r="G27" s="186" t="s">
        <v>96</v>
      </c>
      <c r="H27" s="186">
        <v>48</v>
      </c>
      <c r="I27" s="186">
        <v>25</v>
      </c>
      <c r="J27" s="186">
        <v>91</v>
      </c>
      <c r="K27" s="189" t="s">
        <v>95</v>
      </c>
    </row>
    <row r="28" spans="2:11">
      <c r="B28" s="184"/>
      <c r="C28" s="83">
        <v>45</v>
      </c>
      <c r="D28" s="83">
        <v>26</v>
      </c>
      <c r="E28" s="83">
        <v>32</v>
      </c>
      <c r="F28" s="83">
        <v>54</v>
      </c>
      <c r="G28" s="187"/>
      <c r="H28" s="187"/>
      <c r="I28" s="187"/>
      <c r="J28" s="187"/>
      <c r="K28" s="190"/>
    </row>
    <row r="29" spans="2:11">
      <c r="B29" s="184"/>
      <c r="C29" s="83">
        <v>34</v>
      </c>
      <c r="D29" s="83">
        <v>42</v>
      </c>
      <c r="E29" s="83">
        <v>42</v>
      </c>
      <c r="F29" s="83">
        <v>35</v>
      </c>
      <c r="G29" s="187"/>
      <c r="H29" s="187"/>
      <c r="I29" s="187"/>
      <c r="J29" s="187"/>
      <c r="K29" s="190"/>
    </row>
    <row r="30" spans="2:11">
      <c r="B30" s="184"/>
      <c r="C30" s="83">
        <v>50</v>
      </c>
      <c r="D30" s="83">
        <v>42</v>
      </c>
      <c r="E30" s="83">
        <v>48</v>
      </c>
      <c r="F30" s="83">
        <v>34</v>
      </c>
      <c r="G30" s="187"/>
      <c r="H30" s="187"/>
      <c r="I30" s="187"/>
      <c r="J30" s="187"/>
      <c r="K30" s="190"/>
    </row>
    <row r="31" spans="2:11" ht="12.75" thickBot="1">
      <c r="B31" s="184"/>
      <c r="C31" s="86">
        <v>32</v>
      </c>
      <c r="D31" s="86">
        <v>50</v>
      </c>
      <c r="E31" s="86">
        <v>44</v>
      </c>
      <c r="F31" s="86">
        <v>39</v>
      </c>
      <c r="G31" s="187"/>
      <c r="H31" s="187"/>
      <c r="I31" s="187"/>
      <c r="J31" s="187"/>
      <c r="K31" s="190"/>
    </row>
    <row r="32" spans="2:11">
      <c r="B32" s="183" t="s">
        <v>105</v>
      </c>
      <c r="C32" s="84">
        <v>48</v>
      </c>
      <c r="D32" s="84">
        <v>48</v>
      </c>
      <c r="E32" s="84">
        <v>48</v>
      </c>
      <c r="F32" s="84">
        <v>47</v>
      </c>
      <c r="G32" s="186" t="s">
        <v>96</v>
      </c>
      <c r="H32" s="186">
        <v>46</v>
      </c>
      <c r="I32" s="186">
        <v>25</v>
      </c>
      <c r="J32" s="186">
        <v>82.7</v>
      </c>
      <c r="K32" s="189" t="s">
        <v>95</v>
      </c>
    </row>
    <row r="33" spans="2:11">
      <c r="B33" s="184"/>
      <c r="C33" s="83">
        <v>39</v>
      </c>
      <c r="D33" s="83">
        <v>47</v>
      </c>
      <c r="E33" s="83">
        <v>47</v>
      </c>
      <c r="F33" s="83">
        <v>46</v>
      </c>
      <c r="G33" s="187"/>
      <c r="H33" s="187"/>
      <c r="I33" s="187"/>
      <c r="J33" s="187"/>
      <c r="K33" s="190"/>
    </row>
    <row r="34" spans="2:11">
      <c r="B34" s="184"/>
      <c r="C34" s="83">
        <v>45</v>
      </c>
      <c r="D34" s="83">
        <v>37</v>
      </c>
      <c r="E34" s="83">
        <v>44</v>
      </c>
      <c r="F34" s="83">
        <v>43</v>
      </c>
      <c r="G34" s="187"/>
      <c r="H34" s="187"/>
      <c r="I34" s="187"/>
      <c r="J34" s="187"/>
      <c r="K34" s="190"/>
    </row>
    <row r="35" spans="2:11">
      <c r="B35" s="184"/>
      <c r="C35" s="83">
        <v>43</v>
      </c>
      <c r="D35" s="83">
        <v>43</v>
      </c>
      <c r="E35" s="83">
        <v>35</v>
      </c>
      <c r="F35" s="83">
        <v>43</v>
      </c>
      <c r="G35" s="187"/>
      <c r="H35" s="187"/>
      <c r="I35" s="187"/>
      <c r="J35" s="187"/>
      <c r="K35" s="190"/>
    </row>
    <row r="36" spans="2:11" ht="12.75" thickBot="1">
      <c r="B36" s="184"/>
      <c r="C36" s="86">
        <v>43</v>
      </c>
      <c r="D36" s="86">
        <v>39</v>
      </c>
      <c r="E36" s="86">
        <v>39</v>
      </c>
      <c r="F36" s="86">
        <v>34</v>
      </c>
      <c r="G36" s="187"/>
      <c r="H36" s="187"/>
      <c r="I36" s="187"/>
      <c r="J36" s="187"/>
      <c r="K36" s="190"/>
    </row>
    <row r="37" spans="2:11">
      <c r="B37" s="183" t="s">
        <v>106</v>
      </c>
      <c r="C37" s="84">
        <v>46</v>
      </c>
      <c r="D37" s="84">
        <v>45</v>
      </c>
      <c r="E37" s="84">
        <v>32</v>
      </c>
      <c r="F37" s="84">
        <v>47</v>
      </c>
      <c r="G37" s="186" t="s">
        <v>96</v>
      </c>
      <c r="H37" s="186">
        <v>49</v>
      </c>
      <c r="I37" s="186">
        <v>25</v>
      </c>
      <c r="J37" s="186">
        <v>95.5</v>
      </c>
      <c r="K37" s="189" t="s">
        <v>95</v>
      </c>
    </row>
    <row r="38" spans="2:11">
      <c r="B38" s="184"/>
      <c r="C38" s="83">
        <v>50</v>
      </c>
      <c r="D38" s="83">
        <v>56</v>
      </c>
      <c r="E38" s="83">
        <v>45</v>
      </c>
      <c r="F38" s="83">
        <v>42</v>
      </c>
      <c r="G38" s="187"/>
      <c r="H38" s="187"/>
      <c r="I38" s="187"/>
      <c r="J38" s="187"/>
      <c r="K38" s="190"/>
    </row>
    <row r="39" spans="2:11">
      <c r="B39" s="184"/>
      <c r="C39" s="83">
        <v>49</v>
      </c>
      <c r="D39" s="83">
        <v>36</v>
      </c>
      <c r="E39" s="83">
        <v>22</v>
      </c>
      <c r="F39" s="83">
        <v>38</v>
      </c>
      <c r="G39" s="187"/>
      <c r="H39" s="187"/>
      <c r="I39" s="187"/>
      <c r="J39" s="187"/>
      <c r="K39" s="190"/>
    </row>
    <row r="40" spans="2:11">
      <c r="B40" s="184"/>
      <c r="C40" s="83">
        <v>47</v>
      </c>
      <c r="D40" s="83">
        <v>27</v>
      </c>
      <c r="E40" s="83">
        <v>44</v>
      </c>
      <c r="F40" s="83">
        <v>55</v>
      </c>
      <c r="G40" s="187"/>
      <c r="H40" s="187"/>
      <c r="I40" s="187"/>
      <c r="J40" s="187"/>
      <c r="K40" s="190"/>
    </row>
    <row r="41" spans="2:11" ht="12.75" thickBot="1">
      <c r="B41" s="184"/>
      <c r="C41" s="86">
        <v>32</v>
      </c>
      <c r="D41" s="86">
        <v>45</v>
      </c>
      <c r="E41" s="86">
        <v>29</v>
      </c>
      <c r="F41" s="86">
        <v>51</v>
      </c>
      <c r="G41" s="187"/>
      <c r="H41" s="187"/>
      <c r="I41" s="187"/>
      <c r="J41" s="187"/>
      <c r="K41" s="190"/>
    </row>
    <row r="42" spans="2:11">
      <c r="B42" s="183" t="s">
        <v>107</v>
      </c>
      <c r="C42" s="84">
        <v>52</v>
      </c>
      <c r="D42" s="84">
        <v>36</v>
      </c>
      <c r="E42" s="84">
        <v>30</v>
      </c>
      <c r="F42" s="84">
        <v>52</v>
      </c>
      <c r="G42" s="186" t="s">
        <v>116</v>
      </c>
      <c r="H42" s="186">
        <v>49</v>
      </c>
      <c r="I42" s="186">
        <v>25</v>
      </c>
      <c r="J42" s="186">
        <v>93.3</v>
      </c>
      <c r="K42" s="189" t="s">
        <v>95</v>
      </c>
    </row>
    <row r="43" spans="2:11">
      <c r="B43" s="184"/>
      <c r="C43" s="83">
        <v>32</v>
      </c>
      <c r="D43" s="83">
        <v>44</v>
      </c>
      <c r="E43" s="83">
        <v>40</v>
      </c>
      <c r="F43" s="83">
        <v>46</v>
      </c>
      <c r="G43" s="187"/>
      <c r="H43" s="187"/>
      <c r="I43" s="187"/>
      <c r="J43" s="187"/>
      <c r="K43" s="190"/>
    </row>
    <row r="44" spans="2:11">
      <c r="B44" s="184"/>
      <c r="C44" s="83">
        <v>49</v>
      </c>
      <c r="D44" s="83">
        <v>50</v>
      </c>
      <c r="E44" s="83">
        <v>50</v>
      </c>
      <c r="F44" s="83">
        <v>31</v>
      </c>
      <c r="G44" s="187"/>
      <c r="H44" s="187"/>
      <c r="I44" s="187"/>
      <c r="J44" s="187"/>
      <c r="K44" s="190"/>
    </row>
    <row r="45" spans="2:11">
      <c r="B45" s="184"/>
      <c r="C45" s="83">
        <v>32</v>
      </c>
      <c r="D45" s="83">
        <v>49</v>
      </c>
      <c r="E45" s="83">
        <v>40</v>
      </c>
      <c r="F45" s="83">
        <v>51</v>
      </c>
      <c r="G45" s="187"/>
      <c r="H45" s="187"/>
      <c r="I45" s="187"/>
      <c r="J45" s="187"/>
      <c r="K45" s="190"/>
    </row>
    <row r="46" spans="2:11" ht="12.75" thickBot="1">
      <c r="B46" s="184"/>
      <c r="C46" s="86">
        <v>26</v>
      </c>
      <c r="D46" s="86">
        <v>44</v>
      </c>
      <c r="E46" s="86">
        <v>35</v>
      </c>
      <c r="F46" s="86">
        <v>49</v>
      </c>
      <c r="G46" s="187"/>
      <c r="H46" s="187"/>
      <c r="I46" s="187"/>
      <c r="J46" s="187"/>
      <c r="K46" s="190"/>
    </row>
    <row r="47" spans="2:11">
      <c r="B47" s="183" t="s">
        <v>108</v>
      </c>
      <c r="C47" s="84">
        <v>45</v>
      </c>
      <c r="D47" s="84">
        <v>46</v>
      </c>
      <c r="E47" s="84">
        <v>39</v>
      </c>
      <c r="F47" s="84">
        <v>41</v>
      </c>
      <c r="G47" s="186" t="s">
        <v>96</v>
      </c>
      <c r="H47" s="186">
        <v>44</v>
      </c>
      <c r="I47" s="186">
        <v>25</v>
      </c>
      <c r="J47" s="186">
        <v>75.099999999999994</v>
      </c>
      <c r="K47" s="189" t="s">
        <v>95</v>
      </c>
    </row>
    <row r="48" spans="2:11">
      <c r="B48" s="184"/>
      <c r="C48" s="83">
        <v>36</v>
      </c>
      <c r="D48" s="83">
        <v>39</v>
      </c>
      <c r="E48" s="83">
        <v>41</v>
      </c>
      <c r="F48" s="83">
        <v>43</v>
      </c>
      <c r="G48" s="187"/>
      <c r="H48" s="187"/>
      <c r="I48" s="187"/>
      <c r="J48" s="187"/>
      <c r="K48" s="190"/>
    </row>
    <row r="49" spans="2:11">
      <c r="B49" s="184"/>
      <c r="C49" s="83">
        <v>41</v>
      </c>
      <c r="D49" s="83">
        <v>39</v>
      </c>
      <c r="E49" s="83">
        <v>39</v>
      </c>
      <c r="F49" s="83">
        <v>44</v>
      </c>
      <c r="G49" s="187"/>
      <c r="H49" s="187"/>
      <c r="I49" s="187"/>
      <c r="J49" s="187"/>
      <c r="K49" s="190"/>
    </row>
    <row r="50" spans="2:11">
      <c r="B50" s="184"/>
      <c r="C50" s="83">
        <v>50</v>
      </c>
      <c r="D50" s="83">
        <v>44</v>
      </c>
      <c r="E50" s="83">
        <v>43</v>
      </c>
      <c r="F50" s="83">
        <v>39</v>
      </c>
      <c r="G50" s="187"/>
      <c r="H50" s="187"/>
      <c r="I50" s="187"/>
      <c r="J50" s="187"/>
      <c r="K50" s="190"/>
    </row>
    <row r="51" spans="2:11" ht="12.75" thickBot="1">
      <c r="B51" s="184"/>
      <c r="C51" s="86">
        <v>41</v>
      </c>
      <c r="D51" s="86">
        <v>43</v>
      </c>
      <c r="E51" s="86">
        <v>41</v>
      </c>
      <c r="F51" s="86">
        <v>39</v>
      </c>
      <c r="G51" s="187"/>
      <c r="H51" s="187"/>
      <c r="I51" s="187"/>
      <c r="J51" s="187"/>
      <c r="K51" s="190"/>
    </row>
    <row r="52" spans="2:11">
      <c r="B52" s="183" t="s">
        <v>109</v>
      </c>
      <c r="C52" s="84">
        <v>42</v>
      </c>
      <c r="D52" s="84">
        <v>31</v>
      </c>
      <c r="E52" s="84">
        <v>44</v>
      </c>
      <c r="F52" s="84">
        <v>46</v>
      </c>
      <c r="G52" s="186" t="s">
        <v>117</v>
      </c>
      <c r="H52" s="186">
        <v>49</v>
      </c>
      <c r="I52" s="186">
        <v>25</v>
      </c>
      <c r="J52" s="186">
        <v>97.1</v>
      </c>
      <c r="K52" s="189" t="s">
        <v>95</v>
      </c>
    </row>
    <row r="53" spans="2:11">
      <c r="B53" s="184"/>
      <c r="C53" s="83">
        <v>45</v>
      </c>
      <c r="D53" s="83">
        <v>42</v>
      </c>
      <c r="E53" s="83">
        <v>34</v>
      </c>
      <c r="F53" s="83">
        <v>51</v>
      </c>
      <c r="G53" s="187"/>
      <c r="H53" s="187"/>
      <c r="I53" s="187"/>
      <c r="J53" s="187"/>
      <c r="K53" s="190"/>
    </row>
    <row r="54" spans="2:11">
      <c r="B54" s="184"/>
      <c r="C54" s="83">
        <v>45</v>
      </c>
      <c r="D54" s="83">
        <v>50</v>
      </c>
      <c r="E54" s="83">
        <v>50</v>
      </c>
      <c r="F54" s="83">
        <v>49</v>
      </c>
      <c r="G54" s="187"/>
      <c r="H54" s="187"/>
      <c r="I54" s="187"/>
      <c r="J54" s="187"/>
      <c r="K54" s="190"/>
    </row>
    <row r="55" spans="2:11">
      <c r="B55" s="184"/>
      <c r="C55" s="83">
        <v>36</v>
      </c>
      <c r="D55" s="83">
        <v>50</v>
      </c>
      <c r="E55" s="83">
        <v>55</v>
      </c>
      <c r="F55" s="83">
        <v>46</v>
      </c>
      <c r="G55" s="187"/>
      <c r="H55" s="187"/>
      <c r="I55" s="187"/>
      <c r="J55" s="187"/>
      <c r="K55" s="190"/>
    </row>
    <row r="56" spans="2:11" ht="12.75" thickBot="1">
      <c r="B56" s="184"/>
      <c r="C56" s="86">
        <v>40</v>
      </c>
      <c r="D56" s="86">
        <v>38</v>
      </c>
      <c r="E56" s="86">
        <v>49</v>
      </c>
      <c r="F56" s="86">
        <v>46</v>
      </c>
      <c r="G56" s="187"/>
      <c r="H56" s="187"/>
      <c r="I56" s="187"/>
      <c r="J56" s="187"/>
      <c r="K56" s="190"/>
    </row>
    <row r="57" spans="2:11">
      <c r="B57" s="183" t="s">
        <v>110</v>
      </c>
      <c r="C57" s="84">
        <v>48</v>
      </c>
      <c r="D57" s="84">
        <v>58</v>
      </c>
      <c r="E57" s="84">
        <v>20</v>
      </c>
      <c r="F57" s="84">
        <v>31</v>
      </c>
      <c r="G57" s="186" t="s">
        <v>96</v>
      </c>
      <c r="H57" s="186">
        <v>47</v>
      </c>
      <c r="I57" s="186">
        <v>25</v>
      </c>
      <c r="J57" s="186">
        <v>86.8</v>
      </c>
      <c r="K57" s="189" t="s">
        <v>95</v>
      </c>
    </row>
    <row r="58" spans="2:11">
      <c r="B58" s="184"/>
      <c r="C58" s="83">
        <v>41</v>
      </c>
      <c r="D58" s="83">
        <v>37</v>
      </c>
      <c r="E58" s="83">
        <v>21</v>
      </c>
      <c r="F58" s="83">
        <v>35</v>
      </c>
      <c r="G58" s="187"/>
      <c r="H58" s="187"/>
      <c r="I58" s="187"/>
      <c r="J58" s="187"/>
      <c r="K58" s="190"/>
    </row>
    <row r="59" spans="2:11">
      <c r="B59" s="184"/>
      <c r="C59" s="83">
        <v>36</v>
      </c>
      <c r="D59" s="83">
        <v>31</v>
      </c>
      <c r="E59" s="83">
        <v>34</v>
      </c>
      <c r="F59" s="83">
        <v>38</v>
      </c>
      <c r="G59" s="187"/>
      <c r="H59" s="187"/>
      <c r="I59" s="187"/>
      <c r="J59" s="187"/>
      <c r="K59" s="190"/>
    </row>
    <row r="60" spans="2:11">
      <c r="B60" s="184"/>
      <c r="C60" s="83">
        <v>21</v>
      </c>
      <c r="D60" s="83">
        <v>28</v>
      </c>
      <c r="E60" s="83">
        <v>60</v>
      </c>
      <c r="F60" s="83">
        <v>54</v>
      </c>
      <c r="G60" s="187"/>
      <c r="H60" s="187"/>
      <c r="I60" s="187"/>
      <c r="J60" s="187"/>
      <c r="K60" s="190"/>
    </row>
    <row r="61" spans="2:11" ht="12.75" thickBot="1">
      <c r="B61" s="184"/>
      <c r="C61" s="86">
        <v>36</v>
      </c>
      <c r="D61" s="86">
        <v>36</v>
      </c>
      <c r="E61" s="86">
        <v>58</v>
      </c>
      <c r="F61" s="86">
        <v>30</v>
      </c>
      <c r="G61" s="187"/>
      <c r="H61" s="187"/>
      <c r="I61" s="187"/>
      <c r="J61" s="187"/>
      <c r="K61" s="190"/>
    </row>
    <row r="62" spans="2:11">
      <c r="B62" s="183" t="s">
        <v>111</v>
      </c>
      <c r="C62" s="84">
        <v>41</v>
      </c>
      <c r="D62" s="84">
        <v>35</v>
      </c>
      <c r="E62" s="84">
        <v>41</v>
      </c>
      <c r="F62" s="84">
        <v>38</v>
      </c>
      <c r="G62" s="186" t="s">
        <v>96</v>
      </c>
      <c r="H62" s="186">
        <v>43</v>
      </c>
      <c r="I62" s="186">
        <v>25</v>
      </c>
      <c r="J62" s="186">
        <v>71.599999999999994</v>
      </c>
      <c r="K62" s="189" t="s">
        <v>95</v>
      </c>
    </row>
    <row r="63" spans="2:11">
      <c r="B63" s="184"/>
      <c r="C63" s="83">
        <v>31</v>
      </c>
      <c r="D63" s="83">
        <v>41</v>
      </c>
      <c r="E63" s="83">
        <v>34</v>
      </c>
      <c r="F63" s="83">
        <v>37</v>
      </c>
      <c r="G63" s="187"/>
      <c r="H63" s="187"/>
      <c r="I63" s="187"/>
      <c r="J63" s="187"/>
      <c r="K63" s="190"/>
    </row>
    <row r="64" spans="2:11">
      <c r="B64" s="184"/>
      <c r="C64" s="83">
        <v>43</v>
      </c>
      <c r="D64" s="83">
        <v>45</v>
      </c>
      <c r="E64" s="83">
        <v>40</v>
      </c>
      <c r="F64" s="83">
        <v>44</v>
      </c>
      <c r="G64" s="187"/>
      <c r="H64" s="187"/>
      <c r="I64" s="187"/>
      <c r="J64" s="187"/>
      <c r="K64" s="190"/>
    </row>
    <row r="65" spans="2:11">
      <c r="B65" s="184"/>
      <c r="C65" s="83">
        <v>45</v>
      </c>
      <c r="D65" s="83">
        <v>43</v>
      </c>
      <c r="E65" s="83">
        <v>41</v>
      </c>
      <c r="F65" s="83">
        <v>39</v>
      </c>
      <c r="G65" s="187"/>
      <c r="H65" s="187"/>
      <c r="I65" s="187"/>
      <c r="J65" s="187"/>
      <c r="K65" s="190"/>
    </row>
    <row r="66" spans="2:11" ht="12.75" thickBot="1">
      <c r="B66" s="184"/>
      <c r="C66" s="86">
        <v>35</v>
      </c>
      <c r="D66" s="86">
        <v>37</v>
      </c>
      <c r="E66" s="86">
        <v>33</v>
      </c>
      <c r="F66" s="86">
        <v>41</v>
      </c>
      <c r="G66" s="187"/>
      <c r="H66" s="187"/>
      <c r="I66" s="187"/>
      <c r="J66" s="187"/>
      <c r="K66" s="190"/>
    </row>
    <row r="67" spans="2:11">
      <c r="B67" s="183" t="s">
        <v>112</v>
      </c>
      <c r="C67" s="84">
        <v>21</v>
      </c>
      <c r="D67" s="84">
        <v>48</v>
      </c>
      <c r="E67" s="84">
        <v>30</v>
      </c>
      <c r="F67" s="84">
        <v>65</v>
      </c>
      <c r="G67" s="186" t="s">
        <v>96</v>
      </c>
      <c r="H67" s="186">
        <v>46</v>
      </c>
      <c r="I67" s="186">
        <v>25</v>
      </c>
      <c r="J67" s="186">
        <v>82.7</v>
      </c>
      <c r="K67" s="189" t="s">
        <v>95</v>
      </c>
    </row>
    <row r="68" spans="2:11">
      <c r="B68" s="184"/>
      <c r="C68" s="83">
        <v>24</v>
      </c>
      <c r="D68" s="83">
        <v>30</v>
      </c>
      <c r="E68" s="83">
        <v>59</v>
      </c>
      <c r="F68" s="83">
        <v>44</v>
      </c>
      <c r="G68" s="187"/>
      <c r="H68" s="187"/>
      <c r="I68" s="187"/>
      <c r="J68" s="187"/>
      <c r="K68" s="190"/>
    </row>
    <row r="69" spans="2:11">
      <c r="B69" s="184"/>
      <c r="C69" s="83">
        <v>36</v>
      </c>
      <c r="D69" s="83">
        <v>35</v>
      </c>
      <c r="E69" s="83">
        <v>29</v>
      </c>
      <c r="F69" s="83">
        <v>36</v>
      </c>
      <c r="G69" s="187"/>
      <c r="H69" s="187"/>
      <c r="I69" s="187"/>
      <c r="J69" s="187"/>
      <c r="K69" s="190"/>
    </row>
    <row r="70" spans="2:11">
      <c r="B70" s="184"/>
      <c r="C70" s="83">
        <v>25</v>
      </c>
      <c r="D70" s="83">
        <v>32</v>
      </c>
      <c r="E70" s="83">
        <v>32</v>
      </c>
      <c r="F70" s="83">
        <v>26</v>
      </c>
      <c r="G70" s="187"/>
      <c r="H70" s="187"/>
      <c r="I70" s="187"/>
      <c r="J70" s="187"/>
      <c r="K70" s="190"/>
    </row>
    <row r="71" spans="2:11" ht="12.75" thickBot="1">
      <c r="B71" s="184"/>
      <c r="C71" s="86">
        <v>39</v>
      </c>
      <c r="D71" s="86">
        <v>35</v>
      </c>
      <c r="E71" s="86">
        <v>46</v>
      </c>
      <c r="F71" s="86">
        <v>48</v>
      </c>
      <c r="G71" s="187"/>
      <c r="H71" s="187"/>
      <c r="I71" s="187"/>
      <c r="J71" s="187"/>
      <c r="K71" s="190"/>
    </row>
    <row r="72" spans="2:11">
      <c r="B72" s="183" t="s">
        <v>113</v>
      </c>
      <c r="C72" s="84">
        <v>39</v>
      </c>
      <c r="D72" s="84">
        <v>42</v>
      </c>
      <c r="E72" s="84">
        <v>32</v>
      </c>
      <c r="F72" s="84">
        <v>33</v>
      </c>
      <c r="G72" s="186" t="s">
        <v>117</v>
      </c>
      <c r="H72" s="186">
        <v>43</v>
      </c>
      <c r="I72" s="186">
        <v>25</v>
      </c>
      <c r="J72" s="186">
        <v>73.5</v>
      </c>
      <c r="K72" s="189" t="s">
        <v>95</v>
      </c>
    </row>
    <row r="73" spans="2:11">
      <c r="B73" s="184"/>
      <c r="C73" s="83">
        <v>42</v>
      </c>
      <c r="D73" s="83">
        <v>34</v>
      </c>
      <c r="E73" s="83">
        <v>32</v>
      </c>
      <c r="F73" s="83">
        <v>45</v>
      </c>
      <c r="G73" s="187"/>
      <c r="H73" s="187"/>
      <c r="I73" s="187"/>
      <c r="J73" s="187"/>
      <c r="K73" s="190"/>
    </row>
    <row r="74" spans="2:11">
      <c r="B74" s="184"/>
      <c r="C74" s="83">
        <v>38</v>
      </c>
      <c r="D74" s="83">
        <v>39</v>
      </c>
      <c r="E74" s="83">
        <v>48</v>
      </c>
      <c r="F74" s="83">
        <v>34</v>
      </c>
      <c r="G74" s="187"/>
      <c r="H74" s="187"/>
      <c r="I74" s="187"/>
      <c r="J74" s="187"/>
      <c r="K74" s="190"/>
    </row>
    <row r="75" spans="2:11">
      <c r="B75" s="184"/>
      <c r="C75" s="83">
        <v>49</v>
      </c>
      <c r="D75" s="83">
        <v>39</v>
      </c>
      <c r="E75" s="83">
        <v>35</v>
      </c>
      <c r="F75" s="83">
        <v>37</v>
      </c>
      <c r="G75" s="187"/>
      <c r="H75" s="187"/>
      <c r="I75" s="187"/>
      <c r="J75" s="187"/>
      <c r="K75" s="190"/>
    </row>
    <row r="76" spans="2:11" ht="12.75" thickBot="1">
      <c r="B76" s="184"/>
      <c r="C76" s="86">
        <v>48</v>
      </c>
      <c r="D76" s="86">
        <v>32</v>
      </c>
      <c r="E76" s="86">
        <v>34</v>
      </c>
      <c r="F76" s="86">
        <v>40</v>
      </c>
      <c r="G76" s="187"/>
      <c r="H76" s="187"/>
      <c r="I76" s="187"/>
      <c r="J76" s="187"/>
      <c r="K76" s="190"/>
    </row>
    <row r="77" spans="2:11">
      <c r="B77" s="183"/>
      <c r="C77" s="84">
        <v>0</v>
      </c>
      <c r="D77" s="84">
        <v>0</v>
      </c>
      <c r="E77" s="84">
        <v>0</v>
      </c>
      <c r="F77" s="84">
        <v>0</v>
      </c>
      <c r="G77" s="186" t="s">
        <v>97</v>
      </c>
      <c r="H77" s="186">
        <v>0</v>
      </c>
      <c r="I77" s="186">
        <v>25</v>
      </c>
      <c r="J77" s="186">
        <v>0</v>
      </c>
      <c r="K77" s="189" t="s">
        <v>98</v>
      </c>
    </row>
    <row r="78" spans="2:11">
      <c r="B78" s="184"/>
      <c r="C78" s="83">
        <v>0</v>
      </c>
      <c r="D78" s="83">
        <v>0</v>
      </c>
      <c r="E78" s="83">
        <v>0</v>
      </c>
      <c r="F78" s="83">
        <v>0</v>
      </c>
      <c r="G78" s="187"/>
      <c r="H78" s="187"/>
      <c r="I78" s="187"/>
      <c r="J78" s="187"/>
      <c r="K78" s="190"/>
    </row>
    <row r="79" spans="2:11">
      <c r="B79" s="184"/>
      <c r="C79" s="83">
        <v>0</v>
      </c>
      <c r="D79" s="83">
        <v>0</v>
      </c>
      <c r="E79" s="83">
        <v>0</v>
      </c>
      <c r="F79" s="83">
        <v>0</v>
      </c>
      <c r="G79" s="187"/>
      <c r="H79" s="187"/>
      <c r="I79" s="187"/>
      <c r="J79" s="187"/>
      <c r="K79" s="190"/>
    </row>
    <row r="80" spans="2:11">
      <c r="B80" s="184"/>
      <c r="C80" s="83">
        <v>0</v>
      </c>
      <c r="D80" s="83">
        <v>0</v>
      </c>
      <c r="E80" s="83">
        <v>0</v>
      </c>
      <c r="F80" s="83">
        <v>0</v>
      </c>
      <c r="G80" s="187"/>
      <c r="H80" s="187"/>
      <c r="I80" s="187"/>
      <c r="J80" s="187"/>
      <c r="K80" s="190"/>
    </row>
    <row r="81" spans="2:11" ht="12.75" thickBot="1">
      <c r="B81" s="185"/>
      <c r="C81" s="85">
        <v>0</v>
      </c>
      <c r="D81" s="85">
        <v>0</v>
      </c>
      <c r="E81" s="85">
        <v>0</v>
      </c>
      <c r="F81" s="85">
        <v>0</v>
      </c>
      <c r="G81" s="188"/>
      <c r="H81" s="188"/>
      <c r="I81" s="188"/>
      <c r="J81" s="188"/>
      <c r="K81" s="191"/>
    </row>
  </sheetData>
  <mergeCells count="96">
    <mergeCell ref="K7:K11"/>
    <mergeCell ref="B2:B6"/>
    <mergeCell ref="G2:G6"/>
    <mergeCell ref="H2:H6"/>
    <mergeCell ref="I2:I6"/>
    <mergeCell ref="J2:J6"/>
    <mergeCell ref="K2:K6"/>
    <mergeCell ref="B7:B11"/>
    <mergeCell ref="G7:G11"/>
    <mergeCell ref="H7:H11"/>
    <mergeCell ref="I7:I11"/>
    <mergeCell ref="J7:J11"/>
    <mergeCell ref="K17:K21"/>
    <mergeCell ref="B12:B16"/>
    <mergeCell ref="G12:G16"/>
    <mergeCell ref="H12:H16"/>
    <mergeCell ref="I12:I16"/>
    <mergeCell ref="J12:J16"/>
    <mergeCell ref="K12:K16"/>
    <mergeCell ref="B17:B21"/>
    <mergeCell ref="G17:G21"/>
    <mergeCell ref="H17:H21"/>
    <mergeCell ref="I17:I21"/>
    <mergeCell ref="J17:J21"/>
    <mergeCell ref="K27:K31"/>
    <mergeCell ref="B22:B26"/>
    <mergeCell ref="G22:G26"/>
    <mergeCell ref="H22:H26"/>
    <mergeCell ref="I22:I26"/>
    <mergeCell ref="J22:J26"/>
    <mergeCell ref="K22:K26"/>
    <mergeCell ref="B27:B31"/>
    <mergeCell ref="G27:G31"/>
    <mergeCell ref="H27:H31"/>
    <mergeCell ref="I27:I31"/>
    <mergeCell ref="J27:J31"/>
    <mergeCell ref="K37:K41"/>
    <mergeCell ref="B32:B36"/>
    <mergeCell ref="G32:G36"/>
    <mergeCell ref="H32:H36"/>
    <mergeCell ref="I32:I36"/>
    <mergeCell ref="J32:J36"/>
    <mergeCell ref="K32:K36"/>
    <mergeCell ref="B37:B41"/>
    <mergeCell ref="G37:G41"/>
    <mergeCell ref="H37:H41"/>
    <mergeCell ref="I37:I41"/>
    <mergeCell ref="J37:J41"/>
    <mergeCell ref="K47:K51"/>
    <mergeCell ref="B42:B46"/>
    <mergeCell ref="G42:G46"/>
    <mergeCell ref="H42:H46"/>
    <mergeCell ref="I42:I46"/>
    <mergeCell ref="J42:J46"/>
    <mergeCell ref="K42:K46"/>
    <mergeCell ref="B47:B51"/>
    <mergeCell ref="G47:G51"/>
    <mergeCell ref="H47:H51"/>
    <mergeCell ref="I47:I51"/>
    <mergeCell ref="J47:J51"/>
    <mergeCell ref="K57:K61"/>
    <mergeCell ref="B52:B56"/>
    <mergeCell ref="G52:G56"/>
    <mergeCell ref="H52:H56"/>
    <mergeCell ref="I52:I56"/>
    <mergeCell ref="J52:J56"/>
    <mergeCell ref="K52:K56"/>
    <mergeCell ref="B57:B61"/>
    <mergeCell ref="G57:G61"/>
    <mergeCell ref="H57:H61"/>
    <mergeCell ref="I57:I61"/>
    <mergeCell ref="J57:J61"/>
    <mergeCell ref="K67:K71"/>
    <mergeCell ref="B62:B66"/>
    <mergeCell ref="G62:G66"/>
    <mergeCell ref="H62:H66"/>
    <mergeCell ref="I62:I66"/>
    <mergeCell ref="J62:J66"/>
    <mergeCell ref="K62:K66"/>
    <mergeCell ref="B67:B71"/>
    <mergeCell ref="G67:G71"/>
    <mergeCell ref="H67:H71"/>
    <mergeCell ref="I67:I71"/>
    <mergeCell ref="J67:J71"/>
    <mergeCell ref="K77:K81"/>
    <mergeCell ref="B72:B76"/>
    <mergeCell ref="G72:G76"/>
    <mergeCell ref="H72:H76"/>
    <mergeCell ref="I72:I76"/>
    <mergeCell ref="J72:J76"/>
    <mergeCell ref="K72:K76"/>
    <mergeCell ref="B77:B81"/>
    <mergeCell ref="G77:G81"/>
    <mergeCell ref="H77:H81"/>
    <mergeCell ref="I77:I81"/>
    <mergeCell ref="J77:J8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A-B</vt:lpstr>
      <vt:lpstr>B-C</vt:lpstr>
      <vt:lpstr>C-D</vt:lpstr>
      <vt:lpstr>E</vt:lpstr>
      <vt:lpstr>NewSheet</vt:lpstr>
      <vt:lpstr>'A-B'!Print_Area</vt:lpstr>
      <vt:lpstr>'B-C'!Print_Area</vt:lpstr>
      <vt:lpstr>'C-D'!Print_Area</vt:lpstr>
      <vt:lpstr>E!Print_Area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2020-09-11T04:11:53Z</cp:lastPrinted>
  <dcterms:created xsi:type="dcterms:W3CDTF">2003-04-02T11:09:21Z</dcterms:created>
  <dcterms:modified xsi:type="dcterms:W3CDTF">2021-01-27T07:45:23Z</dcterms:modified>
</cp:coreProperties>
</file>