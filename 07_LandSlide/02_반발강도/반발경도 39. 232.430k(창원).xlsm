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2_반발강도\"/>
    </mc:Choice>
  </mc:AlternateContent>
  <xr:revisionPtr revIDLastSave="0" documentId="13_ncr:1_{C99C9785-E6DD-44B4-8D7A-E5237F586861}" xr6:coauthVersionLast="46" xr6:coauthVersionMax="46" xr10:uidLastSave="{00000000-0000-0000-0000-000000000000}"/>
  <bookViews>
    <workbookView xWindow="5430" yWindow="4110" windowWidth="24690" windowHeight="16545" tabRatio="758" activeTab="4" xr2:uid="{00000000-000D-0000-FFFF-FFFF00000000}"/>
  </bookViews>
  <sheets>
    <sheet name="A-B" sheetId="25" r:id="rId1"/>
    <sheet name="B-C" sheetId="73" r:id="rId2"/>
    <sheet name="E" sheetId="75" r:id="rId3"/>
    <sheet name="Method1" sheetId="74" r:id="rId4"/>
    <sheet name="Method2" sheetId="76" r:id="rId5"/>
  </sheets>
  <functionGroups builtInGroupCount="19"/>
  <definedNames>
    <definedName name="_xlnm.Print_Area" localSheetId="0">'A-B'!$A$1:$M$35</definedName>
    <definedName name="_xlnm.Print_Area" localSheetId="1">'B-C'!$A$1:$M$35</definedName>
    <definedName name="_xlnm.Print_Area" localSheetId="2">E!$A$1:$M$35</definedName>
    <definedName name="_xlnm.Print_Area" localSheetId="3">Method1!$A$1:$M$35</definedName>
    <definedName name="_xlnm.Print_Area" localSheetId="4">Method2!$A$1:$M$35</definedName>
  </definedNames>
  <calcPr calcId="191029"/>
</workbook>
</file>

<file path=xl/calcChain.xml><?xml version="1.0" encoding="utf-8"?>
<calcChain xmlns="http://schemas.openxmlformats.org/spreadsheetml/2006/main">
  <c r="F73" i="76" l="1"/>
  <c r="F68" i="76"/>
  <c r="F63" i="76"/>
  <c r="F58" i="76"/>
  <c r="F73" i="74"/>
  <c r="F68" i="74"/>
  <c r="F63" i="74"/>
  <c r="F58" i="74"/>
  <c r="F73" i="75"/>
  <c r="F68" i="75"/>
  <c r="F63" i="75"/>
  <c r="F58" i="75"/>
  <c r="F73" i="73"/>
  <c r="F68" i="73"/>
  <c r="F63" i="73"/>
  <c r="F58" i="73"/>
  <c r="B31" i="76"/>
  <c r="B30" i="76"/>
  <c r="C34" i="76"/>
  <c r="E77" i="76"/>
  <c r="D77" i="76"/>
  <c r="C77" i="76"/>
  <c r="B77" i="76"/>
  <c r="E76" i="76"/>
  <c r="D76" i="76"/>
  <c r="C76" i="76"/>
  <c r="B76" i="76"/>
  <c r="E75" i="76"/>
  <c r="D75" i="76"/>
  <c r="C75" i="76"/>
  <c r="B75" i="76"/>
  <c r="E74" i="76"/>
  <c r="D74" i="76"/>
  <c r="C74" i="76"/>
  <c r="B74" i="76"/>
  <c r="H73" i="76"/>
  <c r="E73" i="76"/>
  <c r="D73" i="76"/>
  <c r="C73" i="76"/>
  <c r="B73" i="76"/>
  <c r="E72" i="76"/>
  <c r="D72" i="76"/>
  <c r="C72" i="76"/>
  <c r="B72" i="76"/>
  <c r="E71" i="76"/>
  <c r="D71" i="76"/>
  <c r="C71" i="76"/>
  <c r="B71" i="76"/>
  <c r="E70" i="76"/>
  <c r="D70" i="76"/>
  <c r="C70" i="76"/>
  <c r="B70" i="76"/>
  <c r="E69" i="76"/>
  <c r="D69" i="76"/>
  <c r="C69" i="76"/>
  <c r="B69" i="76"/>
  <c r="H68" i="76"/>
  <c r="E68" i="76"/>
  <c r="D68" i="76"/>
  <c r="C68" i="76"/>
  <c r="B68" i="76"/>
  <c r="E67" i="76"/>
  <c r="D67" i="76"/>
  <c r="C67" i="76"/>
  <c r="B67" i="76"/>
  <c r="E66" i="76"/>
  <c r="D66" i="76"/>
  <c r="C66" i="76"/>
  <c r="B66" i="76"/>
  <c r="E65" i="76"/>
  <c r="D65" i="76"/>
  <c r="C65" i="76"/>
  <c r="B65" i="76"/>
  <c r="E64" i="76"/>
  <c r="D64" i="76"/>
  <c r="C64" i="76"/>
  <c r="B64" i="76"/>
  <c r="H63" i="76"/>
  <c r="E63" i="76"/>
  <c r="D63" i="76"/>
  <c r="C63" i="76"/>
  <c r="B63" i="76"/>
  <c r="E62" i="76"/>
  <c r="D62" i="76"/>
  <c r="C62" i="76"/>
  <c r="B62" i="76"/>
  <c r="E61" i="76"/>
  <c r="D61" i="76"/>
  <c r="C61" i="76"/>
  <c r="B61" i="76"/>
  <c r="E60" i="76"/>
  <c r="D60" i="76"/>
  <c r="C60" i="76"/>
  <c r="B60" i="76"/>
  <c r="AG59" i="76"/>
  <c r="AK59" i="76" s="1"/>
  <c r="E59" i="76"/>
  <c r="D59" i="76"/>
  <c r="C59" i="76"/>
  <c r="B59" i="76"/>
  <c r="AG58" i="76"/>
  <c r="AK58" i="76" s="1"/>
  <c r="H58" i="76"/>
  <c r="E58" i="76"/>
  <c r="D58" i="76"/>
  <c r="C58" i="76"/>
  <c r="B58" i="76"/>
  <c r="AI57" i="76"/>
  <c r="AG57" i="76"/>
  <c r="AK57" i="76" s="1"/>
  <c r="AG56" i="76"/>
  <c r="AK56" i="76" s="1"/>
  <c r="AG55" i="76"/>
  <c r="AK55" i="76" s="1"/>
  <c r="AI54" i="76"/>
  <c r="AG54" i="76"/>
  <c r="AK54" i="76" s="1"/>
  <c r="AJ53" i="76"/>
  <c r="AG53" i="76"/>
  <c r="AI53" i="76" s="1"/>
  <c r="AG52" i="76"/>
  <c r="AK52" i="76" s="1"/>
  <c r="AJ51" i="76"/>
  <c r="AH51" i="76"/>
  <c r="AG51" i="76"/>
  <c r="AK51" i="76" s="1"/>
  <c r="AJ50" i="76"/>
  <c r="AH50" i="76"/>
  <c r="AG50" i="76"/>
  <c r="AK50" i="76" s="1"/>
  <c r="AK49" i="76"/>
  <c r="AJ49" i="76"/>
  <c r="AH49" i="76"/>
  <c r="AG49" i="76"/>
  <c r="AI49" i="76" s="1"/>
  <c r="AK48" i="76"/>
  <c r="AH48" i="76"/>
  <c r="AG48" i="76"/>
  <c r="AJ48" i="76" s="1"/>
  <c r="AK47" i="76"/>
  <c r="AI47" i="76"/>
  <c r="AH47" i="76"/>
  <c r="AG47" i="76"/>
  <c r="AJ47" i="76" s="1"/>
  <c r="AK46" i="76"/>
  <c r="AI46" i="76"/>
  <c r="AG46" i="76"/>
  <c r="AH46" i="76" s="1"/>
  <c r="AK45" i="76"/>
  <c r="AI45" i="76"/>
  <c r="AG45" i="76"/>
  <c r="AJ45" i="76" s="1"/>
  <c r="AG44" i="76"/>
  <c r="AK44" i="76" s="1"/>
  <c r="AG43" i="76"/>
  <c r="AK43" i="76" s="1"/>
  <c r="AI42" i="76"/>
  <c r="AG42" i="76"/>
  <c r="AK42" i="76" s="1"/>
  <c r="AJ41" i="76"/>
  <c r="AG41" i="76"/>
  <c r="AI41" i="76" s="1"/>
  <c r="AG40" i="76"/>
  <c r="AK40" i="76" s="1"/>
  <c r="AJ39" i="76"/>
  <c r="AH39" i="76"/>
  <c r="AG39" i="76"/>
  <c r="AK39" i="76" s="1"/>
  <c r="AK38" i="76"/>
  <c r="AJ38" i="76"/>
  <c r="AI38" i="76"/>
  <c r="AH38" i="76"/>
  <c r="AG38" i="76"/>
  <c r="AK37" i="76"/>
  <c r="AJ37" i="76"/>
  <c r="AI37" i="76"/>
  <c r="AH37" i="76"/>
  <c r="AG37" i="76"/>
  <c r="AK36" i="76"/>
  <c r="AH36" i="76"/>
  <c r="AG36" i="76"/>
  <c r="AJ36" i="76" s="1"/>
  <c r="AJ35" i="76"/>
  <c r="AH35" i="76"/>
  <c r="AG35" i="76"/>
  <c r="AK35" i="76" s="1"/>
  <c r="AI34" i="76"/>
  <c r="AG34" i="76"/>
  <c r="AK34" i="76" s="1"/>
  <c r="L34" i="76"/>
  <c r="I34" i="76"/>
  <c r="F34" i="76"/>
  <c r="AJ33" i="76"/>
  <c r="AG33" i="76"/>
  <c r="AI33" i="76" s="1"/>
  <c r="AG32" i="76"/>
  <c r="AK32" i="76" s="1"/>
  <c r="AK31" i="76"/>
  <c r="AJ31" i="76"/>
  <c r="AH31" i="76"/>
  <c r="AG31" i="76"/>
  <c r="AI31" i="76" s="1"/>
  <c r="AJ30" i="76"/>
  <c r="AH30" i="76"/>
  <c r="AG30" i="76"/>
  <c r="AK30" i="76" s="1"/>
  <c r="AG29" i="76"/>
  <c r="AK29" i="76" s="1"/>
  <c r="AG28" i="76"/>
  <c r="AK28" i="76" s="1"/>
  <c r="L28" i="76"/>
  <c r="I28" i="76"/>
  <c r="F28" i="76"/>
  <c r="C28" i="76"/>
  <c r="AK27" i="76"/>
  <c r="AJ27" i="76"/>
  <c r="AI27" i="76"/>
  <c r="AH27" i="76"/>
  <c r="AG27" i="76"/>
  <c r="L27" i="76"/>
  <c r="I27" i="76"/>
  <c r="F27" i="76"/>
  <c r="C27" i="76"/>
  <c r="AJ26" i="76"/>
  <c r="AG26" i="76"/>
  <c r="AK26" i="76" s="1"/>
  <c r="L26" i="76"/>
  <c r="I26" i="76"/>
  <c r="F26" i="76"/>
  <c r="C26" i="76"/>
  <c r="AJ25" i="76"/>
  <c r="AG25" i="76"/>
  <c r="AI25" i="76" s="1"/>
  <c r="L25" i="76"/>
  <c r="I25" i="76"/>
  <c r="F25" i="76"/>
  <c r="C25" i="76"/>
  <c r="AG24" i="76"/>
  <c r="AK24" i="76" s="1"/>
  <c r="L24" i="76"/>
  <c r="I24" i="76"/>
  <c r="F24" i="76"/>
  <c r="C24" i="76"/>
  <c r="AK23" i="76"/>
  <c r="AJ23" i="76"/>
  <c r="AI23" i="76"/>
  <c r="AH23" i="76"/>
  <c r="AG23" i="76"/>
  <c r="L23" i="76"/>
  <c r="I23" i="76"/>
  <c r="F23" i="76"/>
  <c r="C23" i="76"/>
  <c r="AJ22" i="76"/>
  <c r="AG22" i="76"/>
  <c r="AK22" i="76" s="1"/>
  <c r="L22" i="76"/>
  <c r="I22" i="76"/>
  <c r="F22" i="76"/>
  <c r="C22" i="76"/>
  <c r="AJ21" i="76"/>
  <c r="AG21" i="76"/>
  <c r="AI21" i="76" s="1"/>
  <c r="L21" i="76"/>
  <c r="I21" i="76"/>
  <c r="F21" i="76"/>
  <c r="C21" i="76"/>
  <c r="AG20" i="76"/>
  <c r="AK20" i="76" s="1"/>
  <c r="L20" i="76"/>
  <c r="I20" i="76"/>
  <c r="F20" i="76"/>
  <c r="C20" i="76"/>
  <c r="AK19" i="76"/>
  <c r="AJ19" i="76"/>
  <c r="AI19" i="76"/>
  <c r="AH19" i="76"/>
  <c r="AG19" i="76"/>
  <c r="L19" i="76"/>
  <c r="I19" i="76"/>
  <c r="F19" i="76"/>
  <c r="C19" i="76"/>
  <c r="AH18" i="76"/>
  <c r="AG18" i="76"/>
  <c r="AK18" i="76" s="1"/>
  <c r="L18" i="76"/>
  <c r="I18" i="76"/>
  <c r="F18" i="76"/>
  <c r="C18" i="76"/>
  <c r="AK17" i="76"/>
  <c r="AH17" i="76"/>
  <c r="AG17" i="76"/>
  <c r="L17" i="76"/>
  <c r="I17" i="76"/>
  <c r="F17" i="76"/>
  <c r="C17" i="76"/>
  <c r="AG16" i="76"/>
  <c r="AK16" i="76" s="1"/>
  <c r="L16" i="76"/>
  <c r="I16" i="76"/>
  <c r="F16" i="76"/>
  <c r="C16" i="76"/>
  <c r="AH15" i="76"/>
  <c r="AG15" i="76"/>
  <c r="AK15" i="76" s="1"/>
  <c r="L15" i="76"/>
  <c r="I15" i="76"/>
  <c r="F15" i="76"/>
  <c r="C15" i="76"/>
  <c r="AK14" i="76"/>
  <c r="AH14" i="76"/>
  <c r="AG14" i="76"/>
  <c r="L14" i="76"/>
  <c r="I14" i="76"/>
  <c r="F14" i="76"/>
  <c r="C14" i="76"/>
  <c r="AG13" i="76"/>
  <c r="AK13" i="76" s="1"/>
  <c r="L13" i="76"/>
  <c r="I13" i="76"/>
  <c r="F13" i="76"/>
  <c r="C13" i="76"/>
  <c r="AK12" i="76"/>
  <c r="AG12" i="76"/>
  <c r="AH12" i="76" s="1"/>
  <c r="L12" i="76"/>
  <c r="I12" i="76"/>
  <c r="F12" i="76"/>
  <c r="C12" i="76"/>
  <c r="AK11" i="76"/>
  <c r="AH11" i="76"/>
  <c r="AG11" i="76"/>
  <c r="L11" i="76"/>
  <c r="I11" i="76"/>
  <c r="F11" i="76"/>
  <c r="C11" i="76"/>
  <c r="AG10" i="76"/>
  <c r="AK10" i="76" s="1"/>
  <c r="L10" i="76"/>
  <c r="I10" i="76"/>
  <c r="F10" i="76"/>
  <c r="C10" i="76"/>
  <c r="AG9" i="76"/>
  <c r="AK9" i="76" s="1"/>
  <c r="A4" i="76"/>
  <c r="W19" i="74"/>
  <c r="X10" i="75"/>
  <c r="W30" i="75"/>
  <c r="F73" i="25"/>
  <c r="F68" i="25"/>
  <c r="F63" i="25"/>
  <c r="G34" i="75"/>
  <c r="B35" i="75"/>
  <c r="K35" i="73"/>
  <c r="H35" i="73"/>
  <c r="E35" i="73"/>
  <c r="B35" i="73"/>
  <c r="F11" i="75"/>
  <c r="F12" i="75"/>
  <c r="F13" i="75"/>
  <c r="F14" i="75"/>
  <c r="F15" i="75"/>
  <c r="F16" i="75"/>
  <c r="F17" i="75"/>
  <c r="F18" i="75"/>
  <c r="F19" i="75"/>
  <c r="F20" i="75"/>
  <c r="F21" i="75"/>
  <c r="F22" i="75"/>
  <c r="F23" i="75"/>
  <c r="F24" i="75"/>
  <c r="F25" i="75"/>
  <c r="F26" i="75"/>
  <c r="F27" i="75"/>
  <c r="F28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24" i="75"/>
  <c r="I25" i="75"/>
  <c r="I26" i="75"/>
  <c r="I27" i="75"/>
  <c r="I28" i="75"/>
  <c r="I10" i="75"/>
  <c r="F10" i="75"/>
  <c r="L11" i="74"/>
  <c r="L12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L10" i="74"/>
  <c r="F10" i="74"/>
  <c r="L11" i="73"/>
  <c r="L12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10" i="73"/>
  <c r="L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10" i="73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10" i="74"/>
  <c r="I28" i="74"/>
  <c r="F34" i="75"/>
  <c r="I34" i="75"/>
  <c r="D34" i="75"/>
  <c r="C34" i="75"/>
  <c r="B34" i="75"/>
  <c r="L34" i="74"/>
  <c r="I34" i="74"/>
  <c r="F34" i="74"/>
  <c r="C34" i="74"/>
  <c r="L34" i="73"/>
  <c r="I34" i="73"/>
  <c r="H34" i="73"/>
  <c r="J34" i="73" s="1"/>
  <c r="F34" i="73"/>
  <c r="C34" i="73"/>
  <c r="M34" i="25"/>
  <c r="E77" i="75"/>
  <c r="D77" i="75"/>
  <c r="C77" i="75"/>
  <c r="B77" i="75"/>
  <c r="E76" i="75"/>
  <c r="D76" i="75"/>
  <c r="C76" i="75"/>
  <c r="B76" i="75"/>
  <c r="E75" i="75"/>
  <c r="D75" i="75"/>
  <c r="C75" i="75"/>
  <c r="B75" i="75"/>
  <c r="E74" i="75"/>
  <c r="D74" i="75"/>
  <c r="C74" i="75"/>
  <c r="B74" i="75"/>
  <c r="H73" i="75"/>
  <c r="E73" i="75"/>
  <c r="D73" i="75"/>
  <c r="C73" i="75"/>
  <c r="B73" i="75"/>
  <c r="E72" i="75"/>
  <c r="D72" i="75"/>
  <c r="C72" i="75"/>
  <c r="B72" i="75"/>
  <c r="E71" i="75"/>
  <c r="D71" i="75"/>
  <c r="C71" i="75"/>
  <c r="B71" i="75"/>
  <c r="E70" i="75"/>
  <c r="D70" i="75"/>
  <c r="C70" i="75"/>
  <c r="B70" i="75"/>
  <c r="E69" i="75"/>
  <c r="D69" i="75"/>
  <c r="C69" i="75"/>
  <c r="B69" i="75"/>
  <c r="H68" i="75"/>
  <c r="E68" i="75"/>
  <c r="D68" i="75"/>
  <c r="C68" i="75"/>
  <c r="B68" i="75"/>
  <c r="E67" i="75"/>
  <c r="D67" i="75"/>
  <c r="C67" i="75"/>
  <c r="B67" i="75"/>
  <c r="E66" i="75"/>
  <c r="D66" i="75"/>
  <c r="C66" i="75"/>
  <c r="B66" i="75"/>
  <c r="E65" i="75"/>
  <c r="D65" i="75"/>
  <c r="C65" i="75"/>
  <c r="B65" i="75"/>
  <c r="E64" i="75"/>
  <c r="D64" i="75"/>
  <c r="C64" i="75"/>
  <c r="B64" i="75"/>
  <c r="H63" i="75"/>
  <c r="E63" i="75"/>
  <c r="D63" i="75"/>
  <c r="C63" i="75"/>
  <c r="B63" i="75"/>
  <c r="E62" i="75"/>
  <c r="D62" i="75"/>
  <c r="C62" i="75"/>
  <c r="B62" i="75"/>
  <c r="E61" i="75"/>
  <c r="D61" i="75"/>
  <c r="C61" i="75"/>
  <c r="B61" i="75"/>
  <c r="E60" i="75"/>
  <c r="D60" i="75"/>
  <c r="C60" i="75"/>
  <c r="B60" i="75"/>
  <c r="AK59" i="75"/>
  <c r="AG59" i="75"/>
  <c r="AJ59" i="75" s="1"/>
  <c r="E59" i="75"/>
  <c r="D59" i="75"/>
  <c r="C59" i="75"/>
  <c r="B59" i="75"/>
  <c r="AG58" i="75"/>
  <c r="AK58" i="75" s="1"/>
  <c r="H58" i="75"/>
  <c r="E58" i="75"/>
  <c r="D58" i="75"/>
  <c r="C58" i="75"/>
  <c r="B58" i="75"/>
  <c r="AK57" i="75"/>
  <c r="AJ57" i="75"/>
  <c r="AG57" i="75"/>
  <c r="AI57" i="75" s="1"/>
  <c r="AH56" i="75"/>
  <c r="AG56" i="75"/>
  <c r="AK56" i="75" s="1"/>
  <c r="AG55" i="75"/>
  <c r="AK55" i="75" s="1"/>
  <c r="AJ54" i="75"/>
  <c r="AI54" i="75"/>
  <c r="AG54" i="75"/>
  <c r="AH54" i="75" s="1"/>
  <c r="AG53" i="75"/>
  <c r="AK53" i="75" s="1"/>
  <c r="AK52" i="75"/>
  <c r="AG52" i="75"/>
  <c r="AJ52" i="75" s="1"/>
  <c r="AK51" i="75"/>
  <c r="AI51" i="75"/>
  <c r="AH51" i="75"/>
  <c r="AG51" i="75"/>
  <c r="AJ51" i="75" s="1"/>
  <c r="AI50" i="75"/>
  <c r="AH50" i="75"/>
  <c r="AG50" i="75"/>
  <c r="AK50" i="75" s="1"/>
  <c r="AK49" i="75"/>
  <c r="AJ49" i="75"/>
  <c r="AG49" i="75"/>
  <c r="AI49" i="75" s="1"/>
  <c r="AH48" i="75"/>
  <c r="AG48" i="75"/>
  <c r="AK48" i="75" s="1"/>
  <c r="AG47" i="75"/>
  <c r="AK47" i="75" s="1"/>
  <c r="AJ46" i="75"/>
  <c r="AI46" i="75"/>
  <c r="AG46" i="75"/>
  <c r="AH46" i="75" s="1"/>
  <c r="AG45" i="75"/>
  <c r="AK45" i="75" s="1"/>
  <c r="AK44" i="75"/>
  <c r="AG44" i="75"/>
  <c r="AJ44" i="75" s="1"/>
  <c r="AK43" i="75"/>
  <c r="AI43" i="75"/>
  <c r="AH43" i="75"/>
  <c r="AG43" i="75"/>
  <c r="AJ43" i="75" s="1"/>
  <c r="AI42" i="75"/>
  <c r="AH42" i="75"/>
  <c r="AG42" i="75"/>
  <c r="AK42" i="75" s="1"/>
  <c r="AK41" i="75"/>
  <c r="AJ41" i="75"/>
  <c r="AG41" i="75"/>
  <c r="AI41" i="75" s="1"/>
  <c r="AH40" i="75"/>
  <c r="AG40" i="75"/>
  <c r="AK40" i="75" s="1"/>
  <c r="AG39" i="75"/>
  <c r="AK39" i="75" s="1"/>
  <c r="AJ38" i="75"/>
  <c r="AI38" i="75"/>
  <c r="AG38" i="75"/>
  <c r="AH38" i="75" s="1"/>
  <c r="AG37" i="75"/>
  <c r="AK37" i="75" s="1"/>
  <c r="AK36" i="75"/>
  <c r="AG36" i="75"/>
  <c r="AJ36" i="75" s="1"/>
  <c r="AG35" i="75"/>
  <c r="AK35" i="75" s="1"/>
  <c r="AK34" i="75"/>
  <c r="AJ34" i="75"/>
  <c r="AG34" i="75"/>
  <c r="AI34" i="75" s="1"/>
  <c r="AK33" i="75"/>
  <c r="AJ33" i="75"/>
  <c r="AG33" i="75"/>
  <c r="AI33" i="75" s="1"/>
  <c r="AG32" i="75"/>
  <c r="AH32" i="75" s="1"/>
  <c r="AG31" i="75"/>
  <c r="AK31" i="75" s="1"/>
  <c r="AK30" i="75"/>
  <c r="AJ30" i="75"/>
  <c r="AI30" i="75"/>
  <c r="AG30" i="75"/>
  <c r="AH30" i="75" s="1"/>
  <c r="AG29" i="75"/>
  <c r="AH29" i="75" s="1"/>
  <c r="AK28" i="75"/>
  <c r="AG28" i="75"/>
  <c r="AJ28" i="75" s="1"/>
  <c r="Y28" i="75"/>
  <c r="X28" i="75"/>
  <c r="W28" i="75"/>
  <c r="V28" i="75"/>
  <c r="C28" i="75"/>
  <c r="AH27" i="75"/>
  <c r="AG27" i="75"/>
  <c r="AK27" i="75" s="1"/>
  <c r="Y27" i="75"/>
  <c r="X27" i="75"/>
  <c r="W27" i="75"/>
  <c r="V27" i="75"/>
  <c r="C27" i="75"/>
  <c r="AG26" i="75"/>
  <c r="AK26" i="75" s="1"/>
  <c r="Y26" i="75"/>
  <c r="AD26" i="75" s="1"/>
  <c r="R26" i="75" s="1"/>
  <c r="X26" i="75"/>
  <c r="W26" i="75"/>
  <c r="V26" i="75"/>
  <c r="AA26" i="75" s="1"/>
  <c r="O26" i="75" s="1"/>
  <c r="C26" i="75"/>
  <c r="AK25" i="75"/>
  <c r="AJ25" i="75"/>
  <c r="AI25" i="75"/>
  <c r="AH25" i="75"/>
  <c r="AG25" i="75"/>
  <c r="Y25" i="75"/>
  <c r="AD25" i="75" s="1"/>
  <c r="R25" i="75" s="1"/>
  <c r="X25" i="75"/>
  <c r="W25" i="75"/>
  <c r="V25" i="75"/>
  <c r="C25" i="75"/>
  <c r="AK24" i="75"/>
  <c r="AH24" i="75"/>
  <c r="AG24" i="75"/>
  <c r="AJ24" i="75" s="1"/>
  <c r="Y24" i="75"/>
  <c r="X24" i="75"/>
  <c r="W24" i="75"/>
  <c r="V24" i="75"/>
  <c r="C24" i="75"/>
  <c r="AH23" i="75"/>
  <c r="AG23" i="75"/>
  <c r="AK23" i="75" s="1"/>
  <c r="AD23" i="75"/>
  <c r="R23" i="75" s="1"/>
  <c r="Y23" i="75"/>
  <c r="X23" i="75"/>
  <c r="W23" i="75"/>
  <c r="V23" i="75"/>
  <c r="C23" i="75"/>
  <c r="AG22" i="75"/>
  <c r="AK22" i="75" s="1"/>
  <c r="Y22" i="75"/>
  <c r="AD22" i="75" s="1"/>
  <c r="R22" i="75" s="1"/>
  <c r="X22" i="75"/>
  <c r="W22" i="75"/>
  <c r="V22" i="75"/>
  <c r="C22" i="75"/>
  <c r="AK21" i="75"/>
  <c r="AJ21" i="75"/>
  <c r="AI21" i="75"/>
  <c r="AH21" i="75"/>
  <c r="AG21" i="75"/>
  <c r="Y21" i="75"/>
  <c r="AD27" i="75" s="1"/>
  <c r="R27" i="75" s="1"/>
  <c r="X21" i="75"/>
  <c r="W21" i="75"/>
  <c r="V21" i="75"/>
  <c r="C21" i="75"/>
  <c r="AK20" i="75"/>
  <c r="AH20" i="75"/>
  <c r="AG20" i="75"/>
  <c r="AJ20" i="75" s="1"/>
  <c r="Y20" i="75"/>
  <c r="X20" i="75"/>
  <c r="W20" i="75"/>
  <c r="V20" i="75"/>
  <c r="C20" i="75"/>
  <c r="AH19" i="75"/>
  <c r="AG19" i="75"/>
  <c r="AK19" i="75" s="1"/>
  <c r="AD19" i="75"/>
  <c r="R19" i="75" s="1"/>
  <c r="Y19" i="75"/>
  <c r="X19" i="75"/>
  <c r="W19" i="75"/>
  <c r="V19" i="75"/>
  <c r="C19" i="75"/>
  <c r="AH18" i="75"/>
  <c r="AG18" i="75"/>
  <c r="AK18" i="75" s="1"/>
  <c r="AD18" i="75"/>
  <c r="R18" i="75" s="1"/>
  <c r="Y18" i="75"/>
  <c r="X18" i="75"/>
  <c r="W18" i="75"/>
  <c r="V18" i="75"/>
  <c r="AA18" i="75" s="1"/>
  <c r="O18" i="75" s="1"/>
  <c r="C18" i="75"/>
  <c r="AH17" i="75"/>
  <c r="AG17" i="75"/>
  <c r="AK17" i="75" s="1"/>
  <c r="AD17" i="75"/>
  <c r="R17" i="75" s="1"/>
  <c r="Y17" i="75"/>
  <c r="X17" i="75"/>
  <c r="W17" i="75"/>
  <c r="V17" i="75"/>
  <c r="C17" i="75"/>
  <c r="AH16" i="75"/>
  <c r="AG16" i="75"/>
  <c r="AK16" i="75" s="1"/>
  <c r="AD16" i="75"/>
  <c r="R16" i="75" s="1"/>
  <c r="Y16" i="75"/>
  <c r="X16" i="75"/>
  <c r="W16" i="75"/>
  <c r="V16" i="75"/>
  <c r="C16" i="75"/>
  <c r="AH15" i="75"/>
  <c r="AG15" i="75"/>
  <c r="AK15" i="75" s="1"/>
  <c r="AD15" i="75"/>
  <c r="R15" i="75" s="1"/>
  <c r="Y15" i="75"/>
  <c r="X15" i="75"/>
  <c r="W15" i="75"/>
  <c r="V15" i="75"/>
  <c r="C15" i="75"/>
  <c r="AH14" i="75"/>
  <c r="AG14" i="75"/>
  <c r="AK14" i="75" s="1"/>
  <c r="AD14" i="75"/>
  <c r="R14" i="75" s="1"/>
  <c r="Y14" i="75"/>
  <c r="X14" i="75"/>
  <c r="W14" i="75"/>
  <c r="V14" i="75"/>
  <c r="C14" i="75"/>
  <c r="AH13" i="75"/>
  <c r="AG13" i="75"/>
  <c r="AK13" i="75" s="1"/>
  <c r="AD13" i="75"/>
  <c r="R13" i="75" s="1"/>
  <c r="Y13" i="75"/>
  <c r="X13" i="75"/>
  <c r="W13" i="75"/>
  <c r="V13" i="75"/>
  <c r="C13" i="75"/>
  <c r="AH12" i="75"/>
  <c r="AG12" i="75"/>
  <c r="AK12" i="75" s="1"/>
  <c r="AD12" i="75"/>
  <c r="R12" i="75" s="1"/>
  <c r="Y12" i="75"/>
  <c r="X12" i="75"/>
  <c r="AC13" i="75" s="1"/>
  <c r="Q13" i="75" s="1"/>
  <c r="W12" i="75"/>
  <c r="V12" i="75"/>
  <c r="C12" i="75"/>
  <c r="AH11" i="75"/>
  <c r="AG11" i="75"/>
  <c r="AK11" i="75" s="1"/>
  <c r="AD11" i="75"/>
  <c r="R11" i="75" s="1"/>
  <c r="Y11" i="75"/>
  <c r="X11" i="75"/>
  <c r="W11" i="75"/>
  <c r="V11" i="75"/>
  <c r="C11" i="75"/>
  <c r="AG10" i="75"/>
  <c r="AK10" i="75" s="1"/>
  <c r="AD10" i="75"/>
  <c r="R10" i="75" s="1"/>
  <c r="Y10" i="75"/>
  <c r="W10" i="75"/>
  <c r="V10" i="75"/>
  <c r="C10" i="75"/>
  <c r="AG9" i="75"/>
  <c r="AK9" i="75" s="1"/>
  <c r="AD9" i="75"/>
  <c r="R9" i="75" s="1"/>
  <c r="Y9" i="75"/>
  <c r="AD28" i="75" s="1"/>
  <c r="R28" i="75" s="1"/>
  <c r="X9" i="75"/>
  <c r="W9" i="75"/>
  <c r="V9" i="75"/>
  <c r="A4" i="75"/>
  <c r="E77" i="74"/>
  <c r="D77" i="74"/>
  <c r="C77" i="74"/>
  <c r="B77" i="74"/>
  <c r="E76" i="74"/>
  <c r="D76" i="74"/>
  <c r="C76" i="74"/>
  <c r="B76" i="74"/>
  <c r="E75" i="74"/>
  <c r="D75" i="74"/>
  <c r="C75" i="74"/>
  <c r="B75" i="74"/>
  <c r="E74" i="74"/>
  <c r="D74" i="74"/>
  <c r="C74" i="74"/>
  <c r="B74" i="74"/>
  <c r="H73" i="74"/>
  <c r="E73" i="74"/>
  <c r="D73" i="74"/>
  <c r="C73" i="74"/>
  <c r="B73" i="74"/>
  <c r="E72" i="74"/>
  <c r="D72" i="74"/>
  <c r="C72" i="74"/>
  <c r="B72" i="74"/>
  <c r="E71" i="74"/>
  <c r="D71" i="74"/>
  <c r="C71" i="74"/>
  <c r="B71" i="74"/>
  <c r="E70" i="74"/>
  <c r="D70" i="74"/>
  <c r="C70" i="74"/>
  <c r="B70" i="74"/>
  <c r="E69" i="74"/>
  <c r="D69" i="74"/>
  <c r="C69" i="74"/>
  <c r="B69" i="74"/>
  <c r="H68" i="74"/>
  <c r="E68" i="74"/>
  <c r="D68" i="74"/>
  <c r="C68" i="74"/>
  <c r="B68" i="74"/>
  <c r="E67" i="74"/>
  <c r="D67" i="74"/>
  <c r="C67" i="74"/>
  <c r="B67" i="74"/>
  <c r="E66" i="74"/>
  <c r="D66" i="74"/>
  <c r="C66" i="74"/>
  <c r="B66" i="74"/>
  <c r="E65" i="74"/>
  <c r="D65" i="74"/>
  <c r="C65" i="74"/>
  <c r="B65" i="74"/>
  <c r="E64" i="74"/>
  <c r="D64" i="74"/>
  <c r="C64" i="74"/>
  <c r="B64" i="74"/>
  <c r="H63" i="74"/>
  <c r="E63" i="74"/>
  <c r="D63" i="74"/>
  <c r="C63" i="74"/>
  <c r="B63" i="74"/>
  <c r="E62" i="74"/>
  <c r="D62" i="74"/>
  <c r="C62" i="74"/>
  <c r="B62" i="74"/>
  <c r="E61" i="74"/>
  <c r="D61" i="74"/>
  <c r="C61" i="74"/>
  <c r="B61" i="74"/>
  <c r="E60" i="74"/>
  <c r="D60" i="74"/>
  <c r="C60" i="74"/>
  <c r="B60" i="74"/>
  <c r="AJ59" i="74"/>
  <c r="AH59" i="74"/>
  <c r="AG59" i="74"/>
  <c r="AI59" i="74" s="1"/>
  <c r="E59" i="74"/>
  <c r="D59" i="74"/>
  <c r="C59" i="74"/>
  <c r="B59" i="74"/>
  <c r="AK58" i="74"/>
  <c r="AI58" i="74"/>
  <c r="AH58" i="74"/>
  <c r="AG58" i="74"/>
  <c r="AJ58" i="74" s="1"/>
  <c r="H58" i="74"/>
  <c r="E58" i="74"/>
  <c r="D58" i="74"/>
  <c r="C58" i="74"/>
  <c r="B58" i="74"/>
  <c r="AK57" i="74"/>
  <c r="AG57" i="74"/>
  <c r="AI57" i="74" s="1"/>
  <c r="AK56" i="74"/>
  <c r="AJ56" i="74"/>
  <c r="AI56" i="74"/>
  <c r="AH56" i="74"/>
  <c r="AG56" i="74"/>
  <c r="AK55" i="74"/>
  <c r="AI55" i="74"/>
  <c r="AG55" i="74"/>
  <c r="AJ55" i="74" s="1"/>
  <c r="AK54" i="74"/>
  <c r="AJ54" i="74"/>
  <c r="AI54" i="74"/>
  <c r="AH54" i="74"/>
  <c r="AG54" i="74"/>
  <c r="AG53" i="74"/>
  <c r="AK53" i="74" s="1"/>
  <c r="AJ52" i="74"/>
  <c r="AH52" i="74"/>
  <c r="AG52" i="74"/>
  <c r="AI52" i="74" s="1"/>
  <c r="AJ51" i="74"/>
  <c r="AI51" i="74"/>
  <c r="AG51" i="74"/>
  <c r="AK51" i="74" s="1"/>
  <c r="AG50" i="74"/>
  <c r="AK50" i="74" s="1"/>
  <c r="AK49" i="74"/>
  <c r="AG49" i="74"/>
  <c r="AI49" i="74" s="1"/>
  <c r="AK48" i="74"/>
  <c r="AJ48" i="74"/>
  <c r="AI48" i="74"/>
  <c r="AH48" i="74"/>
  <c r="AG48" i="74"/>
  <c r="AK47" i="74"/>
  <c r="AI47" i="74"/>
  <c r="AG47" i="74"/>
  <c r="AJ47" i="74" s="1"/>
  <c r="AK46" i="74"/>
  <c r="AJ46" i="74"/>
  <c r="AI46" i="74"/>
  <c r="AH46" i="74"/>
  <c r="AG46" i="74"/>
  <c r="AG45" i="74"/>
  <c r="AK45" i="74" s="1"/>
  <c r="AJ44" i="74"/>
  <c r="AH44" i="74"/>
  <c r="AG44" i="74"/>
  <c r="AI44" i="74" s="1"/>
  <c r="AJ43" i="74"/>
  <c r="AI43" i="74"/>
  <c r="AG43" i="74"/>
  <c r="AK43" i="74" s="1"/>
  <c r="AG42" i="74"/>
  <c r="AK42" i="74" s="1"/>
  <c r="AK41" i="74"/>
  <c r="AG41" i="74"/>
  <c r="AI41" i="74" s="1"/>
  <c r="AK40" i="74"/>
  <c r="AJ40" i="74"/>
  <c r="AI40" i="74"/>
  <c r="AH40" i="74"/>
  <c r="AG40" i="74"/>
  <c r="AK39" i="74"/>
  <c r="AI39" i="74"/>
  <c r="AG39" i="74"/>
  <c r="AJ39" i="74" s="1"/>
  <c r="AK38" i="74"/>
  <c r="AJ38" i="74"/>
  <c r="AI38" i="74"/>
  <c r="AH38" i="74"/>
  <c r="AG38" i="74"/>
  <c r="AG37" i="74"/>
  <c r="AK37" i="74" s="1"/>
  <c r="AJ36" i="74"/>
  <c r="AH36" i="74"/>
  <c r="AG36" i="74"/>
  <c r="AI36" i="74" s="1"/>
  <c r="AG35" i="74"/>
  <c r="AK35" i="74" s="1"/>
  <c r="AK34" i="74"/>
  <c r="AG34" i="74"/>
  <c r="AI34" i="74" s="1"/>
  <c r="AK33" i="74"/>
  <c r="AG33" i="74"/>
  <c r="AI33" i="74" s="1"/>
  <c r="AK32" i="74"/>
  <c r="AJ32" i="74"/>
  <c r="AI32" i="74"/>
  <c r="AH32" i="74"/>
  <c r="AG32" i="74"/>
  <c r="AG31" i="74"/>
  <c r="AK31" i="74" s="1"/>
  <c r="AK30" i="74"/>
  <c r="AJ30" i="74"/>
  <c r="AI30" i="74"/>
  <c r="AH30" i="74"/>
  <c r="AG30" i="74"/>
  <c r="AK29" i="74"/>
  <c r="AJ29" i="74"/>
  <c r="AI29" i="74"/>
  <c r="AH29" i="74"/>
  <c r="AG29" i="74"/>
  <c r="AJ28" i="74"/>
  <c r="AI28" i="74"/>
  <c r="AH28" i="74"/>
  <c r="AG28" i="74"/>
  <c r="AK28" i="74" s="1"/>
  <c r="Y28" i="74"/>
  <c r="X28" i="74"/>
  <c r="W28" i="74"/>
  <c r="V28" i="74"/>
  <c r="C28" i="74"/>
  <c r="AK27" i="74"/>
  <c r="AJ27" i="74"/>
  <c r="AG27" i="74"/>
  <c r="AI27" i="74" s="1"/>
  <c r="Y27" i="74"/>
  <c r="X27" i="74"/>
  <c r="W27" i="74"/>
  <c r="V27" i="74"/>
  <c r="C27" i="74"/>
  <c r="AK26" i="74"/>
  <c r="AJ26" i="74"/>
  <c r="AI26" i="74"/>
  <c r="AH26" i="74"/>
  <c r="AG26" i="74"/>
  <c r="Y26" i="74"/>
  <c r="X26" i="74"/>
  <c r="W26" i="74"/>
  <c r="V26" i="74"/>
  <c r="C26" i="74"/>
  <c r="AJ25" i="74"/>
  <c r="AH25" i="74"/>
  <c r="AG25" i="74"/>
  <c r="AK25" i="74" s="1"/>
  <c r="Y25" i="74"/>
  <c r="X25" i="74"/>
  <c r="W25" i="74"/>
  <c r="V25" i="74"/>
  <c r="C25" i="74"/>
  <c r="AJ24" i="74"/>
  <c r="AI24" i="74"/>
  <c r="AH24" i="74"/>
  <c r="AG24" i="74"/>
  <c r="AK24" i="74" s="1"/>
  <c r="Y24" i="74"/>
  <c r="X24" i="74"/>
  <c r="W24" i="74"/>
  <c r="V24" i="74"/>
  <c r="C24" i="74"/>
  <c r="AK23" i="74"/>
  <c r="AJ23" i="74"/>
  <c r="AI23" i="74"/>
  <c r="AG23" i="74"/>
  <c r="AH23" i="74" s="1"/>
  <c r="Y23" i="74"/>
  <c r="X23" i="74"/>
  <c r="W23" i="74"/>
  <c r="V23" i="74"/>
  <c r="C23" i="74"/>
  <c r="AK22" i="74"/>
  <c r="AJ22" i="74"/>
  <c r="AI22" i="74"/>
  <c r="AH22" i="74"/>
  <c r="AG22" i="74"/>
  <c r="Y22" i="74"/>
  <c r="X22" i="74"/>
  <c r="W22" i="74"/>
  <c r="V22" i="74"/>
  <c r="C22" i="74"/>
  <c r="AJ21" i="74"/>
  <c r="AH21" i="74"/>
  <c r="AG21" i="74"/>
  <c r="AK21" i="74" s="1"/>
  <c r="Y21" i="74"/>
  <c r="X21" i="74"/>
  <c r="W21" i="74"/>
  <c r="V21" i="74"/>
  <c r="C21" i="74"/>
  <c r="AJ20" i="74"/>
  <c r="AI20" i="74"/>
  <c r="AH20" i="74"/>
  <c r="AG20" i="74"/>
  <c r="AK20" i="74" s="1"/>
  <c r="Y20" i="74"/>
  <c r="X20" i="74"/>
  <c r="W20" i="74"/>
  <c r="V20" i="74"/>
  <c r="C20" i="74"/>
  <c r="AK19" i="74"/>
  <c r="AJ19" i="74"/>
  <c r="AI19" i="74"/>
  <c r="AG19" i="74"/>
  <c r="AH19" i="74" s="1"/>
  <c r="Y19" i="74"/>
  <c r="X19" i="74"/>
  <c r="V19" i="74"/>
  <c r="C19" i="74"/>
  <c r="AK18" i="74"/>
  <c r="AG18" i="74"/>
  <c r="AH18" i="74" s="1"/>
  <c r="Y18" i="74"/>
  <c r="X18" i="74"/>
  <c r="W18" i="74"/>
  <c r="V18" i="74"/>
  <c r="C18" i="74"/>
  <c r="AK17" i="74"/>
  <c r="AG17" i="74"/>
  <c r="AH17" i="74" s="1"/>
  <c r="Y17" i="74"/>
  <c r="X17" i="74"/>
  <c r="W17" i="74"/>
  <c r="V17" i="74"/>
  <c r="C17" i="74"/>
  <c r="AK16" i="74"/>
  <c r="AG16" i="74"/>
  <c r="AH16" i="74" s="1"/>
  <c r="Y16" i="74"/>
  <c r="X16" i="74"/>
  <c r="W16" i="74"/>
  <c r="V16" i="74"/>
  <c r="C16" i="74"/>
  <c r="AK15" i="74"/>
  <c r="AG15" i="74"/>
  <c r="AH15" i="74" s="1"/>
  <c r="Y15" i="74"/>
  <c r="X15" i="74"/>
  <c r="W15" i="74"/>
  <c r="V15" i="74"/>
  <c r="C15" i="74"/>
  <c r="AK14" i="74"/>
  <c r="AG14" i="74"/>
  <c r="AH14" i="74" s="1"/>
  <c r="Y14" i="74"/>
  <c r="X14" i="74"/>
  <c r="W14" i="74"/>
  <c r="V14" i="74"/>
  <c r="C14" i="74"/>
  <c r="AK13" i="74"/>
  <c r="AG13" i="74"/>
  <c r="AH13" i="74" s="1"/>
  <c r="Y13" i="74"/>
  <c r="X13" i="74"/>
  <c r="W13" i="74"/>
  <c r="V13" i="74"/>
  <c r="C13" i="74"/>
  <c r="AK12" i="74"/>
  <c r="AG12" i="74"/>
  <c r="AH12" i="74" s="1"/>
  <c r="Y12" i="74"/>
  <c r="X12" i="74"/>
  <c r="W12" i="74"/>
  <c r="V12" i="74"/>
  <c r="C12" i="74"/>
  <c r="AK11" i="74"/>
  <c r="AG11" i="74"/>
  <c r="AH11" i="74" s="1"/>
  <c r="Y11" i="74"/>
  <c r="X11" i="74"/>
  <c r="W11" i="74"/>
  <c r="V11" i="74"/>
  <c r="C11" i="74"/>
  <c r="AK10" i="74"/>
  <c r="AG10" i="74"/>
  <c r="AH10" i="74" s="1"/>
  <c r="Y10" i="74"/>
  <c r="X10" i="74"/>
  <c r="W10" i="74"/>
  <c r="V10" i="74"/>
  <c r="C10" i="74"/>
  <c r="AK9" i="74"/>
  <c r="AG9" i="74"/>
  <c r="AH9" i="74" s="1"/>
  <c r="Y9" i="74"/>
  <c r="X9" i="74"/>
  <c r="W9" i="74"/>
  <c r="V9" i="74"/>
  <c r="A4" i="74"/>
  <c r="AH10" i="76" l="1"/>
  <c r="AH20" i="76"/>
  <c r="AK21" i="76"/>
  <c r="AH24" i="76"/>
  <c r="AK25" i="76"/>
  <c r="AH28" i="76"/>
  <c r="AH29" i="76"/>
  <c r="AK33" i="76"/>
  <c r="AI35" i="76"/>
  <c r="AI39" i="76"/>
  <c r="AK41" i="76"/>
  <c r="AH44" i="76"/>
  <c r="AJ46" i="76"/>
  <c r="AI51" i="76"/>
  <c r="AK53" i="76"/>
  <c r="AH56" i="76"/>
  <c r="AI20" i="76"/>
  <c r="AI24" i="76"/>
  <c r="AI28" i="76"/>
  <c r="AI29" i="76"/>
  <c r="AI44" i="76"/>
  <c r="AI56" i="76"/>
  <c r="AJ20" i="76"/>
  <c r="AJ24" i="76"/>
  <c r="AJ28" i="76"/>
  <c r="AJ29" i="76"/>
  <c r="AH34" i="76"/>
  <c r="AH42" i="76"/>
  <c r="AJ44" i="76"/>
  <c r="AH54" i="76"/>
  <c r="AJ56" i="76"/>
  <c r="AH32" i="76"/>
  <c r="AJ34" i="76"/>
  <c r="AH40" i="76"/>
  <c r="AJ42" i="76"/>
  <c r="AH52" i="76"/>
  <c r="AJ54" i="76"/>
  <c r="AH59" i="76"/>
  <c r="AH9" i="76"/>
  <c r="AI32" i="76"/>
  <c r="AI40" i="76"/>
  <c r="AH45" i="76"/>
  <c r="AI52" i="76"/>
  <c r="AH57" i="76"/>
  <c r="AI59" i="76"/>
  <c r="AH16" i="76"/>
  <c r="AH22" i="76"/>
  <c r="AH26" i="76"/>
  <c r="AJ32" i="76"/>
  <c r="AJ40" i="76"/>
  <c r="AJ52" i="76"/>
  <c r="AJ59" i="76"/>
  <c r="AI22" i="76"/>
  <c r="AI26" i="76"/>
  <c r="AI30" i="76"/>
  <c r="AH43" i="76"/>
  <c r="AI50" i="76"/>
  <c r="AH55" i="76"/>
  <c r="AJ57" i="76"/>
  <c r="AH58" i="76"/>
  <c r="AI43" i="76"/>
  <c r="AI55" i="76"/>
  <c r="AI58" i="76"/>
  <c r="AH13" i="76"/>
  <c r="AH21" i="76"/>
  <c r="AH25" i="76"/>
  <c r="AH33" i="76"/>
  <c r="AI36" i="76"/>
  <c r="AH41" i="76"/>
  <c r="AJ43" i="76"/>
  <c r="AI48" i="76"/>
  <c r="AH53" i="76"/>
  <c r="AJ55" i="76"/>
  <c r="AJ58" i="76"/>
  <c r="AB19" i="74"/>
  <c r="P19" i="74" s="1"/>
  <c r="AB15" i="74"/>
  <c r="P15" i="74" s="1"/>
  <c r="AB18" i="74"/>
  <c r="P18" i="74" s="1"/>
  <c r="AB13" i="74"/>
  <c r="P13" i="74" s="1"/>
  <c r="AB16" i="74"/>
  <c r="P16" i="74" s="1"/>
  <c r="AB14" i="74"/>
  <c r="P14" i="74" s="1"/>
  <c r="AA9" i="74"/>
  <c r="O9" i="74" s="1"/>
  <c r="AD11" i="74"/>
  <c r="R11" i="74" s="1"/>
  <c r="AD28" i="74"/>
  <c r="R28" i="74" s="1"/>
  <c r="AC19" i="75"/>
  <c r="Q19" i="75" s="1"/>
  <c r="AC29" i="75"/>
  <c r="AC22" i="75"/>
  <c r="Q22" i="75" s="1"/>
  <c r="AC9" i="75"/>
  <c r="Q9" i="75" s="1"/>
  <c r="AC10" i="75"/>
  <c r="Q10" i="75" s="1"/>
  <c r="AC11" i="75"/>
  <c r="Q11" i="75" s="1"/>
  <c r="AC15" i="75"/>
  <c r="Q15" i="75" s="1"/>
  <c r="AC18" i="75"/>
  <c r="Q18" i="75" s="1"/>
  <c r="AC21" i="75"/>
  <c r="Q21" i="75" s="1"/>
  <c r="AB9" i="75"/>
  <c r="P9" i="75" s="1"/>
  <c r="AB10" i="75"/>
  <c r="P10" i="75" s="1"/>
  <c r="AB14" i="75"/>
  <c r="P14" i="75" s="1"/>
  <c r="AB15" i="75"/>
  <c r="P15" i="75" s="1"/>
  <c r="AB16" i="75"/>
  <c r="P16" i="75" s="1"/>
  <c r="AB17" i="75"/>
  <c r="P17" i="75" s="1"/>
  <c r="AB18" i="75"/>
  <c r="P18" i="75" s="1"/>
  <c r="AB19" i="75"/>
  <c r="P19" i="75" s="1"/>
  <c r="AB23" i="75"/>
  <c r="P23" i="75" s="1"/>
  <c r="AB27" i="75"/>
  <c r="P27" i="75" s="1"/>
  <c r="AB11" i="75"/>
  <c r="P11" i="75" s="1"/>
  <c r="AB22" i="75"/>
  <c r="P22" i="75" s="1"/>
  <c r="AB20" i="75"/>
  <c r="P20" i="75" s="1"/>
  <c r="AB12" i="75"/>
  <c r="P12" i="75" s="1"/>
  <c r="AB13" i="75"/>
  <c r="P13" i="75" s="1"/>
  <c r="AB24" i="75"/>
  <c r="P24" i="75" s="1"/>
  <c r="AB26" i="75"/>
  <c r="P26" i="75" s="1"/>
  <c r="AD12" i="74"/>
  <c r="R12" i="74" s="1"/>
  <c r="AD20" i="74"/>
  <c r="R20" i="74" s="1"/>
  <c r="AD26" i="74"/>
  <c r="R26" i="74" s="1"/>
  <c r="AD10" i="74"/>
  <c r="R10" i="74" s="1"/>
  <c r="AD24" i="74"/>
  <c r="R24" i="74" s="1"/>
  <c r="AD14" i="74"/>
  <c r="R14" i="74" s="1"/>
  <c r="AD13" i="74"/>
  <c r="R13" i="74" s="1"/>
  <c r="AD25" i="74"/>
  <c r="R25" i="74" s="1"/>
  <c r="AD21" i="74"/>
  <c r="R21" i="74" s="1"/>
  <c r="AC29" i="74"/>
  <c r="AC18" i="74"/>
  <c r="Q18" i="74" s="1"/>
  <c r="AC15" i="74"/>
  <c r="Q15" i="74" s="1"/>
  <c r="AC23" i="74"/>
  <c r="Q23" i="74" s="1"/>
  <c r="AC24" i="74"/>
  <c r="Q24" i="74" s="1"/>
  <c r="AC13" i="74"/>
  <c r="Q13" i="74" s="1"/>
  <c r="AC12" i="74"/>
  <c r="Q12" i="74" s="1"/>
  <c r="AC14" i="74"/>
  <c r="Q14" i="74" s="1"/>
  <c r="AC11" i="74"/>
  <c r="Q11" i="74" s="1"/>
  <c r="AC19" i="74"/>
  <c r="Q19" i="74" s="1"/>
  <c r="AC27" i="74"/>
  <c r="Q27" i="74" s="1"/>
  <c r="AC28" i="74"/>
  <c r="Q28" i="74" s="1"/>
  <c r="AC20" i="74"/>
  <c r="Q20" i="74" s="1"/>
  <c r="AC17" i="74"/>
  <c r="Q17" i="74" s="1"/>
  <c r="AC10" i="74"/>
  <c r="Q10" i="74" s="1"/>
  <c r="AC16" i="74"/>
  <c r="Q16" i="74" s="1"/>
  <c r="AA15" i="74"/>
  <c r="O15" i="74" s="1"/>
  <c r="AA12" i="74"/>
  <c r="O12" i="74" s="1"/>
  <c r="AA10" i="74"/>
  <c r="O10" i="74" s="1"/>
  <c r="AA27" i="74"/>
  <c r="O27" i="74" s="1"/>
  <c r="AA11" i="74"/>
  <c r="O11" i="74" s="1"/>
  <c r="AA28" i="74"/>
  <c r="O28" i="74" s="1"/>
  <c r="AA13" i="74"/>
  <c r="O13" i="74" s="1"/>
  <c r="AA16" i="74"/>
  <c r="O16" i="74" s="1"/>
  <c r="AA23" i="74"/>
  <c r="O23" i="74" s="1"/>
  <c r="AA17" i="74"/>
  <c r="O17" i="74" s="1"/>
  <c r="AA19" i="74"/>
  <c r="O19" i="74" s="1"/>
  <c r="AA14" i="74"/>
  <c r="O14" i="74" s="1"/>
  <c r="AA20" i="74"/>
  <c r="O20" i="74" s="1"/>
  <c r="AA18" i="74"/>
  <c r="O18" i="74" s="1"/>
  <c r="AA24" i="74"/>
  <c r="O24" i="74" s="1"/>
  <c r="AA25" i="74"/>
  <c r="O25" i="74" s="1"/>
  <c r="AC12" i="75"/>
  <c r="Q12" i="75" s="1"/>
  <c r="AC25" i="75"/>
  <c r="Q25" i="75" s="1"/>
  <c r="AC14" i="75"/>
  <c r="Q14" i="75" s="1"/>
  <c r="AC26" i="75"/>
  <c r="Q26" i="75" s="1"/>
  <c r="AC16" i="75"/>
  <c r="Q16" i="75" s="1"/>
  <c r="AC17" i="75"/>
  <c r="Q17" i="75" s="1"/>
  <c r="G73" i="75"/>
  <c r="M36" i="75"/>
  <c r="J73" i="75" s="1"/>
  <c r="I73" i="75"/>
  <c r="AB20" i="74"/>
  <c r="P20" i="74" s="1"/>
  <c r="AB17" i="74"/>
  <c r="P17" i="74" s="1"/>
  <c r="AB10" i="74"/>
  <c r="P10" i="74" s="1"/>
  <c r="AB26" i="74"/>
  <c r="P26" i="74" s="1"/>
  <c r="AB9" i="74"/>
  <c r="P9" i="74" s="1"/>
  <c r="AB25" i="74"/>
  <c r="P25" i="74" s="1"/>
  <c r="AB12" i="74"/>
  <c r="P12" i="74" s="1"/>
  <c r="AB29" i="74"/>
  <c r="AB23" i="74"/>
  <c r="P23" i="74" s="1"/>
  <c r="AB11" i="74"/>
  <c r="P11" i="74" s="1"/>
  <c r="AB21" i="74"/>
  <c r="P21" i="74" s="1"/>
  <c r="AB22" i="74"/>
  <c r="P22" i="74" s="1"/>
  <c r="AA9" i="75"/>
  <c r="O9" i="75" s="1"/>
  <c r="AA10" i="75"/>
  <c r="O10" i="75" s="1"/>
  <c r="AA11" i="75"/>
  <c r="O11" i="75" s="1"/>
  <c r="AA19" i="75"/>
  <c r="O19" i="75" s="1"/>
  <c r="AA12" i="75"/>
  <c r="O12" i="75" s="1"/>
  <c r="AA13" i="75"/>
  <c r="O13" i="75" s="1"/>
  <c r="AA14" i="75"/>
  <c r="O14" i="75" s="1"/>
  <c r="AA15" i="75"/>
  <c r="O15" i="75" s="1"/>
  <c r="AA23" i="75"/>
  <c r="O23" i="75" s="1"/>
  <c r="AA16" i="75"/>
  <c r="O16" i="75" s="1"/>
  <c r="AA27" i="75"/>
  <c r="O27" i="75" s="1"/>
  <c r="AA17" i="75"/>
  <c r="O17" i="75" s="1"/>
  <c r="AA20" i="75"/>
  <c r="O20" i="75" s="1"/>
  <c r="AA22" i="75"/>
  <c r="O22" i="75" s="1"/>
  <c r="AC23" i="75"/>
  <c r="Q23" i="75" s="1"/>
  <c r="AA24" i="75"/>
  <c r="O24" i="75" s="1"/>
  <c r="AC27" i="75"/>
  <c r="Q27" i="75" s="1"/>
  <c r="AA28" i="75"/>
  <c r="O28" i="75" s="1"/>
  <c r="AH22" i="75"/>
  <c r="AC20" i="75"/>
  <c r="Q20" i="75" s="1"/>
  <c r="AA21" i="75"/>
  <c r="O21" i="75" s="1"/>
  <c r="AI22" i="75"/>
  <c r="AC24" i="75"/>
  <c r="Q24" i="75" s="1"/>
  <c r="AA25" i="75"/>
  <c r="O25" i="75" s="1"/>
  <c r="AI26" i="75"/>
  <c r="AC28" i="75"/>
  <c r="Q28" i="75" s="1"/>
  <c r="AI29" i="75"/>
  <c r="AI32" i="75"/>
  <c r="AH37" i="75"/>
  <c r="AK38" i="75"/>
  <c r="AI40" i="75"/>
  <c r="AH45" i="75"/>
  <c r="AK46" i="75"/>
  <c r="AI48" i="75"/>
  <c r="AH53" i="75"/>
  <c r="AK54" i="75"/>
  <c r="AI56" i="75"/>
  <c r="AH26" i="75"/>
  <c r="AH9" i="75"/>
  <c r="AH10" i="75"/>
  <c r="AD20" i="75"/>
  <c r="R20" i="75" s="1"/>
  <c r="R29" i="75" s="1"/>
  <c r="AB21" i="75"/>
  <c r="P21" i="75" s="1"/>
  <c r="AJ22" i="75"/>
  <c r="AD24" i="75"/>
  <c r="R24" i="75" s="1"/>
  <c r="AB25" i="75"/>
  <c r="P25" i="75" s="1"/>
  <c r="AJ26" i="75"/>
  <c r="AJ29" i="75"/>
  <c r="AJ32" i="75"/>
  <c r="AI37" i="75"/>
  <c r="AJ40" i="75"/>
  <c r="AI45" i="75"/>
  <c r="AJ48" i="75"/>
  <c r="AI53" i="75"/>
  <c r="AJ56" i="75"/>
  <c r="AI19" i="75"/>
  <c r="AI23" i="75"/>
  <c r="AI27" i="75"/>
  <c r="AK29" i="75"/>
  <c r="AH31" i="75"/>
  <c r="AK32" i="75"/>
  <c r="AH35" i="75"/>
  <c r="AJ37" i="75"/>
  <c r="AH39" i="75"/>
  <c r="AJ45" i="75"/>
  <c r="AH47" i="75"/>
  <c r="AJ53" i="75"/>
  <c r="AH55" i="75"/>
  <c r="AH58" i="75"/>
  <c r="AB28" i="75"/>
  <c r="P28" i="75" s="1"/>
  <c r="AJ19" i="75"/>
  <c r="AD21" i="75"/>
  <c r="R21" i="75" s="1"/>
  <c r="AJ23" i="75"/>
  <c r="AJ27" i="75"/>
  <c r="AH28" i="75"/>
  <c r="AA29" i="75"/>
  <c r="AB30" i="75"/>
  <c r="AI31" i="75"/>
  <c r="AI35" i="75"/>
  <c r="AH36" i="75"/>
  <c r="AI39" i="75"/>
  <c r="AJ42" i="75"/>
  <c r="AH44" i="75"/>
  <c r="AI47" i="75"/>
  <c r="AJ50" i="75"/>
  <c r="AH52" i="75"/>
  <c r="AI55" i="75"/>
  <c r="AI58" i="75"/>
  <c r="AH59" i="75"/>
  <c r="AI20" i="75"/>
  <c r="AI24" i="75"/>
  <c r="AI28" i="75"/>
  <c r="AB29" i="75"/>
  <c r="AJ31" i="75"/>
  <c r="AH33" i="75"/>
  <c r="AH34" i="75"/>
  <c r="AJ35" i="75"/>
  <c r="AI36" i="75"/>
  <c r="AJ39" i="75"/>
  <c r="AH41" i="75"/>
  <c r="AI44" i="75"/>
  <c r="AJ47" i="75"/>
  <c r="AH49" i="75"/>
  <c r="AI52" i="75"/>
  <c r="AJ55" i="75"/>
  <c r="AH57" i="75"/>
  <c r="AJ58" i="75"/>
  <c r="AI59" i="75"/>
  <c r="AB27" i="74"/>
  <c r="P27" i="74" s="1"/>
  <c r="AC9" i="74"/>
  <c r="Q9" i="74" s="1"/>
  <c r="AI21" i="74"/>
  <c r="AI25" i="74"/>
  <c r="AJ33" i="74"/>
  <c r="AJ34" i="74"/>
  <c r="AK36" i="74"/>
  <c r="AJ41" i="74"/>
  <c r="AH43" i="74"/>
  <c r="AK44" i="74"/>
  <c r="AJ49" i="74"/>
  <c r="AH51" i="74"/>
  <c r="AK52" i="74"/>
  <c r="AJ57" i="74"/>
  <c r="AK59" i="74"/>
  <c r="AD16" i="74"/>
  <c r="R16" i="74" s="1"/>
  <c r="AD18" i="74"/>
  <c r="R18" i="74" s="1"/>
  <c r="AD27" i="74"/>
  <c r="R27" i="74" s="1"/>
  <c r="AH37" i="74"/>
  <c r="AH45" i="74"/>
  <c r="AH53" i="74"/>
  <c r="AD9" i="74"/>
  <c r="R9" i="74" s="1"/>
  <c r="AD15" i="74"/>
  <c r="R15" i="74" s="1"/>
  <c r="AD17" i="74"/>
  <c r="R17" i="74" s="1"/>
  <c r="AB24" i="74"/>
  <c r="P24" i="74" s="1"/>
  <c r="AB28" i="74"/>
  <c r="P28" i="74" s="1"/>
  <c r="AA21" i="74"/>
  <c r="O21" i="74" s="1"/>
  <c r="AH27" i="74"/>
  <c r="AI37" i="74"/>
  <c r="AH42" i="74"/>
  <c r="AI45" i="74"/>
  <c r="AH50" i="74"/>
  <c r="AI53" i="74"/>
  <c r="AD19" i="74"/>
  <c r="R19" i="74" s="1"/>
  <c r="AD23" i="74"/>
  <c r="R23" i="74" s="1"/>
  <c r="AC21" i="74"/>
  <c r="Q21" i="74" s="1"/>
  <c r="AA22" i="74"/>
  <c r="O22" i="74" s="1"/>
  <c r="AC25" i="74"/>
  <c r="Q25" i="74" s="1"/>
  <c r="AA26" i="74"/>
  <c r="O26" i="74" s="1"/>
  <c r="AH31" i="74"/>
  <c r="AH35" i="74"/>
  <c r="AJ37" i="74"/>
  <c r="AH39" i="74"/>
  <c r="AI42" i="74"/>
  <c r="AJ45" i="74"/>
  <c r="AH47" i="74"/>
  <c r="AI50" i="74"/>
  <c r="AJ53" i="74"/>
  <c r="AH55" i="74"/>
  <c r="AA29" i="74"/>
  <c r="AB30" i="74"/>
  <c r="AI31" i="74"/>
  <c r="AI35" i="74"/>
  <c r="AJ42" i="74"/>
  <c r="AJ50" i="74"/>
  <c r="AC22" i="74"/>
  <c r="Q22" i="74" s="1"/>
  <c r="AC26" i="74"/>
  <c r="Q26" i="74" s="1"/>
  <c r="AJ31" i="74"/>
  <c r="AH33" i="74"/>
  <c r="AH34" i="74"/>
  <c r="AJ35" i="74"/>
  <c r="AH41" i="74"/>
  <c r="AH49" i="74"/>
  <c r="AH57" i="74"/>
  <c r="AD22" i="74"/>
  <c r="R22" i="74" s="1"/>
  <c r="A4" i="73"/>
  <c r="P29" i="75" l="1"/>
  <c r="E34" i="75" s="1"/>
  <c r="G63" i="75" s="1"/>
  <c r="O29" i="74"/>
  <c r="B34" i="74" s="1"/>
  <c r="Q29" i="75"/>
  <c r="H34" i="75" s="1"/>
  <c r="P29" i="74"/>
  <c r="E34" i="74" s="1"/>
  <c r="O29" i="75"/>
  <c r="G58" i="75" s="1"/>
  <c r="R29" i="74"/>
  <c r="K34" i="74" s="1"/>
  <c r="Q29" i="74"/>
  <c r="H34" i="74" s="1"/>
  <c r="AG5" i="25"/>
  <c r="AH6" i="25" s="1"/>
  <c r="H73" i="73"/>
  <c r="H73" i="25"/>
  <c r="H68" i="73"/>
  <c r="H68" i="25"/>
  <c r="H63" i="73"/>
  <c r="H63" i="25"/>
  <c r="H58" i="73"/>
  <c r="H58" i="25"/>
  <c r="E77" i="73"/>
  <c r="D77" i="73"/>
  <c r="C77" i="73"/>
  <c r="B77" i="73"/>
  <c r="E76" i="73"/>
  <c r="D76" i="73"/>
  <c r="C76" i="73"/>
  <c r="B76" i="73"/>
  <c r="E75" i="73"/>
  <c r="D75" i="73"/>
  <c r="C75" i="73"/>
  <c r="B75" i="73"/>
  <c r="E74" i="73"/>
  <c r="D74" i="73"/>
  <c r="C74" i="73"/>
  <c r="B74" i="73"/>
  <c r="E73" i="73"/>
  <c r="D73" i="73"/>
  <c r="C73" i="73"/>
  <c r="B73" i="73"/>
  <c r="E72" i="73"/>
  <c r="D72" i="73"/>
  <c r="C72" i="73"/>
  <c r="B72" i="73"/>
  <c r="E71" i="73"/>
  <c r="D71" i="73"/>
  <c r="C71" i="73"/>
  <c r="B71" i="73"/>
  <c r="E70" i="73"/>
  <c r="D70" i="73"/>
  <c r="C70" i="73"/>
  <c r="B70" i="73"/>
  <c r="E69" i="73"/>
  <c r="D69" i="73"/>
  <c r="C69" i="73"/>
  <c r="B69" i="73"/>
  <c r="E68" i="73"/>
  <c r="D68" i="73"/>
  <c r="C68" i="73"/>
  <c r="B68" i="73"/>
  <c r="E67" i="73"/>
  <c r="D67" i="73"/>
  <c r="C67" i="73"/>
  <c r="B67" i="73"/>
  <c r="E66" i="73"/>
  <c r="D66" i="73"/>
  <c r="C66" i="73"/>
  <c r="B66" i="73"/>
  <c r="E65" i="73"/>
  <c r="D65" i="73"/>
  <c r="C65" i="73"/>
  <c r="B65" i="73"/>
  <c r="E64" i="73"/>
  <c r="D64" i="73"/>
  <c r="C64" i="73"/>
  <c r="B64" i="73"/>
  <c r="E63" i="73"/>
  <c r="D63" i="73"/>
  <c r="C63" i="73"/>
  <c r="B63" i="73"/>
  <c r="E62" i="73"/>
  <c r="D62" i="73"/>
  <c r="C62" i="73"/>
  <c r="B62" i="73"/>
  <c r="E61" i="73"/>
  <c r="D61" i="73"/>
  <c r="C61" i="73"/>
  <c r="B61" i="73"/>
  <c r="E60" i="73"/>
  <c r="D60" i="73"/>
  <c r="C60" i="73"/>
  <c r="B60" i="73"/>
  <c r="AG59" i="73"/>
  <c r="AH59" i="73" s="1"/>
  <c r="E59" i="73"/>
  <c r="D59" i="73"/>
  <c r="C59" i="73"/>
  <c r="B59" i="73"/>
  <c r="AG58" i="73"/>
  <c r="E58" i="73"/>
  <c r="D58" i="73"/>
  <c r="C58" i="73"/>
  <c r="B58" i="73"/>
  <c r="AG57" i="73"/>
  <c r="AI57" i="73" s="1"/>
  <c r="AG56" i="73"/>
  <c r="AJ56" i="73" s="1"/>
  <c r="AG55" i="73"/>
  <c r="AG54" i="73"/>
  <c r="AG53" i="73"/>
  <c r="AI53" i="73" s="1"/>
  <c r="AG52" i="73"/>
  <c r="AK52" i="73" s="1"/>
  <c r="AG51" i="73"/>
  <c r="AI51" i="73" s="1"/>
  <c r="AG50" i="73"/>
  <c r="AG49" i="73"/>
  <c r="AK49" i="73" s="1"/>
  <c r="AG48" i="73"/>
  <c r="AJ48" i="73" s="1"/>
  <c r="AG47" i="73"/>
  <c r="AH47" i="73" s="1"/>
  <c r="AG46" i="73"/>
  <c r="AI46" i="73" s="1"/>
  <c r="AG45" i="73"/>
  <c r="AG44" i="73"/>
  <c r="AG43" i="73"/>
  <c r="AH43" i="73" s="1"/>
  <c r="AG42" i="73"/>
  <c r="AH42" i="73" s="1"/>
  <c r="AG41" i="73"/>
  <c r="AK41" i="73" s="1"/>
  <c r="AG40" i="73"/>
  <c r="AJ40" i="73" s="1"/>
  <c r="AG39" i="73"/>
  <c r="AJ39" i="73" s="1"/>
  <c r="AG38" i="73"/>
  <c r="AG37" i="73"/>
  <c r="AK37" i="73" s="1"/>
  <c r="AG36" i="73"/>
  <c r="AG35" i="73"/>
  <c r="AG34" i="73"/>
  <c r="AK34" i="73" s="1"/>
  <c r="AG33" i="73"/>
  <c r="AH33" i="73" s="1"/>
  <c r="AG32" i="73"/>
  <c r="AK32" i="73" s="1"/>
  <c r="AG31" i="73"/>
  <c r="AH31" i="73" s="1"/>
  <c r="AG30" i="73"/>
  <c r="AK30" i="73" s="1"/>
  <c r="AG29" i="73"/>
  <c r="AI29" i="73" s="1"/>
  <c r="AG28" i="73"/>
  <c r="Y28" i="73"/>
  <c r="X28" i="73"/>
  <c r="W28" i="73"/>
  <c r="V28" i="73"/>
  <c r="C28" i="73"/>
  <c r="AG27" i="73"/>
  <c r="Y27" i="73"/>
  <c r="X27" i="73"/>
  <c r="W27" i="73"/>
  <c r="V27" i="73"/>
  <c r="C27" i="73"/>
  <c r="AG26" i="73"/>
  <c r="AI26" i="73" s="1"/>
  <c r="Y26" i="73"/>
  <c r="X26" i="73"/>
  <c r="W26" i="73"/>
  <c r="V26" i="73"/>
  <c r="C26" i="73"/>
  <c r="AG25" i="73"/>
  <c r="AK25" i="73" s="1"/>
  <c r="Y25" i="73"/>
  <c r="X25" i="73"/>
  <c r="W25" i="73"/>
  <c r="V25" i="73"/>
  <c r="C25" i="73"/>
  <c r="AG24" i="73"/>
  <c r="AK24" i="73" s="1"/>
  <c r="Y24" i="73"/>
  <c r="X24" i="73"/>
  <c r="W24" i="73"/>
  <c r="V24" i="73"/>
  <c r="C24" i="73"/>
  <c r="AG23" i="73"/>
  <c r="AH23" i="73" s="1"/>
  <c r="Y23" i="73"/>
  <c r="X23" i="73"/>
  <c r="W23" i="73"/>
  <c r="V23" i="73"/>
  <c r="C23" i="73"/>
  <c r="AG22" i="73"/>
  <c r="AK22" i="73" s="1"/>
  <c r="Y22" i="73"/>
  <c r="X22" i="73"/>
  <c r="W22" i="73"/>
  <c r="V22" i="73"/>
  <c r="C22" i="73"/>
  <c r="AG21" i="73"/>
  <c r="AK21" i="73" s="1"/>
  <c r="Y21" i="73"/>
  <c r="X21" i="73"/>
  <c r="W21" i="73"/>
  <c r="V21" i="73"/>
  <c r="C21" i="73"/>
  <c r="AG20" i="73"/>
  <c r="AK20" i="73" s="1"/>
  <c r="Y20" i="73"/>
  <c r="X20" i="73"/>
  <c r="W20" i="73"/>
  <c r="V20" i="73"/>
  <c r="C20" i="73"/>
  <c r="AG19" i="73"/>
  <c r="AJ19" i="73" s="1"/>
  <c r="Y19" i="73"/>
  <c r="X19" i="73"/>
  <c r="W19" i="73"/>
  <c r="V19" i="73"/>
  <c r="C19" i="73"/>
  <c r="AG18" i="73"/>
  <c r="AH18" i="73"/>
  <c r="Y18" i="73"/>
  <c r="X18" i="73"/>
  <c r="W18" i="73"/>
  <c r="V18" i="73"/>
  <c r="C18" i="73"/>
  <c r="AG17" i="73"/>
  <c r="Y17" i="73"/>
  <c r="X17" i="73"/>
  <c r="W17" i="73"/>
  <c r="V17" i="73"/>
  <c r="C17" i="73"/>
  <c r="AG16" i="73"/>
  <c r="Y16" i="73"/>
  <c r="X16" i="73"/>
  <c r="W16" i="73"/>
  <c r="V16" i="73"/>
  <c r="C16" i="73"/>
  <c r="AG15" i="73"/>
  <c r="AH15" i="73" s="1"/>
  <c r="Y15" i="73"/>
  <c r="X15" i="73"/>
  <c r="W15" i="73"/>
  <c r="V15" i="73"/>
  <c r="C15" i="73"/>
  <c r="AG14" i="73"/>
  <c r="AK14" i="73" s="1"/>
  <c r="Y14" i="73"/>
  <c r="X14" i="73"/>
  <c r="W14" i="73"/>
  <c r="V14" i="73"/>
  <c r="C14" i="73"/>
  <c r="AG13" i="73"/>
  <c r="AH13" i="73" s="1"/>
  <c r="Y13" i="73"/>
  <c r="X13" i="73"/>
  <c r="W13" i="73"/>
  <c r="V13" i="73"/>
  <c r="C13" i="73"/>
  <c r="AG12" i="73"/>
  <c r="Y12" i="73"/>
  <c r="X12" i="73"/>
  <c r="W12" i="73"/>
  <c r="V12" i="73"/>
  <c r="C12" i="73"/>
  <c r="AG11" i="73"/>
  <c r="AK11" i="73" s="1"/>
  <c r="Y11" i="73"/>
  <c r="X11" i="73"/>
  <c r="W11" i="73"/>
  <c r="V11" i="73"/>
  <c r="C11" i="73"/>
  <c r="AG10" i="73"/>
  <c r="AH10" i="73" s="1"/>
  <c r="Y10" i="73"/>
  <c r="X10" i="73"/>
  <c r="W10" i="73"/>
  <c r="V10" i="73"/>
  <c r="C10" i="73"/>
  <c r="AG9" i="73"/>
  <c r="Y9" i="73"/>
  <c r="X9" i="73"/>
  <c r="W9" i="73"/>
  <c r="V9" i="73"/>
  <c r="E77" i="25"/>
  <c r="D77" i="25"/>
  <c r="C77" i="25"/>
  <c r="E76" i="25"/>
  <c r="D76" i="25"/>
  <c r="C76" i="25"/>
  <c r="E75" i="25"/>
  <c r="D75" i="25"/>
  <c r="C75" i="25"/>
  <c r="E74" i="25"/>
  <c r="D74" i="25"/>
  <c r="C74" i="25"/>
  <c r="B77" i="25"/>
  <c r="B76" i="25"/>
  <c r="B75" i="25"/>
  <c r="B74" i="25"/>
  <c r="E73" i="25"/>
  <c r="D73" i="25"/>
  <c r="C73" i="25"/>
  <c r="B73" i="25"/>
  <c r="L34" i="25"/>
  <c r="I34" i="25"/>
  <c r="F34" i="25"/>
  <c r="C34" i="25"/>
  <c r="F58" i="25" s="1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10" i="25"/>
  <c r="Y28" i="25"/>
  <c r="Y27" i="25"/>
  <c r="Y26" i="25"/>
  <c r="Y25" i="25"/>
  <c r="Y24" i="25"/>
  <c r="Y23" i="25"/>
  <c r="Y22" i="25"/>
  <c r="Y21" i="25"/>
  <c r="Y20" i="25"/>
  <c r="Y19" i="25"/>
  <c r="Y18" i="25"/>
  <c r="Y17" i="25"/>
  <c r="Y16" i="25"/>
  <c r="Y15" i="25"/>
  <c r="Y14" i="25"/>
  <c r="Y13" i="25"/>
  <c r="Y12" i="25"/>
  <c r="Y11" i="25"/>
  <c r="Y10" i="25"/>
  <c r="Y9" i="25"/>
  <c r="X28" i="25"/>
  <c r="X27" i="25"/>
  <c r="X26" i="25"/>
  <c r="X25" i="25"/>
  <c r="X24" i="25"/>
  <c r="X23" i="25"/>
  <c r="X22" i="25"/>
  <c r="X21" i="25"/>
  <c r="X20" i="25"/>
  <c r="X19" i="25"/>
  <c r="X18" i="25"/>
  <c r="X17" i="25"/>
  <c r="X16" i="25"/>
  <c r="X15" i="25"/>
  <c r="X14" i="25"/>
  <c r="X13" i="25"/>
  <c r="X12" i="25"/>
  <c r="X11" i="25"/>
  <c r="X10" i="25"/>
  <c r="X9" i="25"/>
  <c r="W28" i="25"/>
  <c r="W27" i="25"/>
  <c r="W26" i="25"/>
  <c r="W25" i="25"/>
  <c r="W24" i="25"/>
  <c r="W23" i="25"/>
  <c r="W22" i="25"/>
  <c r="W21" i="25"/>
  <c r="W20" i="25"/>
  <c r="W19" i="25"/>
  <c r="W18" i="25"/>
  <c r="W17" i="25"/>
  <c r="W16" i="25"/>
  <c r="W15" i="25"/>
  <c r="W14" i="25"/>
  <c r="W13" i="25"/>
  <c r="W12" i="25"/>
  <c r="W11" i="25"/>
  <c r="W10" i="25"/>
  <c r="W9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AG10" i="25"/>
  <c r="AH10" i="25" s="1"/>
  <c r="AG11" i="25"/>
  <c r="AH11" i="25" s="1"/>
  <c r="AG12" i="25"/>
  <c r="AH12" i="25" s="1"/>
  <c r="AG13" i="25"/>
  <c r="AH13" i="25"/>
  <c r="AG14" i="25"/>
  <c r="AH14" i="25" s="1"/>
  <c r="AG15" i="25"/>
  <c r="AH15" i="25" s="1"/>
  <c r="AG16" i="25"/>
  <c r="AH16" i="25" s="1"/>
  <c r="AG17" i="25"/>
  <c r="AH17" i="25" s="1"/>
  <c r="AG18" i="25"/>
  <c r="AH18" i="25" s="1"/>
  <c r="AG19" i="25"/>
  <c r="AH19" i="25" s="1"/>
  <c r="AG20" i="25"/>
  <c r="AH20" i="25" s="1"/>
  <c r="AG21" i="25"/>
  <c r="AH21" i="25"/>
  <c r="AG22" i="25"/>
  <c r="AH22" i="25" s="1"/>
  <c r="AG23" i="25"/>
  <c r="AH23" i="25" s="1"/>
  <c r="AG24" i="25"/>
  <c r="AH24" i="25" s="1"/>
  <c r="AG25" i="25"/>
  <c r="AH25" i="25" s="1"/>
  <c r="AG26" i="25"/>
  <c r="AH26" i="25" s="1"/>
  <c r="AG27" i="25"/>
  <c r="AH27" i="25" s="1"/>
  <c r="AG28" i="25"/>
  <c r="AH28" i="25" s="1"/>
  <c r="AG29" i="25"/>
  <c r="AH29" i="25" s="1"/>
  <c r="AG30" i="25"/>
  <c r="AH30" i="25" s="1"/>
  <c r="AG31" i="25"/>
  <c r="AH31" i="25" s="1"/>
  <c r="AG32" i="25"/>
  <c r="AH32" i="25" s="1"/>
  <c r="AG33" i="25"/>
  <c r="AH33" i="25" s="1"/>
  <c r="AG34" i="25"/>
  <c r="AH34" i="25" s="1"/>
  <c r="AG35" i="25"/>
  <c r="AH35" i="25" s="1"/>
  <c r="AG36" i="25"/>
  <c r="AH36" i="25" s="1"/>
  <c r="AG37" i="25"/>
  <c r="AH37" i="25"/>
  <c r="AG38" i="25"/>
  <c r="AH38" i="25" s="1"/>
  <c r="AG39" i="25"/>
  <c r="AH39" i="25" s="1"/>
  <c r="AG40" i="25"/>
  <c r="AH40" i="25" s="1"/>
  <c r="AG41" i="25"/>
  <c r="AJ41" i="25" s="1"/>
  <c r="AG42" i="25"/>
  <c r="AH42" i="25" s="1"/>
  <c r="AG43" i="25"/>
  <c r="AH43" i="25" s="1"/>
  <c r="AG44" i="25"/>
  <c r="AH44" i="25" s="1"/>
  <c r="AG45" i="25"/>
  <c r="AH45" i="25"/>
  <c r="AG46" i="25"/>
  <c r="AH46" i="25" s="1"/>
  <c r="AG47" i="25"/>
  <c r="AH47" i="25" s="1"/>
  <c r="AG48" i="25"/>
  <c r="AH48" i="25" s="1"/>
  <c r="AG49" i="25"/>
  <c r="AH49" i="25" s="1"/>
  <c r="AG50" i="25"/>
  <c r="AH50" i="25" s="1"/>
  <c r="AG51" i="25"/>
  <c r="AH51" i="25" s="1"/>
  <c r="AG52" i="25"/>
  <c r="AH52" i="25" s="1"/>
  <c r="AG53" i="25"/>
  <c r="AH53" i="25"/>
  <c r="AG54" i="25"/>
  <c r="AH54" i="25" s="1"/>
  <c r="AG55" i="25"/>
  <c r="AH55" i="25" s="1"/>
  <c r="AG56" i="25"/>
  <c r="AH56" i="25" s="1"/>
  <c r="AG57" i="25"/>
  <c r="AH57" i="25" s="1"/>
  <c r="AG58" i="25"/>
  <c r="AH58" i="25" s="1"/>
  <c r="AG59" i="25"/>
  <c r="AH59" i="25" s="1"/>
  <c r="AG9" i="25"/>
  <c r="AK9" i="25" s="1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AI32" i="73"/>
  <c r="AH54" i="73"/>
  <c r="AJ54" i="73"/>
  <c r="AK18" i="73"/>
  <c r="AK51" i="73"/>
  <c r="AH14" i="73"/>
  <c r="AH24" i="73"/>
  <c r="AI31" i="73"/>
  <c r="AJ32" i="73"/>
  <c r="AI47" i="73"/>
  <c r="AJ51" i="73"/>
  <c r="AJ53" i="73"/>
  <c r="AI24" i="73"/>
  <c r="AJ29" i="73"/>
  <c r="AJ35" i="73"/>
  <c r="AJ47" i="73"/>
  <c r="AJ57" i="73"/>
  <c r="AK15" i="73"/>
  <c r="AI23" i="73"/>
  <c r="AJ28" i="73"/>
  <c r="AH32" i="73"/>
  <c r="AJ46" i="73"/>
  <c r="AH51" i="73"/>
  <c r="AI54" i="73"/>
  <c r="AJ20" i="73"/>
  <c r="AJ24" i="73"/>
  <c r="AJ31" i="73"/>
  <c r="AI48" i="73"/>
  <c r="AH39" i="73"/>
  <c r="AI39" i="73"/>
  <c r="AK10" i="73"/>
  <c r="AH29" i="73"/>
  <c r="AI36" i="73"/>
  <c r="AJ50" i="73"/>
  <c r="AK55" i="73"/>
  <c r="AK48" i="73"/>
  <c r="AH48" i="73"/>
  <c r="AI58" i="73"/>
  <c r="AJ36" i="73"/>
  <c r="AJ49" i="73"/>
  <c r="AK59" i="73"/>
  <c r="AI59" i="73"/>
  <c r="AH11" i="73"/>
  <c r="AK12" i="73"/>
  <c r="AH12" i="73"/>
  <c r="AK16" i="73"/>
  <c r="AH16" i="73"/>
  <c r="AK17" i="73"/>
  <c r="AH17" i="73"/>
  <c r="AJ45" i="73"/>
  <c r="AI45" i="73"/>
  <c r="AH45" i="73"/>
  <c r="AJ41" i="73"/>
  <c r="AI41" i="73"/>
  <c r="AH41" i="73"/>
  <c r="AK45" i="73"/>
  <c r="AJ52" i="73"/>
  <c r="AI52" i="73"/>
  <c r="AH52" i="73"/>
  <c r="AJ21" i="73"/>
  <c r="AI21" i="73"/>
  <c r="AH21" i="73"/>
  <c r="AI33" i="73"/>
  <c r="AJ25" i="73"/>
  <c r="AI25" i="73"/>
  <c r="AH25" i="73"/>
  <c r="AK26" i="73"/>
  <c r="AK38" i="73"/>
  <c r="AK42" i="73"/>
  <c r="AK46" i="73"/>
  <c r="AK53" i="73"/>
  <c r="AK57" i="73"/>
  <c r="AH22" i="73"/>
  <c r="AH26" i="73"/>
  <c r="AK31" i="73"/>
  <c r="AK35" i="73"/>
  <c r="AH38" i="73"/>
  <c r="AK39" i="73"/>
  <c r="AK43" i="73"/>
  <c r="AH46" i="73"/>
  <c r="AK47" i="73"/>
  <c r="AH53" i="73"/>
  <c r="AK54" i="73"/>
  <c r="AH57" i="73"/>
  <c r="AJ59" i="73"/>
  <c r="AK19" i="25"/>
  <c r="AK43" i="25"/>
  <c r="AK56" i="25"/>
  <c r="AK40" i="25"/>
  <c r="AK27" i="25"/>
  <c r="AK51" i="25"/>
  <c r="AK24" i="25"/>
  <c r="AK11" i="25"/>
  <c r="AK46" i="25"/>
  <c r="AK30" i="25"/>
  <c r="AK14" i="25"/>
  <c r="AK50" i="25"/>
  <c r="AK18" i="25"/>
  <c r="AK59" i="25"/>
  <c r="AK48" i="25"/>
  <c r="AK38" i="25"/>
  <c r="AK32" i="25"/>
  <c r="AK22" i="25"/>
  <c r="AK16" i="25"/>
  <c r="AK58" i="25"/>
  <c r="AK42" i="25"/>
  <c r="AK26" i="25"/>
  <c r="AK20" i="25"/>
  <c r="AK10" i="25"/>
  <c r="AK57" i="25"/>
  <c r="AJ59" i="25"/>
  <c r="AJ58" i="25"/>
  <c r="AJ57" i="25"/>
  <c r="AJ56" i="25"/>
  <c r="AJ54" i="25"/>
  <c r="AJ53" i="25"/>
  <c r="AJ51" i="25"/>
  <c r="AJ50" i="25"/>
  <c r="AJ49" i="25"/>
  <c r="AJ46" i="25"/>
  <c r="AJ45" i="25"/>
  <c r="AJ43" i="25"/>
  <c r="AJ42" i="25"/>
  <c r="AJ40" i="25"/>
  <c r="AJ38" i="25"/>
  <c r="AJ37" i="25"/>
  <c r="AJ35" i="25"/>
  <c r="AJ33" i="25"/>
  <c r="AJ32" i="25"/>
  <c r="AJ30" i="25"/>
  <c r="AJ29" i="25"/>
  <c r="AJ27" i="25"/>
  <c r="AJ26" i="25"/>
  <c r="AJ25" i="25"/>
  <c r="AJ24" i="25"/>
  <c r="AJ22" i="25"/>
  <c r="AJ21" i="25"/>
  <c r="AJ19" i="25"/>
  <c r="AK49" i="25"/>
  <c r="AK37" i="25"/>
  <c r="AK33" i="25"/>
  <c r="AK25" i="25"/>
  <c r="AK17" i="25"/>
  <c r="AI59" i="25"/>
  <c r="AI58" i="25"/>
  <c r="AI57" i="25"/>
  <c r="AI56" i="25"/>
  <c r="AI55" i="25"/>
  <c r="AI53" i="25"/>
  <c r="AI51" i="25"/>
  <c r="AI50" i="25"/>
  <c r="AI49" i="25"/>
  <c r="AI48" i="25"/>
  <c r="AI46" i="25"/>
  <c r="AI45" i="25"/>
  <c r="AI43" i="25"/>
  <c r="AI42" i="25"/>
  <c r="AI41" i="25"/>
  <c r="AI40" i="25"/>
  <c r="AI39" i="25"/>
  <c r="AI38" i="25"/>
  <c r="AI37" i="25"/>
  <c r="AI35" i="25"/>
  <c r="AI33" i="25"/>
  <c r="AI32" i="25"/>
  <c r="AI31" i="25"/>
  <c r="AI30" i="25"/>
  <c r="AI29" i="25"/>
  <c r="AI27" i="25"/>
  <c r="AI26" i="25"/>
  <c r="AI25" i="25"/>
  <c r="AI24" i="25"/>
  <c r="AI23" i="25"/>
  <c r="AI22" i="25"/>
  <c r="AI21" i="25"/>
  <c r="AI19" i="25"/>
  <c r="AK53" i="25"/>
  <c r="AK45" i="25"/>
  <c r="AK29" i="25"/>
  <c r="AK21" i="25"/>
  <c r="AK13" i="25"/>
  <c r="D34" i="76" l="1"/>
  <c r="G58" i="76"/>
  <c r="G34" i="76"/>
  <c r="G63" i="76"/>
  <c r="G73" i="76"/>
  <c r="M34" i="76"/>
  <c r="J34" i="76"/>
  <c r="G68" i="76"/>
  <c r="G34" i="74"/>
  <c r="G63" i="74"/>
  <c r="G58" i="74"/>
  <c r="E35" i="75"/>
  <c r="G73" i="74"/>
  <c r="M34" i="74"/>
  <c r="G68" i="74"/>
  <c r="J34" i="74"/>
  <c r="J34" i="75"/>
  <c r="H35" i="75" s="1"/>
  <c r="G68" i="75"/>
  <c r="I58" i="75"/>
  <c r="AH49" i="73"/>
  <c r="AH34" i="73"/>
  <c r="AH41" i="25"/>
  <c r="AK13" i="73"/>
  <c r="AH19" i="73"/>
  <c r="AJ34" i="25"/>
  <c r="AK54" i="25"/>
  <c r="AK35" i="25"/>
  <c r="AI49" i="73"/>
  <c r="AH9" i="25"/>
  <c r="AI19" i="73"/>
  <c r="AI54" i="25"/>
  <c r="AJ48" i="25"/>
  <c r="AK19" i="73"/>
  <c r="AK56" i="73"/>
  <c r="AH56" i="73"/>
  <c r="AI34" i="25"/>
  <c r="AK34" i="25"/>
  <c r="AI47" i="25"/>
  <c r="AK41" i="25"/>
  <c r="AI20" i="25"/>
  <c r="AI28" i="25"/>
  <c r="AI36" i="25"/>
  <c r="AI44" i="25"/>
  <c r="AI52" i="25"/>
  <c r="AK47" i="25"/>
  <c r="AK23" i="25"/>
  <c r="AK28" i="25"/>
  <c r="AK55" i="25"/>
  <c r="AK23" i="73"/>
  <c r="AH37" i="73"/>
  <c r="AI56" i="73"/>
  <c r="AI43" i="73"/>
  <c r="AJ26" i="73"/>
  <c r="AH40" i="73"/>
  <c r="AJ23" i="25"/>
  <c r="AJ31" i="25"/>
  <c r="AJ39" i="25"/>
  <c r="AK12" i="25"/>
  <c r="AI37" i="73"/>
  <c r="AI40" i="73"/>
  <c r="AJ43" i="73"/>
  <c r="AJ47" i="25"/>
  <c r="AJ55" i="25"/>
  <c r="AK31" i="25"/>
  <c r="AK52" i="25"/>
  <c r="AJ20" i="25"/>
  <c r="AJ28" i="25"/>
  <c r="AJ36" i="25"/>
  <c r="AJ44" i="25"/>
  <c r="AJ52" i="25"/>
  <c r="AK15" i="25"/>
  <c r="AK36" i="25"/>
  <c r="AK44" i="25"/>
  <c r="AK39" i="25"/>
  <c r="AH30" i="73"/>
  <c r="AJ37" i="73"/>
  <c r="AK40" i="73"/>
  <c r="AJ23" i="73"/>
  <c r="AD19" i="25"/>
  <c r="R19" i="25" s="1"/>
  <c r="AC27" i="73"/>
  <c r="Q27" i="73" s="1"/>
  <c r="AB17" i="73"/>
  <c r="P17" i="73" s="1"/>
  <c r="AB22" i="25"/>
  <c r="P22" i="25" s="1"/>
  <c r="AD28" i="73"/>
  <c r="R28" i="73" s="1"/>
  <c r="AD10" i="73"/>
  <c r="R10" i="73" s="1"/>
  <c r="AA23" i="73"/>
  <c r="O23" i="73" s="1"/>
  <c r="AD28" i="25"/>
  <c r="R28" i="25" s="1"/>
  <c r="AB20" i="25"/>
  <c r="P20" i="25" s="1"/>
  <c r="AB13" i="25"/>
  <c r="P13" i="25" s="1"/>
  <c r="AB25" i="25"/>
  <c r="P25" i="25" s="1"/>
  <c r="AA29" i="25"/>
  <c r="AD12" i="73"/>
  <c r="R12" i="73" s="1"/>
  <c r="AD15" i="73"/>
  <c r="R15" i="73" s="1"/>
  <c r="AC28" i="73"/>
  <c r="Q28" i="73" s="1"/>
  <c r="AC25" i="73"/>
  <c r="Q25" i="73" s="1"/>
  <c r="AC18" i="73"/>
  <c r="Q18" i="73" s="1"/>
  <c r="AB15" i="73"/>
  <c r="P15" i="73" s="1"/>
  <c r="AB24" i="73"/>
  <c r="P24" i="73" s="1"/>
  <c r="AD25" i="25"/>
  <c r="R25" i="25" s="1"/>
  <c r="AD21" i="25"/>
  <c r="R21" i="25" s="1"/>
  <c r="AB17" i="25"/>
  <c r="P17" i="25" s="1"/>
  <c r="AB28" i="25"/>
  <c r="P28" i="25" s="1"/>
  <c r="AB14" i="25"/>
  <c r="P14" i="25" s="1"/>
  <c r="AB26" i="25"/>
  <c r="P26" i="25" s="1"/>
  <c r="AB11" i="25"/>
  <c r="P11" i="25" s="1"/>
  <c r="AB23" i="25"/>
  <c r="P23" i="25" s="1"/>
  <c r="AB21" i="25"/>
  <c r="P21" i="25" s="1"/>
  <c r="AB10" i="25"/>
  <c r="P10" i="25" s="1"/>
  <c r="AA23" i="25"/>
  <c r="O23" i="25" s="1"/>
  <c r="AC24" i="73"/>
  <c r="Q24" i="73" s="1"/>
  <c r="AC10" i="73"/>
  <c r="Q10" i="73" s="1"/>
  <c r="AC16" i="73"/>
  <c r="Q16" i="73" s="1"/>
  <c r="AB30" i="73"/>
  <c r="AB23" i="73"/>
  <c r="P23" i="73" s="1"/>
  <c r="AB27" i="73"/>
  <c r="P27" i="73" s="1"/>
  <c r="AA21" i="73"/>
  <c r="O21" i="73" s="1"/>
  <c r="AA28" i="73"/>
  <c r="O28" i="73" s="1"/>
  <c r="AA26" i="73"/>
  <c r="O26" i="73" s="1"/>
  <c r="AD20" i="25"/>
  <c r="R20" i="25" s="1"/>
  <c r="AD14" i="25"/>
  <c r="R14" i="25" s="1"/>
  <c r="AD18" i="25"/>
  <c r="R18" i="25" s="1"/>
  <c r="AD22" i="25"/>
  <c r="R22" i="25" s="1"/>
  <c r="AD26" i="25"/>
  <c r="R26" i="25" s="1"/>
  <c r="AD11" i="25"/>
  <c r="R11" i="25" s="1"/>
  <c r="AD23" i="25"/>
  <c r="R23" i="25" s="1"/>
  <c r="AD27" i="25"/>
  <c r="R27" i="25" s="1"/>
  <c r="AD24" i="25"/>
  <c r="R24" i="25" s="1"/>
  <c r="AD10" i="25"/>
  <c r="R10" i="25" s="1"/>
  <c r="AD13" i="25"/>
  <c r="R13" i="25" s="1"/>
  <c r="AD16" i="25"/>
  <c r="R16" i="25" s="1"/>
  <c r="AD9" i="25"/>
  <c r="R9" i="25" s="1"/>
  <c r="AD15" i="25"/>
  <c r="R15" i="25" s="1"/>
  <c r="AD12" i="25"/>
  <c r="R12" i="25" s="1"/>
  <c r="AD17" i="25"/>
  <c r="R17" i="25" s="1"/>
  <c r="AB9" i="25"/>
  <c r="P9" i="25" s="1"/>
  <c r="AB29" i="25"/>
  <c r="AB19" i="25"/>
  <c r="P19" i="25" s="1"/>
  <c r="AB18" i="25"/>
  <c r="P18" i="25" s="1"/>
  <c r="AB16" i="25"/>
  <c r="P16" i="25" s="1"/>
  <c r="AB30" i="25"/>
  <c r="AB15" i="25"/>
  <c r="P15" i="25" s="1"/>
  <c r="AB27" i="25"/>
  <c r="P27" i="25" s="1"/>
  <c r="AB24" i="25"/>
  <c r="P24" i="25" s="1"/>
  <c r="AB12" i="25"/>
  <c r="P12" i="25" s="1"/>
  <c r="AA14" i="25"/>
  <c r="O14" i="25" s="1"/>
  <c r="AA25" i="25"/>
  <c r="O25" i="25" s="1"/>
  <c r="AA17" i="25"/>
  <c r="O17" i="25" s="1"/>
  <c r="AA26" i="25"/>
  <c r="O26" i="25" s="1"/>
  <c r="AA18" i="25"/>
  <c r="O18" i="25" s="1"/>
  <c r="AA11" i="25"/>
  <c r="O11" i="25" s="1"/>
  <c r="AA19" i="25"/>
  <c r="O19" i="25" s="1"/>
  <c r="AA15" i="25"/>
  <c r="O15" i="25" s="1"/>
  <c r="AA20" i="25"/>
  <c r="O20" i="25" s="1"/>
  <c r="AA22" i="25"/>
  <c r="O22" i="25" s="1"/>
  <c r="AA21" i="25"/>
  <c r="O21" i="25" s="1"/>
  <c r="AA12" i="25"/>
  <c r="O12" i="25" s="1"/>
  <c r="AA24" i="25"/>
  <c r="O24" i="25" s="1"/>
  <c r="AA10" i="25"/>
  <c r="O10" i="25" s="1"/>
  <c r="AA9" i="25"/>
  <c r="O9" i="25" s="1"/>
  <c r="AA16" i="25"/>
  <c r="O16" i="25" s="1"/>
  <c r="AA28" i="25"/>
  <c r="O28" i="25" s="1"/>
  <c r="AA13" i="25"/>
  <c r="O13" i="25" s="1"/>
  <c r="AK28" i="73"/>
  <c r="AI28" i="73"/>
  <c r="AH28" i="73"/>
  <c r="AD13" i="73"/>
  <c r="R13" i="73" s="1"/>
  <c r="AD18" i="73"/>
  <c r="R18" i="73" s="1"/>
  <c r="AC19" i="73"/>
  <c r="Q19" i="73" s="1"/>
  <c r="AA20" i="73"/>
  <c r="O20" i="73" s="1"/>
  <c r="AD9" i="73"/>
  <c r="R9" i="73" s="1"/>
  <c r="AB26" i="73"/>
  <c r="P26" i="73" s="1"/>
  <c r="AC20" i="73"/>
  <c r="Q20" i="73" s="1"/>
  <c r="AB29" i="73"/>
  <c r="AA24" i="73"/>
  <c r="O24" i="73" s="1"/>
  <c r="AD21" i="73"/>
  <c r="R21" i="73" s="1"/>
  <c r="AC13" i="73"/>
  <c r="Q13" i="73" s="1"/>
  <c r="AD20" i="73"/>
  <c r="R20" i="73" s="1"/>
  <c r="AD25" i="73"/>
  <c r="R25" i="73" s="1"/>
  <c r="AD14" i="73"/>
  <c r="R14" i="73" s="1"/>
  <c r="AC12" i="73"/>
  <c r="Q12" i="73" s="1"/>
  <c r="AC26" i="73"/>
  <c r="Q26" i="73" s="1"/>
  <c r="AB21" i="73"/>
  <c r="P21" i="73" s="1"/>
  <c r="AA27" i="25"/>
  <c r="O27" i="25" s="1"/>
  <c r="AB14" i="73"/>
  <c r="P14" i="73" s="1"/>
  <c r="AB13" i="73"/>
  <c r="P13" i="73" s="1"/>
  <c r="AB16" i="73"/>
  <c r="P16" i="73" s="1"/>
  <c r="AB10" i="73"/>
  <c r="P10" i="73" s="1"/>
  <c r="AB28" i="73"/>
  <c r="P28" i="73" s="1"/>
  <c r="AB18" i="73"/>
  <c r="P18" i="73" s="1"/>
  <c r="AB19" i="73"/>
  <c r="P19" i="73" s="1"/>
  <c r="AB20" i="73"/>
  <c r="P20" i="73" s="1"/>
  <c r="AB9" i="73"/>
  <c r="P9" i="73" s="1"/>
  <c r="AB25" i="73"/>
  <c r="P25" i="73" s="1"/>
  <c r="AD22" i="73"/>
  <c r="R22" i="73" s="1"/>
  <c r="AD27" i="73"/>
  <c r="R27" i="73" s="1"/>
  <c r="AD17" i="73"/>
  <c r="R17" i="73" s="1"/>
  <c r="AD19" i="73"/>
  <c r="R19" i="73" s="1"/>
  <c r="AH27" i="73"/>
  <c r="AJ27" i="73"/>
  <c r="AI27" i="73"/>
  <c r="AK27" i="73"/>
  <c r="AI38" i="73"/>
  <c r="AJ38" i="73"/>
  <c r="AH44" i="73"/>
  <c r="AJ44" i="73"/>
  <c r="AI44" i="73"/>
  <c r="AK44" i="73"/>
  <c r="AI22" i="73"/>
  <c r="AJ22" i="73"/>
  <c r="AA16" i="73"/>
  <c r="O16" i="73" s="1"/>
  <c r="AA13" i="73"/>
  <c r="O13" i="73" s="1"/>
  <c r="AA17" i="73"/>
  <c r="O17" i="73" s="1"/>
  <c r="AA15" i="73"/>
  <c r="O15" i="73" s="1"/>
  <c r="AA29" i="73"/>
  <c r="AA22" i="73"/>
  <c r="O22" i="73" s="1"/>
  <c r="AA9" i="73"/>
  <c r="O9" i="73" s="1"/>
  <c r="AC22" i="73"/>
  <c r="Q22" i="73" s="1"/>
  <c r="AC23" i="73"/>
  <c r="Q23" i="73" s="1"/>
  <c r="AC29" i="73"/>
  <c r="AD24" i="73"/>
  <c r="R24" i="73" s="1"/>
  <c r="AA27" i="73"/>
  <c r="O27" i="73" s="1"/>
  <c r="AA14" i="73"/>
  <c r="O14" i="73" s="1"/>
  <c r="AC9" i="73"/>
  <c r="Q9" i="73" s="1"/>
  <c r="AA19" i="73"/>
  <c r="O19" i="73" s="1"/>
  <c r="AD11" i="73"/>
  <c r="R11" i="73" s="1"/>
  <c r="AH58" i="73"/>
  <c r="AJ58" i="73"/>
  <c r="AA18" i="73"/>
  <c r="O18" i="73" s="1"/>
  <c r="AD23" i="73"/>
  <c r="R23" i="73" s="1"/>
  <c r="AC17" i="73"/>
  <c r="Q17" i="73" s="1"/>
  <c r="AB22" i="73"/>
  <c r="P22" i="73" s="1"/>
  <c r="AC21" i="73"/>
  <c r="Q21" i="73" s="1"/>
  <c r="AK58" i="73"/>
  <c r="AA25" i="73"/>
  <c r="O25" i="73" s="1"/>
  <c r="AC11" i="73"/>
  <c r="Q11" i="73" s="1"/>
  <c r="AJ33" i="73"/>
  <c r="AK33" i="73"/>
  <c r="AH50" i="73"/>
  <c r="AI50" i="73"/>
  <c r="AK50" i="73"/>
  <c r="AK9" i="73"/>
  <c r="AH9" i="73"/>
  <c r="AD16" i="73"/>
  <c r="R16" i="73" s="1"/>
  <c r="AB12" i="73"/>
  <c r="P12" i="73" s="1"/>
  <c r="AA12" i="73"/>
  <c r="O12" i="73" s="1"/>
  <c r="AA11" i="73"/>
  <c r="O11" i="73" s="1"/>
  <c r="AA10" i="73"/>
  <c r="O10" i="73" s="1"/>
  <c r="AC14" i="73"/>
  <c r="Q14" i="73" s="1"/>
  <c r="AH20" i="73"/>
  <c r="AI20" i="73"/>
  <c r="AI30" i="73"/>
  <c r="AJ30" i="73"/>
  <c r="AK36" i="73"/>
  <c r="AH36" i="73"/>
  <c r="AJ55" i="73"/>
  <c r="AI55" i="73"/>
  <c r="AH55" i="73"/>
  <c r="AD26" i="73"/>
  <c r="R26" i="73" s="1"/>
  <c r="AI35" i="73"/>
  <c r="AH35" i="73"/>
  <c r="AB11" i="73"/>
  <c r="P11" i="73" s="1"/>
  <c r="AC15" i="73"/>
  <c r="Q15" i="73" s="1"/>
  <c r="AK29" i="73"/>
  <c r="AI34" i="73"/>
  <c r="AJ34" i="73"/>
  <c r="AI42" i="73"/>
  <c r="AJ42" i="73"/>
  <c r="AC10" i="25"/>
  <c r="Q10" i="25" s="1"/>
  <c r="AC12" i="25"/>
  <c r="Q12" i="25" s="1"/>
  <c r="AC20" i="25"/>
  <c r="Q20" i="25" s="1"/>
  <c r="AC28" i="25"/>
  <c r="Q28" i="25" s="1"/>
  <c r="AC17" i="25"/>
  <c r="Q17" i="25" s="1"/>
  <c r="AC16" i="25"/>
  <c r="Q16" i="25" s="1"/>
  <c r="AC24" i="25"/>
  <c r="Q24" i="25" s="1"/>
  <c r="AC26" i="25"/>
  <c r="Q26" i="25" s="1"/>
  <c r="AC15" i="25"/>
  <c r="Q15" i="25" s="1"/>
  <c r="AC13" i="25"/>
  <c r="Q13" i="25" s="1"/>
  <c r="AC21" i="25"/>
  <c r="Q21" i="25" s="1"/>
  <c r="AC25" i="25"/>
  <c r="Q25" i="25" s="1"/>
  <c r="AC29" i="25"/>
  <c r="AC18" i="25"/>
  <c r="Q18" i="25" s="1"/>
  <c r="AC23" i="25"/>
  <c r="Q23" i="25" s="1"/>
  <c r="AC9" i="25"/>
  <c r="Q9" i="25" s="1"/>
  <c r="AC11" i="25"/>
  <c r="Q11" i="25" s="1"/>
  <c r="AC22" i="25"/>
  <c r="Q22" i="25" s="1"/>
  <c r="AC14" i="25"/>
  <c r="Q14" i="25" s="1"/>
  <c r="AC27" i="25"/>
  <c r="Q27" i="25" s="1"/>
  <c r="AC19" i="25"/>
  <c r="Q19" i="25" s="1"/>
  <c r="H35" i="76" l="1"/>
  <c r="J36" i="76"/>
  <c r="J68" i="76" s="1"/>
  <c r="I68" i="76"/>
  <c r="B35" i="76"/>
  <c r="I58" i="76"/>
  <c r="D36" i="76"/>
  <c r="J58" i="76" s="1"/>
  <c r="K35" i="76"/>
  <c r="M36" i="76"/>
  <c r="J73" i="76" s="1"/>
  <c r="I73" i="76"/>
  <c r="E35" i="76"/>
  <c r="G36" i="76"/>
  <c r="J63" i="76" s="1"/>
  <c r="I63" i="76"/>
  <c r="E35" i="74"/>
  <c r="E36" i="74"/>
  <c r="J63" i="74" s="1"/>
  <c r="I63" i="74"/>
  <c r="D34" i="74"/>
  <c r="B35" i="74" s="1"/>
  <c r="G36" i="75"/>
  <c r="J63" i="75" s="1"/>
  <c r="I63" i="75"/>
  <c r="K35" i="74"/>
  <c r="K36" i="74"/>
  <c r="J73" i="74" s="1"/>
  <c r="I73" i="74"/>
  <c r="H36" i="74"/>
  <c r="J68" i="74" s="1"/>
  <c r="H35" i="74"/>
  <c r="I68" i="74"/>
  <c r="J36" i="75"/>
  <c r="J68" i="75" s="1"/>
  <c r="I68" i="75"/>
  <c r="D36" i="75"/>
  <c r="J58" i="75" s="1"/>
  <c r="P29" i="25"/>
  <c r="E34" i="25" s="1"/>
  <c r="G63" i="25" s="1"/>
  <c r="R29" i="25"/>
  <c r="K34" i="25" s="1"/>
  <c r="O29" i="25"/>
  <c r="B34" i="25" s="1"/>
  <c r="G58" i="25" s="1"/>
  <c r="P29" i="73"/>
  <c r="E34" i="73" s="1"/>
  <c r="G34" i="73" s="1"/>
  <c r="R29" i="73"/>
  <c r="K34" i="73" s="1"/>
  <c r="M34" i="73" s="1"/>
  <c r="O29" i="73"/>
  <c r="B34" i="73" s="1"/>
  <c r="D34" i="73" s="1"/>
  <c r="Q29" i="73"/>
  <c r="Q29" i="25"/>
  <c r="H34" i="25" s="1"/>
  <c r="J34" i="25" s="1"/>
  <c r="B36" i="74" l="1"/>
  <c r="J58" i="74" s="1"/>
  <c r="I58" i="74"/>
  <c r="G34" i="25"/>
  <c r="I63" i="25" s="1"/>
  <c r="G73" i="25"/>
  <c r="D34" i="25"/>
  <c r="D36" i="25" s="1"/>
  <c r="J58" i="25" s="1"/>
  <c r="G68" i="73"/>
  <c r="G73" i="73"/>
  <c r="G63" i="73"/>
  <c r="I73" i="25"/>
  <c r="K35" i="25"/>
  <c r="M36" i="25"/>
  <c r="J73" i="25" s="1"/>
  <c r="G58" i="73"/>
  <c r="G68" i="25"/>
  <c r="H35" i="25"/>
  <c r="J36" i="25"/>
  <c r="J68" i="25" s="1"/>
  <c r="I68" i="25"/>
  <c r="E35" i="25" l="1"/>
  <c r="G36" i="25"/>
  <c r="J63" i="25" s="1"/>
  <c r="I58" i="25"/>
  <c r="B35" i="25"/>
  <c r="G36" i="73"/>
  <c r="J63" i="73" s="1"/>
  <c r="I63" i="73"/>
  <c r="I58" i="73"/>
  <c r="D36" i="73"/>
  <c r="J58" i="73" s="1"/>
  <c r="I73" i="73"/>
  <c r="M36" i="73"/>
  <c r="J73" i="73" s="1"/>
  <c r="I68" i="73"/>
  <c r="J36" i="73"/>
  <c r="J68" i="7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39" authorId="0" shapeId="0" xr:uid="{16A7B6B3-2D52-4F94-88EF-AAD9D0456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E39" authorId="0" shapeId="0" xr:uid="{587C984B-DC6F-4829-BFBB-1217B52935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H39" authorId="0" shapeId="0" xr:uid="{30FCA683-F541-47D5-BCAF-4A93C423C8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K39" authorId="0" shapeId="0" xr:uid="{21F082DE-AD15-42A3-8EA7-7E2A36BF3E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39" authorId="0" shapeId="0" xr:uid="{2D997E82-726E-4F1D-96BA-7E589446C0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E39" authorId="0" shapeId="0" xr:uid="{447FCB5C-BDE8-48DE-B972-2172F55A9D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H39" authorId="0" shapeId="0" xr:uid="{F6784350-7E0A-48D6-A142-2FFD12FDE8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K39" authorId="0" shapeId="0" xr:uid="{AE6B2084-664B-428B-A56F-207DBE79E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<sst xmlns="http://schemas.openxmlformats.org/spreadsheetml/2006/main" count="701" uniqueCount="95">
  <si>
    <t>2회</t>
  </si>
  <si>
    <t>3회</t>
  </si>
  <si>
    <t>4회</t>
  </si>
  <si>
    <t>5회</t>
  </si>
  <si>
    <t>6회</t>
  </si>
  <si>
    <t>7회</t>
  </si>
  <si>
    <t>8회</t>
  </si>
  <si>
    <t>9회</t>
  </si>
  <si>
    <t>10회</t>
  </si>
  <si>
    <t>11회</t>
  </si>
  <si>
    <t>R</t>
    <phoneticPr fontId="2" type="noConversion"/>
  </si>
  <si>
    <t>1회</t>
    <phoneticPr fontId="2" type="noConversion"/>
  </si>
  <si>
    <t>Rock class(qu)</t>
    <phoneticPr fontId="2" type="noConversion"/>
  </si>
  <si>
    <t>절리군</t>
    <phoneticPr fontId="2" type="noConversion"/>
  </si>
  <si>
    <t>Average</t>
    <phoneticPr fontId="2" type="noConversion"/>
  </si>
  <si>
    <t>암반 비파괴강도시험</t>
    <phoneticPr fontId="2" type="noConversion"/>
  </si>
  <si>
    <t>측정
각도</t>
    <phoneticPr fontId="2" type="noConversion"/>
  </si>
  <si>
    <t xml:space="preserve">              
               구분            
측정회수</t>
    <phoneticPr fontId="2" type="noConversion"/>
  </si>
  <si>
    <t>12회</t>
  </si>
  <si>
    <t>13회</t>
  </si>
  <si>
    <t>14회</t>
  </si>
  <si>
    <t>15회</t>
  </si>
  <si>
    <t>16회</t>
  </si>
  <si>
    <t>17회</t>
  </si>
  <si>
    <t>18회</t>
  </si>
  <si>
    <t>19회</t>
  </si>
  <si>
    <t>20회</t>
  </si>
  <si>
    <t>-45˚</t>
    <phoneticPr fontId="2" type="noConversion"/>
  </si>
  <si>
    <t>-90˚</t>
    <phoneticPr fontId="2" type="noConversion"/>
  </si>
  <si>
    <t>+0˚</t>
    <phoneticPr fontId="2" type="noConversion"/>
  </si>
  <si>
    <t>방향</t>
    <phoneticPr fontId="2" type="noConversion"/>
  </si>
  <si>
    <t>평균경도</t>
    <phoneticPr fontId="2" type="noConversion"/>
  </si>
  <si>
    <t>측정강도</t>
    <phoneticPr fontId="2" type="noConversion"/>
  </si>
  <si>
    <t>암종</t>
    <phoneticPr fontId="2" type="noConversion"/>
  </si>
  <si>
    <t>-</t>
    <phoneticPr fontId="2" type="noConversion"/>
  </si>
  <si>
    <t>단위중량</t>
    <phoneticPr fontId="2" type="noConversion"/>
  </si>
  <si>
    <t>kPa</t>
    <phoneticPr fontId="2" type="noConversion"/>
  </si>
  <si>
    <t>Site 1</t>
    <phoneticPr fontId="2" type="noConversion"/>
  </si>
  <si>
    <t>Site 2</t>
    <phoneticPr fontId="2" type="noConversion"/>
  </si>
  <si>
    <t>Site 3</t>
    <phoneticPr fontId="2" type="noConversion"/>
  </si>
  <si>
    <t>Site 4</t>
    <phoneticPr fontId="2" type="noConversion"/>
  </si>
  <si>
    <t>평균</t>
    <phoneticPr fontId="2" type="noConversion"/>
  </si>
  <si>
    <t>90˚</t>
    <phoneticPr fontId="2" type="noConversion"/>
  </si>
  <si>
    <t>45˚</t>
    <phoneticPr fontId="2" type="noConversion"/>
  </si>
  <si>
    <t>상위 10개정렬값, 동일값존재하는 경우 있기에 확인필요</t>
    <phoneticPr fontId="2" type="noConversion"/>
  </si>
  <si>
    <t>순위용 변환값</t>
    <phoneticPr fontId="2" type="noConversion"/>
  </si>
  <si>
    <r>
      <t>환산 q</t>
    </r>
    <r>
      <rPr>
        <vertAlign val="subscript"/>
        <sz val="9"/>
        <color indexed="8"/>
        <rFont val="돋움"/>
        <family val="3"/>
        <charset val="129"/>
      </rPr>
      <t>u</t>
    </r>
    <r>
      <rPr>
        <sz val="9"/>
        <color indexed="8"/>
        <rFont val="돋움"/>
        <family val="3"/>
        <charset val="129"/>
      </rPr>
      <t xml:space="preserve">
(MPa)</t>
    </r>
    <phoneticPr fontId="2" type="noConversion"/>
  </si>
  <si>
    <t>기준방향</t>
    <phoneticPr fontId="2" type="noConversion"/>
  </si>
  <si>
    <t>좌</t>
  </si>
  <si>
    <t>좌</t>
    <phoneticPr fontId="2" type="noConversion"/>
  </si>
  <si>
    <t>우</t>
  </si>
  <si>
    <t>우</t>
    <phoneticPr fontId="2" type="noConversion"/>
  </si>
  <si>
    <t>보정치</t>
    <phoneticPr fontId="2" type="noConversion"/>
  </si>
  <si>
    <t>시산</t>
    <phoneticPr fontId="2" type="noConversion"/>
  </si>
  <si>
    <t>r</t>
    <phoneticPr fontId="2" type="noConversion"/>
  </si>
  <si>
    <t>지수</t>
    <phoneticPr fontId="2" type="noConversion"/>
  </si>
  <si>
    <t>강도</t>
    <phoneticPr fontId="2" type="noConversion"/>
  </si>
  <si>
    <t>방향은집계에서입력</t>
    <phoneticPr fontId="2" type="noConversion"/>
  </si>
  <si>
    <t>Site A-1</t>
    <phoneticPr fontId="2" type="noConversion"/>
  </si>
  <si>
    <t>Site D-1</t>
    <phoneticPr fontId="2" type="noConversion"/>
  </si>
  <si>
    <t>풍-CW</t>
    <phoneticPr fontId="2" type="noConversion"/>
  </si>
  <si>
    <t>연-HW</t>
    <phoneticPr fontId="2" type="noConversion"/>
  </si>
  <si>
    <t>풍-HW</t>
    <phoneticPr fontId="2" type="noConversion"/>
  </si>
  <si>
    <t>연-MW</t>
    <phoneticPr fontId="2" type="noConversion"/>
  </si>
  <si>
    <t>보-MW</t>
    <phoneticPr fontId="2" type="noConversion"/>
  </si>
  <si>
    <t>보-SW</t>
    <phoneticPr fontId="2" type="noConversion"/>
  </si>
  <si>
    <t>경-SW</t>
    <phoneticPr fontId="2" type="noConversion"/>
  </si>
  <si>
    <t>경-F</t>
    <phoneticPr fontId="2" type="noConversion"/>
  </si>
  <si>
    <t>-45일때</t>
    <phoneticPr fontId="2" type="noConversion"/>
  </si>
  <si>
    <t>35~41</t>
    <phoneticPr fontId="2" type="noConversion"/>
  </si>
  <si>
    <t>42~46</t>
    <phoneticPr fontId="2" type="noConversion"/>
  </si>
  <si>
    <t>~34</t>
    <phoneticPr fontId="2" type="noConversion"/>
  </si>
  <si>
    <t>47~49</t>
    <phoneticPr fontId="2" type="noConversion"/>
  </si>
  <si>
    <t>50~52</t>
    <phoneticPr fontId="2" type="noConversion"/>
  </si>
  <si>
    <t>53~55</t>
    <phoneticPr fontId="2" type="noConversion"/>
  </si>
  <si>
    <t>56~58</t>
    <phoneticPr fontId="2" type="noConversion"/>
  </si>
  <si>
    <t>59~</t>
    <phoneticPr fontId="2" type="noConversion"/>
  </si>
  <si>
    <t>+0˚</t>
  </si>
  <si>
    <t>27</t>
    <phoneticPr fontId="2" type="noConversion"/>
  </si>
  <si>
    <t>23</t>
    <phoneticPr fontId="2" type="noConversion"/>
  </si>
  <si>
    <t>* 사면명 : 39. 중부내륙선 232.430k(창원)</t>
    <phoneticPr fontId="2" type="noConversion"/>
  </si>
  <si>
    <t>Site B-1</t>
    <phoneticPr fontId="2" type="noConversion"/>
  </si>
  <si>
    <t>Site C-1</t>
    <phoneticPr fontId="2" type="noConversion"/>
  </si>
  <si>
    <t>Site E-1</t>
    <phoneticPr fontId="2" type="noConversion"/>
  </si>
  <si>
    <t>Site A-2</t>
    <phoneticPr fontId="2" type="noConversion"/>
  </si>
  <si>
    <t>Site A-3</t>
    <phoneticPr fontId="2" type="noConversion"/>
  </si>
  <si>
    <t>Site B-2</t>
    <phoneticPr fontId="2" type="noConversion"/>
  </si>
  <si>
    <t>Site B-3</t>
    <phoneticPr fontId="2" type="noConversion"/>
  </si>
  <si>
    <t>Site C-2</t>
    <phoneticPr fontId="2" type="noConversion"/>
  </si>
  <si>
    <t>Site C-3</t>
    <phoneticPr fontId="2" type="noConversion"/>
  </si>
  <si>
    <t>Site D-2</t>
    <phoneticPr fontId="2" type="noConversion"/>
  </si>
  <si>
    <t>Site D-3</t>
    <phoneticPr fontId="2" type="noConversion"/>
  </si>
  <si>
    <t>Site E-2</t>
    <phoneticPr fontId="2" type="noConversion"/>
  </si>
  <si>
    <t>Site E-3</t>
    <phoneticPr fontId="2" type="noConversion"/>
  </si>
  <si>
    <t>-45˚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</si>
</sst>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_ "/>
    <numFmt numFmtId="178" formatCode="0.000_ "/>
    <numFmt numFmtId="179" formatCode="#,##0.0_);[Red]\(#,##0.0\)"/>
  </numFmts>
  <fonts count="3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vertAlign val="subscript"/>
      <sz val="9"/>
      <color indexed="8"/>
      <name val="돋움"/>
      <family val="3"/>
      <charset val="129"/>
    </font>
    <font>
      <sz val="16"/>
      <color indexed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6"/>
      <color rgb="FFFF0000"/>
      <name val="돋움"/>
      <family val="3"/>
      <charset val="129"/>
    </font>
    <font>
      <b/>
      <sz val="10"/>
      <color theme="0"/>
      <name val="돋움"/>
      <family val="3"/>
      <charset val="129"/>
    </font>
    <font>
      <b/>
      <sz val="10"/>
      <color rgb="FFFF0000"/>
      <name val="돋움"/>
      <family val="3"/>
      <charset val="129"/>
    </font>
    <font>
      <sz val="10"/>
      <color rgb="FF0070C0"/>
      <name val="돋움"/>
      <family val="3"/>
      <charset val="129"/>
    </font>
    <font>
      <sz val="10"/>
      <color rgb="FF7030A0"/>
      <name val="돋움"/>
      <family val="3"/>
      <charset val="129"/>
    </font>
    <font>
      <sz val="11"/>
      <color indexed="8"/>
      <name val="돋움"/>
      <family val="3"/>
      <charset val="129"/>
    </font>
    <font>
      <b/>
      <sz val="10"/>
      <color theme="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theme="0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F0"/>
        <bgColor indexed="64"/>
      </patternFill>
    </fill>
  </fills>
  <borders count="37">
    <border>
      <left/>
      <right/>
      <top/>
      <bottom/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4" fillId="0" borderId="0">
      <alignment vertical="center"/>
    </xf>
  </cellStyleXfs>
  <cellXfs count="12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top" wrapText="1"/>
    </xf>
    <xf numFmtId="0" fontId="3" fillId="0" borderId="5" xfId="0" applyFont="1" applyBorder="1" applyAlignment="1">
      <alignment horizontal="center" vertical="center"/>
    </xf>
    <xf numFmtId="38" fontId="3" fillId="0" borderId="6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176" fontId="3" fillId="0" borderId="8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NumberFormat="1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  <xf numFmtId="0" fontId="17" fillId="0" borderId="15" xfId="10" applyNumberFormat="1" applyFont="1" applyBorder="1" applyAlignment="1">
      <alignment horizontal="center" vertical="center"/>
    </xf>
    <xf numFmtId="0" fontId="3" fillId="0" borderId="15" xfId="0" applyNumberFormat="1" applyFont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0" fontId="17" fillId="0" borderId="13" xfId="10" applyNumberFormat="1" applyFont="1" applyBorder="1" applyAlignment="1">
      <alignment horizontal="center" vertical="center"/>
    </xf>
    <xf numFmtId="0" fontId="17" fillId="0" borderId="13" xfId="9" applyNumberFormat="1" applyFont="1" applyBorder="1" applyAlignment="1">
      <alignment horizontal="center" vertical="center"/>
    </xf>
    <xf numFmtId="0" fontId="3" fillId="0" borderId="17" xfId="0" applyNumberFormat="1" applyFont="1" applyBorder="1" applyAlignment="1">
      <alignment horizontal="center" vertical="center"/>
    </xf>
    <xf numFmtId="49" fontId="3" fillId="0" borderId="18" xfId="0" quotePrefix="1" applyNumberFormat="1" applyFont="1" applyBorder="1" applyAlignment="1">
      <alignment horizontal="center" vertical="center"/>
    </xf>
    <xf numFmtId="0" fontId="3" fillId="0" borderId="13" xfId="0" quotePrefix="1" applyNumberFormat="1" applyFont="1" applyBorder="1" applyAlignment="1">
      <alignment horizontal="center" vertical="center"/>
    </xf>
    <xf numFmtId="0" fontId="3" fillId="0" borderId="12" xfId="0" quotePrefix="1" applyNumberFormat="1" applyFont="1" applyBorder="1" applyAlignment="1">
      <alignment horizontal="center" vertical="center"/>
    </xf>
    <xf numFmtId="177" fontId="3" fillId="0" borderId="12" xfId="0" quotePrefix="1" applyNumberFormat="1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3" xfId="0" quotePrefix="1" applyNumberFormat="1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/>
    </xf>
    <xf numFmtId="177" fontId="3" fillId="0" borderId="0" xfId="0" applyNumberFormat="1" applyFont="1"/>
    <xf numFmtId="0" fontId="3" fillId="0" borderId="0" xfId="0" quotePrefix="1" applyFont="1"/>
    <xf numFmtId="176" fontId="3" fillId="0" borderId="0" xfId="0" applyNumberFormat="1" applyFont="1"/>
    <xf numFmtId="0" fontId="4" fillId="2" borderId="19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/>
    <xf numFmtId="49" fontId="12" fillId="0" borderId="18" xfId="0" quotePrefix="1" applyNumberFormat="1" applyFont="1" applyBorder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7" fontId="3" fillId="0" borderId="0" xfId="0" quotePrefix="1" applyNumberFormat="1" applyFont="1" applyBorder="1" applyAlignment="1">
      <alignment horizontal="center" vertical="center"/>
    </xf>
    <xf numFmtId="0" fontId="3" fillId="0" borderId="0" xfId="0" quotePrefix="1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78" fontId="3" fillId="0" borderId="0" xfId="0" applyNumberFormat="1" applyFont="1" applyAlignment="1">
      <alignment horizontal="center" vertical="center"/>
    </xf>
    <xf numFmtId="179" fontId="3" fillId="0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79" fontId="3" fillId="0" borderId="20" xfId="0" applyNumberFormat="1" applyFont="1" applyFill="1" applyBorder="1" applyAlignment="1">
      <alignment horizontal="center" vertical="center"/>
    </xf>
    <xf numFmtId="0" fontId="21" fillId="0" borderId="0" xfId="0" applyFont="1"/>
    <xf numFmtId="179" fontId="3" fillId="0" borderId="0" xfId="0" applyNumberFormat="1" applyFont="1"/>
    <xf numFmtId="0" fontId="15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3" fillId="0" borderId="12" xfId="16" applyFont="1" applyBorder="1" applyAlignment="1">
      <alignment horizontal="center" vertical="center"/>
    </xf>
    <xf numFmtId="0" fontId="3" fillId="0" borderId="13" xfId="16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12" xfId="16" applyFont="1" applyFill="1" applyBorder="1" applyAlignment="1">
      <alignment horizontal="center" vertical="center"/>
    </xf>
    <xf numFmtId="0" fontId="3" fillId="0" borderId="12" xfId="0" quotePrefix="1" applyNumberFormat="1" applyFont="1" applyFill="1" applyBorder="1" applyAlignment="1">
      <alignment horizontal="center" vertical="center"/>
    </xf>
    <xf numFmtId="0" fontId="3" fillId="0" borderId="12" xfId="0" applyNumberFormat="1" applyFont="1" applyFill="1" applyBorder="1" applyAlignment="1">
      <alignment horizontal="center" vertical="center"/>
    </xf>
    <xf numFmtId="0" fontId="3" fillId="0" borderId="13" xfId="16" applyFont="1" applyFill="1" applyBorder="1" applyAlignment="1">
      <alignment horizontal="center" vertical="center"/>
    </xf>
    <xf numFmtId="177" fontId="3" fillId="0" borderId="13" xfId="0" quotePrefix="1" applyNumberFormat="1" applyFont="1" applyFill="1" applyBorder="1" applyAlignment="1">
      <alignment horizontal="center" vertical="center"/>
    </xf>
    <xf numFmtId="0" fontId="3" fillId="0" borderId="13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177" fontId="3" fillId="0" borderId="33" xfId="0" quotePrefix="1" applyNumberFormat="1" applyFont="1" applyBorder="1" applyAlignment="1">
      <alignment horizontal="center" vertical="center"/>
    </xf>
    <xf numFmtId="0" fontId="3" fillId="0" borderId="33" xfId="0" quotePrefix="1" applyNumberFormat="1" applyFont="1" applyBorder="1" applyAlignment="1">
      <alignment horizontal="center" vertical="center"/>
    </xf>
    <xf numFmtId="0" fontId="3" fillId="0" borderId="34" xfId="0" quotePrefix="1" applyNumberFormat="1" applyFont="1" applyBorder="1" applyAlignment="1">
      <alignment horizontal="center" vertical="center"/>
    </xf>
    <xf numFmtId="0" fontId="3" fillId="0" borderId="29" xfId="0" applyFont="1" applyBorder="1"/>
    <xf numFmtId="0" fontId="3" fillId="0" borderId="35" xfId="0" applyFont="1" applyBorder="1"/>
    <xf numFmtId="0" fontId="3" fillId="0" borderId="36" xfId="0" applyFont="1" applyBorder="1"/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76" fontId="18" fillId="0" borderId="0" xfId="0" applyNumberFormat="1" applyFont="1" applyAlignment="1">
      <alignment horizontal="center" vertical="center"/>
    </xf>
    <xf numFmtId="177" fontId="21" fillId="0" borderId="12" xfId="0" applyNumberFormat="1" applyFont="1" applyFill="1" applyBorder="1" applyAlignment="1">
      <alignment horizontal="center" vertical="center"/>
    </xf>
    <xf numFmtId="177" fontId="21" fillId="0" borderId="1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9" fillId="4" borderId="29" xfId="10" applyNumberFormat="1" applyFont="1" applyFill="1" applyBorder="1" applyAlignment="1">
      <alignment horizontal="center" vertical="center"/>
    </xf>
    <xf numFmtId="0" fontId="25" fillId="0" borderId="15" xfId="10" applyNumberFormat="1" applyFont="1" applyFill="1" applyBorder="1" applyAlignment="1">
      <alignment horizontal="center" vertical="center"/>
    </xf>
    <xf numFmtId="0" fontId="3" fillId="0" borderId="1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3" fillId="0" borderId="24" xfId="0" applyFont="1" applyBorder="1" applyAlignment="1">
      <alignment horizontal="center" vertical="center"/>
    </xf>
  </cellXfs>
  <cellStyles count="17">
    <cellStyle name="Normal" xfId="0" builtinId="0"/>
    <cellStyle name="표준 10" xfId="1" xr:uid="{00000000-0005-0000-0000-000001000000}"/>
    <cellStyle name="표준 11" xfId="2" xr:uid="{00000000-0005-0000-0000-000002000000}"/>
    <cellStyle name="표준 12" xfId="3" xr:uid="{00000000-0005-0000-0000-000003000000}"/>
    <cellStyle name="표준 13" xfId="4" xr:uid="{00000000-0005-0000-0000-000004000000}"/>
    <cellStyle name="표준 14" xfId="5" xr:uid="{00000000-0005-0000-0000-000005000000}"/>
    <cellStyle name="표준 15" xfId="6" xr:uid="{00000000-0005-0000-0000-000006000000}"/>
    <cellStyle name="표준 16" xfId="7" xr:uid="{00000000-0005-0000-0000-000007000000}"/>
    <cellStyle name="표준 2" xfId="8" xr:uid="{00000000-0005-0000-0000-000008000000}"/>
    <cellStyle name="표준 3" xfId="9" xr:uid="{00000000-0005-0000-0000-000009000000}"/>
    <cellStyle name="표준 4" xfId="10" xr:uid="{00000000-0005-0000-0000-00000A000000}"/>
    <cellStyle name="표준 5" xfId="11" xr:uid="{00000000-0005-0000-0000-00000B000000}"/>
    <cellStyle name="표준 6" xfId="12" xr:uid="{00000000-0005-0000-0000-00000C000000}"/>
    <cellStyle name="표준 7" xfId="13" xr:uid="{00000000-0005-0000-0000-00000D000000}"/>
    <cellStyle name="표준 8" xfId="14" xr:uid="{00000000-0005-0000-0000-00000E000000}"/>
    <cellStyle name="표준 9" xfId="15" xr:uid="{00000000-0005-0000-0000-00000F000000}"/>
    <cellStyle name="표준_A~D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213" name="Picture 2" descr="각도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392819</xdr:colOff>
      <xdr:row>37</xdr:row>
      <xdr:rowOff>46509</xdr:rowOff>
    </xdr:from>
    <xdr:to>
      <xdr:col>17</xdr:col>
      <xdr:colOff>170328</xdr:colOff>
      <xdr:row>55</xdr:row>
      <xdr:rowOff>152401</xdr:rowOff>
    </xdr:to>
    <xdr:pic>
      <xdr:nvPicPr>
        <xdr:cNvPr id="1214" name="그림 3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2772" y="9396697"/>
          <a:ext cx="3775768" cy="32973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9488" name="Picture 2" descr="각도">
          <a:extLst>
            <a:ext uri="{FF2B5EF4-FFF2-40B4-BE49-F238E27FC236}">
              <a16:creationId xmlns:a16="http://schemas.microsoft.com/office/drawing/2014/main" id="{00000000-0008-0000-0100-000020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19489" name="그림 3">
          <a:extLst>
            <a:ext uri="{FF2B5EF4-FFF2-40B4-BE49-F238E27FC236}">
              <a16:creationId xmlns:a16="http://schemas.microsoft.com/office/drawing/2014/main" id="{00000000-0008-0000-0100-000021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7840" y="18204180"/>
          <a:ext cx="4320540" cy="373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1170"/>
          <a:ext cx="5048250" cy="9163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156882</xdr:colOff>
      <xdr:row>45</xdr:row>
      <xdr:rowOff>16025</xdr:rowOff>
    </xdr:from>
    <xdr:to>
      <xdr:col>9</xdr:col>
      <xdr:colOff>347382</xdr:colOff>
      <xdr:row>50</xdr:row>
      <xdr:rowOff>44824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82" y="10459907"/>
          <a:ext cx="5087471" cy="9476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32</xdr:row>
          <xdr:rowOff>171450</xdr:rowOff>
        </xdr:from>
        <xdr:to>
          <xdr:col>16</xdr:col>
          <xdr:colOff>295275</xdr:colOff>
          <xdr:row>34</xdr:row>
          <xdr:rowOff>133350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156882</xdr:colOff>
      <xdr:row>45</xdr:row>
      <xdr:rowOff>16025</xdr:rowOff>
    </xdr:from>
    <xdr:to>
      <xdr:col>9</xdr:col>
      <xdr:colOff>347382</xdr:colOff>
      <xdr:row>50</xdr:row>
      <xdr:rowOff>44824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82" y="10588775"/>
          <a:ext cx="5048250" cy="943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537430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32</xdr:row>
          <xdr:rowOff>171450</xdr:rowOff>
        </xdr:from>
        <xdr:to>
          <xdr:col>16</xdr:col>
          <xdr:colOff>295275</xdr:colOff>
          <xdr:row>34</xdr:row>
          <xdr:rowOff>133350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7"/>
  <sheetViews>
    <sheetView view="pageBreakPreview" topLeftCell="A37" zoomScale="85" zoomScaleSheetLayoutView="85" workbookViewId="0">
      <selection activeCell="L82" sqref="L82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7" width="6.77734375" style="4" customWidth="1"/>
    <col min="18" max="18" width="6.44140625" style="4" customWidth="1"/>
    <col min="19" max="19" width="6.77734375" style="5" customWidth="1"/>
    <col min="20" max="20" width="7" style="4" customWidth="1"/>
    <col min="21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14" t="s">
        <v>15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6"/>
      <c r="S1" s="1">
        <v>1</v>
      </c>
      <c r="T1" s="1" t="s">
        <v>47</v>
      </c>
      <c r="U1" s="58" t="s">
        <v>50</v>
      </c>
      <c r="W1" s="67" t="s">
        <v>68</v>
      </c>
      <c r="X1" s="1" t="s">
        <v>60</v>
      </c>
      <c r="Y1" s="1" t="s">
        <v>71</v>
      </c>
      <c r="Z1" s="1" t="s">
        <v>64</v>
      </c>
      <c r="AA1" s="1" t="s">
        <v>73</v>
      </c>
    </row>
    <row r="2" spans="1:42" x14ac:dyDescent="0.15">
      <c r="A2" s="117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9"/>
      <c r="S2" s="1">
        <v>2</v>
      </c>
      <c r="T2" s="1" t="s">
        <v>47</v>
      </c>
      <c r="U2" s="58" t="s">
        <v>48</v>
      </c>
      <c r="X2" s="1" t="s">
        <v>62</v>
      </c>
      <c r="Y2" s="1" t="s">
        <v>69</v>
      </c>
      <c r="Z2" s="1" t="s">
        <v>65</v>
      </c>
      <c r="AA2" s="1" t="s">
        <v>74</v>
      </c>
      <c r="AG2" s="1" t="s">
        <v>53</v>
      </c>
    </row>
    <row r="3" spans="1:42" ht="12.75" customHeight="1" x14ac:dyDescent="0.15">
      <c r="A3" s="120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2"/>
      <c r="N3" s="123"/>
      <c r="O3" s="104"/>
      <c r="P3" s="123"/>
      <c r="Q3" s="104"/>
      <c r="R3" s="63"/>
      <c r="S3" s="1">
        <v>3</v>
      </c>
      <c r="T3" s="1" t="s">
        <v>47</v>
      </c>
      <c r="U3" s="58" t="s">
        <v>48</v>
      </c>
      <c r="V3" s="66" t="s">
        <v>79</v>
      </c>
      <c r="W3" s="65"/>
      <c r="X3" s="1" t="s">
        <v>61</v>
      </c>
      <c r="Y3" s="1" t="s">
        <v>70</v>
      </c>
      <c r="Z3" s="1" t="s">
        <v>66</v>
      </c>
      <c r="AA3" s="1" t="s">
        <v>75</v>
      </c>
    </row>
    <row r="4" spans="1:42" ht="21" customHeight="1" x14ac:dyDescent="0.15">
      <c r="A4" s="124" t="s">
        <v>80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6"/>
      <c r="N4" s="3"/>
      <c r="O4" s="46"/>
      <c r="P4" s="46"/>
      <c r="Q4" s="46"/>
      <c r="R4" s="46"/>
      <c r="S4" s="1">
        <v>4</v>
      </c>
      <c r="T4" s="1" t="s">
        <v>47</v>
      </c>
      <c r="U4" s="58" t="s">
        <v>50</v>
      </c>
      <c r="V4" s="46">
        <v>50</v>
      </c>
      <c r="W4" s="46"/>
      <c r="X4" s="47" t="s">
        <v>63</v>
      </c>
      <c r="Y4" s="47" t="s">
        <v>72</v>
      </c>
      <c r="Z4" s="48" t="s">
        <v>67</v>
      </c>
      <c r="AA4" s="31" t="s">
        <v>76</v>
      </c>
      <c r="AB4" s="31"/>
      <c r="AC4" s="31"/>
      <c r="AD4" s="31"/>
      <c r="AF4" s="1" t="s">
        <v>54</v>
      </c>
      <c r="AG4" s="1">
        <v>30</v>
      </c>
    </row>
    <row r="5" spans="1:42" ht="21" customHeight="1" x14ac:dyDescent="0.1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10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  <c r="AF5" s="1" t="s">
        <v>55</v>
      </c>
      <c r="AG5" s="1">
        <f>0.0008*25*AG4+1.01</f>
        <v>1.6099999999999999</v>
      </c>
      <c r="AH5" s="1" t="s">
        <v>56</v>
      </c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  <c r="AG6" s="1">
        <v>10</v>
      </c>
      <c r="AH6" s="1">
        <f>AG6^AG5</f>
        <v>40.738027780411279</v>
      </c>
    </row>
    <row r="7" spans="1:42" ht="20.100000000000001" customHeight="1" x14ac:dyDescent="0.15">
      <c r="A7" s="10" t="s">
        <v>13</v>
      </c>
      <c r="B7" s="111" t="s">
        <v>58</v>
      </c>
      <c r="C7" s="111"/>
      <c r="D7" s="112"/>
      <c r="E7" s="111" t="s">
        <v>84</v>
      </c>
      <c r="F7" s="111"/>
      <c r="G7" s="112"/>
      <c r="H7" s="111" t="s">
        <v>85</v>
      </c>
      <c r="I7" s="111"/>
      <c r="J7" s="112"/>
      <c r="K7" s="111" t="s">
        <v>81</v>
      </c>
      <c r="L7" s="111"/>
      <c r="M7" s="113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 t="s">
        <v>52</v>
      </c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51" t="s">
        <v>27</v>
      </c>
      <c r="AN8" s="50" t="s">
        <v>42</v>
      </c>
      <c r="AO8" s="51" t="s">
        <v>43</v>
      </c>
      <c r="AP8" s="51" t="s">
        <v>29</v>
      </c>
    </row>
    <row r="9" spans="1:42" ht="20.100000000000001" customHeight="1" thickTop="1" x14ac:dyDescent="0.15">
      <c r="A9" s="21" t="s">
        <v>11</v>
      </c>
      <c r="B9" s="68">
        <v>56</v>
      </c>
      <c r="C9" s="34" t="s">
        <v>94</v>
      </c>
      <c r="D9" s="35"/>
      <c r="E9" s="71">
        <v>52</v>
      </c>
      <c r="F9" s="72" t="s">
        <v>77</v>
      </c>
      <c r="G9" s="73"/>
      <c r="H9" s="71">
        <v>54</v>
      </c>
      <c r="I9" s="72" t="s">
        <v>27</v>
      </c>
      <c r="J9" s="73"/>
      <c r="K9" s="68">
        <v>49</v>
      </c>
      <c r="L9" s="33" t="s">
        <v>77</v>
      </c>
      <c r="M9" s="30"/>
      <c r="N9" s="6"/>
      <c r="O9" s="56">
        <f>IF(AA9="","",ROUND(AA9,0))</f>
        <v>56</v>
      </c>
      <c r="P9" s="56">
        <f>IF(AB9="","",ROUND(AB9,0))</f>
        <v>52</v>
      </c>
      <c r="Q9" s="56">
        <f>IF(AC9="","",ROUND(AC9,0))</f>
        <v>54</v>
      </c>
      <c r="R9" s="56">
        <f>IF(AD9="","",ROUND(AD9,0))</f>
        <v>49</v>
      </c>
      <c r="S9" s="49"/>
      <c r="T9" s="43"/>
      <c r="V9" s="53">
        <f>B9-0.02</f>
        <v>55.98</v>
      </c>
      <c r="W9" s="53">
        <f>E9-0.02</f>
        <v>51.98</v>
      </c>
      <c r="X9" s="53">
        <f>H9-0.02</f>
        <v>53.98</v>
      </c>
      <c r="Y9" s="53">
        <f>K9-0.02</f>
        <v>48.98</v>
      </c>
      <c r="AA9" s="44">
        <f>IF(V9&gt;=LARGE($V$9:$V$28,10),V9,"")</f>
        <v>55.98</v>
      </c>
      <c r="AB9" s="44">
        <f>IF(W9&gt;=LARGE($W$9:$W$28,10),W9,"")</f>
        <v>51.98</v>
      </c>
      <c r="AC9" s="44">
        <f>IF(X9&gt;=LARGE($X$9:$X$28,10),X9,"")</f>
        <v>53.98</v>
      </c>
      <c r="AD9" s="44">
        <f>IF(Y9&gt;=LARGE($Y$9:$Y$28,10),Y9,"")</f>
        <v>48.98</v>
      </c>
      <c r="AF9" s="1">
        <v>10</v>
      </c>
      <c r="AG9" s="4">
        <f t="shared" ref="AG9:AG40" si="0">ROUNDDOWN(10^(0.0008*$P$5*$AF9+1.01),2)</f>
        <v>16.21</v>
      </c>
      <c r="AH9" s="4">
        <f t="shared" ref="AH9:AH40" si="1">$AG9+AM9</f>
        <v>15.41</v>
      </c>
      <c r="AI9" s="4" t="s">
        <v>34</v>
      </c>
      <c r="AJ9" s="4" t="s">
        <v>34</v>
      </c>
      <c r="AK9" s="4">
        <f t="shared" ref="AK9:AK40" si="2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69">
        <v>54</v>
      </c>
      <c r="C10" s="36" t="str">
        <f>$C$9</f>
        <v>-45˚</v>
      </c>
      <c r="D10" s="37"/>
      <c r="E10" s="74">
        <v>50</v>
      </c>
      <c r="F10" s="75" t="str">
        <f>$F$9</f>
        <v>+0˚</v>
      </c>
      <c r="G10" s="76"/>
      <c r="H10" s="74">
        <v>48</v>
      </c>
      <c r="I10" s="75" t="str">
        <f>$I$9</f>
        <v>-45˚</v>
      </c>
      <c r="J10" s="76"/>
      <c r="K10" s="69">
        <v>50</v>
      </c>
      <c r="L10" s="36" t="str">
        <f>$L$9</f>
        <v>+0˚</v>
      </c>
      <c r="M10" s="24"/>
      <c r="N10" s="6"/>
      <c r="O10" s="56">
        <f t="shared" ref="O10:O28" si="3">IF(AA10="","",ROUND(AA10,0))</f>
        <v>54</v>
      </c>
      <c r="P10" s="56">
        <f t="shared" ref="P10:P28" si="4">IF(AB10="","",ROUND(AB10,0))</f>
        <v>50</v>
      </c>
      <c r="Q10" s="56">
        <f t="shared" ref="Q10:Q28" si="5">IF(AC10="","",ROUND(AC10,0))</f>
        <v>48</v>
      </c>
      <c r="R10" s="56">
        <f t="shared" ref="R10:R28" si="6">IF(AD10="","",ROUND(AD10,0))</f>
        <v>50</v>
      </c>
      <c r="S10" s="49"/>
      <c r="T10" s="43"/>
      <c r="V10" s="53">
        <f>B10-0.019</f>
        <v>53.981000000000002</v>
      </c>
      <c r="W10" s="53">
        <f>E10-0.019</f>
        <v>49.981000000000002</v>
      </c>
      <c r="X10" s="53">
        <f>H10-0.019</f>
        <v>47.981000000000002</v>
      </c>
      <c r="Y10" s="53">
        <f>K10-0.019</f>
        <v>49.981000000000002</v>
      </c>
      <c r="AA10" s="44">
        <f t="shared" ref="AA10:AA29" si="7">IF(V10&gt;=LARGE($V$9:$V$28,10),V10,"")</f>
        <v>53.981000000000002</v>
      </c>
      <c r="AB10" s="44">
        <f t="shared" ref="AB10:AB30" si="8">IF(W10&gt;=LARGE($W$9:$W$28,10),W10,"")</f>
        <v>49.981000000000002</v>
      </c>
      <c r="AC10" s="44">
        <f t="shared" ref="AC10:AC29" si="9">IF(X10&gt;=LARGE($X$9:$X$28,10),X10,"")</f>
        <v>47.981000000000002</v>
      </c>
      <c r="AD10" s="44">
        <f t="shared" ref="AD10:AD28" si="10">IF(Y10&gt;=LARGE($Y$9:$Y$28,10),Y10,"")</f>
        <v>49.981000000000002</v>
      </c>
      <c r="AF10" s="1">
        <v>11</v>
      </c>
      <c r="AG10" s="4">
        <f t="shared" si="0"/>
        <v>16.98</v>
      </c>
      <c r="AH10" s="4">
        <f t="shared" si="1"/>
        <v>16.170000000000002</v>
      </c>
      <c r="AI10" s="4" t="s">
        <v>34</v>
      </c>
      <c r="AJ10" s="4" t="s">
        <v>34</v>
      </c>
      <c r="AK10" s="4">
        <f t="shared" si="2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69">
        <v>50</v>
      </c>
      <c r="C11" s="36" t="str">
        <f t="shared" ref="C11:C28" si="11">$C$9</f>
        <v>-45˚</v>
      </c>
      <c r="D11" s="37"/>
      <c r="E11" s="74">
        <v>46</v>
      </c>
      <c r="F11" s="75" t="str">
        <f t="shared" ref="F11:F28" si="12">$F$9</f>
        <v>+0˚</v>
      </c>
      <c r="G11" s="76"/>
      <c r="H11" s="74">
        <v>41</v>
      </c>
      <c r="I11" s="75" t="str">
        <f t="shared" ref="I11:I28" si="13">$I$9</f>
        <v>-45˚</v>
      </c>
      <c r="J11" s="76"/>
      <c r="K11" s="69">
        <v>46</v>
      </c>
      <c r="L11" s="36" t="str">
        <f t="shared" ref="L11:L28" si="14">$L$9</f>
        <v>+0˚</v>
      </c>
      <c r="M11" s="24"/>
      <c r="N11" s="6"/>
      <c r="O11" s="56">
        <f t="shared" si="3"/>
        <v>50</v>
      </c>
      <c r="P11" s="56" t="str">
        <f t="shared" si="4"/>
        <v/>
      </c>
      <c r="Q11" s="56" t="str">
        <f t="shared" si="5"/>
        <v/>
      </c>
      <c r="R11" s="64">
        <f t="shared" si="6"/>
        <v>46</v>
      </c>
      <c r="S11" s="49"/>
      <c r="T11" s="43"/>
      <c r="V11" s="53">
        <f>B11-0.018</f>
        <v>49.981999999999999</v>
      </c>
      <c r="W11" s="53">
        <f>E11-0.018</f>
        <v>45.981999999999999</v>
      </c>
      <c r="X11" s="53">
        <f>H11-0.018</f>
        <v>40.981999999999999</v>
      </c>
      <c r="Y11" s="53">
        <f>K11-0.018</f>
        <v>45.981999999999999</v>
      </c>
      <c r="AA11" s="44">
        <f t="shared" si="7"/>
        <v>49.981999999999999</v>
      </c>
      <c r="AB11" s="44" t="str">
        <f t="shared" si="8"/>
        <v/>
      </c>
      <c r="AC11" s="44" t="str">
        <f t="shared" si="9"/>
        <v/>
      </c>
      <c r="AD11" s="44">
        <f t="shared" si="10"/>
        <v>45.981999999999999</v>
      </c>
      <c r="AF11" s="1">
        <v>12</v>
      </c>
      <c r="AG11" s="4">
        <f t="shared" si="0"/>
        <v>17.78</v>
      </c>
      <c r="AH11" s="4">
        <f t="shared" si="1"/>
        <v>16.96</v>
      </c>
      <c r="AI11" s="4" t="s">
        <v>34</v>
      </c>
      <c r="AJ11" s="4" t="s">
        <v>34</v>
      </c>
      <c r="AK11" s="4">
        <f t="shared" si="2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69">
        <v>50</v>
      </c>
      <c r="C12" s="36" t="str">
        <f t="shared" si="11"/>
        <v>-45˚</v>
      </c>
      <c r="D12" s="37"/>
      <c r="E12" s="74">
        <v>47</v>
      </c>
      <c r="F12" s="75" t="str">
        <f t="shared" si="12"/>
        <v>+0˚</v>
      </c>
      <c r="G12" s="76"/>
      <c r="H12" s="74">
        <v>47</v>
      </c>
      <c r="I12" s="75" t="str">
        <f t="shared" si="13"/>
        <v>-45˚</v>
      </c>
      <c r="J12" s="76"/>
      <c r="K12" s="69">
        <v>47</v>
      </c>
      <c r="L12" s="36" t="str">
        <f t="shared" si="14"/>
        <v>+0˚</v>
      </c>
      <c r="M12" s="24"/>
      <c r="N12" s="6"/>
      <c r="O12" s="56">
        <f t="shared" si="3"/>
        <v>50</v>
      </c>
      <c r="P12" s="56" t="str">
        <f t="shared" si="4"/>
        <v/>
      </c>
      <c r="Q12" s="56">
        <f t="shared" si="5"/>
        <v>47</v>
      </c>
      <c r="R12" s="56">
        <f t="shared" si="6"/>
        <v>47</v>
      </c>
      <c r="S12" s="49"/>
      <c r="T12" s="43"/>
      <c r="V12" s="53">
        <f>B12-0.0117</f>
        <v>49.988300000000002</v>
      </c>
      <c r="W12" s="53">
        <f>E12-0.0117</f>
        <v>46.988300000000002</v>
      </c>
      <c r="X12" s="53">
        <f>H12-0.0117</f>
        <v>46.988300000000002</v>
      </c>
      <c r="Y12" s="53">
        <f>K12-0.0117</f>
        <v>46.988300000000002</v>
      </c>
      <c r="AA12" s="44">
        <f t="shared" si="7"/>
        <v>49.988300000000002</v>
      </c>
      <c r="AB12" s="44" t="str">
        <f t="shared" si="8"/>
        <v/>
      </c>
      <c r="AC12" s="44">
        <f t="shared" si="9"/>
        <v>46.988300000000002</v>
      </c>
      <c r="AD12" s="44">
        <f t="shared" si="10"/>
        <v>46.988300000000002</v>
      </c>
      <c r="AF12" s="1">
        <v>13</v>
      </c>
      <c r="AG12" s="4">
        <f t="shared" si="0"/>
        <v>18.62</v>
      </c>
      <c r="AH12" s="4">
        <f t="shared" si="1"/>
        <v>17.790000000000003</v>
      </c>
      <c r="AI12" s="4" t="s">
        <v>34</v>
      </c>
      <c r="AJ12" s="4" t="s">
        <v>34</v>
      </c>
      <c r="AK12" s="4">
        <f t="shared" si="2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69">
        <v>42</v>
      </c>
      <c r="C13" s="36" t="str">
        <f t="shared" si="11"/>
        <v>-45˚</v>
      </c>
      <c r="D13" s="37"/>
      <c r="E13" s="74">
        <v>53</v>
      </c>
      <c r="F13" s="75" t="str">
        <f t="shared" si="12"/>
        <v>+0˚</v>
      </c>
      <c r="G13" s="76"/>
      <c r="H13" s="74">
        <v>52</v>
      </c>
      <c r="I13" s="75" t="str">
        <f t="shared" si="13"/>
        <v>-45˚</v>
      </c>
      <c r="J13" s="76"/>
      <c r="K13" s="69">
        <v>45</v>
      </c>
      <c r="L13" s="36" t="str">
        <f t="shared" si="14"/>
        <v>+0˚</v>
      </c>
      <c r="M13" s="24"/>
      <c r="N13" s="6"/>
      <c r="O13" s="56" t="str">
        <f t="shared" si="3"/>
        <v/>
      </c>
      <c r="P13" s="56">
        <f t="shared" si="4"/>
        <v>53</v>
      </c>
      <c r="Q13" s="56">
        <f t="shared" si="5"/>
        <v>52</v>
      </c>
      <c r="R13" s="56" t="str">
        <f t="shared" si="6"/>
        <v/>
      </c>
      <c r="S13" s="49"/>
      <c r="T13" s="43"/>
      <c r="V13" s="53">
        <f>B13-0.016</f>
        <v>41.984000000000002</v>
      </c>
      <c r="W13" s="53">
        <f>E13-0.016</f>
        <v>52.984000000000002</v>
      </c>
      <c r="X13" s="53">
        <f>H13-0.016</f>
        <v>51.984000000000002</v>
      </c>
      <c r="Y13" s="53">
        <f>K13-0.016</f>
        <v>44.984000000000002</v>
      </c>
      <c r="AA13" s="44" t="str">
        <f t="shared" si="7"/>
        <v/>
      </c>
      <c r="AB13" s="44">
        <f t="shared" si="8"/>
        <v>52.984000000000002</v>
      </c>
      <c r="AC13" s="44">
        <f t="shared" si="9"/>
        <v>51.984000000000002</v>
      </c>
      <c r="AD13" s="44" t="str">
        <f t="shared" si="10"/>
        <v/>
      </c>
      <c r="AF13" s="1">
        <v>14</v>
      </c>
      <c r="AG13" s="4">
        <f t="shared" si="0"/>
        <v>19.489999999999998</v>
      </c>
      <c r="AH13" s="4">
        <f t="shared" si="1"/>
        <v>18.649999999999999</v>
      </c>
      <c r="AI13" s="4" t="s">
        <v>34</v>
      </c>
      <c r="AJ13" s="4" t="s">
        <v>34</v>
      </c>
      <c r="AK13" s="4">
        <f t="shared" si="2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69">
        <v>50</v>
      </c>
      <c r="C14" s="36" t="str">
        <f t="shared" si="11"/>
        <v>-45˚</v>
      </c>
      <c r="D14" s="37"/>
      <c r="E14" s="74">
        <v>47</v>
      </c>
      <c r="F14" s="75" t="str">
        <f t="shared" si="12"/>
        <v>+0˚</v>
      </c>
      <c r="G14" s="76"/>
      <c r="H14" s="74">
        <v>47</v>
      </c>
      <c r="I14" s="75" t="str">
        <f t="shared" si="13"/>
        <v>-45˚</v>
      </c>
      <c r="J14" s="76"/>
      <c r="K14" s="69">
        <v>47</v>
      </c>
      <c r="L14" s="36" t="str">
        <f t="shared" si="14"/>
        <v>+0˚</v>
      </c>
      <c r="M14" s="24"/>
      <c r="N14" s="6"/>
      <c r="O14" s="56">
        <f t="shared" si="3"/>
        <v>50</v>
      </c>
      <c r="P14" s="56" t="str">
        <f t="shared" si="4"/>
        <v/>
      </c>
      <c r="Q14" s="56" t="str">
        <f t="shared" si="5"/>
        <v/>
      </c>
      <c r="R14" s="56">
        <f t="shared" si="6"/>
        <v>47</v>
      </c>
      <c r="S14" s="49"/>
      <c r="T14" s="43"/>
      <c r="V14" s="53">
        <f>B14-0.015</f>
        <v>49.984999999999999</v>
      </c>
      <c r="W14" s="53">
        <f>E14-0.015</f>
        <v>46.984999999999999</v>
      </c>
      <c r="X14" s="53">
        <f>H14-0.015</f>
        <v>46.984999999999999</v>
      </c>
      <c r="Y14" s="53">
        <f>K14-0.015</f>
        <v>46.984999999999999</v>
      </c>
      <c r="AA14" s="44">
        <f t="shared" si="7"/>
        <v>49.984999999999999</v>
      </c>
      <c r="AB14" s="44" t="str">
        <f t="shared" si="8"/>
        <v/>
      </c>
      <c r="AC14" s="44" t="str">
        <f t="shared" si="9"/>
        <v/>
      </c>
      <c r="AD14" s="44">
        <f t="shared" si="10"/>
        <v>46.984999999999999</v>
      </c>
      <c r="AF14" s="1">
        <v>15</v>
      </c>
      <c r="AG14" s="4">
        <f t="shared" si="0"/>
        <v>20.41</v>
      </c>
      <c r="AH14" s="4">
        <f t="shared" si="1"/>
        <v>19.559999999999999</v>
      </c>
      <c r="AI14" s="4" t="s">
        <v>34</v>
      </c>
      <c r="AJ14" s="4" t="s">
        <v>34</v>
      </c>
      <c r="AK14" s="4">
        <f t="shared" si="2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69">
        <v>50</v>
      </c>
      <c r="C15" s="36" t="str">
        <f t="shared" si="11"/>
        <v>-45˚</v>
      </c>
      <c r="D15" s="37"/>
      <c r="E15" s="74">
        <v>50</v>
      </c>
      <c r="F15" s="75" t="str">
        <f t="shared" si="12"/>
        <v>+0˚</v>
      </c>
      <c r="G15" s="76"/>
      <c r="H15" s="74">
        <v>50</v>
      </c>
      <c r="I15" s="75" t="str">
        <f t="shared" si="13"/>
        <v>-45˚</v>
      </c>
      <c r="J15" s="76"/>
      <c r="K15" s="69">
        <v>42</v>
      </c>
      <c r="L15" s="36" t="str">
        <f t="shared" si="14"/>
        <v>+0˚</v>
      </c>
      <c r="M15" s="24"/>
      <c r="O15" s="56">
        <f t="shared" si="3"/>
        <v>50</v>
      </c>
      <c r="P15" s="56">
        <f t="shared" si="4"/>
        <v>50</v>
      </c>
      <c r="Q15" s="56">
        <f t="shared" si="5"/>
        <v>50</v>
      </c>
      <c r="R15" s="56" t="str">
        <f t="shared" si="6"/>
        <v/>
      </c>
      <c r="S15" s="49"/>
      <c r="T15" s="43"/>
      <c r="V15" s="53">
        <f>B15-0.014</f>
        <v>49.985999999999997</v>
      </c>
      <c r="W15" s="53">
        <f>E15-0.014</f>
        <v>49.985999999999997</v>
      </c>
      <c r="X15" s="53">
        <f>H15-0.014</f>
        <v>49.985999999999997</v>
      </c>
      <c r="Y15" s="53">
        <f>K15-0.014</f>
        <v>41.985999999999997</v>
      </c>
      <c r="AA15" s="44">
        <f t="shared" si="7"/>
        <v>49.985999999999997</v>
      </c>
      <c r="AB15" s="44">
        <f t="shared" si="8"/>
        <v>49.985999999999997</v>
      </c>
      <c r="AC15" s="44">
        <f t="shared" si="9"/>
        <v>49.985999999999997</v>
      </c>
      <c r="AD15" s="44" t="str">
        <f t="shared" si="10"/>
        <v/>
      </c>
      <c r="AF15" s="1">
        <v>16</v>
      </c>
      <c r="AG15" s="4">
        <f t="shared" si="0"/>
        <v>21.37</v>
      </c>
      <c r="AH15" s="4">
        <f t="shared" si="1"/>
        <v>20.51</v>
      </c>
      <c r="AI15" s="4" t="s">
        <v>34</v>
      </c>
      <c r="AJ15" s="4" t="s">
        <v>34</v>
      </c>
      <c r="AK15" s="4">
        <f t="shared" si="2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69">
        <v>48</v>
      </c>
      <c r="C16" s="36" t="str">
        <f t="shared" si="11"/>
        <v>-45˚</v>
      </c>
      <c r="D16" s="37"/>
      <c r="E16" s="74">
        <v>48</v>
      </c>
      <c r="F16" s="75" t="str">
        <f t="shared" si="12"/>
        <v>+0˚</v>
      </c>
      <c r="G16" s="76"/>
      <c r="H16" s="74">
        <v>46</v>
      </c>
      <c r="I16" s="75" t="str">
        <f t="shared" si="13"/>
        <v>-45˚</v>
      </c>
      <c r="J16" s="76"/>
      <c r="K16" s="69">
        <v>43</v>
      </c>
      <c r="L16" s="36" t="str">
        <f t="shared" si="14"/>
        <v>+0˚</v>
      </c>
      <c r="M16" s="24"/>
      <c r="O16" s="56">
        <f t="shared" si="3"/>
        <v>48</v>
      </c>
      <c r="P16" s="56" t="str">
        <f t="shared" si="4"/>
        <v/>
      </c>
      <c r="Q16" s="56" t="str">
        <f t="shared" si="5"/>
        <v/>
      </c>
      <c r="R16" s="56" t="str">
        <f t="shared" si="6"/>
        <v/>
      </c>
      <c r="S16" s="49"/>
      <c r="T16" s="43"/>
      <c r="V16" s="53">
        <f>B16-0.013</f>
        <v>47.987000000000002</v>
      </c>
      <c r="W16" s="53">
        <f>E16-0.013</f>
        <v>47.987000000000002</v>
      </c>
      <c r="X16" s="53">
        <f>H16-0.013</f>
        <v>45.987000000000002</v>
      </c>
      <c r="Y16" s="53">
        <f>K16-0.013</f>
        <v>42.987000000000002</v>
      </c>
      <c r="AA16" s="44">
        <f t="shared" si="7"/>
        <v>47.987000000000002</v>
      </c>
      <c r="AB16" s="44" t="str">
        <f t="shared" si="8"/>
        <v/>
      </c>
      <c r="AC16" s="44" t="str">
        <f t="shared" si="9"/>
        <v/>
      </c>
      <c r="AD16" s="44" t="str">
        <f t="shared" si="10"/>
        <v/>
      </c>
      <c r="AF16" s="1">
        <v>17</v>
      </c>
      <c r="AG16" s="4">
        <f t="shared" si="0"/>
        <v>22.38</v>
      </c>
      <c r="AH16" s="4">
        <f t="shared" si="1"/>
        <v>21.509999999999998</v>
      </c>
      <c r="AI16" s="4" t="s">
        <v>34</v>
      </c>
      <c r="AJ16" s="4" t="s">
        <v>34</v>
      </c>
      <c r="AK16" s="4">
        <f t="shared" si="2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69">
        <v>48</v>
      </c>
      <c r="C17" s="36" t="str">
        <f t="shared" si="11"/>
        <v>-45˚</v>
      </c>
      <c r="D17" s="37"/>
      <c r="E17" s="74">
        <v>45</v>
      </c>
      <c r="F17" s="75" t="str">
        <f t="shared" si="12"/>
        <v>+0˚</v>
      </c>
      <c r="G17" s="76"/>
      <c r="H17" s="74">
        <v>45</v>
      </c>
      <c r="I17" s="75" t="str">
        <f t="shared" si="13"/>
        <v>-45˚</v>
      </c>
      <c r="J17" s="76"/>
      <c r="K17" s="69">
        <v>45</v>
      </c>
      <c r="L17" s="36" t="str">
        <f t="shared" si="14"/>
        <v>+0˚</v>
      </c>
      <c r="M17" s="24"/>
      <c r="O17" s="56">
        <f t="shared" si="3"/>
        <v>48</v>
      </c>
      <c r="P17" s="56" t="str">
        <f t="shared" si="4"/>
        <v/>
      </c>
      <c r="Q17" s="56" t="str">
        <f t="shared" si="5"/>
        <v/>
      </c>
      <c r="R17" s="56" t="str">
        <f t="shared" si="6"/>
        <v/>
      </c>
      <c r="S17" s="49"/>
      <c r="T17" s="43"/>
      <c r="V17" s="53">
        <f>B17-0.012</f>
        <v>47.988</v>
      </c>
      <c r="W17" s="53">
        <f>E17-0.012</f>
        <v>44.988</v>
      </c>
      <c r="X17" s="53">
        <f>H17-0.012</f>
        <v>44.988</v>
      </c>
      <c r="Y17" s="53">
        <f>K17-0.012</f>
        <v>44.988</v>
      </c>
      <c r="AA17" s="44">
        <f t="shared" si="7"/>
        <v>47.988</v>
      </c>
      <c r="AB17" s="44" t="str">
        <f t="shared" si="8"/>
        <v/>
      </c>
      <c r="AC17" s="44" t="str">
        <f t="shared" si="9"/>
        <v/>
      </c>
      <c r="AD17" s="44" t="str">
        <f t="shared" si="10"/>
        <v/>
      </c>
      <c r="AF17" s="1">
        <v>18</v>
      </c>
      <c r="AG17" s="4">
        <f t="shared" si="0"/>
        <v>23.44</v>
      </c>
      <c r="AH17" s="4">
        <f t="shared" si="1"/>
        <v>22.560000000000002</v>
      </c>
      <c r="AI17" s="4" t="s">
        <v>34</v>
      </c>
      <c r="AJ17" s="4" t="s">
        <v>34</v>
      </c>
      <c r="AK17" s="4">
        <f t="shared" si="2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69">
        <v>42</v>
      </c>
      <c r="C18" s="36" t="str">
        <f t="shared" si="11"/>
        <v>-45˚</v>
      </c>
      <c r="D18" s="37"/>
      <c r="E18" s="74">
        <v>43</v>
      </c>
      <c r="F18" s="75" t="str">
        <f t="shared" si="12"/>
        <v>+0˚</v>
      </c>
      <c r="G18" s="76"/>
      <c r="H18" s="74">
        <v>49</v>
      </c>
      <c r="I18" s="75" t="str">
        <f t="shared" si="13"/>
        <v>-45˚</v>
      </c>
      <c r="J18" s="76"/>
      <c r="K18" s="69">
        <v>43</v>
      </c>
      <c r="L18" s="36" t="str">
        <f t="shared" si="14"/>
        <v>+0˚</v>
      </c>
      <c r="M18" s="24"/>
      <c r="O18" s="56" t="str">
        <f t="shared" si="3"/>
        <v/>
      </c>
      <c r="P18" s="56" t="str">
        <f t="shared" si="4"/>
        <v/>
      </c>
      <c r="Q18" s="56">
        <f t="shared" si="5"/>
        <v>49</v>
      </c>
      <c r="R18" s="56" t="str">
        <f t="shared" si="6"/>
        <v/>
      </c>
      <c r="S18" s="49"/>
      <c r="T18" s="43"/>
      <c r="V18" s="53">
        <f>B18-0.011</f>
        <v>41.988999999999997</v>
      </c>
      <c r="W18" s="53">
        <f>E18-0.011</f>
        <v>42.988999999999997</v>
      </c>
      <c r="X18" s="53">
        <f>H18-0.011</f>
        <v>48.988999999999997</v>
      </c>
      <c r="Y18" s="53">
        <f>K18-0.011</f>
        <v>42.988999999999997</v>
      </c>
      <c r="AA18" s="44" t="str">
        <f t="shared" si="7"/>
        <v/>
      </c>
      <c r="AB18" s="44" t="str">
        <f t="shared" si="8"/>
        <v/>
      </c>
      <c r="AC18" s="44">
        <f t="shared" si="9"/>
        <v>48.988999999999997</v>
      </c>
      <c r="AD18" s="44" t="str">
        <f t="shared" si="10"/>
        <v/>
      </c>
      <c r="AF18" s="1">
        <v>19</v>
      </c>
      <c r="AG18" s="4">
        <f t="shared" si="0"/>
        <v>24.54</v>
      </c>
      <c r="AH18" s="4">
        <f t="shared" si="1"/>
        <v>23.65</v>
      </c>
      <c r="AI18" s="4" t="s">
        <v>34</v>
      </c>
      <c r="AJ18" s="4" t="s">
        <v>34</v>
      </c>
      <c r="AK18" s="4">
        <f t="shared" si="2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69">
        <v>48</v>
      </c>
      <c r="C19" s="36" t="str">
        <f t="shared" si="11"/>
        <v>-45˚</v>
      </c>
      <c r="D19" s="37"/>
      <c r="E19" s="74">
        <v>54</v>
      </c>
      <c r="F19" s="75" t="str">
        <f t="shared" si="12"/>
        <v>+0˚</v>
      </c>
      <c r="G19" s="76"/>
      <c r="H19" s="74">
        <v>44</v>
      </c>
      <c r="I19" s="75" t="str">
        <f t="shared" si="13"/>
        <v>-45˚</v>
      </c>
      <c r="J19" s="76"/>
      <c r="K19" s="69">
        <v>43</v>
      </c>
      <c r="L19" s="36" t="str">
        <f t="shared" si="14"/>
        <v>+0˚</v>
      </c>
      <c r="M19" s="24"/>
      <c r="O19" s="56">
        <f t="shared" si="3"/>
        <v>48</v>
      </c>
      <c r="P19" s="56">
        <f t="shared" si="4"/>
        <v>54</v>
      </c>
      <c r="Q19" s="56" t="str">
        <f t="shared" si="5"/>
        <v/>
      </c>
      <c r="R19" s="56" t="str">
        <f t="shared" si="6"/>
        <v/>
      </c>
      <c r="S19" s="49"/>
      <c r="T19" s="43"/>
      <c r="V19" s="53">
        <f>B19-0.01</f>
        <v>47.99</v>
      </c>
      <c r="W19" s="53">
        <f>E19-0.01</f>
        <v>53.99</v>
      </c>
      <c r="X19" s="53">
        <f>H19-0.01</f>
        <v>43.99</v>
      </c>
      <c r="Y19" s="53">
        <f>K19-0.01</f>
        <v>42.99</v>
      </c>
      <c r="AA19" s="44">
        <f t="shared" si="7"/>
        <v>47.99</v>
      </c>
      <c r="AB19" s="44">
        <f t="shared" si="8"/>
        <v>53.99</v>
      </c>
      <c r="AC19" s="44" t="str">
        <f t="shared" si="9"/>
        <v/>
      </c>
      <c r="AD19" s="44" t="str">
        <f t="shared" si="10"/>
        <v/>
      </c>
      <c r="AF19" s="1">
        <v>20</v>
      </c>
      <c r="AG19" s="4">
        <f t="shared" si="0"/>
        <v>25.7</v>
      </c>
      <c r="AH19" s="4">
        <f t="shared" si="1"/>
        <v>24.8</v>
      </c>
      <c r="AI19" s="4">
        <f t="shared" ref="AI19:AI59" si="15">$AG19+AN19</f>
        <v>16.899999999999999</v>
      </c>
      <c r="AJ19" s="4">
        <f t="shared" ref="AJ19:AJ59" si="16">$AG19+AO19</f>
        <v>18.799999999999997</v>
      </c>
      <c r="AK19" s="4">
        <f t="shared" si="2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69">
        <v>48</v>
      </c>
      <c r="C20" s="36" t="str">
        <f t="shared" si="11"/>
        <v>-45˚</v>
      </c>
      <c r="D20" s="37"/>
      <c r="E20" s="74">
        <v>45</v>
      </c>
      <c r="F20" s="75" t="str">
        <f t="shared" si="12"/>
        <v>+0˚</v>
      </c>
      <c r="G20" s="76"/>
      <c r="H20" s="74">
        <v>50</v>
      </c>
      <c r="I20" s="75" t="str">
        <f t="shared" si="13"/>
        <v>-45˚</v>
      </c>
      <c r="J20" s="76"/>
      <c r="K20" s="69">
        <v>45</v>
      </c>
      <c r="L20" s="36" t="str">
        <f t="shared" si="14"/>
        <v>+0˚</v>
      </c>
      <c r="M20" s="24"/>
      <c r="O20" s="56">
        <f t="shared" si="3"/>
        <v>48</v>
      </c>
      <c r="P20" s="56" t="str">
        <f t="shared" si="4"/>
        <v/>
      </c>
      <c r="Q20" s="56">
        <f t="shared" si="5"/>
        <v>50</v>
      </c>
      <c r="R20" s="56">
        <f t="shared" si="6"/>
        <v>45</v>
      </c>
      <c r="S20" s="49"/>
      <c r="T20" s="43"/>
      <c r="V20" s="53">
        <f>B20-0.009</f>
        <v>47.991</v>
      </c>
      <c r="W20" s="53">
        <f>E20-0.009</f>
        <v>44.991</v>
      </c>
      <c r="X20" s="53">
        <f>H20-0.009</f>
        <v>49.991</v>
      </c>
      <c r="Y20" s="53">
        <f>K20-0.009</f>
        <v>44.991</v>
      </c>
      <c r="AA20" s="44">
        <f t="shared" si="7"/>
        <v>47.991</v>
      </c>
      <c r="AB20" s="44" t="str">
        <f t="shared" si="8"/>
        <v/>
      </c>
      <c r="AC20" s="44">
        <f t="shared" si="9"/>
        <v>49.991</v>
      </c>
      <c r="AD20" s="44">
        <f t="shared" si="10"/>
        <v>44.991</v>
      </c>
      <c r="AF20" s="1">
        <v>21</v>
      </c>
      <c r="AG20" s="4">
        <f t="shared" si="0"/>
        <v>26.91</v>
      </c>
      <c r="AH20" s="4">
        <f t="shared" si="1"/>
        <v>26.02</v>
      </c>
      <c r="AI20" s="4">
        <f t="shared" si="15"/>
        <v>18.21</v>
      </c>
      <c r="AJ20" s="4">
        <f t="shared" si="16"/>
        <v>20.079999999999998</v>
      </c>
      <c r="AK20" s="4">
        <f t="shared" si="2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69">
        <v>46</v>
      </c>
      <c r="C21" s="36" t="str">
        <f t="shared" si="11"/>
        <v>-45˚</v>
      </c>
      <c r="D21" s="37"/>
      <c r="E21" s="74">
        <v>50</v>
      </c>
      <c r="F21" s="75" t="str">
        <f t="shared" si="12"/>
        <v>+0˚</v>
      </c>
      <c r="G21" s="76"/>
      <c r="H21" s="74">
        <v>43</v>
      </c>
      <c r="I21" s="75" t="str">
        <f t="shared" si="13"/>
        <v>-45˚</v>
      </c>
      <c r="J21" s="76"/>
      <c r="K21" s="69">
        <v>43</v>
      </c>
      <c r="L21" s="36" t="str">
        <f t="shared" si="14"/>
        <v>+0˚</v>
      </c>
      <c r="M21" s="24"/>
      <c r="O21" s="56" t="str">
        <f t="shared" si="3"/>
        <v/>
      </c>
      <c r="P21" s="56">
        <f t="shared" si="4"/>
        <v>50</v>
      </c>
      <c r="Q21" s="56" t="str">
        <f t="shared" si="5"/>
        <v/>
      </c>
      <c r="R21" s="56" t="str">
        <f t="shared" si="6"/>
        <v/>
      </c>
      <c r="S21" s="49"/>
      <c r="T21" s="43"/>
      <c r="V21" s="53">
        <f>B21-0.008</f>
        <v>45.991999999999997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42.991999999999997</v>
      </c>
      <c r="AA21" s="44" t="str">
        <f t="shared" si="7"/>
        <v/>
      </c>
      <c r="AB21" s="44">
        <f t="shared" si="8"/>
        <v>49.991999999999997</v>
      </c>
      <c r="AC21" s="44" t="str">
        <f t="shared" si="9"/>
        <v/>
      </c>
      <c r="AD21" s="44" t="str">
        <f t="shared" si="10"/>
        <v/>
      </c>
      <c r="AF21" s="1">
        <v>22</v>
      </c>
      <c r="AG21" s="4">
        <f t="shared" si="0"/>
        <v>28.18</v>
      </c>
      <c r="AH21" s="4">
        <f t="shared" si="1"/>
        <v>27.3</v>
      </c>
      <c r="AI21" s="4">
        <f t="shared" si="15"/>
        <v>19.579999999999998</v>
      </c>
      <c r="AJ21" s="4">
        <f t="shared" si="16"/>
        <v>21.42</v>
      </c>
      <c r="AK21" s="4">
        <f t="shared" si="2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69">
        <v>46</v>
      </c>
      <c r="C22" s="36" t="str">
        <f t="shared" si="11"/>
        <v>-45˚</v>
      </c>
      <c r="D22" s="37"/>
      <c r="E22" s="74">
        <v>51</v>
      </c>
      <c r="F22" s="75" t="str">
        <f t="shared" si="12"/>
        <v>+0˚</v>
      </c>
      <c r="G22" s="76"/>
      <c r="H22" s="74">
        <v>51</v>
      </c>
      <c r="I22" s="75" t="str">
        <f t="shared" si="13"/>
        <v>-45˚</v>
      </c>
      <c r="J22" s="76"/>
      <c r="K22" s="69">
        <v>42</v>
      </c>
      <c r="L22" s="36" t="str">
        <f t="shared" si="14"/>
        <v>+0˚</v>
      </c>
      <c r="M22" s="24"/>
      <c r="O22" s="56" t="str">
        <f t="shared" si="3"/>
        <v/>
      </c>
      <c r="P22" s="56">
        <f t="shared" si="4"/>
        <v>51</v>
      </c>
      <c r="Q22" s="56">
        <f t="shared" si="5"/>
        <v>51</v>
      </c>
      <c r="R22" s="56" t="str">
        <f t="shared" si="6"/>
        <v/>
      </c>
      <c r="S22" s="49"/>
      <c r="T22" s="43"/>
      <c r="V22" s="53">
        <f>B22-0.007</f>
        <v>45.993000000000002</v>
      </c>
      <c r="W22" s="53">
        <f>E22-0.007</f>
        <v>50.993000000000002</v>
      </c>
      <c r="X22" s="53">
        <f>H22-0.007</f>
        <v>50.993000000000002</v>
      </c>
      <c r="Y22" s="53">
        <f>K22-0.007</f>
        <v>41.993000000000002</v>
      </c>
      <c r="AA22" s="44" t="str">
        <f t="shared" si="7"/>
        <v/>
      </c>
      <c r="AB22" s="44">
        <f t="shared" si="8"/>
        <v>50.993000000000002</v>
      </c>
      <c r="AC22" s="44">
        <f t="shared" si="9"/>
        <v>50.993000000000002</v>
      </c>
      <c r="AD22" s="44" t="str">
        <f t="shared" si="10"/>
        <v/>
      </c>
      <c r="AF22" s="1">
        <v>23</v>
      </c>
      <c r="AG22" s="4">
        <f t="shared" si="0"/>
        <v>29.51</v>
      </c>
      <c r="AH22" s="4">
        <f t="shared" si="1"/>
        <v>28.64</v>
      </c>
      <c r="AI22" s="4">
        <f t="shared" si="15"/>
        <v>21.01</v>
      </c>
      <c r="AJ22" s="4">
        <f t="shared" si="16"/>
        <v>22.82</v>
      </c>
      <c r="AK22" s="4">
        <f t="shared" si="2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69">
        <v>40</v>
      </c>
      <c r="C23" s="36" t="str">
        <f t="shared" si="11"/>
        <v>-45˚</v>
      </c>
      <c r="D23" s="37"/>
      <c r="E23" s="74">
        <v>47</v>
      </c>
      <c r="F23" s="75" t="str">
        <f t="shared" si="12"/>
        <v>+0˚</v>
      </c>
      <c r="G23" s="76"/>
      <c r="H23" s="74">
        <v>35</v>
      </c>
      <c r="I23" s="75" t="str">
        <f t="shared" si="13"/>
        <v>-45˚</v>
      </c>
      <c r="J23" s="76"/>
      <c r="K23" s="69">
        <v>47</v>
      </c>
      <c r="L23" s="36" t="str">
        <f t="shared" si="14"/>
        <v>+0˚</v>
      </c>
      <c r="M23" s="24"/>
      <c r="O23" s="56" t="str">
        <f t="shared" si="3"/>
        <v/>
      </c>
      <c r="P23" s="56" t="str">
        <f t="shared" si="4"/>
        <v/>
      </c>
      <c r="Q23" s="56" t="str">
        <f t="shared" si="5"/>
        <v/>
      </c>
      <c r="R23" s="56">
        <f t="shared" si="6"/>
        <v>47</v>
      </c>
      <c r="S23" s="49"/>
      <c r="T23" s="43"/>
      <c r="V23" s="53">
        <f>B23-0.006</f>
        <v>39.994</v>
      </c>
      <c r="W23" s="53">
        <f>E23-0.006</f>
        <v>46.994</v>
      </c>
      <c r="X23" s="53">
        <f>H23-0.006</f>
        <v>34.994</v>
      </c>
      <c r="Y23" s="53">
        <f>K23-0.006</f>
        <v>46.994</v>
      </c>
      <c r="AA23" s="44" t="str">
        <f t="shared" si="7"/>
        <v/>
      </c>
      <c r="AB23" s="44" t="str">
        <f t="shared" si="8"/>
        <v/>
      </c>
      <c r="AC23" s="44" t="str">
        <f t="shared" si="9"/>
        <v/>
      </c>
      <c r="AD23" s="44">
        <f t="shared" si="10"/>
        <v>46.994</v>
      </c>
      <c r="AF23" s="1">
        <v>24</v>
      </c>
      <c r="AG23" s="4">
        <f t="shared" si="0"/>
        <v>30.9</v>
      </c>
      <c r="AH23" s="4">
        <f t="shared" si="1"/>
        <v>30.04</v>
      </c>
      <c r="AI23" s="4">
        <f t="shared" si="15"/>
        <v>22.5</v>
      </c>
      <c r="AJ23" s="4">
        <f t="shared" si="16"/>
        <v>24.279999999999998</v>
      </c>
      <c r="AK23" s="4">
        <f t="shared" si="2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69">
        <v>46</v>
      </c>
      <c r="C24" s="36" t="str">
        <f t="shared" si="11"/>
        <v>-45˚</v>
      </c>
      <c r="D24" s="37"/>
      <c r="E24" s="74">
        <v>48</v>
      </c>
      <c r="F24" s="75" t="str">
        <f t="shared" si="12"/>
        <v>+0˚</v>
      </c>
      <c r="G24" s="76"/>
      <c r="H24" s="74">
        <v>43</v>
      </c>
      <c r="I24" s="75" t="str">
        <f t="shared" si="13"/>
        <v>-45˚</v>
      </c>
      <c r="J24" s="76"/>
      <c r="K24" s="69">
        <v>48</v>
      </c>
      <c r="L24" s="36" t="str">
        <f t="shared" si="14"/>
        <v>+0˚</v>
      </c>
      <c r="M24" s="24"/>
      <c r="O24" s="56" t="str">
        <f t="shared" si="3"/>
        <v/>
      </c>
      <c r="P24" s="56" t="str">
        <f t="shared" si="4"/>
        <v/>
      </c>
      <c r="Q24" s="56" t="str">
        <f t="shared" si="5"/>
        <v/>
      </c>
      <c r="R24" s="56">
        <f t="shared" si="6"/>
        <v>48</v>
      </c>
      <c r="S24" s="49"/>
      <c r="T24" s="43"/>
      <c r="V24" s="53">
        <f>B24-0.005</f>
        <v>45.994999999999997</v>
      </c>
      <c r="W24" s="53">
        <f>E24-0.005</f>
        <v>47.994999999999997</v>
      </c>
      <c r="X24" s="53">
        <f>H24-0.005</f>
        <v>42.994999999999997</v>
      </c>
      <c r="Y24" s="53">
        <f>K24-0.005</f>
        <v>47.994999999999997</v>
      </c>
      <c r="AA24" s="44" t="str">
        <f t="shared" si="7"/>
        <v/>
      </c>
      <c r="AB24" s="44" t="str">
        <f t="shared" si="8"/>
        <v/>
      </c>
      <c r="AC24" s="44" t="str">
        <f t="shared" si="9"/>
        <v/>
      </c>
      <c r="AD24" s="44">
        <f t="shared" si="10"/>
        <v>47.994999999999997</v>
      </c>
      <c r="AF24" s="1">
        <v>25</v>
      </c>
      <c r="AG24" s="4">
        <f t="shared" si="0"/>
        <v>32.35</v>
      </c>
      <c r="AH24" s="4">
        <f t="shared" si="1"/>
        <v>31.5</v>
      </c>
      <c r="AI24" s="4">
        <f t="shared" si="15"/>
        <v>24.050000000000011</v>
      </c>
      <c r="AJ24" s="4">
        <f t="shared" si="16"/>
        <v>25.8</v>
      </c>
      <c r="AK24" s="4">
        <f t="shared" si="2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69">
        <v>46</v>
      </c>
      <c r="C25" s="36" t="str">
        <f t="shared" si="11"/>
        <v>-45˚</v>
      </c>
      <c r="D25" s="37"/>
      <c r="E25" s="74">
        <v>50</v>
      </c>
      <c r="F25" s="75" t="str">
        <f t="shared" si="12"/>
        <v>+0˚</v>
      </c>
      <c r="G25" s="76"/>
      <c r="H25" s="74">
        <v>43</v>
      </c>
      <c r="I25" s="75" t="str">
        <f t="shared" si="13"/>
        <v>-45˚</v>
      </c>
      <c r="J25" s="76"/>
      <c r="K25" s="69">
        <v>44</v>
      </c>
      <c r="L25" s="36" t="str">
        <f t="shared" si="14"/>
        <v>+0˚</v>
      </c>
      <c r="M25" s="24"/>
      <c r="O25" s="56" t="str">
        <f t="shared" si="3"/>
        <v/>
      </c>
      <c r="P25" s="56">
        <f t="shared" si="4"/>
        <v>50</v>
      </c>
      <c r="Q25" s="56" t="str">
        <f t="shared" si="5"/>
        <v/>
      </c>
      <c r="R25" s="56" t="str">
        <f t="shared" si="6"/>
        <v/>
      </c>
      <c r="S25" s="49"/>
      <c r="T25" s="43"/>
      <c r="V25" s="53">
        <f>B25-0.004</f>
        <v>45.996000000000002</v>
      </c>
      <c r="W25" s="53">
        <f>E25-0.004</f>
        <v>49.996000000000002</v>
      </c>
      <c r="X25" s="53">
        <f>H25-0.004</f>
        <v>42.996000000000002</v>
      </c>
      <c r="Y25" s="53">
        <f>K25-0.004</f>
        <v>43.996000000000002</v>
      </c>
      <c r="AA25" s="44" t="str">
        <f t="shared" si="7"/>
        <v/>
      </c>
      <c r="AB25" s="44">
        <f t="shared" si="8"/>
        <v>49.996000000000002</v>
      </c>
      <c r="AC25" s="44" t="str">
        <f t="shared" si="9"/>
        <v/>
      </c>
      <c r="AD25" s="44" t="str">
        <f t="shared" si="10"/>
        <v/>
      </c>
      <c r="AF25" s="1">
        <v>26</v>
      </c>
      <c r="AG25" s="4">
        <f t="shared" si="0"/>
        <v>33.880000000000003</v>
      </c>
      <c r="AH25" s="4">
        <f t="shared" si="1"/>
        <v>33.04</v>
      </c>
      <c r="AI25" s="4">
        <f t="shared" si="15"/>
        <v>25.680000000000014</v>
      </c>
      <c r="AJ25" s="4">
        <f t="shared" si="16"/>
        <v>27.400000000000002</v>
      </c>
      <c r="AK25" s="4">
        <f t="shared" si="2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69">
        <v>44</v>
      </c>
      <c r="C26" s="36" t="str">
        <f t="shared" si="11"/>
        <v>-45˚</v>
      </c>
      <c r="D26" s="37"/>
      <c r="E26" s="74">
        <v>45</v>
      </c>
      <c r="F26" s="75" t="str">
        <f t="shared" si="12"/>
        <v>+0˚</v>
      </c>
      <c r="G26" s="76"/>
      <c r="H26" s="74">
        <v>50</v>
      </c>
      <c r="I26" s="75" t="str">
        <f t="shared" si="13"/>
        <v>-45˚</v>
      </c>
      <c r="J26" s="76"/>
      <c r="K26" s="69">
        <v>45</v>
      </c>
      <c r="L26" s="36" t="str">
        <f t="shared" si="14"/>
        <v>+0˚</v>
      </c>
      <c r="M26" s="24"/>
      <c r="O26" s="56" t="str">
        <f t="shared" si="3"/>
        <v/>
      </c>
      <c r="P26" s="56" t="str">
        <f t="shared" si="4"/>
        <v/>
      </c>
      <c r="Q26" s="56">
        <f t="shared" si="5"/>
        <v>50</v>
      </c>
      <c r="R26" s="56">
        <f t="shared" si="6"/>
        <v>45</v>
      </c>
      <c r="S26" s="49"/>
      <c r="T26" s="43"/>
      <c r="V26" s="53">
        <f>B26-0.003</f>
        <v>43.997</v>
      </c>
      <c r="W26" s="53">
        <f>E26-0.003</f>
        <v>44.997</v>
      </c>
      <c r="X26" s="53">
        <f>H26-0.003</f>
        <v>49.997</v>
      </c>
      <c r="Y26" s="53">
        <f>K26-0.003</f>
        <v>44.997</v>
      </c>
      <c r="AA26" s="44" t="str">
        <f t="shared" si="7"/>
        <v/>
      </c>
      <c r="AB26" s="44" t="str">
        <f t="shared" si="8"/>
        <v/>
      </c>
      <c r="AC26" s="44">
        <f t="shared" si="9"/>
        <v>49.997</v>
      </c>
      <c r="AD26" s="44">
        <f t="shared" si="10"/>
        <v>44.997</v>
      </c>
      <c r="AF26" s="1">
        <v>27</v>
      </c>
      <c r="AG26" s="4">
        <f t="shared" si="0"/>
        <v>35.479999999999997</v>
      </c>
      <c r="AH26" s="4">
        <f t="shared" si="1"/>
        <v>34.65</v>
      </c>
      <c r="AI26" s="4">
        <f t="shared" si="15"/>
        <v>27.380000000000006</v>
      </c>
      <c r="AJ26" s="4">
        <f t="shared" si="16"/>
        <v>29.069999999999997</v>
      </c>
      <c r="AK26" s="4">
        <f t="shared" si="2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69">
        <v>44</v>
      </c>
      <c r="C27" s="36" t="str">
        <f t="shared" si="11"/>
        <v>-45˚</v>
      </c>
      <c r="D27" s="37"/>
      <c r="E27" s="74">
        <v>48</v>
      </c>
      <c r="F27" s="75" t="str">
        <f t="shared" si="12"/>
        <v>+0˚</v>
      </c>
      <c r="G27" s="76"/>
      <c r="H27" s="74">
        <v>39</v>
      </c>
      <c r="I27" s="75" t="str">
        <f t="shared" si="13"/>
        <v>-45˚</v>
      </c>
      <c r="J27" s="76"/>
      <c r="K27" s="69">
        <v>48</v>
      </c>
      <c r="L27" s="36" t="str">
        <f t="shared" si="14"/>
        <v>+0˚</v>
      </c>
      <c r="M27" s="24"/>
      <c r="O27" s="56" t="str">
        <f t="shared" si="3"/>
        <v/>
      </c>
      <c r="P27" s="56">
        <f t="shared" si="4"/>
        <v>48</v>
      </c>
      <c r="Q27" s="56" t="str">
        <f t="shared" si="5"/>
        <v/>
      </c>
      <c r="R27" s="56">
        <f t="shared" si="6"/>
        <v>48</v>
      </c>
      <c r="S27" s="49"/>
      <c r="T27" s="43"/>
      <c r="V27" s="53">
        <f>B27-0.002</f>
        <v>43.997999999999998</v>
      </c>
      <c r="W27" s="53">
        <f>E27-0.002</f>
        <v>47.997999999999998</v>
      </c>
      <c r="X27" s="53">
        <f>H27-0.002</f>
        <v>38.997999999999998</v>
      </c>
      <c r="Y27" s="53">
        <f>K27-0.002</f>
        <v>47.997999999999998</v>
      </c>
      <c r="AA27" s="44" t="str">
        <f t="shared" si="7"/>
        <v/>
      </c>
      <c r="AB27" s="44">
        <f t="shared" si="8"/>
        <v>47.997999999999998</v>
      </c>
      <c r="AC27" s="44" t="str">
        <f t="shared" si="9"/>
        <v/>
      </c>
      <c r="AD27" s="44">
        <f t="shared" si="10"/>
        <v>47.997999999999998</v>
      </c>
      <c r="AF27" s="1">
        <v>28</v>
      </c>
      <c r="AG27" s="4">
        <f t="shared" si="0"/>
        <v>37.15</v>
      </c>
      <c r="AH27" s="4">
        <f t="shared" si="1"/>
        <v>36.33</v>
      </c>
      <c r="AI27" s="4">
        <f t="shared" si="15"/>
        <v>29.150000000000009</v>
      </c>
      <c r="AJ27" s="4">
        <f t="shared" si="16"/>
        <v>30.81</v>
      </c>
      <c r="AK27" s="4">
        <f t="shared" si="2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69">
        <v>38</v>
      </c>
      <c r="C28" s="36" t="str">
        <f t="shared" si="11"/>
        <v>-45˚</v>
      </c>
      <c r="D28" s="37"/>
      <c r="E28" s="74">
        <v>52</v>
      </c>
      <c r="F28" s="75" t="str">
        <f t="shared" si="12"/>
        <v>+0˚</v>
      </c>
      <c r="G28" s="76"/>
      <c r="H28" s="74">
        <v>52</v>
      </c>
      <c r="I28" s="75" t="str">
        <f t="shared" si="13"/>
        <v>-45˚</v>
      </c>
      <c r="J28" s="76"/>
      <c r="K28" s="69">
        <v>44</v>
      </c>
      <c r="L28" s="36" t="str">
        <f t="shared" si="14"/>
        <v>+0˚</v>
      </c>
      <c r="M28" s="24"/>
      <c r="O28" s="56" t="str">
        <f t="shared" si="3"/>
        <v/>
      </c>
      <c r="P28" s="56">
        <f t="shared" si="4"/>
        <v>52</v>
      </c>
      <c r="Q28" s="56">
        <f t="shared" si="5"/>
        <v>52</v>
      </c>
      <c r="R28" s="56" t="str">
        <f t="shared" si="6"/>
        <v/>
      </c>
      <c r="S28" s="49"/>
      <c r="T28" s="43"/>
      <c r="V28" s="53">
        <f>B28-0.001</f>
        <v>37.999000000000002</v>
      </c>
      <c r="W28" s="53">
        <f>E28-0.001</f>
        <v>51.999000000000002</v>
      </c>
      <c r="X28" s="53">
        <f>H28-0.001</f>
        <v>51.999000000000002</v>
      </c>
      <c r="Y28" s="53">
        <f>K28-0.001</f>
        <v>43.999000000000002</v>
      </c>
      <c r="AA28" s="44" t="str">
        <f t="shared" si="7"/>
        <v/>
      </c>
      <c r="AB28" s="44">
        <f t="shared" si="8"/>
        <v>51.999000000000002</v>
      </c>
      <c r="AC28" s="44">
        <f t="shared" si="9"/>
        <v>51.999000000000002</v>
      </c>
      <c r="AD28" s="44" t="str">
        <f t="shared" si="10"/>
        <v/>
      </c>
      <c r="AF28" s="1">
        <v>29</v>
      </c>
      <c r="AG28" s="4">
        <f t="shared" si="0"/>
        <v>38.9</v>
      </c>
      <c r="AH28" s="4">
        <f t="shared" si="1"/>
        <v>38.089999999999996</v>
      </c>
      <c r="AI28" s="4">
        <f t="shared" si="15"/>
        <v>31.000000000000007</v>
      </c>
      <c r="AJ28" s="4">
        <f t="shared" si="16"/>
        <v>32.629999999999995</v>
      </c>
      <c r="AK28" s="4">
        <f t="shared" si="2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50</v>
      </c>
      <c r="P29" s="56">
        <f>ROUND(AVERAGE(P9:P28),0)</f>
        <v>51</v>
      </c>
      <c r="Q29" s="56">
        <f>ROUND(AVERAGE(Q9:Q28),0)</f>
        <v>50</v>
      </c>
      <c r="R29" s="56">
        <f>ROUND(AVERAGE(R9:R28),0)</f>
        <v>47</v>
      </c>
      <c r="S29" s="49"/>
      <c r="AA29" s="44" t="str">
        <f t="shared" si="7"/>
        <v/>
      </c>
      <c r="AB29" s="44" t="str">
        <f t="shared" si="8"/>
        <v/>
      </c>
      <c r="AC29" s="44" t="str">
        <f t="shared" si="9"/>
        <v/>
      </c>
      <c r="AF29" s="1">
        <v>30</v>
      </c>
      <c r="AG29" s="4">
        <f t="shared" si="0"/>
        <v>40.729999999999997</v>
      </c>
      <c r="AH29" s="4">
        <f t="shared" si="1"/>
        <v>39.93</v>
      </c>
      <c r="AI29" s="4">
        <f t="shared" si="15"/>
        <v>32.93</v>
      </c>
      <c r="AJ29" s="4">
        <f t="shared" si="16"/>
        <v>34.529999999999994</v>
      </c>
      <c r="AK29" s="4">
        <f t="shared" si="2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8"/>
        <v/>
      </c>
      <c r="AF30" s="1">
        <v>31</v>
      </c>
      <c r="AG30" s="4">
        <f t="shared" si="0"/>
        <v>42.65</v>
      </c>
      <c r="AH30" s="4">
        <f t="shared" si="1"/>
        <v>41.86</v>
      </c>
      <c r="AI30" s="4">
        <f t="shared" si="15"/>
        <v>34.97</v>
      </c>
      <c r="AJ30" s="4">
        <f t="shared" si="16"/>
        <v>36.54</v>
      </c>
      <c r="AK30" s="4">
        <f t="shared" si="2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0"/>
        <v>44.66</v>
      </c>
      <c r="AH31" s="4">
        <f t="shared" si="1"/>
        <v>43.879999999999995</v>
      </c>
      <c r="AI31" s="4">
        <f t="shared" si="15"/>
        <v>37.099999999999994</v>
      </c>
      <c r="AJ31" s="4">
        <f t="shared" si="16"/>
        <v>38.64</v>
      </c>
      <c r="AK31" s="4">
        <f t="shared" si="2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0"/>
        <v>46.77</v>
      </c>
      <c r="AH32" s="4">
        <f t="shared" si="1"/>
        <v>46</v>
      </c>
      <c r="AI32" s="4">
        <f t="shared" si="15"/>
        <v>39.330000000000005</v>
      </c>
      <c r="AJ32" s="4">
        <f t="shared" si="16"/>
        <v>40.840000000000003</v>
      </c>
      <c r="AK32" s="4">
        <f t="shared" si="2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0"/>
        <v>48.97</v>
      </c>
      <c r="AH33" s="4">
        <f t="shared" si="1"/>
        <v>48.21</v>
      </c>
      <c r="AI33" s="4">
        <f t="shared" si="15"/>
        <v>41.65</v>
      </c>
      <c r="AJ33" s="4">
        <f t="shared" si="16"/>
        <v>43.129999999999995</v>
      </c>
      <c r="AK33" s="4">
        <f t="shared" si="2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50</v>
      </c>
      <c r="C34" s="36" t="str">
        <f>$C$9</f>
        <v>-45˚</v>
      </c>
      <c r="D34" s="54">
        <f>ROUND(INDEX($AG$9:$AK$60,MATCH(B34,$AF$9:$AF$59,0),MATCH(C34,$AG$8:$AK$8,0)),1)</f>
        <v>101.7</v>
      </c>
      <c r="E34" s="15">
        <f>P29</f>
        <v>51</v>
      </c>
      <c r="F34" s="32" t="str">
        <f>$F$9</f>
        <v>+0˚</v>
      </c>
      <c r="G34" s="54">
        <f>ROUND(INDEX($AG$9:$AK$60,MATCH(E34,$AF$9:$AF$59,0),MATCH(F34,$AG$8:$AK$8,0)),1)</f>
        <v>105</v>
      </c>
      <c r="H34" s="15">
        <f>Q29</f>
        <v>50</v>
      </c>
      <c r="I34" s="32" t="str">
        <f>$I$9</f>
        <v>-45˚</v>
      </c>
      <c r="J34" s="54">
        <f>ROUND(INDEX($AG$9:$AK$60,MATCH(H34,$AF$9:$AF$59,0),MATCH(I34,$AG$8:$AK$8,0)),1)</f>
        <v>101.7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44"/>
      <c r="S34" s="49"/>
      <c r="AF34" s="1">
        <v>35</v>
      </c>
      <c r="AG34" s="4">
        <f t="shared" si="0"/>
        <v>51.28</v>
      </c>
      <c r="AH34" s="4">
        <f t="shared" si="1"/>
        <v>50.53</v>
      </c>
      <c r="AI34" s="4">
        <f t="shared" si="15"/>
        <v>44.08</v>
      </c>
      <c r="AJ34" s="4">
        <f t="shared" si="16"/>
        <v>45.53</v>
      </c>
      <c r="AK34" s="4">
        <f t="shared" si="2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05" t="str">
        <f>IF(D34&lt;=50,"CW",IF(D34&lt;=85,"HW",IF(D34&lt;=115,"MW",IF(D34&lt;=145,"SW","F"))))</f>
        <v>MW</v>
      </c>
      <c r="C35" s="105"/>
      <c r="D35" s="106"/>
      <c r="E35" s="105" t="str">
        <f>IF(G34&lt;=50,"CW",IF(G34&lt;=85,"HW",IF(G34&lt;=115,"MW",IF(G34&lt;=145,"SW","F"))))</f>
        <v>MW</v>
      </c>
      <c r="F35" s="105"/>
      <c r="G35" s="106"/>
      <c r="H35" s="105" t="str">
        <f>IF(J34&lt;=50,"CW",IF(J34&lt;=85,"HW",IF(J34&lt;=115,"MW",IF(J34&lt;=145,"SW","F"))))</f>
        <v>MW</v>
      </c>
      <c r="I35" s="105"/>
      <c r="J35" s="106"/>
      <c r="K35" s="105" t="str">
        <f>IF(M34&lt;=50,"CW",IF(M34&lt;=85,"HW",IF(M34&lt;=115,"MW",IF(M34&lt;=145,"SW","F"))))</f>
        <v>MW</v>
      </c>
      <c r="L35" s="105"/>
      <c r="M35" s="107"/>
      <c r="O35" s="44"/>
      <c r="P35" s="44"/>
      <c r="Q35" s="44"/>
      <c r="R35" s="44"/>
      <c r="S35" s="49"/>
      <c r="AF35" s="1">
        <v>36</v>
      </c>
      <c r="AG35" s="4">
        <f t="shared" si="0"/>
        <v>53.7</v>
      </c>
      <c r="AH35" s="4">
        <f t="shared" si="1"/>
        <v>52.96</v>
      </c>
      <c r="AI35" s="4">
        <f t="shared" si="15"/>
        <v>46.620000000000005</v>
      </c>
      <c r="AJ35" s="4">
        <f t="shared" si="16"/>
        <v>48.040000000000006</v>
      </c>
      <c r="AK35" s="4">
        <f t="shared" si="2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보통암</v>
      </c>
      <c r="G36" s="1" t="str">
        <f>IF(G34&lt;70,"풍화암",IF(G34&lt;100,"연암",IF(G34&lt;130,"보통암",IF(G34&lt;160,"경암","극경암"))))</f>
        <v>보통암</v>
      </c>
      <c r="J36" s="1" t="str">
        <f>IF(J34&lt;70,"풍화암",IF(J34&lt;100,"연암",IF(J34&lt;130,"보통암",IF(J34&lt;160,"경암","극경암"))))</f>
        <v>보통암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0"/>
        <v>56.23</v>
      </c>
      <c r="AH36" s="4">
        <f t="shared" si="1"/>
        <v>55.499999999999993</v>
      </c>
      <c r="AI36" s="4">
        <f t="shared" si="15"/>
        <v>49.269999999999996</v>
      </c>
      <c r="AJ36" s="4">
        <f t="shared" si="16"/>
        <v>50.66</v>
      </c>
      <c r="AK36" s="4">
        <f t="shared" si="2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04"/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AF37" s="1">
        <v>38</v>
      </c>
      <c r="AG37" s="4">
        <f t="shared" si="0"/>
        <v>58.88</v>
      </c>
      <c r="AH37" s="4">
        <f t="shared" si="1"/>
        <v>58.160000000000004</v>
      </c>
      <c r="AI37" s="4">
        <f t="shared" si="15"/>
        <v>52.040000000000006</v>
      </c>
      <c r="AJ37" s="4">
        <f t="shared" si="16"/>
        <v>53.400000000000006</v>
      </c>
      <c r="AK37" s="4">
        <f t="shared" si="2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0"/>
        <v>61.65</v>
      </c>
      <c r="AH38" s="4">
        <f t="shared" si="1"/>
        <v>60.94</v>
      </c>
      <c r="AI38" s="4">
        <f t="shared" si="15"/>
        <v>54.93</v>
      </c>
      <c r="AJ38" s="4">
        <f t="shared" si="16"/>
        <v>56.260000000000005</v>
      </c>
      <c r="AK38" s="4">
        <f t="shared" si="2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x14ac:dyDescent="0.15">
      <c r="A39" s="2"/>
      <c r="AF39" s="1">
        <v>40</v>
      </c>
      <c r="AG39" s="4">
        <f t="shared" si="0"/>
        <v>64.56</v>
      </c>
      <c r="AH39" s="4">
        <f t="shared" si="1"/>
        <v>63.86</v>
      </c>
      <c r="AI39" s="4">
        <f t="shared" si="15"/>
        <v>57.96</v>
      </c>
      <c r="AJ39" s="4">
        <f t="shared" si="16"/>
        <v>59.260000000000005</v>
      </c>
      <c r="AK39" s="4">
        <f t="shared" si="2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0"/>
        <v>67.599999999999994</v>
      </c>
      <c r="AH40" s="4">
        <f t="shared" si="1"/>
        <v>66.91</v>
      </c>
      <c r="AI40" s="4">
        <f t="shared" si="15"/>
        <v>61.129999999999995</v>
      </c>
      <c r="AJ40" s="4">
        <f t="shared" si="16"/>
        <v>62.399999999999991</v>
      </c>
      <c r="AK40" s="4">
        <f t="shared" si="2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ref="AG41:AG59" si="17">ROUNDDOWN(10^(0.0008*$P$5*$AF41+1.01),2)</f>
        <v>70.790000000000006</v>
      </c>
      <c r="AH41" s="43">
        <f t="shared" ref="AH41:AH59" si="18">$AG41+AM41</f>
        <v>70.11</v>
      </c>
      <c r="AI41" s="4">
        <f t="shared" si="15"/>
        <v>64.45</v>
      </c>
      <c r="AJ41" s="4">
        <f t="shared" si="16"/>
        <v>65.690000000000012</v>
      </c>
      <c r="AK41" s="4">
        <f t="shared" ref="AK41:AK59" si="19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17"/>
        <v>74.13</v>
      </c>
      <c r="AH42" s="43">
        <f t="shared" si="18"/>
        <v>73.459999999999994</v>
      </c>
      <c r="AI42" s="4">
        <f t="shared" si="15"/>
        <v>67.92</v>
      </c>
      <c r="AJ42" s="4">
        <f t="shared" si="16"/>
        <v>69.13</v>
      </c>
      <c r="AK42" s="43">
        <f t="shared" si="19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17"/>
        <v>77.62</v>
      </c>
      <c r="AH43" s="43">
        <f t="shared" si="18"/>
        <v>76.960000000000008</v>
      </c>
      <c r="AI43" s="43">
        <f t="shared" si="15"/>
        <v>71.540000000000006</v>
      </c>
      <c r="AJ43" s="43">
        <f t="shared" si="16"/>
        <v>72.72</v>
      </c>
      <c r="AK43" s="43">
        <f t="shared" si="19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17"/>
        <v>81.28</v>
      </c>
      <c r="AH44" s="43">
        <f t="shared" si="18"/>
        <v>80.63</v>
      </c>
      <c r="AI44" s="43">
        <f t="shared" si="15"/>
        <v>75.33</v>
      </c>
      <c r="AJ44" s="43">
        <f t="shared" si="16"/>
        <v>76.48</v>
      </c>
      <c r="AK44" s="43">
        <f t="shared" si="19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17"/>
        <v>85.11</v>
      </c>
      <c r="AH45" s="43">
        <f t="shared" si="18"/>
        <v>84.47</v>
      </c>
      <c r="AI45" s="43">
        <f t="shared" si="15"/>
        <v>79.289999999999992</v>
      </c>
      <c r="AJ45" s="43">
        <f t="shared" si="16"/>
        <v>80.41</v>
      </c>
      <c r="AK45" s="43">
        <f t="shared" si="19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04"/>
      <c r="B46" s="104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AF46" s="1">
        <v>47</v>
      </c>
      <c r="AG46" s="43">
        <f t="shared" si="17"/>
        <v>89.12</v>
      </c>
      <c r="AH46" s="43">
        <f t="shared" si="18"/>
        <v>88.490000000000009</v>
      </c>
      <c r="AI46" s="43">
        <f t="shared" si="15"/>
        <v>83.43</v>
      </c>
      <c r="AJ46" s="43">
        <f t="shared" si="16"/>
        <v>84.52000000000001</v>
      </c>
      <c r="AK46" s="43">
        <f t="shared" si="19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04"/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AF47" s="1">
        <v>48</v>
      </c>
      <c r="AG47" s="43">
        <f t="shared" si="17"/>
        <v>93.32</v>
      </c>
      <c r="AH47" s="43">
        <f t="shared" si="18"/>
        <v>92.699999999999989</v>
      </c>
      <c r="AI47" s="43">
        <f t="shared" si="15"/>
        <v>87.759999999999991</v>
      </c>
      <c r="AJ47" s="43">
        <f t="shared" si="16"/>
        <v>88.82</v>
      </c>
      <c r="AK47" s="43">
        <f t="shared" si="19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17"/>
        <v>97.72</v>
      </c>
      <c r="AH48" s="43">
        <f t="shared" si="18"/>
        <v>97.11</v>
      </c>
      <c r="AI48" s="43">
        <f t="shared" si="15"/>
        <v>92.289999999999992</v>
      </c>
      <c r="AJ48" s="43">
        <f t="shared" si="16"/>
        <v>93.32</v>
      </c>
      <c r="AK48" s="43">
        <f t="shared" si="19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17"/>
        <v>102.32</v>
      </c>
      <c r="AH49" s="61">
        <f t="shared" si="18"/>
        <v>101.72</v>
      </c>
      <c r="AI49" s="43">
        <f t="shared" si="15"/>
        <v>97.02</v>
      </c>
      <c r="AJ49" s="43">
        <f t="shared" si="16"/>
        <v>98.02</v>
      </c>
      <c r="AK49" s="61">
        <f t="shared" si="19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17"/>
        <v>107.15</v>
      </c>
      <c r="AH50" s="61">
        <f t="shared" si="18"/>
        <v>106.57000000000001</v>
      </c>
      <c r="AI50" s="61">
        <f t="shared" si="15"/>
        <v>101.98</v>
      </c>
      <c r="AJ50" s="61">
        <f t="shared" si="16"/>
        <v>102.95</v>
      </c>
      <c r="AK50" s="61">
        <f t="shared" si="19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17"/>
        <v>112.2</v>
      </c>
      <c r="AH51" s="61">
        <f t="shared" si="18"/>
        <v>111.64</v>
      </c>
      <c r="AI51" s="61">
        <f t="shared" si="15"/>
        <v>107.16</v>
      </c>
      <c r="AJ51" s="61">
        <f t="shared" si="16"/>
        <v>108.10000000000001</v>
      </c>
      <c r="AK51" s="61">
        <f t="shared" si="19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17"/>
        <v>117.48</v>
      </c>
      <c r="AH52" s="61">
        <f t="shared" si="18"/>
        <v>116.94</v>
      </c>
      <c r="AI52" s="61">
        <f t="shared" si="15"/>
        <v>112.57000000000001</v>
      </c>
      <c r="AJ52" s="61">
        <f t="shared" si="16"/>
        <v>113.48</v>
      </c>
      <c r="AK52" s="61">
        <f t="shared" si="19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17"/>
        <v>123.02</v>
      </c>
      <c r="AH53" s="61">
        <f t="shared" si="18"/>
        <v>122.5</v>
      </c>
      <c r="AI53" s="61">
        <f t="shared" si="15"/>
        <v>118.24</v>
      </c>
      <c r="AJ53" s="61">
        <f t="shared" si="16"/>
        <v>119.11999999999999</v>
      </c>
      <c r="AK53" s="61">
        <f t="shared" si="19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17"/>
        <v>128.82</v>
      </c>
      <c r="AH54" s="61">
        <f t="shared" si="18"/>
        <v>128.32</v>
      </c>
      <c r="AI54" s="61">
        <f t="shared" si="15"/>
        <v>124.16999999999999</v>
      </c>
      <c r="AJ54" s="61">
        <f t="shared" si="16"/>
        <v>125.02</v>
      </c>
      <c r="AK54" s="61">
        <f t="shared" si="19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17"/>
        <v>134.88999999999999</v>
      </c>
      <c r="AH55" s="62">
        <f t="shared" si="18"/>
        <v>134.41</v>
      </c>
      <c r="AI55" s="62">
        <f t="shared" si="15"/>
        <v>130.36999999999998</v>
      </c>
      <c r="AJ55" s="62">
        <f t="shared" si="16"/>
        <v>131.19</v>
      </c>
      <c r="AK55" s="62">
        <f t="shared" si="19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17"/>
        <v>141.25</v>
      </c>
      <c r="AH56" s="62">
        <f t="shared" si="18"/>
        <v>140.79</v>
      </c>
      <c r="AI56" s="62">
        <f t="shared" si="15"/>
        <v>136.86000000000001</v>
      </c>
      <c r="AJ56" s="62">
        <f t="shared" si="16"/>
        <v>137.65</v>
      </c>
      <c r="AK56" s="62">
        <f t="shared" si="19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7"/>
        <v>147.91</v>
      </c>
      <c r="AH57" s="62">
        <f t="shared" si="18"/>
        <v>147.47</v>
      </c>
      <c r="AI57" s="62">
        <f t="shared" si="15"/>
        <v>143.65</v>
      </c>
      <c r="AJ57" s="62">
        <f t="shared" si="16"/>
        <v>144.41</v>
      </c>
      <c r="AK57" s="62">
        <f t="shared" si="19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56</v>
      </c>
      <c r="C58" s="39">
        <f>B10</f>
        <v>54</v>
      </c>
      <c r="D58" s="39">
        <f>B11</f>
        <v>50</v>
      </c>
      <c r="E58" s="39">
        <f>B12</f>
        <v>50</v>
      </c>
      <c r="F58" s="40" t="str">
        <f>IF(U1="좌",IF(C34="-90˚","↓",IF(C34="-45˚","↙",IF(C34="+0˚","←",IF(C34="45˚","↖",IF(C34="90˚","↑","?"))))),IF(C34="-90˚","↓",IF(C34="-45˚","↘",IF(C34="+0˚","→",IF(C34="45˚","↗",IF(C34="90˚","↑","?"))))))</f>
        <v>↘</v>
      </c>
      <c r="G58" s="41">
        <f>B34</f>
        <v>50</v>
      </c>
      <c r="H58" s="1">
        <f>$P$5</f>
        <v>25</v>
      </c>
      <c r="I58" s="59">
        <f>D34</f>
        <v>101.7</v>
      </c>
      <c r="J58" s="1" t="str">
        <f>D36</f>
        <v>보통암</v>
      </c>
      <c r="AF58" s="1">
        <v>59</v>
      </c>
      <c r="AG58" s="62">
        <f t="shared" si="17"/>
        <v>154.88</v>
      </c>
      <c r="AH58" s="62">
        <f t="shared" si="18"/>
        <v>154.46</v>
      </c>
      <c r="AI58" s="62">
        <f t="shared" si="15"/>
        <v>150.75</v>
      </c>
      <c r="AJ58" s="62">
        <f t="shared" si="16"/>
        <v>151.47999999999999</v>
      </c>
      <c r="AK58" s="62">
        <f t="shared" si="19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42</v>
      </c>
      <c r="C59" s="39">
        <f>B14</f>
        <v>50</v>
      </c>
      <c r="D59" s="39">
        <f>B15</f>
        <v>50</v>
      </c>
      <c r="E59" s="39">
        <f>B16</f>
        <v>48</v>
      </c>
      <c r="AF59" s="1">
        <v>60</v>
      </c>
      <c r="AG59" s="4">
        <f t="shared" si="17"/>
        <v>162.18</v>
      </c>
      <c r="AH59" s="4">
        <f t="shared" si="18"/>
        <v>161.78</v>
      </c>
      <c r="AI59" s="62">
        <f t="shared" si="15"/>
        <v>158.18</v>
      </c>
      <c r="AJ59" s="62">
        <f t="shared" si="16"/>
        <v>158.88</v>
      </c>
      <c r="AK59" s="44">
        <f t="shared" si="19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48</v>
      </c>
      <c r="C60" s="39">
        <f>B18</f>
        <v>42</v>
      </c>
      <c r="D60" s="39">
        <f>B19</f>
        <v>48</v>
      </c>
      <c r="E60" s="39">
        <f>B20</f>
        <v>48</v>
      </c>
    </row>
    <row r="61" spans="1:42" x14ac:dyDescent="0.15">
      <c r="B61" s="38">
        <f>B21</f>
        <v>46</v>
      </c>
      <c r="C61" s="39">
        <f>B22</f>
        <v>46</v>
      </c>
      <c r="D61" s="39">
        <f>B23</f>
        <v>40</v>
      </c>
      <c r="E61" s="39">
        <f>B24</f>
        <v>46</v>
      </c>
    </row>
    <row r="62" spans="1:42" x14ac:dyDescent="0.15">
      <c r="B62" s="38">
        <f>B25</f>
        <v>46</v>
      </c>
      <c r="C62" s="39">
        <f>B26</f>
        <v>44</v>
      </c>
      <c r="D62" s="39">
        <f>B27</f>
        <v>44</v>
      </c>
      <c r="E62" s="39">
        <f>B28</f>
        <v>38</v>
      </c>
      <c r="O62" s="45"/>
    </row>
    <row r="63" spans="1:42" ht="20.25" x14ac:dyDescent="0.25">
      <c r="A63" s="60">
        <v>2</v>
      </c>
      <c r="B63" s="38">
        <f>E9</f>
        <v>52</v>
      </c>
      <c r="C63" s="39">
        <f>E10</f>
        <v>50</v>
      </c>
      <c r="D63" s="39">
        <f>E11</f>
        <v>46</v>
      </c>
      <c r="E63" s="39">
        <f>E12</f>
        <v>47</v>
      </c>
      <c r="F63" s="40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51</v>
      </c>
      <c r="H63" s="1">
        <f>$P$5</f>
        <v>25</v>
      </c>
      <c r="I63" s="59">
        <f>G34</f>
        <v>105</v>
      </c>
      <c r="J63" s="1" t="str">
        <f>G36</f>
        <v>보통암</v>
      </c>
    </row>
    <row r="64" spans="1:42" x14ac:dyDescent="0.15">
      <c r="B64" s="38">
        <f>E13</f>
        <v>53</v>
      </c>
      <c r="C64" s="39">
        <f>E14</f>
        <v>47</v>
      </c>
      <c r="D64" s="39">
        <f>E15</f>
        <v>50</v>
      </c>
      <c r="E64" s="39">
        <f>E16</f>
        <v>48</v>
      </c>
    </row>
    <row r="65" spans="1:10" x14ac:dyDescent="0.15">
      <c r="B65" s="38">
        <f>E17</f>
        <v>45</v>
      </c>
      <c r="C65" s="39">
        <f>E18</f>
        <v>43</v>
      </c>
      <c r="D65" s="39">
        <f>E19</f>
        <v>54</v>
      </c>
      <c r="E65" s="39">
        <f>E20</f>
        <v>45</v>
      </c>
    </row>
    <row r="66" spans="1:10" x14ac:dyDescent="0.15">
      <c r="B66" s="38">
        <f>E21</f>
        <v>50</v>
      </c>
      <c r="C66" s="39">
        <f>E22</f>
        <v>51</v>
      </c>
      <c r="D66" s="39">
        <f>E23</f>
        <v>47</v>
      </c>
      <c r="E66" s="39">
        <f>E24</f>
        <v>48</v>
      </c>
    </row>
    <row r="67" spans="1:10" x14ac:dyDescent="0.15">
      <c r="B67" s="38">
        <f>E25</f>
        <v>50</v>
      </c>
      <c r="C67" s="39">
        <f>E26</f>
        <v>45</v>
      </c>
      <c r="D67" s="39">
        <f>E27</f>
        <v>48</v>
      </c>
      <c r="E67" s="39">
        <f>E28</f>
        <v>52</v>
      </c>
    </row>
    <row r="68" spans="1:10" ht="20.25" x14ac:dyDescent="0.25">
      <c r="A68" s="60">
        <v>3</v>
      </c>
      <c r="B68" s="38">
        <f>H9</f>
        <v>54</v>
      </c>
      <c r="C68" s="39">
        <f>H10</f>
        <v>48</v>
      </c>
      <c r="D68" s="39">
        <f>H11</f>
        <v>41</v>
      </c>
      <c r="E68" s="39">
        <f>H12</f>
        <v>47</v>
      </c>
      <c r="F68" s="40" t="str">
        <f>IF(U3="좌",IF(I34="-90˚","↓",IF(I34="-45˚","↙",IF(I34="+0˚","←",IF(I34="45˚","↖",IF(I34="90˚","↑","?"))))),IF(I34="-90˚","↓",IF(I34="-45˚","↘",IF(I34="+0˚","→",IF(I34="45˚","↗",IF(I34="90˚","↑","?"))))))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41">
        <f>H34</f>
        <v>50</v>
      </c>
      <c r="H68" s="1">
        <f>$P$5</f>
        <v>25</v>
      </c>
      <c r="I68" s="59">
        <f>J34</f>
        <v>101.7</v>
      </c>
      <c r="J68" s="1" t="str">
        <f>J36</f>
        <v>보통암</v>
      </c>
    </row>
    <row r="69" spans="1:10" x14ac:dyDescent="0.15">
      <c r="B69" s="38">
        <f>H13</f>
        <v>52</v>
      </c>
      <c r="C69" s="39">
        <f>H14</f>
        <v>47</v>
      </c>
      <c r="D69" s="39">
        <f>H15</f>
        <v>50</v>
      </c>
      <c r="E69" s="39">
        <f>H16</f>
        <v>46</v>
      </c>
    </row>
    <row r="70" spans="1:10" x14ac:dyDescent="0.15">
      <c r="B70" s="38">
        <f>H17</f>
        <v>45</v>
      </c>
      <c r="C70" s="39">
        <f>H18</f>
        <v>49</v>
      </c>
      <c r="D70" s="39">
        <f>H19</f>
        <v>44</v>
      </c>
      <c r="E70" s="39">
        <f>H20</f>
        <v>50</v>
      </c>
    </row>
    <row r="71" spans="1:10" x14ac:dyDescent="0.15">
      <c r="B71" s="38">
        <f>H21</f>
        <v>43</v>
      </c>
      <c r="C71" s="39">
        <f>H22</f>
        <v>51</v>
      </c>
      <c r="D71" s="39">
        <f>H23</f>
        <v>35</v>
      </c>
      <c r="E71" s="39">
        <f>H24</f>
        <v>43</v>
      </c>
    </row>
    <row r="72" spans="1:10" x14ac:dyDescent="0.15">
      <c r="B72" s="38">
        <f>H25</f>
        <v>43</v>
      </c>
      <c r="C72" s="39">
        <f>H26</f>
        <v>50</v>
      </c>
      <c r="D72" s="39">
        <f>H27</f>
        <v>39</v>
      </c>
      <c r="E72" s="39">
        <f>H28</f>
        <v>52</v>
      </c>
    </row>
    <row r="73" spans="1:10" ht="20.25" x14ac:dyDescent="0.25">
      <c r="A73" s="60">
        <v>4</v>
      </c>
      <c r="B73" s="38">
        <f>K9</f>
        <v>49</v>
      </c>
      <c r="C73" s="39">
        <f>K10</f>
        <v>50</v>
      </c>
      <c r="D73" s="39">
        <f>K11</f>
        <v>46</v>
      </c>
      <c r="E73" s="39">
        <f>K12</f>
        <v>47</v>
      </c>
      <c r="F73" s="40" t="str">
        <f>IF(U4="좌",IF(L34="-90˚","↓",IF(L34="-45˚","↙",IF(L34="+0˚","←",IF(L34="45˚","↖",IF(L34="90˚","↑","?"))))),IF(L34="-90˚","↓",IF(L34="-45˚","↘",IF(L34="+0˚","→",IF(L34="45˚","↗",IF(L34="90˚","↑","?"))))))</f>
        <v>→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M36</f>
        <v>연암</v>
      </c>
    </row>
    <row r="74" spans="1:10" x14ac:dyDescent="0.15">
      <c r="B74" s="38">
        <f>K13</f>
        <v>45</v>
      </c>
      <c r="C74" s="39">
        <f>K14</f>
        <v>47</v>
      </c>
      <c r="D74" s="39">
        <f>K15</f>
        <v>42</v>
      </c>
      <c r="E74" s="39">
        <f>K16</f>
        <v>43</v>
      </c>
    </row>
    <row r="75" spans="1:10" x14ac:dyDescent="0.15">
      <c r="B75" s="38">
        <f>K17</f>
        <v>45</v>
      </c>
      <c r="C75" s="39">
        <f>K18</f>
        <v>43</v>
      </c>
      <c r="D75" s="39">
        <f>K19</f>
        <v>43</v>
      </c>
      <c r="E75" s="39">
        <f>K20</f>
        <v>45</v>
      </c>
    </row>
    <row r="76" spans="1:10" x14ac:dyDescent="0.15">
      <c r="B76" s="38">
        <f>K21</f>
        <v>43</v>
      </c>
      <c r="C76" s="39">
        <f>K22</f>
        <v>42</v>
      </c>
      <c r="D76" s="39">
        <f>K23</f>
        <v>47</v>
      </c>
      <c r="E76" s="39">
        <f>K24</f>
        <v>48</v>
      </c>
    </row>
    <row r="77" spans="1:10" x14ac:dyDescent="0.15">
      <c r="B77" s="38">
        <f>K25</f>
        <v>44</v>
      </c>
      <c r="C77" s="39">
        <f>K26</f>
        <v>45</v>
      </c>
      <c r="D77" s="39">
        <f>K27</f>
        <v>48</v>
      </c>
      <c r="E77" s="39">
        <f>K28</f>
        <v>44</v>
      </c>
    </row>
  </sheetData>
  <mergeCells count="17">
    <mergeCell ref="A1:M2"/>
    <mergeCell ref="A3:M3"/>
    <mergeCell ref="N3:O3"/>
    <mergeCell ref="P3:Q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2" type="noConversion"/>
  <dataValidations count="2">
    <dataValidation type="list" allowBlank="1" showInputMessage="1" showErrorMessage="1" sqref="C9 F9 I9 L9" xr:uid="{00000000-0002-0000-0000-000000000000}">
      <formula1>$AG$8:$AK$8</formula1>
    </dataValidation>
    <dataValidation type="list" allowBlank="1" showInputMessage="1" showErrorMessage="1" sqref="U1:U4" xr:uid="{00000000-0002-0000-0000-00000100000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P77"/>
  <sheetViews>
    <sheetView view="pageBreakPreview" topLeftCell="A28" zoomScale="85" zoomScaleSheetLayoutView="85" workbookViewId="0">
      <selection activeCell="F74" sqref="F74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14" t="s">
        <v>15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6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17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9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20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2"/>
      <c r="N3" s="123"/>
      <c r="O3" s="104"/>
      <c r="P3" s="123"/>
      <c r="Q3" s="104"/>
      <c r="R3" s="63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24" t="str">
        <f>'A-B'!$A$4</f>
        <v>* 사면명 : 39. 중부내륙선 232.430k(창원)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6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10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11" t="s">
        <v>86</v>
      </c>
      <c r="C7" s="111"/>
      <c r="D7" s="112"/>
      <c r="E7" s="111" t="s">
        <v>87</v>
      </c>
      <c r="F7" s="111"/>
      <c r="G7" s="112"/>
      <c r="H7" s="111" t="s">
        <v>82</v>
      </c>
      <c r="I7" s="111"/>
      <c r="J7" s="112"/>
      <c r="K7" s="111" t="s">
        <v>88</v>
      </c>
      <c r="L7" s="111"/>
      <c r="M7" s="112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71">
        <v>40</v>
      </c>
      <c r="C9" s="34" t="s">
        <v>27</v>
      </c>
      <c r="D9" s="35"/>
      <c r="E9" s="68">
        <v>46</v>
      </c>
      <c r="F9" s="34" t="s">
        <v>29</v>
      </c>
      <c r="G9" s="22"/>
      <c r="H9" s="68">
        <v>48</v>
      </c>
      <c r="I9" s="34" t="s">
        <v>29</v>
      </c>
      <c r="J9" s="22"/>
      <c r="K9" s="68">
        <v>46</v>
      </c>
      <c r="L9" s="34" t="s">
        <v>29</v>
      </c>
      <c r="M9" s="30"/>
      <c r="N9" s="6"/>
      <c r="O9" s="56" t="str">
        <f t="shared" ref="O9:O28" si="0">IF(AA9="","",ROUND(AA9,0))</f>
        <v/>
      </c>
      <c r="P9" s="56">
        <f t="shared" ref="P9:R24" si="1">IF(AB9="","",ROUND(AB9,0))</f>
        <v>46</v>
      </c>
      <c r="Q9" s="56">
        <f t="shared" si="1"/>
        <v>48</v>
      </c>
      <c r="R9" s="56">
        <f t="shared" si="1"/>
        <v>46</v>
      </c>
      <c r="S9" s="49"/>
      <c r="T9" s="43"/>
      <c r="V9" s="53">
        <f>B9-0.02</f>
        <v>39.979999999999997</v>
      </c>
      <c r="W9" s="53">
        <f>E9-0.02</f>
        <v>45.98</v>
      </c>
      <c r="X9" s="53">
        <f>H9-0.02</f>
        <v>47.98</v>
      </c>
      <c r="Y9" s="53">
        <f>K9-0.02</f>
        <v>45.98</v>
      </c>
      <c r="AA9" s="44" t="str">
        <f>IF(V9&gt;=LARGE($V$9:$V$28,10),V9,"")</f>
        <v/>
      </c>
      <c r="AB9" s="44">
        <f>IF(W9&gt;=LARGE($W$9:$W$28,10),W9,"")</f>
        <v>45.98</v>
      </c>
      <c r="AC9" s="44">
        <f>IF(X9&gt;=LARGE($X$9:$X$28,10),X9,"")</f>
        <v>47.98</v>
      </c>
      <c r="AD9" s="44">
        <f>IF(Y9&gt;=LARGE($Y$9:$Y$28,10),Y9,"")</f>
        <v>45.98</v>
      </c>
      <c r="AF9" s="1">
        <v>10</v>
      </c>
      <c r="AG9" s="4">
        <f t="shared" ref="AG9:AG40" si="2">ROUNDDOWN(10^(0.0008*$P$5*$AF9+1.01),2)</f>
        <v>16.21</v>
      </c>
      <c r="AH9" s="4">
        <f t="shared" ref="AH9:AH40" si="3">$AG9+AM9</f>
        <v>15.41</v>
      </c>
      <c r="AI9" s="4" t="s">
        <v>34</v>
      </c>
      <c r="AJ9" s="4" t="s">
        <v>34</v>
      </c>
      <c r="AK9" s="4">
        <f t="shared" ref="AK9:AK40" si="4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74">
        <v>52</v>
      </c>
      <c r="C10" s="36" t="str">
        <f>$C$9</f>
        <v>-45˚</v>
      </c>
      <c r="D10" s="37"/>
      <c r="E10" s="69">
        <v>46</v>
      </c>
      <c r="F10" s="36" t="str">
        <f>$F$9</f>
        <v>+0˚</v>
      </c>
      <c r="G10" s="23"/>
      <c r="H10" s="69">
        <v>48</v>
      </c>
      <c r="I10" s="36" t="str">
        <f>$I$9</f>
        <v>+0˚</v>
      </c>
      <c r="J10" s="23"/>
      <c r="K10" s="69">
        <v>45</v>
      </c>
      <c r="L10" s="36" t="str">
        <f>$L$9</f>
        <v>+0˚</v>
      </c>
      <c r="M10" s="24"/>
      <c r="N10" s="6"/>
      <c r="O10" s="56">
        <f t="shared" si="0"/>
        <v>52</v>
      </c>
      <c r="P10" s="56">
        <f t="shared" si="1"/>
        <v>46</v>
      </c>
      <c r="Q10" s="56">
        <f t="shared" si="1"/>
        <v>48</v>
      </c>
      <c r="R10" s="56" t="str">
        <f t="shared" si="1"/>
        <v/>
      </c>
      <c r="S10" s="49"/>
      <c r="T10" s="43"/>
      <c r="V10" s="53">
        <f>B10-0.019</f>
        <v>51.981000000000002</v>
      </c>
      <c r="W10" s="53">
        <f>E10-0.019</f>
        <v>45.981000000000002</v>
      </c>
      <c r="X10" s="53">
        <f>H10-0.019</f>
        <v>47.981000000000002</v>
      </c>
      <c r="Y10" s="53">
        <f>K10-0.019</f>
        <v>44.981000000000002</v>
      </c>
      <c r="AA10" s="44">
        <f t="shared" ref="AA10:AA29" si="5">IF(V10&gt;=LARGE($V$9:$V$28,10),V10,"")</f>
        <v>51.981000000000002</v>
      </c>
      <c r="AB10" s="44">
        <f t="shared" ref="AB10:AB30" si="6">IF(W10&gt;=LARGE($W$9:$W$28,10),W10,"")</f>
        <v>45.981000000000002</v>
      </c>
      <c r="AC10" s="44">
        <f t="shared" ref="AC10:AC29" si="7">IF(X10&gt;=LARGE($X$9:$X$28,10),X10,"")</f>
        <v>47.981000000000002</v>
      </c>
      <c r="AD10" s="44" t="str">
        <f t="shared" ref="AD10:AD28" si="8">IF(Y10&gt;=LARGE($Y$9:$Y$28,10),Y10,"")</f>
        <v/>
      </c>
      <c r="AF10" s="1">
        <v>11</v>
      </c>
      <c r="AG10" s="4">
        <f t="shared" si="2"/>
        <v>16.98</v>
      </c>
      <c r="AH10" s="4">
        <f t="shared" si="3"/>
        <v>16.170000000000002</v>
      </c>
      <c r="AI10" s="4" t="s">
        <v>34</v>
      </c>
      <c r="AJ10" s="4" t="s">
        <v>34</v>
      </c>
      <c r="AK10" s="4">
        <f t="shared" si="4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74">
        <v>48</v>
      </c>
      <c r="C11" s="36" t="str">
        <f t="shared" ref="C11:C28" si="9">$C$9</f>
        <v>-45˚</v>
      </c>
      <c r="D11" s="37"/>
      <c r="E11" s="69">
        <v>42</v>
      </c>
      <c r="F11" s="36" t="str">
        <f t="shared" ref="F11:F28" si="10">$F$9</f>
        <v>+0˚</v>
      </c>
      <c r="G11" s="23"/>
      <c r="H11" s="69">
        <v>48</v>
      </c>
      <c r="I11" s="36" t="str">
        <f t="shared" ref="I11:I28" si="11">$I$9</f>
        <v>+0˚</v>
      </c>
      <c r="J11" s="23"/>
      <c r="K11" s="69">
        <v>32</v>
      </c>
      <c r="L11" s="36" t="str">
        <f t="shared" ref="L11:L28" si="12">$L$9</f>
        <v>+0˚</v>
      </c>
      <c r="M11" s="24"/>
      <c r="N11" s="6"/>
      <c r="O11" s="56">
        <f t="shared" si="0"/>
        <v>48</v>
      </c>
      <c r="P11" s="56" t="str">
        <f t="shared" si="1"/>
        <v/>
      </c>
      <c r="Q11" s="56">
        <f t="shared" si="1"/>
        <v>48</v>
      </c>
      <c r="R11" s="56" t="str">
        <f t="shared" si="1"/>
        <v/>
      </c>
      <c r="S11" s="49"/>
      <c r="T11" s="43"/>
      <c r="V11" s="53">
        <f>B11-0.018</f>
        <v>47.981999999999999</v>
      </c>
      <c r="W11" s="53">
        <f>E11-0.018</f>
        <v>41.981999999999999</v>
      </c>
      <c r="X11" s="53">
        <f>H11-0.018</f>
        <v>47.981999999999999</v>
      </c>
      <c r="Y11" s="53">
        <f>K11-0.018</f>
        <v>31.981999999999999</v>
      </c>
      <c r="AA11" s="44">
        <f t="shared" si="5"/>
        <v>47.981999999999999</v>
      </c>
      <c r="AB11" s="44" t="str">
        <f t="shared" si="6"/>
        <v/>
      </c>
      <c r="AC11" s="44">
        <f t="shared" si="7"/>
        <v>47.981999999999999</v>
      </c>
      <c r="AD11" s="44" t="str">
        <f t="shared" si="8"/>
        <v/>
      </c>
      <c r="AF11" s="1">
        <v>12</v>
      </c>
      <c r="AG11" s="4">
        <f t="shared" si="2"/>
        <v>17.78</v>
      </c>
      <c r="AH11" s="4">
        <f t="shared" si="3"/>
        <v>16.96</v>
      </c>
      <c r="AI11" s="4" t="s">
        <v>34</v>
      </c>
      <c r="AJ11" s="4" t="s">
        <v>34</v>
      </c>
      <c r="AK11" s="4">
        <f t="shared" si="4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74">
        <v>41</v>
      </c>
      <c r="C12" s="36" t="str">
        <f t="shared" si="9"/>
        <v>-45˚</v>
      </c>
      <c r="D12" s="37"/>
      <c r="E12" s="69">
        <v>50</v>
      </c>
      <c r="F12" s="36" t="str">
        <f t="shared" si="10"/>
        <v>+0˚</v>
      </c>
      <c r="G12" s="23"/>
      <c r="H12" s="69">
        <v>47</v>
      </c>
      <c r="I12" s="36" t="str">
        <f t="shared" si="11"/>
        <v>+0˚</v>
      </c>
      <c r="J12" s="23"/>
      <c r="K12" s="69">
        <v>47</v>
      </c>
      <c r="L12" s="36" t="str">
        <f t="shared" si="12"/>
        <v>+0˚</v>
      </c>
      <c r="M12" s="24"/>
      <c r="N12" s="6"/>
      <c r="O12" s="56" t="str">
        <f t="shared" si="0"/>
        <v/>
      </c>
      <c r="P12" s="56">
        <f t="shared" si="1"/>
        <v>50</v>
      </c>
      <c r="Q12" s="56">
        <f t="shared" si="1"/>
        <v>47</v>
      </c>
      <c r="R12" s="56">
        <f t="shared" si="1"/>
        <v>47</v>
      </c>
      <c r="S12" s="49"/>
      <c r="T12" s="43"/>
      <c r="V12" s="53">
        <f>B12-0.0117</f>
        <v>40.988300000000002</v>
      </c>
      <c r="W12" s="53">
        <f>E12-0.0117</f>
        <v>49.988300000000002</v>
      </c>
      <c r="X12" s="53">
        <f>H12-0.0117</f>
        <v>46.988300000000002</v>
      </c>
      <c r="Y12" s="53">
        <f>K12-0.0117</f>
        <v>46.988300000000002</v>
      </c>
      <c r="AA12" s="44" t="str">
        <f t="shared" si="5"/>
        <v/>
      </c>
      <c r="AB12" s="44">
        <f t="shared" si="6"/>
        <v>49.988300000000002</v>
      </c>
      <c r="AC12" s="44">
        <f t="shared" si="7"/>
        <v>46.988300000000002</v>
      </c>
      <c r="AD12" s="44">
        <f t="shared" si="8"/>
        <v>46.988300000000002</v>
      </c>
      <c r="AF12" s="1">
        <v>13</v>
      </c>
      <c r="AG12" s="4">
        <f t="shared" si="2"/>
        <v>18.62</v>
      </c>
      <c r="AH12" s="4">
        <f t="shared" si="3"/>
        <v>17.790000000000003</v>
      </c>
      <c r="AI12" s="4" t="s">
        <v>34</v>
      </c>
      <c r="AJ12" s="4" t="s">
        <v>34</v>
      </c>
      <c r="AK12" s="4">
        <f t="shared" si="4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74">
        <v>32</v>
      </c>
      <c r="C13" s="36" t="str">
        <f t="shared" si="9"/>
        <v>-45˚</v>
      </c>
      <c r="D13" s="37"/>
      <c r="E13" s="69">
        <v>45</v>
      </c>
      <c r="F13" s="36" t="str">
        <f t="shared" si="10"/>
        <v>+0˚</v>
      </c>
      <c r="G13" s="23"/>
      <c r="H13" s="69">
        <v>39</v>
      </c>
      <c r="I13" s="36" t="str">
        <f t="shared" si="11"/>
        <v>+0˚</v>
      </c>
      <c r="J13" s="23"/>
      <c r="K13" s="69">
        <v>50</v>
      </c>
      <c r="L13" s="36" t="str">
        <f t="shared" si="12"/>
        <v>+0˚</v>
      </c>
      <c r="M13" s="24"/>
      <c r="N13" s="6"/>
      <c r="O13" s="56" t="str">
        <f t="shared" si="0"/>
        <v/>
      </c>
      <c r="P13" s="56">
        <f t="shared" si="1"/>
        <v>45</v>
      </c>
      <c r="Q13" s="56" t="str">
        <f t="shared" si="1"/>
        <v/>
      </c>
      <c r="R13" s="56">
        <f t="shared" si="1"/>
        <v>50</v>
      </c>
      <c r="S13" s="49"/>
      <c r="T13" s="43"/>
      <c r="V13" s="53">
        <f>B13-0.016</f>
        <v>31.984000000000002</v>
      </c>
      <c r="W13" s="53">
        <f>E13-0.016</f>
        <v>44.984000000000002</v>
      </c>
      <c r="X13" s="53">
        <f>H13-0.016</f>
        <v>38.984000000000002</v>
      </c>
      <c r="Y13" s="53">
        <f>K13-0.016</f>
        <v>49.984000000000002</v>
      </c>
      <c r="AA13" s="44" t="str">
        <f t="shared" si="5"/>
        <v/>
      </c>
      <c r="AB13" s="44">
        <f t="shared" si="6"/>
        <v>44.984000000000002</v>
      </c>
      <c r="AC13" s="44" t="str">
        <f t="shared" si="7"/>
        <v/>
      </c>
      <c r="AD13" s="44">
        <f t="shared" si="8"/>
        <v>49.984000000000002</v>
      </c>
      <c r="AF13" s="1">
        <v>14</v>
      </c>
      <c r="AG13" s="4">
        <f t="shared" si="2"/>
        <v>19.489999999999998</v>
      </c>
      <c r="AH13" s="4">
        <f t="shared" si="3"/>
        <v>18.649999999999999</v>
      </c>
      <c r="AI13" s="4" t="s">
        <v>34</v>
      </c>
      <c r="AJ13" s="4" t="s">
        <v>34</v>
      </c>
      <c r="AK13" s="4">
        <f t="shared" si="4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74">
        <v>48</v>
      </c>
      <c r="C14" s="36" t="str">
        <f t="shared" si="9"/>
        <v>-45˚</v>
      </c>
      <c r="D14" s="37"/>
      <c r="E14" s="69">
        <v>26</v>
      </c>
      <c r="F14" s="36" t="str">
        <f t="shared" si="10"/>
        <v>+0˚</v>
      </c>
      <c r="G14" s="23"/>
      <c r="H14" s="69">
        <v>47</v>
      </c>
      <c r="I14" s="36" t="str">
        <f t="shared" si="11"/>
        <v>+0˚</v>
      </c>
      <c r="J14" s="23"/>
      <c r="K14" s="69">
        <v>56</v>
      </c>
      <c r="L14" s="36" t="str">
        <f t="shared" si="12"/>
        <v>+0˚</v>
      </c>
      <c r="M14" s="24"/>
      <c r="N14" s="6"/>
      <c r="O14" s="56">
        <f t="shared" si="0"/>
        <v>48</v>
      </c>
      <c r="P14" s="56" t="str">
        <f t="shared" si="1"/>
        <v/>
      </c>
      <c r="Q14" s="56">
        <f t="shared" si="1"/>
        <v>47</v>
      </c>
      <c r="R14" s="56">
        <f t="shared" si="1"/>
        <v>56</v>
      </c>
      <c r="S14" s="49"/>
      <c r="T14" s="43"/>
      <c r="V14" s="53">
        <f>B14-0.015</f>
        <v>47.984999999999999</v>
      </c>
      <c r="W14" s="53">
        <f>E14-0.015</f>
        <v>25.984999999999999</v>
      </c>
      <c r="X14" s="53">
        <f>H14-0.015</f>
        <v>46.984999999999999</v>
      </c>
      <c r="Y14" s="53">
        <f>K14-0.015</f>
        <v>55.984999999999999</v>
      </c>
      <c r="AA14" s="44">
        <f t="shared" si="5"/>
        <v>47.984999999999999</v>
      </c>
      <c r="AB14" s="44" t="str">
        <f t="shared" si="6"/>
        <v/>
      </c>
      <c r="AC14" s="44">
        <f t="shared" si="7"/>
        <v>46.984999999999999</v>
      </c>
      <c r="AD14" s="44">
        <f t="shared" si="8"/>
        <v>55.984999999999999</v>
      </c>
      <c r="AF14" s="1">
        <v>15</v>
      </c>
      <c r="AG14" s="4">
        <f t="shared" si="2"/>
        <v>20.41</v>
      </c>
      <c r="AH14" s="4">
        <f t="shared" si="3"/>
        <v>19.559999999999999</v>
      </c>
      <c r="AI14" s="4" t="s">
        <v>34</v>
      </c>
      <c r="AJ14" s="4" t="s">
        <v>34</v>
      </c>
      <c r="AK14" s="4">
        <f t="shared" si="4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74">
        <v>52</v>
      </c>
      <c r="C15" s="36" t="str">
        <f t="shared" si="9"/>
        <v>-45˚</v>
      </c>
      <c r="D15" s="37"/>
      <c r="E15" s="69">
        <v>32</v>
      </c>
      <c r="F15" s="36" t="str">
        <f t="shared" si="10"/>
        <v>+0˚</v>
      </c>
      <c r="G15" s="23"/>
      <c r="H15" s="69">
        <v>47</v>
      </c>
      <c r="I15" s="36" t="str">
        <f t="shared" si="11"/>
        <v>+0˚</v>
      </c>
      <c r="J15" s="23"/>
      <c r="K15" s="69">
        <v>45</v>
      </c>
      <c r="L15" s="36" t="str">
        <f t="shared" si="12"/>
        <v>+0˚</v>
      </c>
      <c r="M15" s="24"/>
      <c r="O15" s="56">
        <f t="shared" si="0"/>
        <v>52</v>
      </c>
      <c r="P15" s="56" t="str">
        <f t="shared" si="1"/>
        <v/>
      </c>
      <c r="Q15" s="56">
        <f t="shared" si="1"/>
        <v>47</v>
      </c>
      <c r="R15" s="56">
        <f t="shared" si="1"/>
        <v>45</v>
      </c>
      <c r="S15" s="49"/>
      <c r="T15" s="43"/>
      <c r="V15" s="53">
        <f>B15-0.014</f>
        <v>51.985999999999997</v>
      </c>
      <c r="W15" s="53">
        <f>E15-0.014</f>
        <v>31.986000000000001</v>
      </c>
      <c r="X15" s="53">
        <f>H15-0.014</f>
        <v>46.985999999999997</v>
      </c>
      <c r="Y15" s="53">
        <f>K15-0.014</f>
        <v>44.985999999999997</v>
      </c>
      <c r="AA15" s="44">
        <f t="shared" si="5"/>
        <v>51.985999999999997</v>
      </c>
      <c r="AB15" s="44" t="str">
        <f t="shared" si="6"/>
        <v/>
      </c>
      <c r="AC15" s="44">
        <f t="shared" si="7"/>
        <v>46.985999999999997</v>
      </c>
      <c r="AD15" s="44">
        <f t="shared" si="8"/>
        <v>44.985999999999997</v>
      </c>
      <c r="AF15" s="1">
        <v>16</v>
      </c>
      <c r="AG15" s="4">
        <f t="shared" si="2"/>
        <v>21.37</v>
      </c>
      <c r="AH15" s="4">
        <f t="shared" si="3"/>
        <v>20.51</v>
      </c>
      <c r="AI15" s="4" t="s">
        <v>34</v>
      </c>
      <c r="AJ15" s="4" t="s">
        <v>34</v>
      </c>
      <c r="AK15" s="4">
        <f t="shared" si="4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74">
        <v>50</v>
      </c>
      <c r="C16" s="36" t="str">
        <f t="shared" si="9"/>
        <v>-45˚</v>
      </c>
      <c r="D16" s="37"/>
      <c r="E16" s="69">
        <v>54</v>
      </c>
      <c r="F16" s="36" t="str">
        <f t="shared" si="10"/>
        <v>+0˚</v>
      </c>
      <c r="G16" s="23"/>
      <c r="H16" s="69">
        <v>46</v>
      </c>
      <c r="I16" s="36" t="str">
        <f t="shared" si="11"/>
        <v>+0˚</v>
      </c>
      <c r="J16" s="23"/>
      <c r="K16" s="69">
        <v>42</v>
      </c>
      <c r="L16" s="36" t="str">
        <f t="shared" si="12"/>
        <v>+0˚</v>
      </c>
      <c r="M16" s="24"/>
      <c r="O16" s="56">
        <f t="shared" si="0"/>
        <v>50</v>
      </c>
      <c r="P16" s="56">
        <f t="shared" si="1"/>
        <v>54</v>
      </c>
      <c r="Q16" s="56">
        <f t="shared" si="1"/>
        <v>46</v>
      </c>
      <c r="R16" s="56" t="str">
        <f t="shared" si="1"/>
        <v/>
      </c>
      <c r="S16" s="49"/>
      <c r="T16" s="43"/>
      <c r="V16" s="53">
        <f>B16-0.013</f>
        <v>49.987000000000002</v>
      </c>
      <c r="W16" s="53">
        <f>E16-0.013</f>
        <v>53.987000000000002</v>
      </c>
      <c r="X16" s="53">
        <f>H16-0.013</f>
        <v>45.987000000000002</v>
      </c>
      <c r="Y16" s="53">
        <f>K16-0.013</f>
        <v>41.987000000000002</v>
      </c>
      <c r="AA16" s="44">
        <f t="shared" si="5"/>
        <v>49.987000000000002</v>
      </c>
      <c r="AB16" s="44">
        <f t="shared" si="6"/>
        <v>53.987000000000002</v>
      </c>
      <c r="AC16" s="44">
        <f t="shared" si="7"/>
        <v>45.987000000000002</v>
      </c>
      <c r="AD16" s="44" t="str">
        <f t="shared" si="8"/>
        <v/>
      </c>
      <c r="AF16" s="1">
        <v>17</v>
      </c>
      <c r="AG16" s="4">
        <f t="shared" si="2"/>
        <v>22.38</v>
      </c>
      <c r="AH16" s="4">
        <f t="shared" si="3"/>
        <v>21.509999999999998</v>
      </c>
      <c r="AI16" s="4" t="s">
        <v>34</v>
      </c>
      <c r="AJ16" s="4" t="s">
        <v>34</v>
      </c>
      <c r="AK16" s="4">
        <f t="shared" si="4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74">
        <v>44</v>
      </c>
      <c r="C17" s="36" t="str">
        <f t="shared" si="9"/>
        <v>-45˚</v>
      </c>
      <c r="D17" s="37"/>
      <c r="E17" s="69">
        <v>34</v>
      </c>
      <c r="F17" s="36" t="str">
        <f t="shared" si="10"/>
        <v>+0˚</v>
      </c>
      <c r="G17" s="23"/>
      <c r="H17" s="69">
        <v>45</v>
      </c>
      <c r="I17" s="36" t="str">
        <f t="shared" si="11"/>
        <v>+0˚</v>
      </c>
      <c r="J17" s="23"/>
      <c r="K17" s="69">
        <v>49</v>
      </c>
      <c r="L17" s="36" t="str">
        <f t="shared" si="12"/>
        <v>+0˚</v>
      </c>
      <c r="M17" s="24"/>
      <c r="O17" s="56">
        <f t="shared" si="0"/>
        <v>44</v>
      </c>
      <c r="P17" s="56" t="str">
        <f t="shared" si="1"/>
        <v/>
      </c>
      <c r="Q17" s="56">
        <f t="shared" si="1"/>
        <v>45</v>
      </c>
      <c r="R17" s="56">
        <f t="shared" si="1"/>
        <v>49</v>
      </c>
      <c r="S17" s="49"/>
      <c r="T17" s="43"/>
      <c r="V17" s="53">
        <f>B17-0.012</f>
        <v>43.988</v>
      </c>
      <c r="W17" s="53">
        <f>E17-0.012</f>
        <v>33.988</v>
      </c>
      <c r="X17" s="53">
        <f>H17-0.012</f>
        <v>44.988</v>
      </c>
      <c r="Y17" s="53">
        <f>K17-0.012</f>
        <v>48.988</v>
      </c>
      <c r="AA17" s="44">
        <f t="shared" si="5"/>
        <v>43.988</v>
      </c>
      <c r="AB17" s="44" t="str">
        <f t="shared" si="6"/>
        <v/>
      </c>
      <c r="AC17" s="44">
        <f t="shared" si="7"/>
        <v>44.988</v>
      </c>
      <c r="AD17" s="44">
        <f t="shared" si="8"/>
        <v>48.988</v>
      </c>
      <c r="AF17" s="1">
        <v>18</v>
      </c>
      <c r="AG17" s="4">
        <f t="shared" si="2"/>
        <v>23.44</v>
      </c>
      <c r="AH17" s="4">
        <f t="shared" si="3"/>
        <v>22.560000000000002</v>
      </c>
      <c r="AI17" s="4" t="s">
        <v>34</v>
      </c>
      <c r="AJ17" s="4" t="s">
        <v>34</v>
      </c>
      <c r="AK17" s="4">
        <f t="shared" si="4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74">
        <v>44</v>
      </c>
      <c r="C18" s="36" t="str">
        <f t="shared" si="9"/>
        <v>-45˚</v>
      </c>
      <c r="D18" s="37"/>
      <c r="E18" s="69">
        <v>42</v>
      </c>
      <c r="F18" s="36" t="str">
        <f t="shared" si="10"/>
        <v>+0˚</v>
      </c>
      <c r="G18" s="23"/>
      <c r="H18" s="69">
        <v>37</v>
      </c>
      <c r="I18" s="36" t="str">
        <f t="shared" si="11"/>
        <v>+0˚</v>
      </c>
      <c r="J18" s="23"/>
      <c r="K18" s="69">
        <v>36</v>
      </c>
      <c r="L18" s="36" t="str">
        <f t="shared" si="12"/>
        <v>+0˚</v>
      </c>
      <c r="M18" s="24"/>
      <c r="O18" s="56">
        <f t="shared" si="0"/>
        <v>44</v>
      </c>
      <c r="P18" s="56" t="str">
        <f t="shared" si="1"/>
        <v/>
      </c>
      <c r="Q18" s="56" t="str">
        <f t="shared" si="1"/>
        <v/>
      </c>
      <c r="R18" s="56" t="str">
        <f t="shared" si="1"/>
        <v/>
      </c>
      <c r="S18" s="49"/>
      <c r="T18" s="43"/>
      <c r="V18" s="53">
        <f>B18-0.011</f>
        <v>43.988999999999997</v>
      </c>
      <c r="W18" s="53">
        <f>E18-0.011</f>
        <v>41.988999999999997</v>
      </c>
      <c r="X18" s="53">
        <f>H18-0.011</f>
        <v>36.988999999999997</v>
      </c>
      <c r="Y18" s="53">
        <f>K18-0.011</f>
        <v>35.988999999999997</v>
      </c>
      <c r="AA18" s="44">
        <f t="shared" si="5"/>
        <v>43.988999999999997</v>
      </c>
      <c r="AB18" s="44" t="str">
        <f t="shared" si="6"/>
        <v/>
      </c>
      <c r="AC18" s="44" t="str">
        <f t="shared" si="7"/>
        <v/>
      </c>
      <c r="AD18" s="44" t="str">
        <f t="shared" si="8"/>
        <v/>
      </c>
      <c r="AF18" s="1">
        <v>19</v>
      </c>
      <c r="AG18" s="4">
        <f t="shared" si="2"/>
        <v>24.54</v>
      </c>
      <c r="AH18" s="4">
        <f t="shared" si="3"/>
        <v>23.65</v>
      </c>
      <c r="AI18" s="4" t="s">
        <v>34</v>
      </c>
      <c r="AJ18" s="4" t="s">
        <v>34</v>
      </c>
      <c r="AK18" s="4">
        <f t="shared" si="4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74">
        <v>52</v>
      </c>
      <c r="C19" s="36" t="str">
        <f t="shared" si="9"/>
        <v>-45˚</v>
      </c>
      <c r="D19" s="37"/>
      <c r="E19" s="69">
        <v>42</v>
      </c>
      <c r="F19" s="36" t="str">
        <f t="shared" si="10"/>
        <v>+0˚</v>
      </c>
      <c r="G19" s="23"/>
      <c r="H19" s="69">
        <v>44</v>
      </c>
      <c r="I19" s="36" t="str">
        <f t="shared" si="11"/>
        <v>+0˚</v>
      </c>
      <c r="J19" s="23"/>
      <c r="K19" s="69">
        <v>22</v>
      </c>
      <c r="L19" s="36" t="str">
        <f t="shared" si="12"/>
        <v>+0˚</v>
      </c>
      <c r="M19" s="24"/>
      <c r="O19" s="56">
        <f t="shared" si="0"/>
        <v>52</v>
      </c>
      <c r="P19" s="56" t="str">
        <f t="shared" si="1"/>
        <v/>
      </c>
      <c r="Q19" s="56">
        <f t="shared" si="1"/>
        <v>44</v>
      </c>
      <c r="R19" s="56" t="str">
        <f t="shared" si="1"/>
        <v/>
      </c>
      <c r="S19" s="49"/>
      <c r="T19" s="43"/>
      <c r="V19" s="53">
        <f>B19-0.01</f>
        <v>51.99</v>
      </c>
      <c r="W19" s="53">
        <f>E19-0.01</f>
        <v>41.99</v>
      </c>
      <c r="X19" s="53">
        <f>H19-0.01</f>
        <v>43.99</v>
      </c>
      <c r="Y19" s="53">
        <f>K19-0.01</f>
        <v>21.99</v>
      </c>
      <c r="AA19" s="44">
        <f t="shared" si="5"/>
        <v>51.99</v>
      </c>
      <c r="AB19" s="44" t="str">
        <f t="shared" si="6"/>
        <v/>
      </c>
      <c r="AC19" s="44">
        <f t="shared" si="7"/>
        <v>43.99</v>
      </c>
      <c r="AD19" s="44" t="str">
        <f t="shared" si="8"/>
        <v/>
      </c>
      <c r="AF19" s="1">
        <v>20</v>
      </c>
      <c r="AG19" s="4">
        <f t="shared" si="2"/>
        <v>25.7</v>
      </c>
      <c r="AH19" s="4">
        <f t="shared" si="3"/>
        <v>24.8</v>
      </c>
      <c r="AI19" s="4">
        <f t="shared" ref="AI19:AI59" si="13">$AG19+AN19</f>
        <v>16.899999999999999</v>
      </c>
      <c r="AJ19" s="4">
        <f t="shared" ref="AJ19:AJ59" si="14">$AG19+AO19</f>
        <v>18.799999999999997</v>
      </c>
      <c r="AK19" s="4">
        <f t="shared" si="4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74">
        <v>35</v>
      </c>
      <c r="C20" s="36" t="str">
        <f t="shared" si="9"/>
        <v>-45˚</v>
      </c>
      <c r="D20" s="37"/>
      <c r="E20" s="69">
        <v>35</v>
      </c>
      <c r="F20" s="36" t="str">
        <f t="shared" si="10"/>
        <v>+0˚</v>
      </c>
      <c r="G20" s="23"/>
      <c r="H20" s="69">
        <v>43</v>
      </c>
      <c r="I20" s="36" t="str">
        <f t="shared" si="11"/>
        <v>+0˚</v>
      </c>
      <c r="J20" s="23"/>
      <c r="K20" s="69">
        <v>38</v>
      </c>
      <c r="L20" s="36" t="str">
        <f t="shared" si="12"/>
        <v>+0˚</v>
      </c>
      <c r="M20" s="24"/>
      <c r="O20" s="56" t="str">
        <f t="shared" si="0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49"/>
      <c r="T20" s="43"/>
      <c r="V20" s="53">
        <f>B20-0.009</f>
        <v>34.991</v>
      </c>
      <c r="W20" s="53">
        <f>E20-0.009</f>
        <v>34.991</v>
      </c>
      <c r="X20" s="53">
        <f>H20-0.009</f>
        <v>42.991</v>
      </c>
      <c r="Y20" s="53">
        <f>K20-0.009</f>
        <v>37.991</v>
      </c>
      <c r="AA20" s="44" t="str">
        <f t="shared" si="5"/>
        <v/>
      </c>
      <c r="AB20" s="44" t="str">
        <f t="shared" si="6"/>
        <v/>
      </c>
      <c r="AC20" s="44" t="str">
        <f t="shared" si="7"/>
        <v/>
      </c>
      <c r="AD20" s="44" t="str">
        <f t="shared" si="8"/>
        <v/>
      </c>
      <c r="AF20" s="1">
        <v>21</v>
      </c>
      <c r="AG20" s="4">
        <f t="shared" si="2"/>
        <v>26.91</v>
      </c>
      <c r="AH20" s="4">
        <f t="shared" si="3"/>
        <v>26.02</v>
      </c>
      <c r="AI20" s="4">
        <f t="shared" si="13"/>
        <v>18.21</v>
      </c>
      <c r="AJ20" s="4">
        <f t="shared" si="14"/>
        <v>20.079999999999998</v>
      </c>
      <c r="AK20" s="4">
        <f t="shared" si="4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74">
        <v>42</v>
      </c>
      <c r="C21" s="36" t="str">
        <f t="shared" si="9"/>
        <v>-45˚</v>
      </c>
      <c r="D21" s="37"/>
      <c r="E21" s="69">
        <v>50</v>
      </c>
      <c r="F21" s="36" t="str">
        <f t="shared" si="10"/>
        <v>+0˚</v>
      </c>
      <c r="G21" s="23"/>
      <c r="H21" s="69">
        <v>43</v>
      </c>
      <c r="I21" s="36" t="str">
        <f t="shared" si="11"/>
        <v>+0˚</v>
      </c>
      <c r="J21" s="23"/>
      <c r="K21" s="69">
        <v>47</v>
      </c>
      <c r="L21" s="36" t="str">
        <f t="shared" si="12"/>
        <v>+0˚</v>
      </c>
      <c r="M21" s="24"/>
      <c r="O21" s="56" t="str">
        <f t="shared" si="0"/>
        <v/>
      </c>
      <c r="P21" s="56">
        <f t="shared" si="1"/>
        <v>50</v>
      </c>
      <c r="Q21" s="56" t="str">
        <f t="shared" si="1"/>
        <v/>
      </c>
      <c r="R21" s="56">
        <f t="shared" si="1"/>
        <v>47</v>
      </c>
      <c r="S21" s="49"/>
      <c r="T21" s="43"/>
      <c r="V21" s="53">
        <f>B21-0.008</f>
        <v>41.991999999999997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46.991999999999997</v>
      </c>
      <c r="AA21" s="44" t="str">
        <f t="shared" si="5"/>
        <v/>
      </c>
      <c r="AB21" s="44">
        <f t="shared" si="6"/>
        <v>49.991999999999997</v>
      </c>
      <c r="AC21" s="44" t="str">
        <f t="shared" si="7"/>
        <v/>
      </c>
      <c r="AD21" s="44">
        <f t="shared" si="8"/>
        <v>46.991999999999997</v>
      </c>
      <c r="AF21" s="1">
        <v>22</v>
      </c>
      <c r="AG21" s="4">
        <f t="shared" si="2"/>
        <v>28.18</v>
      </c>
      <c r="AH21" s="4">
        <f t="shared" si="3"/>
        <v>27.3</v>
      </c>
      <c r="AI21" s="4">
        <f t="shared" si="13"/>
        <v>19.579999999999998</v>
      </c>
      <c r="AJ21" s="4">
        <f t="shared" si="14"/>
        <v>21.42</v>
      </c>
      <c r="AK21" s="4">
        <f t="shared" si="4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74">
        <v>34</v>
      </c>
      <c r="C22" s="36" t="str">
        <f t="shared" si="9"/>
        <v>-45˚</v>
      </c>
      <c r="D22" s="37"/>
      <c r="E22" s="69">
        <v>42</v>
      </c>
      <c r="F22" s="36" t="str">
        <f t="shared" si="10"/>
        <v>+0˚</v>
      </c>
      <c r="G22" s="23"/>
      <c r="H22" s="69">
        <v>43</v>
      </c>
      <c r="I22" s="36" t="str">
        <f t="shared" si="11"/>
        <v>+0˚</v>
      </c>
      <c r="J22" s="23"/>
      <c r="K22" s="69">
        <v>27</v>
      </c>
      <c r="L22" s="36" t="str">
        <f t="shared" si="12"/>
        <v>+0˚</v>
      </c>
      <c r="M22" s="24"/>
      <c r="O22" s="56" t="str">
        <f t="shared" si="0"/>
        <v/>
      </c>
      <c r="P22" s="56">
        <f t="shared" si="1"/>
        <v>42</v>
      </c>
      <c r="Q22" s="56" t="str">
        <f t="shared" si="1"/>
        <v/>
      </c>
      <c r="R22" s="56" t="str">
        <f t="shared" si="1"/>
        <v/>
      </c>
      <c r="S22" s="49"/>
      <c r="T22" s="43"/>
      <c r="V22" s="53">
        <f>B22-0.007</f>
        <v>33.993000000000002</v>
      </c>
      <c r="W22" s="53">
        <f>E22-0.007</f>
        <v>41.993000000000002</v>
      </c>
      <c r="X22" s="53">
        <f>H22-0.007</f>
        <v>42.993000000000002</v>
      </c>
      <c r="Y22" s="53">
        <f>K22-0.007</f>
        <v>26.992999999999999</v>
      </c>
      <c r="AA22" s="44" t="str">
        <f t="shared" si="5"/>
        <v/>
      </c>
      <c r="AB22" s="44">
        <f t="shared" si="6"/>
        <v>41.993000000000002</v>
      </c>
      <c r="AC22" s="44" t="str">
        <f t="shared" si="7"/>
        <v/>
      </c>
      <c r="AD22" s="44" t="str">
        <f t="shared" si="8"/>
        <v/>
      </c>
      <c r="AF22" s="1">
        <v>23</v>
      </c>
      <c r="AG22" s="4">
        <f t="shared" si="2"/>
        <v>29.51</v>
      </c>
      <c r="AH22" s="4">
        <f t="shared" si="3"/>
        <v>28.64</v>
      </c>
      <c r="AI22" s="4">
        <f t="shared" si="13"/>
        <v>21.01</v>
      </c>
      <c r="AJ22" s="4">
        <f t="shared" si="14"/>
        <v>22.82</v>
      </c>
      <c r="AK22" s="4">
        <f t="shared" si="4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74">
        <v>50</v>
      </c>
      <c r="C23" s="36" t="str">
        <f t="shared" si="9"/>
        <v>-45˚</v>
      </c>
      <c r="D23" s="37"/>
      <c r="E23" s="69">
        <v>48</v>
      </c>
      <c r="F23" s="36" t="str">
        <f t="shared" si="10"/>
        <v>+0˚</v>
      </c>
      <c r="G23" s="23"/>
      <c r="H23" s="69">
        <v>35</v>
      </c>
      <c r="I23" s="36" t="str">
        <f t="shared" si="11"/>
        <v>+0˚</v>
      </c>
      <c r="J23" s="23"/>
      <c r="K23" s="69">
        <v>44</v>
      </c>
      <c r="L23" s="36" t="str">
        <f t="shared" si="12"/>
        <v>+0˚</v>
      </c>
      <c r="M23" s="24"/>
      <c r="O23" s="56">
        <f t="shared" si="0"/>
        <v>50</v>
      </c>
      <c r="P23" s="56">
        <f t="shared" si="1"/>
        <v>48</v>
      </c>
      <c r="Q23" s="56" t="str">
        <f t="shared" si="1"/>
        <v/>
      </c>
      <c r="R23" s="56" t="str">
        <f t="shared" si="1"/>
        <v/>
      </c>
      <c r="S23" s="49"/>
      <c r="T23" s="43"/>
      <c r="V23" s="53">
        <f>B23-0.006</f>
        <v>49.994</v>
      </c>
      <c r="W23" s="53">
        <f>E23-0.006</f>
        <v>47.994</v>
      </c>
      <c r="X23" s="53">
        <f>H23-0.006</f>
        <v>34.994</v>
      </c>
      <c r="Y23" s="53">
        <f>K23-0.006</f>
        <v>43.994</v>
      </c>
      <c r="AA23" s="44">
        <f t="shared" si="5"/>
        <v>49.994</v>
      </c>
      <c r="AB23" s="44">
        <f t="shared" si="6"/>
        <v>47.994</v>
      </c>
      <c r="AC23" s="44" t="str">
        <f t="shared" si="7"/>
        <v/>
      </c>
      <c r="AD23" s="44" t="str">
        <f t="shared" si="8"/>
        <v/>
      </c>
      <c r="AF23" s="1">
        <v>24</v>
      </c>
      <c r="AG23" s="4">
        <f t="shared" si="2"/>
        <v>30.9</v>
      </c>
      <c r="AH23" s="4">
        <f t="shared" si="3"/>
        <v>30.04</v>
      </c>
      <c r="AI23" s="4">
        <f t="shared" si="13"/>
        <v>22.5</v>
      </c>
      <c r="AJ23" s="4">
        <f t="shared" si="14"/>
        <v>24.279999999999998</v>
      </c>
      <c r="AK23" s="4">
        <f t="shared" si="4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74">
        <v>42</v>
      </c>
      <c r="C24" s="36" t="str">
        <f t="shared" si="9"/>
        <v>-45˚</v>
      </c>
      <c r="D24" s="37"/>
      <c r="E24" s="69">
        <v>34</v>
      </c>
      <c r="F24" s="36" t="str">
        <f t="shared" si="10"/>
        <v>+0˚</v>
      </c>
      <c r="G24" s="23"/>
      <c r="H24" s="69">
        <v>43</v>
      </c>
      <c r="I24" s="36" t="str">
        <f t="shared" si="11"/>
        <v>+0˚</v>
      </c>
      <c r="J24" s="23"/>
      <c r="K24" s="69">
        <v>55</v>
      </c>
      <c r="L24" s="36" t="str">
        <f t="shared" si="12"/>
        <v>+0˚</v>
      </c>
      <c r="M24" s="24"/>
      <c r="O24" s="56" t="str">
        <f t="shared" si="0"/>
        <v/>
      </c>
      <c r="P24" s="56" t="str">
        <f t="shared" si="1"/>
        <v/>
      </c>
      <c r="Q24" s="56" t="str">
        <f t="shared" si="1"/>
        <v/>
      </c>
      <c r="R24" s="56">
        <f t="shared" si="1"/>
        <v>55</v>
      </c>
      <c r="S24" s="49"/>
      <c r="T24" s="43"/>
      <c r="V24" s="53">
        <f>B24-0.005</f>
        <v>41.994999999999997</v>
      </c>
      <c r="W24" s="53">
        <f>E24-0.005</f>
        <v>33.994999999999997</v>
      </c>
      <c r="X24" s="53">
        <f>H24-0.005</f>
        <v>42.994999999999997</v>
      </c>
      <c r="Y24" s="53">
        <f>K24-0.005</f>
        <v>54.994999999999997</v>
      </c>
      <c r="AA24" s="44" t="str">
        <f t="shared" si="5"/>
        <v/>
      </c>
      <c r="AB24" s="44" t="str">
        <f t="shared" si="6"/>
        <v/>
      </c>
      <c r="AC24" s="44" t="str">
        <f t="shared" si="7"/>
        <v/>
      </c>
      <c r="AD24" s="44">
        <f t="shared" si="8"/>
        <v>54.994999999999997</v>
      </c>
      <c r="AF24" s="1">
        <v>25</v>
      </c>
      <c r="AG24" s="4">
        <f t="shared" si="2"/>
        <v>32.35</v>
      </c>
      <c r="AH24" s="4">
        <f t="shared" si="3"/>
        <v>31.5</v>
      </c>
      <c r="AI24" s="4">
        <f t="shared" si="13"/>
        <v>24.050000000000011</v>
      </c>
      <c r="AJ24" s="4">
        <f t="shared" si="14"/>
        <v>25.8</v>
      </c>
      <c r="AK24" s="4">
        <f t="shared" si="4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74">
        <v>40</v>
      </c>
      <c r="C25" s="36" t="str">
        <f t="shared" si="9"/>
        <v>-45˚</v>
      </c>
      <c r="D25" s="37"/>
      <c r="E25" s="69">
        <v>32</v>
      </c>
      <c r="F25" s="36" t="str">
        <f t="shared" si="10"/>
        <v>+0˚</v>
      </c>
      <c r="G25" s="23"/>
      <c r="H25" s="69">
        <v>43</v>
      </c>
      <c r="I25" s="36" t="str">
        <f t="shared" si="11"/>
        <v>+0˚</v>
      </c>
      <c r="J25" s="23"/>
      <c r="K25" s="69">
        <v>32</v>
      </c>
      <c r="L25" s="36" t="str">
        <f t="shared" si="12"/>
        <v>+0˚</v>
      </c>
      <c r="M25" s="24"/>
      <c r="O25" s="56" t="str">
        <f t="shared" si="0"/>
        <v/>
      </c>
      <c r="P25" s="56" t="str">
        <f t="shared" ref="P25:R28" si="15">IF(AB25="","",ROUND(AB25,0))</f>
        <v/>
      </c>
      <c r="Q25" s="56">
        <f t="shared" si="15"/>
        <v>43</v>
      </c>
      <c r="R25" s="56" t="str">
        <f t="shared" si="15"/>
        <v/>
      </c>
      <c r="S25" s="49"/>
      <c r="T25" s="43"/>
      <c r="V25" s="53">
        <f>B25-0.004</f>
        <v>39.996000000000002</v>
      </c>
      <c r="W25" s="53">
        <f>E25-0.004</f>
        <v>31.995999999999999</v>
      </c>
      <c r="X25" s="53">
        <f>H25-0.004</f>
        <v>42.996000000000002</v>
      </c>
      <c r="Y25" s="53">
        <f>K25-0.004</f>
        <v>31.995999999999999</v>
      </c>
      <c r="AA25" s="44" t="str">
        <f t="shared" si="5"/>
        <v/>
      </c>
      <c r="AB25" s="44" t="str">
        <f t="shared" si="6"/>
        <v/>
      </c>
      <c r="AC25" s="44">
        <f t="shared" si="7"/>
        <v>42.996000000000002</v>
      </c>
      <c r="AD25" s="44" t="str">
        <f t="shared" si="8"/>
        <v/>
      </c>
      <c r="AF25" s="1">
        <v>26</v>
      </c>
      <c r="AG25" s="4">
        <f t="shared" si="2"/>
        <v>33.880000000000003</v>
      </c>
      <c r="AH25" s="4">
        <f t="shared" si="3"/>
        <v>33.04</v>
      </c>
      <c r="AI25" s="4">
        <f t="shared" si="13"/>
        <v>25.680000000000014</v>
      </c>
      <c r="AJ25" s="4">
        <f t="shared" si="14"/>
        <v>27.400000000000002</v>
      </c>
      <c r="AK25" s="4">
        <f t="shared" si="4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74">
        <v>48</v>
      </c>
      <c r="C26" s="36" t="str">
        <f t="shared" si="9"/>
        <v>-45˚</v>
      </c>
      <c r="D26" s="37"/>
      <c r="E26" s="69">
        <v>50</v>
      </c>
      <c r="F26" s="36" t="str">
        <f t="shared" si="10"/>
        <v>+0˚</v>
      </c>
      <c r="G26" s="23"/>
      <c r="H26" s="69">
        <v>39</v>
      </c>
      <c r="I26" s="36" t="str">
        <f t="shared" si="11"/>
        <v>+0˚</v>
      </c>
      <c r="J26" s="23"/>
      <c r="K26" s="69">
        <v>45</v>
      </c>
      <c r="L26" s="36" t="str">
        <f t="shared" si="12"/>
        <v>+0˚</v>
      </c>
      <c r="M26" s="24"/>
      <c r="O26" s="56">
        <f t="shared" si="0"/>
        <v>48</v>
      </c>
      <c r="P26" s="56">
        <f t="shared" si="15"/>
        <v>50</v>
      </c>
      <c r="Q26" s="56" t="str">
        <f t="shared" si="15"/>
        <v/>
      </c>
      <c r="R26" s="56">
        <f t="shared" si="15"/>
        <v>45</v>
      </c>
      <c r="S26" s="49"/>
      <c r="T26" s="43"/>
      <c r="V26" s="53">
        <f>B26-0.003</f>
        <v>47.997</v>
      </c>
      <c r="W26" s="53">
        <f>E26-0.003</f>
        <v>49.997</v>
      </c>
      <c r="X26" s="53">
        <f>H26-0.003</f>
        <v>38.997</v>
      </c>
      <c r="Y26" s="53">
        <f>K26-0.003</f>
        <v>44.997</v>
      </c>
      <c r="AA26" s="44">
        <f t="shared" si="5"/>
        <v>47.997</v>
      </c>
      <c r="AB26" s="44">
        <f t="shared" si="6"/>
        <v>49.997</v>
      </c>
      <c r="AC26" s="44" t="str">
        <f t="shared" si="7"/>
        <v/>
      </c>
      <c r="AD26" s="44">
        <f t="shared" si="8"/>
        <v>44.997</v>
      </c>
      <c r="AF26" s="1">
        <v>27</v>
      </c>
      <c r="AG26" s="4">
        <f t="shared" si="2"/>
        <v>35.479999999999997</v>
      </c>
      <c r="AH26" s="4">
        <f t="shared" si="3"/>
        <v>34.65</v>
      </c>
      <c r="AI26" s="4">
        <f t="shared" si="13"/>
        <v>27.380000000000006</v>
      </c>
      <c r="AJ26" s="4">
        <f t="shared" si="14"/>
        <v>29.069999999999997</v>
      </c>
      <c r="AK26" s="4">
        <f t="shared" si="4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74">
        <v>28</v>
      </c>
      <c r="C27" s="36" t="str">
        <f t="shared" si="9"/>
        <v>-45˚</v>
      </c>
      <c r="D27" s="37"/>
      <c r="E27" s="69">
        <v>44</v>
      </c>
      <c r="F27" s="36" t="str">
        <f t="shared" si="10"/>
        <v>+0˚</v>
      </c>
      <c r="G27" s="23"/>
      <c r="H27" s="69">
        <v>39</v>
      </c>
      <c r="I27" s="36" t="str">
        <f t="shared" si="11"/>
        <v>+0˚</v>
      </c>
      <c r="J27" s="23"/>
      <c r="K27" s="69">
        <v>29</v>
      </c>
      <c r="L27" s="36" t="str">
        <f t="shared" si="12"/>
        <v>+0˚</v>
      </c>
      <c r="M27" s="24"/>
      <c r="O27" s="56" t="str">
        <f t="shared" si="0"/>
        <v/>
      </c>
      <c r="P27" s="56">
        <f t="shared" si="15"/>
        <v>44</v>
      </c>
      <c r="Q27" s="56" t="str">
        <f t="shared" si="15"/>
        <v/>
      </c>
      <c r="R27" s="56" t="str">
        <f t="shared" si="15"/>
        <v/>
      </c>
      <c r="S27" s="49"/>
      <c r="T27" s="43"/>
      <c r="V27" s="53">
        <f>B27-0.002</f>
        <v>27.998000000000001</v>
      </c>
      <c r="W27" s="53">
        <f>E27-0.002</f>
        <v>43.997999999999998</v>
      </c>
      <c r="X27" s="53">
        <f>H27-0.002</f>
        <v>38.997999999999998</v>
      </c>
      <c r="Y27" s="53">
        <f>K27-0.002</f>
        <v>28.998000000000001</v>
      </c>
      <c r="AA27" s="44" t="str">
        <f t="shared" si="5"/>
        <v/>
      </c>
      <c r="AB27" s="44">
        <f t="shared" si="6"/>
        <v>43.997999999999998</v>
      </c>
      <c r="AC27" s="44" t="str">
        <f t="shared" si="7"/>
        <v/>
      </c>
      <c r="AD27" s="44" t="str">
        <f t="shared" si="8"/>
        <v/>
      </c>
      <c r="AF27" s="1">
        <v>28</v>
      </c>
      <c r="AG27" s="4">
        <f t="shared" si="2"/>
        <v>37.15</v>
      </c>
      <c r="AH27" s="4">
        <f t="shared" si="3"/>
        <v>36.33</v>
      </c>
      <c r="AI27" s="4">
        <f t="shared" si="13"/>
        <v>29.150000000000009</v>
      </c>
      <c r="AJ27" s="4">
        <f t="shared" si="14"/>
        <v>30.81</v>
      </c>
      <c r="AK27" s="4">
        <f t="shared" si="4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74">
        <v>39</v>
      </c>
      <c r="C28" s="36" t="str">
        <f t="shared" si="9"/>
        <v>-45˚</v>
      </c>
      <c r="D28" s="37"/>
      <c r="E28" s="69">
        <v>39</v>
      </c>
      <c r="F28" s="36" t="str">
        <f t="shared" si="10"/>
        <v>+0˚</v>
      </c>
      <c r="G28" s="23"/>
      <c r="H28" s="69">
        <v>34</v>
      </c>
      <c r="I28" s="36" t="str">
        <f t="shared" si="11"/>
        <v>+0˚</v>
      </c>
      <c r="J28" s="23"/>
      <c r="K28" s="69">
        <v>51</v>
      </c>
      <c r="L28" s="36" t="str">
        <f t="shared" si="12"/>
        <v>+0˚</v>
      </c>
      <c r="M28" s="24"/>
      <c r="O28" s="56" t="str">
        <f t="shared" si="0"/>
        <v/>
      </c>
      <c r="P28" s="56" t="str">
        <f t="shared" si="15"/>
        <v/>
      </c>
      <c r="Q28" s="56" t="str">
        <f t="shared" si="15"/>
        <v/>
      </c>
      <c r="R28" s="56">
        <f t="shared" si="15"/>
        <v>51</v>
      </c>
      <c r="S28" s="49"/>
      <c r="T28" s="43"/>
      <c r="V28" s="53">
        <f>B28-0.001</f>
        <v>38.999000000000002</v>
      </c>
      <c r="W28" s="53">
        <f>E28-0.001</f>
        <v>38.999000000000002</v>
      </c>
      <c r="X28" s="53">
        <f>H28-0.001</f>
        <v>33.999000000000002</v>
      </c>
      <c r="Y28" s="53">
        <f>K28-0.001</f>
        <v>50.999000000000002</v>
      </c>
      <c r="AA28" s="44" t="str">
        <f t="shared" si="5"/>
        <v/>
      </c>
      <c r="AB28" s="44" t="str">
        <f t="shared" si="6"/>
        <v/>
      </c>
      <c r="AC28" s="44" t="str">
        <f t="shared" si="7"/>
        <v/>
      </c>
      <c r="AD28" s="44">
        <f t="shared" si="8"/>
        <v>50.999000000000002</v>
      </c>
      <c r="AF28" s="1">
        <v>29</v>
      </c>
      <c r="AG28" s="4">
        <f t="shared" si="2"/>
        <v>38.9</v>
      </c>
      <c r="AH28" s="4">
        <f t="shared" si="3"/>
        <v>38.089999999999996</v>
      </c>
      <c r="AI28" s="4">
        <f t="shared" si="13"/>
        <v>31.000000000000007</v>
      </c>
      <c r="AJ28" s="4">
        <f t="shared" si="14"/>
        <v>32.629999999999995</v>
      </c>
      <c r="AK28" s="4">
        <f t="shared" si="4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48</v>
      </c>
      <c r="Q29" s="56">
        <f>ROUND(AVERAGE(Q9:Q28),0)</f>
        <v>46</v>
      </c>
      <c r="R29" s="56">
        <f>ROUND(AVERAGE(R9:R28),0)</f>
        <v>49</v>
      </c>
      <c r="S29" s="49"/>
      <c r="AA29" s="44" t="str">
        <f t="shared" si="5"/>
        <v/>
      </c>
      <c r="AB29" s="44" t="str">
        <f t="shared" si="6"/>
        <v/>
      </c>
      <c r="AC29" s="44" t="str">
        <f t="shared" si="7"/>
        <v/>
      </c>
      <c r="AF29" s="1">
        <v>30</v>
      </c>
      <c r="AG29" s="4">
        <f t="shared" si="2"/>
        <v>40.729999999999997</v>
      </c>
      <c r="AH29" s="4">
        <f t="shared" si="3"/>
        <v>39.93</v>
      </c>
      <c r="AI29" s="4">
        <f t="shared" si="13"/>
        <v>32.93</v>
      </c>
      <c r="AJ29" s="4">
        <f t="shared" si="14"/>
        <v>34.529999999999994</v>
      </c>
      <c r="AK29" s="4">
        <f t="shared" si="4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6"/>
        <v/>
      </c>
      <c r="AF30" s="1">
        <v>31</v>
      </c>
      <c r="AG30" s="4">
        <f t="shared" si="2"/>
        <v>42.65</v>
      </c>
      <c r="AH30" s="4">
        <f t="shared" si="3"/>
        <v>41.86</v>
      </c>
      <c r="AI30" s="4">
        <f t="shared" si="13"/>
        <v>34.97</v>
      </c>
      <c r="AJ30" s="4">
        <f t="shared" si="14"/>
        <v>36.54</v>
      </c>
      <c r="AK30" s="4">
        <f t="shared" si="4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2"/>
        <v>44.66</v>
      </c>
      <c r="AH31" s="4">
        <f t="shared" si="3"/>
        <v>43.879999999999995</v>
      </c>
      <c r="AI31" s="4">
        <f t="shared" si="13"/>
        <v>37.099999999999994</v>
      </c>
      <c r="AJ31" s="4">
        <f t="shared" si="14"/>
        <v>38.64</v>
      </c>
      <c r="AK31" s="4">
        <f t="shared" si="4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2"/>
        <v>46.77</v>
      </c>
      <c r="AH32" s="4">
        <f t="shared" si="3"/>
        <v>46</v>
      </c>
      <c r="AI32" s="4">
        <f t="shared" si="13"/>
        <v>39.330000000000005</v>
      </c>
      <c r="AJ32" s="4">
        <f t="shared" si="14"/>
        <v>40.840000000000003</v>
      </c>
      <c r="AK32" s="4">
        <f t="shared" si="4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2"/>
        <v>48.97</v>
      </c>
      <c r="AH33" s="4">
        <f t="shared" si="3"/>
        <v>48.21</v>
      </c>
      <c r="AI33" s="4">
        <f t="shared" si="13"/>
        <v>41.65</v>
      </c>
      <c r="AJ33" s="4">
        <f t="shared" si="14"/>
        <v>43.129999999999995</v>
      </c>
      <c r="AK33" s="4">
        <f t="shared" si="4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49</v>
      </c>
      <c r="C34" s="36" t="str">
        <f>$C$9</f>
        <v>-45˚</v>
      </c>
      <c r="D34" s="54">
        <f>ROUND(INDEX($AG$9:$AK$60,MATCH(B34,$AF$9:$AF$59,0),MATCH(C34,$AG$8:$AK$8,0)),1)</f>
        <v>97.1</v>
      </c>
      <c r="E34" s="15">
        <f>P29</f>
        <v>48</v>
      </c>
      <c r="F34" s="32" t="str">
        <f>$F$9</f>
        <v>+0˚</v>
      </c>
      <c r="G34" s="54">
        <f>ROUND(INDEX($AG$9:$AK$60,MATCH(E34,$AF$9:$AF$59,0),MATCH(F34,$AG$8:$AK$8,0)),1)</f>
        <v>91</v>
      </c>
      <c r="H34" s="15">
        <f>Q29</f>
        <v>46</v>
      </c>
      <c r="I34" s="32" t="str">
        <f>$I$9</f>
        <v>+0˚</v>
      </c>
      <c r="J34" s="54">
        <f>ROUND(INDEX($AG$9:$AK$60,MATCH(H34,$AF$9:$AF$59,0),MATCH(I34,$AG$8:$AK$8,0)),1)</f>
        <v>82.7</v>
      </c>
      <c r="K34" s="15">
        <f>R29</f>
        <v>49</v>
      </c>
      <c r="L34" s="32" t="str">
        <f>$L$9</f>
        <v>+0˚</v>
      </c>
      <c r="M34" s="57">
        <f>ROUND(INDEX($AG$9:$AK$60,MATCH(K34,$AF$9:$AF$59,0),MATCH(L34,$AG$8:$AK$8,0)),1)</f>
        <v>95.5</v>
      </c>
      <c r="O34" s="44"/>
      <c r="P34" s="44"/>
      <c r="Q34" s="44"/>
      <c r="R34" s="44"/>
      <c r="S34" s="49"/>
      <c r="AF34" s="1">
        <v>35</v>
      </c>
      <c r="AG34" s="4">
        <f t="shared" si="2"/>
        <v>51.28</v>
      </c>
      <c r="AH34" s="4">
        <f t="shared" si="3"/>
        <v>50.53</v>
      </c>
      <c r="AI34" s="4">
        <f t="shared" si="13"/>
        <v>44.08</v>
      </c>
      <c r="AJ34" s="4">
        <f t="shared" si="14"/>
        <v>45.53</v>
      </c>
      <c r="AK34" s="4">
        <f t="shared" si="4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05" t="str">
        <f>IF(D34&lt;=50,"CW",IF(D34&lt;=85,"HW",IF(D34&lt;=115,"MW",IF(D34&lt;=145,"SW","F"))))</f>
        <v>MW</v>
      </c>
      <c r="C35" s="105"/>
      <c r="D35" s="106"/>
      <c r="E35" s="105" t="str">
        <f>IF(G34&lt;=50,"CW",IF(G34&lt;=85,"HW",IF(G34&lt;=115,"MW",IF(G34&lt;=145,"SW","F"))))</f>
        <v>MW</v>
      </c>
      <c r="F35" s="105"/>
      <c r="G35" s="106"/>
      <c r="H35" s="105" t="str">
        <f>IF(J34&lt;=50,"CW",IF(J34&lt;=85,"HW",IF(J34&lt;=115,"MW",IF(J34&lt;=145,"SW","F"))))</f>
        <v>HW</v>
      </c>
      <c r="I35" s="105"/>
      <c r="J35" s="106"/>
      <c r="K35" s="105" t="str">
        <f>IF(M34&lt;=50,"CW",IF(M34&lt;=85,"HW",IF(M34&lt;=115,"MW",IF(M34&lt;=145,"SW","F"))))</f>
        <v>MW</v>
      </c>
      <c r="L35" s="105"/>
      <c r="M35" s="107"/>
      <c r="O35" s="44"/>
      <c r="P35" s="44"/>
      <c r="Q35" s="44"/>
      <c r="R35" s="44"/>
      <c r="S35" s="49"/>
      <c r="AF35" s="1">
        <v>36</v>
      </c>
      <c r="AG35" s="4">
        <f t="shared" si="2"/>
        <v>53.7</v>
      </c>
      <c r="AH35" s="4">
        <f t="shared" si="3"/>
        <v>52.96</v>
      </c>
      <c r="AI35" s="4">
        <f t="shared" si="13"/>
        <v>46.620000000000005</v>
      </c>
      <c r="AJ35" s="4">
        <f t="shared" si="14"/>
        <v>48.040000000000006</v>
      </c>
      <c r="AK35" s="4">
        <f t="shared" si="4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2"/>
        <v>56.23</v>
      </c>
      <c r="AH36" s="4">
        <f t="shared" si="3"/>
        <v>55.499999999999993</v>
      </c>
      <c r="AI36" s="4">
        <f t="shared" si="13"/>
        <v>49.269999999999996</v>
      </c>
      <c r="AJ36" s="4">
        <f t="shared" si="14"/>
        <v>50.66</v>
      </c>
      <c r="AK36" s="4">
        <f t="shared" si="4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04"/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AF37" s="1">
        <v>38</v>
      </c>
      <c r="AG37" s="4">
        <f t="shared" si="2"/>
        <v>58.88</v>
      </c>
      <c r="AH37" s="4">
        <f t="shared" si="3"/>
        <v>58.160000000000004</v>
      </c>
      <c r="AI37" s="4">
        <f t="shared" si="13"/>
        <v>52.040000000000006</v>
      </c>
      <c r="AJ37" s="4">
        <f t="shared" si="14"/>
        <v>53.400000000000006</v>
      </c>
      <c r="AK37" s="4">
        <f t="shared" si="4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2"/>
        <v>61.65</v>
      </c>
      <c r="AH38" s="4">
        <f t="shared" si="3"/>
        <v>60.94</v>
      </c>
      <c r="AI38" s="4">
        <f t="shared" si="13"/>
        <v>54.93</v>
      </c>
      <c r="AJ38" s="4">
        <f t="shared" si="14"/>
        <v>56.260000000000005</v>
      </c>
      <c r="AK38" s="4">
        <f t="shared" si="4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x14ac:dyDescent="0.15">
      <c r="A39" s="2"/>
      <c r="AF39" s="1">
        <v>40</v>
      </c>
      <c r="AG39" s="4">
        <f t="shared" si="2"/>
        <v>64.56</v>
      </c>
      <c r="AH39" s="4">
        <f t="shared" si="3"/>
        <v>63.86</v>
      </c>
      <c r="AI39" s="4">
        <f t="shared" si="13"/>
        <v>57.96</v>
      </c>
      <c r="AJ39" s="4">
        <f t="shared" si="14"/>
        <v>59.260000000000005</v>
      </c>
      <c r="AK39" s="4">
        <f t="shared" si="4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2"/>
        <v>67.599999999999994</v>
      </c>
      <c r="AH40" s="4">
        <f t="shared" si="3"/>
        <v>66.91</v>
      </c>
      <c r="AI40" s="4">
        <f t="shared" si="13"/>
        <v>61.129999999999995</v>
      </c>
      <c r="AJ40" s="4">
        <f t="shared" si="14"/>
        <v>62.399999999999991</v>
      </c>
      <c r="AK40" s="4">
        <f t="shared" si="4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ref="AG41:AG59" si="16">ROUNDDOWN(10^(0.0008*$P$5*$AF41+1.01),2)</f>
        <v>70.790000000000006</v>
      </c>
      <c r="AH41" s="43">
        <f t="shared" ref="AH41:AH59" si="17">$AG41+AM41</f>
        <v>70.11</v>
      </c>
      <c r="AI41" s="4">
        <f t="shared" si="13"/>
        <v>64.45</v>
      </c>
      <c r="AJ41" s="4">
        <f t="shared" si="14"/>
        <v>65.690000000000012</v>
      </c>
      <c r="AK41" s="4">
        <f t="shared" ref="AK41:AK59" si="18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16"/>
        <v>74.13</v>
      </c>
      <c r="AH42" s="43">
        <f t="shared" si="17"/>
        <v>73.459999999999994</v>
      </c>
      <c r="AI42" s="4">
        <f t="shared" si="13"/>
        <v>67.92</v>
      </c>
      <c r="AJ42" s="4">
        <f t="shared" si="14"/>
        <v>69.13</v>
      </c>
      <c r="AK42" s="43">
        <f t="shared" si="18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16"/>
        <v>77.62</v>
      </c>
      <c r="AH43" s="43">
        <f t="shared" si="17"/>
        <v>76.960000000000008</v>
      </c>
      <c r="AI43" s="43">
        <f t="shared" si="13"/>
        <v>71.540000000000006</v>
      </c>
      <c r="AJ43" s="43">
        <f t="shared" si="14"/>
        <v>72.72</v>
      </c>
      <c r="AK43" s="43">
        <f t="shared" si="18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16"/>
        <v>81.28</v>
      </c>
      <c r="AH44" s="43">
        <f t="shared" si="17"/>
        <v>80.63</v>
      </c>
      <c r="AI44" s="43">
        <f t="shared" si="13"/>
        <v>75.33</v>
      </c>
      <c r="AJ44" s="43">
        <f t="shared" si="14"/>
        <v>76.48</v>
      </c>
      <c r="AK44" s="43">
        <f t="shared" si="18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16"/>
        <v>85.11</v>
      </c>
      <c r="AH45" s="43">
        <f t="shared" si="17"/>
        <v>84.47</v>
      </c>
      <c r="AI45" s="43">
        <f t="shared" si="13"/>
        <v>79.289999999999992</v>
      </c>
      <c r="AJ45" s="43">
        <f t="shared" si="14"/>
        <v>80.41</v>
      </c>
      <c r="AK45" s="43">
        <f t="shared" si="18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04"/>
      <c r="B46" s="104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AF46" s="1">
        <v>47</v>
      </c>
      <c r="AG46" s="43">
        <f t="shared" si="16"/>
        <v>89.12</v>
      </c>
      <c r="AH46" s="43">
        <f t="shared" si="17"/>
        <v>88.490000000000009</v>
      </c>
      <c r="AI46" s="43">
        <f t="shared" si="13"/>
        <v>83.43</v>
      </c>
      <c r="AJ46" s="43">
        <f t="shared" si="14"/>
        <v>84.52000000000001</v>
      </c>
      <c r="AK46" s="43">
        <f t="shared" si="18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04"/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AF47" s="1">
        <v>48</v>
      </c>
      <c r="AG47" s="43">
        <f t="shared" si="16"/>
        <v>93.32</v>
      </c>
      <c r="AH47" s="43">
        <f t="shared" si="17"/>
        <v>92.699999999999989</v>
      </c>
      <c r="AI47" s="43">
        <f t="shared" si="13"/>
        <v>87.759999999999991</v>
      </c>
      <c r="AJ47" s="43">
        <f t="shared" si="14"/>
        <v>88.82</v>
      </c>
      <c r="AK47" s="43">
        <f t="shared" si="18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16"/>
        <v>97.72</v>
      </c>
      <c r="AH48" s="43">
        <f t="shared" si="17"/>
        <v>97.11</v>
      </c>
      <c r="AI48" s="43">
        <f t="shared" si="13"/>
        <v>92.289999999999992</v>
      </c>
      <c r="AJ48" s="43">
        <f t="shared" si="14"/>
        <v>93.32</v>
      </c>
      <c r="AK48" s="43">
        <f t="shared" si="18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16"/>
        <v>102.32</v>
      </c>
      <c r="AH49" s="61">
        <f t="shared" si="17"/>
        <v>101.72</v>
      </c>
      <c r="AI49" s="43">
        <f t="shared" si="13"/>
        <v>97.02</v>
      </c>
      <c r="AJ49" s="43">
        <f t="shared" si="14"/>
        <v>98.02</v>
      </c>
      <c r="AK49" s="61">
        <f t="shared" si="18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16"/>
        <v>107.15</v>
      </c>
      <c r="AH50" s="61">
        <f t="shared" si="17"/>
        <v>106.57000000000001</v>
      </c>
      <c r="AI50" s="61">
        <f t="shared" si="13"/>
        <v>101.98</v>
      </c>
      <c r="AJ50" s="61">
        <f t="shared" si="14"/>
        <v>102.95</v>
      </c>
      <c r="AK50" s="61">
        <f t="shared" si="18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16"/>
        <v>112.2</v>
      </c>
      <c r="AH51" s="61">
        <f t="shared" si="17"/>
        <v>111.64</v>
      </c>
      <c r="AI51" s="61">
        <f t="shared" si="13"/>
        <v>107.16</v>
      </c>
      <c r="AJ51" s="61">
        <f t="shared" si="14"/>
        <v>108.10000000000001</v>
      </c>
      <c r="AK51" s="61">
        <f t="shared" si="18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16"/>
        <v>117.48</v>
      </c>
      <c r="AH52" s="61">
        <f t="shared" si="17"/>
        <v>116.94</v>
      </c>
      <c r="AI52" s="61">
        <f t="shared" si="13"/>
        <v>112.57000000000001</v>
      </c>
      <c r="AJ52" s="61">
        <f t="shared" si="14"/>
        <v>113.48</v>
      </c>
      <c r="AK52" s="61">
        <f t="shared" si="18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16"/>
        <v>123.02</v>
      </c>
      <c r="AH53" s="61">
        <f t="shared" si="17"/>
        <v>122.5</v>
      </c>
      <c r="AI53" s="61">
        <f t="shared" si="13"/>
        <v>118.24</v>
      </c>
      <c r="AJ53" s="61">
        <f t="shared" si="14"/>
        <v>119.11999999999999</v>
      </c>
      <c r="AK53" s="61">
        <f t="shared" si="18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16"/>
        <v>128.82</v>
      </c>
      <c r="AH54" s="61">
        <f t="shared" si="17"/>
        <v>128.32</v>
      </c>
      <c r="AI54" s="61">
        <f t="shared" si="13"/>
        <v>124.16999999999999</v>
      </c>
      <c r="AJ54" s="61">
        <f t="shared" si="14"/>
        <v>125.02</v>
      </c>
      <c r="AK54" s="61">
        <f t="shared" si="18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16"/>
        <v>134.88999999999999</v>
      </c>
      <c r="AH55" s="62">
        <f t="shared" si="17"/>
        <v>134.41</v>
      </c>
      <c r="AI55" s="62">
        <f t="shared" si="13"/>
        <v>130.36999999999998</v>
      </c>
      <c r="AJ55" s="62">
        <f t="shared" si="14"/>
        <v>131.19</v>
      </c>
      <c r="AK55" s="62">
        <f t="shared" si="18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16"/>
        <v>141.25</v>
      </c>
      <c r="AH56" s="62">
        <f t="shared" si="17"/>
        <v>140.79</v>
      </c>
      <c r="AI56" s="62">
        <f t="shared" si="13"/>
        <v>136.86000000000001</v>
      </c>
      <c r="AJ56" s="62">
        <f t="shared" si="14"/>
        <v>137.65</v>
      </c>
      <c r="AK56" s="62">
        <f t="shared" si="18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6"/>
        <v>147.91</v>
      </c>
      <c r="AH57" s="62">
        <f t="shared" si="17"/>
        <v>147.47</v>
      </c>
      <c r="AI57" s="62">
        <f t="shared" si="13"/>
        <v>143.65</v>
      </c>
      <c r="AJ57" s="62">
        <f t="shared" si="14"/>
        <v>144.41</v>
      </c>
      <c r="AK57" s="62">
        <f t="shared" si="18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40</v>
      </c>
      <c r="C58" s="39">
        <f>B10</f>
        <v>52</v>
      </c>
      <c r="D58" s="39">
        <f>B11</f>
        <v>48</v>
      </c>
      <c r="E58" s="39">
        <f>B12</f>
        <v>41</v>
      </c>
      <c r="F58" s="40" t="str">
        <f>IF(U1="좌",IF(C34="-90˚","↓",IF(C34="-45˚","↙",IF(C34="+0˚","←",IF(C34="45˚","↖",IF(C34="90˚","↑","?"))))),IF(C34="-90˚","↓",IF(C34="-45˚","↘",IF(C34="+0˚","→",IF(C34="45˚","↗",IF(C34="90˚","↑","?"))))))</f>
        <v>↙</v>
      </c>
      <c r="G58" s="41">
        <f>B34</f>
        <v>49</v>
      </c>
      <c r="H58" s="1">
        <f>$P$5</f>
        <v>25</v>
      </c>
      <c r="I58" s="59">
        <f>D34</f>
        <v>97.1</v>
      </c>
      <c r="J58" s="1" t="str">
        <f>D36</f>
        <v>연암</v>
      </c>
      <c r="AF58" s="1">
        <v>59</v>
      </c>
      <c r="AG58" s="62">
        <f t="shared" si="16"/>
        <v>154.88</v>
      </c>
      <c r="AH58" s="62">
        <f t="shared" si="17"/>
        <v>154.46</v>
      </c>
      <c r="AI58" s="62">
        <f t="shared" si="13"/>
        <v>150.75</v>
      </c>
      <c r="AJ58" s="62">
        <f t="shared" si="14"/>
        <v>151.47999999999999</v>
      </c>
      <c r="AK58" s="62">
        <f t="shared" si="18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32</v>
      </c>
      <c r="C59" s="39">
        <f>B14</f>
        <v>48</v>
      </c>
      <c r="D59" s="39">
        <f>B15</f>
        <v>52</v>
      </c>
      <c r="E59" s="39">
        <f>B16</f>
        <v>50</v>
      </c>
      <c r="AF59" s="1">
        <v>60</v>
      </c>
      <c r="AG59" s="4">
        <f t="shared" si="16"/>
        <v>162.18</v>
      </c>
      <c r="AH59" s="4">
        <f t="shared" si="17"/>
        <v>161.78</v>
      </c>
      <c r="AI59" s="62">
        <f t="shared" si="13"/>
        <v>158.18</v>
      </c>
      <c r="AJ59" s="62">
        <f t="shared" si="14"/>
        <v>158.88</v>
      </c>
      <c r="AK59" s="44">
        <f t="shared" si="18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44</v>
      </c>
      <c r="C60" s="39">
        <f>B18</f>
        <v>44</v>
      </c>
      <c r="D60" s="39">
        <f>B19</f>
        <v>52</v>
      </c>
      <c r="E60" s="39">
        <f>B20</f>
        <v>35</v>
      </c>
    </row>
    <row r="61" spans="1:42" x14ac:dyDescent="0.15">
      <c r="B61" s="38">
        <f>B21</f>
        <v>42</v>
      </c>
      <c r="C61" s="39">
        <f>B22</f>
        <v>34</v>
      </c>
      <c r="D61" s="39">
        <f>B23</f>
        <v>50</v>
      </c>
      <c r="E61" s="39">
        <f>B24</f>
        <v>42</v>
      </c>
    </row>
    <row r="62" spans="1:42" x14ac:dyDescent="0.15">
      <c r="B62" s="38">
        <f>B25</f>
        <v>40</v>
      </c>
      <c r="C62" s="39">
        <f>B26</f>
        <v>48</v>
      </c>
      <c r="D62" s="39">
        <f>B27</f>
        <v>28</v>
      </c>
      <c r="E62" s="39">
        <f>B28</f>
        <v>39</v>
      </c>
      <c r="O62" s="45"/>
    </row>
    <row r="63" spans="1:42" ht="20.25" x14ac:dyDescent="0.25">
      <c r="A63" s="60">
        <v>2</v>
      </c>
      <c r="B63" s="38">
        <f>E9</f>
        <v>46</v>
      </c>
      <c r="C63" s="39">
        <f>E10</f>
        <v>46</v>
      </c>
      <c r="D63" s="39">
        <f>E11</f>
        <v>42</v>
      </c>
      <c r="E63" s="39">
        <f>E12</f>
        <v>50</v>
      </c>
      <c r="F63" s="40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48</v>
      </c>
      <c r="H63" s="1">
        <f>$P$5</f>
        <v>25</v>
      </c>
      <c r="I63" s="59">
        <f>G34</f>
        <v>91</v>
      </c>
      <c r="J63" s="1" t="str">
        <f>G36</f>
        <v>연암</v>
      </c>
    </row>
    <row r="64" spans="1:42" x14ac:dyDescent="0.15">
      <c r="B64" s="38">
        <f>E13</f>
        <v>45</v>
      </c>
      <c r="C64" s="39">
        <f>E14</f>
        <v>26</v>
      </c>
      <c r="D64" s="39">
        <f>E15</f>
        <v>32</v>
      </c>
      <c r="E64" s="39">
        <f>E16</f>
        <v>54</v>
      </c>
    </row>
    <row r="65" spans="1:10" x14ac:dyDescent="0.15">
      <c r="B65" s="38">
        <f>E17</f>
        <v>34</v>
      </c>
      <c r="C65" s="39">
        <f>E18</f>
        <v>42</v>
      </c>
      <c r="D65" s="39">
        <f>E19</f>
        <v>42</v>
      </c>
      <c r="E65" s="39">
        <f>E20</f>
        <v>35</v>
      </c>
    </row>
    <row r="66" spans="1:10" x14ac:dyDescent="0.15">
      <c r="B66" s="38">
        <f>E21</f>
        <v>50</v>
      </c>
      <c r="C66" s="39">
        <f>E22</f>
        <v>42</v>
      </c>
      <c r="D66" s="39">
        <f>E23</f>
        <v>48</v>
      </c>
      <c r="E66" s="39">
        <f>E24</f>
        <v>34</v>
      </c>
    </row>
    <row r="67" spans="1:10" x14ac:dyDescent="0.15">
      <c r="B67" s="38">
        <f>E25</f>
        <v>32</v>
      </c>
      <c r="C67" s="39">
        <f>E26</f>
        <v>50</v>
      </c>
      <c r="D67" s="39">
        <f>E27</f>
        <v>44</v>
      </c>
      <c r="E67" s="39">
        <f>E28</f>
        <v>39</v>
      </c>
    </row>
    <row r="68" spans="1:10" ht="20.25" x14ac:dyDescent="0.25">
      <c r="A68" s="60">
        <v>3</v>
      </c>
      <c r="B68" s="38">
        <f>H9</f>
        <v>48</v>
      </c>
      <c r="C68" s="39">
        <f>H10</f>
        <v>48</v>
      </c>
      <c r="D68" s="39">
        <f>H11</f>
        <v>48</v>
      </c>
      <c r="E68" s="39">
        <f>H12</f>
        <v>47</v>
      </c>
      <c r="F68" s="40" t="str">
        <f>IF(U3="좌",IF(I34="-90˚","↓",IF(I34="-45˚","↙",IF(I34="+0˚","←",IF(I34="45˚","↖",IF(I34="90˚","↑","?"))))),IF(I34="-90˚","↓",IF(I34="-45˚","↘",IF(I34="+0˚","→",IF(I34="45˚","↗",IF(I34="90˚","↑","?"))))))</f>
        <v>←</v>
      </c>
      <c r="G68" s="41">
        <f>H34</f>
        <v>46</v>
      </c>
      <c r="H68" s="1">
        <f>$P$5</f>
        <v>25</v>
      </c>
      <c r="I68" s="59">
        <f>J34</f>
        <v>82.7</v>
      </c>
      <c r="J68" s="1" t="str">
        <f>J36</f>
        <v>연암</v>
      </c>
    </row>
    <row r="69" spans="1:10" x14ac:dyDescent="0.15">
      <c r="B69" s="38">
        <f>H13</f>
        <v>39</v>
      </c>
      <c r="C69" s="39">
        <f>H14</f>
        <v>47</v>
      </c>
      <c r="D69" s="39">
        <f>H15</f>
        <v>47</v>
      </c>
      <c r="E69" s="39">
        <f>H16</f>
        <v>46</v>
      </c>
    </row>
    <row r="70" spans="1:10" x14ac:dyDescent="0.15">
      <c r="B70" s="38">
        <f>H17</f>
        <v>45</v>
      </c>
      <c r="C70" s="39">
        <f>H18</f>
        <v>37</v>
      </c>
      <c r="D70" s="39">
        <f>H19</f>
        <v>44</v>
      </c>
      <c r="E70" s="39">
        <f>H20</f>
        <v>43</v>
      </c>
    </row>
    <row r="71" spans="1:10" x14ac:dyDescent="0.15">
      <c r="B71" s="38">
        <f>H21</f>
        <v>43</v>
      </c>
      <c r="C71" s="39">
        <f>H22</f>
        <v>43</v>
      </c>
      <c r="D71" s="39">
        <f>H23</f>
        <v>35</v>
      </c>
      <c r="E71" s="39">
        <f>H24</f>
        <v>43</v>
      </c>
    </row>
    <row r="72" spans="1:10" x14ac:dyDescent="0.15">
      <c r="B72" s="38">
        <f>H25</f>
        <v>43</v>
      </c>
      <c r="C72" s="39">
        <f>H26</f>
        <v>39</v>
      </c>
      <c r="D72" s="39">
        <f>H27</f>
        <v>39</v>
      </c>
      <c r="E72" s="39">
        <f>H28</f>
        <v>34</v>
      </c>
    </row>
    <row r="73" spans="1:10" ht="20.25" x14ac:dyDescent="0.25">
      <c r="A73" s="60">
        <v>4</v>
      </c>
      <c r="B73" s="38">
        <f>K9</f>
        <v>46</v>
      </c>
      <c r="C73" s="39">
        <f>K10</f>
        <v>45</v>
      </c>
      <c r="D73" s="39">
        <f>K11</f>
        <v>32</v>
      </c>
      <c r="E73" s="39">
        <f>K12</f>
        <v>47</v>
      </c>
      <c r="F73" s="40" t="str">
        <f>IF(U4="좌",IF(L34="-90˚","↓",IF(L34="-45˚","↙",IF(L34="+0˚","←",IF(L34="45˚","↖",IF(L34="90˚","↑","?"))))),IF(L34="-90˚","↓",IF(L34="-45˚","↘",IF(L34="+0˚","→",IF(L34="45˚","↗",IF(L34="90˚","↑","?"))))))</f>
        <v>←</v>
      </c>
      <c r="G73" s="41">
        <f>K34</f>
        <v>49</v>
      </c>
      <c r="H73" s="1">
        <f>$P$5</f>
        <v>25</v>
      </c>
      <c r="I73" s="59">
        <f>M34</f>
        <v>95.5</v>
      </c>
      <c r="J73" s="1" t="str">
        <f>M36</f>
        <v>연암</v>
      </c>
    </row>
    <row r="74" spans="1:10" x14ac:dyDescent="0.15">
      <c r="B74" s="38">
        <f>K13</f>
        <v>50</v>
      </c>
      <c r="C74" s="39">
        <f>K14</f>
        <v>56</v>
      </c>
      <c r="D74" s="39">
        <f>K15</f>
        <v>45</v>
      </c>
      <c r="E74" s="39">
        <f>K16</f>
        <v>42</v>
      </c>
    </row>
    <row r="75" spans="1:10" x14ac:dyDescent="0.15">
      <c r="B75" s="38">
        <f>K17</f>
        <v>49</v>
      </c>
      <c r="C75" s="39">
        <f>K18</f>
        <v>36</v>
      </c>
      <c r="D75" s="39">
        <f>K19</f>
        <v>22</v>
      </c>
      <c r="E75" s="39">
        <f>K20</f>
        <v>38</v>
      </c>
    </row>
    <row r="76" spans="1:10" x14ac:dyDescent="0.15">
      <c r="B76" s="38">
        <f>K21</f>
        <v>47</v>
      </c>
      <c r="C76" s="39">
        <f>K22</f>
        <v>27</v>
      </c>
      <c r="D76" s="39">
        <f>K23</f>
        <v>44</v>
      </c>
      <c r="E76" s="39">
        <f>K24</f>
        <v>55</v>
      </c>
    </row>
    <row r="77" spans="1:10" x14ac:dyDescent="0.15">
      <c r="B77" s="38">
        <f>K25</f>
        <v>32</v>
      </c>
      <c r="C77" s="39">
        <f>K26</f>
        <v>45</v>
      </c>
      <c r="D77" s="39">
        <f>K27</f>
        <v>29</v>
      </c>
      <c r="E77" s="39">
        <f>K28</f>
        <v>51</v>
      </c>
    </row>
  </sheetData>
  <mergeCells count="17">
    <mergeCell ref="A1:M2"/>
    <mergeCell ref="A3:M3"/>
    <mergeCell ref="N3:O3"/>
    <mergeCell ref="P3:Q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2" type="noConversion"/>
  <dataValidations disablePrompts="1" count="2">
    <dataValidation type="list" allowBlank="1" showInputMessage="1" showErrorMessage="1" sqref="U1:U4" xr:uid="{00000000-0002-0000-0100-000000000000}">
      <formula1>$N$55:$N$56</formula1>
    </dataValidation>
    <dataValidation type="list" allowBlank="1" showInputMessage="1" showErrorMessage="1" sqref="C9 I9 F9 L9" xr:uid="{00000000-0002-0000-0100-000001000000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7007F-72D2-4001-A0CC-ADB0A898DB8A}">
  <sheetPr codeName="Sheet4"/>
  <dimension ref="A1:AP77"/>
  <sheetViews>
    <sheetView view="pageBreakPreview" topLeftCell="A28" zoomScale="85" zoomScaleNormal="100" zoomScaleSheetLayoutView="85" workbookViewId="0">
      <selection activeCell="B58" sqref="B58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14" t="s">
        <v>15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6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17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9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20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2"/>
      <c r="N3" s="123"/>
      <c r="O3" s="104"/>
      <c r="P3" s="123"/>
      <c r="Q3" s="104"/>
      <c r="R3" s="70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24" t="str">
        <f>'A-B'!$A$4</f>
        <v>* 사면명 : 39. 중부내륙선 232.430k(창원)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6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10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11" t="s">
        <v>83</v>
      </c>
      <c r="C7" s="111"/>
      <c r="D7" s="112"/>
      <c r="E7" s="111" t="s">
        <v>92</v>
      </c>
      <c r="F7" s="111"/>
      <c r="G7" s="112"/>
      <c r="H7" s="111" t="s">
        <v>93</v>
      </c>
      <c r="I7" s="111"/>
      <c r="J7" s="112"/>
      <c r="K7" s="111"/>
      <c r="L7" s="111"/>
      <c r="M7" s="112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94" t="s">
        <v>37</v>
      </c>
      <c r="P8" s="95" t="s">
        <v>38</v>
      </c>
      <c r="Q8" s="95" t="s">
        <v>39</v>
      </c>
      <c r="R8" s="95" t="s">
        <v>40</v>
      </c>
      <c r="S8" s="96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F8" s="91"/>
      <c r="AG8" s="88" t="s">
        <v>28</v>
      </c>
      <c r="AH8" s="89" t="s">
        <v>27</v>
      </c>
      <c r="AI8" s="88" t="s">
        <v>42</v>
      </c>
      <c r="AJ8" s="89" t="s">
        <v>43</v>
      </c>
      <c r="AK8" s="90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68">
        <v>41</v>
      </c>
      <c r="C9" s="34" t="s">
        <v>77</v>
      </c>
      <c r="D9" s="35"/>
      <c r="E9" s="68">
        <v>21</v>
      </c>
      <c r="F9" s="34" t="s">
        <v>29</v>
      </c>
      <c r="G9" s="22"/>
      <c r="H9" s="68">
        <v>39</v>
      </c>
      <c r="I9" s="34" t="s">
        <v>27</v>
      </c>
      <c r="J9" s="22"/>
      <c r="K9" s="68"/>
      <c r="L9" s="33"/>
      <c r="M9" s="30"/>
      <c r="N9" s="6"/>
      <c r="O9" s="95">
        <f t="shared" ref="O9:R28" si="0">IF(AA9="","",ROUND(AA9,0))</f>
        <v>41</v>
      </c>
      <c r="P9" s="95" t="str">
        <f t="shared" si="0"/>
        <v/>
      </c>
      <c r="Q9" s="95">
        <f t="shared" si="0"/>
        <v>39</v>
      </c>
      <c r="R9" s="95" t="str">
        <f t="shared" si="0"/>
        <v/>
      </c>
      <c r="S9" s="96"/>
      <c r="T9" s="43"/>
      <c r="V9" s="53">
        <f>B9-0.02</f>
        <v>40.98</v>
      </c>
      <c r="W9" s="53">
        <f>E9-0.02</f>
        <v>20.98</v>
      </c>
      <c r="X9" s="53">
        <f>H9-0.02</f>
        <v>38.979999999999997</v>
      </c>
      <c r="Y9" s="53">
        <f>K9-0.02</f>
        <v>-0.02</v>
      </c>
      <c r="AA9" s="44">
        <f>IF(V9&gt;=LARGE($V$9:$V$28,10),V9,"")</f>
        <v>40.98</v>
      </c>
      <c r="AB9" s="44" t="str">
        <f>IF(W9&gt;=LARGE($W$9:$W$28,10),W9,"")</f>
        <v/>
      </c>
      <c r="AC9" s="44">
        <f>IF(X9&gt;=LARGE($X$9:$X$28,10),X9,"")</f>
        <v>38.979999999999997</v>
      </c>
      <c r="AD9" s="44" t="str">
        <f>IF(Y9&gt;=LARGE($Y$9:$Y$28,10),Y9,"")</f>
        <v/>
      </c>
      <c r="AF9" s="92">
        <v>10</v>
      </c>
      <c r="AG9" s="77">
        <f t="shared" ref="AG9:AG59" si="1">ROUNDDOWN(10^(0.0008*$P$5*$AF9+1.01),2)</f>
        <v>16.21</v>
      </c>
      <c r="AH9" s="77">
        <f t="shared" ref="AH9:AJ40" si="2">$AG9+AM9</f>
        <v>15.41</v>
      </c>
      <c r="AI9" s="77" t="s">
        <v>34</v>
      </c>
      <c r="AJ9" s="77" t="s">
        <v>34</v>
      </c>
      <c r="AK9" s="78">
        <f t="shared" ref="AK9:AK59" si="3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69">
        <v>35</v>
      </c>
      <c r="C10" s="36" t="str">
        <f>$C$9</f>
        <v>+0˚</v>
      </c>
      <c r="D10" s="37"/>
      <c r="E10" s="69">
        <v>48</v>
      </c>
      <c r="F10" s="36" t="str">
        <f>$F$9</f>
        <v>+0˚</v>
      </c>
      <c r="G10" s="23"/>
      <c r="H10" s="69">
        <v>42</v>
      </c>
      <c r="I10" s="36" t="str">
        <f>$I$9</f>
        <v>-45˚</v>
      </c>
      <c r="J10" s="23"/>
      <c r="K10" s="69"/>
      <c r="L10" s="36"/>
      <c r="M10" s="24"/>
      <c r="N10" s="6"/>
      <c r="O10" s="95" t="str">
        <f t="shared" si="0"/>
        <v/>
      </c>
      <c r="P10" s="95">
        <f t="shared" si="0"/>
        <v>48</v>
      </c>
      <c r="Q10" s="95">
        <f t="shared" si="0"/>
        <v>42</v>
      </c>
      <c r="R10" s="95" t="str">
        <f t="shared" si="0"/>
        <v/>
      </c>
      <c r="S10" s="96"/>
      <c r="T10" s="43"/>
      <c r="V10" s="53">
        <f>B10-0.019</f>
        <v>34.981000000000002</v>
      </c>
      <c r="W10" s="53">
        <f>E10-0.019</f>
        <v>47.981000000000002</v>
      </c>
      <c r="X10" s="53">
        <f>H10-0.019</f>
        <v>41.981000000000002</v>
      </c>
      <c r="Y10" s="53">
        <f>K10-0.019</f>
        <v>-1.9E-2</v>
      </c>
      <c r="AA10" s="44" t="str">
        <f t="shared" ref="AA10:AA29" si="4">IF(V10&gt;=LARGE($V$9:$V$28,10),V10,"")</f>
        <v/>
      </c>
      <c r="AB10" s="44">
        <f t="shared" ref="AB10:AB30" si="5">IF(W10&gt;=LARGE($W$9:$W$28,10),W10,"")</f>
        <v>47.981000000000002</v>
      </c>
      <c r="AC10" s="44">
        <f t="shared" ref="AC10:AC29" si="6">IF(X10&gt;=LARGE($X$9:$X$28,10),X10,"")</f>
        <v>41.981000000000002</v>
      </c>
      <c r="AD10" s="44" t="str">
        <f t="shared" ref="AD10:AD28" si="7">IF(Y10&gt;=LARGE($Y$9:$Y$28,10),Y10,"")</f>
        <v/>
      </c>
      <c r="AF10" s="92">
        <v>11</v>
      </c>
      <c r="AG10" s="77">
        <f t="shared" si="1"/>
        <v>16.98</v>
      </c>
      <c r="AH10" s="77">
        <f t="shared" si="2"/>
        <v>16.170000000000002</v>
      </c>
      <c r="AI10" s="77" t="s">
        <v>34</v>
      </c>
      <c r="AJ10" s="77" t="s">
        <v>34</v>
      </c>
      <c r="AK10" s="78">
        <f t="shared" si="3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69">
        <v>41</v>
      </c>
      <c r="C11" s="36" t="str">
        <f t="shared" ref="C11:C28" si="8">$C$9</f>
        <v>+0˚</v>
      </c>
      <c r="D11" s="37"/>
      <c r="E11" s="69">
        <v>30</v>
      </c>
      <c r="F11" s="36" t="str">
        <f t="shared" ref="F11:F28" si="9">$F$9</f>
        <v>+0˚</v>
      </c>
      <c r="G11" s="23"/>
      <c r="H11" s="69">
        <v>32</v>
      </c>
      <c r="I11" s="36" t="str">
        <f t="shared" ref="I11:I28" si="10">$I$9</f>
        <v>-45˚</v>
      </c>
      <c r="J11" s="23"/>
      <c r="K11" s="69"/>
      <c r="L11" s="36"/>
      <c r="M11" s="24"/>
      <c r="N11" s="6"/>
      <c r="O11" s="95">
        <f t="shared" si="0"/>
        <v>41</v>
      </c>
      <c r="P11" s="95" t="str">
        <f t="shared" si="0"/>
        <v/>
      </c>
      <c r="Q11" s="95" t="str">
        <f t="shared" si="0"/>
        <v/>
      </c>
      <c r="R11" s="95" t="str">
        <f t="shared" si="0"/>
        <v/>
      </c>
      <c r="S11" s="96"/>
      <c r="T11" s="43"/>
      <c r="V11" s="53">
        <f>B11-0.018</f>
        <v>40.981999999999999</v>
      </c>
      <c r="W11" s="53">
        <f>E11-0.018</f>
        <v>29.981999999999999</v>
      </c>
      <c r="X11" s="53">
        <f>H11-0.018</f>
        <v>31.981999999999999</v>
      </c>
      <c r="Y11" s="53">
        <f>K11-0.018</f>
        <v>-1.7999999999999999E-2</v>
      </c>
      <c r="AA11" s="44">
        <f t="shared" si="4"/>
        <v>40.981999999999999</v>
      </c>
      <c r="AB11" s="44" t="str">
        <f t="shared" si="5"/>
        <v/>
      </c>
      <c r="AC11" s="44" t="str">
        <f t="shared" si="6"/>
        <v/>
      </c>
      <c r="AD11" s="44" t="str">
        <f t="shared" si="7"/>
        <v/>
      </c>
      <c r="AF11" s="92">
        <v>12</v>
      </c>
      <c r="AG11" s="77">
        <f t="shared" si="1"/>
        <v>17.78</v>
      </c>
      <c r="AH11" s="77">
        <f t="shared" si="2"/>
        <v>16.96</v>
      </c>
      <c r="AI11" s="77" t="s">
        <v>34</v>
      </c>
      <c r="AJ11" s="77" t="s">
        <v>34</v>
      </c>
      <c r="AK11" s="78">
        <f t="shared" si="3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69">
        <v>38</v>
      </c>
      <c r="C12" s="36" t="str">
        <f t="shared" si="8"/>
        <v>+0˚</v>
      </c>
      <c r="D12" s="37"/>
      <c r="E12" s="69">
        <v>65</v>
      </c>
      <c r="F12" s="36" t="str">
        <f t="shared" si="9"/>
        <v>+0˚</v>
      </c>
      <c r="G12" s="23"/>
      <c r="H12" s="69">
        <v>33</v>
      </c>
      <c r="I12" s="36" t="str">
        <f t="shared" si="10"/>
        <v>-45˚</v>
      </c>
      <c r="J12" s="23"/>
      <c r="K12" s="69"/>
      <c r="L12" s="36"/>
      <c r="M12" s="24"/>
      <c r="N12" s="6"/>
      <c r="O12" s="95" t="str">
        <f t="shared" si="0"/>
        <v/>
      </c>
      <c r="P12" s="95">
        <f t="shared" si="0"/>
        <v>65</v>
      </c>
      <c r="Q12" s="95" t="str">
        <f t="shared" si="0"/>
        <v/>
      </c>
      <c r="R12" s="95" t="str">
        <f t="shared" si="0"/>
        <v/>
      </c>
      <c r="S12" s="96"/>
      <c r="T12" s="43"/>
      <c r="V12" s="53">
        <f>B12-0.0117</f>
        <v>37.988300000000002</v>
      </c>
      <c r="W12" s="53">
        <f>E12-0.0117</f>
        <v>64.988299999999995</v>
      </c>
      <c r="X12" s="53">
        <f>H12-0.0117</f>
        <v>32.988300000000002</v>
      </c>
      <c r="Y12" s="53">
        <f>K12-0.0117</f>
        <v>-1.17E-2</v>
      </c>
      <c r="AA12" s="44" t="str">
        <f t="shared" si="4"/>
        <v/>
      </c>
      <c r="AB12" s="44">
        <f t="shared" si="5"/>
        <v>64.988299999999995</v>
      </c>
      <c r="AC12" s="44" t="str">
        <f t="shared" si="6"/>
        <v/>
      </c>
      <c r="AD12" s="44" t="str">
        <f t="shared" si="7"/>
        <v/>
      </c>
      <c r="AF12" s="92">
        <v>13</v>
      </c>
      <c r="AG12" s="77">
        <f t="shared" si="1"/>
        <v>18.62</v>
      </c>
      <c r="AH12" s="77">
        <f t="shared" si="2"/>
        <v>17.790000000000003</v>
      </c>
      <c r="AI12" s="77" t="s">
        <v>34</v>
      </c>
      <c r="AJ12" s="77" t="s">
        <v>34</v>
      </c>
      <c r="AK12" s="78">
        <f t="shared" si="3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69">
        <v>31</v>
      </c>
      <c r="C13" s="36" t="str">
        <f t="shared" si="8"/>
        <v>+0˚</v>
      </c>
      <c r="D13" s="37"/>
      <c r="E13" s="69">
        <v>24</v>
      </c>
      <c r="F13" s="36" t="str">
        <f t="shared" si="9"/>
        <v>+0˚</v>
      </c>
      <c r="G13" s="23"/>
      <c r="H13" s="69">
        <v>42</v>
      </c>
      <c r="I13" s="36" t="str">
        <f t="shared" si="10"/>
        <v>-45˚</v>
      </c>
      <c r="J13" s="23"/>
      <c r="K13" s="69"/>
      <c r="L13" s="36"/>
      <c r="M13" s="24"/>
      <c r="N13" s="6"/>
      <c r="O13" s="95" t="str">
        <f t="shared" si="0"/>
        <v/>
      </c>
      <c r="P13" s="95" t="str">
        <f t="shared" si="0"/>
        <v/>
      </c>
      <c r="Q13" s="95">
        <f t="shared" si="0"/>
        <v>42</v>
      </c>
      <c r="R13" s="95" t="str">
        <f t="shared" si="0"/>
        <v/>
      </c>
      <c r="S13" s="96"/>
      <c r="T13" s="43"/>
      <c r="V13" s="53">
        <f>B13-0.016</f>
        <v>30.984000000000002</v>
      </c>
      <c r="W13" s="53">
        <f>E13-0.016</f>
        <v>23.984000000000002</v>
      </c>
      <c r="X13" s="53">
        <f>H13-0.016</f>
        <v>41.984000000000002</v>
      </c>
      <c r="Y13" s="53">
        <f>K13-0.016</f>
        <v>-1.6E-2</v>
      </c>
      <c r="AA13" s="44" t="str">
        <f t="shared" si="4"/>
        <v/>
      </c>
      <c r="AB13" s="44" t="str">
        <f t="shared" si="5"/>
        <v/>
      </c>
      <c r="AC13" s="44">
        <f t="shared" si="6"/>
        <v>41.984000000000002</v>
      </c>
      <c r="AD13" s="44" t="str">
        <f t="shared" si="7"/>
        <v/>
      </c>
      <c r="AF13" s="92">
        <v>14</v>
      </c>
      <c r="AG13" s="77">
        <f t="shared" si="1"/>
        <v>19.489999999999998</v>
      </c>
      <c r="AH13" s="77">
        <f t="shared" si="2"/>
        <v>18.649999999999999</v>
      </c>
      <c r="AI13" s="77" t="s">
        <v>34</v>
      </c>
      <c r="AJ13" s="77" t="s">
        <v>34</v>
      </c>
      <c r="AK13" s="78">
        <f t="shared" si="3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69">
        <v>41</v>
      </c>
      <c r="C14" s="36" t="str">
        <f t="shared" si="8"/>
        <v>+0˚</v>
      </c>
      <c r="D14" s="37"/>
      <c r="E14" s="69">
        <v>30</v>
      </c>
      <c r="F14" s="36" t="str">
        <f t="shared" si="9"/>
        <v>+0˚</v>
      </c>
      <c r="G14" s="23"/>
      <c r="H14" s="69">
        <v>34</v>
      </c>
      <c r="I14" s="36" t="str">
        <f t="shared" si="10"/>
        <v>-45˚</v>
      </c>
      <c r="J14" s="23"/>
      <c r="K14" s="69"/>
      <c r="L14" s="36"/>
      <c r="M14" s="24"/>
      <c r="N14" s="6"/>
      <c r="O14" s="95">
        <f t="shared" si="0"/>
        <v>41</v>
      </c>
      <c r="P14" s="95" t="str">
        <f t="shared" si="0"/>
        <v/>
      </c>
      <c r="Q14" s="95" t="str">
        <f t="shared" si="0"/>
        <v/>
      </c>
      <c r="R14" s="95" t="str">
        <f t="shared" si="0"/>
        <v/>
      </c>
      <c r="S14" s="96"/>
      <c r="T14" s="43"/>
      <c r="V14" s="53">
        <f>B14-0.015</f>
        <v>40.984999999999999</v>
      </c>
      <c r="W14" s="53">
        <f>E14-0.015</f>
        <v>29.984999999999999</v>
      </c>
      <c r="X14" s="53">
        <f>H14-0.015</f>
        <v>33.984999999999999</v>
      </c>
      <c r="Y14" s="53">
        <f>K14-0.015</f>
        <v>-1.4999999999999999E-2</v>
      </c>
      <c r="AA14" s="44">
        <f t="shared" si="4"/>
        <v>40.984999999999999</v>
      </c>
      <c r="AB14" s="44" t="str">
        <f t="shared" si="5"/>
        <v/>
      </c>
      <c r="AC14" s="44" t="str">
        <f t="shared" si="6"/>
        <v/>
      </c>
      <c r="AD14" s="44" t="str">
        <f t="shared" si="7"/>
        <v/>
      </c>
      <c r="AF14" s="92">
        <v>15</v>
      </c>
      <c r="AG14" s="77">
        <f t="shared" si="1"/>
        <v>20.41</v>
      </c>
      <c r="AH14" s="77">
        <f t="shared" si="2"/>
        <v>19.559999999999999</v>
      </c>
      <c r="AI14" s="77" t="s">
        <v>34</v>
      </c>
      <c r="AJ14" s="77" t="s">
        <v>34</v>
      </c>
      <c r="AK14" s="78">
        <f t="shared" si="3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69">
        <v>34</v>
      </c>
      <c r="C15" s="36" t="str">
        <f t="shared" si="8"/>
        <v>+0˚</v>
      </c>
      <c r="D15" s="37"/>
      <c r="E15" s="69">
        <v>59</v>
      </c>
      <c r="F15" s="36" t="str">
        <f t="shared" si="9"/>
        <v>+0˚</v>
      </c>
      <c r="G15" s="23"/>
      <c r="H15" s="69">
        <v>32</v>
      </c>
      <c r="I15" s="36" t="str">
        <f t="shared" si="10"/>
        <v>-45˚</v>
      </c>
      <c r="J15" s="23"/>
      <c r="K15" s="69"/>
      <c r="L15" s="36"/>
      <c r="M15" s="24"/>
      <c r="O15" s="95" t="str">
        <f t="shared" si="0"/>
        <v/>
      </c>
      <c r="P15" s="95">
        <f t="shared" si="0"/>
        <v>59</v>
      </c>
      <c r="Q15" s="95" t="str">
        <f t="shared" si="0"/>
        <v/>
      </c>
      <c r="R15" s="95" t="str">
        <f t="shared" si="0"/>
        <v/>
      </c>
      <c r="S15" s="96"/>
      <c r="T15" s="43"/>
      <c r="V15" s="53">
        <f>B15-0.014</f>
        <v>33.985999999999997</v>
      </c>
      <c r="W15" s="53">
        <f>E15-0.014</f>
        <v>58.985999999999997</v>
      </c>
      <c r="X15" s="53">
        <f>H15-0.014</f>
        <v>31.986000000000001</v>
      </c>
      <c r="Y15" s="53">
        <f>K15-0.014</f>
        <v>-1.4E-2</v>
      </c>
      <c r="AA15" s="44" t="str">
        <f t="shared" si="4"/>
        <v/>
      </c>
      <c r="AB15" s="44">
        <f t="shared" si="5"/>
        <v>58.985999999999997</v>
      </c>
      <c r="AC15" s="44" t="str">
        <f t="shared" si="6"/>
        <v/>
      </c>
      <c r="AD15" s="44" t="str">
        <f t="shared" si="7"/>
        <v/>
      </c>
      <c r="AF15" s="92">
        <v>16</v>
      </c>
      <c r="AG15" s="77">
        <f t="shared" si="1"/>
        <v>21.37</v>
      </c>
      <c r="AH15" s="77">
        <f t="shared" si="2"/>
        <v>20.51</v>
      </c>
      <c r="AI15" s="77" t="s">
        <v>34</v>
      </c>
      <c r="AJ15" s="77" t="s">
        <v>34</v>
      </c>
      <c r="AK15" s="78">
        <f t="shared" si="3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69">
        <v>37</v>
      </c>
      <c r="C16" s="36" t="str">
        <f t="shared" si="8"/>
        <v>+0˚</v>
      </c>
      <c r="D16" s="37"/>
      <c r="E16" s="69">
        <v>44</v>
      </c>
      <c r="F16" s="36" t="str">
        <f t="shared" si="9"/>
        <v>+0˚</v>
      </c>
      <c r="G16" s="23"/>
      <c r="H16" s="69">
        <v>45</v>
      </c>
      <c r="I16" s="36" t="str">
        <f t="shared" si="10"/>
        <v>-45˚</v>
      </c>
      <c r="J16" s="23"/>
      <c r="K16" s="69"/>
      <c r="L16" s="36"/>
      <c r="M16" s="24"/>
      <c r="O16" s="95" t="str">
        <f t="shared" si="0"/>
        <v/>
      </c>
      <c r="P16" s="95">
        <f t="shared" si="0"/>
        <v>44</v>
      </c>
      <c r="Q16" s="95">
        <f t="shared" si="0"/>
        <v>45</v>
      </c>
      <c r="R16" s="95" t="str">
        <f t="shared" si="0"/>
        <v/>
      </c>
      <c r="S16" s="96"/>
      <c r="T16" s="43"/>
      <c r="V16" s="53">
        <f>B16-0.013</f>
        <v>36.987000000000002</v>
      </c>
      <c r="W16" s="53">
        <f>E16-0.013</f>
        <v>43.987000000000002</v>
      </c>
      <c r="X16" s="53">
        <f>H16-0.013</f>
        <v>44.987000000000002</v>
      </c>
      <c r="Y16" s="53">
        <f>K16-0.013</f>
        <v>-1.2999999999999999E-2</v>
      </c>
      <c r="AA16" s="44" t="str">
        <f t="shared" si="4"/>
        <v/>
      </c>
      <c r="AB16" s="44">
        <f t="shared" si="5"/>
        <v>43.987000000000002</v>
      </c>
      <c r="AC16" s="44">
        <f t="shared" si="6"/>
        <v>44.987000000000002</v>
      </c>
      <c r="AD16" s="44" t="str">
        <f t="shared" si="7"/>
        <v/>
      </c>
      <c r="AF16" s="92">
        <v>17</v>
      </c>
      <c r="AG16" s="77">
        <f t="shared" si="1"/>
        <v>22.38</v>
      </c>
      <c r="AH16" s="77">
        <f t="shared" si="2"/>
        <v>21.509999999999998</v>
      </c>
      <c r="AI16" s="77" t="s">
        <v>34</v>
      </c>
      <c r="AJ16" s="77" t="s">
        <v>34</v>
      </c>
      <c r="AK16" s="78">
        <f t="shared" si="3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69">
        <v>43</v>
      </c>
      <c r="C17" s="36" t="str">
        <f t="shared" si="8"/>
        <v>+0˚</v>
      </c>
      <c r="D17" s="37"/>
      <c r="E17" s="69">
        <v>36</v>
      </c>
      <c r="F17" s="36" t="str">
        <f t="shared" si="9"/>
        <v>+0˚</v>
      </c>
      <c r="G17" s="23"/>
      <c r="H17" s="69">
        <v>38</v>
      </c>
      <c r="I17" s="36" t="str">
        <f t="shared" si="10"/>
        <v>-45˚</v>
      </c>
      <c r="J17" s="23"/>
      <c r="K17" s="69"/>
      <c r="L17" s="36"/>
      <c r="M17" s="24"/>
      <c r="O17" s="95">
        <f t="shared" si="0"/>
        <v>43</v>
      </c>
      <c r="P17" s="95">
        <f t="shared" si="0"/>
        <v>36</v>
      </c>
      <c r="Q17" s="95" t="str">
        <f t="shared" si="0"/>
        <v/>
      </c>
      <c r="R17" s="95" t="str">
        <f t="shared" si="0"/>
        <v/>
      </c>
      <c r="S17" s="96"/>
      <c r="T17" s="43"/>
      <c r="V17" s="53">
        <f>B17-0.012</f>
        <v>42.988</v>
      </c>
      <c r="W17" s="53">
        <f>E17-0.012</f>
        <v>35.988</v>
      </c>
      <c r="X17" s="53">
        <f>H17-0.012</f>
        <v>37.988</v>
      </c>
      <c r="Y17" s="53">
        <f>K17-0.012</f>
        <v>-1.2E-2</v>
      </c>
      <c r="AA17" s="44">
        <f t="shared" si="4"/>
        <v>42.988</v>
      </c>
      <c r="AB17" s="44">
        <f t="shared" si="5"/>
        <v>35.988</v>
      </c>
      <c r="AC17" s="44" t="str">
        <f t="shared" si="6"/>
        <v/>
      </c>
      <c r="AD17" s="44" t="str">
        <f t="shared" si="7"/>
        <v/>
      </c>
      <c r="AF17" s="92">
        <v>18</v>
      </c>
      <c r="AG17" s="77">
        <f t="shared" si="1"/>
        <v>23.44</v>
      </c>
      <c r="AH17" s="77">
        <f t="shared" si="2"/>
        <v>22.560000000000002</v>
      </c>
      <c r="AI17" s="77" t="s">
        <v>34</v>
      </c>
      <c r="AJ17" s="77" t="s">
        <v>34</v>
      </c>
      <c r="AK17" s="78">
        <f t="shared" si="3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69">
        <v>45</v>
      </c>
      <c r="C18" s="36" t="str">
        <f t="shared" si="8"/>
        <v>+0˚</v>
      </c>
      <c r="D18" s="37"/>
      <c r="E18" s="69">
        <v>35</v>
      </c>
      <c r="F18" s="36" t="str">
        <f t="shared" si="9"/>
        <v>+0˚</v>
      </c>
      <c r="G18" s="23"/>
      <c r="H18" s="69">
        <v>39</v>
      </c>
      <c r="I18" s="36" t="str">
        <f t="shared" si="10"/>
        <v>-45˚</v>
      </c>
      <c r="J18" s="23"/>
      <c r="K18" s="69"/>
      <c r="L18" s="36"/>
      <c r="M18" s="24"/>
      <c r="O18" s="95">
        <f t="shared" si="0"/>
        <v>45</v>
      </c>
      <c r="P18" s="95" t="str">
        <f t="shared" si="0"/>
        <v/>
      </c>
      <c r="Q18" s="95">
        <f t="shared" si="0"/>
        <v>39</v>
      </c>
      <c r="R18" s="95" t="str">
        <f t="shared" si="0"/>
        <v/>
      </c>
      <c r="S18" s="96"/>
      <c r="T18" s="43"/>
      <c r="V18" s="53">
        <f>B18-0.011</f>
        <v>44.988999999999997</v>
      </c>
      <c r="W18" s="53">
        <f>E18-0.011</f>
        <v>34.988999999999997</v>
      </c>
      <c r="X18" s="53">
        <f>H18-0.011</f>
        <v>38.988999999999997</v>
      </c>
      <c r="Y18" s="53">
        <f>K18-0.011</f>
        <v>-1.0999999999999999E-2</v>
      </c>
      <c r="AA18" s="44">
        <f t="shared" si="4"/>
        <v>44.988999999999997</v>
      </c>
      <c r="AB18" s="44" t="str">
        <f t="shared" si="5"/>
        <v/>
      </c>
      <c r="AC18" s="44">
        <f t="shared" si="6"/>
        <v>38.988999999999997</v>
      </c>
      <c r="AD18" s="44" t="str">
        <f t="shared" si="7"/>
        <v/>
      </c>
      <c r="AF18" s="92">
        <v>19</v>
      </c>
      <c r="AG18" s="77">
        <f t="shared" si="1"/>
        <v>24.54</v>
      </c>
      <c r="AH18" s="77">
        <f t="shared" si="2"/>
        <v>23.65</v>
      </c>
      <c r="AI18" s="77" t="s">
        <v>34</v>
      </c>
      <c r="AJ18" s="77" t="s">
        <v>34</v>
      </c>
      <c r="AK18" s="78">
        <f t="shared" si="3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69">
        <v>40</v>
      </c>
      <c r="C19" s="36" t="str">
        <f t="shared" si="8"/>
        <v>+0˚</v>
      </c>
      <c r="D19" s="37"/>
      <c r="E19" s="69">
        <v>29</v>
      </c>
      <c r="F19" s="36" t="str">
        <f t="shared" si="9"/>
        <v>+0˚</v>
      </c>
      <c r="G19" s="23"/>
      <c r="H19" s="69">
        <v>48</v>
      </c>
      <c r="I19" s="36" t="str">
        <f t="shared" si="10"/>
        <v>-45˚</v>
      </c>
      <c r="J19" s="23"/>
      <c r="K19" s="69"/>
      <c r="L19" s="36"/>
      <c r="M19" s="24"/>
      <c r="O19" s="95" t="str">
        <f t="shared" si="0"/>
        <v/>
      </c>
      <c r="P19" s="95" t="str">
        <f t="shared" si="0"/>
        <v/>
      </c>
      <c r="Q19" s="95">
        <f t="shared" si="0"/>
        <v>48</v>
      </c>
      <c r="R19" s="95">
        <f t="shared" si="0"/>
        <v>0</v>
      </c>
      <c r="S19" s="96"/>
      <c r="T19" s="43"/>
      <c r="V19" s="53">
        <f>B19-0.01</f>
        <v>39.99</v>
      </c>
      <c r="W19" s="53">
        <f>E19-0.01</f>
        <v>28.99</v>
      </c>
      <c r="X19" s="53">
        <f>H19-0.01</f>
        <v>47.99</v>
      </c>
      <c r="Y19" s="53">
        <f>K19-0.01</f>
        <v>-0.01</v>
      </c>
      <c r="AA19" s="44" t="str">
        <f t="shared" si="4"/>
        <v/>
      </c>
      <c r="AB19" s="44" t="str">
        <f t="shared" si="5"/>
        <v/>
      </c>
      <c r="AC19" s="44">
        <f t="shared" si="6"/>
        <v>47.99</v>
      </c>
      <c r="AD19" s="44">
        <f t="shared" si="7"/>
        <v>-0.01</v>
      </c>
      <c r="AF19" s="92">
        <v>20</v>
      </c>
      <c r="AG19" s="77">
        <f t="shared" si="1"/>
        <v>25.7</v>
      </c>
      <c r="AH19" s="77">
        <f t="shared" si="2"/>
        <v>24.8</v>
      </c>
      <c r="AI19" s="77">
        <f t="shared" si="2"/>
        <v>16.899999999999999</v>
      </c>
      <c r="AJ19" s="77">
        <f t="shared" si="2"/>
        <v>18.799999999999997</v>
      </c>
      <c r="AK19" s="78">
        <f t="shared" si="3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69">
        <v>44</v>
      </c>
      <c r="C20" s="36" t="str">
        <f t="shared" si="8"/>
        <v>+0˚</v>
      </c>
      <c r="D20" s="37"/>
      <c r="E20" s="69">
        <v>36</v>
      </c>
      <c r="F20" s="36" t="str">
        <f t="shared" si="9"/>
        <v>+0˚</v>
      </c>
      <c r="G20" s="23"/>
      <c r="H20" s="69">
        <v>34</v>
      </c>
      <c r="I20" s="36" t="str">
        <f t="shared" si="10"/>
        <v>-45˚</v>
      </c>
      <c r="J20" s="23"/>
      <c r="K20" s="69"/>
      <c r="L20" s="36"/>
      <c r="M20" s="24"/>
      <c r="O20" s="95">
        <f t="shared" si="0"/>
        <v>44</v>
      </c>
      <c r="P20" s="95">
        <f t="shared" si="0"/>
        <v>36</v>
      </c>
      <c r="Q20" s="95" t="str">
        <f t="shared" si="0"/>
        <v/>
      </c>
      <c r="R20" s="95">
        <f t="shared" si="0"/>
        <v>0</v>
      </c>
      <c r="S20" s="96"/>
      <c r="T20" s="43"/>
      <c r="V20" s="53">
        <f>B20-0.009</f>
        <v>43.991</v>
      </c>
      <c r="W20" s="53">
        <f>E20-0.009</f>
        <v>35.991</v>
      </c>
      <c r="X20" s="53">
        <f>H20-0.009</f>
        <v>33.991</v>
      </c>
      <c r="Y20" s="53">
        <f>K20-0.009</f>
        <v>-8.9999999999999993E-3</v>
      </c>
      <c r="AA20" s="44">
        <f t="shared" si="4"/>
        <v>43.991</v>
      </c>
      <c r="AB20" s="44">
        <f t="shared" si="5"/>
        <v>35.991</v>
      </c>
      <c r="AC20" s="44" t="str">
        <f t="shared" si="6"/>
        <v/>
      </c>
      <c r="AD20" s="44">
        <f t="shared" si="7"/>
        <v>-8.9999999999999993E-3</v>
      </c>
      <c r="AF20" s="92">
        <v>21</v>
      </c>
      <c r="AG20" s="77">
        <f t="shared" si="1"/>
        <v>26.91</v>
      </c>
      <c r="AH20" s="77">
        <f t="shared" si="2"/>
        <v>26.02</v>
      </c>
      <c r="AI20" s="77">
        <f t="shared" si="2"/>
        <v>18.21</v>
      </c>
      <c r="AJ20" s="77">
        <f t="shared" si="2"/>
        <v>20.079999999999998</v>
      </c>
      <c r="AK20" s="78">
        <f t="shared" si="3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69">
        <v>45</v>
      </c>
      <c r="C21" s="36" t="str">
        <f t="shared" si="8"/>
        <v>+0˚</v>
      </c>
      <c r="D21" s="37"/>
      <c r="E21" s="69">
        <v>25</v>
      </c>
      <c r="F21" s="36" t="str">
        <f t="shared" si="9"/>
        <v>+0˚</v>
      </c>
      <c r="G21" s="23"/>
      <c r="H21" s="69">
        <v>49</v>
      </c>
      <c r="I21" s="36" t="str">
        <f t="shared" si="10"/>
        <v>-45˚</v>
      </c>
      <c r="J21" s="23"/>
      <c r="K21" s="69"/>
      <c r="L21" s="36"/>
      <c r="M21" s="24"/>
      <c r="O21" s="95">
        <f t="shared" si="0"/>
        <v>45</v>
      </c>
      <c r="P21" s="95" t="str">
        <f t="shared" si="0"/>
        <v/>
      </c>
      <c r="Q21" s="95">
        <f t="shared" si="0"/>
        <v>49</v>
      </c>
      <c r="R21" s="95">
        <f t="shared" si="0"/>
        <v>0</v>
      </c>
      <c r="S21" s="96"/>
      <c r="T21" s="43"/>
      <c r="V21" s="53">
        <f>B21-0.008</f>
        <v>44.991999999999997</v>
      </c>
      <c r="W21" s="53">
        <f>E21-0.008</f>
        <v>24.992000000000001</v>
      </c>
      <c r="X21" s="53">
        <f>H21-0.008</f>
        <v>48.991999999999997</v>
      </c>
      <c r="Y21" s="53">
        <f>K21-0.008</f>
        <v>-8.0000000000000002E-3</v>
      </c>
      <c r="AA21" s="44">
        <f t="shared" si="4"/>
        <v>44.991999999999997</v>
      </c>
      <c r="AB21" s="44" t="str">
        <f t="shared" si="5"/>
        <v/>
      </c>
      <c r="AC21" s="44">
        <f t="shared" si="6"/>
        <v>48.991999999999997</v>
      </c>
      <c r="AD21" s="44">
        <f t="shared" si="7"/>
        <v>-8.0000000000000002E-3</v>
      </c>
      <c r="AF21" s="92">
        <v>22</v>
      </c>
      <c r="AG21" s="77">
        <f t="shared" si="1"/>
        <v>28.18</v>
      </c>
      <c r="AH21" s="77">
        <f t="shared" si="2"/>
        <v>27.3</v>
      </c>
      <c r="AI21" s="77">
        <f t="shared" si="2"/>
        <v>19.579999999999998</v>
      </c>
      <c r="AJ21" s="77">
        <f t="shared" si="2"/>
        <v>21.42</v>
      </c>
      <c r="AK21" s="78">
        <f t="shared" si="3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69">
        <v>43</v>
      </c>
      <c r="C22" s="36" t="str">
        <f t="shared" si="8"/>
        <v>+0˚</v>
      </c>
      <c r="D22" s="37"/>
      <c r="E22" s="69">
        <v>32</v>
      </c>
      <c r="F22" s="36" t="str">
        <f t="shared" si="9"/>
        <v>+0˚</v>
      </c>
      <c r="G22" s="23"/>
      <c r="H22" s="69">
        <v>39</v>
      </c>
      <c r="I22" s="36" t="str">
        <f t="shared" si="10"/>
        <v>-45˚</v>
      </c>
      <c r="J22" s="23"/>
      <c r="K22" s="69"/>
      <c r="L22" s="36"/>
      <c r="M22" s="24"/>
      <c r="O22" s="95">
        <f t="shared" si="0"/>
        <v>43</v>
      </c>
      <c r="P22" s="95" t="str">
        <f t="shared" si="0"/>
        <v/>
      </c>
      <c r="Q22" s="95">
        <f t="shared" si="0"/>
        <v>39</v>
      </c>
      <c r="R22" s="95">
        <f t="shared" si="0"/>
        <v>0</v>
      </c>
      <c r="S22" s="96"/>
      <c r="T22" s="43"/>
      <c r="V22" s="53">
        <f>B22-0.007</f>
        <v>42.993000000000002</v>
      </c>
      <c r="W22" s="53">
        <f>E22-0.007</f>
        <v>31.992999999999999</v>
      </c>
      <c r="X22" s="53">
        <f>H22-0.007</f>
        <v>38.993000000000002</v>
      </c>
      <c r="Y22" s="53">
        <f>K22-0.007</f>
        <v>-7.0000000000000001E-3</v>
      </c>
      <c r="AA22" s="44">
        <f t="shared" si="4"/>
        <v>42.993000000000002</v>
      </c>
      <c r="AB22" s="44" t="str">
        <f t="shared" si="5"/>
        <v/>
      </c>
      <c r="AC22" s="44">
        <f t="shared" si="6"/>
        <v>38.993000000000002</v>
      </c>
      <c r="AD22" s="44">
        <f t="shared" si="7"/>
        <v>-7.0000000000000001E-3</v>
      </c>
      <c r="AF22" s="92">
        <v>23</v>
      </c>
      <c r="AG22" s="77">
        <f t="shared" si="1"/>
        <v>29.51</v>
      </c>
      <c r="AH22" s="77">
        <f t="shared" si="2"/>
        <v>28.64</v>
      </c>
      <c r="AI22" s="77">
        <f t="shared" si="2"/>
        <v>21.01</v>
      </c>
      <c r="AJ22" s="77">
        <f t="shared" si="2"/>
        <v>22.82</v>
      </c>
      <c r="AK22" s="78">
        <f t="shared" si="3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69">
        <v>41</v>
      </c>
      <c r="C23" s="36" t="str">
        <f t="shared" si="8"/>
        <v>+0˚</v>
      </c>
      <c r="D23" s="37"/>
      <c r="E23" s="69">
        <v>32</v>
      </c>
      <c r="F23" s="36" t="str">
        <f t="shared" si="9"/>
        <v>+0˚</v>
      </c>
      <c r="G23" s="23"/>
      <c r="H23" s="69">
        <v>35</v>
      </c>
      <c r="I23" s="36" t="str">
        <f t="shared" si="10"/>
        <v>-45˚</v>
      </c>
      <c r="J23" s="23"/>
      <c r="K23" s="69"/>
      <c r="L23" s="36"/>
      <c r="M23" s="24"/>
      <c r="O23" s="95">
        <f t="shared" si="0"/>
        <v>41</v>
      </c>
      <c r="P23" s="95" t="str">
        <f t="shared" si="0"/>
        <v/>
      </c>
      <c r="Q23" s="95" t="str">
        <f t="shared" si="0"/>
        <v/>
      </c>
      <c r="R23" s="95">
        <f t="shared" si="0"/>
        <v>0</v>
      </c>
      <c r="S23" s="96"/>
      <c r="T23" s="43"/>
      <c r="V23" s="53">
        <f>B23-0.006</f>
        <v>40.994</v>
      </c>
      <c r="W23" s="53">
        <f>E23-0.006</f>
        <v>31.994</v>
      </c>
      <c r="X23" s="53">
        <f>H23-0.006</f>
        <v>34.994</v>
      </c>
      <c r="Y23" s="53">
        <f>K23-0.006</f>
        <v>-6.0000000000000001E-3</v>
      </c>
      <c r="AA23" s="44">
        <f t="shared" si="4"/>
        <v>40.994</v>
      </c>
      <c r="AB23" s="44" t="str">
        <f t="shared" si="5"/>
        <v/>
      </c>
      <c r="AC23" s="44" t="str">
        <f t="shared" si="6"/>
        <v/>
      </c>
      <c r="AD23" s="44">
        <f t="shared" si="7"/>
        <v>-6.0000000000000001E-3</v>
      </c>
      <c r="AF23" s="92">
        <v>24</v>
      </c>
      <c r="AG23" s="77">
        <f t="shared" si="1"/>
        <v>30.9</v>
      </c>
      <c r="AH23" s="77">
        <f t="shared" si="2"/>
        <v>30.04</v>
      </c>
      <c r="AI23" s="77">
        <f t="shared" si="2"/>
        <v>22.5</v>
      </c>
      <c r="AJ23" s="77">
        <f t="shared" si="2"/>
        <v>24.279999999999998</v>
      </c>
      <c r="AK23" s="78">
        <f t="shared" si="3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69">
        <v>39</v>
      </c>
      <c r="C24" s="36" t="str">
        <f t="shared" si="8"/>
        <v>+0˚</v>
      </c>
      <c r="D24" s="37"/>
      <c r="E24" s="69">
        <v>26</v>
      </c>
      <c r="F24" s="36" t="str">
        <f t="shared" si="9"/>
        <v>+0˚</v>
      </c>
      <c r="G24" s="23"/>
      <c r="H24" s="69">
        <v>37</v>
      </c>
      <c r="I24" s="36" t="str">
        <f t="shared" si="10"/>
        <v>-45˚</v>
      </c>
      <c r="J24" s="23"/>
      <c r="K24" s="69"/>
      <c r="L24" s="36"/>
      <c r="M24" s="24"/>
      <c r="O24" s="95" t="str">
        <f t="shared" si="0"/>
        <v/>
      </c>
      <c r="P24" s="95" t="str">
        <f t="shared" si="0"/>
        <v/>
      </c>
      <c r="Q24" s="95" t="str">
        <f t="shared" si="0"/>
        <v/>
      </c>
      <c r="R24" s="95">
        <f t="shared" si="0"/>
        <v>0</v>
      </c>
      <c r="S24" s="96"/>
      <c r="T24" s="43"/>
      <c r="V24" s="53">
        <f>B24-0.005</f>
        <v>38.994999999999997</v>
      </c>
      <c r="W24" s="53">
        <f>E24-0.005</f>
        <v>25.995000000000001</v>
      </c>
      <c r="X24" s="53">
        <f>H24-0.005</f>
        <v>36.994999999999997</v>
      </c>
      <c r="Y24" s="53">
        <f>K24-0.005</f>
        <v>-5.0000000000000001E-3</v>
      </c>
      <c r="AA24" s="44" t="str">
        <f t="shared" si="4"/>
        <v/>
      </c>
      <c r="AB24" s="44" t="str">
        <f t="shared" si="5"/>
        <v/>
      </c>
      <c r="AC24" s="44" t="str">
        <f t="shared" si="6"/>
        <v/>
      </c>
      <c r="AD24" s="44">
        <f t="shared" si="7"/>
        <v>-5.0000000000000001E-3</v>
      </c>
      <c r="AF24" s="92">
        <v>25</v>
      </c>
      <c r="AG24" s="77">
        <f t="shared" si="1"/>
        <v>32.35</v>
      </c>
      <c r="AH24" s="77">
        <f t="shared" si="2"/>
        <v>31.5</v>
      </c>
      <c r="AI24" s="77">
        <f t="shared" si="2"/>
        <v>24.050000000000011</v>
      </c>
      <c r="AJ24" s="77">
        <f t="shared" si="2"/>
        <v>25.8</v>
      </c>
      <c r="AK24" s="78">
        <f t="shared" si="3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69">
        <v>35</v>
      </c>
      <c r="C25" s="36" t="str">
        <f t="shared" si="8"/>
        <v>+0˚</v>
      </c>
      <c r="D25" s="37"/>
      <c r="E25" s="69">
        <v>39</v>
      </c>
      <c r="F25" s="36" t="str">
        <f t="shared" si="9"/>
        <v>+0˚</v>
      </c>
      <c r="G25" s="23"/>
      <c r="H25" s="69">
        <v>48</v>
      </c>
      <c r="I25" s="36" t="str">
        <f t="shared" si="10"/>
        <v>-45˚</v>
      </c>
      <c r="J25" s="23"/>
      <c r="K25" s="69"/>
      <c r="L25" s="36"/>
      <c r="M25" s="24"/>
      <c r="O25" s="95" t="str">
        <f t="shared" si="0"/>
        <v/>
      </c>
      <c r="P25" s="95">
        <f t="shared" si="0"/>
        <v>39</v>
      </c>
      <c r="Q25" s="95">
        <f t="shared" si="0"/>
        <v>48</v>
      </c>
      <c r="R25" s="95">
        <f t="shared" si="0"/>
        <v>0</v>
      </c>
      <c r="S25" s="96"/>
      <c r="T25" s="43"/>
      <c r="V25" s="53">
        <f>B25-0.004</f>
        <v>34.996000000000002</v>
      </c>
      <c r="W25" s="53">
        <f>E25-0.004</f>
        <v>38.996000000000002</v>
      </c>
      <c r="X25" s="53">
        <f>H25-0.004</f>
        <v>47.996000000000002</v>
      </c>
      <c r="Y25" s="53">
        <f>K25-0.004</f>
        <v>-4.0000000000000001E-3</v>
      </c>
      <c r="AA25" s="44" t="str">
        <f t="shared" si="4"/>
        <v/>
      </c>
      <c r="AB25" s="44">
        <f t="shared" si="5"/>
        <v>38.996000000000002</v>
      </c>
      <c r="AC25" s="44">
        <f t="shared" si="6"/>
        <v>47.996000000000002</v>
      </c>
      <c r="AD25" s="44">
        <f t="shared" si="7"/>
        <v>-4.0000000000000001E-3</v>
      </c>
      <c r="AF25" s="92">
        <v>26</v>
      </c>
      <c r="AG25" s="77">
        <f t="shared" si="1"/>
        <v>33.880000000000003</v>
      </c>
      <c r="AH25" s="77">
        <f t="shared" si="2"/>
        <v>33.04</v>
      </c>
      <c r="AI25" s="77">
        <f t="shared" si="2"/>
        <v>25.680000000000014</v>
      </c>
      <c r="AJ25" s="77">
        <f t="shared" si="2"/>
        <v>27.400000000000002</v>
      </c>
      <c r="AK25" s="78">
        <f t="shared" si="3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69">
        <v>37</v>
      </c>
      <c r="C26" s="36" t="str">
        <f t="shared" si="8"/>
        <v>+0˚</v>
      </c>
      <c r="D26" s="37"/>
      <c r="E26" s="69">
        <v>35</v>
      </c>
      <c r="F26" s="36" t="str">
        <f t="shared" si="9"/>
        <v>+0˚</v>
      </c>
      <c r="G26" s="23"/>
      <c r="H26" s="69">
        <v>32</v>
      </c>
      <c r="I26" s="36" t="str">
        <f t="shared" si="10"/>
        <v>-45˚</v>
      </c>
      <c r="J26" s="23"/>
      <c r="K26" s="69"/>
      <c r="L26" s="36"/>
      <c r="M26" s="24"/>
      <c r="O26" s="95" t="str">
        <f t="shared" si="0"/>
        <v/>
      </c>
      <c r="P26" s="95">
        <f t="shared" si="0"/>
        <v>35</v>
      </c>
      <c r="Q26" s="95" t="str">
        <f t="shared" si="0"/>
        <v/>
      </c>
      <c r="R26" s="95">
        <f t="shared" si="0"/>
        <v>0</v>
      </c>
      <c r="S26" s="96"/>
      <c r="T26" s="43"/>
      <c r="V26" s="53">
        <f>B26-0.003</f>
        <v>36.997</v>
      </c>
      <c r="W26" s="53">
        <f>E26-0.003</f>
        <v>34.997</v>
      </c>
      <c r="X26" s="53">
        <f>H26-0.003</f>
        <v>31.997</v>
      </c>
      <c r="Y26" s="53">
        <f>K26-0.003</f>
        <v>-3.0000000000000001E-3</v>
      </c>
      <c r="AA26" s="44" t="str">
        <f t="shared" si="4"/>
        <v/>
      </c>
      <c r="AB26" s="44">
        <f t="shared" si="5"/>
        <v>34.997</v>
      </c>
      <c r="AC26" s="44" t="str">
        <f t="shared" si="6"/>
        <v/>
      </c>
      <c r="AD26" s="44">
        <f t="shared" si="7"/>
        <v>-3.0000000000000001E-3</v>
      </c>
      <c r="AF26" s="92">
        <v>27</v>
      </c>
      <c r="AG26" s="77">
        <f t="shared" si="1"/>
        <v>35.479999999999997</v>
      </c>
      <c r="AH26" s="77">
        <f t="shared" si="2"/>
        <v>34.65</v>
      </c>
      <c r="AI26" s="77">
        <f t="shared" si="2"/>
        <v>27.380000000000006</v>
      </c>
      <c r="AJ26" s="77">
        <f t="shared" si="2"/>
        <v>29.069999999999997</v>
      </c>
      <c r="AK26" s="78">
        <f t="shared" si="3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69">
        <v>33</v>
      </c>
      <c r="C27" s="36" t="str">
        <f t="shared" si="8"/>
        <v>+0˚</v>
      </c>
      <c r="D27" s="37"/>
      <c r="E27" s="69">
        <v>46</v>
      </c>
      <c r="F27" s="36" t="str">
        <f t="shared" si="9"/>
        <v>+0˚</v>
      </c>
      <c r="G27" s="23"/>
      <c r="H27" s="69">
        <v>34</v>
      </c>
      <c r="I27" s="36" t="str">
        <f t="shared" si="10"/>
        <v>-45˚</v>
      </c>
      <c r="J27" s="23"/>
      <c r="K27" s="69"/>
      <c r="L27" s="36"/>
      <c r="M27" s="24"/>
      <c r="O27" s="95" t="str">
        <f t="shared" si="0"/>
        <v/>
      </c>
      <c r="P27" s="95">
        <f t="shared" si="0"/>
        <v>46</v>
      </c>
      <c r="Q27" s="95" t="str">
        <f t="shared" si="0"/>
        <v/>
      </c>
      <c r="R27" s="95">
        <f t="shared" si="0"/>
        <v>0</v>
      </c>
      <c r="S27" s="96"/>
      <c r="T27" s="43"/>
      <c r="V27" s="53">
        <f>B27-0.002</f>
        <v>32.997999999999998</v>
      </c>
      <c r="W27" s="53">
        <f>E27-0.002</f>
        <v>45.997999999999998</v>
      </c>
      <c r="X27" s="53">
        <f>H27-0.002</f>
        <v>33.997999999999998</v>
      </c>
      <c r="Y27" s="53">
        <f>K27-0.002</f>
        <v>-2E-3</v>
      </c>
      <c r="AA27" s="44" t="str">
        <f t="shared" si="4"/>
        <v/>
      </c>
      <c r="AB27" s="44">
        <f t="shared" si="5"/>
        <v>45.997999999999998</v>
      </c>
      <c r="AC27" s="44" t="str">
        <f t="shared" si="6"/>
        <v/>
      </c>
      <c r="AD27" s="44">
        <f t="shared" si="7"/>
        <v>-2E-3</v>
      </c>
      <c r="AF27" s="92">
        <v>28</v>
      </c>
      <c r="AG27" s="77">
        <f t="shared" si="1"/>
        <v>37.15</v>
      </c>
      <c r="AH27" s="77">
        <f t="shared" si="2"/>
        <v>36.33</v>
      </c>
      <c r="AI27" s="77">
        <f t="shared" si="2"/>
        <v>29.150000000000009</v>
      </c>
      <c r="AJ27" s="77">
        <f t="shared" si="2"/>
        <v>30.81</v>
      </c>
      <c r="AK27" s="78">
        <f t="shared" si="3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69">
        <v>41</v>
      </c>
      <c r="C28" s="36" t="str">
        <f t="shared" si="8"/>
        <v>+0˚</v>
      </c>
      <c r="D28" s="37"/>
      <c r="E28" s="69">
        <v>48</v>
      </c>
      <c r="F28" s="36" t="str">
        <f t="shared" si="9"/>
        <v>+0˚</v>
      </c>
      <c r="G28" s="23"/>
      <c r="H28" s="69">
        <v>40</v>
      </c>
      <c r="I28" s="36" t="str">
        <f t="shared" si="10"/>
        <v>-45˚</v>
      </c>
      <c r="J28" s="23"/>
      <c r="K28" s="69"/>
      <c r="L28" s="36"/>
      <c r="M28" s="24"/>
      <c r="O28" s="95">
        <f t="shared" si="0"/>
        <v>41</v>
      </c>
      <c r="P28" s="95">
        <f t="shared" si="0"/>
        <v>48</v>
      </c>
      <c r="Q28" s="95">
        <f t="shared" si="0"/>
        <v>40</v>
      </c>
      <c r="R28" s="95">
        <f t="shared" si="0"/>
        <v>0</v>
      </c>
      <c r="S28" s="96"/>
      <c r="T28" s="43"/>
      <c r="V28" s="53">
        <f>B28-0.001</f>
        <v>40.999000000000002</v>
      </c>
      <c r="W28" s="53">
        <f>E28-0.001</f>
        <v>47.999000000000002</v>
      </c>
      <c r="X28" s="53">
        <f>H28-0.001</f>
        <v>39.999000000000002</v>
      </c>
      <c r="Y28" s="53">
        <f>K28-0.001</f>
        <v>-1E-3</v>
      </c>
      <c r="AA28" s="44">
        <f t="shared" si="4"/>
        <v>40.999000000000002</v>
      </c>
      <c r="AB28" s="44">
        <f t="shared" si="5"/>
        <v>47.999000000000002</v>
      </c>
      <c r="AC28" s="44">
        <f t="shared" si="6"/>
        <v>39.999000000000002</v>
      </c>
      <c r="AD28" s="44">
        <f t="shared" si="7"/>
        <v>-1E-3</v>
      </c>
      <c r="AF28" s="92">
        <v>29</v>
      </c>
      <c r="AG28" s="77">
        <f t="shared" si="1"/>
        <v>38.9</v>
      </c>
      <c r="AH28" s="77">
        <f t="shared" si="2"/>
        <v>38.089999999999996</v>
      </c>
      <c r="AI28" s="77">
        <f t="shared" si="2"/>
        <v>31.000000000000007</v>
      </c>
      <c r="AJ28" s="77">
        <f t="shared" si="2"/>
        <v>32.629999999999995</v>
      </c>
      <c r="AK28" s="78">
        <f t="shared" si="3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95">
        <f>ROUND(AVERAGE(O9:O28),0)</f>
        <v>43</v>
      </c>
      <c r="P29" s="95">
        <f>ROUND(AVERAGE(P9:P28),0)</f>
        <v>46</v>
      </c>
      <c r="Q29" s="95">
        <f>ROUND(AVERAGE(Q9:Q28),0)</f>
        <v>43</v>
      </c>
      <c r="R29" s="95">
        <f>ROUND(AVERAGE(R9:R28),0)</f>
        <v>0</v>
      </c>
      <c r="S29" s="96"/>
      <c r="AA29" s="44" t="str">
        <f t="shared" si="4"/>
        <v/>
      </c>
      <c r="AB29" s="44" t="str">
        <f t="shared" si="5"/>
        <v/>
      </c>
      <c r="AC29" s="44" t="str">
        <f t="shared" si="6"/>
        <v/>
      </c>
      <c r="AF29" s="92">
        <v>30</v>
      </c>
      <c r="AG29" s="77">
        <f t="shared" si="1"/>
        <v>40.729999999999997</v>
      </c>
      <c r="AH29" s="77">
        <f t="shared" si="2"/>
        <v>39.93</v>
      </c>
      <c r="AI29" s="77">
        <f t="shared" si="2"/>
        <v>32.93</v>
      </c>
      <c r="AJ29" s="77">
        <f t="shared" si="2"/>
        <v>34.529999999999994</v>
      </c>
      <c r="AK29" s="78">
        <f t="shared" si="3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W30" s="4">
        <f>LARGE($W$9:$W$28,10)</f>
        <v>34.997</v>
      </c>
      <c r="AB30" s="44">
        <f t="shared" si="5"/>
        <v>34.997</v>
      </c>
      <c r="AF30" s="92">
        <v>31</v>
      </c>
      <c r="AG30" s="77">
        <f t="shared" si="1"/>
        <v>42.65</v>
      </c>
      <c r="AH30" s="77">
        <f t="shared" si="2"/>
        <v>41.86</v>
      </c>
      <c r="AI30" s="77">
        <f t="shared" si="2"/>
        <v>34.97</v>
      </c>
      <c r="AJ30" s="77">
        <f t="shared" si="2"/>
        <v>36.54</v>
      </c>
      <c r="AK30" s="78">
        <f t="shared" si="3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92">
        <v>32</v>
      </c>
      <c r="AG31" s="77">
        <f t="shared" si="1"/>
        <v>44.66</v>
      </c>
      <c r="AH31" s="77">
        <f t="shared" si="2"/>
        <v>43.879999999999995</v>
      </c>
      <c r="AI31" s="77">
        <f t="shared" si="2"/>
        <v>37.099999999999994</v>
      </c>
      <c r="AJ31" s="77">
        <f t="shared" si="2"/>
        <v>38.64</v>
      </c>
      <c r="AK31" s="78">
        <f t="shared" si="3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92">
        <v>33</v>
      </c>
      <c r="AG32" s="77">
        <f t="shared" si="1"/>
        <v>46.77</v>
      </c>
      <c r="AH32" s="77">
        <f t="shared" si="2"/>
        <v>46</v>
      </c>
      <c r="AI32" s="77">
        <f t="shared" si="2"/>
        <v>39.330000000000005</v>
      </c>
      <c r="AJ32" s="77">
        <f t="shared" si="2"/>
        <v>40.840000000000003</v>
      </c>
      <c r="AK32" s="78">
        <f t="shared" si="3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92">
        <v>34</v>
      </c>
      <c r="AG33" s="77">
        <f t="shared" si="1"/>
        <v>48.97</v>
      </c>
      <c r="AH33" s="77">
        <f t="shared" si="2"/>
        <v>48.21</v>
      </c>
      <c r="AI33" s="77">
        <f t="shared" si="2"/>
        <v>41.65</v>
      </c>
      <c r="AJ33" s="77">
        <f t="shared" si="2"/>
        <v>43.129999999999995</v>
      </c>
      <c r="AK33" s="78">
        <f t="shared" si="3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43</v>
      </c>
      <c r="C34" s="36" t="str">
        <f>$C$9</f>
        <v>+0˚</v>
      </c>
      <c r="D34" s="54">
        <f>ROUND(INDEX($AG$9:$AK$60,MATCH(B34,$AF$9:$AF$59,0),MATCH(C34,$AG$8:$AK$8,0)),1)</f>
        <v>71.599999999999994</v>
      </c>
      <c r="E34" s="15">
        <f>P29</f>
        <v>46</v>
      </c>
      <c r="F34" s="32" t="str">
        <f>$F$9</f>
        <v>+0˚</v>
      </c>
      <c r="G34" s="54">
        <f>ROUND(INDEX($AG$9:$AK$60,MATCH(E34,$AF$9:$AF$59,0),MATCH(F34,$AG$8:$AK$8,0)),1)</f>
        <v>82.7</v>
      </c>
      <c r="H34" s="15">
        <f>Q29</f>
        <v>43</v>
      </c>
      <c r="I34" s="32" t="str">
        <f>$I$9</f>
        <v>-45˚</v>
      </c>
      <c r="J34" s="54">
        <f>ROUND(INDEX($AG$9:$AK$60,MATCH(H34,$AF$9:$AF$59,0),MATCH(I34,$AG$8:$AK$8,0)),1)</f>
        <v>73.5</v>
      </c>
      <c r="K34" s="15"/>
      <c r="L34" s="32"/>
      <c r="M34" s="57"/>
      <c r="O34" s="44"/>
      <c r="P34" s="44"/>
      <c r="Q34" s="44"/>
      <c r="R34" s="44"/>
      <c r="S34" s="49"/>
      <c r="AF34" s="92">
        <v>35</v>
      </c>
      <c r="AG34" s="77">
        <f t="shared" si="1"/>
        <v>51.28</v>
      </c>
      <c r="AH34" s="77">
        <f t="shared" si="2"/>
        <v>50.53</v>
      </c>
      <c r="AI34" s="77">
        <f t="shared" si="2"/>
        <v>44.08</v>
      </c>
      <c r="AJ34" s="77">
        <f t="shared" si="2"/>
        <v>45.53</v>
      </c>
      <c r="AK34" s="78">
        <f t="shared" si="3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05" t="str">
        <f>IF(D34&lt;=50,"CW",IF(D34&lt;=85,"HW",IF(D34&lt;=115,"MW",IF(D34&lt;=145,"SW","F"))))</f>
        <v>HW</v>
      </c>
      <c r="C35" s="105"/>
      <c r="D35" s="106"/>
      <c r="E35" s="105" t="str">
        <f>IF(G34&lt;=50,"CW",IF(G34&lt;=85,"HW",IF(G34&lt;=115,"MW",IF(G34&lt;=145,"SW","F"))))</f>
        <v>HW</v>
      </c>
      <c r="F35" s="105"/>
      <c r="G35" s="106"/>
      <c r="H35" s="105" t="str">
        <f>IF(J34&lt;=50,"CW",IF(J34&lt;=85,"HW",IF(J34&lt;=115,"MW",IF(J34&lt;=145,"SW","F"))))</f>
        <v>HW</v>
      </c>
      <c r="I35" s="105"/>
      <c r="J35" s="106"/>
      <c r="K35" s="105"/>
      <c r="L35" s="105"/>
      <c r="M35" s="107"/>
      <c r="O35" s="44"/>
      <c r="P35" s="44"/>
      <c r="Q35" s="44"/>
      <c r="R35" s="44"/>
      <c r="S35" s="49"/>
      <c r="AF35" s="92">
        <v>36</v>
      </c>
      <c r="AG35" s="77">
        <f t="shared" si="1"/>
        <v>53.7</v>
      </c>
      <c r="AH35" s="77">
        <f t="shared" si="2"/>
        <v>52.96</v>
      </c>
      <c r="AI35" s="77">
        <f t="shared" si="2"/>
        <v>46.620000000000005</v>
      </c>
      <c r="AJ35" s="77">
        <f t="shared" si="2"/>
        <v>48.040000000000006</v>
      </c>
      <c r="AK35" s="78">
        <f t="shared" si="3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풍화암</v>
      </c>
      <c r="AF36" s="92">
        <v>37</v>
      </c>
      <c r="AG36" s="77">
        <f t="shared" si="1"/>
        <v>56.23</v>
      </c>
      <c r="AH36" s="77">
        <f t="shared" si="2"/>
        <v>55.499999999999993</v>
      </c>
      <c r="AI36" s="77">
        <f t="shared" si="2"/>
        <v>49.269999999999996</v>
      </c>
      <c r="AJ36" s="77">
        <f t="shared" si="2"/>
        <v>50.66</v>
      </c>
      <c r="AK36" s="78">
        <f t="shared" si="3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04"/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AF37" s="92">
        <v>38</v>
      </c>
      <c r="AG37" s="77">
        <f t="shared" si="1"/>
        <v>58.88</v>
      </c>
      <c r="AH37" s="77">
        <f t="shared" si="2"/>
        <v>58.160000000000004</v>
      </c>
      <c r="AI37" s="77">
        <f t="shared" si="2"/>
        <v>52.040000000000006</v>
      </c>
      <c r="AJ37" s="77">
        <f t="shared" si="2"/>
        <v>53.400000000000006</v>
      </c>
      <c r="AK37" s="78">
        <f t="shared" si="3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92">
        <v>39</v>
      </c>
      <c r="AG38" s="77">
        <f t="shared" si="1"/>
        <v>61.65</v>
      </c>
      <c r="AH38" s="77">
        <f t="shared" si="2"/>
        <v>60.94</v>
      </c>
      <c r="AI38" s="77">
        <f t="shared" si="2"/>
        <v>54.93</v>
      </c>
      <c r="AJ38" s="77">
        <f t="shared" si="2"/>
        <v>56.260000000000005</v>
      </c>
      <c r="AK38" s="78">
        <f t="shared" si="3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x14ac:dyDescent="0.15">
      <c r="A39" s="2"/>
      <c r="AF39" s="92">
        <v>40</v>
      </c>
      <c r="AG39" s="77">
        <f t="shared" si="1"/>
        <v>64.56</v>
      </c>
      <c r="AH39" s="77">
        <f t="shared" si="2"/>
        <v>63.86</v>
      </c>
      <c r="AI39" s="77">
        <f t="shared" si="2"/>
        <v>57.96</v>
      </c>
      <c r="AJ39" s="77">
        <f t="shared" si="2"/>
        <v>59.260000000000005</v>
      </c>
      <c r="AK39" s="78">
        <f t="shared" si="3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92">
        <v>41</v>
      </c>
      <c r="AG40" s="77">
        <f t="shared" si="1"/>
        <v>67.599999999999994</v>
      </c>
      <c r="AH40" s="77">
        <f t="shared" si="2"/>
        <v>66.91</v>
      </c>
      <c r="AI40" s="77">
        <f t="shared" si="2"/>
        <v>61.129999999999995</v>
      </c>
      <c r="AJ40" s="77">
        <f t="shared" si="2"/>
        <v>62.399999999999991</v>
      </c>
      <c r="AK40" s="78">
        <f t="shared" si="3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92">
        <v>42</v>
      </c>
      <c r="AG41" s="79">
        <f t="shared" si="1"/>
        <v>70.790000000000006</v>
      </c>
      <c r="AH41" s="79">
        <f t="shared" ref="AH41:AJ59" si="11">$AG41+AM41</f>
        <v>70.11</v>
      </c>
      <c r="AI41" s="77">
        <f t="shared" si="11"/>
        <v>64.45</v>
      </c>
      <c r="AJ41" s="77">
        <f t="shared" si="11"/>
        <v>65.690000000000012</v>
      </c>
      <c r="AK41" s="78">
        <f t="shared" si="3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92">
        <v>43</v>
      </c>
      <c r="AG42" s="79">
        <f t="shared" si="1"/>
        <v>74.13</v>
      </c>
      <c r="AH42" s="79">
        <f t="shared" si="11"/>
        <v>73.459999999999994</v>
      </c>
      <c r="AI42" s="77">
        <f t="shared" si="11"/>
        <v>67.92</v>
      </c>
      <c r="AJ42" s="77">
        <f t="shared" si="11"/>
        <v>69.13</v>
      </c>
      <c r="AK42" s="80">
        <f t="shared" si="3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92">
        <v>44</v>
      </c>
      <c r="AG43" s="79">
        <f t="shared" si="1"/>
        <v>77.62</v>
      </c>
      <c r="AH43" s="79">
        <f t="shared" si="11"/>
        <v>76.960000000000008</v>
      </c>
      <c r="AI43" s="79">
        <f t="shared" si="11"/>
        <v>71.540000000000006</v>
      </c>
      <c r="AJ43" s="79">
        <f t="shared" si="11"/>
        <v>72.72</v>
      </c>
      <c r="AK43" s="80">
        <f t="shared" si="3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92">
        <v>45</v>
      </c>
      <c r="AG44" s="79">
        <f t="shared" si="1"/>
        <v>81.28</v>
      </c>
      <c r="AH44" s="79">
        <f t="shared" si="11"/>
        <v>80.63</v>
      </c>
      <c r="AI44" s="79">
        <f t="shared" si="11"/>
        <v>75.33</v>
      </c>
      <c r="AJ44" s="79">
        <f t="shared" si="11"/>
        <v>76.48</v>
      </c>
      <c r="AK44" s="80">
        <f t="shared" si="3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92">
        <v>46</v>
      </c>
      <c r="AG45" s="79">
        <f t="shared" si="1"/>
        <v>85.11</v>
      </c>
      <c r="AH45" s="79">
        <f t="shared" si="11"/>
        <v>84.47</v>
      </c>
      <c r="AI45" s="79">
        <f t="shared" si="11"/>
        <v>79.289999999999992</v>
      </c>
      <c r="AJ45" s="79">
        <f t="shared" si="11"/>
        <v>80.41</v>
      </c>
      <c r="AK45" s="80">
        <f t="shared" si="3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04"/>
      <c r="B46" s="104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AF46" s="92">
        <v>47</v>
      </c>
      <c r="AG46" s="79">
        <f t="shared" si="1"/>
        <v>89.12</v>
      </c>
      <c r="AH46" s="79">
        <f t="shared" si="11"/>
        <v>88.490000000000009</v>
      </c>
      <c r="AI46" s="79">
        <f t="shared" si="11"/>
        <v>83.43</v>
      </c>
      <c r="AJ46" s="79">
        <f t="shared" si="11"/>
        <v>84.52000000000001</v>
      </c>
      <c r="AK46" s="80">
        <f t="shared" si="3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04"/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AF47" s="92">
        <v>48</v>
      </c>
      <c r="AG47" s="79">
        <f t="shared" si="1"/>
        <v>93.32</v>
      </c>
      <c r="AH47" s="79">
        <f t="shared" si="11"/>
        <v>92.699999999999989</v>
      </c>
      <c r="AI47" s="79">
        <f t="shared" si="11"/>
        <v>87.759999999999991</v>
      </c>
      <c r="AJ47" s="79">
        <f t="shared" si="11"/>
        <v>88.82</v>
      </c>
      <c r="AK47" s="80">
        <f t="shared" si="3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92">
        <v>49</v>
      </c>
      <c r="AG48" s="79">
        <f t="shared" si="1"/>
        <v>97.72</v>
      </c>
      <c r="AH48" s="79">
        <f t="shared" si="11"/>
        <v>97.11</v>
      </c>
      <c r="AI48" s="79">
        <f t="shared" si="11"/>
        <v>92.289999999999992</v>
      </c>
      <c r="AJ48" s="79">
        <f t="shared" si="11"/>
        <v>93.32</v>
      </c>
      <c r="AK48" s="80">
        <f t="shared" si="3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92">
        <v>50</v>
      </c>
      <c r="AG49" s="81">
        <f t="shared" si="1"/>
        <v>102.32</v>
      </c>
      <c r="AH49" s="81">
        <f t="shared" si="11"/>
        <v>101.72</v>
      </c>
      <c r="AI49" s="79">
        <f t="shared" si="11"/>
        <v>97.02</v>
      </c>
      <c r="AJ49" s="79">
        <f t="shared" si="11"/>
        <v>98.02</v>
      </c>
      <c r="AK49" s="82">
        <f t="shared" si="3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92">
        <v>51</v>
      </c>
      <c r="AG50" s="81">
        <f t="shared" si="1"/>
        <v>107.15</v>
      </c>
      <c r="AH50" s="81">
        <f t="shared" si="11"/>
        <v>106.57000000000001</v>
      </c>
      <c r="AI50" s="81">
        <f t="shared" si="11"/>
        <v>101.98</v>
      </c>
      <c r="AJ50" s="81">
        <f t="shared" si="11"/>
        <v>102.95</v>
      </c>
      <c r="AK50" s="82">
        <f t="shared" si="3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92">
        <v>52</v>
      </c>
      <c r="AG51" s="81">
        <f t="shared" si="1"/>
        <v>112.2</v>
      </c>
      <c r="AH51" s="81">
        <f t="shared" si="11"/>
        <v>111.64</v>
      </c>
      <c r="AI51" s="81">
        <f t="shared" si="11"/>
        <v>107.16</v>
      </c>
      <c r="AJ51" s="81">
        <f t="shared" si="11"/>
        <v>108.10000000000001</v>
      </c>
      <c r="AK51" s="82">
        <f t="shared" si="3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92">
        <v>53</v>
      </c>
      <c r="AG52" s="81">
        <f t="shared" si="1"/>
        <v>117.48</v>
      </c>
      <c r="AH52" s="81">
        <f t="shared" si="11"/>
        <v>116.94</v>
      </c>
      <c r="AI52" s="81">
        <f t="shared" si="11"/>
        <v>112.57000000000001</v>
      </c>
      <c r="AJ52" s="81">
        <f t="shared" si="11"/>
        <v>113.48</v>
      </c>
      <c r="AK52" s="82">
        <f t="shared" si="3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92">
        <v>54</v>
      </c>
      <c r="AG53" s="81">
        <f t="shared" si="1"/>
        <v>123.02</v>
      </c>
      <c r="AH53" s="81">
        <f t="shared" si="11"/>
        <v>122.5</v>
      </c>
      <c r="AI53" s="81">
        <f t="shared" si="11"/>
        <v>118.24</v>
      </c>
      <c r="AJ53" s="81">
        <f t="shared" si="11"/>
        <v>119.11999999999999</v>
      </c>
      <c r="AK53" s="82">
        <f t="shared" si="3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92">
        <v>55</v>
      </c>
      <c r="AG54" s="81">
        <f t="shared" si="1"/>
        <v>128.82</v>
      </c>
      <c r="AH54" s="81">
        <f t="shared" si="11"/>
        <v>128.32</v>
      </c>
      <c r="AI54" s="81">
        <f t="shared" si="11"/>
        <v>124.16999999999999</v>
      </c>
      <c r="AJ54" s="81">
        <f t="shared" si="11"/>
        <v>125.02</v>
      </c>
      <c r="AK54" s="82">
        <f t="shared" si="3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92">
        <v>56</v>
      </c>
      <c r="AG55" s="83">
        <f t="shared" si="1"/>
        <v>134.88999999999999</v>
      </c>
      <c r="AH55" s="83">
        <f t="shared" si="11"/>
        <v>134.41</v>
      </c>
      <c r="AI55" s="83">
        <f t="shared" si="11"/>
        <v>130.36999999999998</v>
      </c>
      <c r="AJ55" s="83">
        <f t="shared" si="11"/>
        <v>131.19</v>
      </c>
      <c r="AK55" s="84">
        <f t="shared" si="3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92">
        <v>57</v>
      </c>
      <c r="AG56" s="83">
        <f t="shared" si="1"/>
        <v>141.25</v>
      </c>
      <c r="AH56" s="83">
        <f t="shared" si="11"/>
        <v>140.79</v>
      </c>
      <c r="AI56" s="83">
        <f t="shared" si="11"/>
        <v>136.86000000000001</v>
      </c>
      <c r="AJ56" s="83">
        <f t="shared" si="11"/>
        <v>137.65</v>
      </c>
      <c r="AK56" s="84">
        <f t="shared" si="3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92">
        <v>58</v>
      </c>
      <c r="AG57" s="83">
        <f t="shared" si="1"/>
        <v>147.91</v>
      </c>
      <c r="AH57" s="83">
        <f t="shared" si="11"/>
        <v>147.47</v>
      </c>
      <c r="AI57" s="83">
        <f t="shared" si="11"/>
        <v>143.65</v>
      </c>
      <c r="AJ57" s="83">
        <f t="shared" si="11"/>
        <v>144.41</v>
      </c>
      <c r="AK57" s="84">
        <f t="shared" si="3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41</v>
      </c>
      <c r="C58" s="39">
        <f>B10</f>
        <v>35</v>
      </c>
      <c r="D58" s="39">
        <f>B11</f>
        <v>41</v>
      </c>
      <c r="E58" s="39">
        <f>B12</f>
        <v>38</v>
      </c>
      <c r="F58" s="40" t="str">
        <f>IF(U1="좌",IF(C34="-90˚","↓",IF(C34="-45˚","↙",IF(C34="+0˚","←",IF(C34="45˚","↖",IF(C34="90˚","↑","?"))))),IF(C34="-90˚","↓",IF(C34="-45˚","↘",IF(C34="+0˚","→",IF(C34="45˚","↗",IF(C34="90˚","↑","?"))))))</f>
        <v>←</v>
      </c>
      <c r="G58" s="41">
        <f>B34</f>
        <v>43</v>
      </c>
      <c r="H58" s="1">
        <f>$P$5</f>
        <v>25</v>
      </c>
      <c r="I58" s="59">
        <f>D34</f>
        <v>71.599999999999994</v>
      </c>
      <c r="J58" s="1" t="str">
        <f>D36</f>
        <v>연암</v>
      </c>
      <c r="AF58" s="92">
        <v>59</v>
      </c>
      <c r="AG58" s="83">
        <f t="shared" si="1"/>
        <v>154.88</v>
      </c>
      <c r="AH58" s="83">
        <f t="shared" si="11"/>
        <v>154.46</v>
      </c>
      <c r="AI58" s="83">
        <f t="shared" si="11"/>
        <v>150.75</v>
      </c>
      <c r="AJ58" s="83">
        <f t="shared" si="11"/>
        <v>151.47999999999999</v>
      </c>
      <c r="AK58" s="84">
        <f t="shared" si="3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31</v>
      </c>
      <c r="C59" s="39">
        <f>B14</f>
        <v>41</v>
      </c>
      <c r="D59" s="39">
        <f>B15</f>
        <v>34</v>
      </c>
      <c r="E59" s="39">
        <f>B16</f>
        <v>37</v>
      </c>
      <c r="AF59" s="93">
        <v>60</v>
      </c>
      <c r="AG59" s="85">
        <f t="shared" si="1"/>
        <v>162.18</v>
      </c>
      <c r="AH59" s="85">
        <f t="shared" si="11"/>
        <v>161.78</v>
      </c>
      <c r="AI59" s="86">
        <f t="shared" si="11"/>
        <v>158.18</v>
      </c>
      <c r="AJ59" s="86">
        <f t="shared" si="11"/>
        <v>158.88</v>
      </c>
      <c r="AK59" s="87">
        <f t="shared" si="3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43</v>
      </c>
      <c r="C60" s="39">
        <f>B18</f>
        <v>45</v>
      </c>
      <c r="D60" s="39">
        <f>B19</f>
        <v>40</v>
      </c>
      <c r="E60" s="39">
        <f>B20</f>
        <v>44</v>
      </c>
    </row>
    <row r="61" spans="1:42" x14ac:dyDescent="0.15">
      <c r="B61" s="38">
        <f>B21</f>
        <v>45</v>
      </c>
      <c r="C61" s="39">
        <f>B22</f>
        <v>43</v>
      </c>
      <c r="D61" s="39">
        <f>B23</f>
        <v>41</v>
      </c>
      <c r="E61" s="39">
        <f>B24</f>
        <v>39</v>
      </c>
    </row>
    <row r="62" spans="1:42" x14ac:dyDescent="0.15">
      <c r="B62" s="38">
        <f>B25</f>
        <v>35</v>
      </c>
      <c r="C62" s="39">
        <f>B26</f>
        <v>37</v>
      </c>
      <c r="D62" s="39">
        <f>B27</f>
        <v>33</v>
      </c>
      <c r="E62" s="39">
        <f>B28</f>
        <v>41</v>
      </c>
      <c r="O62" s="45"/>
    </row>
    <row r="63" spans="1:42" ht="20.25" x14ac:dyDescent="0.25">
      <c r="A63" s="60">
        <v>2</v>
      </c>
      <c r="B63" s="38">
        <f>E9</f>
        <v>21</v>
      </c>
      <c r="C63" s="39">
        <f>E10</f>
        <v>48</v>
      </c>
      <c r="D63" s="39">
        <f>E11</f>
        <v>30</v>
      </c>
      <c r="E63" s="39">
        <f>E12</f>
        <v>65</v>
      </c>
      <c r="F63" s="40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46</v>
      </c>
      <c r="H63" s="1">
        <f>$P$5</f>
        <v>25</v>
      </c>
      <c r="I63" s="59">
        <f>G34</f>
        <v>82.7</v>
      </c>
      <c r="J63" s="1" t="str">
        <f>G36</f>
        <v>연암</v>
      </c>
    </row>
    <row r="64" spans="1:42" x14ac:dyDescent="0.15">
      <c r="B64" s="38">
        <f>E13</f>
        <v>24</v>
      </c>
      <c r="C64" s="39">
        <f>E14</f>
        <v>30</v>
      </c>
      <c r="D64" s="39">
        <f>E15</f>
        <v>59</v>
      </c>
      <c r="E64" s="39">
        <f>E16</f>
        <v>44</v>
      </c>
    </row>
    <row r="65" spans="1:10" x14ac:dyDescent="0.15">
      <c r="B65" s="38">
        <f>E17</f>
        <v>36</v>
      </c>
      <c r="C65" s="39">
        <f>E18</f>
        <v>35</v>
      </c>
      <c r="D65" s="39">
        <f>E19</f>
        <v>29</v>
      </c>
      <c r="E65" s="39">
        <f>E20</f>
        <v>36</v>
      </c>
    </row>
    <row r="66" spans="1:10" x14ac:dyDescent="0.15">
      <c r="B66" s="38">
        <f>E21</f>
        <v>25</v>
      </c>
      <c r="C66" s="39">
        <f>E22</f>
        <v>32</v>
      </c>
      <c r="D66" s="39">
        <f>E23</f>
        <v>32</v>
      </c>
      <c r="E66" s="39">
        <f>E24</f>
        <v>26</v>
      </c>
    </row>
    <row r="67" spans="1:10" x14ac:dyDescent="0.15">
      <c r="B67" s="38">
        <f>E25</f>
        <v>39</v>
      </c>
      <c r="C67" s="39">
        <f>E26</f>
        <v>35</v>
      </c>
      <c r="D67" s="39">
        <f>E27</f>
        <v>46</v>
      </c>
      <c r="E67" s="39">
        <f>E28</f>
        <v>48</v>
      </c>
    </row>
    <row r="68" spans="1:10" ht="20.25" x14ac:dyDescent="0.25">
      <c r="A68" s="60">
        <v>3</v>
      </c>
      <c r="B68" s="38">
        <f>H9</f>
        <v>39</v>
      </c>
      <c r="C68" s="39">
        <f>H10</f>
        <v>42</v>
      </c>
      <c r="D68" s="39">
        <f>H11</f>
        <v>32</v>
      </c>
      <c r="E68" s="39">
        <f>H12</f>
        <v>33</v>
      </c>
      <c r="F68" s="40" t="str">
        <f>IF(U3="좌",IF(I34="-90˚","↓",IF(I34="-45˚","↙",IF(I34="+0˚","←",IF(I34="45˚","↖",IF(I34="90˚","↑","?"))))),IF(I34="-90˚","↓",IF(I34="-45˚","↘",IF(I34="+0˚","→",IF(I34="45˚","↗",IF(I34="90˚","↑","?"))))))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41">
        <f>H34</f>
        <v>43</v>
      </c>
      <c r="H68" s="1">
        <f>$P$5</f>
        <v>25</v>
      </c>
      <c r="I68" s="59">
        <f>J34</f>
        <v>73.5</v>
      </c>
      <c r="J68" s="1" t="str">
        <f>J36</f>
        <v>연암</v>
      </c>
    </row>
    <row r="69" spans="1:10" x14ac:dyDescent="0.15">
      <c r="B69" s="38">
        <f>H13</f>
        <v>42</v>
      </c>
      <c r="C69" s="39">
        <f>H14</f>
        <v>34</v>
      </c>
      <c r="D69" s="39">
        <f>H15</f>
        <v>32</v>
      </c>
      <c r="E69" s="39">
        <f>H16</f>
        <v>45</v>
      </c>
    </row>
    <row r="70" spans="1:10" x14ac:dyDescent="0.15">
      <c r="B70" s="38">
        <f>H17</f>
        <v>38</v>
      </c>
      <c r="C70" s="39">
        <f>H18</f>
        <v>39</v>
      </c>
      <c r="D70" s="39">
        <f>H19</f>
        <v>48</v>
      </c>
      <c r="E70" s="39">
        <f>H20</f>
        <v>34</v>
      </c>
    </row>
    <row r="71" spans="1:10" x14ac:dyDescent="0.15">
      <c r="B71" s="38">
        <f>H21</f>
        <v>49</v>
      </c>
      <c r="C71" s="39">
        <f>H22</f>
        <v>39</v>
      </c>
      <c r="D71" s="39">
        <f>H23</f>
        <v>35</v>
      </c>
      <c r="E71" s="39">
        <f>H24</f>
        <v>37</v>
      </c>
    </row>
    <row r="72" spans="1:10" x14ac:dyDescent="0.15">
      <c r="B72" s="38">
        <f>H25</f>
        <v>48</v>
      </c>
      <c r="C72" s="39">
        <f>H26</f>
        <v>32</v>
      </c>
      <c r="D72" s="39">
        <f>H27</f>
        <v>34</v>
      </c>
      <c r="E72" s="39">
        <f>H28</f>
        <v>40</v>
      </c>
    </row>
    <row r="73" spans="1:10" ht="20.25" x14ac:dyDescent="0.25">
      <c r="A73" s="60">
        <v>4</v>
      </c>
      <c r="B73" s="38">
        <f>K9</f>
        <v>0</v>
      </c>
      <c r="C73" s="39">
        <f>K10</f>
        <v>0</v>
      </c>
      <c r="D73" s="39">
        <f>K11</f>
        <v>0</v>
      </c>
      <c r="E73" s="39">
        <f>K12</f>
        <v>0</v>
      </c>
      <c r="F73" s="40" t="str">
        <f>IF(U4="좌",IF(L34="-90˚","↓",IF(L34="-45˚","↙",IF(L34="+0˚","←",IF(L34="45˚","↖",IF(L34="90˚","↑","?"))))),IF(L34="-90˚","↓",IF(L34="-45˚","↘",IF(L34="+0˚","→",IF(L34="45˚","↗",IF(L34="90˚","↑","?"))))))</f>
        <v>?</v>
      </c>
      <c r="G73" s="41">
        <f>K34</f>
        <v>0</v>
      </c>
      <c r="H73" s="1">
        <f>$P$5</f>
        <v>25</v>
      </c>
      <c r="I73" s="59">
        <f>M34</f>
        <v>0</v>
      </c>
      <c r="J73" s="1" t="str">
        <f>M36</f>
        <v>풍화암</v>
      </c>
    </row>
    <row r="74" spans="1:10" x14ac:dyDescent="0.15">
      <c r="B74" s="38">
        <f>K13</f>
        <v>0</v>
      </c>
      <c r="C74" s="39">
        <f>K14</f>
        <v>0</v>
      </c>
      <c r="D74" s="39">
        <f>K15</f>
        <v>0</v>
      </c>
      <c r="E74" s="39">
        <f>K16</f>
        <v>0</v>
      </c>
    </row>
    <row r="75" spans="1:10" x14ac:dyDescent="0.15">
      <c r="B75" s="38">
        <f>K17</f>
        <v>0</v>
      </c>
      <c r="C75" s="39">
        <f>K18</f>
        <v>0</v>
      </c>
      <c r="D75" s="39">
        <f>K19</f>
        <v>0</v>
      </c>
      <c r="E75" s="39">
        <f>K20</f>
        <v>0</v>
      </c>
    </row>
    <row r="76" spans="1:10" x14ac:dyDescent="0.15">
      <c r="B76" s="38">
        <f>K21</f>
        <v>0</v>
      </c>
      <c r="C76" s="39">
        <f>K22</f>
        <v>0</v>
      </c>
      <c r="D76" s="39">
        <f>K23</f>
        <v>0</v>
      </c>
      <c r="E76" s="39">
        <f>K24</f>
        <v>0</v>
      </c>
    </row>
    <row r="77" spans="1:10" x14ac:dyDescent="0.15">
      <c r="B77" s="38">
        <f>K25</f>
        <v>0</v>
      </c>
      <c r="C77" s="39">
        <f>K26</f>
        <v>0</v>
      </c>
      <c r="D77" s="39">
        <f>K27</f>
        <v>0</v>
      </c>
      <c r="E77" s="39">
        <f>K28</f>
        <v>0</v>
      </c>
    </row>
  </sheetData>
  <mergeCells count="17"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  <mergeCell ref="A5:M5"/>
    <mergeCell ref="A1:M2"/>
    <mergeCell ref="A3:M3"/>
    <mergeCell ref="N3:O3"/>
    <mergeCell ref="P3:Q3"/>
    <mergeCell ref="A4:M4"/>
  </mergeCells>
  <phoneticPr fontId="2" type="noConversion"/>
  <dataValidations disablePrompts="1" count="2">
    <dataValidation type="list" allowBlank="1" showInputMessage="1" showErrorMessage="1" sqref="U1:U4" xr:uid="{E593E31D-4288-40DD-8C90-F21AFD47147C}">
      <formula1>$N$55:$N$56</formula1>
    </dataValidation>
    <dataValidation type="list" allowBlank="1" showInputMessage="1" showErrorMessage="1" sqref="C9 L9 I9 F9" xr:uid="{8EBF40B4-E58F-4583-94E9-4329112A99DE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D7A0-E22C-4F1E-9AA2-5FE42CE4FEEB}">
  <sheetPr codeName="Sheet3">
    <tabColor rgb="FFC00000"/>
  </sheetPr>
  <dimension ref="A1:AP77"/>
  <sheetViews>
    <sheetView view="pageBreakPreview" topLeftCell="A28" zoomScale="85" zoomScaleNormal="100" zoomScaleSheetLayoutView="85" workbookViewId="0">
      <selection activeCell="B58" sqref="B58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14" t="s">
        <v>15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6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17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9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20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2"/>
      <c r="N3" s="123"/>
      <c r="O3" s="104"/>
      <c r="P3" s="123"/>
      <c r="Q3" s="104"/>
      <c r="R3" s="70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24" t="str">
        <f>'A-B'!$A$4</f>
        <v>* 사면명 : 39. 중부내륙선 232.430k(창원)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6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10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11" t="s">
        <v>89</v>
      </c>
      <c r="C7" s="111"/>
      <c r="D7" s="112"/>
      <c r="E7" s="111" t="s">
        <v>59</v>
      </c>
      <c r="F7" s="111"/>
      <c r="G7" s="112"/>
      <c r="H7" s="111" t="s">
        <v>90</v>
      </c>
      <c r="I7" s="111"/>
      <c r="J7" s="112"/>
      <c r="K7" s="111" t="s">
        <v>91</v>
      </c>
      <c r="L7" s="111"/>
      <c r="M7" s="112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71">
        <v>37</v>
      </c>
      <c r="C9" s="34" t="s">
        <v>94</v>
      </c>
      <c r="D9" s="97"/>
      <c r="E9" s="68">
        <v>42</v>
      </c>
      <c r="F9" s="34" t="s">
        <v>29</v>
      </c>
      <c r="G9" s="22"/>
      <c r="H9" s="68">
        <v>38</v>
      </c>
      <c r="I9" s="34" t="s">
        <v>27</v>
      </c>
      <c r="J9" s="22"/>
      <c r="K9" s="68">
        <v>32</v>
      </c>
      <c r="L9" s="34" t="s">
        <v>29</v>
      </c>
      <c r="M9" s="30"/>
      <c r="N9" s="6"/>
      <c r="O9" s="56" t="str">
        <f>IF(AA9="","",ROUND(AA9,0))</f>
        <v/>
      </c>
      <c r="P9" s="56">
        <f t="shared" ref="O9:R28" si="0">IF(AB9="","",ROUND(AB9,0))</f>
        <v>42</v>
      </c>
      <c r="Q9" s="56" t="str">
        <f t="shared" si="0"/>
        <v/>
      </c>
      <c r="R9" s="56" t="str">
        <f t="shared" si="0"/>
        <v/>
      </c>
      <c r="S9" s="49"/>
      <c r="T9" s="43"/>
      <c r="V9" s="53">
        <f>B9-0.02</f>
        <v>36.979999999999997</v>
      </c>
      <c r="W9" s="53">
        <f>E9-0.02</f>
        <v>41.98</v>
      </c>
      <c r="X9" s="53">
        <f>H9-0.02</f>
        <v>37.979999999999997</v>
      </c>
      <c r="Y9" s="53">
        <f>K9-0.02</f>
        <v>31.98</v>
      </c>
      <c r="AA9" s="44" t="str">
        <f>IF(V9&gt;=LARGE($V$9:$V$28,10),V9,"")</f>
        <v/>
      </c>
      <c r="AB9" s="44">
        <f>IF(W9&gt;=LARGE($W$9:$W$28,10),W9,"")</f>
        <v>41.98</v>
      </c>
      <c r="AC9" s="44" t="str">
        <f>IF(X9&gt;=LARGE($X$9:$X$28,10),X9,"")</f>
        <v/>
      </c>
      <c r="AD9" s="44" t="str">
        <f>IF(Y9&gt;=LARGE($Y$9:$Y$28,10),Y9,"")</f>
        <v/>
      </c>
      <c r="AF9" s="1">
        <v>10</v>
      </c>
      <c r="AG9" s="4">
        <f t="shared" ref="AG9:AG59" si="1">ROUNDDOWN(10^(0.0008*$P$5*$AF9+1.01),2)</f>
        <v>16.21</v>
      </c>
      <c r="AH9" s="4">
        <f t="shared" ref="AH9:AJ40" si="2">$AG9+AM9</f>
        <v>15.41</v>
      </c>
      <c r="AI9" s="4" t="s">
        <v>34</v>
      </c>
      <c r="AJ9" s="4" t="s">
        <v>34</v>
      </c>
      <c r="AK9" s="4">
        <f t="shared" ref="AK9:AK59" si="3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74">
        <v>46</v>
      </c>
      <c r="C10" s="36" t="str">
        <f>$C$9</f>
        <v>-45˚</v>
      </c>
      <c r="D10" s="98"/>
      <c r="E10" s="69">
        <v>46</v>
      </c>
      <c r="F10" s="36" t="str">
        <f>$F$9</f>
        <v>+0˚</v>
      </c>
      <c r="G10" s="23"/>
      <c r="H10" s="69">
        <v>53</v>
      </c>
      <c r="I10" s="36" t="str">
        <f>$I$9</f>
        <v>-45˚</v>
      </c>
      <c r="J10" s="23"/>
      <c r="K10" s="69">
        <v>33</v>
      </c>
      <c r="L10" s="36" t="str">
        <f>$L$9</f>
        <v>+0˚</v>
      </c>
      <c r="M10" s="24"/>
      <c r="N10" s="6"/>
      <c r="O10" s="56">
        <f t="shared" si="0"/>
        <v>46</v>
      </c>
      <c r="P10" s="56">
        <f t="shared" si="0"/>
        <v>46</v>
      </c>
      <c r="Q10" s="56">
        <f t="shared" si="0"/>
        <v>53</v>
      </c>
      <c r="R10" s="56" t="str">
        <f t="shared" si="0"/>
        <v/>
      </c>
      <c r="S10" s="49"/>
      <c r="T10" s="43"/>
      <c r="V10" s="53">
        <f>B10-0.019</f>
        <v>45.981000000000002</v>
      </c>
      <c r="W10" s="53">
        <f>E10-0.019</f>
        <v>45.981000000000002</v>
      </c>
      <c r="X10" s="53">
        <f>H10-0.019</f>
        <v>52.981000000000002</v>
      </c>
      <c r="Y10" s="53">
        <f>K10-0.019</f>
        <v>32.981000000000002</v>
      </c>
      <c r="AA10" s="44">
        <f t="shared" ref="AA10:AA29" si="4">IF(V10&gt;=LARGE($V$9:$V$28,10),V10,"")</f>
        <v>45.981000000000002</v>
      </c>
      <c r="AB10" s="44">
        <f t="shared" ref="AB10:AB30" si="5">IF(W10&gt;=LARGE($W$9:$W$28,10),W10,"")</f>
        <v>45.981000000000002</v>
      </c>
      <c r="AC10" s="44">
        <f t="shared" ref="AC10:AC29" si="6">IF(X10&gt;=LARGE($X$9:$X$28,10),X10,"")</f>
        <v>52.981000000000002</v>
      </c>
      <c r="AD10" s="44" t="str">
        <f t="shared" ref="AD10:AD28" si="7">IF(Y10&gt;=LARGE($Y$9:$Y$28,10),Y10,"")</f>
        <v/>
      </c>
      <c r="AF10" s="1">
        <v>11</v>
      </c>
      <c r="AG10" s="4">
        <f t="shared" si="1"/>
        <v>16.98</v>
      </c>
      <c r="AH10" s="4">
        <f t="shared" si="2"/>
        <v>16.170000000000002</v>
      </c>
      <c r="AI10" s="4" t="s">
        <v>34</v>
      </c>
      <c r="AJ10" s="4" t="s">
        <v>34</v>
      </c>
      <c r="AK10" s="4">
        <f t="shared" si="3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74">
        <v>47</v>
      </c>
      <c r="C11" s="36" t="str">
        <f t="shared" ref="C11:C28" si="8">$C$9</f>
        <v>-45˚</v>
      </c>
      <c r="D11" s="98"/>
      <c r="E11" s="69">
        <v>28</v>
      </c>
      <c r="F11" s="36" t="str">
        <f t="shared" ref="F11:F28" si="9">$F$9</f>
        <v>+0˚</v>
      </c>
      <c r="G11" s="23"/>
      <c r="H11" s="69">
        <v>55</v>
      </c>
      <c r="I11" s="36" t="str">
        <f t="shared" ref="I11:I28" si="10">$C$9</f>
        <v>-45˚</v>
      </c>
      <c r="J11" s="23"/>
      <c r="K11" s="69">
        <v>45</v>
      </c>
      <c r="L11" s="36" t="str">
        <f t="shared" ref="L11:L28" si="11">$L$9</f>
        <v>+0˚</v>
      </c>
      <c r="M11" s="24"/>
      <c r="N11" s="6"/>
      <c r="O11" s="56">
        <f t="shared" si="0"/>
        <v>47</v>
      </c>
      <c r="P11" s="56" t="str">
        <f t="shared" si="0"/>
        <v/>
      </c>
      <c r="Q11" s="56">
        <f t="shared" si="0"/>
        <v>55</v>
      </c>
      <c r="R11" s="56">
        <f t="shared" si="0"/>
        <v>45</v>
      </c>
      <c r="S11" s="49"/>
      <c r="T11" s="43"/>
      <c r="V11" s="53">
        <f>B11-0.018</f>
        <v>46.981999999999999</v>
      </c>
      <c r="W11" s="53">
        <f>E11-0.018</f>
        <v>27.981999999999999</v>
      </c>
      <c r="X11" s="53">
        <f>H11-0.018</f>
        <v>54.981999999999999</v>
      </c>
      <c r="Y11" s="53">
        <f>K11-0.018</f>
        <v>44.981999999999999</v>
      </c>
      <c r="AA11" s="44">
        <f t="shared" si="4"/>
        <v>46.981999999999999</v>
      </c>
      <c r="AB11" s="44" t="str">
        <f t="shared" si="5"/>
        <v/>
      </c>
      <c r="AC11" s="44">
        <f t="shared" si="6"/>
        <v>54.981999999999999</v>
      </c>
      <c r="AD11" s="44">
        <f t="shared" si="7"/>
        <v>44.981999999999999</v>
      </c>
      <c r="AF11" s="1">
        <v>12</v>
      </c>
      <c r="AG11" s="4">
        <f t="shared" si="1"/>
        <v>17.78</v>
      </c>
      <c r="AH11" s="4">
        <f t="shared" si="2"/>
        <v>16.96</v>
      </c>
      <c r="AI11" s="4" t="s">
        <v>34</v>
      </c>
      <c r="AJ11" s="4" t="s">
        <v>34</v>
      </c>
      <c r="AK11" s="4">
        <f t="shared" si="3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74">
        <v>36</v>
      </c>
      <c r="C12" s="36" t="str">
        <f t="shared" si="8"/>
        <v>-45˚</v>
      </c>
      <c r="D12" s="98"/>
      <c r="E12" s="69">
        <v>36</v>
      </c>
      <c r="F12" s="36" t="str">
        <f t="shared" si="9"/>
        <v>+0˚</v>
      </c>
      <c r="G12" s="23"/>
      <c r="H12" s="69">
        <v>49</v>
      </c>
      <c r="I12" s="36" t="str">
        <f t="shared" si="10"/>
        <v>-45˚</v>
      </c>
      <c r="J12" s="23"/>
      <c r="K12" s="69">
        <v>35</v>
      </c>
      <c r="L12" s="36" t="str">
        <f t="shared" si="11"/>
        <v>+0˚</v>
      </c>
      <c r="M12" s="24"/>
      <c r="N12" s="6"/>
      <c r="O12" s="56" t="str">
        <f t="shared" si="0"/>
        <v/>
      </c>
      <c r="P12" s="56" t="str">
        <f t="shared" si="0"/>
        <v/>
      </c>
      <c r="Q12" s="56">
        <f t="shared" si="0"/>
        <v>49</v>
      </c>
      <c r="R12" s="56" t="str">
        <f t="shared" si="0"/>
        <v/>
      </c>
      <c r="S12" s="49"/>
      <c r="T12" s="43"/>
      <c r="V12" s="53">
        <f>B12-0.0117</f>
        <v>35.988300000000002</v>
      </c>
      <c r="W12" s="53">
        <f>E12-0.0117</f>
        <v>35.988300000000002</v>
      </c>
      <c r="X12" s="53">
        <f>H12-0.0117</f>
        <v>48.988300000000002</v>
      </c>
      <c r="Y12" s="53">
        <f>K12-0.0117</f>
        <v>34.988300000000002</v>
      </c>
      <c r="AA12" s="44" t="str">
        <f t="shared" si="4"/>
        <v/>
      </c>
      <c r="AB12" s="44" t="str">
        <f t="shared" si="5"/>
        <v/>
      </c>
      <c r="AC12" s="44">
        <f t="shared" si="6"/>
        <v>48.988300000000002</v>
      </c>
      <c r="AD12" s="44" t="str">
        <f t="shared" si="7"/>
        <v/>
      </c>
      <c r="AF12" s="1">
        <v>13</v>
      </c>
      <c r="AG12" s="4">
        <f t="shared" si="1"/>
        <v>18.62</v>
      </c>
      <c r="AH12" s="4">
        <f t="shared" si="2"/>
        <v>17.790000000000003</v>
      </c>
      <c r="AI12" s="4" t="s">
        <v>34</v>
      </c>
      <c r="AJ12" s="4" t="s">
        <v>34</v>
      </c>
      <c r="AK12" s="4">
        <f t="shared" si="3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74">
        <v>42</v>
      </c>
      <c r="C13" s="36" t="str">
        <f t="shared" si="8"/>
        <v>-45˚</v>
      </c>
      <c r="D13" s="98"/>
      <c r="E13" s="69">
        <v>41</v>
      </c>
      <c r="F13" s="36" t="str">
        <f t="shared" si="9"/>
        <v>+0˚</v>
      </c>
      <c r="G13" s="23"/>
      <c r="H13" s="69">
        <v>41</v>
      </c>
      <c r="I13" s="36" t="str">
        <f t="shared" si="10"/>
        <v>-45˚</v>
      </c>
      <c r="J13" s="23"/>
      <c r="K13" s="69">
        <v>51</v>
      </c>
      <c r="L13" s="36" t="str">
        <f t="shared" si="11"/>
        <v>+0˚</v>
      </c>
      <c r="M13" s="24"/>
      <c r="N13" s="6"/>
      <c r="O13" s="56" t="str">
        <f t="shared" si="0"/>
        <v/>
      </c>
      <c r="P13" s="56">
        <f t="shared" si="0"/>
        <v>41</v>
      </c>
      <c r="Q13" s="56" t="str">
        <f t="shared" si="0"/>
        <v/>
      </c>
      <c r="R13" s="56">
        <f t="shared" si="0"/>
        <v>51</v>
      </c>
      <c r="S13" s="49"/>
      <c r="T13" s="43"/>
      <c r="V13" s="53">
        <f>B13-0.016</f>
        <v>41.984000000000002</v>
      </c>
      <c r="W13" s="53">
        <f>E13-0.016</f>
        <v>40.984000000000002</v>
      </c>
      <c r="X13" s="53">
        <f>H13-0.016</f>
        <v>40.984000000000002</v>
      </c>
      <c r="Y13" s="53">
        <f>K13-0.016</f>
        <v>50.984000000000002</v>
      </c>
      <c r="AA13" s="44" t="str">
        <f t="shared" si="4"/>
        <v/>
      </c>
      <c r="AB13" s="44">
        <f t="shared" si="5"/>
        <v>40.984000000000002</v>
      </c>
      <c r="AC13" s="44" t="str">
        <f t="shared" si="6"/>
        <v/>
      </c>
      <c r="AD13" s="44">
        <f t="shared" si="7"/>
        <v>50.984000000000002</v>
      </c>
      <c r="AF13" s="1">
        <v>14</v>
      </c>
      <c r="AG13" s="4">
        <f t="shared" si="1"/>
        <v>19.489999999999998</v>
      </c>
      <c r="AH13" s="4">
        <f t="shared" si="2"/>
        <v>18.649999999999999</v>
      </c>
      <c r="AI13" s="4" t="s">
        <v>34</v>
      </c>
      <c r="AJ13" s="4" t="s">
        <v>34</v>
      </c>
      <c r="AK13" s="4">
        <f t="shared" si="3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74">
        <v>43</v>
      </c>
      <c r="C14" s="36" t="str">
        <f t="shared" si="8"/>
        <v>-45˚</v>
      </c>
      <c r="D14" s="98"/>
      <c r="E14" s="69">
        <v>36</v>
      </c>
      <c r="F14" s="36" t="str">
        <f t="shared" si="9"/>
        <v>+0˚</v>
      </c>
      <c r="G14" s="23"/>
      <c r="H14" s="69">
        <v>45</v>
      </c>
      <c r="I14" s="36" t="str">
        <f t="shared" si="10"/>
        <v>-45˚</v>
      </c>
      <c r="J14" s="23"/>
      <c r="K14" s="69">
        <v>45</v>
      </c>
      <c r="L14" s="36" t="str">
        <f t="shared" si="11"/>
        <v>+0˚</v>
      </c>
      <c r="M14" s="24"/>
      <c r="N14" s="6"/>
      <c r="O14" s="56" t="str">
        <f t="shared" si="0"/>
        <v/>
      </c>
      <c r="P14" s="56" t="str">
        <f t="shared" si="0"/>
        <v/>
      </c>
      <c r="Q14" s="56">
        <f t="shared" si="0"/>
        <v>45</v>
      </c>
      <c r="R14" s="56">
        <f t="shared" si="0"/>
        <v>45</v>
      </c>
      <c r="S14" s="49"/>
      <c r="T14" s="43"/>
      <c r="V14" s="53">
        <f>B14-0.015</f>
        <v>42.984999999999999</v>
      </c>
      <c r="W14" s="53">
        <f>E14-0.015</f>
        <v>35.984999999999999</v>
      </c>
      <c r="X14" s="53">
        <f>H14-0.015</f>
        <v>44.984999999999999</v>
      </c>
      <c r="Y14" s="53">
        <f>K14-0.015</f>
        <v>44.984999999999999</v>
      </c>
      <c r="AA14" s="44" t="str">
        <f t="shared" si="4"/>
        <v/>
      </c>
      <c r="AB14" s="44" t="str">
        <f t="shared" si="5"/>
        <v/>
      </c>
      <c r="AC14" s="44">
        <f t="shared" si="6"/>
        <v>44.984999999999999</v>
      </c>
      <c r="AD14" s="44">
        <f t="shared" si="7"/>
        <v>44.984999999999999</v>
      </c>
      <c r="AF14" s="1">
        <v>15</v>
      </c>
      <c r="AG14" s="4">
        <f t="shared" si="1"/>
        <v>20.41</v>
      </c>
      <c r="AH14" s="4">
        <f t="shared" si="2"/>
        <v>19.559999999999999</v>
      </c>
      <c r="AI14" s="4" t="s">
        <v>34</v>
      </c>
      <c r="AJ14" s="4" t="s">
        <v>34</v>
      </c>
      <c r="AK14" s="4">
        <f t="shared" si="3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74">
        <v>43</v>
      </c>
      <c r="C15" s="36" t="str">
        <f t="shared" si="8"/>
        <v>-45˚</v>
      </c>
      <c r="D15" s="98"/>
      <c r="E15" s="69">
        <v>36</v>
      </c>
      <c r="F15" s="36" t="str">
        <f t="shared" si="9"/>
        <v>+0˚</v>
      </c>
      <c r="G15" s="23"/>
      <c r="H15" s="69">
        <v>49</v>
      </c>
      <c r="I15" s="36" t="str">
        <f t="shared" si="10"/>
        <v>-45˚</v>
      </c>
      <c r="J15" s="23"/>
      <c r="K15" s="69">
        <v>34</v>
      </c>
      <c r="L15" s="36" t="str">
        <f t="shared" si="11"/>
        <v>+0˚</v>
      </c>
      <c r="M15" s="24"/>
      <c r="O15" s="56" t="str">
        <f t="shared" si="0"/>
        <v/>
      </c>
      <c r="P15" s="56" t="str">
        <f t="shared" si="0"/>
        <v/>
      </c>
      <c r="Q15" s="56">
        <f t="shared" si="0"/>
        <v>49</v>
      </c>
      <c r="R15" s="56" t="str">
        <f t="shared" si="0"/>
        <v/>
      </c>
      <c r="S15" s="49"/>
      <c r="T15" s="43"/>
      <c r="V15" s="53">
        <f>B15-0.014</f>
        <v>42.985999999999997</v>
      </c>
      <c r="W15" s="53">
        <f>E15-0.014</f>
        <v>35.985999999999997</v>
      </c>
      <c r="X15" s="53">
        <f>H15-0.014</f>
        <v>48.985999999999997</v>
      </c>
      <c r="Y15" s="53">
        <f>K15-0.014</f>
        <v>33.985999999999997</v>
      </c>
      <c r="AA15" s="44" t="str">
        <f t="shared" si="4"/>
        <v/>
      </c>
      <c r="AB15" s="44" t="str">
        <f t="shared" si="5"/>
        <v/>
      </c>
      <c r="AC15" s="44">
        <f t="shared" si="6"/>
        <v>48.985999999999997</v>
      </c>
      <c r="AD15" s="44" t="str">
        <f t="shared" si="7"/>
        <v/>
      </c>
      <c r="AF15" s="1">
        <v>16</v>
      </c>
      <c r="AG15" s="4">
        <f t="shared" si="1"/>
        <v>21.37</v>
      </c>
      <c r="AH15" s="4">
        <f t="shared" si="2"/>
        <v>20.51</v>
      </c>
      <c r="AI15" s="4" t="s">
        <v>34</v>
      </c>
      <c r="AJ15" s="4" t="s">
        <v>34</v>
      </c>
      <c r="AK15" s="4">
        <f t="shared" si="3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74">
        <v>43</v>
      </c>
      <c r="C16" s="36" t="str">
        <f t="shared" si="8"/>
        <v>-45˚</v>
      </c>
      <c r="D16" s="98"/>
      <c r="E16" s="69">
        <v>35</v>
      </c>
      <c r="F16" s="36" t="str">
        <f t="shared" si="9"/>
        <v>+0˚</v>
      </c>
      <c r="G16" s="23"/>
      <c r="H16" s="69">
        <v>39</v>
      </c>
      <c r="I16" s="36" t="str">
        <f t="shared" si="10"/>
        <v>-45˚</v>
      </c>
      <c r="J16" s="23"/>
      <c r="K16" s="69">
        <v>44</v>
      </c>
      <c r="L16" s="36" t="str">
        <f t="shared" si="11"/>
        <v>+0˚</v>
      </c>
      <c r="M16" s="24"/>
      <c r="O16" s="56" t="str">
        <f t="shared" si="0"/>
        <v/>
      </c>
      <c r="P16" s="56" t="str">
        <f t="shared" si="0"/>
        <v/>
      </c>
      <c r="Q16" s="56" t="str">
        <f t="shared" si="0"/>
        <v/>
      </c>
      <c r="R16" s="56">
        <f t="shared" si="0"/>
        <v>44</v>
      </c>
      <c r="S16" s="49"/>
      <c r="T16" s="43"/>
      <c r="V16" s="53">
        <f>B16-0.013</f>
        <v>42.987000000000002</v>
      </c>
      <c r="W16" s="53">
        <f>E16-0.013</f>
        <v>34.987000000000002</v>
      </c>
      <c r="X16" s="53">
        <f>H16-0.013</f>
        <v>38.987000000000002</v>
      </c>
      <c r="Y16" s="53">
        <f>K16-0.013</f>
        <v>43.987000000000002</v>
      </c>
      <c r="AA16" s="44" t="str">
        <f t="shared" si="4"/>
        <v/>
      </c>
      <c r="AB16" s="44" t="str">
        <f t="shared" si="5"/>
        <v/>
      </c>
      <c r="AC16" s="44" t="str">
        <f t="shared" si="6"/>
        <v/>
      </c>
      <c r="AD16" s="44">
        <f t="shared" si="7"/>
        <v>43.987000000000002</v>
      </c>
      <c r="AF16" s="1">
        <v>17</v>
      </c>
      <c r="AG16" s="4">
        <f t="shared" si="1"/>
        <v>22.38</v>
      </c>
      <c r="AH16" s="4">
        <f t="shared" si="2"/>
        <v>21.509999999999998</v>
      </c>
      <c r="AI16" s="4" t="s">
        <v>34</v>
      </c>
      <c r="AJ16" s="4" t="s">
        <v>34</v>
      </c>
      <c r="AK16" s="4">
        <f t="shared" si="3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74">
        <v>54</v>
      </c>
      <c r="C17" s="36" t="str">
        <f t="shared" si="8"/>
        <v>-45˚</v>
      </c>
      <c r="D17" s="98"/>
      <c r="E17" s="69">
        <v>38</v>
      </c>
      <c r="F17" s="36" t="str">
        <f t="shared" si="9"/>
        <v>+0˚</v>
      </c>
      <c r="G17" s="23"/>
      <c r="H17" s="69">
        <v>46</v>
      </c>
      <c r="I17" s="36" t="str">
        <f t="shared" si="10"/>
        <v>-45˚</v>
      </c>
      <c r="J17" s="23"/>
      <c r="K17" s="69">
        <v>55</v>
      </c>
      <c r="L17" s="36" t="str">
        <f t="shared" si="11"/>
        <v>+0˚</v>
      </c>
      <c r="M17" s="24"/>
      <c r="O17" s="56">
        <f t="shared" si="0"/>
        <v>54</v>
      </c>
      <c r="P17" s="56" t="str">
        <f t="shared" si="0"/>
        <v/>
      </c>
      <c r="Q17" s="56">
        <f t="shared" si="0"/>
        <v>46</v>
      </c>
      <c r="R17" s="56">
        <f t="shared" si="0"/>
        <v>55</v>
      </c>
      <c r="S17" s="49"/>
      <c r="T17" s="43"/>
      <c r="V17" s="53">
        <f>B17-0.012</f>
        <v>53.988</v>
      </c>
      <c r="W17" s="53">
        <f>E17-0.012</f>
        <v>37.988</v>
      </c>
      <c r="X17" s="53">
        <f>H17-0.012</f>
        <v>45.988</v>
      </c>
      <c r="Y17" s="53">
        <f>K17-0.012</f>
        <v>54.988</v>
      </c>
      <c r="AA17" s="44">
        <f t="shared" si="4"/>
        <v>53.988</v>
      </c>
      <c r="AB17" s="44" t="str">
        <f t="shared" si="5"/>
        <v/>
      </c>
      <c r="AC17" s="44">
        <f t="shared" si="6"/>
        <v>45.988</v>
      </c>
      <c r="AD17" s="44">
        <f t="shared" si="7"/>
        <v>54.988</v>
      </c>
      <c r="AF17" s="1">
        <v>18</v>
      </c>
      <c r="AG17" s="4">
        <f t="shared" si="1"/>
        <v>23.44</v>
      </c>
      <c r="AH17" s="4">
        <f t="shared" si="2"/>
        <v>22.560000000000002</v>
      </c>
      <c r="AI17" s="4" t="s">
        <v>34</v>
      </c>
      <c r="AJ17" s="4" t="s">
        <v>34</v>
      </c>
      <c r="AK17" s="4">
        <f t="shared" si="3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74">
        <v>56</v>
      </c>
      <c r="C18" s="36" t="str">
        <f t="shared" si="8"/>
        <v>-45˚</v>
      </c>
      <c r="D18" s="98"/>
      <c r="E18" s="69">
        <v>40</v>
      </c>
      <c r="F18" s="36" t="str">
        <f t="shared" si="9"/>
        <v>+0˚</v>
      </c>
      <c r="G18" s="23"/>
      <c r="H18" s="69">
        <v>44</v>
      </c>
      <c r="I18" s="36" t="str">
        <f t="shared" si="10"/>
        <v>-45˚</v>
      </c>
      <c r="J18" s="23"/>
      <c r="K18" s="69">
        <v>51</v>
      </c>
      <c r="L18" s="36" t="str">
        <f t="shared" si="11"/>
        <v>+0˚</v>
      </c>
      <c r="M18" s="24"/>
      <c r="O18" s="56">
        <f t="shared" si="0"/>
        <v>56</v>
      </c>
      <c r="P18" s="56">
        <f t="shared" si="0"/>
        <v>40</v>
      </c>
      <c r="Q18" s="56" t="str">
        <f t="shared" si="0"/>
        <v/>
      </c>
      <c r="R18" s="56">
        <f t="shared" si="0"/>
        <v>51</v>
      </c>
      <c r="S18" s="49"/>
      <c r="T18" s="43"/>
      <c r="V18" s="53">
        <f>B18-0.011</f>
        <v>55.988999999999997</v>
      </c>
      <c r="W18" s="53">
        <f>E18-0.011</f>
        <v>39.988999999999997</v>
      </c>
      <c r="X18" s="53">
        <f>H18-0.011</f>
        <v>43.988999999999997</v>
      </c>
      <c r="Y18" s="53">
        <f>K18-0.011</f>
        <v>50.988999999999997</v>
      </c>
      <c r="AA18" s="44">
        <f t="shared" si="4"/>
        <v>55.988999999999997</v>
      </c>
      <c r="AB18" s="44">
        <f t="shared" si="5"/>
        <v>39.988999999999997</v>
      </c>
      <c r="AC18" s="44" t="str">
        <f t="shared" si="6"/>
        <v/>
      </c>
      <c r="AD18" s="44">
        <f t="shared" si="7"/>
        <v>50.988999999999997</v>
      </c>
      <c r="AF18" s="1">
        <v>19</v>
      </c>
      <c r="AG18" s="4">
        <f t="shared" si="1"/>
        <v>24.54</v>
      </c>
      <c r="AH18" s="4">
        <f t="shared" si="2"/>
        <v>23.65</v>
      </c>
      <c r="AI18" s="4" t="s">
        <v>34</v>
      </c>
      <c r="AJ18" s="4" t="s">
        <v>34</v>
      </c>
      <c r="AK18" s="4">
        <f t="shared" si="3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74">
        <v>33</v>
      </c>
      <c r="C19" s="36" t="str">
        <f t="shared" si="8"/>
        <v>-45˚</v>
      </c>
      <c r="D19" s="98"/>
      <c r="E19" s="69">
        <v>49</v>
      </c>
      <c r="F19" s="36" t="str">
        <f t="shared" si="9"/>
        <v>+0˚</v>
      </c>
      <c r="G19" s="23"/>
      <c r="H19" s="69">
        <v>38</v>
      </c>
      <c r="I19" s="36" t="str">
        <f t="shared" si="10"/>
        <v>-45˚</v>
      </c>
      <c r="J19" s="23"/>
      <c r="K19" s="69">
        <v>33</v>
      </c>
      <c r="L19" s="36" t="str">
        <f t="shared" si="11"/>
        <v>+0˚</v>
      </c>
      <c r="M19" s="24"/>
      <c r="O19" s="56" t="str">
        <f t="shared" si="0"/>
        <v/>
      </c>
      <c r="P19" s="56">
        <f t="shared" si="0"/>
        <v>49</v>
      </c>
      <c r="Q19" s="56" t="str">
        <f t="shared" si="0"/>
        <v/>
      </c>
      <c r="R19" s="56" t="str">
        <f t="shared" si="0"/>
        <v/>
      </c>
      <c r="S19" s="49"/>
      <c r="T19" s="43"/>
      <c r="V19" s="53">
        <f>B19-0.01</f>
        <v>32.99</v>
      </c>
      <c r="W19" s="53">
        <f>E19-0.01</f>
        <v>48.99</v>
      </c>
      <c r="X19" s="53">
        <f>H19-0.01</f>
        <v>37.99</v>
      </c>
      <c r="Y19" s="53">
        <f>K19-0.01</f>
        <v>32.99</v>
      </c>
      <c r="AA19" s="44" t="str">
        <f t="shared" si="4"/>
        <v/>
      </c>
      <c r="AB19" s="44">
        <f t="shared" si="5"/>
        <v>48.99</v>
      </c>
      <c r="AC19" s="44" t="str">
        <f t="shared" si="6"/>
        <v/>
      </c>
      <c r="AD19" s="44" t="str">
        <f t="shared" si="7"/>
        <v/>
      </c>
      <c r="AF19" s="1">
        <v>20</v>
      </c>
      <c r="AG19" s="4">
        <f t="shared" si="1"/>
        <v>25.7</v>
      </c>
      <c r="AH19" s="4">
        <f t="shared" si="2"/>
        <v>24.8</v>
      </c>
      <c r="AI19" s="4">
        <f t="shared" si="2"/>
        <v>16.899999999999999</v>
      </c>
      <c r="AJ19" s="4">
        <f t="shared" si="2"/>
        <v>18.799999999999997</v>
      </c>
      <c r="AK19" s="4">
        <f t="shared" si="3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74">
        <v>44</v>
      </c>
      <c r="C20" s="36" t="str">
        <f t="shared" si="8"/>
        <v>-45˚</v>
      </c>
      <c r="D20" s="98"/>
      <c r="E20" s="69">
        <v>31</v>
      </c>
      <c r="F20" s="36" t="str">
        <f t="shared" si="9"/>
        <v>+0˚</v>
      </c>
      <c r="G20" s="23"/>
      <c r="H20" s="69">
        <v>44</v>
      </c>
      <c r="I20" s="36" t="str">
        <f t="shared" si="10"/>
        <v>-45˚</v>
      </c>
      <c r="J20" s="23"/>
      <c r="K20" s="69">
        <v>36</v>
      </c>
      <c r="L20" s="36" t="str">
        <f t="shared" si="11"/>
        <v>+0˚</v>
      </c>
      <c r="M20" s="24"/>
      <c r="O20" s="56" t="str">
        <f t="shared" si="0"/>
        <v/>
      </c>
      <c r="P20" s="56" t="str">
        <f t="shared" si="0"/>
        <v/>
      </c>
      <c r="Q20" s="56" t="str">
        <f t="shared" si="0"/>
        <v/>
      </c>
      <c r="R20" s="56" t="str">
        <f t="shared" si="0"/>
        <v/>
      </c>
      <c r="S20" s="49"/>
      <c r="T20" s="43"/>
      <c r="V20" s="53">
        <f>B20-0.009</f>
        <v>43.991</v>
      </c>
      <c r="W20" s="53">
        <f>E20-0.009</f>
        <v>30.991</v>
      </c>
      <c r="X20" s="53">
        <f>H20-0.009</f>
        <v>43.991</v>
      </c>
      <c r="Y20" s="53">
        <f>K20-0.009</f>
        <v>35.991</v>
      </c>
      <c r="AA20" s="44" t="str">
        <f t="shared" si="4"/>
        <v/>
      </c>
      <c r="AB20" s="44" t="str">
        <f t="shared" si="5"/>
        <v/>
      </c>
      <c r="AC20" s="44" t="str">
        <f t="shared" si="6"/>
        <v/>
      </c>
      <c r="AD20" s="44" t="str">
        <f t="shared" si="7"/>
        <v/>
      </c>
      <c r="AF20" s="1">
        <v>21</v>
      </c>
      <c r="AG20" s="4">
        <f t="shared" si="1"/>
        <v>26.91</v>
      </c>
      <c r="AH20" s="4">
        <f t="shared" si="2"/>
        <v>26.02</v>
      </c>
      <c r="AI20" s="4">
        <f t="shared" si="2"/>
        <v>18.21</v>
      </c>
      <c r="AJ20" s="4">
        <f t="shared" si="2"/>
        <v>20.079999999999998</v>
      </c>
      <c r="AK20" s="4">
        <f t="shared" si="3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74">
        <v>38</v>
      </c>
      <c r="C21" s="36" t="str">
        <f t="shared" si="8"/>
        <v>-45˚</v>
      </c>
      <c r="D21" s="98"/>
      <c r="E21" s="69">
        <v>40</v>
      </c>
      <c r="F21" s="36" t="str">
        <f t="shared" si="9"/>
        <v>+0˚</v>
      </c>
      <c r="G21" s="23"/>
      <c r="H21" s="69">
        <v>44</v>
      </c>
      <c r="I21" s="36" t="str">
        <f t="shared" si="10"/>
        <v>-45˚</v>
      </c>
      <c r="J21" s="23"/>
      <c r="K21" s="69">
        <v>37</v>
      </c>
      <c r="L21" s="36" t="str">
        <f t="shared" si="11"/>
        <v>+0˚</v>
      </c>
      <c r="M21" s="24"/>
      <c r="O21" s="56" t="str">
        <f t="shared" si="0"/>
        <v/>
      </c>
      <c r="P21" s="56">
        <f t="shared" si="0"/>
        <v>40</v>
      </c>
      <c r="Q21" s="56">
        <f t="shared" si="0"/>
        <v>44</v>
      </c>
      <c r="R21" s="56" t="str">
        <f t="shared" si="0"/>
        <v/>
      </c>
      <c r="S21" s="49"/>
      <c r="T21" s="43"/>
      <c r="V21" s="53">
        <f>B21-0.008</f>
        <v>37.991999999999997</v>
      </c>
      <c r="W21" s="53">
        <f>E21-0.008</f>
        <v>39.991999999999997</v>
      </c>
      <c r="X21" s="53">
        <f>H21-0.008</f>
        <v>43.991999999999997</v>
      </c>
      <c r="Y21" s="53">
        <f>K21-0.008</f>
        <v>36.991999999999997</v>
      </c>
      <c r="AA21" s="44" t="str">
        <f t="shared" si="4"/>
        <v/>
      </c>
      <c r="AB21" s="44">
        <f t="shared" si="5"/>
        <v>39.991999999999997</v>
      </c>
      <c r="AC21" s="44">
        <f t="shared" si="6"/>
        <v>43.991999999999997</v>
      </c>
      <c r="AD21" s="44" t="str">
        <f t="shared" si="7"/>
        <v/>
      </c>
      <c r="AF21" s="1">
        <v>22</v>
      </c>
      <c r="AG21" s="4">
        <f t="shared" si="1"/>
        <v>28.18</v>
      </c>
      <c r="AH21" s="4">
        <f t="shared" si="2"/>
        <v>27.3</v>
      </c>
      <c r="AI21" s="4">
        <f t="shared" si="2"/>
        <v>19.579999999999998</v>
      </c>
      <c r="AJ21" s="4">
        <f t="shared" si="2"/>
        <v>21.42</v>
      </c>
      <c r="AK21" s="4">
        <f t="shared" si="3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74">
        <v>49</v>
      </c>
      <c r="C22" s="36" t="str">
        <f t="shared" si="8"/>
        <v>-45˚</v>
      </c>
      <c r="D22" s="98"/>
      <c r="E22" s="69">
        <v>46</v>
      </c>
      <c r="F22" s="36" t="str">
        <f t="shared" si="9"/>
        <v>+0˚</v>
      </c>
      <c r="G22" s="23"/>
      <c r="H22" s="69">
        <v>49</v>
      </c>
      <c r="I22" s="36" t="str">
        <f t="shared" si="10"/>
        <v>-45˚</v>
      </c>
      <c r="J22" s="23"/>
      <c r="K22" s="69">
        <v>41</v>
      </c>
      <c r="L22" s="36" t="str">
        <f t="shared" si="11"/>
        <v>+0˚</v>
      </c>
      <c r="M22" s="24"/>
      <c r="O22" s="56">
        <f t="shared" si="0"/>
        <v>49</v>
      </c>
      <c r="P22" s="56">
        <f t="shared" si="0"/>
        <v>46</v>
      </c>
      <c r="Q22" s="56">
        <f t="shared" si="0"/>
        <v>49</v>
      </c>
      <c r="R22" s="56">
        <f t="shared" si="0"/>
        <v>41</v>
      </c>
      <c r="S22" s="49"/>
      <c r="T22" s="43"/>
      <c r="V22" s="53">
        <f>B22-0.007</f>
        <v>48.993000000000002</v>
      </c>
      <c r="W22" s="53">
        <f>E22-0.007</f>
        <v>45.993000000000002</v>
      </c>
      <c r="X22" s="53">
        <f>H22-0.007</f>
        <v>48.993000000000002</v>
      </c>
      <c r="Y22" s="53">
        <f>K22-0.007</f>
        <v>40.993000000000002</v>
      </c>
      <c r="AA22" s="44">
        <f t="shared" si="4"/>
        <v>48.993000000000002</v>
      </c>
      <c r="AB22" s="44">
        <f t="shared" si="5"/>
        <v>45.993000000000002</v>
      </c>
      <c r="AC22" s="44">
        <f t="shared" si="6"/>
        <v>48.993000000000002</v>
      </c>
      <c r="AD22" s="44">
        <f t="shared" si="7"/>
        <v>40.993000000000002</v>
      </c>
      <c r="AF22" s="1">
        <v>23</v>
      </c>
      <c r="AG22" s="4">
        <f t="shared" si="1"/>
        <v>29.51</v>
      </c>
      <c r="AH22" s="4">
        <f t="shared" si="2"/>
        <v>28.64</v>
      </c>
      <c r="AI22" s="4">
        <f t="shared" si="2"/>
        <v>21.01</v>
      </c>
      <c r="AJ22" s="4">
        <f t="shared" si="2"/>
        <v>22.82</v>
      </c>
      <c r="AK22" s="4">
        <f t="shared" si="3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74">
        <v>52</v>
      </c>
      <c r="C23" s="36" t="str">
        <f t="shared" si="8"/>
        <v>-45˚</v>
      </c>
      <c r="D23" s="98"/>
      <c r="E23" s="69">
        <v>35</v>
      </c>
      <c r="F23" s="36" t="str">
        <f t="shared" si="9"/>
        <v>+0˚</v>
      </c>
      <c r="G23" s="23"/>
      <c r="H23" s="69">
        <v>33</v>
      </c>
      <c r="I23" s="36" t="str">
        <f t="shared" si="10"/>
        <v>-45˚</v>
      </c>
      <c r="J23" s="23"/>
      <c r="K23" s="69">
        <v>49</v>
      </c>
      <c r="L23" s="36" t="str">
        <f t="shared" si="11"/>
        <v>+0˚</v>
      </c>
      <c r="M23" s="24"/>
      <c r="O23" s="56">
        <f t="shared" si="0"/>
        <v>52</v>
      </c>
      <c r="P23" s="56" t="str">
        <f t="shared" si="0"/>
        <v/>
      </c>
      <c r="Q23" s="56" t="str">
        <f t="shared" si="0"/>
        <v/>
      </c>
      <c r="R23" s="56">
        <f t="shared" si="0"/>
        <v>49</v>
      </c>
      <c r="S23" s="49"/>
      <c r="T23" s="43"/>
      <c r="V23" s="53">
        <f>B23-0.006</f>
        <v>51.994</v>
      </c>
      <c r="W23" s="53">
        <f>E23-0.006</f>
        <v>34.994</v>
      </c>
      <c r="X23" s="53">
        <f>H23-0.006</f>
        <v>32.994</v>
      </c>
      <c r="Y23" s="53">
        <f>K23-0.006</f>
        <v>48.994</v>
      </c>
      <c r="AA23" s="44">
        <f t="shared" si="4"/>
        <v>51.994</v>
      </c>
      <c r="AB23" s="44" t="str">
        <f t="shared" si="5"/>
        <v/>
      </c>
      <c r="AC23" s="44" t="str">
        <f t="shared" si="6"/>
        <v/>
      </c>
      <c r="AD23" s="44">
        <f t="shared" si="7"/>
        <v>48.994</v>
      </c>
      <c r="AF23" s="1">
        <v>24</v>
      </c>
      <c r="AG23" s="4">
        <f t="shared" si="1"/>
        <v>30.9</v>
      </c>
      <c r="AH23" s="4">
        <f t="shared" si="2"/>
        <v>30.04</v>
      </c>
      <c r="AI23" s="4">
        <f t="shared" si="2"/>
        <v>22.5</v>
      </c>
      <c r="AJ23" s="4">
        <f t="shared" si="2"/>
        <v>24.279999999999998</v>
      </c>
      <c r="AK23" s="4">
        <f t="shared" si="3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74">
        <v>46</v>
      </c>
      <c r="C24" s="36" t="str">
        <f t="shared" si="8"/>
        <v>-45˚</v>
      </c>
      <c r="D24" s="98"/>
      <c r="E24" s="69">
        <v>27</v>
      </c>
      <c r="F24" s="36" t="str">
        <f t="shared" si="9"/>
        <v>+0˚</v>
      </c>
      <c r="G24" s="23"/>
      <c r="H24" s="69">
        <v>38</v>
      </c>
      <c r="I24" s="36" t="str">
        <f t="shared" si="10"/>
        <v>-45˚</v>
      </c>
      <c r="J24" s="23"/>
      <c r="K24" s="69">
        <v>36</v>
      </c>
      <c r="L24" s="36" t="str">
        <f t="shared" si="11"/>
        <v>+0˚</v>
      </c>
      <c r="M24" s="24"/>
      <c r="O24" s="56">
        <f t="shared" si="0"/>
        <v>46</v>
      </c>
      <c r="P24" s="56" t="str">
        <f t="shared" si="0"/>
        <v/>
      </c>
      <c r="Q24" s="56" t="str">
        <f t="shared" si="0"/>
        <v/>
      </c>
      <c r="R24" s="56" t="str">
        <f t="shared" si="0"/>
        <v/>
      </c>
      <c r="S24" s="49"/>
      <c r="T24" s="43"/>
      <c r="V24" s="53">
        <f>B24-0.005</f>
        <v>45.994999999999997</v>
      </c>
      <c r="W24" s="53">
        <f>E24-0.005</f>
        <v>26.995000000000001</v>
      </c>
      <c r="X24" s="53">
        <f>H24-0.005</f>
        <v>37.994999999999997</v>
      </c>
      <c r="Y24" s="53">
        <f>K24-0.005</f>
        <v>35.994999999999997</v>
      </c>
      <c r="AA24" s="44">
        <f t="shared" si="4"/>
        <v>45.994999999999997</v>
      </c>
      <c r="AB24" s="44" t="str">
        <f t="shared" si="5"/>
        <v/>
      </c>
      <c r="AC24" s="44" t="str">
        <f t="shared" si="6"/>
        <v/>
      </c>
      <c r="AD24" s="44" t="str">
        <f t="shared" si="7"/>
        <v/>
      </c>
      <c r="AF24" s="1">
        <v>25</v>
      </c>
      <c r="AG24" s="4">
        <f t="shared" si="1"/>
        <v>32.35</v>
      </c>
      <c r="AH24" s="4">
        <f t="shared" si="2"/>
        <v>31.5</v>
      </c>
      <c r="AI24" s="4">
        <f t="shared" si="2"/>
        <v>24.050000000000011</v>
      </c>
      <c r="AJ24" s="4">
        <f t="shared" si="2"/>
        <v>25.8</v>
      </c>
      <c r="AK24" s="4">
        <f t="shared" si="3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74">
        <v>44</v>
      </c>
      <c r="C25" s="36" t="str">
        <f t="shared" si="8"/>
        <v>-45˚</v>
      </c>
      <c r="D25" s="98"/>
      <c r="E25" s="69">
        <v>44</v>
      </c>
      <c r="F25" s="36" t="str">
        <f t="shared" si="9"/>
        <v>+0˚</v>
      </c>
      <c r="G25" s="23"/>
      <c r="H25" s="69">
        <v>56</v>
      </c>
      <c r="I25" s="36" t="str">
        <f t="shared" si="10"/>
        <v>-45˚</v>
      </c>
      <c r="J25" s="23"/>
      <c r="K25" s="69">
        <v>32</v>
      </c>
      <c r="L25" s="36" t="str">
        <f t="shared" si="11"/>
        <v>+0˚</v>
      </c>
      <c r="M25" s="24"/>
      <c r="O25" s="56">
        <f t="shared" si="0"/>
        <v>44</v>
      </c>
      <c r="P25" s="56">
        <f t="shared" si="0"/>
        <v>44</v>
      </c>
      <c r="Q25" s="56">
        <f t="shared" si="0"/>
        <v>56</v>
      </c>
      <c r="R25" s="56" t="str">
        <f t="shared" si="0"/>
        <v/>
      </c>
      <c r="S25" s="49"/>
      <c r="T25" s="43"/>
      <c r="V25" s="53">
        <f>B25-0.004</f>
        <v>43.996000000000002</v>
      </c>
      <c r="W25" s="53">
        <f>E25-0.004</f>
        <v>43.996000000000002</v>
      </c>
      <c r="X25" s="53">
        <f>H25-0.004</f>
        <v>55.996000000000002</v>
      </c>
      <c r="Y25" s="53">
        <f>K25-0.004</f>
        <v>31.995999999999999</v>
      </c>
      <c r="AA25" s="44">
        <f t="shared" si="4"/>
        <v>43.996000000000002</v>
      </c>
      <c r="AB25" s="44">
        <f t="shared" si="5"/>
        <v>43.996000000000002</v>
      </c>
      <c r="AC25" s="44">
        <f t="shared" si="6"/>
        <v>55.996000000000002</v>
      </c>
      <c r="AD25" s="44" t="str">
        <f t="shared" si="7"/>
        <v/>
      </c>
      <c r="AF25" s="1">
        <v>26</v>
      </c>
      <c r="AG25" s="4">
        <f t="shared" si="1"/>
        <v>33.880000000000003</v>
      </c>
      <c r="AH25" s="4">
        <f t="shared" si="2"/>
        <v>33.04</v>
      </c>
      <c r="AI25" s="4">
        <f t="shared" si="2"/>
        <v>25.680000000000014</v>
      </c>
      <c r="AJ25" s="4">
        <f t="shared" si="2"/>
        <v>27.400000000000002</v>
      </c>
      <c r="AK25" s="4">
        <f t="shared" si="3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74">
        <v>46</v>
      </c>
      <c r="C26" s="36" t="str">
        <f t="shared" si="8"/>
        <v>-45˚</v>
      </c>
      <c r="D26" s="98"/>
      <c r="E26" s="69">
        <v>46</v>
      </c>
      <c r="F26" s="36" t="str">
        <f t="shared" si="9"/>
        <v>+0˚</v>
      </c>
      <c r="G26" s="23"/>
      <c r="H26" s="69">
        <v>40</v>
      </c>
      <c r="I26" s="36" t="str">
        <f t="shared" si="10"/>
        <v>-45˚</v>
      </c>
      <c r="J26" s="23"/>
      <c r="K26" s="69">
        <v>53</v>
      </c>
      <c r="L26" s="36" t="str">
        <f t="shared" si="11"/>
        <v>+0˚</v>
      </c>
      <c r="M26" s="24"/>
      <c r="O26" s="56">
        <f t="shared" si="0"/>
        <v>46</v>
      </c>
      <c r="P26" s="56">
        <f t="shared" si="0"/>
        <v>46</v>
      </c>
      <c r="Q26" s="56" t="str">
        <f t="shared" si="0"/>
        <v/>
      </c>
      <c r="R26" s="56">
        <f t="shared" si="0"/>
        <v>53</v>
      </c>
      <c r="S26" s="49"/>
      <c r="T26" s="43"/>
      <c r="V26" s="53">
        <f>B26-0.003</f>
        <v>45.997</v>
      </c>
      <c r="W26" s="53">
        <f>E26-0.003</f>
        <v>45.997</v>
      </c>
      <c r="X26" s="53">
        <f>H26-0.003</f>
        <v>39.997</v>
      </c>
      <c r="Y26" s="53">
        <f>K26-0.003</f>
        <v>52.997</v>
      </c>
      <c r="AA26" s="44">
        <f t="shared" si="4"/>
        <v>45.997</v>
      </c>
      <c r="AB26" s="44">
        <f t="shared" si="5"/>
        <v>45.997</v>
      </c>
      <c r="AC26" s="44" t="str">
        <f t="shared" si="6"/>
        <v/>
      </c>
      <c r="AD26" s="44">
        <f t="shared" si="7"/>
        <v>52.997</v>
      </c>
      <c r="AF26" s="1">
        <v>27</v>
      </c>
      <c r="AG26" s="4">
        <f t="shared" si="1"/>
        <v>35.479999999999997</v>
      </c>
      <c r="AH26" s="4">
        <f t="shared" si="2"/>
        <v>34.65</v>
      </c>
      <c r="AI26" s="4">
        <f t="shared" si="2"/>
        <v>27.380000000000006</v>
      </c>
      <c r="AJ26" s="4">
        <f t="shared" si="2"/>
        <v>29.069999999999997</v>
      </c>
      <c r="AK26" s="4">
        <f t="shared" si="3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74">
        <v>42</v>
      </c>
      <c r="C27" s="36" t="str">
        <f t="shared" si="8"/>
        <v>-45˚</v>
      </c>
      <c r="D27" s="98"/>
      <c r="E27" s="69">
        <v>38</v>
      </c>
      <c r="F27" s="36" t="str">
        <f t="shared" si="9"/>
        <v>+0˚</v>
      </c>
      <c r="G27" s="23"/>
      <c r="H27" s="69">
        <v>37</v>
      </c>
      <c r="I27" s="36" t="str">
        <f t="shared" si="10"/>
        <v>-45˚</v>
      </c>
      <c r="J27" s="23"/>
      <c r="K27" s="69">
        <v>40</v>
      </c>
      <c r="L27" s="36" t="str">
        <f t="shared" si="11"/>
        <v>+0˚</v>
      </c>
      <c r="M27" s="24"/>
      <c r="O27" s="56" t="str">
        <f t="shared" si="0"/>
        <v/>
      </c>
      <c r="P27" s="56" t="str">
        <f t="shared" si="0"/>
        <v/>
      </c>
      <c r="Q27" s="56" t="str">
        <f t="shared" si="0"/>
        <v/>
      </c>
      <c r="R27" s="56">
        <f t="shared" si="0"/>
        <v>40</v>
      </c>
      <c r="S27" s="49"/>
      <c r="T27" s="43"/>
      <c r="V27" s="53">
        <f>B27-0.002</f>
        <v>41.997999999999998</v>
      </c>
      <c r="W27" s="53">
        <f>E27-0.002</f>
        <v>37.997999999999998</v>
      </c>
      <c r="X27" s="53">
        <f>H27-0.002</f>
        <v>36.997999999999998</v>
      </c>
      <c r="Y27" s="53">
        <f>K27-0.002</f>
        <v>39.997999999999998</v>
      </c>
      <c r="AA27" s="44" t="str">
        <f t="shared" si="4"/>
        <v/>
      </c>
      <c r="AB27" s="44" t="str">
        <f t="shared" si="5"/>
        <v/>
      </c>
      <c r="AC27" s="44" t="str">
        <f t="shared" si="6"/>
        <v/>
      </c>
      <c r="AD27" s="44">
        <f t="shared" si="7"/>
        <v>39.997999999999998</v>
      </c>
      <c r="AF27" s="1">
        <v>28</v>
      </c>
      <c r="AG27" s="4">
        <f t="shared" si="1"/>
        <v>37.15</v>
      </c>
      <c r="AH27" s="4">
        <f t="shared" si="2"/>
        <v>36.33</v>
      </c>
      <c r="AI27" s="4">
        <f t="shared" si="2"/>
        <v>29.150000000000009</v>
      </c>
      <c r="AJ27" s="4">
        <f t="shared" si="2"/>
        <v>30.81</v>
      </c>
      <c r="AK27" s="4">
        <f t="shared" si="3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74">
        <v>48</v>
      </c>
      <c r="C28" s="36" t="str">
        <f t="shared" si="8"/>
        <v>-45˚</v>
      </c>
      <c r="D28" s="98"/>
      <c r="E28" s="69">
        <v>46</v>
      </c>
      <c r="F28" s="36" t="str">
        <f t="shared" si="9"/>
        <v>+0˚</v>
      </c>
      <c r="G28" s="23"/>
      <c r="H28" s="69">
        <v>44</v>
      </c>
      <c r="I28" s="36" t="str">
        <f t="shared" si="10"/>
        <v>-45˚</v>
      </c>
      <c r="J28" s="23"/>
      <c r="K28" s="69">
        <v>35</v>
      </c>
      <c r="L28" s="36" t="str">
        <f t="shared" si="11"/>
        <v>+0˚</v>
      </c>
      <c r="M28" s="24"/>
      <c r="O28" s="56">
        <f t="shared" si="0"/>
        <v>48</v>
      </c>
      <c r="P28" s="56">
        <f t="shared" si="0"/>
        <v>46</v>
      </c>
      <c r="Q28" s="56">
        <f t="shared" si="0"/>
        <v>44</v>
      </c>
      <c r="R28" s="56" t="str">
        <f t="shared" si="0"/>
        <v/>
      </c>
      <c r="S28" s="49"/>
      <c r="T28" s="43"/>
      <c r="V28" s="53">
        <f>B28-0.001</f>
        <v>47.999000000000002</v>
      </c>
      <c r="W28" s="53">
        <f>E28-0.001</f>
        <v>45.999000000000002</v>
      </c>
      <c r="X28" s="53">
        <f>H28-0.001</f>
        <v>43.999000000000002</v>
      </c>
      <c r="Y28" s="53">
        <f>K28-0.001</f>
        <v>34.999000000000002</v>
      </c>
      <c r="AA28" s="44">
        <f t="shared" si="4"/>
        <v>47.999000000000002</v>
      </c>
      <c r="AB28" s="44">
        <f t="shared" si="5"/>
        <v>45.999000000000002</v>
      </c>
      <c r="AC28" s="44">
        <f t="shared" si="6"/>
        <v>43.999000000000002</v>
      </c>
      <c r="AD28" s="44" t="str">
        <f t="shared" si="7"/>
        <v/>
      </c>
      <c r="AF28" s="1">
        <v>29</v>
      </c>
      <c r="AG28" s="4">
        <f t="shared" si="1"/>
        <v>38.9</v>
      </c>
      <c r="AH28" s="4">
        <f t="shared" si="2"/>
        <v>38.089999999999996</v>
      </c>
      <c r="AI28" s="4">
        <f t="shared" si="2"/>
        <v>31.000000000000007</v>
      </c>
      <c r="AJ28" s="4">
        <f t="shared" si="2"/>
        <v>32.629999999999995</v>
      </c>
      <c r="AK28" s="4">
        <f t="shared" si="3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44</v>
      </c>
      <c r="Q29" s="56">
        <f>ROUND(AVERAGE(Q9:Q28),0)</f>
        <v>49</v>
      </c>
      <c r="R29" s="56">
        <f>ROUND(AVERAGE(R9:R28),0)</f>
        <v>47</v>
      </c>
      <c r="S29" s="49"/>
      <c r="AA29" s="44" t="str">
        <f t="shared" si="4"/>
        <v/>
      </c>
      <c r="AB29" s="44" t="str">
        <f t="shared" si="5"/>
        <v/>
      </c>
      <c r="AC29" s="44" t="str">
        <f t="shared" si="6"/>
        <v/>
      </c>
      <c r="AF29" s="1">
        <v>30</v>
      </c>
      <c r="AG29" s="4">
        <f t="shared" si="1"/>
        <v>40.729999999999997</v>
      </c>
      <c r="AH29" s="4">
        <f t="shared" si="2"/>
        <v>39.93</v>
      </c>
      <c r="AI29" s="4">
        <f t="shared" si="2"/>
        <v>32.93</v>
      </c>
      <c r="AJ29" s="4">
        <f t="shared" si="2"/>
        <v>34.529999999999994</v>
      </c>
      <c r="AK29" s="4">
        <f t="shared" si="3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5"/>
        <v/>
      </c>
      <c r="AF30" s="1">
        <v>31</v>
      </c>
      <c r="AG30" s="4">
        <f t="shared" si="1"/>
        <v>42.65</v>
      </c>
      <c r="AH30" s="4">
        <f t="shared" si="2"/>
        <v>41.86</v>
      </c>
      <c r="AI30" s="4">
        <f t="shared" si="2"/>
        <v>34.97</v>
      </c>
      <c r="AJ30" s="4">
        <f t="shared" si="2"/>
        <v>36.54</v>
      </c>
      <c r="AK30" s="4">
        <f t="shared" si="3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1"/>
        <v>44.66</v>
      </c>
      <c r="AH31" s="4">
        <f t="shared" si="2"/>
        <v>43.879999999999995</v>
      </c>
      <c r="AI31" s="4">
        <f t="shared" si="2"/>
        <v>37.099999999999994</v>
      </c>
      <c r="AJ31" s="4">
        <f t="shared" si="2"/>
        <v>38.64</v>
      </c>
      <c r="AK31" s="4">
        <f t="shared" si="3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1"/>
        <v>46.77</v>
      </c>
      <c r="AH32" s="4">
        <f t="shared" si="2"/>
        <v>46</v>
      </c>
      <c r="AI32" s="4">
        <f t="shared" si="2"/>
        <v>39.330000000000005</v>
      </c>
      <c r="AJ32" s="4">
        <f t="shared" si="2"/>
        <v>40.840000000000003</v>
      </c>
      <c r="AK32" s="4">
        <f t="shared" si="3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101"/>
      <c r="C33" s="102"/>
      <c r="D33" s="102"/>
      <c r="E33" s="101"/>
      <c r="F33" s="102"/>
      <c r="G33" s="102"/>
      <c r="H33" s="101"/>
      <c r="I33" s="102"/>
      <c r="J33" s="102"/>
      <c r="K33" s="101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1"/>
        <v>48.97</v>
      </c>
      <c r="AH33" s="4">
        <f t="shared" si="2"/>
        <v>48.21</v>
      </c>
      <c r="AI33" s="4">
        <f t="shared" si="2"/>
        <v>41.65</v>
      </c>
      <c r="AJ33" s="4">
        <f t="shared" si="2"/>
        <v>43.129999999999995</v>
      </c>
      <c r="AK33" s="4">
        <f t="shared" si="3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49</v>
      </c>
      <c r="C34" s="36" t="str">
        <f>$C$9</f>
        <v>-45˚</v>
      </c>
      <c r="D34" s="54">
        <f>ROUND(INDEX($AG$9:$AK$60,MATCH(B34,$AF$9:$AF$59,0),MATCH(C34,$AG$8:$AK$8,0)),1)</f>
        <v>97.1</v>
      </c>
      <c r="E34" s="15">
        <f>P29</f>
        <v>44</v>
      </c>
      <c r="F34" s="32" t="str">
        <f>$F$9</f>
        <v>+0˚</v>
      </c>
      <c r="G34" s="54">
        <f>ROUND(INDEX($AG$9:$AK$60,MATCH(E34,$AF$9:$AF$59,0),MATCH(F34,$AG$8:$AK$8,0)),1)</f>
        <v>75.099999999999994</v>
      </c>
      <c r="H34" s="15">
        <f>Q29</f>
        <v>49</v>
      </c>
      <c r="I34" s="32" t="str">
        <f>$I$9</f>
        <v>-45˚</v>
      </c>
      <c r="J34" s="54">
        <f>ROUND(INDEX($AG$9:$AK$60,MATCH(H34,$AF$9:$AF$59,0),MATCH(I34,$AG$8:$AK$8,0)),1)</f>
        <v>97.1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44"/>
      <c r="S34" s="49"/>
      <c r="AF34" s="1">
        <v>35</v>
      </c>
      <c r="AG34" s="4">
        <f t="shared" si="1"/>
        <v>51.28</v>
      </c>
      <c r="AH34" s="4">
        <f t="shared" si="2"/>
        <v>50.53</v>
      </c>
      <c r="AI34" s="4">
        <f t="shared" si="2"/>
        <v>44.08</v>
      </c>
      <c r="AJ34" s="4">
        <f t="shared" si="2"/>
        <v>45.53</v>
      </c>
      <c r="AK34" s="4">
        <f t="shared" si="3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05" t="str">
        <f>IF(D34&lt;=50,"CW",IF(D34&lt;=85,"HW",IF(D34&lt;=115,"MW",IF(D34&lt;=145,"SW","F"))))</f>
        <v>MW</v>
      </c>
      <c r="C35" s="105"/>
      <c r="D35" s="106"/>
      <c r="E35" s="105" t="str">
        <f>IF(G34&lt;=50,"CW",IF(G34&lt;=85,"HW",IF(G34&lt;=115,"MW",IF(G34&lt;=145,"SW","F"))))</f>
        <v>HW</v>
      </c>
      <c r="F35" s="105"/>
      <c r="G35" s="106"/>
      <c r="H35" s="105" t="str">
        <f>IF(J34&lt;=50,"CW",IF(J34&lt;=85,"HW",IF(J34&lt;=115,"MW",IF(J34&lt;=145,"SW","F"))))</f>
        <v>MW</v>
      </c>
      <c r="I35" s="105"/>
      <c r="J35" s="106"/>
      <c r="K35" s="105" t="str">
        <f>IF(M34&lt;=50,"CW",IF(M34&lt;=85,"HW",IF(M34&lt;=115,"MW",IF(M34&lt;=145,"SW","F"))))</f>
        <v>MW</v>
      </c>
      <c r="L35" s="105"/>
      <c r="M35" s="107"/>
      <c r="O35" s="44"/>
      <c r="P35" s="44"/>
      <c r="Q35" s="44"/>
      <c r="R35" s="44"/>
      <c r="S35" s="49"/>
      <c r="AF35" s="1">
        <v>36</v>
      </c>
      <c r="AG35" s="4">
        <f t="shared" si="1"/>
        <v>53.7</v>
      </c>
      <c r="AH35" s="4">
        <f t="shared" si="2"/>
        <v>52.96</v>
      </c>
      <c r="AI35" s="4">
        <f t="shared" si="2"/>
        <v>46.620000000000005</v>
      </c>
      <c r="AJ35" s="4">
        <f t="shared" si="2"/>
        <v>48.040000000000006</v>
      </c>
      <c r="AK35" s="4">
        <f t="shared" si="3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ht="13.5" customHeight="1" x14ac:dyDescent="0.15">
      <c r="A36" s="103" t="s">
        <v>33</v>
      </c>
      <c r="B36" s="128" t="str">
        <f>IF(D34&lt;70,"풍화암",IF(D34&lt;100,"연암",IF(D34&lt;130,"보통암",IF(D34&lt;160,"경암","극경암"))))</f>
        <v>연암</v>
      </c>
      <c r="C36" s="128"/>
      <c r="D36" s="128"/>
      <c r="E36" s="128" t="str">
        <f>IF(G34&lt;70,"풍화암",IF(G34&lt;100,"연암",IF(G34&lt;130,"보통암",IF(G34&lt;160,"경암","극경암"))))</f>
        <v>연암</v>
      </c>
      <c r="F36" s="128"/>
      <c r="G36" s="128"/>
      <c r="H36" s="128" t="str">
        <f>IF(J34&lt;70,"풍화암",IF(J34&lt;100,"연암",IF(J34&lt;130,"보통암",IF(J34&lt;160,"경암","극경암"))))</f>
        <v>연암</v>
      </c>
      <c r="I36" s="128"/>
      <c r="J36" s="128"/>
      <c r="K36" s="128" t="str">
        <f>IF(M34&lt;70,"풍화암",IF(M34&lt;100,"연암",IF(M34&lt;130,"보통암",IF(M34&lt;160,"경암","극경암"))))</f>
        <v>연암</v>
      </c>
      <c r="L36" s="128"/>
      <c r="M36" s="128"/>
      <c r="AF36" s="1">
        <v>37</v>
      </c>
      <c r="AG36" s="4">
        <f t="shared" si="1"/>
        <v>56.23</v>
      </c>
      <c r="AH36" s="4">
        <f t="shared" si="2"/>
        <v>55.499999999999993</v>
      </c>
      <c r="AI36" s="4">
        <f t="shared" si="2"/>
        <v>49.269999999999996</v>
      </c>
      <c r="AJ36" s="4">
        <f t="shared" si="2"/>
        <v>50.66</v>
      </c>
      <c r="AK36" s="4">
        <f t="shared" si="3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27"/>
      <c r="B37" s="127"/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AF37" s="1">
        <v>38</v>
      </c>
      <c r="AG37" s="4">
        <f t="shared" si="1"/>
        <v>58.88</v>
      </c>
      <c r="AH37" s="4">
        <f t="shared" si="2"/>
        <v>58.160000000000004</v>
      </c>
      <c r="AI37" s="4">
        <f t="shared" si="2"/>
        <v>52.040000000000006</v>
      </c>
      <c r="AJ37" s="4">
        <f t="shared" si="2"/>
        <v>53.400000000000006</v>
      </c>
      <c r="AK37" s="4">
        <f t="shared" si="3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1"/>
        <v>61.65</v>
      </c>
      <c r="AH38" s="4">
        <f t="shared" si="2"/>
        <v>60.94</v>
      </c>
      <c r="AI38" s="4">
        <f t="shared" si="2"/>
        <v>54.93</v>
      </c>
      <c r="AJ38" s="4">
        <f t="shared" si="2"/>
        <v>56.260000000000005</v>
      </c>
      <c r="AK38" s="4">
        <f t="shared" si="3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ht="23.25" customHeight="1" x14ac:dyDescent="0.15">
      <c r="A39" s="2"/>
      <c r="B39" s="100">
        <v>49</v>
      </c>
      <c r="E39" s="100">
        <v>44</v>
      </c>
      <c r="H39" s="100">
        <v>49</v>
      </c>
      <c r="K39" s="100">
        <v>47</v>
      </c>
      <c r="AF39" s="1">
        <v>40</v>
      </c>
      <c r="AG39" s="4">
        <f t="shared" si="1"/>
        <v>64.56</v>
      </c>
      <c r="AH39" s="4">
        <f t="shared" si="2"/>
        <v>63.86</v>
      </c>
      <c r="AI39" s="4">
        <f t="shared" si="2"/>
        <v>57.96</v>
      </c>
      <c r="AJ39" s="4">
        <f t="shared" si="2"/>
        <v>59.260000000000005</v>
      </c>
      <c r="AK39" s="4">
        <f t="shared" si="3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1"/>
        <v>67.599999999999994</v>
      </c>
      <c r="AH40" s="4">
        <f t="shared" si="2"/>
        <v>66.91</v>
      </c>
      <c r="AI40" s="4">
        <f t="shared" si="2"/>
        <v>61.129999999999995</v>
      </c>
      <c r="AJ40" s="4">
        <f t="shared" si="2"/>
        <v>62.399999999999991</v>
      </c>
      <c r="AK40" s="4">
        <f t="shared" si="3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si="1"/>
        <v>70.790000000000006</v>
      </c>
      <c r="AH41" s="43">
        <f t="shared" ref="AH41:AJ59" si="12">$AG41+AM41</f>
        <v>70.11</v>
      </c>
      <c r="AI41" s="4">
        <f t="shared" si="12"/>
        <v>64.45</v>
      </c>
      <c r="AJ41" s="4">
        <f t="shared" si="12"/>
        <v>65.690000000000012</v>
      </c>
      <c r="AK41" s="4">
        <f t="shared" si="3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1"/>
        <v>74.13</v>
      </c>
      <c r="AH42" s="43">
        <f t="shared" si="12"/>
        <v>73.459999999999994</v>
      </c>
      <c r="AI42" s="4">
        <f t="shared" si="12"/>
        <v>67.92</v>
      </c>
      <c r="AJ42" s="4">
        <f t="shared" si="12"/>
        <v>69.13</v>
      </c>
      <c r="AK42" s="43">
        <f t="shared" si="3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1"/>
        <v>77.62</v>
      </c>
      <c r="AH43" s="43">
        <f t="shared" si="12"/>
        <v>76.960000000000008</v>
      </c>
      <c r="AI43" s="43">
        <f t="shared" si="12"/>
        <v>71.540000000000006</v>
      </c>
      <c r="AJ43" s="43">
        <f t="shared" si="12"/>
        <v>72.72</v>
      </c>
      <c r="AK43" s="43">
        <f t="shared" si="3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1"/>
        <v>81.28</v>
      </c>
      <c r="AH44" s="43">
        <f t="shared" si="12"/>
        <v>80.63</v>
      </c>
      <c r="AI44" s="43">
        <f t="shared" si="12"/>
        <v>75.33</v>
      </c>
      <c r="AJ44" s="43">
        <f t="shared" si="12"/>
        <v>76.48</v>
      </c>
      <c r="AK44" s="43">
        <f t="shared" si="3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1"/>
        <v>85.11</v>
      </c>
      <c r="AH45" s="43">
        <f t="shared" si="12"/>
        <v>84.47</v>
      </c>
      <c r="AI45" s="43">
        <f t="shared" si="12"/>
        <v>79.289999999999992</v>
      </c>
      <c r="AJ45" s="43">
        <f t="shared" si="12"/>
        <v>80.41</v>
      </c>
      <c r="AK45" s="43">
        <f t="shared" si="3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04"/>
      <c r="B46" s="104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AF46" s="1">
        <v>47</v>
      </c>
      <c r="AG46" s="43">
        <f t="shared" si="1"/>
        <v>89.12</v>
      </c>
      <c r="AH46" s="43">
        <f t="shared" si="12"/>
        <v>88.490000000000009</v>
      </c>
      <c r="AI46" s="43">
        <f t="shared" si="12"/>
        <v>83.43</v>
      </c>
      <c r="AJ46" s="43">
        <f t="shared" si="12"/>
        <v>84.52000000000001</v>
      </c>
      <c r="AK46" s="43">
        <f t="shared" si="3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04"/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AF47" s="1">
        <v>48</v>
      </c>
      <c r="AG47" s="43">
        <f t="shared" si="1"/>
        <v>93.32</v>
      </c>
      <c r="AH47" s="43">
        <f t="shared" si="12"/>
        <v>92.699999999999989</v>
      </c>
      <c r="AI47" s="43">
        <f t="shared" si="12"/>
        <v>87.759999999999991</v>
      </c>
      <c r="AJ47" s="43">
        <f t="shared" si="12"/>
        <v>88.82</v>
      </c>
      <c r="AK47" s="43">
        <f t="shared" si="3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1"/>
        <v>97.72</v>
      </c>
      <c r="AH48" s="43">
        <f t="shared" si="12"/>
        <v>97.11</v>
      </c>
      <c r="AI48" s="43">
        <f t="shared" si="12"/>
        <v>92.289999999999992</v>
      </c>
      <c r="AJ48" s="43">
        <f t="shared" si="12"/>
        <v>93.32</v>
      </c>
      <c r="AK48" s="43">
        <f t="shared" si="3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1"/>
        <v>102.32</v>
      </c>
      <c r="AH49" s="61">
        <f t="shared" si="12"/>
        <v>101.72</v>
      </c>
      <c r="AI49" s="43">
        <f t="shared" si="12"/>
        <v>97.02</v>
      </c>
      <c r="AJ49" s="43">
        <f t="shared" si="12"/>
        <v>98.02</v>
      </c>
      <c r="AK49" s="61">
        <f t="shared" si="3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1"/>
        <v>107.15</v>
      </c>
      <c r="AH50" s="61">
        <f t="shared" si="12"/>
        <v>106.57000000000001</v>
      </c>
      <c r="AI50" s="61">
        <f t="shared" si="12"/>
        <v>101.98</v>
      </c>
      <c r="AJ50" s="61">
        <f t="shared" si="12"/>
        <v>102.95</v>
      </c>
      <c r="AK50" s="61">
        <f t="shared" si="3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1"/>
        <v>112.2</v>
      </c>
      <c r="AH51" s="61">
        <f t="shared" si="12"/>
        <v>111.64</v>
      </c>
      <c r="AI51" s="61">
        <f t="shared" si="12"/>
        <v>107.16</v>
      </c>
      <c r="AJ51" s="61">
        <f t="shared" si="12"/>
        <v>108.10000000000001</v>
      </c>
      <c r="AK51" s="61">
        <f t="shared" si="3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1"/>
        <v>117.48</v>
      </c>
      <c r="AH52" s="61">
        <f t="shared" si="12"/>
        <v>116.94</v>
      </c>
      <c r="AI52" s="61">
        <f t="shared" si="12"/>
        <v>112.57000000000001</v>
      </c>
      <c r="AJ52" s="61">
        <f t="shared" si="12"/>
        <v>113.48</v>
      </c>
      <c r="AK52" s="61">
        <f t="shared" si="3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1"/>
        <v>123.02</v>
      </c>
      <c r="AH53" s="61">
        <f t="shared" si="12"/>
        <v>122.5</v>
      </c>
      <c r="AI53" s="61">
        <f t="shared" si="12"/>
        <v>118.24</v>
      </c>
      <c r="AJ53" s="61">
        <f t="shared" si="12"/>
        <v>119.11999999999999</v>
      </c>
      <c r="AK53" s="61">
        <f t="shared" si="3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1"/>
        <v>128.82</v>
      </c>
      <c r="AH54" s="61">
        <f t="shared" si="12"/>
        <v>128.32</v>
      </c>
      <c r="AI54" s="61">
        <f t="shared" si="12"/>
        <v>124.16999999999999</v>
      </c>
      <c r="AJ54" s="61">
        <f t="shared" si="12"/>
        <v>125.02</v>
      </c>
      <c r="AK54" s="61">
        <f t="shared" si="3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1"/>
        <v>134.88999999999999</v>
      </c>
      <c r="AH55" s="62">
        <f t="shared" si="12"/>
        <v>134.41</v>
      </c>
      <c r="AI55" s="62">
        <f t="shared" si="12"/>
        <v>130.36999999999998</v>
      </c>
      <c r="AJ55" s="62">
        <f t="shared" si="12"/>
        <v>131.19</v>
      </c>
      <c r="AK55" s="62">
        <f t="shared" si="3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1"/>
        <v>141.25</v>
      </c>
      <c r="AH56" s="62">
        <f t="shared" si="12"/>
        <v>140.79</v>
      </c>
      <c r="AI56" s="62">
        <f t="shared" si="12"/>
        <v>136.86000000000001</v>
      </c>
      <c r="AJ56" s="62">
        <f t="shared" si="12"/>
        <v>137.65</v>
      </c>
      <c r="AK56" s="62">
        <f t="shared" si="3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"/>
        <v>147.91</v>
      </c>
      <c r="AH57" s="62">
        <f t="shared" si="12"/>
        <v>147.47</v>
      </c>
      <c r="AI57" s="62">
        <f t="shared" si="12"/>
        <v>143.65</v>
      </c>
      <c r="AJ57" s="62">
        <f t="shared" si="12"/>
        <v>144.41</v>
      </c>
      <c r="AK57" s="62">
        <f t="shared" si="3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37</v>
      </c>
      <c r="C58" s="39">
        <f>B10</f>
        <v>46</v>
      </c>
      <c r="D58" s="39">
        <f>B11</f>
        <v>47</v>
      </c>
      <c r="E58" s="39">
        <f>B12</f>
        <v>36</v>
      </c>
      <c r="F58" s="40" t="str">
        <f>IF(U1="좌",IF(C34="-90˚","↓",IF(C34="-45˚","↙",IF(C34="+0˚","←",IF(C34="45˚","↖",IF(C34="90˚","↑","?"))))),IF(C34="-90˚","↓",IF(C34="-45˚","↘",IF(C34="+0˚","→",IF(C34="45˚","↗",IF(C34="90˚","↑","?"))))))</f>
        <v>↙</v>
      </c>
      <c r="G58" s="41">
        <f>B34</f>
        <v>49</v>
      </c>
      <c r="H58" s="1">
        <f>$P$5</f>
        <v>25</v>
      </c>
      <c r="I58" s="59">
        <f>D34</f>
        <v>97.1</v>
      </c>
      <c r="J58" s="1" t="str">
        <f>B36</f>
        <v>연암</v>
      </c>
      <c r="AF58" s="1">
        <v>59</v>
      </c>
      <c r="AG58" s="62">
        <f t="shared" si="1"/>
        <v>154.88</v>
      </c>
      <c r="AH58" s="62">
        <f t="shared" si="12"/>
        <v>154.46</v>
      </c>
      <c r="AI58" s="62">
        <f t="shared" si="12"/>
        <v>150.75</v>
      </c>
      <c r="AJ58" s="62">
        <f t="shared" si="12"/>
        <v>151.47999999999999</v>
      </c>
      <c r="AK58" s="62">
        <f t="shared" si="3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42</v>
      </c>
      <c r="C59" s="39">
        <f>B14</f>
        <v>43</v>
      </c>
      <c r="D59" s="39">
        <f>B15</f>
        <v>43</v>
      </c>
      <c r="E59" s="39">
        <f>B16</f>
        <v>43</v>
      </c>
      <c r="AF59" s="1">
        <v>60</v>
      </c>
      <c r="AG59" s="4">
        <f t="shared" si="1"/>
        <v>162.18</v>
      </c>
      <c r="AH59" s="4">
        <f t="shared" si="12"/>
        <v>161.78</v>
      </c>
      <c r="AI59" s="62">
        <f t="shared" si="12"/>
        <v>158.18</v>
      </c>
      <c r="AJ59" s="62">
        <f t="shared" si="12"/>
        <v>158.88</v>
      </c>
      <c r="AK59" s="44">
        <f t="shared" si="3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54</v>
      </c>
      <c r="C60" s="39">
        <f>B18</f>
        <v>56</v>
      </c>
      <c r="D60" s="39">
        <f>B19</f>
        <v>33</v>
      </c>
      <c r="E60" s="39">
        <f>B20</f>
        <v>44</v>
      </c>
    </row>
    <row r="61" spans="1:42" x14ac:dyDescent="0.15">
      <c r="B61" s="38">
        <f>B21</f>
        <v>38</v>
      </c>
      <c r="C61" s="39">
        <f>B22</f>
        <v>49</v>
      </c>
      <c r="D61" s="39">
        <f>B23</f>
        <v>52</v>
      </c>
      <c r="E61" s="39">
        <f>B24</f>
        <v>46</v>
      </c>
    </row>
    <row r="62" spans="1:42" x14ac:dyDescent="0.15">
      <c r="B62" s="38">
        <f>B25</f>
        <v>44</v>
      </c>
      <c r="C62" s="39">
        <f>B26</f>
        <v>46</v>
      </c>
      <c r="D62" s="39">
        <f>B27</f>
        <v>42</v>
      </c>
      <c r="E62" s="39">
        <f>B28</f>
        <v>48</v>
      </c>
      <c r="O62" s="45"/>
    </row>
    <row r="63" spans="1:42" ht="20.25" x14ac:dyDescent="0.25">
      <c r="A63" s="60">
        <v>2</v>
      </c>
      <c r="B63" s="38">
        <f>E9</f>
        <v>42</v>
      </c>
      <c r="C63" s="39">
        <f>E10</f>
        <v>46</v>
      </c>
      <c r="D63" s="39">
        <f>E11</f>
        <v>28</v>
      </c>
      <c r="E63" s="39">
        <f>E12</f>
        <v>36</v>
      </c>
      <c r="F63" s="40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44</v>
      </c>
      <c r="H63" s="1">
        <f>$P$5</f>
        <v>25</v>
      </c>
      <c r="I63" s="59">
        <f>G34</f>
        <v>75.099999999999994</v>
      </c>
      <c r="J63" s="1" t="str">
        <f>E36</f>
        <v>연암</v>
      </c>
    </row>
    <row r="64" spans="1:42" x14ac:dyDescent="0.15">
      <c r="B64" s="38">
        <f>E13</f>
        <v>41</v>
      </c>
      <c r="C64" s="39">
        <f>E14</f>
        <v>36</v>
      </c>
      <c r="D64" s="39">
        <f>E15</f>
        <v>36</v>
      </c>
      <c r="E64" s="39">
        <f>E16</f>
        <v>35</v>
      </c>
    </row>
    <row r="65" spans="1:10" x14ac:dyDescent="0.15">
      <c r="B65" s="38">
        <f>E17</f>
        <v>38</v>
      </c>
      <c r="C65" s="39">
        <f>E18</f>
        <v>40</v>
      </c>
      <c r="D65" s="39">
        <f>E19</f>
        <v>49</v>
      </c>
      <c r="E65" s="39">
        <f>E20</f>
        <v>31</v>
      </c>
    </row>
    <row r="66" spans="1:10" x14ac:dyDescent="0.15">
      <c r="B66" s="38">
        <f>E21</f>
        <v>40</v>
      </c>
      <c r="C66" s="39">
        <f>E22</f>
        <v>46</v>
      </c>
      <c r="D66" s="39">
        <f>E23</f>
        <v>35</v>
      </c>
      <c r="E66" s="39">
        <f>E24</f>
        <v>27</v>
      </c>
    </row>
    <row r="67" spans="1:10" x14ac:dyDescent="0.15">
      <c r="B67" s="38">
        <f>E25</f>
        <v>44</v>
      </c>
      <c r="C67" s="39">
        <f>E26</f>
        <v>46</v>
      </c>
      <c r="D67" s="39">
        <f>E27</f>
        <v>38</v>
      </c>
      <c r="E67" s="39">
        <f>E28</f>
        <v>46</v>
      </c>
    </row>
    <row r="68" spans="1:10" ht="20.25" x14ac:dyDescent="0.25">
      <c r="A68" s="60">
        <v>3</v>
      </c>
      <c r="B68" s="38">
        <f>H9</f>
        <v>38</v>
      </c>
      <c r="C68" s="39">
        <f>H10</f>
        <v>53</v>
      </c>
      <c r="D68" s="39">
        <f>H11</f>
        <v>55</v>
      </c>
      <c r="E68" s="39">
        <f>H12</f>
        <v>49</v>
      </c>
      <c r="F68" s="40" t="str">
        <f>IF(U3="좌",IF(I34="-90˚","↓",IF(I34="-45˚","↙",IF(I34="+0˚","←",IF(I34="45˚","↖",IF(I34="90˚","↑","?"))))),IF(I34="-90˚","↓",IF(I34="-45˚","↘",IF(I34="+0˚","→",IF(I34="45˚","↗",IF(I34="90˚","↑","?"))))))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41">
        <f>H34</f>
        <v>49</v>
      </c>
      <c r="H68" s="1">
        <f>$P$5</f>
        <v>25</v>
      </c>
      <c r="I68" s="59">
        <f>J34</f>
        <v>97.1</v>
      </c>
      <c r="J68" s="1" t="str">
        <f>H36</f>
        <v>연암</v>
      </c>
    </row>
    <row r="69" spans="1:10" x14ac:dyDescent="0.15">
      <c r="B69" s="38">
        <f>H13</f>
        <v>41</v>
      </c>
      <c r="C69" s="39">
        <f>H14</f>
        <v>45</v>
      </c>
      <c r="D69" s="39">
        <f>H15</f>
        <v>49</v>
      </c>
      <c r="E69" s="39">
        <f>H16</f>
        <v>39</v>
      </c>
    </row>
    <row r="70" spans="1:10" x14ac:dyDescent="0.15">
      <c r="B70" s="38">
        <f>H17</f>
        <v>46</v>
      </c>
      <c r="C70" s="39">
        <f>H18</f>
        <v>44</v>
      </c>
      <c r="D70" s="39">
        <f>H19</f>
        <v>38</v>
      </c>
      <c r="E70" s="39">
        <f>H20</f>
        <v>44</v>
      </c>
    </row>
    <row r="71" spans="1:10" x14ac:dyDescent="0.15">
      <c r="B71" s="38">
        <f>H21</f>
        <v>44</v>
      </c>
      <c r="C71" s="39">
        <f>H22</f>
        <v>49</v>
      </c>
      <c r="D71" s="39">
        <f>H23</f>
        <v>33</v>
      </c>
      <c r="E71" s="39">
        <f>H24</f>
        <v>38</v>
      </c>
    </row>
    <row r="72" spans="1:10" x14ac:dyDescent="0.15">
      <c r="B72" s="38">
        <f>H25</f>
        <v>56</v>
      </c>
      <c r="C72" s="39">
        <f>H26</f>
        <v>40</v>
      </c>
      <c r="D72" s="39">
        <f>H27</f>
        <v>37</v>
      </c>
      <c r="E72" s="39">
        <f>H28</f>
        <v>44</v>
      </c>
    </row>
    <row r="73" spans="1:10" ht="20.25" x14ac:dyDescent="0.25">
      <c r="A73" s="60">
        <v>4</v>
      </c>
      <c r="B73" s="38">
        <f>K9</f>
        <v>32</v>
      </c>
      <c r="C73" s="39">
        <f>K10</f>
        <v>33</v>
      </c>
      <c r="D73" s="39">
        <f>K11</f>
        <v>45</v>
      </c>
      <c r="E73" s="39">
        <f>K12</f>
        <v>35</v>
      </c>
      <c r="F73" s="40" t="str">
        <f>IF(U4="좌",IF(L34="-90˚","↓",IF(L34="-45˚","↙",IF(L34="+0˚","←",IF(L34="45˚","↖",IF(L34="90˚","↑","?"))))),IF(L34="-90˚","↓",IF(L34="-45˚","↘",IF(L34="+0˚","→",IF(L34="45˚","↗",IF(L34="90˚","↑","?"))))))</f>
        <v>←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K36</f>
        <v>연암</v>
      </c>
    </row>
    <row r="74" spans="1:10" x14ac:dyDescent="0.15">
      <c r="B74" s="38">
        <f>K13</f>
        <v>51</v>
      </c>
      <c r="C74" s="39">
        <f>K14</f>
        <v>45</v>
      </c>
      <c r="D74" s="39">
        <f>K15</f>
        <v>34</v>
      </c>
      <c r="E74" s="39">
        <f>K16</f>
        <v>44</v>
      </c>
    </row>
    <row r="75" spans="1:10" x14ac:dyDescent="0.15">
      <c r="B75" s="38">
        <f>K17</f>
        <v>55</v>
      </c>
      <c r="C75" s="39">
        <f>K18</f>
        <v>51</v>
      </c>
      <c r="D75" s="39">
        <f>K19</f>
        <v>33</v>
      </c>
      <c r="E75" s="39">
        <f>K20</f>
        <v>36</v>
      </c>
    </row>
    <row r="76" spans="1:10" x14ac:dyDescent="0.15">
      <c r="B76" s="38">
        <f>K21</f>
        <v>37</v>
      </c>
      <c r="C76" s="39">
        <f>K22</f>
        <v>41</v>
      </c>
      <c r="D76" s="39">
        <f>K23</f>
        <v>49</v>
      </c>
      <c r="E76" s="39">
        <f>K24</f>
        <v>36</v>
      </c>
    </row>
    <row r="77" spans="1:10" x14ac:dyDescent="0.15">
      <c r="B77" s="38">
        <f>K25</f>
        <v>32</v>
      </c>
      <c r="C77" s="39">
        <f>K26</f>
        <v>53</v>
      </c>
      <c r="D77" s="39">
        <f>K27</f>
        <v>40</v>
      </c>
      <c r="E77" s="39">
        <f>K28</f>
        <v>35</v>
      </c>
    </row>
  </sheetData>
  <mergeCells count="21"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  <mergeCell ref="B36:D36"/>
    <mergeCell ref="E36:G36"/>
    <mergeCell ref="H36:J36"/>
    <mergeCell ref="K36:M36"/>
    <mergeCell ref="A5:M5"/>
    <mergeCell ref="A1:M2"/>
    <mergeCell ref="A3:M3"/>
    <mergeCell ref="N3:O3"/>
    <mergeCell ref="P3:Q3"/>
    <mergeCell ref="A4:M4"/>
  </mergeCells>
  <phoneticPr fontId="2" type="noConversion"/>
  <dataValidations count="2">
    <dataValidation type="list" allowBlank="1" showInputMessage="1" showErrorMessage="1" sqref="C9 I9 F9 L9" xr:uid="{A21CD7BC-1334-4C9B-99E1-685701878CDD}">
      <formula1>$AG$8:$AK$8</formula1>
    </dataValidation>
    <dataValidation type="list" allowBlank="1" showInputMessage="1" showErrorMessage="1" sqref="U1:U4" xr:uid="{CFB1F450-17DF-423F-AEEE-901E5CA3A6E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13</xdr:col>
                <xdr:colOff>552450</xdr:colOff>
                <xdr:row>32</xdr:row>
                <xdr:rowOff>171450</xdr:rowOff>
              </from>
              <to>
                <xdr:col>16</xdr:col>
                <xdr:colOff>295275</xdr:colOff>
                <xdr:row>34</xdr:row>
                <xdr:rowOff>133350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2115-EF66-4E33-8DB5-9EDBE42F5AE3}">
  <sheetPr codeName="Sheet5">
    <tabColor rgb="FFC00000"/>
  </sheetPr>
  <dimension ref="A1:AP77"/>
  <sheetViews>
    <sheetView tabSelected="1" view="pageBreakPreview" zoomScale="85" zoomScaleNormal="100" zoomScaleSheetLayoutView="85" workbookViewId="0">
      <selection activeCell="R14" sqref="R14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14" t="s">
        <v>15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6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17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9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20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2"/>
      <c r="N3" s="123"/>
      <c r="O3" s="104"/>
      <c r="P3" s="123"/>
      <c r="Q3" s="104"/>
      <c r="R3" s="99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24" t="str">
        <f>'A-B'!$A$4</f>
        <v>* 사면명 : 39. 중부내륙선 232.430k(창원)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6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10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11" t="s">
        <v>89</v>
      </c>
      <c r="C7" s="111"/>
      <c r="D7" s="112"/>
      <c r="E7" s="111" t="s">
        <v>59</v>
      </c>
      <c r="F7" s="111"/>
      <c r="G7" s="112"/>
      <c r="H7" s="111" t="s">
        <v>90</v>
      </c>
      <c r="I7" s="111"/>
      <c r="J7" s="112"/>
      <c r="K7" s="111" t="s">
        <v>91</v>
      </c>
      <c r="L7" s="111"/>
      <c r="M7" s="112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/>
      <c r="P8" s="56"/>
      <c r="Q8" s="56"/>
      <c r="R8" s="56"/>
      <c r="S8" s="49"/>
      <c r="V8" s="44"/>
      <c r="W8" s="44"/>
      <c r="X8" s="44"/>
      <c r="Y8" s="44"/>
      <c r="AA8" s="44"/>
      <c r="AB8" s="44"/>
      <c r="AC8" s="44"/>
      <c r="AD8" s="44"/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71">
        <v>48</v>
      </c>
      <c r="C9" s="34" t="s">
        <v>77</v>
      </c>
      <c r="D9" s="97"/>
      <c r="E9" s="68">
        <v>34</v>
      </c>
      <c r="F9" s="34" t="s">
        <v>29</v>
      </c>
      <c r="G9" s="22"/>
      <c r="H9" s="68">
        <v>47</v>
      </c>
      <c r="I9" s="34" t="s">
        <v>27</v>
      </c>
      <c r="J9" s="22"/>
      <c r="K9" s="68">
        <v>47</v>
      </c>
      <c r="L9" s="34" t="s">
        <v>29</v>
      </c>
      <c r="M9" s="30"/>
      <c r="N9" s="6"/>
      <c r="O9" s="56"/>
      <c r="P9" s="56"/>
      <c r="Q9" s="56"/>
      <c r="R9" s="56"/>
      <c r="S9" s="49"/>
      <c r="T9" s="43"/>
      <c r="V9" s="53"/>
      <c r="W9" s="53"/>
      <c r="X9" s="53"/>
      <c r="Y9" s="53"/>
      <c r="AA9" s="44"/>
      <c r="AB9" s="44"/>
      <c r="AC9" s="44"/>
      <c r="AD9" s="44"/>
      <c r="AF9" s="1">
        <v>10</v>
      </c>
      <c r="AG9" s="4">
        <f t="shared" ref="AG9:AG59" si="0">ROUNDDOWN(10^(0.0008*$P$5*$AF9+1.01),2)</f>
        <v>16.21</v>
      </c>
      <c r="AH9" s="4">
        <f t="shared" ref="AH9:AJ40" si="1">$AG9+AM9</f>
        <v>15.41</v>
      </c>
      <c r="AI9" s="4" t="s">
        <v>34</v>
      </c>
      <c r="AJ9" s="4" t="s">
        <v>34</v>
      </c>
      <c r="AK9" s="4">
        <f t="shared" ref="AK9:AK59" si="2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74">
        <v>49</v>
      </c>
      <c r="C10" s="36" t="str">
        <f>$C$9</f>
        <v>+0˚</v>
      </c>
      <c r="D10" s="98"/>
      <c r="E10" s="69">
        <v>44</v>
      </c>
      <c r="F10" s="36" t="str">
        <f>$F$9</f>
        <v>+0˚</v>
      </c>
      <c r="G10" s="23"/>
      <c r="H10" s="69">
        <v>50</v>
      </c>
      <c r="I10" s="36" t="str">
        <f>$I$9</f>
        <v>-45˚</v>
      </c>
      <c r="J10" s="23"/>
      <c r="K10" s="69">
        <v>44</v>
      </c>
      <c r="L10" s="36" t="str">
        <f>$L$9</f>
        <v>+0˚</v>
      </c>
      <c r="M10" s="24"/>
      <c r="N10" s="6"/>
      <c r="O10" s="56"/>
      <c r="P10" s="56"/>
      <c r="Q10" s="56"/>
      <c r="R10" s="56"/>
      <c r="S10" s="49"/>
      <c r="T10" s="43"/>
      <c r="V10" s="53"/>
      <c r="W10" s="53"/>
      <c r="X10" s="53"/>
      <c r="Y10" s="53"/>
      <c r="AA10" s="44"/>
      <c r="AB10" s="44"/>
      <c r="AC10" s="44"/>
      <c r="AD10" s="44"/>
      <c r="AF10" s="1">
        <v>11</v>
      </c>
      <c r="AG10" s="4">
        <f t="shared" si="0"/>
        <v>16.98</v>
      </c>
      <c r="AH10" s="4">
        <f t="shared" si="1"/>
        <v>16.170000000000002</v>
      </c>
      <c r="AI10" s="4" t="s">
        <v>34</v>
      </c>
      <c r="AJ10" s="4" t="s">
        <v>34</v>
      </c>
      <c r="AK10" s="4">
        <f t="shared" si="2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74">
        <v>54</v>
      </c>
      <c r="C11" s="36" t="str">
        <f t="shared" ref="C11:C28" si="3">$C$9</f>
        <v>+0˚</v>
      </c>
      <c r="D11" s="98"/>
      <c r="E11" s="69">
        <v>37</v>
      </c>
      <c r="F11" s="36" t="str">
        <f t="shared" ref="F11:F28" si="4">$F$9</f>
        <v>+0˚</v>
      </c>
      <c r="G11" s="23"/>
      <c r="H11" s="69">
        <v>30</v>
      </c>
      <c r="I11" s="36" t="str">
        <f t="shared" ref="I11:I28" si="5">$C$9</f>
        <v>+0˚</v>
      </c>
      <c r="J11" s="23"/>
      <c r="K11" s="69">
        <v>55</v>
      </c>
      <c r="L11" s="36" t="str">
        <f t="shared" ref="L11:L28" si="6">$L$9</f>
        <v>+0˚</v>
      </c>
      <c r="M11" s="24"/>
      <c r="N11" s="6"/>
      <c r="O11" s="56"/>
      <c r="P11" s="56"/>
      <c r="Q11" s="56"/>
      <c r="R11" s="56"/>
      <c r="S11" s="49"/>
      <c r="T11" s="43"/>
      <c r="V11" s="53"/>
      <c r="W11" s="53"/>
      <c r="X11" s="53"/>
      <c r="Y11" s="53"/>
      <c r="AA11" s="44"/>
      <c r="AB11" s="44"/>
      <c r="AC11" s="44"/>
      <c r="AD11" s="44"/>
      <c r="AF11" s="1">
        <v>12</v>
      </c>
      <c r="AG11" s="4">
        <f t="shared" si="0"/>
        <v>17.78</v>
      </c>
      <c r="AH11" s="4">
        <f t="shared" si="1"/>
        <v>16.96</v>
      </c>
      <c r="AI11" s="4" t="s">
        <v>34</v>
      </c>
      <c r="AJ11" s="4" t="s">
        <v>34</v>
      </c>
      <c r="AK11" s="4">
        <f t="shared" si="2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74">
        <v>34</v>
      </c>
      <c r="C12" s="36" t="str">
        <f t="shared" si="3"/>
        <v>+0˚</v>
      </c>
      <c r="D12" s="98"/>
      <c r="E12" s="69">
        <v>49</v>
      </c>
      <c r="F12" s="36" t="str">
        <f t="shared" si="4"/>
        <v>+0˚</v>
      </c>
      <c r="G12" s="23"/>
      <c r="H12" s="69">
        <v>45</v>
      </c>
      <c r="I12" s="36" t="str">
        <f t="shared" si="5"/>
        <v>+0˚</v>
      </c>
      <c r="J12" s="23"/>
      <c r="K12" s="69">
        <v>51</v>
      </c>
      <c r="L12" s="36" t="str">
        <f t="shared" si="6"/>
        <v>+0˚</v>
      </c>
      <c r="M12" s="24"/>
      <c r="N12" s="6"/>
      <c r="O12" s="56"/>
      <c r="P12" s="56"/>
      <c r="Q12" s="56"/>
      <c r="R12" s="56"/>
      <c r="S12" s="49"/>
      <c r="T12" s="43"/>
      <c r="V12" s="53"/>
      <c r="W12" s="53"/>
      <c r="X12" s="53"/>
      <c r="Y12" s="53"/>
      <c r="AA12" s="44"/>
      <c r="AB12" s="44"/>
      <c r="AC12" s="44"/>
      <c r="AD12" s="44"/>
      <c r="AF12" s="1">
        <v>13</v>
      </c>
      <c r="AG12" s="4">
        <f t="shared" si="0"/>
        <v>18.62</v>
      </c>
      <c r="AH12" s="4">
        <f t="shared" si="1"/>
        <v>17.790000000000003</v>
      </c>
      <c r="AI12" s="4" t="s">
        <v>34</v>
      </c>
      <c r="AJ12" s="4" t="s">
        <v>34</v>
      </c>
      <c r="AK12" s="4">
        <f t="shared" si="2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74">
        <v>44</v>
      </c>
      <c r="C13" s="36" t="str">
        <f t="shared" si="3"/>
        <v>+0˚</v>
      </c>
      <c r="D13" s="98"/>
      <c r="E13" s="69">
        <v>46</v>
      </c>
      <c r="F13" s="36" t="str">
        <f t="shared" si="4"/>
        <v>+0˚</v>
      </c>
      <c r="G13" s="23"/>
      <c r="H13" s="69">
        <v>43</v>
      </c>
      <c r="I13" s="36" t="str">
        <f t="shared" si="5"/>
        <v>+0˚</v>
      </c>
      <c r="J13" s="23"/>
      <c r="K13" s="69">
        <v>57</v>
      </c>
      <c r="L13" s="36" t="str">
        <f t="shared" si="6"/>
        <v>+0˚</v>
      </c>
      <c r="M13" s="24"/>
      <c r="N13" s="6"/>
      <c r="O13" s="56"/>
      <c r="P13" s="56"/>
      <c r="Q13" s="56"/>
      <c r="R13" s="56"/>
      <c r="S13" s="49"/>
      <c r="T13" s="43"/>
      <c r="V13" s="53"/>
      <c r="W13" s="53"/>
      <c r="X13" s="53"/>
      <c r="Y13" s="53"/>
      <c r="AA13" s="44"/>
      <c r="AB13" s="44"/>
      <c r="AC13" s="44"/>
      <c r="AD13" s="44"/>
      <c r="AF13" s="1">
        <v>14</v>
      </c>
      <c r="AG13" s="4">
        <f t="shared" si="0"/>
        <v>19.489999999999998</v>
      </c>
      <c r="AH13" s="4">
        <f t="shared" si="1"/>
        <v>18.649999999999999</v>
      </c>
      <c r="AI13" s="4" t="s">
        <v>34</v>
      </c>
      <c r="AJ13" s="4" t="s">
        <v>34</v>
      </c>
      <c r="AK13" s="4">
        <f t="shared" si="2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74">
        <v>42</v>
      </c>
      <c r="C14" s="36" t="str">
        <f t="shared" si="3"/>
        <v>+0˚</v>
      </c>
      <c r="D14" s="98"/>
      <c r="E14" s="69">
        <v>31</v>
      </c>
      <c r="F14" s="36" t="str">
        <f t="shared" si="4"/>
        <v>+0˚</v>
      </c>
      <c r="G14" s="23"/>
      <c r="H14" s="69">
        <v>46</v>
      </c>
      <c r="I14" s="36" t="str">
        <f t="shared" si="5"/>
        <v>+0˚</v>
      </c>
      <c r="J14" s="23"/>
      <c r="K14" s="69">
        <v>42</v>
      </c>
      <c r="L14" s="36" t="str">
        <f t="shared" si="6"/>
        <v>+0˚</v>
      </c>
      <c r="M14" s="24"/>
      <c r="N14" s="6"/>
      <c r="O14" s="56"/>
      <c r="P14" s="56"/>
      <c r="Q14" s="56"/>
      <c r="R14" s="56"/>
      <c r="S14" s="49"/>
      <c r="T14" s="43"/>
      <c r="V14" s="53"/>
      <c r="W14" s="53"/>
      <c r="X14" s="53"/>
      <c r="Y14" s="53"/>
      <c r="AA14" s="44"/>
      <c r="AB14" s="44"/>
      <c r="AC14" s="44"/>
      <c r="AD14" s="44"/>
      <c r="AF14" s="1">
        <v>15</v>
      </c>
      <c r="AG14" s="4">
        <f t="shared" si="0"/>
        <v>20.41</v>
      </c>
      <c r="AH14" s="4">
        <f t="shared" si="1"/>
        <v>19.559999999999999</v>
      </c>
      <c r="AI14" s="4" t="s">
        <v>34</v>
      </c>
      <c r="AJ14" s="4" t="s">
        <v>34</v>
      </c>
      <c r="AK14" s="4">
        <f t="shared" si="2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74">
        <v>43</v>
      </c>
      <c r="C15" s="36" t="str">
        <f t="shared" si="3"/>
        <v>+0˚</v>
      </c>
      <c r="D15" s="98"/>
      <c r="E15" s="69">
        <v>26</v>
      </c>
      <c r="F15" s="36" t="str">
        <f t="shared" si="4"/>
        <v>+0˚</v>
      </c>
      <c r="G15" s="23"/>
      <c r="H15" s="69">
        <v>39</v>
      </c>
      <c r="I15" s="36" t="str">
        <f t="shared" si="5"/>
        <v>+0˚</v>
      </c>
      <c r="J15" s="23"/>
      <c r="K15" s="69">
        <v>52</v>
      </c>
      <c r="L15" s="36" t="str">
        <f t="shared" si="6"/>
        <v>+0˚</v>
      </c>
      <c r="M15" s="24"/>
      <c r="O15" s="56"/>
      <c r="P15" s="56"/>
      <c r="Q15" s="56"/>
      <c r="R15" s="56"/>
      <c r="S15" s="49"/>
      <c r="T15" s="43"/>
      <c r="V15" s="53"/>
      <c r="W15" s="53"/>
      <c r="X15" s="53"/>
      <c r="Y15" s="53"/>
      <c r="AA15" s="44"/>
      <c r="AB15" s="44"/>
      <c r="AC15" s="44"/>
      <c r="AD15" s="44"/>
      <c r="AF15" s="1">
        <v>16</v>
      </c>
      <c r="AG15" s="4">
        <f t="shared" si="0"/>
        <v>21.37</v>
      </c>
      <c r="AH15" s="4">
        <f t="shared" si="1"/>
        <v>20.51</v>
      </c>
      <c r="AI15" s="4" t="s">
        <v>34</v>
      </c>
      <c r="AJ15" s="4" t="s">
        <v>34</v>
      </c>
      <c r="AK15" s="4">
        <f t="shared" si="2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74">
        <v>39</v>
      </c>
      <c r="C16" s="36" t="str">
        <f t="shared" si="3"/>
        <v>+0˚</v>
      </c>
      <c r="D16" s="98"/>
      <c r="E16" s="69">
        <v>40</v>
      </c>
      <c r="F16" s="36" t="str">
        <f t="shared" si="4"/>
        <v>+0˚</v>
      </c>
      <c r="G16" s="23"/>
      <c r="H16" s="69">
        <v>33</v>
      </c>
      <c r="I16" s="36" t="str">
        <f t="shared" si="5"/>
        <v>+0˚</v>
      </c>
      <c r="J16" s="23"/>
      <c r="K16" s="69">
        <v>36</v>
      </c>
      <c r="L16" s="36" t="str">
        <f t="shared" si="6"/>
        <v>+0˚</v>
      </c>
      <c r="M16" s="24"/>
      <c r="O16" s="56"/>
      <c r="P16" s="56"/>
      <c r="Q16" s="56"/>
      <c r="R16" s="56"/>
      <c r="S16" s="49"/>
      <c r="T16" s="43"/>
      <c r="V16" s="53"/>
      <c r="W16" s="53"/>
      <c r="X16" s="53"/>
      <c r="Y16" s="53"/>
      <c r="AA16" s="44"/>
      <c r="AB16" s="44"/>
      <c r="AC16" s="44"/>
      <c r="AD16" s="44"/>
      <c r="AF16" s="1">
        <v>17</v>
      </c>
      <c r="AG16" s="4">
        <f t="shared" si="0"/>
        <v>22.38</v>
      </c>
      <c r="AH16" s="4">
        <f t="shared" si="1"/>
        <v>21.509999999999998</v>
      </c>
      <c r="AI16" s="4" t="s">
        <v>34</v>
      </c>
      <c r="AJ16" s="4" t="s">
        <v>34</v>
      </c>
      <c r="AK16" s="4">
        <f t="shared" si="2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74">
        <v>39</v>
      </c>
      <c r="C17" s="36" t="str">
        <f t="shared" si="3"/>
        <v>+0˚</v>
      </c>
      <c r="D17" s="98"/>
      <c r="E17" s="69">
        <v>28</v>
      </c>
      <c r="F17" s="36" t="str">
        <f t="shared" si="4"/>
        <v>+0˚</v>
      </c>
      <c r="G17" s="23"/>
      <c r="H17" s="69">
        <v>53</v>
      </c>
      <c r="I17" s="36" t="str">
        <f t="shared" si="5"/>
        <v>+0˚</v>
      </c>
      <c r="J17" s="23"/>
      <c r="K17" s="69">
        <v>50</v>
      </c>
      <c r="L17" s="36" t="str">
        <f t="shared" si="6"/>
        <v>+0˚</v>
      </c>
      <c r="M17" s="24"/>
      <c r="O17" s="56"/>
      <c r="P17" s="56"/>
      <c r="Q17" s="56"/>
      <c r="R17" s="56"/>
      <c r="S17" s="49"/>
      <c r="T17" s="43"/>
      <c r="V17" s="53"/>
      <c r="W17" s="53"/>
      <c r="X17" s="53"/>
      <c r="Y17" s="53"/>
      <c r="AA17" s="44"/>
      <c r="AB17" s="44"/>
      <c r="AC17" s="44"/>
      <c r="AD17" s="44"/>
      <c r="AF17" s="1">
        <v>18</v>
      </c>
      <c r="AG17" s="4">
        <f t="shared" si="0"/>
        <v>23.44</v>
      </c>
      <c r="AH17" s="4">
        <f t="shared" si="1"/>
        <v>22.560000000000002</v>
      </c>
      <c r="AI17" s="4" t="s">
        <v>34</v>
      </c>
      <c r="AJ17" s="4" t="s">
        <v>34</v>
      </c>
      <c r="AK17" s="4">
        <f t="shared" si="2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74">
        <v>48</v>
      </c>
      <c r="C18" s="36" t="str">
        <f t="shared" si="3"/>
        <v>+0˚</v>
      </c>
      <c r="D18" s="98"/>
      <c r="E18" s="69">
        <v>34</v>
      </c>
      <c r="F18" s="36" t="str">
        <f t="shared" si="4"/>
        <v>+0˚</v>
      </c>
      <c r="G18" s="23"/>
      <c r="H18" s="69">
        <v>37</v>
      </c>
      <c r="I18" s="36" t="str">
        <f t="shared" si="5"/>
        <v>+0˚</v>
      </c>
      <c r="J18" s="23"/>
      <c r="K18" s="69">
        <v>36</v>
      </c>
      <c r="L18" s="36" t="str">
        <f t="shared" si="6"/>
        <v>+0˚</v>
      </c>
      <c r="M18" s="24"/>
      <c r="O18" s="56"/>
      <c r="P18" s="56"/>
      <c r="Q18" s="56"/>
      <c r="R18" s="56"/>
      <c r="S18" s="49"/>
      <c r="T18" s="43"/>
      <c r="V18" s="53"/>
      <c r="W18" s="53"/>
      <c r="X18" s="53"/>
      <c r="Y18" s="53"/>
      <c r="AA18" s="44"/>
      <c r="AB18" s="44"/>
      <c r="AC18" s="44"/>
      <c r="AD18" s="44"/>
      <c r="AF18" s="1">
        <v>19</v>
      </c>
      <c r="AG18" s="4">
        <f t="shared" si="0"/>
        <v>24.54</v>
      </c>
      <c r="AH18" s="4">
        <f t="shared" si="1"/>
        <v>23.65</v>
      </c>
      <c r="AI18" s="4" t="s">
        <v>34</v>
      </c>
      <c r="AJ18" s="4" t="s">
        <v>34</v>
      </c>
      <c r="AK18" s="4">
        <f t="shared" si="2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74">
        <v>45</v>
      </c>
      <c r="C19" s="36" t="str">
        <f t="shared" si="3"/>
        <v>+0˚</v>
      </c>
      <c r="D19" s="98"/>
      <c r="E19" s="69">
        <v>36</v>
      </c>
      <c r="F19" s="36" t="str">
        <f t="shared" si="4"/>
        <v>+0˚</v>
      </c>
      <c r="G19" s="23"/>
      <c r="H19" s="69">
        <v>35</v>
      </c>
      <c r="I19" s="36" t="str">
        <f t="shared" si="5"/>
        <v>+0˚</v>
      </c>
      <c r="J19" s="23"/>
      <c r="K19" s="69">
        <v>43</v>
      </c>
      <c r="L19" s="36" t="str">
        <f t="shared" si="6"/>
        <v>+0˚</v>
      </c>
      <c r="M19" s="24"/>
      <c r="O19" s="56"/>
      <c r="P19" s="56"/>
      <c r="Q19" s="56"/>
      <c r="R19" s="56"/>
      <c r="S19" s="49"/>
      <c r="T19" s="43"/>
      <c r="V19" s="53"/>
      <c r="W19" s="53"/>
      <c r="X19" s="53"/>
      <c r="Y19" s="53"/>
      <c r="AA19" s="44"/>
      <c r="AB19" s="44"/>
      <c r="AC19" s="44"/>
      <c r="AD19" s="44"/>
      <c r="AF19" s="1">
        <v>20</v>
      </c>
      <c r="AG19" s="4">
        <f t="shared" si="0"/>
        <v>25.7</v>
      </c>
      <c r="AH19" s="4">
        <f t="shared" si="1"/>
        <v>24.8</v>
      </c>
      <c r="AI19" s="4">
        <f t="shared" si="1"/>
        <v>16.899999999999999</v>
      </c>
      <c r="AJ19" s="4">
        <f t="shared" si="1"/>
        <v>18.799999999999997</v>
      </c>
      <c r="AK19" s="4">
        <f t="shared" si="2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74">
        <v>39</v>
      </c>
      <c r="C20" s="36" t="str">
        <f t="shared" si="3"/>
        <v>+0˚</v>
      </c>
      <c r="D20" s="98"/>
      <c r="E20" s="69">
        <v>28</v>
      </c>
      <c r="F20" s="36" t="str">
        <f t="shared" si="4"/>
        <v>+0˚</v>
      </c>
      <c r="G20" s="23"/>
      <c r="H20" s="69">
        <v>33</v>
      </c>
      <c r="I20" s="36" t="str">
        <f t="shared" si="5"/>
        <v>+0˚</v>
      </c>
      <c r="J20" s="23"/>
      <c r="K20" s="69">
        <v>52</v>
      </c>
      <c r="L20" s="36" t="str">
        <f t="shared" si="6"/>
        <v>+0˚</v>
      </c>
      <c r="M20" s="24"/>
      <c r="O20" s="56"/>
      <c r="P20" s="56"/>
      <c r="Q20" s="56"/>
      <c r="R20" s="56"/>
      <c r="S20" s="49"/>
      <c r="T20" s="43"/>
      <c r="V20" s="53"/>
      <c r="W20" s="53"/>
      <c r="X20" s="53"/>
      <c r="Y20" s="53"/>
      <c r="AA20" s="44"/>
      <c r="AB20" s="44"/>
      <c r="AC20" s="44"/>
      <c r="AD20" s="44"/>
      <c r="AF20" s="1">
        <v>21</v>
      </c>
      <c r="AG20" s="4">
        <f t="shared" si="0"/>
        <v>26.91</v>
      </c>
      <c r="AH20" s="4">
        <f t="shared" si="1"/>
        <v>26.02</v>
      </c>
      <c r="AI20" s="4">
        <f t="shared" si="1"/>
        <v>18.21</v>
      </c>
      <c r="AJ20" s="4">
        <f t="shared" si="1"/>
        <v>20.079999999999998</v>
      </c>
      <c r="AK20" s="4">
        <f t="shared" si="2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74">
        <v>36</v>
      </c>
      <c r="C21" s="36" t="str">
        <f t="shared" si="3"/>
        <v>+0˚</v>
      </c>
      <c r="D21" s="98"/>
      <c r="E21" s="69">
        <v>33</v>
      </c>
      <c r="F21" s="36" t="str">
        <f t="shared" si="4"/>
        <v>+0˚</v>
      </c>
      <c r="G21" s="23"/>
      <c r="H21" s="69">
        <v>50</v>
      </c>
      <c r="I21" s="36" t="str">
        <f t="shared" si="5"/>
        <v>+0˚</v>
      </c>
      <c r="J21" s="23"/>
      <c r="K21" s="69">
        <v>42</v>
      </c>
      <c r="L21" s="36" t="str">
        <f t="shared" si="6"/>
        <v>+0˚</v>
      </c>
      <c r="M21" s="24"/>
      <c r="O21" s="56"/>
      <c r="P21" s="56"/>
      <c r="Q21" s="56"/>
      <c r="R21" s="56"/>
      <c r="S21" s="49"/>
      <c r="T21" s="43"/>
      <c r="V21" s="53"/>
      <c r="W21" s="53"/>
      <c r="X21" s="53"/>
      <c r="Y21" s="53"/>
      <c r="AA21" s="44"/>
      <c r="AB21" s="44"/>
      <c r="AC21" s="44"/>
      <c r="AD21" s="44"/>
      <c r="AF21" s="1">
        <v>22</v>
      </c>
      <c r="AG21" s="4">
        <f t="shared" si="0"/>
        <v>28.18</v>
      </c>
      <c r="AH21" s="4">
        <f t="shared" si="1"/>
        <v>27.3</v>
      </c>
      <c r="AI21" s="4">
        <f t="shared" si="1"/>
        <v>19.579999999999998</v>
      </c>
      <c r="AJ21" s="4">
        <f t="shared" si="1"/>
        <v>21.42</v>
      </c>
      <c r="AK21" s="4">
        <f t="shared" si="2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74">
        <v>46</v>
      </c>
      <c r="C22" s="36" t="str">
        <f t="shared" si="3"/>
        <v>+0˚</v>
      </c>
      <c r="D22" s="98"/>
      <c r="E22" s="69">
        <v>43</v>
      </c>
      <c r="F22" s="36" t="str">
        <f t="shared" si="4"/>
        <v>+0˚</v>
      </c>
      <c r="G22" s="23"/>
      <c r="H22" s="69">
        <v>53</v>
      </c>
      <c r="I22" s="36" t="str">
        <f t="shared" si="5"/>
        <v>+0˚</v>
      </c>
      <c r="J22" s="23"/>
      <c r="K22" s="69">
        <v>47</v>
      </c>
      <c r="L22" s="36" t="str">
        <f t="shared" si="6"/>
        <v>+0˚</v>
      </c>
      <c r="M22" s="24"/>
      <c r="O22" s="56"/>
      <c r="P22" s="56"/>
      <c r="Q22" s="56"/>
      <c r="R22" s="56"/>
      <c r="S22" s="49"/>
      <c r="T22" s="43"/>
      <c r="V22" s="53"/>
      <c r="W22" s="53"/>
      <c r="X22" s="53"/>
      <c r="Y22" s="53"/>
      <c r="AA22" s="44"/>
      <c r="AB22" s="44"/>
      <c r="AC22" s="44"/>
      <c r="AD22" s="44"/>
      <c r="AF22" s="1">
        <v>23</v>
      </c>
      <c r="AG22" s="4">
        <f t="shared" si="0"/>
        <v>29.51</v>
      </c>
      <c r="AH22" s="4">
        <f t="shared" si="1"/>
        <v>28.64</v>
      </c>
      <c r="AI22" s="4">
        <f t="shared" si="1"/>
        <v>21.01</v>
      </c>
      <c r="AJ22" s="4">
        <f t="shared" si="1"/>
        <v>22.82</v>
      </c>
      <c r="AK22" s="4">
        <f t="shared" si="2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74">
        <v>48</v>
      </c>
      <c r="C23" s="36" t="str">
        <f t="shared" si="3"/>
        <v>+0˚</v>
      </c>
      <c r="D23" s="98"/>
      <c r="E23" s="69">
        <v>33</v>
      </c>
      <c r="F23" s="36" t="str">
        <f t="shared" si="4"/>
        <v>+0˚</v>
      </c>
      <c r="G23" s="23"/>
      <c r="H23" s="69">
        <v>53</v>
      </c>
      <c r="I23" s="36" t="str">
        <f t="shared" si="5"/>
        <v>+0˚</v>
      </c>
      <c r="J23" s="23"/>
      <c r="K23" s="69">
        <v>48</v>
      </c>
      <c r="L23" s="36" t="str">
        <f t="shared" si="6"/>
        <v>+0˚</v>
      </c>
      <c r="M23" s="24"/>
      <c r="O23" s="56"/>
      <c r="P23" s="56"/>
      <c r="Q23" s="56"/>
      <c r="R23" s="56"/>
      <c r="S23" s="49"/>
      <c r="T23" s="43"/>
      <c r="V23" s="53"/>
      <c r="W23" s="53"/>
      <c r="X23" s="53"/>
      <c r="Y23" s="53"/>
      <c r="AA23" s="44"/>
      <c r="AB23" s="44"/>
      <c r="AC23" s="44"/>
      <c r="AD23" s="44"/>
      <c r="AF23" s="1">
        <v>24</v>
      </c>
      <c r="AG23" s="4">
        <f t="shared" si="0"/>
        <v>30.9</v>
      </c>
      <c r="AH23" s="4">
        <f t="shared" si="1"/>
        <v>30.04</v>
      </c>
      <c r="AI23" s="4">
        <f t="shared" si="1"/>
        <v>22.5</v>
      </c>
      <c r="AJ23" s="4">
        <f t="shared" si="1"/>
        <v>24.279999999999998</v>
      </c>
      <c r="AK23" s="4">
        <f t="shared" si="2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74">
        <v>42</v>
      </c>
      <c r="C24" s="36" t="str">
        <f t="shared" si="3"/>
        <v>+0˚</v>
      </c>
      <c r="D24" s="98"/>
      <c r="E24" s="69">
        <v>32</v>
      </c>
      <c r="F24" s="36" t="str">
        <f t="shared" si="4"/>
        <v>+0˚</v>
      </c>
      <c r="G24" s="23"/>
      <c r="H24" s="69">
        <v>44</v>
      </c>
      <c r="I24" s="36" t="str">
        <f t="shared" si="5"/>
        <v>+0˚</v>
      </c>
      <c r="J24" s="23"/>
      <c r="K24" s="69">
        <v>55</v>
      </c>
      <c r="L24" s="36" t="str">
        <f t="shared" si="6"/>
        <v>+0˚</v>
      </c>
      <c r="M24" s="24"/>
      <c r="O24" s="56"/>
      <c r="P24" s="56"/>
      <c r="Q24" s="56"/>
      <c r="R24" s="56"/>
      <c r="S24" s="49"/>
      <c r="T24" s="43"/>
      <c r="V24" s="53"/>
      <c r="W24" s="53"/>
      <c r="X24" s="53"/>
      <c r="Y24" s="53"/>
      <c r="AA24" s="44"/>
      <c r="AB24" s="44"/>
      <c r="AC24" s="44"/>
      <c r="AD24" s="44"/>
      <c r="AF24" s="1">
        <v>25</v>
      </c>
      <c r="AG24" s="4">
        <f t="shared" si="0"/>
        <v>32.35</v>
      </c>
      <c r="AH24" s="4">
        <f t="shared" si="1"/>
        <v>31.5</v>
      </c>
      <c r="AI24" s="4">
        <f t="shared" si="1"/>
        <v>24.050000000000011</v>
      </c>
      <c r="AJ24" s="4">
        <f t="shared" si="1"/>
        <v>25.8</v>
      </c>
      <c r="AK24" s="4">
        <f t="shared" si="2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74">
        <v>51</v>
      </c>
      <c r="C25" s="36" t="str">
        <f t="shared" si="3"/>
        <v>+0˚</v>
      </c>
      <c r="D25" s="98"/>
      <c r="E25" s="69">
        <v>40</v>
      </c>
      <c r="F25" s="36" t="str">
        <f t="shared" si="4"/>
        <v>+0˚</v>
      </c>
      <c r="G25" s="23"/>
      <c r="H25" s="69">
        <v>46</v>
      </c>
      <c r="I25" s="36" t="str">
        <f t="shared" si="5"/>
        <v>+0˚</v>
      </c>
      <c r="J25" s="23"/>
      <c r="K25" s="69">
        <v>44</v>
      </c>
      <c r="L25" s="36" t="str">
        <f t="shared" si="6"/>
        <v>+0˚</v>
      </c>
      <c r="M25" s="24"/>
      <c r="O25" s="56"/>
      <c r="P25" s="56"/>
      <c r="Q25" s="56"/>
      <c r="R25" s="56"/>
      <c r="S25" s="49"/>
      <c r="T25" s="43"/>
      <c r="V25" s="53"/>
      <c r="W25" s="53"/>
      <c r="X25" s="53"/>
      <c r="Y25" s="53"/>
      <c r="AA25" s="44"/>
      <c r="AB25" s="44"/>
      <c r="AC25" s="44"/>
      <c r="AD25" s="44"/>
      <c r="AF25" s="1">
        <v>26</v>
      </c>
      <c r="AG25" s="4">
        <f t="shared" si="0"/>
        <v>33.880000000000003</v>
      </c>
      <c r="AH25" s="4">
        <f t="shared" si="1"/>
        <v>33.04</v>
      </c>
      <c r="AI25" s="4">
        <f t="shared" si="1"/>
        <v>25.680000000000014</v>
      </c>
      <c r="AJ25" s="4">
        <f t="shared" si="1"/>
        <v>27.400000000000002</v>
      </c>
      <c r="AK25" s="4">
        <f t="shared" si="2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74">
        <v>52</v>
      </c>
      <c r="C26" s="36" t="str">
        <f t="shared" si="3"/>
        <v>+0˚</v>
      </c>
      <c r="D26" s="98"/>
      <c r="E26" s="69">
        <v>48</v>
      </c>
      <c r="F26" s="36" t="str">
        <f t="shared" si="4"/>
        <v>+0˚</v>
      </c>
      <c r="G26" s="23"/>
      <c r="H26" s="69">
        <v>36</v>
      </c>
      <c r="I26" s="36" t="str">
        <f t="shared" si="5"/>
        <v>+0˚</v>
      </c>
      <c r="J26" s="23"/>
      <c r="K26" s="69">
        <v>38</v>
      </c>
      <c r="L26" s="36" t="str">
        <f t="shared" si="6"/>
        <v>+0˚</v>
      </c>
      <c r="M26" s="24"/>
      <c r="O26" s="56"/>
      <c r="P26" s="56"/>
      <c r="Q26" s="56"/>
      <c r="R26" s="56"/>
      <c r="S26" s="49"/>
      <c r="T26" s="43"/>
      <c r="V26" s="53"/>
      <c r="W26" s="53"/>
      <c r="X26" s="53"/>
      <c r="Y26" s="53"/>
      <c r="AA26" s="44"/>
      <c r="AB26" s="44"/>
      <c r="AC26" s="44"/>
      <c r="AD26" s="44"/>
      <c r="AF26" s="1">
        <v>27</v>
      </c>
      <c r="AG26" s="4">
        <f t="shared" si="0"/>
        <v>35.479999999999997</v>
      </c>
      <c r="AH26" s="4">
        <f t="shared" si="1"/>
        <v>34.65</v>
      </c>
      <c r="AI26" s="4">
        <f t="shared" si="1"/>
        <v>27.380000000000006</v>
      </c>
      <c r="AJ26" s="4">
        <f t="shared" si="1"/>
        <v>29.069999999999997</v>
      </c>
      <c r="AK26" s="4">
        <f t="shared" si="2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74">
        <v>38</v>
      </c>
      <c r="C27" s="36" t="str">
        <f t="shared" si="3"/>
        <v>+0˚</v>
      </c>
      <c r="D27" s="98"/>
      <c r="E27" s="69">
        <v>42</v>
      </c>
      <c r="F27" s="36" t="str">
        <f t="shared" si="4"/>
        <v>+0˚</v>
      </c>
      <c r="G27" s="23"/>
      <c r="H27" s="69">
        <v>33</v>
      </c>
      <c r="I27" s="36" t="str">
        <f t="shared" si="5"/>
        <v>+0˚</v>
      </c>
      <c r="J27" s="23"/>
      <c r="K27" s="69">
        <v>52</v>
      </c>
      <c r="L27" s="36" t="str">
        <f t="shared" si="6"/>
        <v>+0˚</v>
      </c>
      <c r="M27" s="24"/>
      <c r="O27" s="56"/>
      <c r="P27" s="56"/>
      <c r="Q27" s="56"/>
      <c r="R27" s="56"/>
      <c r="S27" s="49"/>
      <c r="T27" s="43"/>
      <c r="V27" s="53"/>
      <c r="W27" s="53"/>
      <c r="X27" s="53"/>
      <c r="Y27" s="53"/>
      <c r="AA27" s="44"/>
      <c r="AB27" s="44"/>
      <c r="AC27" s="44"/>
      <c r="AD27" s="44"/>
      <c r="AF27" s="1">
        <v>28</v>
      </c>
      <c r="AG27" s="4">
        <f t="shared" si="0"/>
        <v>37.15</v>
      </c>
      <c r="AH27" s="4">
        <f t="shared" si="1"/>
        <v>36.33</v>
      </c>
      <c r="AI27" s="4">
        <f t="shared" si="1"/>
        <v>29.150000000000009</v>
      </c>
      <c r="AJ27" s="4">
        <f t="shared" si="1"/>
        <v>30.81</v>
      </c>
      <c r="AK27" s="4">
        <f t="shared" si="2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74">
        <v>39</v>
      </c>
      <c r="C28" s="36" t="str">
        <f t="shared" si="3"/>
        <v>+0˚</v>
      </c>
      <c r="D28" s="98"/>
      <c r="E28" s="69">
        <v>41</v>
      </c>
      <c r="F28" s="36" t="str">
        <f t="shared" si="4"/>
        <v>+0˚</v>
      </c>
      <c r="G28" s="23"/>
      <c r="H28" s="69">
        <v>52</v>
      </c>
      <c r="I28" s="36" t="str">
        <f t="shared" si="5"/>
        <v>+0˚</v>
      </c>
      <c r="J28" s="23"/>
      <c r="K28" s="69">
        <v>47</v>
      </c>
      <c r="L28" s="36" t="str">
        <f t="shared" si="6"/>
        <v>+0˚</v>
      </c>
      <c r="M28" s="24"/>
      <c r="O28" s="56"/>
      <c r="P28" s="56"/>
      <c r="Q28" s="56"/>
      <c r="R28" s="56"/>
      <c r="S28" s="49"/>
      <c r="T28" s="43"/>
      <c r="V28" s="53"/>
      <c r="W28" s="53"/>
      <c r="X28" s="53"/>
      <c r="Y28" s="53"/>
      <c r="AA28" s="44"/>
      <c r="AB28" s="44"/>
      <c r="AC28" s="44"/>
      <c r="AD28" s="44"/>
      <c r="AF28" s="1">
        <v>29</v>
      </c>
      <c r="AG28" s="4">
        <f t="shared" si="0"/>
        <v>38.9</v>
      </c>
      <c r="AH28" s="4">
        <f t="shared" si="1"/>
        <v>38.089999999999996</v>
      </c>
      <c r="AI28" s="4">
        <f t="shared" si="1"/>
        <v>31.000000000000007</v>
      </c>
      <c r="AJ28" s="4">
        <f t="shared" si="1"/>
        <v>32.629999999999995</v>
      </c>
      <c r="AK28" s="4">
        <f t="shared" si="2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/>
      <c r="P29" s="56"/>
      <c r="Q29" s="56"/>
      <c r="R29" s="56"/>
      <c r="S29" s="49"/>
      <c r="AA29" s="44"/>
      <c r="AB29" s="44"/>
      <c r="AC29" s="44"/>
      <c r="AF29" s="1">
        <v>30</v>
      </c>
      <c r="AG29" s="4">
        <f t="shared" si="0"/>
        <v>40.729999999999997</v>
      </c>
      <c r="AH29" s="4">
        <f t="shared" si="1"/>
        <v>39.93</v>
      </c>
      <c r="AI29" s="4">
        <f t="shared" si="1"/>
        <v>32.93</v>
      </c>
      <c r="AJ29" s="4">
        <f t="shared" si="1"/>
        <v>34.529999999999994</v>
      </c>
      <c r="AK29" s="4">
        <f t="shared" si="2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>
        <f>MAX(B9:B28)</f>
        <v>54</v>
      </c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/>
      <c r="AF30" s="1">
        <v>31</v>
      </c>
      <c r="AG30" s="4">
        <f t="shared" si="0"/>
        <v>42.65</v>
      </c>
      <c r="AH30" s="4">
        <f t="shared" si="1"/>
        <v>41.86</v>
      </c>
      <c r="AI30" s="4">
        <f t="shared" si="1"/>
        <v>34.97</v>
      </c>
      <c r="AJ30" s="4">
        <f t="shared" si="1"/>
        <v>36.54</v>
      </c>
      <c r="AK30" s="4">
        <f t="shared" si="2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>
        <f>MIN(B9:B28)</f>
        <v>34</v>
      </c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0"/>
        <v>44.66</v>
      </c>
      <c r="AH31" s="4">
        <f t="shared" si="1"/>
        <v>43.879999999999995</v>
      </c>
      <c r="AI31" s="4">
        <f t="shared" si="1"/>
        <v>37.099999999999994</v>
      </c>
      <c r="AJ31" s="4">
        <f t="shared" si="1"/>
        <v>38.64</v>
      </c>
      <c r="AK31" s="4">
        <f t="shared" si="2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0"/>
        <v>46.77</v>
      </c>
      <c r="AH32" s="4">
        <f t="shared" si="1"/>
        <v>46</v>
      </c>
      <c r="AI32" s="4">
        <f t="shared" si="1"/>
        <v>39.330000000000005</v>
      </c>
      <c r="AJ32" s="4">
        <f t="shared" si="1"/>
        <v>40.840000000000003</v>
      </c>
      <c r="AK32" s="4">
        <f t="shared" si="2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101"/>
      <c r="C33" s="102"/>
      <c r="D33" s="102"/>
      <c r="E33" s="101"/>
      <c r="F33" s="102"/>
      <c r="G33" s="102"/>
      <c r="H33" s="101"/>
      <c r="I33" s="102"/>
      <c r="J33" s="102"/>
      <c r="K33" s="101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0"/>
        <v>48.97</v>
      </c>
      <c r="AH33" s="4">
        <f t="shared" si="1"/>
        <v>48.21</v>
      </c>
      <c r="AI33" s="4">
        <f t="shared" si="1"/>
        <v>41.65</v>
      </c>
      <c r="AJ33" s="4">
        <f t="shared" si="1"/>
        <v>43.129999999999995</v>
      </c>
      <c r="AK33" s="4">
        <f t="shared" si="2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v>49</v>
      </c>
      <c r="C34" s="36" t="str">
        <f>$C$9</f>
        <v>+0˚</v>
      </c>
      <c r="D34" s="54">
        <f>ROUND(INDEX($AG$9:$AK$60,MATCH(B34,$AF$9:$AF$59,0),MATCH(C34,$AG$8:$AK$8,0)),1)</f>
        <v>95.5</v>
      </c>
      <c r="E34" s="15">
        <v>43</v>
      </c>
      <c r="F34" s="32" t="str">
        <f>$F$9</f>
        <v>+0˚</v>
      </c>
      <c r="G34" s="54">
        <f>ROUND(INDEX($AG$9:$AK$60,MATCH(E34,$AF$9:$AF$59,0),MATCH(F34,$AG$8:$AK$8,0)),1)</f>
        <v>71.599999999999994</v>
      </c>
      <c r="H34" s="15">
        <v>49</v>
      </c>
      <c r="I34" s="32" t="str">
        <f>$I$9</f>
        <v>-45˚</v>
      </c>
      <c r="J34" s="54">
        <f>ROUND(INDEX($AG$9:$AK$60,MATCH(H34,$AF$9:$AF$59,0),MATCH(I34,$AG$8:$AK$8,0)),1)</f>
        <v>97.1</v>
      </c>
      <c r="K34" s="15">
        <v>52</v>
      </c>
      <c r="L34" s="32" t="str">
        <f>$L$9</f>
        <v>+0˚</v>
      </c>
      <c r="M34" s="57">
        <f>ROUND(INDEX($AG$9:$AK$60,MATCH(K34,$AF$9:$AF$59,0),MATCH(L34,$AG$8:$AK$8,0)),1)</f>
        <v>110.1</v>
      </c>
      <c r="O34" s="44"/>
      <c r="P34" s="44"/>
      <c r="Q34" s="44"/>
      <c r="R34" s="44"/>
      <c r="S34" s="49"/>
      <c r="AF34" s="1">
        <v>35</v>
      </c>
      <c r="AG34" s="4">
        <f t="shared" si="0"/>
        <v>51.28</v>
      </c>
      <c r="AH34" s="4">
        <f t="shared" si="1"/>
        <v>50.53</v>
      </c>
      <c r="AI34" s="4">
        <f t="shared" si="1"/>
        <v>44.08</v>
      </c>
      <c r="AJ34" s="4">
        <f t="shared" si="1"/>
        <v>45.53</v>
      </c>
      <c r="AK34" s="4">
        <f t="shared" si="2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05" t="str">
        <f>IF(D34&lt;=50,"CW",IF(D34&lt;=85,"HW",IF(D34&lt;=115,"MW",IF(D34&lt;=145,"SW","F"))))</f>
        <v>MW</v>
      </c>
      <c r="C35" s="105"/>
      <c r="D35" s="106"/>
      <c r="E35" s="105" t="str">
        <f>IF(G34&lt;=50,"CW",IF(G34&lt;=85,"HW",IF(G34&lt;=115,"MW",IF(G34&lt;=145,"SW","F"))))</f>
        <v>HW</v>
      </c>
      <c r="F35" s="105"/>
      <c r="G35" s="106"/>
      <c r="H35" s="105" t="str">
        <f>IF(J34&lt;=50,"CW",IF(J34&lt;=85,"HW",IF(J34&lt;=115,"MW",IF(J34&lt;=145,"SW","F"))))</f>
        <v>MW</v>
      </c>
      <c r="I35" s="105"/>
      <c r="J35" s="106"/>
      <c r="K35" s="105" t="str">
        <f>IF(M34&lt;=50,"CW",IF(M34&lt;=85,"HW",IF(M34&lt;=115,"MW",IF(M34&lt;=145,"SW","F"))))</f>
        <v>MW</v>
      </c>
      <c r="L35" s="105"/>
      <c r="M35" s="107"/>
      <c r="O35" s="44"/>
      <c r="P35" s="44"/>
      <c r="Q35" s="44"/>
      <c r="R35" s="44"/>
      <c r="S35" s="49"/>
      <c r="AF35" s="1">
        <v>36</v>
      </c>
      <c r="AG35" s="4">
        <f t="shared" si="0"/>
        <v>53.7</v>
      </c>
      <c r="AH35" s="4">
        <f t="shared" si="1"/>
        <v>52.96</v>
      </c>
      <c r="AI35" s="4">
        <f t="shared" si="1"/>
        <v>46.620000000000005</v>
      </c>
      <c r="AJ35" s="4">
        <f t="shared" si="1"/>
        <v>48.040000000000006</v>
      </c>
      <c r="AK35" s="4">
        <f t="shared" si="2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보통암</v>
      </c>
      <c r="AF36" s="1">
        <v>37</v>
      </c>
      <c r="AG36" s="4">
        <f t="shared" si="0"/>
        <v>56.23</v>
      </c>
      <c r="AH36" s="4">
        <f t="shared" si="1"/>
        <v>55.499999999999993</v>
      </c>
      <c r="AI36" s="4">
        <f t="shared" si="1"/>
        <v>49.269999999999996</v>
      </c>
      <c r="AJ36" s="4">
        <f t="shared" si="1"/>
        <v>50.66</v>
      </c>
      <c r="AK36" s="4">
        <f t="shared" si="2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04"/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AF37" s="1">
        <v>38</v>
      </c>
      <c r="AG37" s="4">
        <f t="shared" si="0"/>
        <v>58.88</v>
      </c>
      <c r="AH37" s="4">
        <f t="shared" si="1"/>
        <v>58.160000000000004</v>
      </c>
      <c r="AI37" s="4">
        <f t="shared" si="1"/>
        <v>52.040000000000006</v>
      </c>
      <c r="AJ37" s="4">
        <f t="shared" si="1"/>
        <v>53.400000000000006</v>
      </c>
      <c r="AK37" s="4">
        <f t="shared" si="2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0"/>
        <v>61.65</v>
      </c>
      <c r="AH38" s="4">
        <f t="shared" si="1"/>
        <v>60.94</v>
      </c>
      <c r="AI38" s="4">
        <f t="shared" si="1"/>
        <v>54.93</v>
      </c>
      <c r="AJ38" s="4">
        <f t="shared" si="1"/>
        <v>56.260000000000005</v>
      </c>
      <c r="AK38" s="4">
        <f t="shared" si="2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ht="23.25" customHeight="1" x14ac:dyDescent="0.15">
      <c r="A39" s="2"/>
      <c r="B39" s="100">
        <v>49</v>
      </c>
      <c r="E39" s="100">
        <v>43</v>
      </c>
      <c r="H39" s="100">
        <v>49</v>
      </c>
      <c r="K39" s="100">
        <v>52</v>
      </c>
      <c r="AF39" s="1">
        <v>40</v>
      </c>
      <c r="AG39" s="4">
        <f t="shared" si="0"/>
        <v>64.56</v>
      </c>
      <c r="AH39" s="4">
        <f t="shared" si="1"/>
        <v>63.86</v>
      </c>
      <c r="AI39" s="4">
        <f t="shared" si="1"/>
        <v>57.96</v>
      </c>
      <c r="AJ39" s="4">
        <f t="shared" si="1"/>
        <v>59.260000000000005</v>
      </c>
      <c r="AK39" s="4">
        <f t="shared" si="2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0"/>
        <v>67.599999999999994</v>
      </c>
      <c r="AH40" s="4">
        <f t="shared" si="1"/>
        <v>66.91</v>
      </c>
      <c r="AI40" s="4">
        <f t="shared" si="1"/>
        <v>61.129999999999995</v>
      </c>
      <c r="AJ40" s="4">
        <f t="shared" si="1"/>
        <v>62.399999999999991</v>
      </c>
      <c r="AK40" s="4">
        <f t="shared" si="2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si="0"/>
        <v>70.790000000000006</v>
      </c>
      <c r="AH41" s="43">
        <f t="shared" ref="AH41:AJ59" si="7">$AG41+AM41</f>
        <v>70.11</v>
      </c>
      <c r="AI41" s="4">
        <f t="shared" si="7"/>
        <v>64.45</v>
      </c>
      <c r="AJ41" s="4">
        <f t="shared" si="7"/>
        <v>65.690000000000012</v>
      </c>
      <c r="AK41" s="4">
        <f t="shared" si="2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0"/>
        <v>74.13</v>
      </c>
      <c r="AH42" s="43">
        <f t="shared" si="7"/>
        <v>73.459999999999994</v>
      </c>
      <c r="AI42" s="4">
        <f t="shared" si="7"/>
        <v>67.92</v>
      </c>
      <c r="AJ42" s="4">
        <f t="shared" si="7"/>
        <v>69.13</v>
      </c>
      <c r="AK42" s="43">
        <f t="shared" si="2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0"/>
        <v>77.62</v>
      </c>
      <c r="AH43" s="43">
        <f t="shared" si="7"/>
        <v>76.960000000000008</v>
      </c>
      <c r="AI43" s="43">
        <f t="shared" si="7"/>
        <v>71.540000000000006</v>
      </c>
      <c r="AJ43" s="43">
        <f t="shared" si="7"/>
        <v>72.72</v>
      </c>
      <c r="AK43" s="43">
        <f t="shared" si="2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0"/>
        <v>81.28</v>
      </c>
      <c r="AH44" s="43">
        <f t="shared" si="7"/>
        <v>80.63</v>
      </c>
      <c r="AI44" s="43">
        <f t="shared" si="7"/>
        <v>75.33</v>
      </c>
      <c r="AJ44" s="43">
        <f t="shared" si="7"/>
        <v>76.48</v>
      </c>
      <c r="AK44" s="43">
        <f t="shared" si="2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0"/>
        <v>85.11</v>
      </c>
      <c r="AH45" s="43">
        <f t="shared" si="7"/>
        <v>84.47</v>
      </c>
      <c r="AI45" s="43">
        <f t="shared" si="7"/>
        <v>79.289999999999992</v>
      </c>
      <c r="AJ45" s="43">
        <f t="shared" si="7"/>
        <v>80.41</v>
      </c>
      <c r="AK45" s="43">
        <f t="shared" si="2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04"/>
      <c r="B46" s="104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AF46" s="1">
        <v>47</v>
      </c>
      <c r="AG46" s="43">
        <f t="shared" si="0"/>
        <v>89.12</v>
      </c>
      <c r="AH46" s="43">
        <f t="shared" si="7"/>
        <v>88.490000000000009</v>
      </c>
      <c r="AI46" s="43">
        <f t="shared" si="7"/>
        <v>83.43</v>
      </c>
      <c r="AJ46" s="43">
        <f t="shared" si="7"/>
        <v>84.52000000000001</v>
      </c>
      <c r="AK46" s="43">
        <f t="shared" si="2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04"/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AF47" s="1">
        <v>48</v>
      </c>
      <c r="AG47" s="43">
        <f t="shared" si="0"/>
        <v>93.32</v>
      </c>
      <c r="AH47" s="43">
        <f t="shared" si="7"/>
        <v>92.699999999999989</v>
      </c>
      <c r="AI47" s="43">
        <f t="shared" si="7"/>
        <v>87.759999999999991</v>
      </c>
      <c r="AJ47" s="43">
        <f t="shared" si="7"/>
        <v>88.82</v>
      </c>
      <c r="AK47" s="43">
        <f t="shared" si="2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0"/>
        <v>97.72</v>
      </c>
      <c r="AH48" s="43">
        <f t="shared" si="7"/>
        <v>97.11</v>
      </c>
      <c r="AI48" s="43">
        <f t="shared" si="7"/>
        <v>92.289999999999992</v>
      </c>
      <c r="AJ48" s="43">
        <f t="shared" si="7"/>
        <v>93.32</v>
      </c>
      <c r="AK48" s="43">
        <f t="shared" si="2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0"/>
        <v>102.32</v>
      </c>
      <c r="AH49" s="61">
        <f t="shared" si="7"/>
        <v>101.72</v>
      </c>
      <c r="AI49" s="43">
        <f t="shared" si="7"/>
        <v>97.02</v>
      </c>
      <c r="AJ49" s="43">
        <f t="shared" si="7"/>
        <v>98.02</v>
      </c>
      <c r="AK49" s="61">
        <f t="shared" si="2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0"/>
        <v>107.15</v>
      </c>
      <c r="AH50" s="61">
        <f t="shared" si="7"/>
        <v>106.57000000000001</v>
      </c>
      <c r="AI50" s="61">
        <f t="shared" si="7"/>
        <v>101.98</v>
      </c>
      <c r="AJ50" s="61">
        <f t="shared" si="7"/>
        <v>102.95</v>
      </c>
      <c r="AK50" s="61">
        <f t="shared" si="2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0"/>
        <v>112.2</v>
      </c>
      <c r="AH51" s="61">
        <f t="shared" si="7"/>
        <v>111.64</v>
      </c>
      <c r="AI51" s="61">
        <f t="shared" si="7"/>
        <v>107.16</v>
      </c>
      <c r="AJ51" s="61">
        <f t="shared" si="7"/>
        <v>108.10000000000001</v>
      </c>
      <c r="AK51" s="61">
        <f t="shared" si="2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0"/>
        <v>117.48</v>
      </c>
      <c r="AH52" s="61">
        <f t="shared" si="7"/>
        <v>116.94</v>
      </c>
      <c r="AI52" s="61">
        <f t="shared" si="7"/>
        <v>112.57000000000001</v>
      </c>
      <c r="AJ52" s="61">
        <f t="shared" si="7"/>
        <v>113.48</v>
      </c>
      <c r="AK52" s="61">
        <f t="shared" si="2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0"/>
        <v>123.02</v>
      </c>
      <c r="AH53" s="61">
        <f t="shared" si="7"/>
        <v>122.5</v>
      </c>
      <c r="AI53" s="61">
        <f t="shared" si="7"/>
        <v>118.24</v>
      </c>
      <c r="AJ53" s="61">
        <f t="shared" si="7"/>
        <v>119.11999999999999</v>
      </c>
      <c r="AK53" s="61">
        <f t="shared" si="2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0"/>
        <v>128.82</v>
      </c>
      <c r="AH54" s="61">
        <f t="shared" si="7"/>
        <v>128.32</v>
      </c>
      <c r="AI54" s="61">
        <f t="shared" si="7"/>
        <v>124.16999999999999</v>
      </c>
      <c r="AJ54" s="61">
        <f t="shared" si="7"/>
        <v>125.02</v>
      </c>
      <c r="AK54" s="61">
        <f t="shared" si="2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0"/>
        <v>134.88999999999999</v>
      </c>
      <c r="AH55" s="62">
        <f t="shared" si="7"/>
        <v>134.41</v>
      </c>
      <c r="AI55" s="62">
        <f t="shared" si="7"/>
        <v>130.36999999999998</v>
      </c>
      <c r="AJ55" s="62">
        <f t="shared" si="7"/>
        <v>131.19</v>
      </c>
      <c r="AK55" s="62">
        <f t="shared" si="2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0"/>
        <v>141.25</v>
      </c>
      <c r="AH56" s="62">
        <f t="shared" si="7"/>
        <v>140.79</v>
      </c>
      <c r="AI56" s="62">
        <f t="shared" si="7"/>
        <v>136.86000000000001</v>
      </c>
      <c r="AJ56" s="62">
        <f t="shared" si="7"/>
        <v>137.65</v>
      </c>
      <c r="AK56" s="62">
        <f t="shared" si="2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0"/>
        <v>147.91</v>
      </c>
      <c r="AH57" s="62">
        <f t="shared" si="7"/>
        <v>147.47</v>
      </c>
      <c r="AI57" s="62">
        <f t="shared" si="7"/>
        <v>143.65</v>
      </c>
      <c r="AJ57" s="62">
        <f t="shared" si="7"/>
        <v>144.41</v>
      </c>
      <c r="AK57" s="62">
        <f t="shared" si="2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48</v>
      </c>
      <c r="C58" s="39">
        <f>B10</f>
        <v>49</v>
      </c>
      <c r="D58" s="39">
        <f>B11</f>
        <v>54</v>
      </c>
      <c r="E58" s="39">
        <f>B12</f>
        <v>34</v>
      </c>
      <c r="F58" s="40" t="str">
        <f>IF(U1="좌",IF(C34="-90˚","↓",IF(C34="-45˚","↙",IF(C34="+0˚","←",IF(C34="45˚","↖",IF(C34="90˚","↑","?"))))),IF(C34="-90˚","↓",IF(C34="-45˚","↘",IF(C34="+0˚","→",IF(C34="45˚","↗",IF(C34="90˚","↑","?"))))))</f>
        <v>←</v>
      </c>
      <c r="G58" s="41">
        <f>B34</f>
        <v>49</v>
      </c>
      <c r="H58" s="1">
        <f>$P$5</f>
        <v>25</v>
      </c>
      <c r="I58" s="59">
        <f>D34</f>
        <v>95.5</v>
      </c>
      <c r="J58" s="1" t="str">
        <f>D36</f>
        <v>연암</v>
      </c>
      <c r="AF58" s="1">
        <v>59</v>
      </c>
      <c r="AG58" s="62">
        <f t="shared" si="0"/>
        <v>154.88</v>
      </c>
      <c r="AH58" s="62">
        <f t="shared" si="7"/>
        <v>154.46</v>
      </c>
      <c r="AI58" s="62">
        <f t="shared" si="7"/>
        <v>150.75</v>
      </c>
      <c r="AJ58" s="62">
        <f t="shared" si="7"/>
        <v>151.47999999999999</v>
      </c>
      <c r="AK58" s="62">
        <f t="shared" si="2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44</v>
      </c>
      <c r="C59" s="39">
        <f>B14</f>
        <v>42</v>
      </c>
      <c r="D59" s="39">
        <f>B15</f>
        <v>43</v>
      </c>
      <c r="E59" s="39">
        <f>B16</f>
        <v>39</v>
      </c>
      <c r="AF59" s="1">
        <v>60</v>
      </c>
      <c r="AG59" s="4">
        <f t="shared" si="0"/>
        <v>162.18</v>
      </c>
      <c r="AH59" s="4">
        <f t="shared" si="7"/>
        <v>161.78</v>
      </c>
      <c r="AI59" s="62">
        <f t="shared" si="7"/>
        <v>158.18</v>
      </c>
      <c r="AJ59" s="62">
        <f t="shared" si="7"/>
        <v>158.88</v>
      </c>
      <c r="AK59" s="44">
        <f t="shared" si="2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39</v>
      </c>
      <c r="C60" s="39">
        <f>B18</f>
        <v>48</v>
      </c>
      <c r="D60" s="39">
        <f>B19</f>
        <v>45</v>
      </c>
      <c r="E60" s="39">
        <f>B20</f>
        <v>39</v>
      </c>
    </row>
    <row r="61" spans="1:42" x14ac:dyDescent="0.15">
      <c r="B61" s="38">
        <f>B21</f>
        <v>36</v>
      </c>
      <c r="C61" s="39">
        <f>B22</f>
        <v>46</v>
      </c>
      <c r="D61" s="39">
        <f>B23</f>
        <v>48</v>
      </c>
      <c r="E61" s="39">
        <f>B24</f>
        <v>42</v>
      </c>
    </row>
    <row r="62" spans="1:42" x14ac:dyDescent="0.15">
      <c r="B62" s="38">
        <f>B25</f>
        <v>51</v>
      </c>
      <c r="C62" s="39">
        <f>B26</f>
        <v>52</v>
      </c>
      <c r="D62" s="39">
        <f>B27</f>
        <v>38</v>
      </c>
      <c r="E62" s="39">
        <f>B28</f>
        <v>39</v>
      </c>
      <c r="O62" s="45"/>
    </row>
    <row r="63" spans="1:42" ht="20.25" x14ac:dyDescent="0.25">
      <c r="A63" s="60">
        <v>2</v>
      </c>
      <c r="B63" s="38">
        <f>E9</f>
        <v>34</v>
      </c>
      <c r="C63" s="39">
        <f>E10</f>
        <v>44</v>
      </c>
      <c r="D63" s="39">
        <f>E11</f>
        <v>37</v>
      </c>
      <c r="E63" s="39">
        <f>E12</f>
        <v>49</v>
      </c>
      <c r="F63" s="40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43</v>
      </c>
      <c r="H63" s="1">
        <f>$P$5</f>
        <v>25</v>
      </c>
      <c r="I63" s="59">
        <f>G34</f>
        <v>71.599999999999994</v>
      </c>
      <c r="J63" s="1" t="str">
        <f>G36</f>
        <v>연암</v>
      </c>
    </row>
    <row r="64" spans="1:42" x14ac:dyDescent="0.15">
      <c r="B64" s="38">
        <f>E13</f>
        <v>46</v>
      </c>
      <c r="C64" s="39">
        <f>E14</f>
        <v>31</v>
      </c>
      <c r="D64" s="39">
        <f>E15</f>
        <v>26</v>
      </c>
      <c r="E64" s="39">
        <f>E16</f>
        <v>40</v>
      </c>
    </row>
    <row r="65" spans="1:10" x14ac:dyDescent="0.15">
      <c r="B65" s="38">
        <f>E17</f>
        <v>28</v>
      </c>
      <c r="C65" s="39">
        <f>E18</f>
        <v>34</v>
      </c>
      <c r="D65" s="39">
        <f>E19</f>
        <v>36</v>
      </c>
      <c r="E65" s="39">
        <f>E20</f>
        <v>28</v>
      </c>
    </row>
    <row r="66" spans="1:10" x14ac:dyDescent="0.15">
      <c r="B66" s="38">
        <f>E21</f>
        <v>33</v>
      </c>
      <c r="C66" s="39">
        <f>E22</f>
        <v>43</v>
      </c>
      <c r="D66" s="39">
        <f>E23</f>
        <v>33</v>
      </c>
      <c r="E66" s="39">
        <f>E24</f>
        <v>32</v>
      </c>
    </row>
    <row r="67" spans="1:10" x14ac:dyDescent="0.15">
      <c r="B67" s="38">
        <f>E25</f>
        <v>40</v>
      </c>
      <c r="C67" s="39">
        <f>E26</f>
        <v>48</v>
      </c>
      <c r="D67" s="39">
        <f>E27</f>
        <v>42</v>
      </c>
      <c r="E67" s="39">
        <f>E28</f>
        <v>41</v>
      </c>
    </row>
    <row r="68" spans="1:10" ht="20.25" x14ac:dyDescent="0.25">
      <c r="A68" s="60">
        <v>3</v>
      </c>
      <c r="B68" s="38">
        <f>H9</f>
        <v>47</v>
      </c>
      <c r="C68" s="39">
        <f>H10</f>
        <v>50</v>
      </c>
      <c r="D68" s="39">
        <f>H11</f>
        <v>30</v>
      </c>
      <c r="E68" s="39">
        <f>H12</f>
        <v>45</v>
      </c>
      <c r="F68" s="40" t="str">
        <f>IF(U3="좌",IF(I34="-90˚","↓",IF(I34="-45˚","↙",IF(I34="+0˚","←",IF(I34="45˚","↖",IF(I34="90˚","↑","?"))))),IF(I34="-90˚","↓",IF(I34="-45˚","↘",IF(I34="+0˚","→",IF(I34="45˚","↗",IF(I34="90˚","↑","?"))))))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41">
        <f>H34</f>
        <v>49</v>
      </c>
      <c r="H68" s="1">
        <f>$P$5</f>
        <v>25</v>
      </c>
      <c r="I68" s="59">
        <f>J34</f>
        <v>97.1</v>
      </c>
      <c r="J68" s="1" t="str">
        <f>J36</f>
        <v>연암</v>
      </c>
    </row>
    <row r="69" spans="1:10" x14ac:dyDescent="0.15">
      <c r="B69" s="38">
        <f>H13</f>
        <v>43</v>
      </c>
      <c r="C69" s="39">
        <f>H14</f>
        <v>46</v>
      </c>
      <c r="D69" s="39">
        <f>H15</f>
        <v>39</v>
      </c>
      <c r="E69" s="39">
        <f>H16</f>
        <v>33</v>
      </c>
    </row>
    <row r="70" spans="1:10" x14ac:dyDescent="0.15">
      <c r="B70" s="38">
        <f>H17</f>
        <v>53</v>
      </c>
      <c r="C70" s="39">
        <f>H18</f>
        <v>37</v>
      </c>
      <c r="D70" s="39">
        <f>H19</f>
        <v>35</v>
      </c>
      <c r="E70" s="39">
        <f>H20</f>
        <v>33</v>
      </c>
    </row>
    <row r="71" spans="1:10" x14ac:dyDescent="0.15">
      <c r="B71" s="38">
        <f>H21</f>
        <v>50</v>
      </c>
      <c r="C71" s="39">
        <f>H22</f>
        <v>53</v>
      </c>
      <c r="D71" s="39">
        <f>H23</f>
        <v>53</v>
      </c>
      <c r="E71" s="39">
        <f>H24</f>
        <v>44</v>
      </c>
    </row>
    <row r="72" spans="1:10" x14ac:dyDescent="0.15">
      <c r="B72" s="38">
        <f>H25</f>
        <v>46</v>
      </c>
      <c r="C72" s="39">
        <f>H26</f>
        <v>36</v>
      </c>
      <c r="D72" s="39">
        <f>H27</f>
        <v>33</v>
      </c>
      <c r="E72" s="39">
        <f>H28</f>
        <v>52</v>
      </c>
    </row>
    <row r="73" spans="1:10" ht="20.25" x14ac:dyDescent="0.25">
      <c r="A73" s="60">
        <v>4</v>
      </c>
      <c r="B73" s="38">
        <f>K9</f>
        <v>47</v>
      </c>
      <c r="C73" s="39">
        <f>K10</f>
        <v>44</v>
      </c>
      <c r="D73" s="39">
        <f>K11</f>
        <v>55</v>
      </c>
      <c r="E73" s="39">
        <f>K12</f>
        <v>51</v>
      </c>
      <c r="F73" s="40" t="str">
        <f>IF(U4="좌",IF(L34="-90˚","↓",IF(L34="-45˚","↙",IF(L34="+0˚","←",IF(L34="45˚","↖",IF(L34="90˚","↑","?"))))),IF(L34="-90˚","↓",IF(L34="-45˚","↘",IF(L34="+0˚","→",IF(L34="45˚","↗",IF(L34="90˚","↑","?"))))))</f>
        <v>←</v>
      </c>
      <c r="G73" s="41">
        <f>K34</f>
        <v>52</v>
      </c>
      <c r="H73" s="1">
        <f>$P$5</f>
        <v>25</v>
      </c>
      <c r="I73" s="59">
        <f>M34</f>
        <v>110.1</v>
      </c>
      <c r="J73" s="1" t="str">
        <f>M36</f>
        <v>보통암</v>
      </c>
    </row>
    <row r="74" spans="1:10" x14ac:dyDescent="0.15">
      <c r="B74" s="38">
        <f>K13</f>
        <v>57</v>
      </c>
      <c r="C74" s="39">
        <f>K14</f>
        <v>42</v>
      </c>
      <c r="D74" s="39">
        <f>K15</f>
        <v>52</v>
      </c>
      <c r="E74" s="39">
        <f>K16</f>
        <v>36</v>
      </c>
    </row>
    <row r="75" spans="1:10" x14ac:dyDescent="0.15">
      <c r="B75" s="38">
        <f>K17</f>
        <v>50</v>
      </c>
      <c r="C75" s="39">
        <f>K18</f>
        <v>36</v>
      </c>
      <c r="D75" s="39">
        <f>K19</f>
        <v>43</v>
      </c>
      <c r="E75" s="39">
        <f>K20</f>
        <v>52</v>
      </c>
    </row>
    <row r="76" spans="1:10" x14ac:dyDescent="0.15">
      <c r="B76" s="38">
        <f>K21</f>
        <v>42</v>
      </c>
      <c r="C76" s="39">
        <f>K22</f>
        <v>47</v>
      </c>
      <c r="D76" s="39">
        <f>K23</f>
        <v>48</v>
      </c>
      <c r="E76" s="39">
        <f>K24</f>
        <v>55</v>
      </c>
    </row>
    <row r="77" spans="1:10" x14ac:dyDescent="0.15">
      <c r="B77" s="38">
        <f>K25</f>
        <v>44</v>
      </c>
      <c r="C77" s="39">
        <f>K26</f>
        <v>38</v>
      </c>
      <c r="D77" s="39">
        <f>K27</f>
        <v>52</v>
      </c>
      <c r="E77" s="39">
        <f>K28</f>
        <v>47</v>
      </c>
    </row>
  </sheetData>
  <mergeCells count="17"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  <mergeCell ref="A5:M5"/>
    <mergeCell ref="A1:M2"/>
    <mergeCell ref="A3:M3"/>
    <mergeCell ref="N3:O3"/>
    <mergeCell ref="P3:Q3"/>
    <mergeCell ref="A4:M4"/>
  </mergeCells>
  <phoneticPr fontId="2" type="noConversion"/>
  <dataValidations count="2">
    <dataValidation type="list" allowBlank="1" showInputMessage="1" showErrorMessage="1" sqref="U1:U4" xr:uid="{A54561D5-66C3-4CF3-BA97-84221597CBE5}">
      <formula1>$N$55:$N$56</formula1>
    </dataValidation>
    <dataValidation type="list" allowBlank="1" showInputMessage="1" showErrorMessage="1" sqref="C9 I9 F9 L9" xr:uid="{1F9FEE35-E3FA-4686-9DB3-50AA7E5E9886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13</xdr:col>
                <xdr:colOff>552450</xdr:colOff>
                <xdr:row>32</xdr:row>
                <xdr:rowOff>171450</xdr:rowOff>
              </from>
              <to>
                <xdr:col>16</xdr:col>
                <xdr:colOff>295275</xdr:colOff>
                <xdr:row>34</xdr:row>
                <xdr:rowOff>133350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A-B</vt:lpstr>
      <vt:lpstr>B-C</vt:lpstr>
      <vt:lpstr>E</vt:lpstr>
      <vt:lpstr>Method1</vt:lpstr>
      <vt:lpstr>Method2</vt:lpstr>
      <vt:lpstr>'A-B'!Print_Area</vt:lpstr>
      <vt:lpstr>'B-C'!Print_Area</vt:lpstr>
      <vt:lpstr>E!Print_Area</vt:lpstr>
      <vt:lpstr>Method1!Print_Area</vt:lpstr>
      <vt:lpstr>Method2!Print_Area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2020-09-11T04:11:53Z</cp:lastPrinted>
  <dcterms:created xsi:type="dcterms:W3CDTF">2003-04-02T11:09:21Z</dcterms:created>
  <dcterms:modified xsi:type="dcterms:W3CDTF">2021-01-27T07:40:45Z</dcterms:modified>
</cp:coreProperties>
</file>