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09_hardRain\06_ihanseol - 2021\Z01_소소한작업들\01_토양경도계, 반발강도 매크로\01_토양경도계 매크로\"/>
    </mc:Choice>
  </mc:AlternateContent>
  <xr:revisionPtr revIDLastSave="0" documentId="13_ncr:1_{0DF44695-B1C5-4AA1-A67F-16908926FDD5}" xr6:coauthVersionLast="46" xr6:coauthVersionMax="46" xr10:uidLastSave="{00000000-0000-0000-0000-000000000000}"/>
  <bookViews>
    <workbookView xWindow="4245" yWindow="2520" windowWidth="25365" windowHeight="17025" tabRatio="848" firstSheet="24" activeTab="34" xr2:uid="{00000000-000D-0000-FFFF-FFFF00000000}"/>
  </bookViews>
  <sheets>
    <sheet name="232.430(S-1)" sheetId="63" r:id="rId1"/>
    <sheet name="232.430(S-2)" sheetId="50" r:id="rId2"/>
    <sheet name="232.430(S-3)" sheetId="47" r:id="rId3"/>
    <sheet name="232.430(S-4)" sheetId="54" r:id="rId4"/>
    <sheet name="232.430(S-5)" sheetId="42" r:id="rId5"/>
    <sheet name="232.430(S-6)" sheetId="43" r:id="rId6"/>
    <sheet name="232.430(S-7)" sheetId="51" r:id="rId7"/>
    <sheet name="232.430(S-8)" sheetId="58" r:id="rId8"/>
    <sheet name="232.430(S-9)" sheetId="49" r:id="rId9"/>
    <sheet name="232.430(S-10)" sheetId="64" r:id="rId10"/>
    <sheet name="232.430(S-11)" sheetId="55" r:id="rId11"/>
    <sheet name="232.430(S-12)" sheetId="60" r:id="rId12"/>
    <sheet name="232.430(S-13)" sheetId="44" r:id="rId13"/>
    <sheet name="232.430(S-14)" sheetId="61" r:id="rId14"/>
    <sheet name="232.430(S-15)" sheetId="48" r:id="rId15"/>
    <sheet name="232.430(S-16)" sheetId="56" r:id="rId16"/>
    <sheet name="232.430(S-17)" sheetId="53" r:id="rId17"/>
    <sheet name="232.430(S-18)" sheetId="65" r:id="rId18"/>
    <sheet name="232.430(S-19)" sheetId="66" r:id="rId19"/>
    <sheet name="232.430(S-20)" sheetId="67" r:id="rId20"/>
    <sheet name="232.430(S-21)" sheetId="70" r:id="rId21"/>
    <sheet name="232.430(S-22)" sheetId="69" r:id="rId22"/>
    <sheet name="232.430(S-23)" sheetId="68" r:id="rId23"/>
    <sheet name="232.430(S-24)" sheetId="71" r:id="rId24"/>
    <sheet name="232.430(S-25)" sheetId="72" r:id="rId25"/>
    <sheet name="232.430(S-26)" sheetId="73" r:id="rId26"/>
    <sheet name="232.430(S-27)" sheetId="74" r:id="rId27"/>
    <sheet name="232.430(S-28)" sheetId="75" r:id="rId28"/>
    <sheet name="232.430(S-29)" sheetId="76" r:id="rId29"/>
    <sheet name="232.430(S-30)" sheetId="77" r:id="rId30"/>
    <sheet name="232.430(S-31)" sheetId="78" r:id="rId31"/>
    <sheet name="232.430(S-32)" sheetId="79" r:id="rId32"/>
    <sheet name="232.430(S-33)" sheetId="80" r:id="rId33"/>
    <sheet name="232.430(S-34) " sheetId="81" r:id="rId34"/>
    <sheet name="NewSheet" sheetId="101" r:id="rId35"/>
  </sheets>
  <functionGroups builtInGroupCount="19"/>
  <definedNames>
    <definedName name="_xlnm.Print_Area" localSheetId="0">'232.430(S-1)'!$A$1:$M$34</definedName>
    <definedName name="_xlnm.Print_Area" localSheetId="9">'232.430(S-10)'!$A$1:$M$34</definedName>
    <definedName name="_xlnm.Print_Area" localSheetId="10">'232.430(S-11)'!$A$1:$M$34</definedName>
    <definedName name="_xlnm.Print_Area" localSheetId="11">'232.430(S-12)'!$A$1:$M$34</definedName>
    <definedName name="_xlnm.Print_Area" localSheetId="12">'232.430(S-13)'!$A$1:$M$34</definedName>
    <definedName name="_xlnm.Print_Area" localSheetId="13">'232.430(S-14)'!$A$1:$M$34</definedName>
    <definedName name="_xlnm.Print_Area" localSheetId="14">'232.430(S-15)'!$A$1:$M$34</definedName>
    <definedName name="_xlnm.Print_Area" localSheetId="15">'232.430(S-16)'!$A$1:$M$34</definedName>
    <definedName name="_xlnm.Print_Area" localSheetId="16">'232.430(S-17)'!$A$1:$M$34</definedName>
    <definedName name="_xlnm.Print_Area" localSheetId="17">'232.430(S-18)'!$A$1:$M$34</definedName>
    <definedName name="_xlnm.Print_Area" localSheetId="18">'232.430(S-19)'!$A$1:$M$34</definedName>
    <definedName name="_xlnm.Print_Area" localSheetId="1">'232.430(S-2)'!$A$1:$M$34</definedName>
    <definedName name="_xlnm.Print_Area" localSheetId="19">'232.430(S-20)'!$A$1:$M$34</definedName>
    <definedName name="_xlnm.Print_Area" localSheetId="20">'232.430(S-21)'!$A$1:$M$34</definedName>
    <definedName name="_xlnm.Print_Area" localSheetId="21">'232.430(S-22)'!$A$1:$M$34</definedName>
    <definedName name="_xlnm.Print_Area" localSheetId="22">'232.430(S-23)'!$A$1:$M$34</definedName>
    <definedName name="_xlnm.Print_Area" localSheetId="23">'232.430(S-24)'!$A$1:$M$34</definedName>
    <definedName name="_xlnm.Print_Area" localSheetId="24">'232.430(S-25)'!$A$1:$M$34</definedName>
    <definedName name="_xlnm.Print_Area" localSheetId="25">'232.430(S-26)'!$A$1:$M$34</definedName>
    <definedName name="_xlnm.Print_Area" localSheetId="26">'232.430(S-27)'!$A$1:$M$34</definedName>
    <definedName name="_xlnm.Print_Area" localSheetId="27">'232.430(S-28)'!$A$1:$M$34</definedName>
    <definedName name="_xlnm.Print_Area" localSheetId="28">'232.430(S-29)'!$A$1:$M$34</definedName>
    <definedName name="_xlnm.Print_Area" localSheetId="2">'232.430(S-3)'!$A$1:$M$34</definedName>
    <definedName name="_xlnm.Print_Area" localSheetId="29">'232.430(S-30)'!$A$1:$M$34</definedName>
    <definedName name="_xlnm.Print_Area" localSheetId="30">'232.430(S-31)'!$A$1:$M$34</definedName>
    <definedName name="_xlnm.Print_Area" localSheetId="31">'232.430(S-32)'!$A$1:$M$34</definedName>
    <definedName name="_xlnm.Print_Area" localSheetId="32">'232.430(S-33)'!$A$1:$M$34</definedName>
    <definedName name="_xlnm.Print_Area" localSheetId="33">'232.430(S-34) '!$A$1:$M$34</definedName>
    <definedName name="_xlnm.Print_Area" localSheetId="3">'232.430(S-4)'!$A$1:$M$34</definedName>
    <definedName name="_xlnm.Print_Area" localSheetId="4">'232.430(S-5)'!$A$1:$M$34</definedName>
    <definedName name="_xlnm.Print_Area" localSheetId="5">'232.430(S-6)'!$A$1:$M$34</definedName>
    <definedName name="_xlnm.Print_Area" localSheetId="6">'232.430(S-7)'!$A$1:$M$34</definedName>
    <definedName name="_xlnm.Print_Area" localSheetId="7">'232.430(S-8)'!$A$1:$M$34</definedName>
    <definedName name="_xlnm.Print_Area" localSheetId="8">'232.430(S-9)'!$A$1:$M$34</definedName>
  </definedNames>
  <calcPr calcId="191029"/>
</workbook>
</file>

<file path=xl/calcChain.xml><?xml version="1.0" encoding="utf-8"?>
<calcChain xmlns="http://schemas.openxmlformats.org/spreadsheetml/2006/main">
  <c r="O34" i="63" l="1"/>
  <c r="M34" i="81"/>
  <c r="M34" i="80"/>
  <c r="M34" i="79"/>
  <c r="M34" i="78"/>
  <c r="M34" i="77"/>
  <c r="M34" i="76"/>
  <c r="M34" i="75"/>
  <c r="M34" i="74"/>
  <c r="M34" i="73"/>
  <c r="M34" i="72"/>
  <c r="M34" i="71"/>
  <c r="M34" i="68"/>
  <c r="M34" i="69"/>
  <c r="M34" i="70"/>
  <c r="M34" i="67"/>
  <c r="M34" i="66"/>
  <c r="M34" i="65"/>
  <c r="M34" i="53"/>
  <c r="M34" i="56"/>
  <c r="M34" i="48"/>
  <c r="M34" i="61"/>
  <c r="M34" i="44"/>
  <c r="M34" i="60"/>
  <c r="M34" i="55"/>
  <c r="M34" i="64"/>
  <c r="M34" i="49"/>
  <c r="M34" i="58"/>
  <c r="M34" i="51"/>
  <c r="M34" i="43"/>
  <c r="M34" i="42"/>
  <c r="M34" i="54"/>
  <c r="M34" i="47"/>
  <c r="M34" i="50"/>
  <c r="M34" i="63"/>
  <c r="O34" i="81"/>
  <c r="H34" i="81"/>
  <c r="I34" i="81"/>
  <c r="E34" i="81"/>
  <c r="F34" i="81"/>
  <c r="B34" i="81"/>
  <c r="C34" i="81"/>
  <c r="I18" i="81"/>
  <c r="F18" i="81"/>
  <c r="C18" i="81"/>
  <c r="I17" i="81"/>
  <c r="F17" i="81"/>
  <c r="C17" i="81"/>
  <c r="I16" i="81"/>
  <c r="F16" i="81"/>
  <c r="C16" i="81"/>
  <c r="I15" i="81"/>
  <c r="F15" i="81"/>
  <c r="C15" i="81"/>
  <c r="I14" i="81"/>
  <c r="F14" i="81"/>
  <c r="C14" i="81"/>
  <c r="I13" i="81"/>
  <c r="F13" i="81"/>
  <c r="C13" i="81"/>
  <c r="I12" i="81"/>
  <c r="F12" i="81"/>
  <c r="C12" i="81"/>
  <c r="I11" i="81"/>
  <c r="F11" i="81"/>
  <c r="C11" i="81"/>
  <c r="I10" i="81"/>
  <c r="F10" i="81"/>
  <c r="C10" i="81"/>
  <c r="I9" i="81"/>
  <c r="F9" i="81"/>
  <c r="C9" i="81"/>
  <c r="O34" i="80"/>
  <c r="I34" i="80"/>
  <c r="H34" i="80"/>
  <c r="E34" i="80"/>
  <c r="F34" i="80"/>
  <c r="B34" i="80"/>
  <c r="C34" i="80"/>
  <c r="I18" i="80"/>
  <c r="F18" i="80"/>
  <c r="C18" i="80"/>
  <c r="I17" i="80"/>
  <c r="F17" i="80"/>
  <c r="C17" i="80"/>
  <c r="I16" i="80"/>
  <c r="F16" i="80"/>
  <c r="C16" i="80"/>
  <c r="I15" i="80"/>
  <c r="F15" i="80"/>
  <c r="C15" i="80"/>
  <c r="I14" i="80"/>
  <c r="F14" i="80"/>
  <c r="C14" i="80"/>
  <c r="I13" i="80"/>
  <c r="F13" i="80"/>
  <c r="C13" i="80"/>
  <c r="I12" i="80"/>
  <c r="F12" i="80"/>
  <c r="C12" i="80"/>
  <c r="I11" i="80"/>
  <c r="F11" i="80"/>
  <c r="C11" i="80"/>
  <c r="I10" i="80"/>
  <c r="F10" i="80"/>
  <c r="C10" i="80"/>
  <c r="I9" i="80"/>
  <c r="F9" i="80"/>
  <c r="C9" i="80"/>
  <c r="O34" i="79"/>
  <c r="I34" i="79"/>
  <c r="H34" i="79"/>
  <c r="F34" i="79"/>
  <c r="E34" i="79"/>
  <c r="B34" i="79"/>
  <c r="C34" i="79"/>
  <c r="I18" i="79"/>
  <c r="F18" i="79"/>
  <c r="C18" i="79"/>
  <c r="I17" i="79"/>
  <c r="F17" i="79"/>
  <c r="C17" i="79"/>
  <c r="I16" i="79"/>
  <c r="F16" i="79"/>
  <c r="C16" i="79"/>
  <c r="I15" i="79"/>
  <c r="F15" i="79"/>
  <c r="C15" i="79"/>
  <c r="I14" i="79"/>
  <c r="F14" i="79"/>
  <c r="C14" i="79"/>
  <c r="I13" i="79"/>
  <c r="F13" i="79"/>
  <c r="C13" i="79"/>
  <c r="I12" i="79"/>
  <c r="F12" i="79"/>
  <c r="C12" i="79"/>
  <c r="I11" i="79"/>
  <c r="F11" i="79"/>
  <c r="C11" i="79"/>
  <c r="I10" i="79"/>
  <c r="F10" i="79"/>
  <c r="C10" i="79"/>
  <c r="I9" i="79"/>
  <c r="F9" i="79"/>
  <c r="C9" i="79"/>
  <c r="O34" i="78"/>
  <c r="H34" i="78"/>
  <c r="I34" i="78"/>
  <c r="E34" i="78"/>
  <c r="F34" i="78"/>
  <c r="B34" i="78"/>
  <c r="C34" i="78"/>
  <c r="I18" i="78"/>
  <c r="F18" i="78"/>
  <c r="C18" i="78"/>
  <c r="I17" i="78"/>
  <c r="F17" i="78"/>
  <c r="C17" i="78"/>
  <c r="I16" i="78"/>
  <c r="F16" i="78"/>
  <c r="C16" i="78"/>
  <c r="I15" i="78"/>
  <c r="F15" i="78"/>
  <c r="C15" i="78"/>
  <c r="I14" i="78"/>
  <c r="F14" i="78"/>
  <c r="C14" i="78"/>
  <c r="I13" i="78"/>
  <c r="F13" i="78"/>
  <c r="C13" i="78"/>
  <c r="I12" i="78"/>
  <c r="F12" i="78"/>
  <c r="C12" i="78"/>
  <c r="I11" i="78"/>
  <c r="F11" i="78"/>
  <c r="C11" i="78"/>
  <c r="I10" i="78"/>
  <c r="F10" i="78"/>
  <c r="C10" i="78"/>
  <c r="I9" i="78"/>
  <c r="F9" i="78"/>
  <c r="C9" i="78"/>
  <c r="O34" i="77"/>
  <c r="H34" i="77"/>
  <c r="I34" i="77"/>
  <c r="E34" i="77"/>
  <c r="F34" i="77"/>
  <c r="B34" i="77"/>
  <c r="C34" i="77"/>
  <c r="I18" i="77"/>
  <c r="F18" i="77"/>
  <c r="C18" i="77"/>
  <c r="I17" i="77"/>
  <c r="F17" i="77"/>
  <c r="C17" i="77"/>
  <c r="I16" i="77"/>
  <c r="F16" i="77"/>
  <c r="C16" i="77"/>
  <c r="I15" i="77"/>
  <c r="F15" i="77"/>
  <c r="C15" i="77"/>
  <c r="I14" i="77"/>
  <c r="F14" i="77"/>
  <c r="C14" i="77"/>
  <c r="I13" i="77"/>
  <c r="F13" i="77"/>
  <c r="C13" i="77"/>
  <c r="I12" i="77"/>
  <c r="F12" i="77"/>
  <c r="C12" i="77"/>
  <c r="I11" i="77"/>
  <c r="F11" i="77"/>
  <c r="C11" i="77"/>
  <c r="I10" i="77"/>
  <c r="F10" i="77"/>
  <c r="C10" i="77"/>
  <c r="I9" i="77"/>
  <c r="F9" i="77"/>
  <c r="C9" i="77"/>
  <c r="O34" i="76"/>
  <c r="I34" i="76"/>
  <c r="H34" i="76"/>
  <c r="E34" i="76"/>
  <c r="F34" i="76"/>
  <c r="C34" i="76"/>
  <c r="B34" i="76"/>
  <c r="I18" i="76"/>
  <c r="F18" i="76"/>
  <c r="C18" i="76"/>
  <c r="I17" i="76"/>
  <c r="F17" i="76"/>
  <c r="C17" i="76"/>
  <c r="I16" i="76"/>
  <c r="F16" i="76"/>
  <c r="C16" i="76"/>
  <c r="I15" i="76"/>
  <c r="F15" i="76"/>
  <c r="C15" i="76"/>
  <c r="I14" i="76"/>
  <c r="F14" i="76"/>
  <c r="C14" i="76"/>
  <c r="I13" i="76"/>
  <c r="F13" i="76"/>
  <c r="C13" i="76"/>
  <c r="I12" i="76"/>
  <c r="F12" i="76"/>
  <c r="C12" i="76"/>
  <c r="I11" i="76"/>
  <c r="F11" i="76"/>
  <c r="C11" i="76"/>
  <c r="I10" i="76"/>
  <c r="F10" i="76"/>
  <c r="C10" i="76"/>
  <c r="I9" i="76"/>
  <c r="F9" i="76"/>
  <c r="C9" i="76"/>
  <c r="O34" i="75"/>
  <c r="H34" i="75"/>
  <c r="I34" i="75"/>
  <c r="E34" i="75"/>
  <c r="F34" i="75"/>
  <c r="B34" i="75"/>
  <c r="C34" i="75"/>
  <c r="I18" i="75"/>
  <c r="F18" i="75"/>
  <c r="C18" i="75"/>
  <c r="I17" i="75"/>
  <c r="F17" i="75"/>
  <c r="C17" i="75"/>
  <c r="I16" i="75"/>
  <c r="F16" i="75"/>
  <c r="C16" i="75"/>
  <c r="I15" i="75"/>
  <c r="F15" i="75"/>
  <c r="C15" i="75"/>
  <c r="I14" i="75"/>
  <c r="F14" i="75"/>
  <c r="C14" i="75"/>
  <c r="I13" i="75"/>
  <c r="F13" i="75"/>
  <c r="C13" i="75"/>
  <c r="I12" i="75"/>
  <c r="F12" i="75"/>
  <c r="C12" i="75"/>
  <c r="I11" i="75"/>
  <c r="F11" i="75"/>
  <c r="C11" i="75"/>
  <c r="I10" i="75"/>
  <c r="F10" i="75"/>
  <c r="C10" i="75"/>
  <c r="I9" i="75"/>
  <c r="F9" i="75"/>
  <c r="C9" i="75"/>
  <c r="O34" i="74"/>
  <c r="I34" i="74"/>
  <c r="H34" i="74"/>
  <c r="E34" i="74"/>
  <c r="F34" i="74"/>
  <c r="C34" i="74"/>
  <c r="B34" i="74"/>
  <c r="I18" i="74"/>
  <c r="F18" i="74"/>
  <c r="C18" i="74"/>
  <c r="I17" i="74"/>
  <c r="F17" i="74"/>
  <c r="C17" i="74"/>
  <c r="I16" i="74"/>
  <c r="F16" i="74"/>
  <c r="C16" i="74"/>
  <c r="I15" i="74"/>
  <c r="F15" i="74"/>
  <c r="C15" i="74"/>
  <c r="I14" i="74"/>
  <c r="F14" i="74"/>
  <c r="C14" i="74"/>
  <c r="I13" i="74"/>
  <c r="F13" i="74"/>
  <c r="C13" i="74"/>
  <c r="I12" i="74"/>
  <c r="F12" i="74"/>
  <c r="C12" i="74"/>
  <c r="I11" i="74"/>
  <c r="F11" i="74"/>
  <c r="C11" i="74"/>
  <c r="I10" i="74"/>
  <c r="F10" i="74"/>
  <c r="C10" i="74"/>
  <c r="I9" i="74"/>
  <c r="F9" i="74"/>
  <c r="C9" i="74"/>
  <c r="O34" i="73"/>
  <c r="H34" i="73"/>
  <c r="I34" i="73"/>
  <c r="E34" i="73"/>
  <c r="F34" i="73"/>
  <c r="B34" i="73"/>
  <c r="C34" i="73"/>
  <c r="I18" i="73"/>
  <c r="F18" i="73"/>
  <c r="C18" i="73"/>
  <c r="I17" i="73"/>
  <c r="F17" i="73"/>
  <c r="C17" i="73"/>
  <c r="I16" i="73"/>
  <c r="F16" i="73"/>
  <c r="C16" i="73"/>
  <c r="I15" i="73"/>
  <c r="F15" i="73"/>
  <c r="C15" i="73"/>
  <c r="I14" i="73"/>
  <c r="F14" i="73"/>
  <c r="C14" i="73"/>
  <c r="I13" i="73"/>
  <c r="F13" i="73"/>
  <c r="C13" i="73"/>
  <c r="I12" i="73"/>
  <c r="F12" i="73"/>
  <c r="C12" i="73"/>
  <c r="I11" i="73"/>
  <c r="F11" i="73"/>
  <c r="C11" i="73"/>
  <c r="I10" i="73"/>
  <c r="F10" i="73"/>
  <c r="C10" i="73"/>
  <c r="I9" i="73"/>
  <c r="F9" i="73"/>
  <c r="C9" i="73"/>
  <c r="O34" i="72"/>
  <c r="I34" i="72"/>
  <c r="H34" i="72"/>
  <c r="E34" i="72"/>
  <c r="F34" i="72"/>
  <c r="B34" i="72"/>
  <c r="C34" i="72"/>
  <c r="I18" i="72"/>
  <c r="F18" i="72"/>
  <c r="C18" i="72"/>
  <c r="I17" i="72"/>
  <c r="F17" i="72"/>
  <c r="C17" i="72"/>
  <c r="I16" i="72"/>
  <c r="F16" i="72"/>
  <c r="C16" i="72"/>
  <c r="I15" i="72"/>
  <c r="F15" i="72"/>
  <c r="C15" i="72"/>
  <c r="I14" i="72"/>
  <c r="F14" i="72"/>
  <c r="C14" i="72"/>
  <c r="I13" i="72"/>
  <c r="F13" i="72"/>
  <c r="C13" i="72"/>
  <c r="I12" i="72"/>
  <c r="F12" i="72"/>
  <c r="C12" i="72"/>
  <c r="I11" i="72"/>
  <c r="F11" i="72"/>
  <c r="C11" i="72"/>
  <c r="I10" i="72"/>
  <c r="F10" i="72"/>
  <c r="C10" i="72"/>
  <c r="I9" i="72"/>
  <c r="F9" i="72"/>
  <c r="C9" i="72"/>
  <c r="O34" i="71"/>
  <c r="H34" i="71"/>
  <c r="I34" i="71"/>
  <c r="E34" i="71"/>
  <c r="F34" i="71"/>
  <c r="B34" i="71"/>
  <c r="C34" i="71"/>
  <c r="I18" i="71"/>
  <c r="F18" i="71"/>
  <c r="C18" i="71"/>
  <c r="I17" i="71"/>
  <c r="F17" i="71"/>
  <c r="C17" i="71"/>
  <c r="I16" i="71"/>
  <c r="F16" i="71"/>
  <c r="C16" i="71"/>
  <c r="I15" i="71"/>
  <c r="F15" i="71"/>
  <c r="C15" i="71"/>
  <c r="I14" i="71"/>
  <c r="F14" i="71"/>
  <c r="C14" i="71"/>
  <c r="I13" i="71"/>
  <c r="F13" i="71"/>
  <c r="C13" i="71"/>
  <c r="I12" i="71"/>
  <c r="F12" i="71"/>
  <c r="C12" i="71"/>
  <c r="I11" i="71"/>
  <c r="F11" i="71"/>
  <c r="C11" i="71"/>
  <c r="I10" i="71"/>
  <c r="F10" i="71"/>
  <c r="C10" i="71"/>
  <c r="I9" i="71"/>
  <c r="F9" i="71"/>
  <c r="C9" i="71"/>
  <c r="O34" i="70"/>
  <c r="H34" i="70"/>
  <c r="I34" i="70"/>
  <c r="E34" i="70"/>
  <c r="F34" i="70"/>
  <c r="B34" i="70"/>
  <c r="C34" i="70"/>
  <c r="I18" i="70"/>
  <c r="F18" i="70"/>
  <c r="C18" i="70"/>
  <c r="I17" i="70"/>
  <c r="F17" i="70"/>
  <c r="C17" i="70"/>
  <c r="I16" i="70"/>
  <c r="F16" i="70"/>
  <c r="C16" i="70"/>
  <c r="I15" i="70"/>
  <c r="F15" i="70"/>
  <c r="C15" i="70"/>
  <c r="I14" i="70"/>
  <c r="F14" i="70"/>
  <c r="C14" i="70"/>
  <c r="I13" i="70"/>
  <c r="F13" i="70"/>
  <c r="C13" i="70"/>
  <c r="I12" i="70"/>
  <c r="F12" i="70"/>
  <c r="C12" i="70"/>
  <c r="I11" i="70"/>
  <c r="F11" i="70"/>
  <c r="C11" i="70"/>
  <c r="I10" i="70"/>
  <c r="F10" i="70"/>
  <c r="C10" i="70"/>
  <c r="I9" i="70"/>
  <c r="F9" i="70"/>
  <c r="C9" i="70"/>
  <c r="O34" i="69"/>
  <c r="I34" i="69"/>
  <c r="H34" i="69"/>
  <c r="E34" i="69"/>
  <c r="F34" i="69"/>
  <c r="B34" i="69"/>
  <c r="C34" i="69"/>
  <c r="I18" i="69"/>
  <c r="F18" i="69"/>
  <c r="C18" i="69"/>
  <c r="I17" i="69"/>
  <c r="F17" i="69"/>
  <c r="C17" i="69"/>
  <c r="I16" i="69"/>
  <c r="F16" i="69"/>
  <c r="C16" i="69"/>
  <c r="I15" i="69"/>
  <c r="F15" i="69"/>
  <c r="C15" i="69"/>
  <c r="I14" i="69"/>
  <c r="F14" i="69"/>
  <c r="C14" i="69"/>
  <c r="I13" i="69"/>
  <c r="F13" i="69"/>
  <c r="C13" i="69"/>
  <c r="I12" i="69"/>
  <c r="F12" i="69"/>
  <c r="C12" i="69"/>
  <c r="I11" i="69"/>
  <c r="F11" i="69"/>
  <c r="C11" i="69"/>
  <c r="I10" i="69"/>
  <c r="F10" i="69"/>
  <c r="C10" i="69"/>
  <c r="I9" i="69"/>
  <c r="F9" i="69"/>
  <c r="C9" i="69"/>
  <c r="O34" i="68"/>
  <c r="H34" i="68"/>
  <c r="I34" i="68"/>
  <c r="E34" i="68"/>
  <c r="F34" i="68"/>
  <c r="B34" i="68"/>
  <c r="C34" i="68"/>
  <c r="I18" i="68"/>
  <c r="F18" i="68"/>
  <c r="C18" i="68"/>
  <c r="I17" i="68"/>
  <c r="F17" i="68"/>
  <c r="C17" i="68"/>
  <c r="I16" i="68"/>
  <c r="F16" i="68"/>
  <c r="C16" i="68"/>
  <c r="I15" i="68"/>
  <c r="F15" i="68"/>
  <c r="C15" i="68"/>
  <c r="I14" i="68"/>
  <c r="F14" i="68"/>
  <c r="C14" i="68"/>
  <c r="I13" i="68"/>
  <c r="F13" i="68"/>
  <c r="C13" i="68"/>
  <c r="I12" i="68"/>
  <c r="F12" i="68"/>
  <c r="C12" i="68"/>
  <c r="I11" i="68"/>
  <c r="F11" i="68"/>
  <c r="C11" i="68"/>
  <c r="I10" i="68"/>
  <c r="F10" i="68"/>
  <c r="C10" i="68"/>
  <c r="I9" i="68"/>
  <c r="F9" i="68"/>
  <c r="C9" i="68"/>
  <c r="O34" i="67"/>
  <c r="H34" i="67"/>
  <c r="I34" i="67"/>
  <c r="E34" i="67"/>
  <c r="F34" i="67"/>
  <c r="B34" i="67"/>
  <c r="C34" i="67"/>
  <c r="I18" i="67"/>
  <c r="F18" i="67"/>
  <c r="C18" i="67"/>
  <c r="I17" i="67"/>
  <c r="F17" i="67"/>
  <c r="C17" i="67"/>
  <c r="I16" i="67"/>
  <c r="F16" i="67"/>
  <c r="C16" i="67"/>
  <c r="I15" i="67"/>
  <c r="F15" i="67"/>
  <c r="C15" i="67"/>
  <c r="I14" i="67"/>
  <c r="F14" i="67"/>
  <c r="C14" i="67"/>
  <c r="I13" i="67"/>
  <c r="F13" i="67"/>
  <c r="C13" i="67"/>
  <c r="I12" i="67"/>
  <c r="F12" i="67"/>
  <c r="C12" i="67"/>
  <c r="I11" i="67"/>
  <c r="F11" i="67"/>
  <c r="C11" i="67"/>
  <c r="I10" i="67"/>
  <c r="F10" i="67"/>
  <c r="C10" i="67"/>
  <c r="I9" i="67"/>
  <c r="F9" i="67"/>
  <c r="C9" i="67"/>
  <c r="O34" i="66"/>
  <c r="H34" i="66"/>
  <c r="I34" i="66"/>
  <c r="E34" i="66"/>
  <c r="F34" i="66"/>
  <c r="B34" i="66"/>
  <c r="C34" i="66"/>
  <c r="I18" i="66"/>
  <c r="F18" i="66"/>
  <c r="C18" i="66"/>
  <c r="I17" i="66"/>
  <c r="F17" i="66"/>
  <c r="C17" i="66"/>
  <c r="I16" i="66"/>
  <c r="F16" i="66"/>
  <c r="C16" i="66"/>
  <c r="I15" i="66"/>
  <c r="F15" i="66"/>
  <c r="C15" i="66"/>
  <c r="I14" i="66"/>
  <c r="F14" i="66"/>
  <c r="C14" i="66"/>
  <c r="I13" i="66"/>
  <c r="F13" i="66"/>
  <c r="C13" i="66"/>
  <c r="I12" i="66"/>
  <c r="F12" i="66"/>
  <c r="C12" i="66"/>
  <c r="I11" i="66"/>
  <c r="F11" i="66"/>
  <c r="C11" i="66"/>
  <c r="I10" i="66"/>
  <c r="F10" i="66"/>
  <c r="C10" i="66"/>
  <c r="I9" i="66"/>
  <c r="F9" i="66"/>
  <c r="C9" i="66"/>
  <c r="O34" i="65"/>
  <c r="H34" i="65"/>
  <c r="I34" i="65"/>
  <c r="E34" i="65"/>
  <c r="F34" i="65"/>
  <c r="B34" i="65"/>
  <c r="C34" i="65"/>
  <c r="I18" i="65"/>
  <c r="F18" i="65"/>
  <c r="C18" i="65"/>
  <c r="I17" i="65"/>
  <c r="F17" i="65"/>
  <c r="C17" i="65"/>
  <c r="I16" i="65"/>
  <c r="F16" i="65"/>
  <c r="C16" i="65"/>
  <c r="I15" i="65"/>
  <c r="F15" i="65"/>
  <c r="C15" i="65"/>
  <c r="I14" i="65"/>
  <c r="F14" i="65"/>
  <c r="C14" i="65"/>
  <c r="I13" i="65"/>
  <c r="F13" i="65"/>
  <c r="C13" i="65"/>
  <c r="I12" i="65"/>
  <c r="F12" i="65"/>
  <c r="C12" i="65"/>
  <c r="I11" i="65"/>
  <c r="F11" i="65"/>
  <c r="C11" i="65"/>
  <c r="I10" i="65"/>
  <c r="F10" i="65"/>
  <c r="C10" i="65"/>
  <c r="I9" i="65"/>
  <c r="F9" i="65"/>
  <c r="C9" i="65"/>
  <c r="O34" i="42"/>
  <c r="O34" i="43"/>
  <c r="O34" i="44"/>
  <c r="O34" i="47"/>
  <c r="O34" i="48"/>
  <c r="O34" i="49"/>
  <c r="O34" i="50"/>
  <c r="O34" i="51"/>
  <c r="O34" i="53"/>
  <c r="O34" i="54"/>
  <c r="O34" i="55"/>
  <c r="O34" i="56"/>
  <c r="O34" i="58"/>
  <c r="O34" i="60"/>
  <c r="O34" i="61"/>
  <c r="O34" i="64"/>
  <c r="H34" i="50"/>
  <c r="I34" i="50"/>
  <c r="H34" i="64"/>
  <c r="I34" i="64"/>
  <c r="E34" i="64"/>
  <c r="F34" i="64"/>
  <c r="B34" i="64"/>
  <c r="C34" i="64"/>
  <c r="I18" i="64"/>
  <c r="F18" i="64"/>
  <c r="C18" i="64"/>
  <c r="I17" i="64"/>
  <c r="F17" i="64"/>
  <c r="C17" i="64"/>
  <c r="I16" i="64"/>
  <c r="F16" i="64"/>
  <c r="C16" i="64"/>
  <c r="I15" i="64"/>
  <c r="F15" i="64"/>
  <c r="C15" i="64"/>
  <c r="I14" i="64"/>
  <c r="F14" i="64"/>
  <c r="C14" i="64"/>
  <c r="I13" i="64"/>
  <c r="F13" i="64"/>
  <c r="C13" i="64"/>
  <c r="I12" i="64"/>
  <c r="F12" i="64"/>
  <c r="C12" i="64"/>
  <c r="I11" i="64"/>
  <c r="F11" i="64"/>
  <c r="C11" i="64"/>
  <c r="I10" i="64"/>
  <c r="F10" i="64"/>
  <c r="C10" i="64"/>
  <c r="I9" i="64"/>
  <c r="F9" i="64"/>
  <c r="C9" i="64"/>
  <c r="H34" i="63"/>
  <c r="I34" i="63"/>
  <c r="E34" i="63"/>
  <c r="F34" i="63"/>
  <c r="B34" i="63"/>
  <c r="C34" i="63"/>
  <c r="I18" i="63"/>
  <c r="F18" i="63"/>
  <c r="C18" i="63"/>
  <c r="I17" i="63"/>
  <c r="F17" i="63"/>
  <c r="C17" i="63"/>
  <c r="I16" i="63"/>
  <c r="F16" i="63"/>
  <c r="C16" i="63"/>
  <c r="I15" i="63"/>
  <c r="F15" i="63"/>
  <c r="C15" i="63"/>
  <c r="I14" i="63"/>
  <c r="F14" i="63"/>
  <c r="C14" i="63"/>
  <c r="I13" i="63"/>
  <c r="F13" i="63"/>
  <c r="C13" i="63"/>
  <c r="I12" i="63"/>
  <c r="F12" i="63"/>
  <c r="C12" i="63"/>
  <c r="I11" i="63"/>
  <c r="F11" i="63"/>
  <c r="C11" i="63"/>
  <c r="I10" i="63"/>
  <c r="F10" i="63"/>
  <c r="C10" i="63"/>
  <c r="I9" i="63"/>
  <c r="F9" i="63"/>
  <c r="C9" i="63"/>
  <c r="H34" i="61"/>
  <c r="I34" i="61"/>
  <c r="E34" i="61"/>
  <c r="F34" i="61"/>
  <c r="B34" i="61"/>
  <c r="C34" i="61"/>
  <c r="I18" i="61"/>
  <c r="F18" i="61"/>
  <c r="C18" i="61"/>
  <c r="I17" i="61"/>
  <c r="F17" i="61"/>
  <c r="C17" i="61"/>
  <c r="I16" i="61"/>
  <c r="F16" i="61"/>
  <c r="C16" i="61"/>
  <c r="I15" i="61"/>
  <c r="F15" i="61"/>
  <c r="C15" i="61"/>
  <c r="I14" i="61"/>
  <c r="F14" i="61"/>
  <c r="C14" i="61"/>
  <c r="I13" i="61"/>
  <c r="F13" i="61"/>
  <c r="C13" i="61"/>
  <c r="I12" i="61"/>
  <c r="F12" i="61"/>
  <c r="C12" i="61"/>
  <c r="I11" i="61"/>
  <c r="F11" i="61"/>
  <c r="C11" i="61"/>
  <c r="I10" i="61"/>
  <c r="F10" i="61"/>
  <c r="C10" i="61"/>
  <c r="I9" i="61"/>
  <c r="F9" i="61"/>
  <c r="C9" i="61"/>
  <c r="H34" i="60"/>
  <c r="I34" i="60"/>
  <c r="E34" i="60"/>
  <c r="F34" i="60"/>
  <c r="B34" i="60"/>
  <c r="C34" i="60"/>
  <c r="I18" i="60"/>
  <c r="F18" i="60"/>
  <c r="C18" i="60"/>
  <c r="I17" i="60"/>
  <c r="F17" i="60"/>
  <c r="C17" i="60"/>
  <c r="I16" i="60"/>
  <c r="F16" i="60"/>
  <c r="C16" i="60"/>
  <c r="I15" i="60"/>
  <c r="F15" i="60"/>
  <c r="C15" i="60"/>
  <c r="I14" i="60"/>
  <c r="F14" i="60"/>
  <c r="C14" i="60"/>
  <c r="I13" i="60"/>
  <c r="F13" i="60"/>
  <c r="C13" i="60"/>
  <c r="I12" i="60"/>
  <c r="F12" i="60"/>
  <c r="C12" i="60"/>
  <c r="I11" i="60"/>
  <c r="F11" i="60"/>
  <c r="C11" i="60"/>
  <c r="I10" i="60"/>
  <c r="F10" i="60"/>
  <c r="C10" i="60"/>
  <c r="I9" i="60"/>
  <c r="F9" i="60"/>
  <c r="C9" i="60"/>
  <c r="H34" i="58"/>
  <c r="I34" i="58"/>
  <c r="E34" i="58"/>
  <c r="F34" i="58"/>
  <c r="B34" i="58"/>
  <c r="C34" i="58"/>
  <c r="I18" i="58"/>
  <c r="F18" i="58"/>
  <c r="C18" i="58"/>
  <c r="I17" i="58"/>
  <c r="F17" i="58"/>
  <c r="C17" i="58"/>
  <c r="I16" i="58"/>
  <c r="F16" i="58"/>
  <c r="C16" i="58"/>
  <c r="I15" i="58"/>
  <c r="F15" i="58"/>
  <c r="C15" i="58"/>
  <c r="I14" i="58"/>
  <c r="F14" i="58"/>
  <c r="C14" i="58"/>
  <c r="I13" i="58"/>
  <c r="F13" i="58"/>
  <c r="C13" i="58"/>
  <c r="I12" i="58"/>
  <c r="F12" i="58"/>
  <c r="C12" i="58"/>
  <c r="I11" i="58"/>
  <c r="F11" i="58"/>
  <c r="C11" i="58"/>
  <c r="I10" i="58"/>
  <c r="F10" i="58"/>
  <c r="C10" i="58"/>
  <c r="I9" i="58"/>
  <c r="F9" i="58"/>
  <c r="C9" i="58"/>
  <c r="H34" i="56"/>
  <c r="I34" i="56"/>
  <c r="E34" i="56"/>
  <c r="F34" i="56"/>
  <c r="B34" i="56"/>
  <c r="C34" i="56"/>
  <c r="I18" i="56"/>
  <c r="F18" i="56"/>
  <c r="C18" i="56"/>
  <c r="I17" i="56"/>
  <c r="F17" i="56"/>
  <c r="C17" i="56"/>
  <c r="I16" i="56"/>
  <c r="F16" i="56"/>
  <c r="C16" i="56"/>
  <c r="I15" i="56"/>
  <c r="F15" i="56"/>
  <c r="C15" i="56"/>
  <c r="I14" i="56"/>
  <c r="F14" i="56"/>
  <c r="C14" i="56"/>
  <c r="I13" i="56"/>
  <c r="F13" i="56"/>
  <c r="C13" i="56"/>
  <c r="I12" i="56"/>
  <c r="F12" i="56"/>
  <c r="C12" i="56"/>
  <c r="I11" i="56"/>
  <c r="F11" i="56"/>
  <c r="C11" i="56"/>
  <c r="I10" i="56"/>
  <c r="F10" i="56"/>
  <c r="C10" i="56"/>
  <c r="I9" i="56"/>
  <c r="F9" i="56"/>
  <c r="C9" i="56"/>
  <c r="H34" i="55"/>
  <c r="I34" i="55"/>
  <c r="E34" i="55"/>
  <c r="F34" i="55"/>
  <c r="B34" i="55"/>
  <c r="C34" i="55"/>
  <c r="I18" i="55"/>
  <c r="F18" i="55"/>
  <c r="C18" i="55"/>
  <c r="I17" i="55"/>
  <c r="F17" i="55"/>
  <c r="C17" i="55"/>
  <c r="I16" i="55"/>
  <c r="F16" i="55"/>
  <c r="C16" i="55"/>
  <c r="I15" i="55"/>
  <c r="F15" i="55"/>
  <c r="C15" i="55"/>
  <c r="I14" i="55"/>
  <c r="F14" i="55"/>
  <c r="C14" i="55"/>
  <c r="I13" i="55"/>
  <c r="F13" i="55"/>
  <c r="C13" i="55"/>
  <c r="I12" i="55"/>
  <c r="F12" i="55"/>
  <c r="C12" i="55"/>
  <c r="I11" i="55"/>
  <c r="F11" i="55"/>
  <c r="C11" i="55"/>
  <c r="I10" i="55"/>
  <c r="F10" i="55"/>
  <c r="C10" i="55"/>
  <c r="I9" i="55"/>
  <c r="F9" i="55"/>
  <c r="C9" i="55"/>
  <c r="H34" i="54"/>
  <c r="I34" i="54"/>
  <c r="E34" i="54"/>
  <c r="F34" i="54"/>
  <c r="B34" i="54"/>
  <c r="C34" i="54"/>
  <c r="I18" i="54"/>
  <c r="F18" i="54"/>
  <c r="C18" i="54"/>
  <c r="I17" i="54"/>
  <c r="F17" i="54"/>
  <c r="C17" i="54"/>
  <c r="I16" i="54"/>
  <c r="F16" i="54"/>
  <c r="C16" i="54"/>
  <c r="I15" i="54"/>
  <c r="F15" i="54"/>
  <c r="C15" i="54"/>
  <c r="I14" i="54"/>
  <c r="F14" i="54"/>
  <c r="C14" i="54"/>
  <c r="I13" i="54"/>
  <c r="F13" i="54"/>
  <c r="C13" i="54"/>
  <c r="I12" i="54"/>
  <c r="F12" i="54"/>
  <c r="C12" i="54"/>
  <c r="I11" i="54"/>
  <c r="F11" i="54"/>
  <c r="C11" i="54"/>
  <c r="I10" i="54"/>
  <c r="F10" i="54"/>
  <c r="C10" i="54"/>
  <c r="I9" i="54"/>
  <c r="F9" i="54"/>
  <c r="C9" i="54"/>
  <c r="H34" i="53"/>
  <c r="I34" i="53"/>
  <c r="E34" i="53"/>
  <c r="F34" i="53"/>
  <c r="B34" i="53"/>
  <c r="C34" i="53"/>
  <c r="I18" i="53"/>
  <c r="F18" i="53"/>
  <c r="C18" i="53"/>
  <c r="I17" i="53"/>
  <c r="F17" i="53"/>
  <c r="C17" i="53"/>
  <c r="I16" i="53"/>
  <c r="F16" i="53"/>
  <c r="C16" i="53"/>
  <c r="I15" i="53"/>
  <c r="F15" i="53"/>
  <c r="C15" i="53"/>
  <c r="I14" i="53"/>
  <c r="F14" i="53"/>
  <c r="C14" i="53"/>
  <c r="I13" i="53"/>
  <c r="F13" i="53"/>
  <c r="C13" i="53"/>
  <c r="I12" i="53"/>
  <c r="F12" i="53"/>
  <c r="C12" i="53"/>
  <c r="I11" i="53"/>
  <c r="F11" i="53"/>
  <c r="C11" i="53"/>
  <c r="I10" i="53"/>
  <c r="F10" i="53"/>
  <c r="C10" i="53"/>
  <c r="I9" i="53"/>
  <c r="F9" i="53"/>
  <c r="C9" i="53"/>
  <c r="H34" i="51"/>
  <c r="I34" i="51"/>
  <c r="E34" i="51"/>
  <c r="F34" i="51"/>
  <c r="B34" i="51"/>
  <c r="C34" i="51"/>
  <c r="I18" i="51"/>
  <c r="F18" i="51"/>
  <c r="C18" i="51"/>
  <c r="I17" i="51"/>
  <c r="F17" i="51"/>
  <c r="C17" i="51"/>
  <c r="I16" i="51"/>
  <c r="F16" i="51"/>
  <c r="C16" i="51"/>
  <c r="I15" i="51"/>
  <c r="F15" i="51"/>
  <c r="C15" i="51"/>
  <c r="I14" i="51"/>
  <c r="F14" i="51"/>
  <c r="C14" i="51"/>
  <c r="I13" i="51"/>
  <c r="F13" i="51"/>
  <c r="C13" i="51"/>
  <c r="I12" i="51"/>
  <c r="F12" i="51"/>
  <c r="C12" i="51"/>
  <c r="I11" i="51"/>
  <c r="F11" i="51"/>
  <c r="C11" i="51"/>
  <c r="I10" i="51"/>
  <c r="F10" i="51"/>
  <c r="C10" i="51"/>
  <c r="I9" i="51"/>
  <c r="F9" i="51"/>
  <c r="C9" i="51"/>
  <c r="E34" i="50"/>
  <c r="F34" i="50"/>
  <c r="B34" i="50"/>
  <c r="C34" i="50"/>
  <c r="I18" i="50"/>
  <c r="F18" i="50"/>
  <c r="C18" i="50"/>
  <c r="I17" i="50"/>
  <c r="F17" i="50"/>
  <c r="C17" i="50"/>
  <c r="I16" i="50"/>
  <c r="F16" i="50"/>
  <c r="C16" i="50"/>
  <c r="I15" i="50"/>
  <c r="F15" i="50"/>
  <c r="C15" i="50"/>
  <c r="I14" i="50"/>
  <c r="F14" i="50"/>
  <c r="C14" i="50"/>
  <c r="I13" i="50"/>
  <c r="F13" i="50"/>
  <c r="C13" i="50"/>
  <c r="I12" i="50"/>
  <c r="F12" i="50"/>
  <c r="C12" i="50"/>
  <c r="I11" i="50"/>
  <c r="F11" i="50"/>
  <c r="C11" i="50"/>
  <c r="I10" i="50"/>
  <c r="F10" i="50"/>
  <c r="C10" i="50"/>
  <c r="I9" i="50"/>
  <c r="F9" i="50"/>
  <c r="C9" i="50"/>
  <c r="H34" i="49"/>
  <c r="I34" i="49"/>
  <c r="E34" i="49"/>
  <c r="F34" i="49"/>
  <c r="B34" i="49"/>
  <c r="C34" i="49"/>
  <c r="I18" i="49"/>
  <c r="F18" i="49"/>
  <c r="C18" i="49"/>
  <c r="I17" i="49"/>
  <c r="F17" i="49"/>
  <c r="C17" i="49"/>
  <c r="I16" i="49"/>
  <c r="F16" i="49"/>
  <c r="C16" i="49"/>
  <c r="I15" i="49"/>
  <c r="F15" i="49"/>
  <c r="C15" i="49"/>
  <c r="I14" i="49"/>
  <c r="F14" i="49"/>
  <c r="C14" i="49"/>
  <c r="I13" i="49"/>
  <c r="F13" i="49"/>
  <c r="C13" i="49"/>
  <c r="I12" i="49"/>
  <c r="F12" i="49"/>
  <c r="C12" i="49"/>
  <c r="I11" i="49"/>
  <c r="F11" i="49"/>
  <c r="C11" i="49"/>
  <c r="I10" i="49"/>
  <c r="F10" i="49"/>
  <c r="C10" i="49"/>
  <c r="I9" i="49"/>
  <c r="F9" i="49"/>
  <c r="C9" i="49"/>
  <c r="H34" i="48"/>
  <c r="I34" i="48"/>
  <c r="E34" i="48"/>
  <c r="F34" i="48"/>
  <c r="B34" i="48"/>
  <c r="C34" i="48"/>
  <c r="I18" i="48"/>
  <c r="F18" i="48"/>
  <c r="C18" i="48"/>
  <c r="I17" i="48"/>
  <c r="F17" i="48"/>
  <c r="C17" i="48"/>
  <c r="I16" i="48"/>
  <c r="F16" i="48"/>
  <c r="C16" i="48"/>
  <c r="I15" i="48"/>
  <c r="F15" i="48"/>
  <c r="C15" i="48"/>
  <c r="I14" i="48"/>
  <c r="F14" i="48"/>
  <c r="C14" i="48"/>
  <c r="I13" i="48"/>
  <c r="F13" i="48"/>
  <c r="C13" i="48"/>
  <c r="I12" i="48"/>
  <c r="F12" i="48"/>
  <c r="C12" i="48"/>
  <c r="I11" i="48"/>
  <c r="F11" i="48"/>
  <c r="C11" i="48"/>
  <c r="I10" i="48"/>
  <c r="F10" i="48"/>
  <c r="C10" i="48"/>
  <c r="I9" i="48"/>
  <c r="F9" i="48"/>
  <c r="C9" i="48"/>
  <c r="H34" i="47"/>
  <c r="I34" i="47"/>
  <c r="E34" i="47"/>
  <c r="F34" i="47"/>
  <c r="B34" i="47"/>
  <c r="C34" i="47"/>
  <c r="I18" i="47"/>
  <c r="F18" i="47"/>
  <c r="C18" i="47"/>
  <c r="I17" i="47"/>
  <c r="F17" i="47"/>
  <c r="C17" i="47"/>
  <c r="I16" i="47"/>
  <c r="F16" i="47"/>
  <c r="C16" i="47"/>
  <c r="I15" i="47"/>
  <c r="F15" i="47"/>
  <c r="C15" i="47"/>
  <c r="I14" i="47"/>
  <c r="F14" i="47"/>
  <c r="C14" i="47"/>
  <c r="I13" i="47"/>
  <c r="F13" i="47"/>
  <c r="C13" i="47"/>
  <c r="I12" i="47"/>
  <c r="F12" i="47"/>
  <c r="C12" i="47"/>
  <c r="I11" i="47"/>
  <c r="F11" i="47"/>
  <c r="C11" i="47"/>
  <c r="I10" i="47"/>
  <c r="F10" i="47"/>
  <c r="C10" i="47"/>
  <c r="I9" i="47"/>
  <c r="F9" i="47"/>
  <c r="C9" i="47"/>
  <c r="H34" i="44"/>
  <c r="I34" i="44"/>
  <c r="E34" i="44"/>
  <c r="F34" i="44"/>
  <c r="B34" i="44"/>
  <c r="C34" i="44"/>
  <c r="I18" i="44"/>
  <c r="F18" i="44"/>
  <c r="C18" i="44"/>
  <c r="I17" i="44"/>
  <c r="F17" i="44"/>
  <c r="C17" i="44"/>
  <c r="I16" i="44"/>
  <c r="F16" i="44"/>
  <c r="C16" i="44"/>
  <c r="I15" i="44"/>
  <c r="F15" i="44"/>
  <c r="C15" i="44"/>
  <c r="I14" i="44"/>
  <c r="F14" i="44"/>
  <c r="C14" i="44"/>
  <c r="I13" i="44"/>
  <c r="F13" i="44"/>
  <c r="C13" i="44"/>
  <c r="I12" i="44"/>
  <c r="F12" i="44"/>
  <c r="C12" i="44"/>
  <c r="I11" i="44"/>
  <c r="F11" i="44"/>
  <c r="C11" i="44"/>
  <c r="I10" i="44"/>
  <c r="F10" i="44"/>
  <c r="C10" i="44"/>
  <c r="I9" i="44"/>
  <c r="F9" i="44"/>
  <c r="C9" i="44"/>
  <c r="H34" i="43"/>
  <c r="I34" i="43"/>
  <c r="E34" i="43"/>
  <c r="F34" i="43"/>
  <c r="B34" i="43"/>
  <c r="C34" i="43"/>
  <c r="I18" i="43"/>
  <c r="F18" i="43"/>
  <c r="C18" i="43"/>
  <c r="I17" i="43"/>
  <c r="F17" i="43"/>
  <c r="C17" i="43"/>
  <c r="I16" i="43"/>
  <c r="F16" i="43"/>
  <c r="C16" i="43"/>
  <c r="I15" i="43"/>
  <c r="F15" i="43"/>
  <c r="C15" i="43"/>
  <c r="I14" i="43"/>
  <c r="F14" i="43"/>
  <c r="C14" i="43"/>
  <c r="I13" i="43"/>
  <c r="F13" i="43"/>
  <c r="C13" i="43"/>
  <c r="I12" i="43"/>
  <c r="F12" i="43"/>
  <c r="C12" i="43"/>
  <c r="I11" i="43"/>
  <c r="F11" i="43"/>
  <c r="C11" i="43"/>
  <c r="I10" i="43"/>
  <c r="F10" i="43"/>
  <c r="C10" i="43"/>
  <c r="I9" i="43"/>
  <c r="F9" i="43"/>
  <c r="C9" i="43"/>
  <c r="H34" i="42"/>
  <c r="I34" i="42"/>
  <c r="E34" i="42"/>
  <c r="F34" i="42"/>
  <c r="B34" i="42"/>
  <c r="C34" i="42"/>
  <c r="I18" i="42"/>
  <c r="F18" i="42"/>
  <c r="C18" i="42"/>
  <c r="I17" i="42"/>
  <c r="F17" i="42"/>
  <c r="C17" i="42"/>
  <c r="I16" i="42"/>
  <c r="F16" i="42"/>
  <c r="C16" i="42"/>
  <c r="I15" i="42"/>
  <c r="F15" i="42"/>
  <c r="C15" i="42"/>
  <c r="I14" i="42"/>
  <c r="F14" i="42"/>
  <c r="C14" i="42"/>
  <c r="I13" i="42"/>
  <c r="F13" i="42"/>
  <c r="C13" i="42"/>
  <c r="I12" i="42"/>
  <c r="F12" i="42"/>
  <c r="C12" i="42"/>
  <c r="I11" i="42"/>
  <c r="F11" i="42"/>
  <c r="C11" i="42"/>
  <c r="I10" i="42"/>
  <c r="F10" i="42"/>
  <c r="C10" i="42"/>
  <c r="I9" i="42"/>
  <c r="F9" i="42"/>
  <c r="C9" i="42"/>
</calcChain>
</file>

<file path=xl/sharedStrings.xml><?xml version="1.0" encoding="utf-8"?>
<sst xmlns="http://schemas.openxmlformats.org/spreadsheetml/2006/main" count="2278" uniqueCount="63">
  <si>
    <t>1회</t>
    <phoneticPr fontId="1" type="noConversion"/>
  </si>
  <si>
    <t>토양경도시험</t>
    <phoneticPr fontId="1" type="noConversion"/>
  </si>
  <si>
    <t>토양군</t>
    <phoneticPr fontId="1" type="noConversion"/>
  </si>
  <si>
    <t>2회</t>
    <phoneticPr fontId="1" type="noConversion"/>
  </si>
  <si>
    <t>Result</t>
    <phoneticPr fontId="1" type="noConversion"/>
  </si>
  <si>
    <t>토양
경도(mm)</t>
    <phoneticPr fontId="1" type="noConversion"/>
  </si>
  <si>
    <t>종류</t>
    <phoneticPr fontId="1" type="noConversion"/>
  </si>
  <si>
    <t>등급</t>
    <phoneticPr fontId="1" type="noConversion"/>
  </si>
  <si>
    <t>모래질실트</t>
  </si>
  <si>
    <t>모래질실트</t>
    <phoneticPr fontId="1" type="noConversion"/>
  </si>
  <si>
    <t>3회</t>
    <phoneticPr fontId="1" type="noConversion"/>
  </si>
  <si>
    <t>4회</t>
    <phoneticPr fontId="1" type="noConversion"/>
  </si>
  <si>
    <t>5회</t>
    <phoneticPr fontId="1" type="noConversion"/>
  </si>
  <si>
    <t>6회</t>
    <phoneticPr fontId="1" type="noConversion"/>
  </si>
  <si>
    <t>7회</t>
    <phoneticPr fontId="1" type="noConversion"/>
  </si>
  <si>
    <t>8회</t>
    <phoneticPr fontId="1" type="noConversion"/>
  </si>
  <si>
    <t>9회</t>
    <phoneticPr fontId="1" type="noConversion"/>
  </si>
  <si>
    <t>10회</t>
    <phoneticPr fontId="1" type="noConversion"/>
  </si>
  <si>
    <t xml:space="preserve">              
               구분            
측정 No.</t>
    <phoneticPr fontId="1" type="noConversion"/>
  </si>
  <si>
    <t>상부</t>
    <phoneticPr fontId="1" type="noConversion"/>
  </si>
  <si>
    <t>중부</t>
    <phoneticPr fontId="1" type="noConversion"/>
  </si>
  <si>
    <t>하부</t>
    <phoneticPr fontId="1" type="noConversion"/>
  </si>
  <si>
    <t>* 건명 : 2020년 2권역(충주, 엄정) 절토비탈면·옹벽 정밀안전점검 및 성능평가 용역</t>
    <phoneticPr fontId="1" type="noConversion"/>
  </si>
  <si>
    <t>* 위치 : 39.중부내륙선 232.430k(창원)</t>
    <phoneticPr fontId="1" type="noConversion"/>
  </si>
  <si>
    <t>평균</t>
  </si>
  <si>
    <t>평균</t>
    <phoneticPr fontId="1" type="noConversion"/>
  </si>
  <si>
    <t>상부</t>
  </si>
  <si>
    <t>중부</t>
  </si>
  <si>
    <t>하부</t>
  </si>
  <si>
    <t>232.430(S-1)</t>
  </si>
  <si>
    <t>232.430(S-2)</t>
  </si>
  <si>
    <t>232.430(S-3)</t>
  </si>
  <si>
    <t>232.430(S-4)</t>
  </si>
  <si>
    <t>232.430(S-5)</t>
  </si>
  <si>
    <t>232.430(S-6)</t>
  </si>
  <si>
    <t>232.430(S-7)</t>
  </si>
  <si>
    <t>232.430(S-8)</t>
  </si>
  <si>
    <t>232.430(S-9)</t>
  </si>
  <si>
    <t>232.430(S-10)</t>
  </si>
  <si>
    <t>232.430(S-11)</t>
  </si>
  <si>
    <t>232.430(S-12)</t>
  </si>
  <si>
    <t>232.430(S-13)</t>
  </si>
  <si>
    <t>232.430(S-14)</t>
  </si>
  <si>
    <t>232.430(S-15)</t>
  </si>
  <si>
    <t>232.430(S-16)</t>
  </si>
  <si>
    <t>232.430(S-17)</t>
  </si>
  <si>
    <t>232.430(S-18)</t>
  </si>
  <si>
    <t>232.430(S-19)</t>
  </si>
  <si>
    <t>232.430(S-20)</t>
  </si>
  <si>
    <t>232.430(S-21)</t>
  </si>
  <si>
    <t>232.430(S-22)</t>
  </si>
  <si>
    <t>232.430(S-23)</t>
  </si>
  <si>
    <t>232.430(S-24)</t>
  </si>
  <si>
    <t>232.430(S-25)</t>
  </si>
  <si>
    <t>232.430(S-26)</t>
  </si>
  <si>
    <t>232.430(S-27)</t>
  </si>
  <si>
    <t>232.430(S-28)</t>
  </si>
  <si>
    <t>232.430(S-29)</t>
  </si>
  <si>
    <t>232.430(S-30)</t>
  </si>
  <si>
    <t>232.430(S-31)</t>
  </si>
  <si>
    <t>232.430(S-32)</t>
  </si>
  <si>
    <t>232.430(S-33)</t>
  </si>
  <si>
    <t xml:space="preserve">232.430(S-34)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</si>
</sst>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0.0_);[Red]\(0.0\)"/>
    <numFmt numFmtId="178" formatCode="#,##0.0_);[Red]\(#,##0.0\)"/>
  </numFmts>
  <fonts count="14" x14ac:knownFonts="1"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color indexed="8"/>
      <name val="돋움"/>
      <family val="3"/>
      <charset val="129"/>
    </font>
    <font>
      <sz val="9"/>
      <color indexed="8"/>
      <name val="돋움"/>
      <family val="3"/>
      <charset val="129"/>
    </font>
    <font>
      <b/>
      <sz val="10"/>
      <color indexed="8"/>
      <name val="돋움"/>
      <family val="3"/>
      <charset val="129"/>
    </font>
    <font>
      <b/>
      <sz val="20"/>
      <color indexed="8"/>
      <name val="돋움"/>
      <family val="3"/>
      <charset val="129"/>
    </font>
    <font>
      <b/>
      <sz val="9"/>
      <color indexed="8"/>
      <name val="돋움"/>
      <family val="3"/>
      <charset val="129"/>
    </font>
    <font>
      <sz val="10"/>
      <color indexed="10"/>
      <name val="돋움"/>
      <family val="3"/>
      <charset val="129"/>
    </font>
    <font>
      <b/>
      <u/>
      <sz val="14"/>
      <color indexed="8"/>
      <name val="돋움"/>
      <family val="3"/>
      <charset val="129"/>
    </font>
    <font>
      <b/>
      <sz val="11"/>
      <color indexed="8"/>
      <name val="돋움"/>
      <family val="3"/>
      <charset val="129"/>
    </font>
    <font>
      <sz val="10"/>
      <name val="돋움"/>
      <family val="3"/>
      <charset val="129"/>
    </font>
    <font>
      <sz val="8"/>
      <color indexed="8"/>
      <name val="돋움"/>
      <family val="3"/>
      <charset val="129"/>
    </font>
    <font>
      <sz val="10"/>
      <color indexed="8"/>
      <name val="맑은 고딕"/>
      <family val="3"/>
      <charset val="129"/>
    </font>
    <font>
      <sz val="1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 diagonalDown="1">
      <left style="medium">
        <color indexed="64"/>
      </left>
      <right style="hair">
        <color indexed="64"/>
      </right>
      <top style="thin">
        <color indexed="64"/>
      </top>
      <bottom style="double">
        <color indexed="64"/>
      </bottom>
      <diagonal style="hair">
        <color indexed="64"/>
      </diagonal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medium">
        <color auto="1"/>
      </bottom>
      <diagonal/>
    </border>
  </borders>
  <cellStyleXfs count="1">
    <xf numFmtId="0" fontId="0" fillId="0" borderId="0"/>
  </cellStyleXfs>
  <cellXfs count="9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left" vertical="top" wrapText="1"/>
    </xf>
    <xf numFmtId="0" fontId="2" fillId="0" borderId="3" xfId="0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38" fontId="2" fillId="0" borderId="4" xfId="0" applyNumberFormat="1" applyFont="1" applyBorder="1" applyAlignment="1">
      <alignment horizontal="center" vertical="center"/>
    </xf>
    <xf numFmtId="38" fontId="2" fillId="0" borderId="5" xfId="0" applyNumberFormat="1" applyFont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49" fontId="2" fillId="0" borderId="9" xfId="0" applyNumberFormat="1" applyFont="1" applyBorder="1" applyAlignment="1">
      <alignment horizontal="center" vertical="center"/>
    </xf>
    <xf numFmtId="38" fontId="2" fillId="0" borderId="9" xfId="0" applyNumberFormat="1" applyFont="1" applyBorder="1" applyAlignment="1">
      <alignment horizontal="center" vertical="center"/>
    </xf>
    <xf numFmtId="38" fontId="2" fillId="0" borderId="10" xfId="0" applyNumberFormat="1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38" fontId="2" fillId="0" borderId="12" xfId="0" applyNumberFormat="1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38" fontId="2" fillId="0" borderId="14" xfId="0" applyNumberFormat="1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177" fontId="2" fillId="0" borderId="16" xfId="0" applyNumberFormat="1" applyFont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38" fontId="11" fillId="0" borderId="16" xfId="0" applyNumberFormat="1" applyFont="1" applyBorder="1" applyAlignment="1">
      <alignment horizontal="center" vertical="center"/>
    </xf>
    <xf numFmtId="38" fontId="11" fillId="0" borderId="4" xfId="0" applyNumberFormat="1" applyFont="1" applyBorder="1" applyAlignment="1">
      <alignment horizontal="center" vertical="center"/>
    </xf>
    <xf numFmtId="38" fontId="11" fillId="0" borderId="9" xfId="0" applyNumberFormat="1" applyFont="1" applyBorder="1" applyAlignment="1">
      <alignment horizontal="center" vertical="center"/>
    </xf>
    <xf numFmtId="177" fontId="5" fillId="0" borderId="0" xfId="0" applyNumberFormat="1" applyFont="1" applyBorder="1" applyAlignment="1">
      <alignment horizontal="center" vertical="center"/>
    </xf>
    <xf numFmtId="177" fontId="10" fillId="0" borderId="12" xfId="0" applyNumberFormat="1" applyFont="1" applyBorder="1" applyAlignment="1">
      <alignment horizontal="center" vertical="center"/>
    </xf>
    <xf numFmtId="177" fontId="10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177" fontId="2" fillId="0" borderId="9" xfId="0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/>
    </xf>
    <xf numFmtId="177" fontId="9" fillId="0" borderId="0" xfId="0" applyNumberFormat="1" applyFont="1" applyBorder="1" applyAlignment="1">
      <alignment horizontal="center" vertical="center"/>
    </xf>
    <xf numFmtId="177" fontId="2" fillId="0" borderId="0" xfId="0" applyNumberFormat="1" applyFont="1"/>
    <xf numFmtId="177" fontId="2" fillId="0" borderId="12" xfId="0" applyNumberFormat="1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177" fontId="3" fillId="3" borderId="6" xfId="0" applyNumberFormat="1" applyFont="1" applyFill="1" applyBorder="1" applyAlignment="1">
      <alignment horizontal="center" vertical="center" wrapText="1"/>
    </xf>
    <xf numFmtId="177" fontId="2" fillId="0" borderId="0" xfId="0" applyNumberFormat="1" applyFont="1" applyAlignment="1">
      <alignment horizontal="center" vertical="center"/>
    </xf>
    <xf numFmtId="178" fontId="2" fillId="0" borderId="10" xfId="0" applyNumberFormat="1" applyFont="1" applyBorder="1" applyAlignment="1">
      <alignment horizontal="center" vertical="center"/>
    </xf>
    <xf numFmtId="178" fontId="11" fillId="0" borderId="19" xfId="0" applyNumberFormat="1" applyFont="1" applyBorder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4" fillId="0" borderId="20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1" xfId="0" applyBorder="1" applyAlignment="1">
      <alignment vertical="center"/>
    </xf>
    <xf numFmtId="177" fontId="12" fillId="0" borderId="32" xfId="0" applyNumberFormat="1" applyFont="1" applyBorder="1" applyAlignment="1">
      <alignment horizontal="center" vertical="center"/>
    </xf>
    <xf numFmtId="177" fontId="13" fillId="0" borderId="29" xfId="0" applyNumberFormat="1" applyFont="1" applyBorder="1" applyAlignment="1">
      <alignment horizontal="center" vertical="center"/>
    </xf>
    <xf numFmtId="177" fontId="13" fillId="0" borderId="27" xfId="0" applyNumberFormat="1" applyFont="1" applyBorder="1" applyAlignment="1">
      <alignment horizontal="center" vertical="center"/>
    </xf>
    <xf numFmtId="177" fontId="13" fillId="0" borderId="35" xfId="0" applyNumberFormat="1" applyFont="1" applyBorder="1" applyAlignment="1">
      <alignment horizontal="center" vertical="center"/>
    </xf>
    <xf numFmtId="0" fontId="13" fillId="0" borderId="32" xfId="0" applyFont="1" applyBorder="1" applyAlignment="1">
      <alignment horizontal="center" vertical="center"/>
    </xf>
    <xf numFmtId="0" fontId="13" fillId="0" borderId="29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5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" fillId="0" borderId="7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4" fillId="2" borderId="22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" fillId="0" borderId="7" xfId="0" applyFont="1" applyBorder="1" applyAlignment="1">
      <alignment horizontal="left" vertical="center" wrapText="1"/>
    </xf>
    <xf numFmtId="0" fontId="2" fillId="0" borderId="0" xfId="0" applyFont="1" applyBorder="1" applyAlignment="1">
      <alignment horizontal="left" vertical="center" wrapText="1"/>
    </xf>
    <xf numFmtId="0" fontId="2" fillId="0" borderId="8" xfId="0" applyFont="1" applyBorder="1" applyAlignment="1">
      <alignment horizontal="left" vertical="center" wrapText="1"/>
    </xf>
    <xf numFmtId="0" fontId="5" fillId="0" borderId="0" xfId="0" applyFont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2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3" fillId="0" borderId="30" xfId="0" applyFont="1" applyBorder="1" applyAlignment="1">
      <alignment horizontal="center" vertical="center"/>
    </xf>
    <xf numFmtId="0" fontId="13" fillId="0" borderId="33" xfId="0" applyFont="1" applyBorder="1" applyAlignment="1">
      <alignment horizontal="center" vertical="center"/>
    </xf>
    <xf numFmtId="0" fontId="13" fillId="0" borderId="28" xfId="0" applyFont="1" applyBorder="1" applyAlignment="1">
      <alignment horizontal="center" vertical="center"/>
    </xf>
    <xf numFmtId="0" fontId="13" fillId="0" borderId="37" xfId="0" applyFont="1" applyBorder="1" applyAlignment="1">
      <alignment horizontal="center" vertical="center"/>
    </xf>
    <xf numFmtId="0" fontId="13" fillId="0" borderId="38" xfId="0" applyFont="1" applyBorder="1" applyAlignment="1">
      <alignment horizontal="center" vertical="center"/>
    </xf>
    <xf numFmtId="0" fontId="13" fillId="0" borderId="34" xfId="0" applyFont="1" applyBorder="1" applyAlignment="1">
      <alignment horizontal="center" vertical="center"/>
    </xf>
    <xf numFmtId="0" fontId="13" fillId="0" borderId="36" xfId="0" applyFont="1" applyBorder="1" applyAlignment="1">
      <alignment horizontal="center" vertical="center"/>
    </xf>
    <xf numFmtId="0" fontId="13" fillId="0" borderId="39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247650</xdr:colOff>
      <xdr:row>0</xdr:row>
      <xdr:rowOff>28575</xdr:rowOff>
    </xdr:from>
    <xdr:to>
      <xdr:col>28</xdr:col>
      <xdr:colOff>209550</xdr:colOff>
      <xdr:row>26</xdr:row>
      <xdr:rowOff>85725</xdr:rowOff>
    </xdr:to>
    <xdr:pic>
      <xdr:nvPicPr>
        <xdr:cNvPr id="51275" name="Picture 1">
          <a:extLst>
            <a:ext uri="{FF2B5EF4-FFF2-40B4-BE49-F238E27FC236}">
              <a16:creationId xmlns:a16="http://schemas.microsoft.com/office/drawing/2014/main" id="{F6670AA3-6E84-43BE-A6D4-E8879F41FF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43750" y="2857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37963" name="Picture 1">
          <a:extLst>
            <a:ext uri="{FF2B5EF4-FFF2-40B4-BE49-F238E27FC236}">
              <a16:creationId xmlns:a16="http://schemas.microsoft.com/office/drawing/2014/main" id="{53FBE4FB-584E-4AEA-949F-1A1E715D85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34891" name="Picture 1">
          <a:extLst>
            <a:ext uri="{FF2B5EF4-FFF2-40B4-BE49-F238E27FC236}">
              <a16:creationId xmlns:a16="http://schemas.microsoft.com/office/drawing/2014/main" id="{41261F05-96F1-49B5-B28C-3BE510A91C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42059" name="Picture 1">
          <a:extLst>
            <a:ext uri="{FF2B5EF4-FFF2-40B4-BE49-F238E27FC236}">
              <a16:creationId xmlns:a16="http://schemas.microsoft.com/office/drawing/2014/main" id="{B6BF201C-54C1-4262-816A-104531E97E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29771" name="Picture 1">
          <a:extLst>
            <a:ext uri="{FF2B5EF4-FFF2-40B4-BE49-F238E27FC236}">
              <a16:creationId xmlns:a16="http://schemas.microsoft.com/office/drawing/2014/main" id="{9A8619D6-10A2-483C-93D9-D490D25A3F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30795" name="Picture 1">
          <a:extLst>
            <a:ext uri="{FF2B5EF4-FFF2-40B4-BE49-F238E27FC236}">
              <a16:creationId xmlns:a16="http://schemas.microsoft.com/office/drawing/2014/main" id="{44F2FE89-DB04-42A1-805A-75A5939B7C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38987" name="Picture 1">
          <a:extLst>
            <a:ext uri="{FF2B5EF4-FFF2-40B4-BE49-F238E27FC236}">
              <a16:creationId xmlns:a16="http://schemas.microsoft.com/office/drawing/2014/main" id="{7CAE4F66-69A6-486A-81BB-A314A63C1E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46155" name="Picture 1">
          <a:extLst>
            <a:ext uri="{FF2B5EF4-FFF2-40B4-BE49-F238E27FC236}">
              <a16:creationId xmlns:a16="http://schemas.microsoft.com/office/drawing/2014/main" id="{EEE8EC87-43BA-4E98-970A-384DE32931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36939" name="Picture 1">
          <a:extLst>
            <a:ext uri="{FF2B5EF4-FFF2-40B4-BE49-F238E27FC236}">
              <a16:creationId xmlns:a16="http://schemas.microsoft.com/office/drawing/2014/main" id="{F981AEC3-90EF-4369-AEDA-0B6C1EC0E8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52299" name="Picture 1">
          <a:extLst>
            <a:ext uri="{FF2B5EF4-FFF2-40B4-BE49-F238E27FC236}">
              <a16:creationId xmlns:a16="http://schemas.microsoft.com/office/drawing/2014/main" id="{E875B87E-FC8F-4BBF-A365-5505288115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43083" name="Picture 1">
          <a:extLst>
            <a:ext uri="{FF2B5EF4-FFF2-40B4-BE49-F238E27FC236}">
              <a16:creationId xmlns:a16="http://schemas.microsoft.com/office/drawing/2014/main" id="{48A347DA-2CC8-4F72-8505-0206BAB6D3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48203" name="Picture 1">
          <a:extLst>
            <a:ext uri="{FF2B5EF4-FFF2-40B4-BE49-F238E27FC236}">
              <a16:creationId xmlns:a16="http://schemas.microsoft.com/office/drawing/2014/main" id="{41BE02AB-1AFC-426B-989E-421FD8F8EF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31819" name="Picture 1">
          <a:extLst>
            <a:ext uri="{FF2B5EF4-FFF2-40B4-BE49-F238E27FC236}">
              <a16:creationId xmlns:a16="http://schemas.microsoft.com/office/drawing/2014/main" id="{667EE828-78E5-4F08-B0B5-F358A5C96A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49227" name="Picture 1">
          <a:extLst>
            <a:ext uri="{FF2B5EF4-FFF2-40B4-BE49-F238E27FC236}">
              <a16:creationId xmlns:a16="http://schemas.microsoft.com/office/drawing/2014/main" id="{849EF8E5-8539-4B29-9432-F76E32665E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35915" name="Picture 1">
          <a:extLst>
            <a:ext uri="{FF2B5EF4-FFF2-40B4-BE49-F238E27FC236}">
              <a16:creationId xmlns:a16="http://schemas.microsoft.com/office/drawing/2014/main" id="{B598444C-0EB5-4E85-8C3D-D6DCA08AA0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44107" name="Picture 1">
          <a:extLst>
            <a:ext uri="{FF2B5EF4-FFF2-40B4-BE49-F238E27FC236}">
              <a16:creationId xmlns:a16="http://schemas.microsoft.com/office/drawing/2014/main" id="{7D655252-233A-4214-91D3-4E657A619C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41035" name="Picture 1">
          <a:extLst>
            <a:ext uri="{FF2B5EF4-FFF2-40B4-BE49-F238E27FC236}">
              <a16:creationId xmlns:a16="http://schemas.microsoft.com/office/drawing/2014/main" id="{25ACDC4D-E769-4FE0-A79A-AB2BFE4EA3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78892" name="Picture 1">
          <a:extLst>
            <a:ext uri="{FF2B5EF4-FFF2-40B4-BE49-F238E27FC236}">
              <a16:creationId xmlns:a16="http://schemas.microsoft.com/office/drawing/2014/main" id="{ACA11A96-A120-4B17-8672-CA2D7F929F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79916" name="Picture 1">
          <a:extLst>
            <a:ext uri="{FF2B5EF4-FFF2-40B4-BE49-F238E27FC236}">
              <a16:creationId xmlns:a16="http://schemas.microsoft.com/office/drawing/2014/main" id="{90D4BF71-8D44-4ABB-BF7A-FC61D820BA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80940" name="Picture 1">
          <a:extLst>
            <a:ext uri="{FF2B5EF4-FFF2-40B4-BE49-F238E27FC236}">
              <a16:creationId xmlns:a16="http://schemas.microsoft.com/office/drawing/2014/main" id="{861B76EE-F863-408F-A768-236EB145BA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84012" name="Picture 1">
          <a:extLst>
            <a:ext uri="{FF2B5EF4-FFF2-40B4-BE49-F238E27FC236}">
              <a16:creationId xmlns:a16="http://schemas.microsoft.com/office/drawing/2014/main" id="{80B70EB1-E86F-4732-8A63-4642909877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82988" name="Picture 1">
          <a:extLst>
            <a:ext uri="{FF2B5EF4-FFF2-40B4-BE49-F238E27FC236}">
              <a16:creationId xmlns:a16="http://schemas.microsoft.com/office/drawing/2014/main" id="{DD1C6F57-316F-4A31-86D6-1716E99CE1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81964" name="Picture 1">
          <a:extLst>
            <a:ext uri="{FF2B5EF4-FFF2-40B4-BE49-F238E27FC236}">
              <a16:creationId xmlns:a16="http://schemas.microsoft.com/office/drawing/2014/main" id="{AFCBC95F-EE80-4E9A-98B3-61749DF6FB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85036" name="Picture 1">
          <a:extLst>
            <a:ext uri="{FF2B5EF4-FFF2-40B4-BE49-F238E27FC236}">
              <a16:creationId xmlns:a16="http://schemas.microsoft.com/office/drawing/2014/main" id="{04F24D02-A996-452E-916E-6AFE41B25A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86060" name="Picture 1">
          <a:extLst>
            <a:ext uri="{FF2B5EF4-FFF2-40B4-BE49-F238E27FC236}">
              <a16:creationId xmlns:a16="http://schemas.microsoft.com/office/drawing/2014/main" id="{6223ABE9-0808-4EE0-BF13-0890184B1D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87084" name="Picture 1">
          <a:extLst>
            <a:ext uri="{FF2B5EF4-FFF2-40B4-BE49-F238E27FC236}">
              <a16:creationId xmlns:a16="http://schemas.microsoft.com/office/drawing/2014/main" id="{C1C8A9BF-9790-4165-852B-C554608464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88108" name="Picture 1">
          <a:extLst>
            <a:ext uri="{FF2B5EF4-FFF2-40B4-BE49-F238E27FC236}">
              <a16:creationId xmlns:a16="http://schemas.microsoft.com/office/drawing/2014/main" id="{4E587D84-3531-4E69-952B-CBE775CCB4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89132" name="Picture 1">
          <a:extLst>
            <a:ext uri="{FF2B5EF4-FFF2-40B4-BE49-F238E27FC236}">
              <a16:creationId xmlns:a16="http://schemas.microsoft.com/office/drawing/2014/main" id="{E86E9D0D-8A8A-4AD4-A2B9-56AB150236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90156" name="Picture 1">
          <a:extLst>
            <a:ext uri="{FF2B5EF4-FFF2-40B4-BE49-F238E27FC236}">
              <a16:creationId xmlns:a16="http://schemas.microsoft.com/office/drawing/2014/main" id="{D2374B3C-C19C-4170-8747-C88384FE6A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91180" name="Picture 1">
          <a:extLst>
            <a:ext uri="{FF2B5EF4-FFF2-40B4-BE49-F238E27FC236}">
              <a16:creationId xmlns:a16="http://schemas.microsoft.com/office/drawing/2014/main" id="{254A6F95-9A95-4169-9DF7-8B0C47F7A5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92204" name="Picture 1">
          <a:extLst>
            <a:ext uri="{FF2B5EF4-FFF2-40B4-BE49-F238E27FC236}">
              <a16:creationId xmlns:a16="http://schemas.microsoft.com/office/drawing/2014/main" id="{E8AD9E79-3CDF-43D7-8168-E1EC8CABF9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914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93228" name="Picture 1">
          <a:extLst>
            <a:ext uri="{FF2B5EF4-FFF2-40B4-BE49-F238E27FC236}">
              <a16:creationId xmlns:a16="http://schemas.microsoft.com/office/drawing/2014/main" id="{BBEAFC44-D0AA-45DB-BF8F-5470E761AF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94252" name="Picture 1">
          <a:extLst>
            <a:ext uri="{FF2B5EF4-FFF2-40B4-BE49-F238E27FC236}">
              <a16:creationId xmlns:a16="http://schemas.microsoft.com/office/drawing/2014/main" id="{82C433A9-B729-4883-B506-7C434C498F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95274" name="Picture 1">
          <a:extLst>
            <a:ext uri="{FF2B5EF4-FFF2-40B4-BE49-F238E27FC236}">
              <a16:creationId xmlns:a16="http://schemas.microsoft.com/office/drawing/2014/main" id="{B3317185-E346-41E4-9445-E2D933F97A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8" t="s">
        <v>1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80"/>
    </row>
    <row r="2" spans="1:23" x14ac:dyDescent="0.15">
      <c r="A2" s="81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3"/>
    </row>
    <row r="3" spans="1:23" ht="12.75" customHeight="1" x14ac:dyDescent="0.15">
      <c r="A3" s="84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6"/>
      <c r="N3" s="77"/>
      <c r="O3" s="64"/>
      <c r="P3" s="77"/>
      <c r="Q3" s="64"/>
      <c r="R3" s="77"/>
      <c r="S3" s="64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67" t="s">
        <v>23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70" t="s">
        <v>19</v>
      </c>
      <c r="C7" s="70"/>
      <c r="D7" s="70"/>
      <c r="E7" s="70" t="s">
        <v>20</v>
      </c>
      <c r="F7" s="70"/>
      <c r="G7" s="70"/>
      <c r="H7" s="70" t="s">
        <v>21</v>
      </c>
      <c r="I7" s="70"/>
      <c r="J7" s="70"/>
      <c r="K7" s="70"/>
      <c r="L7" s="70"/>
      <c r="M7" s="7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13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17</v>
      </c>
      <c r="C10" s="13" t="str">
        <f t="shared" si="0"/>
        <v>b</v>
      </c>
      <c r="D10" s="32" t="s">
        <v>8</v>
      </c>
      <c r="E10" s="38">
        <v>14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17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16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17</v>
      </c>
      <c r="C13" s="13" t="str">
        <f t="shared" si="0"/>
        <v>b</v>
      </c>
      <c r="D13" s="32" t="s">
        <v>8</v>
      </c>
      <c r="E13" s="38">
        <v>13</v>
      </c>
      <c r="F13" s="13" t="str">
        <f t="shared" si="1"/>
        <v>c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16</v>
      </c>
      <c r="F14" s="13" t="str">
        <f t="shared" si="1"/>
        <v>b</v>
      </c>
      <c r="G14" s="32" t="s">
        <v>8</v>
      </c>
      <c r="H14" s="38">
        <v>16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16</v>
      </c>
      <c r="C15" s="13" t="str">
        <f t="shared" si="0"/>
        <v>b</v>
      </c>
      <c r="D15" s="32" t="s">
        <v>8</v>
      </c>
      <c r="E15" s="38">
        <v>17</v>
      </c>
      <c r="F15" s="13" t="str">
        <f t="shared" si="1"/>
        <v>b</v>
      </c>
      <c r="G15" s="32" t="s">
        <v>8</v>
      </c>
      <c r="H15" s="38">
        <v>13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16</v>
      </c>
      <c r="C16" s="13" t="str">
        <f t="shared" si="0"/>
        <v>b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15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13</v>
      </c>
      <c r="F17" s="13" t="str">
        <f t="shared" si="1"/>
        <v>c</v>
      </c>
      <c r="G17" s="32" t="s">
        <v>8</v>
      </c>
      <c r="H17" s="38">
        <v>17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14</v>
      </c>
      <c r="C18" s="13" t="str">
        <f t="shared" si="0"/>
        <v>c</v>
      </c>
      <c r="D18" s="32" t="s">
        <v>8</v>
      </c>
      <c r="E18" s="38">
        <v>15</v>
      </c>
      <c r="F18" s="13" t="str">
        <f t="shared" si="1"/>
        <v>b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15.2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14.8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25</v>
      </c>
      <c r="M34" s="49">
        <f>(B34+E34+H34)/3</f>
        <v>14.9</v>
      </c>
      <c r="O34" s="48">
        <f>AVERAGE(B9:B18,E9:E18,H9:H18)</f>
        <v>14.9</v>
      </c>
      <c r="P34" s="51"/>
      <c r="U34" s="5"/>
    </row>
    <row r="35" spans="1:21" ht="30.75" customHeight="1" thickBot="1" x14ac:dyDescent="0.2">
      <c r="A35" s="25"/>
      <c r="B35" s="53"/>
      <c r="C35" s="53"/>
      <c r="D35" s="54"/>
      <c r="E35" s="53"/>
      <c r="F35" s="53"/>
      <c r="G35" s="54"/>
      <c r="H35" s="53"/>
      <c r="I35" s="53"/>
      <c r="J35" s="54"/>
      <c r="K35" s="65"/>
      <c r="L35" s="65"/>
      <c r="M35" s="66"/>
      <c r="U35" s="5"/>
    </row>
    <row r="36" spans="1:21" x14ac:dyDescent="0.15">
      <c r="A36" s="2"/>
      <c r="U36" s="5"/>
    </row>
    <row r="37" spans="1:21" ht="13.5" x14ac:dyDescent="0.15">
      <c r="A37" s="64"/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4"/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21" ht="18" customHeight="1" x14ac:dyDescent="0.15">
      <c r="A47" s="64"/>
      <c r="B47" s="64"/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</row>
  </sheetData>
  <mergeCells count="17">
    <mergeCell ref="V3:W3"/>
    <mergeCell ref="A4:M4"/>
    <mergeCell ref="T3:U3"/>
    <mergeCell ref="R3:S3"/>
    <mergeCell ref="A1:M2"/>
    <mergeCell ref="A3:M3"/>
    <mergeCell ref="N3:O3"/>
    <mergeCell ref="P3:Q3"/>
    <mergeCell ref="A47:M47"/>
    <mergeCell ref="K35:M35"/>
    <mergeCell ref="A37:M37"/>
    <mergeCell ref="A46:M46"/>
    <mergeCell ref="A5:M5"/>
    <mergeCell ref="B7:D7"/>
    <mergeCell ref="E7:G7"/>
    <mergeCell ref="H7:J7"/>
    <mergeCell ref="K7:M7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8" t="s">
        <v>1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80"/>
    </row>
    <row r="2" spans="1:23" x14ac:dyDescent="0.15">
      <c r="A2" s="81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3"/>
    </row>
    <row r="3" spans="1:23" ht="12.75" customHeight="1" x14ac:dyDescent="0.15">
      <c r="A3" s="84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6"/>
      <c r="N3" s="77"/>
      <c r="O3" s="64"/>
      <c r="P3" s="77"/>
      <c r="Q3" s="64"/>
      <c r="R3" s="77"/>
      <c r="S3" s="64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67" t="s">
        <v>23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70" t="s">
        <v>19</v>
      </c>
      <c r="C7" s="70"/>
      <c r="D7" s="70"/>
      <c r="E7" s="70" t="s">
        <v>20</v>
      </c>
      <c r="F7" s="70"/>
      <c r="G7" s="70"/>
      <c r="H7" s="70" t="s">
        <v>21</v>
      </c>
      <c r="I7" s="70"/>
      <c r="J7" s="70"/>
      <c r="K7" s="70"/>
      <c r="L7" s="70"/>
      <c r="M7" s="7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14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14</v>
      </c>
      <c r="C10" s="13" t="str">
        <f t="shared" si="0"/>
        <v>c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14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16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13</v>
      </c>
      <c r="C12" s="13" t="str">
        <f t="shared" si="0"/>
        <v>c</v>
      </c>
      <c r="D12" s="32" t="s">
        <v>8</v>
      </c>
      <c r="E12" s="38">
        <v>16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15</v>
      </c>
      <c r="C13" s="13" t="str">
        <f t="shared" si="0"/>
        <v>b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14</v>
      </c>
      <c r="I13" s="13" t="str">
        <f t="shared" si="2"/>
        <v>c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14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16</v>
      </c>
      <c r="C15" s="13" t="str">
        <f t="shared" si="0"/>
        <v>b</v>
      </c>
      <c r="D15" s="32" t="s">
        <v>8</v>
      </c>
      <c r="E15" s="38">
        <v>15</v>
      </c>
      <c r="F15" s="13" t="str">
        <f t="shared" si="1"/>
        <v>b</v>
      </c>
      <c r="G15" s="32" t="s">
        <v>8</v>
      </c>
      <c r="H15" s="38">
        <v>16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16</v>
      </c>
      <c r="C16" s="13" t="str">
        <f t="shared" si="0"/>
        <v>b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16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17</v>
      </c>
      <c r="F17" s="13" t="str">
        <f t="shared" si="1"/>
        <v>b</v>
      </c>
      <c r="G17" s="32" t="s">
        <v>8</v>
      </c>
      <c r="H17" s="38">
        <v>17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16</v>
      </c>
      <c r="C18" s="13" t="str">
        <f t="shared" si="0"/>
        <v>b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14.8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AVERAGE(H9:H20)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14.766666666666666</v>
      </c>
      <c r="O34" s="48">
        <f>AVERAGE(B9:B18,E9:E18,H9:H18)</f>
        <v>14.766666666666667</v>
      </c>
      <c r="U34" s="5"/>
    </row>
    <row r="35" spans="1:21" ht="30.75" customHeight="1" thickBot="1" x14ac:dyDescent="0.2">
      <c r="A35" s="25"/>
      <c r="B35" s="65"/>
      <c r="C35" s="65"/>
      <c r="D35" s="87"/>
      <c r="E35" s="65"/>
      <c r="F35" s="65"/>
      <c r="G35" s="87"/>
      <c r="H35" s="65"/>
      <c r="I35" s="65"/>
      <c r="J35" s="87"/>
      <c r="K35" s="65"/>
      <c r="L35" s="65"/>
      <c r="M35" s="66"/>
      <c r="U35" s="5"/>
    </row>
    <row r="36" spans="1:21" x14ac:dyDescent="0.15">
      <c r="A36" s="2"/>
      <c r="U36" s="5"/>
    </row>
    <row r="37" spans="1:21" ht="13.5" x14ac:dyDescent="0.15">
      <c r="A37" s="64"/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4"/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21" ht="18" customHeight="1" x14ac:dyDescent="0.15">
      <c r="A47" s="64"/>
      <c r="B47" s="64"/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</row>
  </sheetData>
  <mergeCells count="20">
    <mergeCell ref="V3:W3"/>
    <mergeCell ref="A4:M4"/>
    <mergeCell ref="T3:U3"/>
    <mergeCell ref="R3:S3"/>
    <mergeCell ref="A1:M2"/>
    <mergeCell ref="A3:M3"/>
    <mergeCell ref="N3:O3"/>
    <mergeCell ref="P3:Q3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8" t="s">
        <v>1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80"/>
    </row>
    <row r="2" spans="1:23" x14ac:dyDescent="0.15">
      <c r="A2" s="81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3"/>
    </row>
    <row r="3" spans="1:23" ht="12.75" customHeight="1" x14ac:dyDescent="0.15">
      <c r="A3" s="84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6"/>
      <c r="N3" s="77"/>
      <c r="O3" s="64"/>
      <c r="P3" s="77"/>
      <c r="Q3" s="64"/>
      <c r="R3" s="77"/>
      <c r="S3" s="64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67" t="s">
        <v>23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70" t="s">
        <v>19</v>
      </c>
      <c r="C7" s="70"/>
      <c r="D7" s="70"/>
      <c r="E7" s="70" t="s">
        <v>20</v>
      </c>
      <c r="F7" s="70"/>
      <c r="G7" s="70"/>
      <c r="H7" s="70" t="s">
        <v>21</v>
      </c>
      <c r="I7" s="70"/>
      <c r="J7" s="70"/>
      <c r="K7" s="70"/>
      <c r="L7" s="70"/>
      <c r="M7" s="7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13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16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14</v>
      </c>
      <c r="F11" s="13" t="str">
        <f t="shared" si="1"/>
        <v>c</v>
      </c>
      <c r="G11" s="32" t="s">
        <v>8</v>
      </c>
      <c r="H11" s="38">
        <v>13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15</v>
      </c>
      <c r="C12" s="13" t="str">
        <f t="shared" si="0"/>
        <v>b</v>
      </c>
      <c r="D12" s="32" t="s">
        <v>8</v>
      </c>
      <c r="E12" s="38">
        <v>13</v>
      </c>
      <c r="F12" s="13" t="str">
        <f t="shared" si="1"/>
        <v>c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16</v>
      </c>
      <c r="C13" s="13" t="str">
        <f t="shared" si="0"/>
        <v>b</v>
      </c>
      <c r="D13" s="32" t="s">
        <v>8</v>
      </c>
      <c r="E13" s="38">
        <v>14</v>
      </c>
      <c r="F13" s="13" t="str">
        <f t="shared" si="1"/>
        <v>c</v>
      </c>
      <c r="G13" s="32" t="s">
        <v>8</v>
      </c>
      <c r="H13" s="38">
        <v>14</v>
      </c>
      <c r="I13" s="13" t="str">
        <f t="shared" si="2"/>
        <v>c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17</v>
      </c>
      <c r="C14" s="13" t="str">
        <f t="shared" si="0"/>
        <v>b</v>
      </c>
      <c r="D14" s="32" t="s">
        <v>8</v>
      </c>
      <c r="E14" s="38">
        <v>17</v>
      </c>
      <c r="F14" s="13" t="str">
        <f t="shared" si="1"/>
        <v>b</v>
      </c>
      <c r="G14" s="32" t="s">
        <v>8</v>
      </c>
      <c r="H14" s="38">
        <v>15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13</v>
      </c>
      <c r="C15" s="13" t="str">
        <f t="shared" si="0"/>
        <v>c</v>
      </c>
      <c r="D15" s="32" t="s">
        <v>8</v>
      </c>
      <c r="E15" s="38">
        <v>13</v>
      </c>
      <c r="F15" s="13" t="str">
        <f t="shared" si="1"/>
        <v>c</v>
      </c>
      <c r="G15" s="32" t="s">
        <v>8</v>
      </c>
      <c r="H15" s="38">
        <v>13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14</v>
      </c>
      <c r="C16" s="13" t="str">
        <f t="shared" si="0"/>
        <v>c</v>
      </c>
      <c r="D16" s="32" t="s">
        <v>8</v>
      </c>
      <c r="E16" s="38">
        <v>16</v>
      </c>
      <c r="F16" s="13" t="str">
        <f t="shared" si="1"/>
        <v>b</v>
      </c>
      <c r="G16" s="32" t="s">
        <v>8</v>
      </c>
      <c r="H16" s="38">
        <v>14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16</v>
      </c>
      <c r="F17" s="13" t="str">
        <f t="shared" si="1"/>
        <v>b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14.6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14.6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14.633333333333333</v>
      </c>
      <c r="O34" s="48">
        <f>AVERAGE(B9:B18,E9:E18,H9:H18)</f>
        <v>14.633333333333333</v>
      </c>
      <c r="U34" s="5"/>
    </row>
    <row r="35" spans="1:21" ht="30.75" customHeight="1" thickBot="1" x14ac:dyDescent="0.2">
      <c r="A35" s="25"/>
      <c r="B35" s="65"/>
      <c r="C35" s="65"/>
      <c r="D35" s="87"/>
      <c r="E35" s="65"/>
      <c r="F35" s="65"/>
      <c r="G35" s="87"/>
      <c r="H35" s="65"/>
      <c r="I35" s="65"/>
      <c r="J35" s="87"/>
      <c r="K35" s="65"/>
      <c r="L35" s="65"/>
      <c r="M35" s="66"/>
      <c r="U35" s="5"/>
    </row>
    <row r="36" spans="1:21" x14ac:dyDescent="0.15">
      <c r="A36" s="2"/>
      <c r="U36" s="5"/>
    </row>
    <row r="37" spans="1:21" ht="13.5" x14ac:dyDescent="0.15">
      <c r="A37" s="64"/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4"/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21" ht="18" customHeight="1" x14ac:dyDescent="0.15">
      <c r="A47" s="64"/>
      <c r="B47" s="64"/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</row>
  </sheetData>
  <mergeCells count="20">
    <mergeCell ref="V3:W3"/>
    <mergeCell ref="A4:M4"/>
    <mergeCell ref="T3:U3"/>
    <mergeCell ref="R3:S3"/>
    <mergeCell ref="A1:M2"/>
    <mergeCell ref="A3:M3"/>
    <mergeCell ref="N3:O3"/>
    <mergeCell ref="P3:Q3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8" t="s">
        <v>1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80"/>
    </row>
    <row r="2" spans="1:23" x14ac:dyDescent="0.15">
      <c r="A2" s="81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3"/>
    </row>
    <row r="3" spans="1:23" ht="12.75" customHeight="1" x14ac:dyDescent="0.15">
      <c r="A3" s="84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6"/>
      <c r="N3" s="77"/>
      <c r="O3" s="64"/>
      <c r="P3" s="77"/>
      <c r="Q3" s="64"/>
      <c r="R3" s="77"/>
      <c r="S3" s="64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67" t="s">
        <v>23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70" t="s">
        <v>19</v>
      </c>
      <c r="C7" s="70"/>
      <c r="D7" s="70"/>
      <c r="E7" s="70" t="s">
        <v>20</v>
      </c>
      <c r="F7" s="70"/>
      <c r="G7" s="70"/>
      <c r="H7" s="70" t="s">
        <v>21</v>
      </c>
      <c r="I7" s="70"/>
      <c r="J7" s="70"/>
      <c r="K7" s="70"/>
      <c r="L7" s="70"/>
      <c r="M7" s="7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16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14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16</v>
      </c>
      <c r="F11" s="13" t="str">
        <f t="shared" si="1"/>
        <v>b</v>
      </c>
      <c r="G11" s="32" t="s">
        <v>8</v>
      </c>
      <c r="H11" s="38">
        <v>14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16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16</v>
      </c>
      <c r="C13" s="13" t="str">
        <f t="shared" si="0"/>
        <v>b</v>
      </c>
      <c r="D13" s="32" t="s">
        <v>8</v>
      </c>
      <c r="E13" s="38">
        <v>13</v>
      </c>
      <c r="F13" s="13" t="str">
        <f t="shared" si="1"/>
        <v>c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17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14</v>
      </c>
      <c r="C15" s="13" t="str">
        <f t="shared" si="0"/>
        <v>c</v>
      </c>
      <c r="D15" s="32" t="s">
        <v>8</v>
      </c>
      <c r="E15" s="38">
        <v>14</v>
      </c>
      <c r="F15" s="13" t="str">
        <f t="shared" si="1"/>
        <v>c</v>
      </c>
      <c r="G15" s="32" t="s">
        <v>8</v>
      </c>
      <c r="H15" s="38">
        <v>16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16</v>
      </c>
      <c r="C16" s="13" t="str">
        <f t="shared" si="0"/>
        <v>b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14</v>
      </c>
      <c r="I17" s="13" t="str">
        <f t="shared" si="2"/>
        <v>c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17</v>
      </c>
      <c r="C18" s="13" t="str">
        <f t="shared" si="0"/>
        <v>b</v>
      </c>
      <c r="D18" s="32" t="s">
        <v>8</v>
      </c>
      <c r="E18" s="38">
        <v>15</v>
      </c>
      <c r="F18" s="13" t="str">
        <f t="shared" si="1"/>
        <v>b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15.3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14.8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14.933333333333332</v>
      </c>
      <c r="O34" s="48">
        <f>AVERAGE(B9:B18,E9:E18,H9:H18)</f>
        <v>14.933333333333334</v>
      </c>
      <c r="U34" s="5"/>
    </row>
    <row r="35" spans="1:21" ht="30.75" customHeight="1" thickBot="1" x14ac:dyDescent="0.2">
      <c r="A35" s="25"/>
      <c r="B35" s="65"/>
      <c r="C35" s="65"/>
      <c r="D35" s="87"/>
      <c r="E35" s="65"/>
      <c r="F35" s="65"/>
      <c r="G35" s="87"/>
      <c r="H35" s="65"/>
      <c r="I35" s="65"/>
      <c r="J35" s="87"/>
      <c r="K35" s="65"/>
      <c r="L35" s="65"/>
      <c r="M35" s="66"/>
      <c r="U35" s="5"/>
    </row>
    <row r="36" spans="1:21" x14ac:dyDescent="0.15">
      <c r="A36" s="2"/>
      <c r="U36" s="5"/>
    </row>
    <row r="37" spans="1:21" ht="13.5" x14ac:dyDescent="0.15">
      <c r="A37" s="64"/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4"/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21" ht="18" customHeight="1" x14ac:dyDescent="0.15">
      <c r="A47" s="64"/>
      <c r="B47" s="64"/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</row>
  </sheetData>
  <mergeCells count="20">
    <mergeCell ref="V3:W3"/>
    <mergeCell ref="A4:M4"/>
    <mergeCell ref="T3:U3"/>
    <mergeCell ref="R3:S3"/>
    <mergeCell ref="A1:M2"/>
    <mergeCell ref="A3:M3"/>
    <mergeCell ref="N3:O3"/>
    <mergeCell ref="P3:Q3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8" t="s">
        <v>1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80"/>
    </row>
    <row r="2" spans="1:23" x14ac:dyDescent="0.15">
      <c r="A2" s="81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3"/>
    </row>
    <row r="3" spans="1:23" ht="12.75" customHeight="1" x14ac:dyDescent="0.15">
      <c r="A3" s="84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6"/>
      <c r="N3" s="77"/>
      <c r="O3" s="64"/>
      <c r="P3" s="77"/>
      <c r="Q3" s="64"/>
      <c r="R3" s="77"/>
      <c r="S3" s="64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67" t="s">
        <v>23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70" t="s">
        <v>19</v>
      </c>
      <c r="C7" s="70"/>
      <c r="D7" s="70"/>
      <c r="E7" s="70" t="s">
        <v>20</v>
      </c>
      <c r="F7" s="70"/>
      <c r="G7" s="70"/>
      <c r="H7" s="70" t="s">
        <v>21</v>
      </c>
      <c r="I7" s="70"/>
      <c r="J7" s="70"/>
      <c r="K7" s="70"/>
      <c r="L7" s="70"/>
      <c r="M7" s="7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15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14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13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14</v>
      </c>
      <c r="C12" s="13" t="str">
        <f t="shared" si="0"/>
        <v>c</v>
      </c>
      <c r="D12" s="32" t="s">
        <v>8</v>
      </c>
      <c r="E12" s="38">
        <v>17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13</v>
      </c>
      <c r="C13" s="13" t="str">
        <f t="shared" si="0"/>
        <v>c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13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14</v>
      </c>
      <c r="C15" s="13" t="str">
        <f t="shared" si="0"/>
        <v>c</v>
      </c>
      <c r="D15" s="32" t="s">
        <v>8</v>
      </c>
      <c r="E15" s="38">
        <v>13</v>
      </c>
      <c r="F15" s="13" t="str">
        <f t="shared" si="1"/>
        <v>c</v>
      </c>
      <c r="G15" s="32" t="s">
        <v>8</v>
      </c>
      <c r="H15" s="38">
        <v>16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13</v>
      </c>
      <c r="C16" s="13" t="str">
        <f t="shared" si="0"/>
        <v>c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15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16</v>
      </c>
      <c r="C17" s="13" t="str">
        <f t="shared" si="0"/>
        <v>b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14</v>
      </c>
      <c r="I17" s="13" t="str">
        <f t="shared" si="2"/>
        <v>c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14.5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14.5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14.6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14.533333333333333</v>
      </c>
      <c r="O34" s="48">
        <f>AVERAGE(B9:B18,E9:E18,H9:H18)</f>
        <v>14.533333333333333</v>
      </c>
      <c r="U34" s="5"/>
    </row>
    <row r="35" spans="1:21" ht="30.75" customHeight="1" thickBot="1" x14ac:dyDescent="0.2">
      <c r="A35" s="25"/>
      <c r="B35" s="65"/>
      <c r="C35" s="65"/>
      <c r="D35" s="87"/>
      <c r="E35" s="65"/>
      <c r="F35" s="65"/>
      <c r="G35" s="87"/>
      <c r="H35" s="65"/>
      <c r="I35" s="65"/>
      <c r="J35" s="87"/>
      <c r="K35" s="65"/>
      <c r="L35" s="65"/>
      <c r="M35" s="66"/>
      <c r="U35" s="5"/>
    </row>
    <row r="36" spans="1:21" x14ac:dyDescent="0.15">
      <c r="A36" s="2"/>
      <c r="U36" s="5"/>
    </row>
    <row r="37" spans="1:21" ht="13.5" x14ac:dyDescent="0.15">
      <c r="A37" s="64"/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4"/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21" ht="18" customHeight="1" x14ac:dyDescent="0.15">
      <c r="A47" s="64"/>
      <c r="B47" s="64"/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</row>
  </sheetData>
  <mergeCells count="20">
    <mergeCell ref="V3:W3"/>
    <mergeCell ref="A4:M4"/>
    <mergeCell ref="T3:U3"/>
    <mergeCell ref="R3:S3"/>
    <mergeCell ref="A1:M2"/>
    <mergeCell ref="A3:M3"/>
    <mergeCell ref="N3:O3"/>
    <mergeCell ref="P3:Q3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W47"/>
  <sheetViews>
    <sheetView view="pageBreakPreview" topLeftCell="A7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8" t="s">
        <v>1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80"/>
    </row>
    <row r="2" spans="1:23" x14ac:dyDescent="0.15">
      <c r="A2" s="81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3"/>
    </row>
    <row r="3" spans="1:23" ht="12.75" customHeight="1" x14ac:dyDescent="0.15">
      <c r="A3" s="84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6"/>
      <c r="N3" s="77"/>
      <c r="O3" s="64"/>
      <c r="P3" s="77"/>
      <c r="Q3" s="64"/>
      <c r="R3" s="77"/>
      <c r="S3" s="64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67" t="s">
        <v>23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70" t="s">
        <v>19</v>
      </c>
      <c r="C7" s="70"/>
      <c r="D7" s="70"/>
      <c r="E7" s="70" t="s">
        <v>20</v>
      </c>
      <c r="F7" s="70"/>
      <c r="G7" s="70"/>
      <c r="H7" s="70" t="s">
        <v>21</v>
      </c>
      <c r="I7" s="70"/>
      <c r="J7" s="70"/>
      <c r="K7" s="70"/>
      <c r="L7" s="70"/>
      <c r="M7" s="7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13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16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14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16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14</v>
      </c>
      <c r="C12" s="13" t="str">
        <f t="shared" si="0"/>
        <v>c</v>
      </c>
      <c r="D12" s="32" t="s">
        <v>8</v>
      </c>
      <c r="E12" s="38">
        <v>14</v>
      </c>
      <c r="F12" s="13" t="str">
        <f t="shared" si="1"/>
        <v>c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13</v>
      </c>
      <c r="C13" s="13" t="str">
        <f t="shared" si="0"/>
        <v>c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16</v>
      </c>
      <c r="F14" s="13" t="str">
        <f t="shared" si="1"/>
        <v>b</v>
      </c>
      <c r="G14" s="32" t="s">
        <v>8</v>
      </c>
      <c r="H14" s="38">
        <v>16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14</v>
      </c>
      <c r="C15" s="13" t="str">
        <f t="shared" si="0"/>
        <v>c</v>
      </c>
      <c r="D15" s="32" t="s">
        <v>8</v>
      </c>
      <c r="E15" s="38">
        <v>13</v>
      </c>
      <c r="F15" s="13" t="str">
        <f t="shared" si="1"/>
        <v>c</v>
      </c>
      <c r="G15" s="32" t="s">
        <v>8</v>
      </c>
      <c r="H15" s="38">
        <v>13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13</v>
      </c>
      <c r="C16" s="13" t="str">
        <f t="shared" si="0"/>
        <v>c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14</v>
      </c>
      <c r="F17" s="13" t="str">
        <f t="shared" si="1"/>
        <v>c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14</v>
      </c>
      <c r="C18" s="13" t="str">
        <f t="shared" si="0"/>
        <v>c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14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13.9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14.4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14.6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14.299999999999999</v>
      </c>
      <c r="O34" s="48">
        <f>AVERAGE(B9:B18,E9:E18,H9:H18)</f>
        <v>14.3</v>
      </c>
      <c r="U34" s="5"/>
    </row>
    <row r="35" spans="1:21" ht="30.75" customHeight="1" thickBot="1" x14ac:dyDescent="0.2">
      <c r="A35" s="25"/>
      <c r="B35" s="65"/>
      <c r="C35" s="65"/>
      <c r="D35" s="87"/>
      <c r="E35" s="65"/>
      <c r="F35" s="65"/>
      <c r="G35" s="87"/>
      <c r="H35" s="65"/>
      <c r="I35" s="65"/>
      <c r="J35" s="87"/>
      <c r="K35" s="65"/>
      <c r="L35" s="65"/>
      <c r="M35" s="66"/>
      <c r="U35" s="5"/>
    </row>
    <row r="36" spans="1:21" x14ac:dyDescent="0.15">
      <c r="A36" s="2"/>
      <c r="U36" s="5"/>
    </row>
    <row r="37" spans="1:21" ht="13.5" x14ac:dyDescent="0.15">
      <c r="A37" s="64"/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4"/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21" ht="18" customHeight="1" x14ac:dyDescent="0.15">
      <c r="A47" s="64"/>
      <c r="B47" s="64"/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</row>
  </sheetData>
  <mergeCells count="20">
    <mergeCell ref="V3:W3"/>
    <mergeCell ref="A4:M4"/>
    <mergeCell ref="T3:U3"/>
    <mergeCell ref="R3:S3"/>
    <mergeCell ref="A1:M2"/>
    <mergeCell ref="A3:M3"/>
    <mergeCell ref="N3:O3"/>
    <mergeCell ref="P3:Q3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8" t="s">
        <v>1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80"/>
    </row>
    <row r="2" spans="1:23" x14ac:dyDescent="0.15">
      <c r="A2" s="81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3"/>
    </row>
    <row r="3" spans="1:23" ht="12.75" customHeight="1" x14ac:dyDescent="0.15">
      <c r="A3" s="84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6"/>
      <c r="N3" s="77"/>
      <c r="O3" s="64"/>
      <c r="P3" s="77"/>
      <c r="Q3" s="64"/>
      <c r="R3" s="77"/>
      <c r="S3" s="64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67" t="s">
        <v>23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70" t="s">
        <v>19</v>
      </c>
      <c r="C7" s="70"/>
      <c r="D7" s="70"/>
      <c r="E7" s="70" t="s">
        <v>20</v>
      </c>
      <c r="F7" s="70"/>
      <c r="G7" s="70"/>
      <c r="H7" s="70" t="s">
        <v>21</v>
      </c>
      <c r="I7" s="70"/>
      <c r="J7" s="70"/>
      <c r="K7" s="70"/>
      <c r="L7" s="70"/>
      <c r="M7" s="7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16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16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13</v>
      </c>
      <c r="C10" s="13" t="str">
        <f t="shared" si="0"/>
        <v>c</v>
      </c>
      <c r="D10" s="32" t="s">
        <v>8</v>
      </c>
      <c r="E10" s="38">
        <v>14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13</v>
      </c>
      <c r="C11" s="13" t="str">
        <f t="shared" si="0"/>
        <v>c</v>
      </c>
      <c r="D11" s="32" t="s">
        <v>8</v>
      </c>
      <c r="E11" s="38">
        <v>14</v>
      </c>
      <c r="F11" s="13" t="str">
        <f t="shared" si="1"/>
        <v>c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17</v>
      </c>
      <c r="C12" s="13" t="str">
        <f t="shared" si="0"/>
        <v>b</v>
      </c>
      <c r="D12" s="32" t="s">
        <v>8</v>
      </c>
      <c r="E12" s="38">
        <v>14</v>
      </c>
      <c r="F12" s="13" t="str">
        <f t="shared" si="1"/>
        <v>c</v>
      </c>
      <c r="G12" s="32" t="s">
        <v>8</v>
      </c>
      <c r="H12" s="38">
        <v>14</v>
      </c>
      <c r="I12" s="13" t="str">
        <f t="shared" si="2"/>
        <v>c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12</v>
      </c>
      <c r="C13" s="13" t="str">
        <f t="shared" si="0"/>
        <v>c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14</v>
      </c>
      <c r="I13" s="13" t="str">
        <f t="shared" si="2"/>
        <v>c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16</v>
      </c>
      <c r="C14" s="13" t="str">
        <f t="shared" si="0"/>
        <v>b</v>
      </c>
      <c r="D14" s="32" t="s">
        <v>8</v>
      </c>
      <c r="E14" s="38">
        <v>16</v>
      </c>
      <c r="F14" s="13" t="str">
        <f t="shared" si="1"/>
        <v>b</v>
      </c>
      <c r="G14" s="32" t="s">
        <v>8</v>
      </c>
      <c r="H14" s="38">
        <v>14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13</v>
      </c>
      <c r="C15" s="13" t="str">
        <f t="shared" si="0"/>
        <v>c</v>
      </c>
      <c r="D15" s="32" t="s">
        <v>8</v>
      </c>
      <c r="E15" s="38">
        <v>13</v>
      </c>
      <c r="F15" s="13" t="str">
        <f t="shared" si="1"/>
        <v>c</v>
      </c>
      <c r="G15" s="32" t="s">
        <v>8</v>
      </c>
      <c r="H15" s="38">
        <v>16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16</v>
      </c>
      <c r="C16" s="13" t="str">
        <f t="shared" si="0"/>
        <v>b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15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17</v>
      </c>
      <c r="C17" s="13" t="str">
        <f t="shared" si="0"/>
        <v>b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13</v>
      </c>
      <c r="I17" s="13" t="str">
        <f t="shared" si="2"/>
        <v>c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16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9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14.6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14.8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14.733333333333334</v>
      </c>
      <c r="O34" s="48">
        <f>AVERAGE(B9:B18,E9:E18,H9:H18)</f>
        <v>14.733333333333333</v>
      </c>
      <c r="U34" s="5"/>
    </row>
    <row r="35" spans="1:21" ht="30.75" customHeight="1" thickBot="1" x14ac:dyDescent="0.2">
      <c r="A35" s="25"/>
      <c r="B35" s="65"/>
      <c r="C35" s="65"/>
      <c r="D35" s="87"/>
      <c r="E35" s="65"/>
      <c r="F35" s="65"/>
      <c r="G35" s="87"/>
      <c r="H35" s="65"/>
      <c r="I35" s="65"/>
      <c r="J35" s="87"/>
      <c r="K35" s="65"/>
      <c r="L35" s="65"/>
      <c r="M35" s="66"/>
      <c r="U35" s="5"/>
    </row>
    <row r="36" spans="1:21" x14ac:dyDescent="0.15">
      <c r="A36" s="2"/>
      <c r="U36" s="5"/>
    </row>
    <row r="37" spans="1:21" ht="13.5" x14ac:dyDescent="0.15">
      <c r="A37" s="64"/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4"/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21" ht="18" customHeight="1" x14ac:dyDescent="0.15">
      <c r="A47" s="64"/>
      <c r="B47" s="64"/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</row>
  </sheetData>
  <mergeCells count="20">
    <mergeCell ref="V3:W3"/>
    <mergeCell ref="A4:M4"/>
    <mergeCell ref="T3:U3"/>
    <mergeCell ref="R3:S3"/>
    <mergeCell ref="A1:M2"/>
    <mergeCell ref="A3:M3"/>
    <mergeCell ref="N3:O3"/>
    <mergeCell ref="P3:Q3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8" t="s">
        <v>1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80"/>
    </row>
    <row r="2" spans="1:23" x14ac:dyDescent="0.15">
      <c r="A2" s="81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3"/>
    </row>
    <row r="3" spans="1:23" ht="12.75" customHeight="1" x14ac:dyDescent="0.15">
      <c r="A3" s="84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6"/>
      <c r="N3" s="77"/>
      <c r="O3" s="64"/>
      <c r="P3" s="77"/>
      <c r="Q3" s="64"/>
      <c r="R3" s="77"/>
      <c r="S3" s="64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67" t="s">
        <v>23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70" t="s">
        <v>19</v>
      </c>
      <c r="C7" s="70"/>
      <c r="D7" s="70"/>
      <c r="E7" s="70" t="s">
        <v>20</v>
      </c>
      <c r="F7" s="70"/>
      <c r="G7" s="70"/>
      <c r="H7" s="70" t="s">
        <v>21</v>
      </c>
      <c r="I7" s="70"/>
      <c r="J7" s="70"/>
      <c r="K7" s="70"/>
      <c r="L7" s="70"/>
      <c r="M7" s="7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13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17</v>
      </c>
      <c r="C10" s="13" t="str">
        <f t="shared" si="0"/>
        <v>b</v>
      </c>
      <c r="D10" s="32" t="s">
        <v>8</v>
      </c>
      <c r="E10" s="38">
        <v>16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17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17</v>
      </c>
      <c r="C12" s="13" t="str">
        <f t="shared" si="0"/>
        <v>b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14</v>
      </c>
      <c r="C13" s="13" t="str">
        <f t="shared" si="0"/>
        <v>c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16</v>
      </c>
      <c r="C14" s="13" t="str">
        <f t="shared" si="0"/>
        <v>b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17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15</v>
      </c>
      <c r="C15" s="13" t="str">
        <f t="shared" si="0"/>
        <v>b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17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15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14</v>
      </c>
      <c r="C17" s="13" t="str">
        <f t="shared" si="0"/>
        <v>c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13</v>
      </c>
      <c r="C18" s="13" t="str">
        <f t="shared" si="0"/>
        <v>c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9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14.9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15.4</v>
      </c>
      <c r="I34" s="28" t="str">
        <f>IF(18.9&lt;=H34,"a",IF(AND(18.9&gt;H34,H34&gt;=14.9),"b",IF(AND(14.9&gt;H34,H34&gt;=12),"c",IF(AND(12&gt;H34,H34&gt;=10.2),"d",IF(10.2&gt;H34,"e","?")))))</f>
        <v>b</v>
      </c>
      <c r="J34" s="33" t="s">
        <v>8</v>
      </c>
      <c r="K34" s="29"/>
      <c r="L34" s="28" t="s">
        <v>24</v>
      </c>
      <c r="M34" s="50">
        <f>(B34+E34+H34)/3</f>
        <v>15</v>
      </c>
      <c r="O34" s="48">
        <f>AVERAGE(B9:B18,E9:E18,H9:H18)</f>
        <v>15</v>
      </c>
      <c r="U34" s="5"/>
    </row>
    <row r="35" spans="1:21" ht="30.75" customHeight="1" thickBot="1" x14ac:dyDescent="0.2">
      <c r="A35" s="25"/>
      <c r="B35" s="65"/>
      <c r="C35" s="65"/>
      <c r="D35" s="87"/>
      <c r="E35" s="65"/>
      <c r="F35" s="65"/>
      <c r="G35" s="87"/>
      <c r="H35" s="65"/>
      <c r="I35" s="65"/>
      <c r="J35" s="87"/>
      <c r="K35" s="65"/>
      <c r="L35" s="65"/>
      <c r="M35" s="66"/>
      <c r="U35" s="5"/>
    </row>
    <row r="36" spans="1:21" x14ac:dyDescent="0.15">
      <c r="A36" s="2"/>
      <c r="U36" s="5"/>
    </row>
    <row r="37" spans="1:21" ht="13.5" x14ac:dyDescent="0.15">
      <c r="A37" s="64"/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4"/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21" ht="18" customHeight="1" x14ac:dyDescent="0.15">
      <c r="A47" s="64"/>
      <c r="B47" s="64"/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</row>
  </sheetData>
  <mergeCells count="20">
    <mergeCell ref="V3:W3"/>
    <mergeCell ref="A4:M4"/>
    <mergeCell ref="T3:U3"/>
    <mergeCell ref="R3:S3"/>
    <mergeCell ref="A1:M2"/>
    <mergeCell ref="A3:M3"/>
    <mergeCell ref="N3:O3"/>
    <mergeCell ref="P3:Q3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W47"/>
  <sheetViews>
    <sheetView view="pageBreakPreview" zoomScaleNormal="100" zoomScaleSheetLayoutView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8" t="s">
        <v>1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80"/>
    </row>
    <row r="2" spans="1:23" x14ac:dyDescent="0.15">
      <c r="A2" s="81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3"/>
    </row>
    <row r="3" spans="1:23" ht="12.75" customHeight="1" x14ac:dyDescent="0.15">
      <c r="A3" s="84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6"/>
      <c r="N3" s="77"/>
      <c r="O3" s="64"/>
      <c r="P3" s="77"/>
      <c r="Q3" s="64"/>
      <c r="R3" s="77"/>
      <c r="S3" s="64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67" t="s">
        <v>23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70" t="s">
        <v>19</v>
      </c>
      <c r="C7" s="70"/>
      <c r="D7" s="70"/>
      <c r="E7" s="70" t="s">
        <v>20</v>
      </c>
      <c r="F7" s="70"/>
      <c r="G7" s="70"/>
      <c r="H7" s="70" t="s">
        <v>21</v>
      </c>
      <c r="I7" s="70"/>
      <c r="J7" s="70"/>
      <c r="K7" s="70"/>
      <c r="L7" s="70"/>
      <c r="M7" s="7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15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16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13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16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13</v>
      </c>
      <c r="I12" s="13" t="str">
        <f t="shared" si="2"/>
        <v>c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16</v>
      </c>
      <c r="C13" s="13" t="str">
        <f t="shared" si="0"/>
        <v>b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14</v>
      </c>
      <c r="F14" s="13" t="str">
        <f t="shared" si="1"/>
        <v>c</v>
      </c>
      <c r="G14" s="32" t="s">
        <v>8</v>
      </c>
      <c r="H14" s="38">
        <v>13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14</v>
      </c>
      <c r="C15" s="13" t="str">
        <f t="shared" si="0"/>
        <v>c</v>
      </c>
      <c r="D15" s="32" t="s">
        <v>8</v>
      </c>
      <c r="E15" s="38">
        <v>14</v>
      </c>
      <c r="F15" s="13" t="str">
        <f t="shared" si="1"/>
        <v>c</v>
      </c>
      <c r="G15" s="32" t="s">
        <v>8</v>
      </c>
      <c r="H15" s="38">
        <v>17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17</v>
      </c>
      <c r="F18" s="13" t="str">
        <f t="shared" si="1"/>
        <v>b</v>
      </c>
      <c r="G18" s="32" t="s">
        <v>8</v>
      </c>
      <c r="H18" s="38">
        <v>16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14.7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14.9</v>
      </c>
      <c r="I34" s="28" t="str">
        <f>IF(18.9&lt;=H34,"a",IF(AND(18.9&gt;H34,H34&gt;=14.9),"b",IF(AND(14.9&gt;H34,H34&gt;=12),"c",IF(AND(12&gt;H34,H34&gt;=10.2),"d",IF(10.2&gt;H34,"e","?")))))</f>
        <v>b</v>
      </c>
      <c r="J34" s="33" t="s">
        <v>8</v>
      </c>
      <c r="K34" s="29"/>
      <c r="L34" s="28" t="s">
        <v>24</v>
      </c>
      <c r="M34" s="50">
        <f>(B34+E34+H34)/3</f>
        <v>14.766666666666666</v>
      </c>
      <c r="O34" s="48">
        <f>AVERAGE(B9:B18,E9:E18,H9:H18)</f>
        <v>14.766666666666667</v>
      </c>
      <c r="U34" s="5"/>
    </row>
    <row r="35" spans="1:21" ht="30.75" customHeight="1" thickBot="1" x14ac:dyDescent="0.2">
      <c r="A35" s="25"/>
      <c r="B35" s="65"/>
      <c r="C35" s="65"/>
      <c r="D35" s="87"/>
      <c r="E35" s="65"/>
      <c r="F35" s="65"/>
      <c r="G35" s="87"/>
      <c r="H35" s="65"/>
      <c r="I35" s="65"/>
      <c r="J35" s="87"/>
      <c r="K35" s="65"/>
      <c r="L35" s="65"/>
      <c r="M35" s="66"/>
      <c r="U35" s="5"/>
    </row>
    <row r="36" spans="1:21" x14ac:dyDescent="0.15">
      <c r="A36" s="2"/>
      <c r="U36" s="5"/>
    </row>
    <row r="37" spans="1:21" ht="13.5" x14ac:dyDescent="0.15">
      <c r="A37" s="64"/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4"/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21" ht="18" customHeight="1" x14ac:dyDescent="0.15">
      <c r="A47" s="64"/>
      <c r="B47" s="64"/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</row>
  </sheetData>
  <mergeCells count="20">
    <mergeCell ref="V3:W3"/>
    <mergeCell ref="A4:M4"/>
    <mergeCell ref="T3:U3"/>
    <mergeCell ref="R3:S3"/>
    <mergeCell ref="A1:M2"/>
    <mergeCell ref="A3:M3"/>
    <mergeCell ref="N3:O3"/>
    <mergeCell ref="P3:Q3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W47"/>
  <sheetViews>
    <sheetView view="pageBreakPreview" topLeftCell="A4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8" t="s">
        <v>1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80"/>
    </row>
    <row r="2" spans="1:23" x14ac:dyDescent="0.15">
      <c r="A2" s="81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3"/>
    </row>
    <row r="3" spans="1:23" ht="12.75" customHeight="1" x14ac:dyDescent="0.15">
      <c r="A3" s="84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6"/>
      <c r="N3" s="77"/>
      <c r="O3" s="64"/>
      <c r="P3" s="77"/>
      <c r="Q3" s="64"/>
      <c r="R3" s="77"/>
      <c r="S3" s="64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67" t="s">
        <v>23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70" t="s">
        <v>19</v>
      </c>
      <c r="C7" s="70"/>
      <c r="D7" s="70"/>
      <c r="E7" s="70" t="s">
        <v>20</v>
      </c>
      <c r="F7" s="70"/>
      <c r="G7" s="70"/>
      <c r="H7" s="70" t="s">
        <v>21</v>
      </c>
      <c r="I7" s="70"/>
      <c r="J7" s="70"/>
      <c r="K7" s="70"/>
      <c r="L7" s="70"/>
      <c r="M7" s="7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16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16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14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13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14</v>
      </c>
      <c r="C12" s="13" t="str">
        <f t="shared" si="0"/>
        <v>c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13</v>
      </c>
      <c r="C13" s="13" t="str">
        <f t="shared" si="0"/>
        <v>c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15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13</v>
      </c>
      <c r="C15" s="13" t="str">
        <f t="shared" si="0"/>
        <v>c</v>
      </c>
      <c r="D15" s="32" t="s">
        <v>8</v>
      </c>
      <c r="E15" s="38">
        <v>14</v>
      </c>
      <c r="F15" s="13" t="str">
        <f t="shared" si="1"/>
        <v>c</v>
      </c>
      <c r="G15" s="32" t="s">
        <v>8</v>
      </c>
      <c r="H15" s="38">
        <v>14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16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17</v>
      </c>
      <c r="C18" s="13" t="str">
        <f t="shared" si="0"/>
        <v>b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39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39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14.8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14.766666666666666</v>
      </c>
      <c r="O34" s="48">
        <f>AVERAGE(B9:B18,E9:E18,H9:H18)</f>
        <v>14.766666666666667</v>
      </c>
      <c r="T34" s="4">
        <v>15.3</v>
      </c>
      <c r="U34" s="5">
        <v>16.600000000000001</v>
      </c>
    </row>
    <row r="35" spans="1:21" ht="30.75" customHeight="1" thickBot="1" x14ac:dyDescent="0.2">
      <c r="A35" s="25"/>
      <c r="B35" s="65"/>
      <c r="C35" s="65"/>
      <c r="D35" s="87"/>
      <c r="E35" s="65"/>
      <c r="F35" s="65"/>
      <c r="G35" s="87"/>
      <c r="H35" s="65"/>
      <c r="I35" s="65"/>
      <c r="J35" s="87"/>
      <c r="K35" s="65"/>
      <c r="L35" s="65"/>
      <c r="M35" s="66"/>
      <c r="U35" s="5"/>
    </row>
    <row r="36" spans="1:21" x14ac:dyDescent="0.15">
      <c r="A36" s="2"/>
      <c r="U36" s="5"/>
    </row>
    <row r="37" spans="1:21" ht="13.5" x14ac:dyDescent="0.15">
      <c r="A37" s="64"/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4"/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21" ht="18" customHeight="1" x14ac:dyDescent="0.15">
      <c r="A47" s="64"/>
      <c r="B47" s="64"/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</row>
  </sheetData>
  <mergeCells count="20">
    <mergeCell ref="V3:W3"/>
    <mergeCell ref="A4:M4"/>
    <mergeCell ref="T3:U3"/>
    <mergeCell ref="R3:S3"/>
    <mergeCell ref="A1:M2"/>
    <mergeCell ref="A3:M3"/>
    <mergeCell ref="N3:O3"/>
    <mergeCell ref="P3:Q3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8" t="s">
        <v>1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80"/>
    </row>
    <row r="2" spans="1:23" x14ac:dyDescent="0.15">
      <c r="A2" s="81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3"/>
    </row>
    <row r="3" spans="1:23" ht="12.75" customHeight="1" x14ac:dyDescent="0.15">
      <c r="A3" s="84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6"/>
      <c r="N3" s="77"/>
      <c r="O3" s="64"/>
      <c r="P3" s="77"/>
      <c r="Q3" s="64"/>
      <c r="R3" s="77"/>
      <c r="S3" s="64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67" t="s">
        <v>23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70" t="s">
        <v>19</v>
      </c>
      <c r="C7" s="70"/>
      <c r="D7" s="70"/>
      <c r="E7" s="70" t="s">
        <v>20</v>
      </c>
      <c r="F7" s="70"/>
      <c r="G7" s="70"/>
      <c r="H7" s="70" t="s">
        <v>21</v>
      </c>
      <c r="I7" s="70"/>
      <c r="J7" s="70"/>
      <c r="K7" s="70"/>
      <c r="L7" s="70"/>
      <c r="M7" s="7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15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16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14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16</v>
      </c>
      <c r="C10" s="13" t="str">
        <f t="shared" si="0"/>
        <v>b</v>
      </c>
      <c r="D10" s="32" t="s">
        <v>8</v>
      </c>
      <c r="E10" s="38">
        <v>13</v>
      </c>
      <c r="F10" s="13" t="str">
        <f t="shared" si="1"/>
        <v>c</v>
      </c>
      <c r="G10" s="32" t="s">
        <v>8</v>
      </c>
      <c r="H10" s="38">
        <v>17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14</v>
      </c>
      <c r="C11" s="13" t="str">
        <f t="shared" si="0"/>
        <v>c</v>
      </c>
      <c r="D11" s="32" t="s">
        <v>8</v>
      </c>
      <c r="E11" s="38">
        <v>16</v>
      </c>
      <c r="F11" s="13" t="str">
        <f t="shared" si="1"/>
        <v>b</v>
      </c>
      <c r="G11" s="32" t="s">
        <v>8</v>
      </c>
      <c r="H11" s="38">
        <v>13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13</v>
      </c>
      <c r="C12" s="13" t="str">
        <f t="shared" si="0"/>
        <v>c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14</v>
      </c>
      <c r="C13" s="13" t="str">
        <f t="shared" si="0"/>
        <v>c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14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15</v>
      </c>
      <c r="C15" s="13" t="str">
        <f t="shared" si="0"/>
        <v>b</v>
      </c>
      <c r="D15" s="32" t="s">
        <v>8</v>
      </c>
      <c r="E15" s="38">
        <v>14</v>
      </c>
      <c r="F15" s="13" t="str">
        <f t="shared" si="1"/>
        <v>c</v>
      </c>
      <c r="G15" s="32" t="s">
        <v>8</v>
      </c>
      <c r="H15" s="38">
        <v>15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16</v>
      </c>
      <c r="C17" s="13" t="str">
        <f t="shared" si="0"/>
        <v>b</v>
      </c>
      <c r="D17" s="32" t="s">
        <v>8</v>
      </c>
      <c r="E17" s="38">
        <v>16</v>
      </c>
      <c r="F17" s="13" t="str">
        <f t="shared" si="1"/>
        <v>b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16</v>
      </c>
      <c r="C18" s="13" t="str">
        <f t="shared" si="0"/>
        <v>b</v>
      </c>
      <c r="D18" s="32" t="s">
        <v>8</v>
      </c>
      <c r="E18" s="38">
        <v>15</v>
      </c>
      <c r="F18" s="13" t="str">
        <f t="shared" si="1"/>
        <v>b</v>
      </c>
      <c r="G18" s="32" t="s">
        <v>8</v>
      </c>
      <c r="H18" s="38">
        <v>14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9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14.9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14.6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14.733333333333334</v>
      </c>
      <c r="O34" s="48">
        <f>AVERAGE(B9:B18,E9:E18,H9:H18)</f>
        <v>14.733333333333333</v>
      </c>
      <c r="U34" s="5"/>
    </row>
    <row r="35" spans="1:21" ht="30.75" customHeight="1" thickBot="1" x14ac:dyDescent="0.2">
      <c r="A35" s="25"/>
      <c r="B35" s="65"/>
      <c r="C35" s="65"/>
      <c r="D35" s="87"/>
      <c r="E35" s="65"/>
      <c r="F35" s="65"/>
      <c r="G35" s="87"/>
      <c r="H35" s="65"/>
      <c r="I35" s="65"/>
      <c r="J35" s="87"/>
      <c r="K35" s="65"/>
      <c r="L35" s="65"/>
      <c r="M35" s="66"/>
      <c r="U35" s="5"/>
    </row>
    <row r="36" spans="1:21" x14ac:dyDescent="0.15">
      <c r="A36" s="2"/>
      <c r="U36" s="5"/>
    </row>
    <row r="37" spans="1:21" ht="13.5" x14ac:dyDescent="0.15">
      <c r="A37" s="64"/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4"/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21" ht="18" customHeight="1" x14ac:dyDescent="0.15">
      <c r="A47" s="64"/>
      <c r="B47" s="64"/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</row>
  </sheetData>
  <mergeCells count="20">
    <mergeCell ref="V3:W3"/>
    <mergeCell ref="A4:M4"/>
    <mergeCell ref="T3:U3"/>
    <mergeCell ref="R3:S3"/>
    <mergeCell ref="A1:M2"/>
    <mergeCell ref="A3:M3"/>
    <mergeCell ref="N3:O3"/>
    <mergeCell ref="P3:Q3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8" t="s">
        <v>1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80"/>
    </row>
    <row r="2" spans="1:23" x14ac:dyDescent="0.15">
      <c r="A2" s="81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3"/>
    </row>
    <row r="3" spans="1:23" ht="12.75" customHeight="1" x14ac:dyDescent="0.15">
      <c r="A3" s="84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6"/>
      <c r="N3" s="77"/>
      <c r="O3" s="64"/>
      <c r="P3" s="77"/>
      <c r="Q3" s="64"/>
      <c r="R3" s="77"/>
      <c r="S3" s="64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67" t="s">
        <v>23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70" t="s">
        <v>19</v>
      </c>
      <c r="C7" s="70"/>
      <c r="D7" s="70"/>
      <c r="E7" s="70" t="s">
        <v>20</v>
      </c>
      <c r="F7" s="70"/>
      <c r="G7" s="70"/>
      <c r="H7" s="70" t="s">
        <v>21</v>
      </c>
      <c r="I7" s="70"/>
      <c r="J7" s="70"/>
      <c r="K7" s="70"/>
      <c r="L7" s="70"/>
      <c r="M7" s="7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15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13</v>
      </c>
      <c r="C10" s="13" t="str">
        <f t="shared" si="0"/>
        <v>c</v>
      </c>
      <c r="D10" s="32" t="s">
        <v>8</v>
      </c>
      <c r="E10" s="38">
        <v>14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17</v>
      </c>
      <c r="F11" s="13" t="str">
        <f t="shared" si="1"/>
        <v>b</v>
      </c>
      <c r="G11" s="32" t="s">
        <v>8</v>
      </c>
      <c r="H11" s="38">
        <v>17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14</v>
      </c>
      <c r="C12" s="13" t="str">
        <f t="shared" si="0"/>
        <v>c</v>
      </c>
      <c r="D12" s="32" t="s">
        <v>8</v>
      </c>
      <c r="E12" s="38">
        <v>16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14</v>
      </c>
      <c r="C13" s="13" t="str">
        <f t="shared" si="0"/>
        <v>c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16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15</v>
      </c>
      <c r="C15" s="13" t="str">
        <f t="shared" si="0"/>
        <v>b</v>
      </c>
      <c r="D15" s="32" t="s">
        <v>8</v>
      </c>
      <c r="E15" s="38">
        <v>14</v>
      </c>
      <c r="F15" s="13" t="str">
        <f t="shared" si="1"/>
        <v>c</v>
      </c>
      <c r="G15" s="32" t="s">
        <v>8</v>
      </c>
      <c r="H15" s="38">
        <v>15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12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17</v>
      </c>
      <c r="C17" s="13" t="str">
        <f t="shared" si="0"/>
        <v>b</v>
      </c>
      <c r="D17" s="32" t="s">
        <v>8</v>
      </c>
      <c r="E17" s="38">
        <v>14</v>
      </c>
      <c r="F17" s="13" t="str">
        <f t="shared" si="1"/>
        <v>c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16</v>
      </c>
      <c r="C18" s="13" t="str">
        <f t="shared" si="0"/>
        <v>b</v>
      </c>
      <c r="D18" s="32" t="s">
        <v>8</v>
      </c>
      <c r="E18" s="38">
        <v>15</v>
      </c>
      <c r="F18" s="13" t="str">
        <f t="shared" si="1"/>
        <v>b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14.7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14.9</v>
      </c>
      <c r="F34" s="28" t="str">
        <f>IF(18.9&lt;=E34,"a",IF(AND(18.9&gt;E34,E34&gt;=14.9),"b",IF(AND(14.9&gt;E34,E34&gt;=12),"c",IF(AND(12&gt;E34,E34&gt;=10.2),"d",IF(10.2&gt;E34,"e","?")))))</f>
        <v>b</v>
      </c>
      <c r="G34" s="33" t="s">
        <v>8</v>
      </c>
      <c r="H34" s="29">
        <f>AVERAGE(H9:H18)</f>
        <v>14.8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14.800000000000002</v>
      </c>
      <c r="O34" s="48">
        <f>AVERAGE(B9:B18,E9:E18,H9:H18)</f>
        <v>14.8</v>
      </c>
      <c r="U34" s="5"/>
    </row>
    <row r="35" spans="1:21" ht="30.75" customHeight="1" thickBot="1" x14ac:dyDescent="0.2">
      <c r="A35" s="25"/>
      <c r="B35" s="65"/>
      <c r="C35" s="65"/>
      <c r="D35" s="87"/>
      <c r="E35" s="65"/>
      <c r="F35" s="65"/>
      <c r="G35" s="87"/>
      <c r="H35" s="65"/>
      <c r="I35" s="65"/>
      <c r="J35" s="87"/>
      <c r="K35" s="65"/>
      <c r="L35" s="65"/>
      <c r="M35" s="66"/>
      <c r="U35" s="5"/>
    </row>
    <row r="36" spans="1:21" x14ac:dyDescent="0.15">
      <c r="A36" s="2"/>
      <c r="U36" s="5"/>
    </row>
    <row r="37" spans="1:21" ht="13.5" x14ac:dyDescent="0.15">
      <c r="A37" s="64"/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4"/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21" ht="18" customHeight="1" x14ac:dyDescent="0.15">
      <c r="A47" s="64"/>
      <c r="B47" s="64"/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</row>
  </sheetData>
  <mergeCells count="20">
    <mergeCell ref="V3:W3"/>
    <mergeCell ref="A4:M4"/>
    <mergeCell ref="T3:U3"/>
    <mergeCell ref="R3:S3"/>
    <mergeCell ref="A1:M2"/>
    <mergeCell ref="A3:M3"/>
    <mergeCell ref="N3:O3"/>
    <mergeCell ref="P3:Q3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8" t="s">
        <v>1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80"/>
    </row>
    <row r="2" spans="1:23" x14ac:dyDescent="0.15">
      <c r="A2" s="81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3"/>
    </row>
    <row r="3" spans="1:23" ht="12.75" customHeight="1" x14ac:dyDescent="0.15">
      <c r="A3" s="84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6"/>
      <c r="N3" s="77"/>
      <c r="O3" s="64"/>
      <c r="P3" s="77"/>
      <c r="Q3" s="64"/>
      <c r="R3" s="77"/>
      <c r="S3" s="64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67" t="s">
        <v>23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70" t="s">
        <v>19</v>
      </c>
      <c r="C7" s="70"/>
      <c r="D7" s="70"/>
      <c r="E7" s="70" t="s">
        <v>20</v>
      </c>
      <c r="F7" s="70"/>
      <c r="G7" s="70"/>
      <c r="H7" s="70" t="s">
        <v>21</v>
      </c>
      <c r="I7" s="70"/>
      <c r="J7" s="70"/>
      <c r="K7" s="70"/>
      <c r="L7" s="70"/>
      <c r="M7" s="7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13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14</v>
      </c>
      <c r="F11" s="13" t="str">
        <f t="shared" si="1"/>
        <v>c</v>
      </c>
      <c r="G11" s="32" t="s">
        <v>8</v>
      </c>
      <c r="H11" s="38">
        <v>13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14</v>
      </c>
      <c r="C12" s="13" t="str">
        <f t="shared" si="0"/>
        <v>c</v>
      </c>
      <c r="D12" s="32" t="s">
        <v>8</v>
      </c>
      <c r="E12" s="38">
        <v>16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14</v>
      </c>
      <c r="C13" s="13" t="str">
        <f t="shared" si="0"/>
        <v>c</v>
      </c>
      <c r="D13" s="32" t="s">
        <v>8</v>
      </c>
      <c r="E13" s="38">
        <v>13</v>
      </c>
      <c r="F13" s="13" t="str">
        <f t="shared" si="1"/>
        <v>c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16</v>
      </c>
      <c r="F14" s="13" t="str">
        <f t="shared" si="1"/>
        <v>b</v>
      </c>
      <c r="G14" s="32" t="s">
        <v>8</v>
      </c>
      <c r="H14" s="38">
        <v>14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15</v>
      </c>
      <c r="C15" s="13" t="str">
        <f t="shared" si="0"/>
        <v>b</v>
      </c>
      <c r="D15" s="32" t="s">
        <v>8</v>
      </c>
      <c r="E15" s="38">
        <v>15</v>
      </c>
      <c r="F15" s="13" t="str">
        <f t="shared" si="1"/>
        <v>b</v>
      </c>
      <c r="G15" s="32" t="s">
        <v>8</v>
      </c>
      <c r="H15" s="38">
        <v>17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14</v>
      </c>
      <c r="C16" s="13" t="str">
        <f t="shared" si="0"/>
        <v>c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15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16</v>
      </c>
      <c r="C17" s="13" t="str">
        <f t="shared" si="0"/>
        <v>b</v>
      </c>
      <c r="D17" s="32" t="s">
        <v>8</v>
      </c>
      <c r="E17" s="38">
        <v>14</v>
      </c>
      <c r="F17" s="13" t="str">
        <f t="shared" si="1"/>
        <v>c</v>
      </c>
      <c r="G17" s="32" t="s">
        <v>8</v>
      </c>
      <c r="H17" s="38">
        <v>13</v>
      </c>
      <c r="I17" s="13" t="str">
        <f t="shared" si="2"/>
        <v>c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17</v>
      </c>
      <c r="C18" s="13" t="str">
        <f t="shared" si="0"/>
        <v>b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14.6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14.666666666666666</v>
      </c>
      <c r="O34" s="48">
        <f>AVERAGE(B9:B18,E9:E18,H9:H18)</f>
        <v>14.666666666666666</v>
      </c>
      <c r="U34" s="5"/>
    </row>
    <row r="35" spans="1:21" ht="30.75" customHeight="1" thickBot="1" x14ac:dyDescent="0.2">
      <c r="A35" s="25"/>
      <c r="B35" s="65"/>
      <c r="C35" s="65"/>
      <c r="D35" s="87"/>
      <c r="E35" s="65"/>
      <c r="F35" s="65"/>
      <c r="G35" s="87"/>
      <c r="H35" s="65"/>
      <c r="I35" s="65"/>
      <c r="J35" s="87"/>
      <c r="K35" s="65"/>
      <c r="L35" s="65"/>
      <c r="M35" s="66"/>
      <c r="U35" s="5"/>
    </row>
    <row r="36" spans="1:21" x14ac:dyDescent="0.15">
      <c r="A36" s="2"/>
      <c r="U36" s="5"/>
    </row>
    <row r="37" spans="1:21" ht="13.5" x14ac:dyDescent="0.15">
      <c r="A37" s="64"/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4"/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21" ht="18" customHeight="1" x14ac:dyDescent="0.15">
      <c r="A47" s="64"/>
      <c r="B47" s="64"/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</row>
  </sheetData>
  <mergeCells count="20">
    <mergeCell ref="V3:W3"/>
    <mergeCell ref="A4:M4"/>
    <mergeCell ref="T3:U3"/>
    <mergeCell ref="R3:S3"/>
    <mergeCell ref="A1:M2"/>
    <mergeCell ref="A3:M3"/>
    <mergeCell ref="N3:O3"/>
    <mergeCell ref="P3:Q3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8" t="s">
        <v>1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80"/>
    </row>
    <row r="2" spans="1:23" x14ac:dyDescent="0.15">
      <c r="A2" s="81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3"/>
    </row>
    <row r="3" spans="1:23" ht="12.75" customHeight="1" x14ac:dyDescent="0.15">
      <c r="A3" s="84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6"/>
      <c r="N3" s="77"/>
      <c r="O3" s="64"/>
      <c r="P3" s="77"/>
      <c r="Q3" s="64"/>
      <c r="R3" s="77"/>
      <c r="S3" s="64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67" t="s">
        <v>23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70" t="s">
        <v>19</v>
      </c>
      <c r="C7" s="70"/>
      <c r="D7" s="70"/>
      <c r="E7" s="70" t="s">
        <v>20</v>
      </c>
      <c r="F7" s="70"/>
      <c r="G7" s="70"/>
      <c r="H7" s="70" t="s">
        <v>21</v>
      </c>
      <c r="I7" s="70"/>
      <c r="J7" s="70"/>
      <c r="K7" s="70"/>
      <c r="L7" s="70"/>
      <c r="M7" s="7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13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16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18</v>
      </c>
      <c r="C11" s="13" t="str">
        <f t="shared" si="0"/>
        <v>b</v>
      </c>
      <c r="D11" s="32" t="s">
        <v>8</v>
      </c>
      <c r="E11" s="38">
        <v>13</v>
      </c>
      <c r="F11" s="13" t="str">
        <f t="shared" si="1"/>
        <v>c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13</v>
      </c>
      <c r="C12" s="13" t="str">
        <f t="shared" si="0"/>
        <v>c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17</v>
      </c>
      <c r="C13" s="13" t="str">
        <f t="shared" si="0"/>
        <v>b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17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16</v>
      </c>
      <c r="F14" s="13" t="str">
        <f t="shared" si="1"/>
        <v>b</v>
      </c>
      <c r="G14" s="32" t="s">
        <v>8</v>
      </c>
      <c r="H14" s="38">
        <v>14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17</v>
      </c>
      <c r="C15" s="13" t="str">
        <f t="shared" si="0"/>
        <v>b</v>
      </c>
      <c r="D15" s="32" t="s">
        <v>8</v>
      </c>
      <c r="E15" s="38">
        <v>15</v>
      </c>
      <c r="F15" s="13" t="str">
        <f t="shared" si="1"/>
        <v>b</v>
      </c>
      <c r="G15" s="32" t="s">
        <v>8</v>
      </c>
      <c r="H15" s="38">
        <v>13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14</v>
      </c>
      <c r="C16" s="13" t="str">
        <f t="shared" si="0"/>
        <v>c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18</v>
      </c>
      <c r="C18" s="13" t="str">
        <f t="shared" si="0"/>
        <v>b</v>
      </c>
      <c r="D18" s="32" t="s">
        <v>8</v>
      </c>
      <c r="E18" s="38">
        <v>14</v>
      </c>
      <c r="F18" s="13" t="str">
        <f t="shared" si="1"/>
        <v>c</v>
      </c>
      <c r="G18" s="32" t="s">
        <v>8</v>
      </c>
      <c r="H18" s="38">
        <v>17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15.4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14.933333333333332</v>
      </c>
      <c r="O34" s="48">
        <f>AVERAGE(B9:B18,E9:E18,H9:H18)</f>
        <v>14.933333333333334</v>
      </c>
      <c r="U34" s="5"/>
    </row>
    <row r="35" spans="1:21" ht="30.75" customHeight="1" thickBot="1" x14ac:dyDescent="0.2">
      <c r="A35" s="25"/>
      <c r="B35" s="65"/>
      <c r="C35" s="65"/>
      <c r="D35" s="87"/>
      <c r="E35" s="65"/>
      <c r="F35" s="65"/>
      <c r="G35" s="87"/>
      <c r="H35" s="65"/>
      <c r="I35" s="65"/>
      <c r="J35" s="87"/>
      <c r="K35" s="65"/>
      <c r="L35" s="65"/>
      <c r="M35" s="66"/>
      <c r="U35" s="5"/>
    </row>
    <row r="36" spans="1:21" x14ac:dyDescent="0.15">
      <c r="A36" s="2"/>
      <c r="U36" s="5"/>
    </row>
    <row r="37" spans="1:21" ht="13.5" x14ac:dyDescent="0.15">
      <c r="A37" s="64"/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4"/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21" ht="18" customHeight="1" x14ac:dyDescent="0.15">
      <c r="A47" s="64"/>
      <c r="B47" s="64"/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</row>
  </sheetData>
  <mergeCells count="20">
    <mergeCell ref="V3:W3"/>
    <mergeCell ref="A4:M4"/>
    <mergeCell ref="T3:U3"/>
    <mergeCell ref="R3:S3"/>
    <mergeCell ref="A1:M2"/>
    <mergeCell ref="A3:M3"/>
    <mergeCell ref="N3:O3"/>
    <mergeCell ref="P3:Q3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8" t="s">
        <v>1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80"/>
    </row>
    <row r="2" spans="1:23" x14ac:dyDescent="0.15">
      <c r="A2" s="81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3"/>
    </row>
    <row r="3" spans="1:23" ht="12.75" customHeight="1" x14ac:dyDescent="0.15">
      <c r="A3" s="84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6"/>
      <c r="N3" s="77"/>
      <c r="O3" s="64"/>
      <c r="P3" s="77"/>
      <c r="Q3" s="64"/>
      <c r="R3" s="77"/>
      <c r="S3" s="64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67" t="s">
        <v>23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70" t="s">
        <v>19</v>
      </c>
      <c r="C7" s="70"/>
      <c r="D7" s="70"/>
      <c r="E7" s="70" t="s">
        <v>20</v>
      </c>
      <c r="F7" s="70"/>
      <c r="G7" s="70"/>
      <c r="H7" s="70" t="s">
        <v>21</v>
      </c>
      <c r="I7" s="70"/>
      <c r="J7" s="70"/>
      <c r="K7" s="70"/>
      <c r="L7" s="70"/>
      <c r="M7" s="7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14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17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13</v>
      </c>
      <c r="F10" s="13" t="str">
        <f t="shared" si="1"/>
        <v>c</v>
      </c>
      <c r="G10" s="32" t="s">
        <v>8</v>
      </c>
      <c r="H10" s="38">
        <v>13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17</v>
      </c>
      <c r="C11" s="13" t="str">
        <f t="shared" si="0"/>
        <v>b</v>
      </c>
      <c r="D11" s="32" t="s">
        <v>8</v>
      </c>
      <c r="E11" s="38">
        <v>13</v>
      </c>
      <c r="F11" s="13" t="str">
        <f t="shared" si="1"/>
        <v>c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13</v>
      </c>
      <c r="C12" s="13" t="str">
        <f t="shared" si="0"/>
        <v>c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13</v>
      </c>
      <c r="C13" s="13" t="str">
        <f t="shared" si="0"/>
        <v>c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13</v>
      </c>
      <c r="I13" s="13" t="str">
        <f t="shared" si="2"/>
        <v>c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17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17</v>
      </c>
      <c r="C15" s="13" t="str">
        <f t="shared" si="0"/>
        <v>b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17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13</v>
      </c>
      <c r="C16" s="13" t="str">
        <f t="shared" si="0"/>
        <v>c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18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16</v>
      </c>
      <c r="C18" s="13" t="str">
        <f t="shared" si="0"/>
        <v>b</v>
      </c>
      <c r="D18" s="32" t="s">
        <v>8</v>
      </c>
      <c r="E18" s="38">
        <v>14</v>
      </c>
      <c r="F18" s="13" t="str">
        <f t="shared" si="1"/>
        <v>c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14.6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14.8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14.699999999999998</v>
      </c>
      <c r="O34" s="48">
        <f>AVERAGE(B9:B18,E9:E18,H9:H18)</f>
        <v>14.7</v>
      </c>
      <c r="U34" s="5"/>
    </row>
    <row r="35" spans="1:21" ht="30.75" customHeight="1" thickBot="1" x14ac:dyDescent="0.2">
      <c r="A35" s="25"/>
      <c r="B35" s="65"/>
      <c r="C35" s="65"/>
      <c r="D35" s="87"/>
      <c r="E35" s="65"/>
      <c r="F35" s="65"/>
      <c r="G35" s="87"/>
      <c r="H35" s="65"/>
      <c r="I35" s="65"/>
      <c r="J35" s="87"/>
      <c r="K35" s="65"/>
      <c r="L35" s="65"/>
      <c r="M35" s="66"/>
      <c r="U35" s="5"/>
    </row>
    <row r="36" spans="1:21" x14ac:dyDescent="0.15">
      <c r="A36" s="2"/>
      <c r="U36" s="5"/>
    </row>
    <row r="37" spans="1:21" ht="13.5" x14ac:dyDescent="0.15">
      <c r="A37" s="64"/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4"/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21" ht="18" customHeight="1" x14ac:dyDescent="0.15">
      <c r="A47" s="64"/>
      <c r="B47" s="64"/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</row>
  </sheetData>
  <mergeCells count="20">
    <mergeCell ref="V3:W3"/>
    <mergeCell ref="A4:M4"/>
    <mergeCell ref="T3:U3"/>
    <mergeCell ref="R3:S3"/>
    <mergeCell ref="A1:M2"/>
    <mergeCell ref="A3:M3"/>
    <mergeCell ref="N3:O3"/>
    <mergeCell ref="P3:Q3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8" t="s">
        <v>1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80"/>
    </row>
    <row r="2" spans="1:23" x14ac:dyDescent="0.15">
      <c r="A2" s="81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3"/>
    </row>
    <row r="3" spans="1:23" ht="12.75" customHeight="1" x14ac:dyDescent="0.15">
      <c r="A3" s="84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6"/>
      <c r="N3" s="77"/>
      <c r="O3" s="64"/>
      <c r="P3" s="77"/>
      <c r="Q3" s="64"/>
      <c r="R3" s="77"/>
      <c r="S3" s="64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67" t="s">
        <v>23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70" t="s">
        <v>19</v>
      </c>
      <c r="C7" s="70"/>
      <c r="D7" s="70"/>
      <c r="E7" s="70" t="s">
        <v>20</v>
      </c>
      <c r="F7" s="70"/>
      <c r="G7" s="70"/>
      <c r="H7" s="70" t="s">
        <v>21</v>
      </c>
      <c r="I7" s="70"/>
      <c r="J7" s="70"/>
      <c r="K7" s="70"/>
      <c r="L7" s="70"/>
      <c r="M7" s="7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17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16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13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13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15</v>
      </c>
      <c r="C12" s="13" t="str">
        <f t="shared" si="0"/>
        <v>b</v>
      </c>
      <c r="D12" s="32" t="s">
        <v>8</v>
      </c>
      <c r="E12" s="38">
        <v>16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14</v>
      </c>
      <c r="C13" s="13" t="str">
        <f t="shared" si="0"/>
        <v>c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15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16</v>
      </c>
      <c r="C15" s="13" t="str">
        <f t="shared" si="0"/>
        <v>b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15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13</v>
      </c>
      <c r="C16" s="13" t="str">
        <f t="shared" si="0"/>
        <v>c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14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13</v>
      </c>
      <c r="F17" s="13" t="str">
        <f t="shared" si="1"/>
        <v>c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16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14.6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14.9</v>
      </c>
      <c r="F34" s="28" t="str">
        <f>IF(18.9&lt;=E34,"a",IF(AND(18.9&gt;E34,E34&gt;=14.9),"b",IF(AND(14.9&gt;E34,E34&gt;=12),"c",IF(AND(12&gt;E34,E34&gt;=10.2),"d",IF(10.2&gt;E34,"e","?")))))</f>
        <v>b</v>
      </c>
      <c r="G34" s="33" t="s">
        <v>8</v>
      </c>
      <c r="H34" s="29">
        <f>AVERAGE(H9:H18)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14.733333333333334</v>
      </c>
      <c r="O34" s="48">
        <f>AVERAGE(B9:B18,E9:E18,H9:H18)</f>
        <v>14.733333333333333</v>
      </c>
      <c r="U34" s="5"/>
    </row>
    <row r="35" spans="1:21" ht="30.75" customHeight="1" thickBot="1" x14ac:dyDescent="0.2">
      <c r="A35" s="25"/>
      <c r="B35" s="65"/>
      <c r="C35" s="65"/>
      <c r="D35" s="87"/>
      <c r="E35" s="65"/>
      <c r="F35" s="65"/>
      <c r="G35" s="87"/>
      <c r="H35" s="65"/>
      <c r="I35" s="65"/>
      <c r="J35" s="87"/>
      <c r="K35" s="65"/>
      <c r="L35" s="65"/>
      <c r="M35" s="66"/>
      <c r="U35" s="5"/>
    </row>
    <row r="36" spans="1:21" x14ac:dyDescent="0.15">
      <c r="A36" s="2"/>
      <c r="U36" s="5"/>
    </row>
    <row r="37" spans="1:21" ht="13.5" x14ac:dyDescent="0.15">
      <c r="A37" s="64"/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4"/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21" ht="18" customHeight="1" x14ac:dyDescent="0.15">
      <c r="A47" s="64"/>
      <c r="B47" s="64"/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</row>
  </sheetData>
  <mergeCells count="20">
    <mergeCell ref="V3:W3"/>
    <mergeCell ref="A4:M4"/>
    <mergeCell ref="T3:U3"/>
    <mergeCell ref="R3:S3"/>
    <mergeCell ref="A1:M2"/>
    <mergeCell ref="A3:M3"/>
    <mergeCell ref="N3:O3"/>
    <mergeCell ref="P3:Q3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8" t="s">
        <v>1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80"/>
    </row>
    <row r="2" spans="1:23" x14ac:dyDescent="0.15">
      <c r="A2" s="81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3"/>
    </row>
    <row r="3" spans="1:23" ht="12.75" customHeight="1" x14ac:dyDescent="0.15">
      <c r="A3" s="84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6"/>
      <c r="N3" s="77"/>
      <c r="O3" s="64"/>
      <c r="P3" s="77"/>
      <c r="Q3" s="64"/>
      <c r="R3" s="77"/>
      <c r="S3" s="64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67" t="s">
        <v>23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70" t="s">
        <v>19</v>
      </c>
      <c r="C7" s="70"/>
      <c r="D7" s="70"/>
      <c r="E7" s="70" t="s">
        <v>20</v>
      </c>
      <c r="F7" s="70"/>
      <c r="G7" s="70"/>
      <c r="H7" s="70" t="s">
        <v>21</v>
      </c>
      <c r="I7" s="70"/>
      <c r="J7" s="70"/>
      <c r="K7" s="70"/>
      <c r="L7" s="70"/>
      <c r="M7" s="7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15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16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14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14</v>
      </c>
      <c r="C11" s="13" t="str">
        <f t="shared" si="0"/>
        <v>c</v>
      </c>
      <c r="D11" s="32" t="s">
        <v>8</v>
      </c>
      <c r="E11" s="38">
        <v>14</v>
      </c>
      <c r="F11" s="13" t="str">
        <f t="shared" si="1"/>
        <v>c</v>
      </c>
      <c r="G11" s="32" t="s">
        <v>8</v>
      </c>
      <c r="H11" s="38">
        <v>14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14</v>
      </c>
      <c r="C12" s="13" t="str">
        <f t="shared" si="0"/>
        <v>c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15</v>
      </c>
      <c r="C13" s="13" t="str">
        <f t="shared" si="0"/>
        <v>b</v>
      </c>
      <c r="D13" s="32" t="s">
        <v>8</v>
      </c>
      <c r="E13" s="38">
        <v>13</v>
      </c>
      <c r="F13" s="13" t="str">
        <f t="shared" si="1"/>
        <v>c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16</v>
      </c>
      <c r="C14" s="13" t="str">
        <f t="shared" si="0"/>
        <v>b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14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16</v>
      </c>
      <c r="C15" s="13" t="str">
        <f t="shared" si="0"/>
        <v>b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15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17</v>
      </c>
      <c r="F16" s="13" t="str">
        <f t="shared" si="1"/>
        <v>b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13</v>
      </c>
      <c r="C18" s="13" t="str">
        <f t="shared" si="0"/>
        <v>c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15</v>
      </c>
      <c r="F34" s="28" t="str">
        <f>IF(18.9&lt;=E34,"a",IF(AND(18.9&gt;E34,E34&gt;=14.9),"b",IF(AND(14.9&gt;E34,E34&gt;=12),"c",IF(AND(12&gt;E34,E34&gt;=10.2),"d",IF(10.2&gt;E34,"e","?")))))</f>
        <v>b</v>
      </c>
      <c r="G34" s="33" t="s">
        <v>8</v>
      </c>
      <c r="H34" s="29">
        <f>AVERAGE(H9:H18)</f>
        <v>15</v>
      </c>
      <c r="I34" s="28" t="str">
        <f>IF(18.9&lt;=H34,"a",IF(AND(18.9&gt;H34,H34&gt;=14.9),"b",IF(AND(14.9&gt;H34,H34&gt;=12),"c",IF(AND(12&gt;H34,H34&gt;=10.2),"d",IF(10.2&gt;H34,"e","?")))))</f>
        <v>b</v>
      </c>
      <c r="J34" s="33" t="s">
        <v>8</v>
      </c>
      <c r="K34" s="29"/>
      <c r="L34" s="28" t="s">
        <v>24</v>
      </c>
      <c r="M34" s="50">
        <f>(B34+E34+H34)/3</f>
        <v>14.933333333333332</v>
      </c>
      <c r="O34" s="48">
        <f>AVERAGE(B9:B18,E9:E18,H9:H18)</f>
        <v>14.933333333333334</v>
      </c>
      <c r="U34" s="5"/>
    </row>
    <row r="35" spans="1:21" ht="30.75" customHeight="1" thickBot="1" x14ac:dyDescent="0.2">
      <c r="A35" s="25"/>
      <c r="B35" s="65"/>
      <c r="C35" s="65"/>
      <c r="D35" s="87"/>
      <c r="E35" s="65"/>
      <c r="F35" s="65"/>
      <c r="G35" s="87"/>
      <c r="H35" s="65"/>
      <c r="I35" s="65"/>
      <c r="J35" s="87"/>
      <c r="K35" s="65"/>
      <c r="L35" s="65"/>
      <c r="M35" s="66"/>
      <c r="U35" s="5"/>
    </row>
    <row r="36" spans="1:21" x14ac:dyDescent="0.15">
      <c r="A36" s="2"/>
      <c r="U36" s="5"/>
    </row>
    <row r="37" spans="1:21" ht="13.5" x14ac:dyDescent="0.15">
      <c r="A37" s="64"/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4"/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21" ht="18" customHeight="1" x14ac:dyDescent="0.15">
      <c r="A47" s="64"/>
      <c r="B47" s="64"/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</row>
  </sheetData>
  <mergeCells count="20">
    <mergeCell ref="V3:W3"/>
    <mergeCell ref="A4:M4"/>
    <mergeCell ref="T3:U3"/>
    <mergeCell ref="R3:S3"/>
    <mergeCell ref="A1:M2"/>
    <mergeCell ref="A3:M3"/>
    <mergeCell ref="N3:O3"/>
    <mergeCell ref="P3:Q3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8" t="s">
        <v>1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80"/>
    </row>
    <row r="2" spans="1:23" x14ac:dyDescent="0.15">
      <c r="A2" s="81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3"/>
    </row>
    <row r="3" spans="1:23" ht="12.75" customHeight="1" x14ac:dyDescent="0.15">
      <c r="A3" s="84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6"/>
      <c r="N3" s="77"/>
      <c r="O3" s="64"/>
      <c r="P3" s="77"/>
      <c r="Q3" s="64"/>
      <c r="R3" s="77"/>
      <c r="S3" s="64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67" t="s">
        <v>23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70" t="s">
        <v>19</v>
      </c>
      <c r="C7" s="70"/>
      <c r="D7" s="70"/>
      <c r="E7" s="70" t="s">
        <v>20</v>
      </c>
      <c r="F7" s="70"/>
      <c r="G7" s="70"/>
      <c r="H7" s="70" t="s">
        <v>21</v>
      </c>
      <c r="I7" s="70"/>
      <c r="J7" s="70"/>
      <c r="K7" s="70"/>
      <c r="L7" s="70"/>
      <c r="M7" s="7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15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16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14</v>
      </c>
      <c r="C10" s="13" t="str">
        <f t="shared" si="0"/>
        <v>c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14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16</v>
      </c>
      <c r="F12" s="13" t="str">
        <f t="shared" si="1"/>
        <v>b</v>
      </c>
      <c r="G12" s="32" t="s">
        <v>8</v>
      </c>
      <c r="H12" s="38">
        <v>13</v>
      </c>
      <c r="I12" s="13" t="str">
        <f t="shared" si="2"/>
        <v>c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13</v>
      </c>
      <c r="C13" s="13" t="str">
        <f t="shared" si="0"/>
        <v>c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14</v>
      </c>
      <c r="I13" s="13" t="str">
        <f t="shared" si="2"/>
        <v>c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16</v>
      </c>
      <c r="C14" s="13" t="str">
        <f t="shared" si="0"/>
        <v>b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17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17</v>
      </c>
      <c r="C15" s="13" t="str">
        <f t="shared" si="0"/>
        <v>b</v>
      </c>
      <c r="D15" s="32" t="s">
        <v>8</v>
      </c>
      <c r="E15" s="38">
        <v>15</v>
      </c>
      <c r="F15" s="13" t="str">
        <f t="shared" si="1"/>
        <v>b</v>
      </c>
      <c r="G15" s="32" t="s">
        <v>8</v>
      </c>
      <c r="H15" s="38">
        <v>13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13</v>
      </c>
      <c r="C16" s="13" t="str">
        <f t="shared" si="0"/>
        <v>c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16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17</v>
      </c>
      <c r="F17" s="13" t="str">
        <f t="shared" si="1"/>
        <v>b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14.7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14.8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14.733333333333334</v>
      </c>
      <c r="O34" s="48">
        <f>AVERAGE(B9:B18,E9:E18,H9:H18)</f>
        <v>14.733333333333333</v>
      </c>
      <c r="U34" s="5"/>
    </row>
    <row r="35" spans="1:21" ht="30.75" customHeight="1" thickBot="1" x14ac:dyDescent="0.2">
      <c r="A35" s="25"/>
      <c r="B35" s="65"/>
      <c r="C35" s="65"/>
      <c r="D35" s="87"/>
      <c r="E35" s="65"/>
      <c r="F35" s="65"/>
      <c r="G35" s="87"/>
      <c r="H35" s="65"/>
      <c r="I35" s="65"/>
      <c r="J35" s="87"/>
      <c r="K35" s="65"/>
      <c r="L35" s="65"/>
      <c r="M35" s="66"/>
      <c r="U35" s="5"/>
    </row>
    <row r="36" spans="1:21" x14ac:dyDescent="0.15">
      <c r="A36" s="2"/>
      <c r="U36" s="5"/>
    </row>
    <row r="37" spans="1:21" ht="13.5" x14ac:dyDescent="0.15">
      <c r="A37" s="64"/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4"/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21" ht="18" customHeight="1" x14ac:dyDescent="0.15">
      <c r="A47" s="64"/>
      <c r="B47" s="64"/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T3:U3"/>
    <mergeCell ref="V3:W3"/>
    <mergeCell ref="A4:M4"/>
    <mergeCell ref="A5:M5"/>
    <mergeCell ref="B7:D7"/>
    <mergeCell ref="E7:G7"/>
    <mergeCell ref="H7:J7"/>
    <mergeCell ref="K7:M7"/>
    <mergeCell ref="A1:M2"/>
    <mergeCell ref="A3:M3"/>
    <mergeCell ref="N3:O3"/>
    <mergeCell ref="P3:Q3"/>
    <mergeCell ref="R3:S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8" t="s">
        <v>1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80"/>
    </row>
    <row r="2" spans="1:23" x14ac:dyDescent="0.15">
      <c r="A2" s="81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3"/>
    </row>
    <row r="3" spans="1:23" ht="12.75" customHeight="1" x14ac:dyDescent="0.15">
      <c r="A3" s="84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6"/>
      <c r="N3" s="77"/>
      <c r="O3" s="64"/>
      <c r="P3" s="77"/>
      <c r="Q3" s="64"/>
      <c r="R3" s="77"/>
      <c r="S3" s="64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67" t="s">
        <v>23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70" t="s">
        <v>19</v>
      </c>
      <c r="C7" s="70"/>
      <c r="D7" s="70"/>
      <c r="E7" s="70" t="s">
        <v>20</v>
      </c>
      <c r="F7" s="70"/>
      <c r="G7" s="70"/>
      <c r="H7" s="70" t="s">
        <v>21</v>
      </c>
      <c r="I7" s="70"/>
      <c r="J7" s="70"/>
      <c r="K7" s="70"/>
      <c r="L7" s="70"/>
      <c r="M7" s="7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15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16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14</v>
      </c>
      <c r="C10" s="13" t="str">
        <f t="shared" si="0"/>
        <v>c</v>
      </c>
      <c r="D10" s="32" t="s">
        <v>8</v>
      </c>
      <c r="E10" s="38">
        <v>13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16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17</v>
      </c>
      <c r="F12" s="13" t="str">
        <f t="shared" si="1"/>
        <v>b</v>
      </c>
      <c r="G12" s="32" t="s">
        <v>8</v>
      </c>
      <c r="H12" s="38">
        <v>14</v>
      </c>
      <c r="I12" s="13" t="str">
        <f t="shared" si="2"/>
        <v>c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13</v>
      </c>
      <c r="C13" s="13" t="str">
        <f t="shared" si="0"/>
        <v>c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16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14</v>
      </c>
      <c r="C15" s="13" t="str">
        <f t="shared" si="0"/>
        <v>c</v>
      </c>
      <c r="D15" s="32" t="s">
        <v>8</v>
      </c>
      <c r="E15" s="38">
        <v>13</v>
      </c>
      <c r="F15" s="13" t="str">
        <f t="shared" si="1"/>
        <v>c</v>
      </c>
      <c r="G15" s="32" t="s">
        <v>8</v>
      </c>
      <c r="H15" s="38">
        <v>13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14</v>
      </c>
      <c r="C16" s="13" t="str">
        <f t="shared" si="0"/>
        <v>c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14</v>
      </c>
      <c r="I17" s="13" t="str">
        <f t="shared" si="2"/>
        <v>c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14.7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14.5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14.4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14.533333333333333</v>
      </c>
      <c r="O34" s="48">
        <f>AVERAGE(B9:B18,E9:E18,H9:H18)</f>
        <v>14.533333333333333</v>
      </c>
      <c r="U34" s="5"/>
    </row>
    <row r="35" spans="1:21" ht="30.75" customHeight="1" thickBot="1" x14ac:dyDescent="0.2">
      <c r="A35" s="25"/>
      <c r="B35" s="65"/>
      <c r="C35" s="65"/>
      <c r="D35" s="87"/>
      <c r="E35" s="65"/>
      <c r="F35" s="65"/>
      <c r="G35" s="87"/>
      <c r="H35" s="65"/>
      <c r="I35" s="65"/>
      <c r="J35" s="87"/>
      <c r="K35" s="65"/>
      <c r="L35" s="65"/>
      <c r="M35" s="66"/>
      <c r="U35" s="5"/>
    </row>
    <row r="36" spans="1:21" x14ac:dyDescent="0.15">
      <c r="A36" s="2"/>
      <c r="U36" s="5"/>
    </row>
    <row r="37" spans="1:21" ht="13.5" x14ac:dyDescent="0.15">
      <c r="A37" s="64"/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4"/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21" ht="18" customHeight="1" x14ac:dyDescent="0.15">
      <c r="A47" s="64"/>
      <c r="B47" s="64"/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T3:U3"/>
    <mergeCell ref="V3:W3"/>
    <mergeCell ref="A4:M4"/>
    <mergeCell ref="A5:M5"/>
    <mergeCell ref="B7:D7"/>
    <mergeCell ref="E7:G7"/>
    <mergeCell ref="H7:J7"/>
    <mergeCell ref="K7:M7"/>
    <mergeCell ref="A1:M2"/>
    <mergeCell ref="A3:M3"/>
    <mergeCell ref="N3:O3"/>
    <mergeCell ref="P3:Q3"/>
    <mergeCell ref="R3:S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8" t="s">
        <v>1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80"/>
    </row>
    <row r="2" spans="1:23" x14ac:dyDescent="0.15">
      <c r="A2" s="81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3"/>
    </row>
    <row r="3" spans="1:23" ht="12.75" customHeight="1" x14ac:dyDescent="0.15">
      <c r="A3" s="84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6"/>
      <c r="N3" s="77"/>
      <c r="O3" s="64"/>
      <c r="P3" s="77"/>
      <c r="Q3" s="64"/>
      <c r="R3" s="77"/>
      <c r="S3" s="64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67" t="s">
        <v>23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70" t="s">
        <v>19</v>
      </c>
      <c r="C7" s="70"/>
      <c r="D7" s="70"/>
      <c r="E7" s="70" t="s">
        <v>20</v>
      </c>
      <c r="F7" s="70"/>
      <c r="G7" s="70"/>
      <c r="H7" s="70" t="s">
        <v>21</v>
      </c>
      <c r="I7" s="70"/>
      <c r="J7" s="70"/>
      <c r="K7" s="70"/>
      <c r="L7" s="70"/>
      <c r="M7" s="7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13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13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14</v>
      </c>
      <c r="F10" s="13" t="str">
        <f t="shared" si="1"/>
        <v>c</v>
      </c>
      <c r="G10" s="32" t="s">
        <v>8</v>
      </c>
      <c r="H10" s="38">
        <v>14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14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15</v>
      </c>
      <c r="C12" s="13" t="str">
        <f t="shared" si="0"/>
        <v>b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14</v>
      </c>
      <c r="I12" s="13" t="str">
        <f t="shared" si="2"/>
        <v>c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16</v>
      </c>
      <c r="C13" s="13" t="str">
        <f t="shared" si="0"/>
        <v>b</v>
      </c>
      <c r="D13" s="32" t="s">
        <v>8</v>
      </c>
      <c r="E13" s="38">
        <v>14</v>
      </c>
      <c r="F13" s="13" t="str">
        <f t="shared" si="1"/>
        <v>c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16</v>
      </c>
      <c r="C14" s="13" t="str">
        <f t="shared" si="0"/>
        <v>b</v>
      </c>
      <c r="D14" s="32" t="s">
        <v>8</v>
      </c>
      <c r="E14" s="38">
        <v>14</v>
      </c>
      <c r="F14" s="13" t="str">
        <f t="shared" si="1"/>
        <v>c</v>
      </c>
      <c r="G14" s="32" t="s">
        <v>8</v>
      </c>
      <c r="H14" s="38">
        <v>16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13</v>
      </c>
      <c r="C15" s="13" t="str">
        <f t="shared" si="0"/>
        <v>c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13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16</v>
      </c>
      <c r="F16" s="13" t="str">
        <f t="shared" si="1"/>
        <v>b</v>
      </c>
      <c r="G16" s="32" t="s">
        <v>8</v>
      </c>
      <c r="H16" s="38">
        <v>14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17</v>
      </c>
      <c r="C17" s="13" t="str">
        <f t="shared" si="0"/>
        <v>b</v>
      </c>
      <c r="D17" s="32" t="s">
        <v>8</v>
      </c>
      <c r="E17" s="38">
        <v>17</v>
      </c>
      <c r="F17" s="13" t="str">
        <f t="shared" si="1"/>
        <v>b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13</v>
      </c>
      <c r="C18" s="13" t="str">
        <f t="shared" si="0"/>
        <v>c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16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14.6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14.700000000000001</v>
      </c>
      <c r="O34" s="48">
        <f>AVERAGE(B9:B18,E9:E18,H9:H18)</f>
        <v>14.7</v>
      </c>
      <c r="U34" s="5"/>
    </row>
    <row r="35" spans="1:21" ht="30.75" customHeight="1" thickBot="1" x14ac:dyDescent="0.2">
      <c r="A35" s="25"/>
      <c r="B35" s="65"/>
      <c r="C35" s="65"/>
      <c r="D35" s="87"/>
      <c r="E35" s="65"/>
      <c r="F35" s="65"/>
      <c r="G35" s="87"/>
      <c r="H35" s="65"/>
      <c r="I35" s="65"/>
      <c r="J35" s="87"/>
      <c r="K35" s="65"/>
      <c r="L35" s="65"/>
      <c r="M35" s="66"/>
      <c r="U35" s="5"/>
    </row>
    <row r="36" spans="1:21" x14ac:dyDescent="0.15">
      <c r="A36" s="2"/>
      <c r="U36" s="5"/>
    </row>
    <row r="37" spans="1:21" ht="13.5" x14ac:dyDescent="0.15">
      <c r="A37" s="64"/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4"/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21" ht="18" customHeight="1" x14ac:dyDescent="0.15">
      <c r="A47" s="64"/>
      <c r="B47" s="64"/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T3:U3"/>
    <mergeCell ref="V3:W3"/>
    <mergeCell ref="A4:M4"/>
    <mergeCell ref="A5:M5"/>
    <mergeCell ref="B7:D7"/>
    <mergeCell ref="E7:G7"/>
    <mergeCell ref="H7:J7"/>
    <mergeCell ref="K7:M7"/>
    <mergeCell ref="A1:M2"/>
    <mergeCell ref="A3:M3"/>
    <mergeCell ref="N3:O3"/>
    <mergeCell ref="P3:Q3"/>
    <mergeCell ref="R3:S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8" t="s">
        <v>1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80"/>
    </row>
    <row r="2" spans="1:23" x14ac:dyDescent="0.15">
      <c r="A2" s="81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3"/>
    </row>
    <row r="3" spans="1:23" ht="12.75" customHeight="1" x14ac:dyDescent="0.15">
      <c r="A3" s="84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6"/>
      <c r="N3" s="77"/>
      <c r="O3" s="64"/>
      <c r="P3" s="77"/>
      <c r="Q3" s="64"/>
      <c r="R3" s="77"/>
      <c r="S3" s="64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67" t="s">
        <v>23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70" t="s">
        <v>19</v>
      </c>
      <c r="C7" s="70"/>
      <c r="D7" s="70"/>
      <c r="E7" s="70" t="s">
        <v>20</v>
      </c>
      <c r="F7" s="70"/>
      <c r="G7" s="70"/>
      <c r="H7" s="70" t="s">
        <v>21</v>
      </c>
      <c r="I7" s="70"/>
      <c r="J7" s="70"/>
      <c r="K7" s="70"/>
      <c r="L7" s="70"/>
      <c r="M7" s="7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13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17</v>
      </c>
      <c r="C10" s="13" t="str">
        <f t="shared" si="0"/>
        <v>b</v>
      </c>
      <c r="D10" s="32" t="s">
        <v>8</v>
      </c>
      <c r="E10" s="38">
        <v>14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17</v>
      </c>
      <c r="C11" s="13" t="str">
        <f t="shared" si="0"/>
        <v>b</v>
      </c>
      <c r="D11" s="32" t="s">
        <v>8</v>
      </c>
      <c r="E11" s="38">
        <v>16</v>
      </c>
      <c r="F11" s="13" t="str">
        <f t="shared" si="1"/>
        <v>b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13</v>
      </c>
      <c r="F12" s="13" t="str">
        <f t="shared" si="1"/>
        <v>c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17</v>
      </c>
      <c r="C13" s="13" t="str">
        <f t="shared" si="0"/>
        <v>b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17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16</v>
      </c>
      <c r="C15" s="13" t="str">
        <f t="shared" si="0"/>
        <v>b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13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16</v>
      </c>
      <c r="C16" s="13" t="str">
        <f t="shared" si="0"/>
        <v>b</v>
      </c>
      <c r="D16" s="32" t="s">
        <v>8</v>
      </c>
      <c r="E16" s="38">
        <v>16</v>
      </c>
      <c r="F16" s="13" t="str">
        <f t="shared" si="1"/>
        <v>b</v>
      </c>
      <c r="G16" s="32" t="s">
        <v>8</v>
      </c>
      <c r="H16" s="38">
        <v>14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13</v>
      </c>
      <c r="F17" s="13" t="str">
        <f t="shared" si="1"/>
        <v>c</v>
      </c>
      <c r="G17" s="32" t="s">
        <v>8</v>
      </c>
      <c r="H17" s="38">
        <v>13</v>
      </c>
      <c r="I17" s="13" t="str">
        <f t="shared" si="2"/>
        <v>c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14</v>
      </c>
      <c r="C18" s="13" t="str">
        <f t="shared" si="0"/>
        <v>c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15.2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14.8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14.6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14.866666666666667</v>
      </c>
      <c r="O34" s="48">
        <f>AVERAGE(B9:B18,E9:E18,H9:H18)</f>
        <v>14.866666666666667</v>
      </c>
      <c r="U34" s="5"/>
    </row>
    <row r="35" spans="1:21" ht="30.75" customHeight="1" thickBot="1" x14ac:dyDescent="0.2">
      <c r="A35" s="25"/>
      <c r="B35" s="65"/>
      <c r="C35" s="65"/>
      <c r="D35" s="87"/>
      <c r="E35" s="65"/>
      <c r="F35" s="65"/>
      <c r="G35" s="87"/>
      <c r="H35" s="65"/>
      <c r="I35" s="65"/>
      <c r="J35" s="87"/>
      <c r="K35" s="65"/>
      <c r="L35" s="65"/>
      <c r="M35" s="66"/>
      <c r="U35" s="5"/>
    </row>
    <row r="36" spans="1:21" x14ac:dyDescent="0.15">
      <c r="A36" s="2"/>
      <c r="U36" s="5"/>
    </row>
    <row r="37" spans="1:21" ht="13.5" x14ac:dyDescent="0.15">
      <c r="A37" s="64"/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4"/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21" ht="18" customHeight="1" x14ac:dyDescent="0.15">
      <c r="A47" s="64"/>
      <c r="B47" s="64"/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T3:U3"/>
    <mergeCell ref="V3:W3"/>
    <mergeCell ref="A4:M4"/>
    <mergeCell ref="A5:M5"/>
    <mergeCell ref="B7:D7"/>
    <mergeCell ref="E7:G7"/>
    <mergeCell ref="H7:J7"/>
    <mergeCell ref="K7:M7"/>
    <mergeCell ref="A1:M2"/>
    <mergeCell ref="A3:M3"/>
    <mergeCell ref="N3:O3"/>
    <mergeCell ref="P3:Q3"/>
    <mergeCell ref="R3:S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8" t="s">
        <v>1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80"/>
    </row>
    <row r="2" spans="1:23" x14ac:dyDescent="0.15">
      <c r="A2" s="81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3"/>
    </row>
    <row r="3" spans="1:23" ht="12.75" customHeight="1" x14ac:dyDescent="0.15">
      <c r="A3" s="84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6"/>
      <c r="N3" s="77"/>
      <c r="O3" s="64"/>
      <c r="P3" s="77"/>
      <c r="Q3" s="64"/>
      <c r="R3" s="77"/>
      <c r="S3" s="64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67" t="s">
        <v>23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70" t="s">
        <v>19</v>
      </c>
      <c r="C7" s="70"/>
      <c r="D7" s="70"/>
      <c r="E7" s="70" t="s">
        <v>20</v>
      </c>
      <c r="F7" s="70"/>
      <c r="G7" s="70"/>
      <c r="H7" s="70" t="s">
        <v>21</v>
      </c>
      <c r="I7" s="70"/>
      <c r="J7" s="70"/>
      <c r="K7" s="70"/>
      <c r="L7" s="70"/>
      <c r="M7" s="7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16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14</v>
      </c>
      <c r="F12" s="13" t="str">
        <f t="shared" si="1"/>
        <v>c</v>
      </c>
      <c r="G12" s="32" t="s">
        <v>8</v>
      </c>
      <c r="H12" s="38">
        <v>14</v>
      </c>
      <c r="I12" s="13" t="str">
        <f t="shared" si="2"/>
        <v>c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16</v>
      </c>
      <c r="C13" s="13" t="str">
        <f t="shared" si="0"/>
        <v>b</v>
      </c>
      <c r="D13" s="32" t="s">
        <v>8</v>
      </c>
      <c r="E13" s="38">
        <v>13</v>
      </c>
      <c r="F13" s="13" t="str">
        <f t="shared" si="1"/>
        <v>c</v>
      </c>
      <c r="G13" s="32" t="s">
        <v>8</v>
      </c>
      <c r="H13" s="38">
        <v>13</v>
      </c>
      <c r="I13" s="13" t="str">
        <f t="shared" si="2"/>
        <v>c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13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14</v>
      </c>
      <c r="C15" s="13" t="str">
        <f t="shared" si="0"/>
        <v>c</v>
      </c>
      <c r="D15" s="32" t="s">
        <v>8</v>
      </c>
      <c r="E15" s="38">
        <v>14</v>
      </c>
      <c r="F15" s="13" t="str">
        <f t="shared" si="1"/>
        <v>c</v>
      </c>
      <c r="G15" s="32" t="s">
        <v>8</v>
      </c>
      <c r="H15" s="38">
        <v>14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16</v>
      </c>
      <c r="C16" s="13" t="str">
        <f t="shared" si="0"/>
        <v>b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16</v>
      </c>
      <c r="F17" s="13" t="str">
        <f t="shared" si="1"/>
        <v>b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17</v>
      </c>
      <c r="C18" s="13" t="str">
        <f t="shared" si="0"/>
        <v>b</v>
      </c>
      <c r="D18" s="32" t="s">
        <v>8</v>
      </c>
      <c r="E18" s="38">
        <v>15</v>
      </c>
      <c r="F18" s="13" t="str">
        <f t="shared" si="1"/>
        <v>b</v>
      </c>
      <c r="G18" s="32" t="s">
        <v>8</v>
      </c>
      <c r="H18" s="38">
        <v>14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15.3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14.5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13.9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14.566666666666668</v>
      </c>
      <c r="O34" s="48">
        <f>AVERAGE(B9:B18,E9:E18,H9:H18)</f>
        <v>14.566666666666666</v>
      </c>
      <c r="U34" s="5"/>
    </row>
    <row r="35" spans="1:21" ht="30.75" customHeight="1" thickBot="1" x14ac:dyDescent="0.2">
      <c r="A35" s="25"/>
      <c r="B35" s="65"/>
      <c r="C35" s="65"/>
      <c r="D35" s="87"/>
      <c r="E35" s="65"/>
      <c r="F35" s="65"/>
      <c r="G35" s="87"/>
      <c r="H35" s="65"/>
      <c r="I35" s="65"/>
      <c r="J35" s="87"/>
      <c r="K35" s="65"/>
      <c r="L35" s="65"/>
      <c r="M35" s="66"/>
      <c r="U35" s="5"/>
    </row>
    <row r="36" spans="1:21" x14ac:dyDescent="0.15">
      <c r="A36" s="2"/>
      <c r="U36" s="5"/>
    </row>
    <row r="37" spans="1:21" ht="13.5" x14ac:dyDescent="0.15">
      <c r="A37" s="64"/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4"/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21" ht="18" customHeight="1" x14ac:dyDescent="0.15">
      <c r="A47" s="64"/>
      <c r="B47" s="64"/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T3:U3"/>
    <mergeCell ref="V3:W3"/>
    <mergeCell ref="A4:M4"/>
    <mergeCell ref="A5:M5"/>
    <mergeCell ref="B7:D7"/>
    <mergeCell ref="E7:G7"/>
    <mergeCell ref="H7:J7"/>
    <mergeCell ref="K7:M7"/>
    <mergeCell ref="A1:M2"/>
    <mergeCell ref="A3:M3"/>
    <mergeCell ref="N3:O3"/>
    <mergeCell ref="P3:Q3"/>
    <mergeCell ref="R3:S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8" t="s">
        <v>1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80"/>
    </row>
    <row r="2" spans="1:23" x14ac:dyDescent="0.15">
      <c r="A2" s="81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3"/>
    </row>
    <row r="3" spans="1:23" ht="12.75" customHeight="1" x14ac:dyDescent="0.15">
      <c r="A3" s="84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6"/>
      <c r="N3" s="77"/>
      <c r="O3" s="64"/>
      <c r="P3" s="77"/>
      <c r="Q3" s="64"/>
      <c r="R3" s="77"/>
      <c r="S3" s="64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67" t="s">
        <v>23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70" t="s">
        <v>19</v>
      </c>
      <c r="C7" s="70"/>
      <c r="D7" s="70"/>
      <c r="E7" s="70" t="s">
        <v>20</v>
      </c>
      <c r="F7" s="70"/>
      <c r="G7" s="70"/>
      <c r="H7" s="70" t="s">
        <v>21</v>
      </c>
      <c r="I7" s="70"/>
      <c r="J7" s="70"/>
      <c r="K7" s="70"/>
      <c r="L7" s="70"/>
      <c r="M7" s="7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16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13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13</v>
      </c>
      <c r="C10" s="13" t="str">
        <f t="shared" si="0"/>
        <v>c</v>
      </c>
      <c r="D10" s="32" t="s">
        <v>8</v>
      </c>
      <c r="E10" s="38">
        <v>17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13</v>
      </c>
      <c r="C11" s="13" t="str">
        <f t="shared" si="0"/>
        <v>c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17</v>
      </c>
      <c r="C12" s="13" t="str">
        <f t="shared" si="0"/>
        <v>b</v>
      </c>
      <c r="D12" s="32" t="s">
        <v>8</v>
      </c>
      <c r="E12" s="38">
        <v>17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12</v>
      </c>
      <c r="C13" s="13" t="str">
        <f t="shared" si="0"/>
        <v>c</v>
      </c>
      <c r="D13" s="32" t="s">
        <v>8</v>
      </c>
      <c r="E13" s="38">
        <v>14</v>
      </c>
      <c r="F13" s="13" t="str">
        <f t="shared" si="1"/>
        <v>c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16</v>
      </c>
      <c r="C14" s="13" t="str">
        <f t="shared" si="0"/>
        <v>b</v>
      </c>
      <c r="D14" s="32" t="s">
        <v>8</v>
      </c>
      <c r="E14" s="38">
        <v>16</v>
      </c>
      <c r="F14" s="13" t="str">
        <f t="shared" si="1"/>
        <v>b</v>
      </c>
      <c r="G14" s="32" t="s">
        <v>8</v>
      </c>
      <c r="H14" s="38">
        <v>13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13</v>
      </c>
      <c r="C15" s="13" t="str">
        <f t="shared" si="0"/>
        <v>c</v>
      </c>
      <c r="D15" s="32" t="s">
        <v>8</v>
      </c>
      <c r="E15" s="38">
        <v>15</v>
      </c>
      <c r="F15" s="13" t="str">
        <f t="shared" si="1"/>
        <v>b</v>
      </c>
      <c r="G15" s="32" t="s">
        <v>8</v>
      </c>
      <c r="H15" s="38">
        <v>14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16</v>
      </c>
      <c r="C16" s="13" t="str">
        <f t="shared" si="0"/>
        <v>b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15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17</v>
      </c>
      <c r="C17" s="13" t="str">
        <f t="shared" si="0"/>
        <v>b</v>
      </c>
      <c r="D17" s="32" t="s">
        <v>8</v>
      </c>
      <c r="E17" s="38">
        <v>14</v>
      </c>
      <c r="F17" s="13" t="str">
        <f t="shared" si="1"/>
        <v>c</v>
      </c>
      <c r="G17" s="32" t="s">
        <v>8</v>
      </c>
      <c r="H17" s="38">
        <v>13</v>
      </c>
      <c r="I17" s="13" t="str">
        <f t="shared" si="2"/>
        <v>c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14.9</v>
      </c>
      <c r="F34" s="28" t="str">
        <f>IF(18.9&lt;=E34,"a",IF(AND(18.9&gt;E34,E34&gt;=14.9),"b",IF(AND(14.9&gt;E34,E34&gt;=12),"c",IF(AND(12&gt;E34,E34&gt;=10.2),"d",IF(10.2&gt;E34,"e","?")))))</f>
        <v>b</v>
      </c>
      <c r="G34" s="33" t="s">
        <v>8</v>
      </c>
      <c r="H34" s="29">
        <f>AVERAGE(H9:H18)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14.800000000000002</v>
      </c>
      <c r="O34" s="48">
        <f>AVERAGE(B9:B18,E9:E18,H9:H18)</f>
        <v>14.8</v>
      </c>
      <c r="U34" s="5"/>
    </row>
    <row r="35" spans="1:21" ht="30.75" customHeight="1" thickBot="1" x14ac:dyDescent="0.2">
      <c r="A35" s="25"/>
      <c r="B35" s="65"/>
      <c r="C35" s="65"/>
      <c r="D35" s="87"/>
      <c r="E35" s="65"/>
      <c r="F35" s="65"/>
      <c r="G35" s="87"/>
      <c r="H35" s="65"/>
      <c r="I35" s="65"/>
      <c r="J35" s="87"/>
      <c r="K35" s="65"/>
      <c r="L35" s="65"/>
      <c r="M35" s="66"/>
      <c r="U35" s="5"/>
    </row>
    <row r="36" spans="1:21" x14ac:dyDescent="0.15">
      <c r="A36" s="2"/>
      <c r="U36" s="5"/>
    </row>
    <row r="37" spans="1:21" ht="13.5" x14ac:dyDescent="0.15">
      <c r="A37" s="64"/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4"/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21" ht="18" customHeight="1" x14ac:dyDescent="0.15">
      <c r="A47" s="64"/>
      <c r="B47" s="64"/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T3:U3"/>
    <mergeCell ref="V3:W3"/>
    <mergeCell ref="A4:M4"/>
    <mergeCell ref="A5:M5"/>
    <mergeCell ref="B7:D7"/>
    <mergeCell ref="E7:G7"/>
    <mergeCell ref="H7:J7"/>
    <mergeCell ref="K7:M7"/>
    <mergeCell ref="A1:M2"/>
    <mergeCell ref="A3:M3"/>
    <mergeCell ref="N3:O3"/>
    <mergeCell ref="P3:Q3"/>
    <mergeCell ref="R3:S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8" t="s">
        <v>1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80"/>
    </row>
    <row r="2" spans="1:23" x14ac:dyDescent="0.15">
      <c r="A2" s="81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3"/>
    </row>
    <row r="3" spans="1:23" ht="12.75" customHeight="1" x14ac:dyDescent="0.15">
      <c r="A3" s="84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6"/>
      <c r="N3" s="77"/>
      <c r="O3" s="64"/>
      <c r="P3" s="77"/>
      <c r="Q3" s="64"/>
      <c r="R3" s="77"/>
      <c r="S3" s="64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67" t="s">
        <v>23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70" t="s">
        <v>19</v>
      </c>
      <c r="C7" s="70"/>
      <c r="D7" s="70"/>
      <c r="E7" s="70" t="s">
        <v>20</v>
      </c>
      <c r="F7" s="70"/>
      <c r="G7" s="70"/>
      <c r="H7" s="70" t="s">
        <v>21</v>
      </c>
      <c r="I7" s="70"/>
      <c r="J7" s="70"/>
      <c r="K7" s="70"/>
      <c r="L7" s="70"/>
      <c r="M7" s="7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16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16</v>
      </c>
      <c r="F10" s="13" t="str">
        <f t="shared" si="1"/>
        <v>b</v>
      </c>
      <c r="G10" s="32" t="s">
        <v>8</v>
      </c>
      <c r="H10" s="38">
        <v>13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14</v>
      </c>
      <c r="F11" s="13" t="str">
        <f t="shared" si="1"/>
        <v>c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14</v>
      </c>
      <c r="C12" s="13" t="str">
        <f t="shared" si="0"/>
        <v>c</v>
      </c>
      <c r="D12" s="32" t="s">
        <v>8</v>
      </c>
      <c r="E12" s="38">
        <v>13</v>
      </c>
      <c r="F12" s="13" t="str">
        <f t="shared" si="1"/>
        <v>c</v>
      </c>
      <c r="G12" s="32" t="s">
        <v>8</v>
      </c>
      <c r="H12" s="38">
        <v>14</v>
      </c>
      <c r="I12" s="13" t="str">
        <f t="shared" si="2"/>
        <v>c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13</v>
      </c>
      <c r="C13" s="13" t="str">
        <f t="shared" si="0"/>
        <v>c</v>
      </c>
      <c r="D13" s="32" t="s">
        <v>8</v>
      </c>
      <c r="E13" s="38">
        <v>14</v>
      </c>
      <c r="F13" s="13" t="str">
        <f t="shared" si="1"/>
        <v>c</v>
      </c>
      <c r="G13" s="32" t="s">
        <v>8</v>
      </c>
      <c r="H13" s="38">
        <v>14</v>
      </c>
      <c r="I13" s="13" t="str">
        <f t="shared" si="2"/>
        <v>c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13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13</v>
      </c>
      <c r="C15" s="13" t="str">
        <f t="shared" si="0"/>
        <v>c</v>
      </c>
      <c r="D15" s="32" t="s">
        <v>8</v>
      </c>
      <c r="E15" s="38">
        <v>15</v>
      </c>
      <c r="F15" s="13" t="str">
        <f t="shared" si="1"/>
        <v>b</v>
      </c>
      <c r="G15" s="32" t="s">
        <v>8</v>
      </c>
      <c r="H15" s="38">
        <v>15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15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16</v>
      </c>
      <c r="F17" s="13" t="str">
        <f t="shared" si="1"/>
        <v>b</v>
      </c>
      <c r="G17" s="32" t="s">
        <v>8</v>
      </c>
      <c r="H17" s="38">
        <v>17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17</v>
      </c>
      <c r="C18" s="13" t="str">
        <f t="shared" si="0"/>
        <v>b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16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14.9</v>
      </c>
      <c r="F34" s="28" t="str">
        <f>IF(18.9&lt;=E34,"a",IF(AND(18.9&gt;E34,E34&gt;=14.9),"b",IF(AND(14.9&gt;E34,E34&gt;=12),"c",IF(AND(12&gt;E34,E34&gt;=10.2),"d",IF(10.2&gt;E34,"e","?")))))</f>
        <v>b</v>
      </c>
      <c r="G34" s="33" t="s">
        <v>8</v>
      </c>
      <c r="H34" s="29">
        <f>AVERAGE(H9:H18)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14.800000000000002</v>
      </c>
      <c r="O34" s="48">
        <f>AVERAGE(B9:B18,E9:E18,H9:H18)</f>
        <v>14.8</v>
      </c>
      <c r="U34" s="5"/>
    </row>
    <row r="35" spans="1:21" ht="30.75" customHeight="1" thickBot="1" x14ac:dyDescent="0.2">
      <c r="A35" s="25"/>
      <c r="B35" s="65"/>
      <c r="C35" s="65"/>
      <c r="D35" s="87"/>
      <c r="E35" s="65"/>
      <c r="F35" s="65"/>
      <c r="G35" s="87"/>
      <c r="H35" s="65"/>
      <c r="I35" s="65"/>
      <c r="J35" s="87"/>
      <c r="K35" s="65"/>
      <c r="L35" s="65"/>
      <c r="M35" s="66"/>
      <c r="U35" s="5"/>
    </row>
    <row r="36" spans="1:21" x14ac:dyDescent="0.15">
      <c r="A36" s="2"/>
      <c r="U36" s="5"/>
    </row>
    <row r="37" spans="1:21" ht="13.5" x14ac:dyDescent="0.15">
      <c r="A37" s="64"/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4"/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21" ht="18" customHeight="1" x14ac:dyDescent="0.15">
      <c r="A47" s="64"/>
      <c r="B47" s="64"/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T3:U3"/>
    <mergeCell ref="V3:W3"/>
    <mergeCell ref="A4:M4"/>
    <mergeCell ref="A5:M5"/>
    <mergeCell ref="B7:D7"/>
    <mergeCell ref="E7:G7"/>
    <mergeCell ref="H7:J7"/>
    <mergeCell ref="K7:M7"/>
    <mergeCell ref="A1:M2"/>
    <mergeCell ref="A3:M3"/>
    <mergeCell ref="N3:O3"/>
    <mergeCell ref="P3:Q3"/>
    <mergeCell ref="R3:S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8" t="s">
        <v>1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80"/>
    </row>
    <row r="2" spans="1:23" x14ac:dyDescent="0.15">
      <c r="A2" s="81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3"/>
    </row>
    <row r="3" spans="1:23" ht="12.75" customHeight="1" x14ac:dyDescent="0.15">
      <c r="A3" s="84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6"/>
      <c r="N3" s="77"/>
      <c r="O3" s="64"/>
      <c r="P3" s="77"/>
      <c r="Q3" s="64"/>
      <c r="R3" s="77"/>
      <c r="S3" s="64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67" t="s">
        <v>23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70" t="s">
        <v>19</v>
      </c>
      <c r="C7" s="70"/>
      <c r="D7" s="70"/>
      <c r="E7" s="70" t="s">
        <v>20</v>
      </c>
      <c r="F7" s="70"/>
      <c r="G7" s="70"/>
      <c r="H7" s="70" t="s">
        <v>21</v>
      </c>
      <c r="I7" s="70"/>
      <c r="J7" s="70"/>
      <c r="K7" s="70"/>
      <c r="L7" s="70"/>
      <c r="M7" s="7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15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16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14</v>
      </c>
      <c r="C10" s="13" t="str">
        <f t="shared" si="0"/>
        <v>c</v>
      </c>
      <c r="D10" s="32" t="s">
        <v>8</v>
      </c>
      <c r="E10" s="38">
        <v>16</v>
      </c>
      <c r="F10" s="13" t="str">
        <f t="shared" si="1"/>
        <v>b</v>
      </c>
      <c r="G10" s="32" t="s">
        <v>8</v>
      </c>
      <c r="H10" s="38">
        <v>13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14</v>
      </c>
      <c r="C11" s="13" t="str">
        <f t="shared" si="0"/>
        <v>c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14</v>
      </c>
      <c r="C12" s="13" t="str">
        <f t="shared" si="0"/>
        <v>c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15</v>
      </c>
      <c r="C13" s="13" t="str">
        <f t="shared" si="0"/>
        <v>b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16</v>
      </c>
      <c r="C14" s="13" t="str">
        <f t="shared" si="0"/>
        <v>b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14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13</v>
      </c>
      <c r="C15" s="13" t="str">
        <f t="shared" si="0"/>
        <v>c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14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14</v>
      </c>
      <c r="C16" s="13" t="str">
        <f t="shared" si="0"/>
        <v>c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16</v>
      </c>
      <c r="C18" s="13" t="str">
        <f t="shared" si="0"/>
        <v>b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17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14.6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14.666666666666666</v>
      </c>
      <c r="O34" s="48">
        <f>AVERAGE(B9:B18,E9:E18,H9:H18)</f>
        <v>14.666666666666666</v>
      </c>
      <c r="U34" s="5"/>
    </row>
    <row r="35" spans="1:21" ht="30.75" customHeight="1" thickBot="1" x14ac:dyDescent="0.2">
      <c r="A35" s="25"/>
      <c r="B35" s="65"/>
      <c r="C35" s="65"/>
      <c r="D35" s="87"/>
      <c r="E35" s="65"/>
      <c r="F35" s="65"/>
      <c r="G35" s="87"/>
      <c r="H35" s="65"/>
      <c r="I35" s="65"/>
      <c r="J35" s="87"/>
      <c r="K35" s="65"/>
      <c r="L35" s="65"/>
      <c r="M35" s="66"/>
      <c r="U35" s="5"/>
    </row>
    <row r="36" spans="1:21" x14ac:dyDescent="0.15">
      <c r="A36" s="2"/>
      <c r="U36" s="5"/>
    </row>
    <row r="37" spans="1:21" ht="13.5" x14ac:dyDescent="0.15">
      <c r="A37" s="64"/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4"/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21" ht="18" customHeight="1" x14ac:dyDescent="0.15">
      <c r="A47" s="64"/>
      <c r="B47" s="64"/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T3:U3"/>
    <mergeCell ref="V3:W3"/>
    <mergeCell ref="A4:M4"/>
    <mergeCell ref="A5:M5"/>
    <mergeCell ref="B7:D7"/>
    <mergeCell ref="E7:G7"/>
    <mergeCell ref="H7:J7"/>
    <mergeCell ref="K7:M7"/>
    <mergeCell ref="A1:M2"/>
    <mergeCell ref="A3:M3"/>
    <mergeCell ref="N3:O3"/>
    <mergeCell ref="P3:Q3"/>
    <mergeCell ref="R3:S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8" t="s">
        <v>1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80"/>
    </row>
    <row r="2" spans="1:23" x14ac:dyDescent="0.15">
      <c r="A2" s="81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3"/>
    </row>
    <row r="3" spans="1:23" ht="12.75" customHeight="1" x14ac:dyDescent="0.15">
      <c r="A3" s="84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6"/>
      <c r="N3" s="77"/>
      <c r="O3" s="64"/>
      <c r="P3" s="77"/>
      <c r="Q3" s="64"/>
      <c r="R3" s="77"/>
      <c r="S3" s="64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67" t="s">
        <v>23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70" t="s">
        <v>19</v>
      </c>
      <c r="C7" s="70"/>
      <c r="D7" s="70"/>
      <c r="E7" s="70" t="s">
        <v>20</v>
      </c>
      <c r="F7" s="70"/>
      <c r="G7" s="70"/>
      <c r="H7" s="70" t="s">
        <v>21</v>
      </c>
      <c r="I7" s="70"/>
      <c r="J7" s="70"/>
      <c r="K7" s="70"/>
      <c r="L7" s="70"/>
      <c r="M7" s="7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16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16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13</v>
      </c>
      <c r="F10" s="13" t="str">
        <f t="shared" si="1"/>
        <v>c</v>
      </c>
      <c r="G10" s="32" t="s">
        <v>8</v>
      </c>
      <c r="H10" s="38">
        <v>14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16</v>
      </c>
      <c r="F11" s="13" t="str">
        <f t="shared" si="1"/>
        <v>b</v>
      </c>
      <c r="G11" s="32" t="s">
        <v>8</v>
      </c>
      <c r="H11" s="38">
        <v>17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15</v>
      </c>
      <c r="C12" s="13" t="str">
        <f t="shared" si="0"/>
        <v>b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16</v>
      </c>
      <c r="C13" s="13" t="str">
        <f t="shared" si="0"/>
        <v>b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15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14</v>
      </c>
      <c r="C15" s="13" t="str">
        <f t="shared" si="0"/>
        <v>c</v>
      </c>
      <c r="D15" s="32" t="s">
        <v>8</v>
      </c>
      <c r="E15" s="38">
        <v>14</v>
      </c>
      <c r="F15" s="13" t="str">
        <f t="shared" si="1"/>
        <v>c</v>
      </c>
      <c r="G15" s="32" t="s">
        <v>8</v>
      </c>
      <c r="H15" s="38">
        <v>14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14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16</v>
      </c>
      <c r="F17" s="13" t="str">
        <f t="shared" si="1"/>
        <v>b</v>
      </c>
      <c r="G17" s="32" t="s">
        <v>8</v>
      </c>
      <c r="H17" s="38">
        <v>14</v>
      </c>
      <c r="I17" s="13" t="str">
        <f t="shared" si="2"/>
        <v>c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13</v>
      </c>
      <c r="C18" s="13" t="str">
        <f t="shared" si="0"/>
        <v>c</v>
      </c>
      <c r="D18" s="32" t="s">
        <v>8</v>
      </c>
      <c r="E18" s="38">
        <v>15</v>
      </c>
      <c r="F18" s="13" t="str">
        <f t="shared" si="1"/>
        <v>b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14.7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14.9</v>
      </c>
      <c r="I34" s="28" t="str">
        <f>IF(18.9&lt;=H34,"a",IF(AND(18.9&gt;H34,H34&gt;=14.9),"b",IF(AND(14.9&gt;H34,H34&gt;=12),"c",IF(AND(12&gt;H34,H34&gt;=10.2),"d",IF(10.2&gt;H34,"e","?")))))</f>
        <v>b</v>
      </c>
      <c r="J34" s="33" t="s">
        <v>8</v>
      </c>
      <c r="K34" s="29"/>
      <c r="L34" s="28" t="s">
        <v>24</v>
      </c>
      <c r="M34" s="50">
        <f>(B34+E34+H34)/3</f>
        <v>14.766666666666666</v>
      </c>
      <c r="O34" s="48">
        <f>AVERAGE(B9:B18,E9:E18,H9:H18)</f>
        <v>14.766666666666667</v>
      </c>
      <c r="U34" s="5"/>
    </row>
    <row r="35" spans="1:21" ht="30.75" customHeight="1" thickBot="1" x14ac:dyDescent="0.2">
      <c r="A35" s="25"/>
      <c r="B35" s="65"/>
      <c r="C35" s="65"/>
      <c r="D35" s="87"/>
      <c r="E35" s="65"/>
      <c r="F35" s="65"/>
      <c r="G35" s="87"/>
      <c r="H35" s="65"/>
      <c r="I35" s="65"/>
      <c r="J35" s="87"/>
      <c r="K35" s="65"/>
      <c r="L35" s="65"/>
      <c r="M35" s="66"/>
      <c r="U35" s="5"/>
    </row>
    <row r="36" spans="1:21" x14ac:dyDescent="0.15">
      <c r="A36" s="2"/>
      <c r="U36" s="5"/>
    </row>
    <row r="37" spans="1:21" ht="13.5" x14ac:dyDescent="0.15">
      <c r="A37" s="64"/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4"/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21" ht="18" customHeight="1" x14ac:dyDescent="0.15">
      <c r="A47" s="64"/>
      <c r="B47" s="64"/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T3:U3"/>
    <mergeCell ref="V3:W3"/>
    <mergeCell ref="A4:M4"/>
    <mergeCell ref="A5:M5"/>
    <mergeCell ref="B7:D7"/>
    <mergeCell ref="E7:G7"/>
    <mergeCell ref="H7:J7"/>
    <mergeCell ref="K7:M7"/>
    <mergeCell ref="A1:M2"/>
    <mergeCell ref="A3:M3"/>
    <mergeCell ref="N3:O3"/>
    <mergeCell ref="P3:Q3"/>
    <mergeCell ref="R3:S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8" t="s">
        <v>1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80"/>
    </row>
    <row r="2" spans="1:23" x14ac:dyDescent="0.15">
      <c r="A2" s="81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3"/>
    </row>
    <row r="3" spans="1:23" ht="12.75" customHeight="1" x14ac:dyDescent="0.15">
      <c r="A3" s="84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6"/>
      <c r="N3" s="77"/>
      <c r="O3" s="64"/>
      <c r="P3" s="77"/>
      <c r="Q3" s="64"/>
      <c r="R3" s="77"/>
      <c r="S3" s="64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67" t="s">
        <v>23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70" t="s">
        <v>19</v>
      </c>
      <c r="C7" s="70"/>
      <c r="D7" s="70"/>
      <c r="E7" s="70" t="s">
        <v>20</v>
      </c>
      <c r="F7" s="70"/>
      <c r="G7" s="70"/>
      <c r="H7" s="70" t="s">
        <v>21</v>
      </c>
      <c r="I7" s="70"/>
      <c r="J7" s="70"/>
      <c r="K7" s="70"/>
      <c r="L7" s="70"/>
      <c r="M7" s="7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16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13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17</v>
      </c>
      <c r="F11" s="13" t="str">
        <f t="shared" si="1"/>
        <v>b</v>
      </c>
      <c r="G11" s="32" t="s">
        <v>8</v>
      </c>
      <c r="H11" s="38">
        <v>16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14</v>
      </c>
      <c r="C12" s="13" t="str">
        <f t="shared" si="0"/>
        <v>c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13</v>
      </c>
      <c r="I12" s="13" t="str">
        <f t="shared" si="2"/>
        <v>c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14</v>
      </c>
      <c r="C13" s="13" t="str">
        <f t="shared" si="0"/>
        <v>c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14</v>
      </c>
      <c r="C14" s="13" t="str">
        <f t="shared" si="0"/>
        <v>c</v>
      </c>
      <c r="D14" s="32" t="s">
        <v>8</v>
      </c>
      <c r="E14" s="38">
        <v>17</v>
      </c>
      <c r="F14" s="13" t="str">
        <f t="shared" si="1"/>
        <v>b</v>
      </c>
      <c r="G14" s="32" t="s">
        <v>8</v>
      </c>
      <c r="H14" s="38">
        <v>13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16</v>
      </c>
      <c r="C15" s="13" t="str">
        <f t="shared" si="0"/>
        <v>b</v>
      </c>
      <c r="D15" s="32" t="s">
        <v>8</v>
      </c>
      <c r="E15" s="38">
        <v>17</v>
      </c>
      <c r="F15" s="13" t="str">
        <f t="shared" si="1"/>
        <v>b</v>
      </c>
      <c r="G15" s="32" t="s">
        <v>8</v>
      </c>
      <c r="H15" s="38">
        <v>17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16</v>
      </c>
      <c r="F17" s="13" t="str">
        <f t="shared" si="1"/>
        <v>b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16</v>
      </c>
      <c r="C18" s="13" t="str">
        <f t="shared" si="0"/>
        <v>b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16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15.4</v>
      </c>
      <c r="F34" s="28" t="str">
        <f>IF(18.9&lt;=E34,"a",IF(AND(18.9&gt;E34,E34&gt;=14.9),"b",IF(AND(14.9&gt;E34,E34&gt;=12),"c",IF(AND(12&gt;E34,E34&gt;=10.2),"d",IF(10.2&gt;E34,"e","?")))))</f>
        <v>b</v>
      </c>
      <c r="G34" s="33" t="s">
        <v>8</v>
      </c>
      <c r="H34" s="29">
        <f>AVERAGE(H9:H18)</f>
        <v>14.9</v>
      </c>
      <c r="I34" s="28" t="str">
        <f>IF(18.9&lt;=H34,"a",IF(AND(18.9&gt;H34,H34&gt;=14.9),"b",IF(AND(14.9&gt;H34,H34&gt;=12),"c",IF(AND(12&gt;H34,H34&gt;=10.2),"d",IF(10.2&gt;H34,"e","?")))))</f>
        <v>b</v>
      </c>
      <c r="J34" s="33" t="s">
        <v>8</v>
      </c>
      <c r="K34" s="29"/>
      <c r="L34" s="28" t="s">
        <v>24</v>
      </c>
      <c r="M34" s="50">
        <f>(B34+E34+H34)/3</f>
        <v>15.033333333333333</v>
      </c>
      <c r="O34" s="48">
        <f>AVERAGE(B9:B18,E9:E18,H9:H18)</f>
        <v>15.033333333333333</v>
      </c>
      <c r="U34" s="5"/>
    </row>
    <row r="35" spans="1:21" ht="30.75" customHeight="1" thickBot="1" x14ac:dyDescent="0.2">
      <c r="A35" s="25"/>
      <c r="B35" s="65"/>
      <c r="C35" s="65"/>
      <c r="D35" s="87"/>
      <c r="E35" s="65"/>
      <c r="F35" s="65"/>
      <c r="G35" s="87"/>
      <c r="H35" s="65"/>
      <c r="I35" s="65"/>
      <c r="J35" s="87"/>
      <c r="K35" s="65"/>
      <c r="L35" s="65"/>
      <c r="M35" s="66"/>
      <c r="U35" s="5"/>
    </row>
    <row r="36" spans="1:21" x14ac:dyDescent="0.15">
      <c r="A36" s="2"/>
      <c r="U36" s="5"/>
    </row>
    <row r="37" spans="1:21" ht="13.5" x14ac:dyDescent="0.15">
      <c r="A37" s="64"/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4"/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21" ht="18" customHeight="1" x14ac:dyDescent="0.15">
      <c r="A47" s="64"/>
      <c r="B47" s="64"/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T3:U3"/>
    <mergeCell ref="V3:W3"/>
    <mergeCell ref="A4:M4"/>
    <mergeCell ref="A5:M5"/>
    <mergeCell ref="B7:D7"/>
    <mergeCell ref="E7:G7"/>
    <mergeCell ref="H7:J7"/>
    <mergeCell ref="K7:M7"/>
    <mergeCell ref="A1:M2"/>
    <mergeCell ref="A3:M3"/>
    <mergeCell ref="N3:O3"/>
    <mergeCell ref="P3:Q3"/>
    <mergeCell ref="R3:S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8" t="s">
        <v>1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80"/>
    </row>
    <row r="2" spans="1:23" x14ac:dyDescent="0.15">
      <c r="A2" s="81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3"/>
    </row>
    <row r="3" spans="1:23" ht="12.75" customHeight="1" x14ac:dyDescent="0.15">
      <c r="A3" s="84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6"/>
      <c r="N3" s="77"/>
      <c r="O3" s="64"/>
      <c r="P3" s="77"/>
      <c r="Q3" s="64"/>
      <c r="R3" s="77"/>
      <c r="S3" s="64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67" t="s">
        <v>23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70" t="s">
        <v>19</v>
      </c>
      <c r="C7" s="70"/>
      <c r="D7" s="70"/>
      <c r="E7" s="70" t="s">
        <v>20</v>
      </c>
      <c r="F7" s="70"/>
      <c r="G7" s="70"/>
      <c r="H7" s="70" t="s">
        <v>21</v>
      </c>
      <c r="I7" s="70"/>
      <c r="J7" s="70"/>
      <c r="K7" s="70"/>
      <c r="L7" s="70"/>
      <c r="M7" s="7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14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17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13</v>
      </c>
      <c r="C11" s="13" t="str">
        <f t="shared" si="0"/>
        <v>c</v>
      </c>
      <c r="D11" s="32" t="s">
        <v>8</v>
      </c>
      <c r="E11" s="38">
        <v>13</v>
      </c>
      <c r="F11" s="13" t="str">
        <f t="shared" si="1"/>
        <v>c</v>
      </c>
      <c r="G11" s="32" t="s">
        <v>8</v>
      </c>
      <c r="H11" s="38">
        <v>17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15</v>
      </c>
      <c r="C13" s="13" t="str">
        <f t="shared" si="0"/>
        <v>b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14</v>
      </c>
      <c r="F14" s="13" t="str">
        <f t="shared" si="1"/>
        <v>c</v>
      </c>
      <c r="G14" s="32" t="s">
        <v>8</v>
      </c>
      <c r="H14" s="38">
        <v>16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14</v>
      </c>
      <c r="C15" s="13" t="str">
        <f t="shared" si="0"/>
        <v>c</v>
      </c>
      <c r="D15" s="32" t="s">
        <v>8</v>
      </c>
      <c r="E15" s="38">
        <v>15</v>
      </c>
      <c r="F15" s="13" t="str">
        <f t="shared" si="1"/>
        <v>b</v>
      </c>
      <c r="G15" s="32" t="s">
        <v>8</v>
      </c>
      <c r="H15" s="38">
        <v>15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16</v>
      </c>
      <c r="C16" s="13" t="str">
        <f t="shared" si="0"/>
        <v>b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12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16</v>
      </c>
      <c r="F17" s="13" t="str">
        <f t="shared" si="1"/>
        <v>b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14</v>
      </c>
      <c r="F18" s="13" t="str">
        <f t="shared" si="1"/>
        <v>c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14.6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14.8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14.733333333333334</v>
      </c>
      <c r="O34" s="48">
        <f>AVERAGE(B9:B18,E9:E18,H9:H18)</f>
        <v>14.733333333333333</v>
      </c>
      <c r="U34" s="5"/>
    </row>
    <row r="35" spans="1:21" ht="30.75" customHeight="1" thickBot="1" x14ac:dyDescent="0.2">
      <c r="A35" s="25"/>
      <c r="B35" s="65"/>
      <c r="C35" s="65"/>
      <c r="D35" s="87"/>
      <c r="E35" s="65"/>
      <c r="F35" s="65"/>
      <c r="G35" s="87"/>
      <c r="H35" s="65"/>
      <c r="I35" s="65"/>
      <c r="J35" s="87"/>
      <c r="K35" s="65"/>
      <c r="L35" s="65"/>
      <c r="M35" s="66"/>
      <c r="U35" s="5"/>
    </row>
    <row r="36" spans="1:21" x14ac:dyDescent="0.15">
      <c r="A36" s="2"/>
      <c r="U36" s="5"/>
    </row>
    <row r="37" spans="1:21" ht="13.5" x14ac:dyDescent="0.15">
      <c r="A37" s="64"/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4"/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21" ht="18" customHeight="1" x14ac:dyDescent="0.15">
      <c r="A47" s="64"/>
      <c r="B47" s="64"/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T3:U3"/>
    <mergeCell ref="V3:W3"/>
    <mergeCell ref="A4:M4"/>
    <mergeCell ref="A5:M5"/>
    <mergeCell ref="B7:D7"/>
    <mergeCell ref="E7:G7"/>
    <mergeCell ref="H7:J7"/>
    <mergeCell ref="K7:M7"/>
    <mergeCell ref="A1:M2"/>
    <mergeCell ref="A3:M3"/>
    <mergeCell ref="N3:O3"/>
    <mergeCell ref="P3:Q3"/>
    <mergeCell ref="R3:S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8" t="s">
        <v>1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80"/>
    </row>
    <row r="2" spans="1:23" x14ac:dyDescent="0.15">
      <c r="A2" s="81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3"/>
    </row>
    <row r="3" spans="1:23" ht="12.75" customHeight="1" x14ac:dyDescent="0.15">
      <c r="A3" s="84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6"/>
      <c r="N3" s="77"/>
      <c r="O3" s="64"/>
      <c r="P3" s="77"/>
      <c r="Q3" s="64"/>
      <c r="R3" s="77"/>
      <c r="S3" s="64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67" t="s">
        <v>23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70" t="s">
        <v>19</v>
      </c>
      <c r="C7" s="70"/>
      <c r="D7" s="70"/>
      <c r="E7" s="70" t="s">
        <v>20</v>
      </c>
      <c r="F7" s="70"/>
      <c r="G7" s="70"/>
      <c r="H7" s="70" t="s">
        <v>21</v>
      </c>
      <c r="I7" s="70"/>
      <c r="J7" s="70"/>
      <c r="K7" s="70"/>
      <c r="L7" s="70"/>
      <c r="M7" s="7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13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13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14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13</v>
      </c>
      <c r="C11" s="13" t="str">
        <f t="shared" si="0"/>
        <v>c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17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16</v>
      </c>
      <c r="C13" s="13" t="str">
        <f t="shared" si="0"/>
        <v>b</v>
      </c>
      <c r="D13" s="32" t="s">
        <v>8</v>
      </c>
      <c r="E13" s="38">
        <v>17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14</v>
      </c>
      <c r="C14" s="13" t="str">
        <f t="shared" si="0"/>
        <v>c</v>
      </c>
      <c r="D14" s="32" t="s">
        <v>8</v>
      </c>
      <c r="E14" s="38">
        <v>14</v>
      </c>
      <c r="F14" s="13" t="str">
        <f t="shared" si="1"/>
        <v>c</v>
      </c>
      <c r="G14" s="32" t="s">
        <v>8</v>
      </c>
      <c r="H14" s="38">
        <v>15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17</v>
      </c>
      <c r="C15" s="13" t="str">
        <f t="shared" si="0"/>
        <v>b</v>
      </c>
      <c r="D15" s="32" t="s">
        <v>8</v>
      </c>
      <c r="E15" s="38">
        <v>13</v>
      </c>
      <c r="F15" s="13" t="str">
        <f t="shared" si="1"/>
        <v>c</v>
      </c>
      <c r="G15" s="32" t="s">
        <v>8</v>
      </c>
      <c r="H15" s="38">
        <v>14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14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14</v>
      </c>
      <c r="I17" s="13" t="str">
        <f t="shared" si="2"/>
        <v>c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17</v>
      </c>
      <c r="F18" s="13" t="str">
        <f t="shared" si="1"/>
        <v>b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14.7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14.9</v>
      </c>
      <c r="I34" s="28" t="str">
        <f>IF(18.9&lt;=H34,"a",IF(AND(18.9&gt;H34,H34&gt;=14.9),"b",IF(AND(14.9&gt;H34,H34&gt;=12),"c",IF(AND(12&gt;H34,H34&gt;=10.2),"d",IF(10.2&gt;H34,"e","?")))))</f>
        <v>b</v>
      </c>
      <c r="J34" s="33" t="s">
        <v>8</v>
      </c>
      <c r="K34" s="29"/>
      <c r="L34" s="28" t="s">
        <v>24</v>
      </c>
      <c r="M34" s="50">
        <f>(B34+E34+H34)/3</f>
        <v>14.766666666666666</v>
      </c>
      <c r="O34" s="48">
        <f>AVERAGE(B9:B18,E9:E18,H9:H18)</f>
        <v>14.766666666666667</v>
      </c>
      <c r="U34" s="5"/>
    </row>
    <row r="35" spans="1:21" ht="30.75" customHeight="1" thickBot="1" x14ac:dyDescent="0.2">
      <c r="A35" s="25"/>
      <c r="B35" s="65"/>
      <c r="C35" s="65"/>
      <c r="D35" s="87"/>
      <c r="E35" s="65"/>
      <c r="F35" s="65"/>
      <c r="G35" s="87"/>
      <c r="H35" s="65"/>
      <c r="I35" s="65"/>
      <c r="J35" s="87"/>
      <c r="K35" s="65"/>
      <c r="L35" s="65"/>
      <c r="M35" s="66"/>
      <c r="U35" s="5"/>
    </row>
    <row r="36" spans="1:21" x14ac:dyDescent="0.15">
      <c r="A36" s="2"/>
      <c r="U36" s="5"/>
    </row>
    <row r="37" spans="1:21" ht="13.5" x14ac:dyDescent="0.15">
      <c r="A37" s="64"/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4"/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21" ht="18" customHeight="1" x14ac:dyDescent="0.15">
      <c r="A47" s="64"/>
      <c r="B47" s="64"/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T3:U3"/>
    <mergeCell ref="V3:W3"/>
    <mergeCell ref="A4:M4"/>
    <mergeCell ref="A5:M5"/>
    <mergeCell ref="B7:D7"/>
    <mergeCell ref="E7:G7"/>
    <mergeCell ref="H7:J7"/>
    <mergeCell ref="K7:M7"/>
    <mergeCell ref="A1:M2"/>
    <mergeCell ref="A3:M3"/>
    <mergeCell ref="N3:O3"/>
    <mergeCell ref="P3:Q3"/>
    <mergeCell ref="R3:S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8" t="s">
        <v>1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80"/>
    </row>
    <row r="2" spans="1:23" x14ac:dyDescent="0.15">
      <c r="A2" s="81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3"/>
    </row>
    <row r="3" spans="1:23" ht="12.75" customHeight="1" x14ac:dyDescent="0.15">
      <c r="A3" s="84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6"/>
      <c r="N3" s="77"/>
      <c r="O3" s="64"/>
      <c r="P3" s="77"/>
      <c r="Q3" s="64"/>
      <c r="R3" s="77"/>
      <c r="S3" s="64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67" t="s">
        <v>23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70" t="s">
        <v>19</v>
      </c>
      <c r="C7" s="70"/>
      <c r="D7" s="70"/>
      <c r="E7" s="70" t="s">
        <v>20</v>
      </c>
      <c r="F7" s="70"/>
      <c r="G7" s="70"/>
      <c r="H7" s="70" t="s">
        <v>21</v>
      </c>
      <c r="I7" s="70"/>
      <c r="J7" s="70"/>
      <c r="K7" s="70"/>
      <c r="L7" s="70"/>
      <c r="M7" s="7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17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17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13</v>
      </c>
      <c r="C10" s="13" t="str">
        <f t="shared" si="0"/>
        <v>c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13</v>
      </c>
      <c r="C11" s="13" t="str">
        <f t="shared" si="0"/>
        <v>c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14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15</v>
      </c>
      <c r="C12" s="13" t="str">
        <f t="shared" si="0"/>
        <v>b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14</v>
      </c>
      <c r="I12" s="13" t="str">
        <f t="shared" si="2"/>
        <v>c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15</v>
      </c>
      <c r="C13" s="13" t="str">
        <f t="shared" si="0"/>
        <v>b</v>
      </c>
      <c r="D13" s="32" t="s">
        <v>8</v>
      </c>
      <c r="E13" s="38">
        <v>14</v>
      </c>
      <c r="F13" s="13" t="str">
        <f t="shared" si="1"/>
        <v>c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16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16</v>
      </c>
      <c r="C15" s="13" t="str">
        <f t="shared" si="0"/>
        <v>b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16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15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13</v>
      </c>
      <c r="F17" s="13" t="str">
        <f t="shared" si="1"/>
        <v>c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14</v>
      </c>
      <c r="C18" s="13" t="str">
        <f t="shared" si="0"/>
        <v>c</v>
      </c>
      <c r="D18" s="32" t="s">
        <v>8</v>
      </c>
      <c r="E18" s="38">
        <v>15</v>
      </c>
      <c r="F18" s="13" t="str">
        <f t="shared" si="1"/>
        <v>b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14.6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14.8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14.733333333333334</v>
      </c>
      <c r="O34" s="48">
        <f>AVERAGE(B9:B18,E9:E18,H9:H18)</f>
        <v>14.733333333333333</v>
      </c>
      <c r="U34" s="5"/>
    </row>
    <row r="35" spans="1:21" ht="30.75" customHeight="1" thickBot="1" x14ac:dyDescent="0.2">
      <c r="A35" s="25"/>
      <c r="B35" s="65"/>
      <c r="C35" s="65"/>
      <c r="D35" s="87"/>
      <c r="E35" s="65"/>
      <c r="F35" s="65"/>
      <c r="G35" s="87"/>
      <c r="H35" s="65"/>
      <c r="I35" s="65"/>
      <c r="J35" s="87"/>
      <c r="K35" s="65"/>
      <c r="L35" s="65"/>
      <c r="M35" s="66"/>
      <c r="U35" s="5"/>
    </row>
    <row r="36" spans="1:21" x14ac:dyDescent="0.15">
      <c r="A36" s="2"/>
      <c r="U36" s="5"/>
    </row>
    <row r="37" spans="1:21" ht="13.5" x14ac:dyDescent="0.15">
      <c r="A37" s="64"/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4"/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21" ht="18" customHeight="1" x14ac:dyDescent="0.15">
      <c r="A47" s="64"/>
      <c r="B47" s="64"/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T3:U3"/>
    <mergeCell ref="V3:W3"/>
    <mergeCell ref="A4:M4"/>
    <mergeCell ref="A5:M5"/>
    <mergeCell ref="B7:D7"/>
    <mergeCell ref="E7:G7"/>
    <mergeCell ref="H7:J7"/>
    <mergeCell ref="K7:M7"/>
    <mergeCell ref="A1:M2"/>
    <mergeCell ref="A3:M3"/>
    <mergeCell ref="N3:O3"/>
    <mergeCell ref="P3:Q3"/>
    <mergeCell ref="R3:S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44140625" style="43" bestFit="1" customWidth="1"/>
    <col min="6" max="6" width="4" style="1" bestFit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8" t="s">
        <v>1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80"/>
    </row>
    <row r="2" spans="1:23" x14ac:dyDescent="0.15">
      <c r="A2" s="81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3"/>
    </row>
    <row r="3" spans="1:23" ht="12.75" customHeight="1" x14ac:dyDescent="0.15">
      <c r="A3" s="84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6"/>
      <c r="N3" s="77"/>
      <c r="O3" s="64"/>
      <c r="P3" s="77"/>
      <c r="Q3" s="64"/>
      <c r="R3" s="77"/>
      <c r="S3" s="64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67" t="s">
        <v>23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70" t="s">
        <v>19</v>
      </c>
      <c r="C7" s="70"/>
      <c r="D7" s="70"/>
      <c r="E7" s="70" t="s">
        <v>20</v>
      </c>
      <c r="F7" s="70"/>
      <c r="G7" s="70"/>
      <c r="H7" s="70" t="s">
        <v>21</v>
      </c>
      <c r="I7" s="70"/>
      <c r="J7" s="70"/>
      <c r="K7" s="70"/>
      <c r="L7" s="70"/>
      <c r="M7" s="7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17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16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13</v>
      </c>
      <c r="C10" s="13" t="str">
        <f t="shared" si="0"/>
        <v>c</v>
      </c>
      <c r="D10" s="32" t="s">
        <v>8</v>
      </c>
      <c r="E10" s="38">
        <v>13</v>
      </c>
      <c r="F10" s="13" t="str">
        <f t="shared" si="1"/>
        <v>c</v>
      </c>
      <c r="G10" s="32" t="s">
        <v>8</v>
      </c>
      <c r="H10" s="38">
        <v>14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13</v>
      </c>
      <c r="C11" s="13" t="str">
        <f t="shared" si="0"/>
        <v>c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14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15</v>
      </c>
      <c r="C12" s="13" t="str">
        <f t="shared" si="0"/>
        <v>b</v>
      </c>
      <c r="D12" s="32" t="s">
        <v>8</v>
      </c>
      <c r="E12" s="38">
        <v>16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15</v>
      </c>
      <c r="C13" s="13" t="str">
        <f t="shared" si="0"/>
        <v>b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13</v>
      </c>
      <c r="I13" s="13" t="str">
        <f t="shared" si="2"/>
        <v>c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15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16</v>
      </c>
      <c r="C15" s="13" t="str">
        <f t="shared" si="0"/>
        <v>b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16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17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13</v>
      </c>
      <c r="F17" s="13" t="str">
        <f t="shared" si="1"/>
        <v>c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14</v>
      </c>
      <c r="C18" s="13" t="str">
        <f t="shared" si="0"/>
        <v>c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16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14.9</v>
      </c>
      <c r="F34" s="28" t="str">
        <f>IF(18.9&lt;=E34,"a",IF(AND(18.9&gt;E34,E34&gt;=14.9),"b",IF(AND(14.9&gt;E34,E34&gt;=12),"c",IF(AND(12&gt;E34,E34&gt;=10.2),"d",IF(10.2&gt;E34,"e","?")))))</f>
        <v>b</v>
      </c>
      <c r="G34" s="33" t="s">
        <v>8</v>
      </c>
      <c r="H34" s="29">
        <f>AVERAGE(H9:H18)</f>
        <v>15</v>
      </c>
      <c r="I34" s="28" t="str">
        <f>IF(18.9&lt;=H34,"a",IF(AND(18.9&gt;H34,H34&gt;=14.9),"b",IF(AND(14.9&gt;H34,H34&gt;=12),"c",IF(AND(12&gt;H34,H34&gt;=10.2),"d",IF(10.2&gt;H34,"e","?")))))</f>
        <v>b</v>
      </c>
      <c r="J34" s="33" t="s">
        <v>8</v>
      </c>
      <c r="K34" s="29"/>
      <c r="L34" s="28" t="s">
        <v>24</v>
      </c>
      <c r="M34" s="50">
        <f>(B34+E34+H34)/3</f>
        <v>14.9</v>
      </c>
      <c r="O34" s="48">
        <f>AVERAGE(B9:B18,E9:E18,H9:H18)</f>
        <v>14.9</v>
      </c>
      <c r="U34" s="5"/>
    </row>
    <row r="35" spans="1:21" ht="30.75" customHeight="1" thickBot="1" x14ac:dyDescent="0.2">
      <c r="A35" s="25"/>
      <c r="B35" s="65"/>
      <c r="C35" s="65"/>
      <c r="D35" s="87"/>
      <c r="E35" s="65"/>
      <c r="F35" s="65"/>
      <c r="G35" s="87"/>
      <c r="H35" s="65"/>
      <c r="I35" s="65"/>
      <c r="J35" s="87"/>
      <c r="K35" s="65"/>
      <c r="L35" s="65"/>
      <c r="M35" s="66"/>
      <c r="U35" s="5"/>
    </row>
    <row r="36" spans="1:21" x14ac:dyDescent="0.15">
      <c r="A36" s="2"/>
      <c r="U36" s="5"/>
    </row>
    <row r="37" spans="1:21" ht="13.5" x14ac:dyDescent="0.15">
      <c r="A37" s="64"/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4"/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21" ht="18" customHeight="1" x14ac:dyDescent="0.15">
      <c r="A47" s="64"/>
      <c r="B47" s="64"/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T3:U3"/>
    <mergeCell ref="V3:W3"/>
    <mergeCell ref="A4:M4"/>
    <mergeCell ref="A5:M5"/>
    <mergeCell ref="B7:D7"/>
    <mergeCell ref="E7:G7"/>
    <mergeCell ref="H7:J7"/>
    <mergeCell ref="K7:M7"/>
    <mergeCell ref="A1:M2"/>
    <mergeCell ref="A3:M3"/>
    <mergeCell ref="N3:O3"/>
    <mergeCell ref="P3:Q3"/>
    <mergeCell ref="R3:S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8" t="s">
        <v>1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80"/>
    </row>
    <row r="2" spans="1:23" x14ac:dyDescent="0.15">
      <c r="A2" s="81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3"/>
    </row>
    <row r="3" spans="1:23" ht="12.75" customHeight="1" x14ac:dyDescent="0.15">
      <c r="A3" s="84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6"/>
      <c r="N3" s="77"/>
      <c r="O3" s="64"/>
      <c r="P3" s="77"/>
      <c r="Q3" s="64"/>
      <c r="R3" s="77"/>
      <c r="S3" s="64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67" t="s">
        <v>23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70" t="s">
        <v>19</v>
      </c>
      <c r="C7" s="70"/>
      <c r="D7" s="70"/>
      <c r="E7" s="70" t="s">
        <v>20</v>
      </c>
      <c r="F7" s="70"/>
      <c r="G7" s="70"/>
      <c r="H7" s="70" t="s">
        <v>21</v>
      </c>
      <c r="I7" s="70"/>
      <c r="J7" s="70"/>
      <c r="K7" s="70"/>
      <c r="L7" s="70"/>
      <c r="M7" s="7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16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16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14</v>
      </c>
      <c r="C11" s="13" t="str">
        <f t="shared" si="0"/>
        <v>c</v>
      </c>
      <c r="D11" s="32" t="s">
        <v>8</v>
      </c>
      <c r="E11" s="38">
        <v>14</v>
      </c>
      <c r="F11" s="13" t="str">
        <f t="shared" si="1"/>
        <v>c</v>
      </c>
      <c r="G11" s="32" t="s">
        <v>8</v>
      </c>
      <c r="H11" s="38">
        <v>14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16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16</v>
      </c>
      <c r="C13" s="13" t="str">
        <f t="shared" si="0"/>
        <v>b</v>
      </c>
      <c r="D13" s="32" t="s">
        <v>8</v>
      </c>
      <c r="E13" s="38">
        <v>13</v>
      </c>
      <c r="F13" s="13" t="str">
        <f t="shared" si="1"/>
        <v>c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14</v>
      </c>
      <c r="C14" s="13" t="str">
        <f t="shared" si="0"/>
        <v>c</v>
      </c>
      <c r="D14" s="32" t="s">
        <v>8</v>
      </c>
      <c r="E14" s="38">
        <v>16</v>
      </c>
      <c r="F14" s="13" t="str">
        <f t="shared" si="1"/>
        <v>b</v>
      </c>
      <c r="G14" s="32" t="s">
        <v>8</v>
      </c>
      <c r="H14" s="38">
        <v>14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15</v>
      </c>
      <c r="C15" s="13" t="str">
        <f t="shared" si="0"/>
        <v>b</v>
      </c>
      <c r="D15" s="32" t="s">
        <v>8</v>
      </c>
      <c r="E15" s="38">
        <v>15</v>
      </c>
      <c r="F15" s="13" t="str">
        <f t="shared" si="1"/>
        <v>b</v>
      </c>
      <c r="G15" s="32" t="s">
        <v>8</v>
      </c>
      <c r="H15" s="38">
        <v>15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13</v>
      </c>
      <c r="C16" s="13" t="str">
        <f t="shared" si="0"/>
        <v>c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16</v>
      </c>
      <c r="C17" s="13" t="str">
        <f t="shared" si="0"/>
        <v>b</v>
      </c>
      <c r="D17" s="32" t="s">
        <v>8</v>
      </c>
      <c r="E17" s="38">
        <v>14</v>
      </c>
      <c r="F17" s="13" t="str">
        <f t="shared" si="1"/>
        <v>c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15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15</v>
      </c>
      <c r="I34" s="28" t="str">
        <f>IF(18.9&lt;=H34,"a",IF(AND(18.9&gt;H34,H34&gt;=14.9),"b",IF(AND(14.9&gt;H34,H34&gt;=12),"c",IF(AND(12&gt;H34,H34&gt;=10.2),"d",IF(10.2&gt;H34,"e","?")))))</f>
        <v>b</v>
      </c>
      <c r="J34" s="33" t="s">
        <v>8</v>
      </c>
      <c r="K34" s="29"/>
      <c r="L34" s="28" t="s">
        <v>24</v>
      </c>
      <c r="M34" s="50">
        <f>(B34+E34+H34)/3</f>
        <v>14.9</v>
      </c>
      <c r="O34" s="48">
        <f>AVERAGE(B9:B18,E9:E18,H9:H18)</f>
        <v>14.9</v>
      </c>
      <c r="U34" s="5"/>
    </row>
    <row r="35" spans="1:21" ht="30.75" customHeight="1" thickBot="1" x14ac:dyDescent="0.2">
      <c r="A35" s="25"/>
      <c r="B35" s="65"/>
      <c r="C35" s="65"/>
      <c r="D35" s="87"/>
      <c r="E35" s="65"/>
      <c r="F35" s="65"/>
      <c r="G35" s="87"/>
      <c r="H35" s="65"/>
      <c r="I35" s="65"/>
      <c r="J35" s="87"/>
      <c r="K35" s="65"/>
      <c r="L35" s="65"/>
      <c r="M35" s="66"/>
      <c r="U35" s="5"/>
    </row>
    <row r="36" spans="1:21" x14ac:dyDescent="0.15">
      <c r="A36" s="2"/>
      <c r="U36" s="5"/>
    </row>
    <row r="37" spans="1:21" ht="13.5" x14ac:dyDescent="0.15">
      <c r="A37" s="64"/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4"/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21" ht="18" customHeight="1" x14ac:dyDescent="0.15">
      <c r="A47" s="64"/>
      <c r="B47" s="64"/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T3:U3"/>
    <mergeCell ref="V3:W3"/>
    <mergeCell ref="A4:M4"/>
    <mergeCell ref="A5:M5"/>
    <mergeCell ref="B7:D7"/>
    <mergeCell ref="E7:G7"/>
    <mergeCell ref="H7:J7"/>
    <mergeCell ref="K7:M7"/>
    <mergeCell ref="A1:M2"/>
    <mergeCell ref="A3:M3"/>
    <mergeCell ref="N3:O3"/>
    <mergeCell ref="P3:Q3"/>
    <mergeCell ref="R3:S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8" t="s">
        <v>1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80"/>
    </row>
    <row r="2" spans="1:23" x14ac:dyDescent="0.15">
      <c r="A2" s="81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3"/>
    </row>
    <row r="3" spans="1:23" ht="12.75" customHeight="1" x14ac:dyDescent="0.15">
      <c r="A3" s="84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6"/>
      <c r="N3" s="77"/>
      <c r="O3" s="64"/>
      <c r="P3" s="77"/>
      <c r="Q3" s="64"/>
      <c r="R3" s="77"/>
      <c r="S3" s="64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67" t="s">
        <v>23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70" t="s">
        <v>19</v>
      </c>
      <c r="C7" s="70"/>
      <c r="D7" s="70"/>
      <c r="E7" s="70" t="s">
        <v>20</v>
      </c>
      <c r="F7" s="70"/>
      <c r="G7" s="70"/>
      <c r="H7" s="70" t="s">
        <v>21</v>
      </c>
      <c r="I7" s="70"/>
      <c r="J7" s="70"/>
      <c r="K7" s="70"/>
      <c r="L7" s="70"/>
      <c r="M7" s="7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14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13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16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13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17</v>
      </c>
      <c r="C11" s="13" t="str">
        <f t="shared" si="0"/>
        <v>b</v>
      </c>
      <c r="D11" s="32" t="s">
        <v>8</v>
      </c>
      <c r="E11" s="38">
        <v>13</v>
      </c>
      <c r="F11" s="13" t="str">
        <f t="shared" si="1"/>
        <v>c</v>
      </c>
      <c r="G11" s="32" t="s">
        <v>8</v>
      </c>
      <c r="H11" s="38">
        <v>16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13</v>
      </c>
      <c r="C12" s="13" t="str">
        <f t="shared" si="0"/>
        <v>c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13</v>
      </c>
      <c r="C13" s="13" t="str">
        <f t="shared" si="0"/>
        <v>c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13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17</v>
      </c>
      <c r="C15" s="13" t="str">
        <f t="shared" si="0"/>
        <v>b</v>
      </c>
      <c r="D15" s="32" t="s">
        <v>8</v>
      </c>
      <c r="E15" s="38">
        <v>15</v>
      </c>
      <c r="F15" s="13" t="str">
        <f t="shared" si="1"/>
        <v>b</v>
      </c>
      <c r="G15" s="32" t="s">
        <v>8</v>
      </c>
      <c r="H15" s="38">
        <v>14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13</v>
      </c>
      <c r="C16" s="13" t="str">
        <f t="shared" si="0"/>
        <v>c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14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16</v>
      </c>
      <c r="C18" s="13" t="str">
        <f t="shared" si="0"/>
        <v>b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14.6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14.666666666666666</v>
      </c>
      <c r="O34" s="48">
        <f>AVERAGE(B9:B18,E9:E18,H9:H18)</f>
        <v>14.666666666666666</v>
      </c>
      <c r="U34" s="5"/>
    </row>
    <row r="35" spans="1:21" ht="30.75" customHeight="1" thickBot="1" x14ac:dyDescent="0.2">
      <c r="A35" s="25"/>
      <c r="B35" s="65"/>
      <c r="C35" s="65"/>
      <c r="D35" s="87"/>
      <c r="E35" s="65"/>
      <c r="F35" s="65"/>
      <c r="G35" s="87"/>
      <c r="H35" s="65"/>
      <c r="I35" s="65"/>
      <c r="J35" s="87"/>
      <c r="K35" s="65"/>
      <c r="L35" s="65"/>
      <c r="M35" s="66"/>
      <c r="U35" s="5"/>
    </row>
    <row r="36" spans="1:21" x14ac:dyDescent="0.15">
      <c r="A36" s="2"/>
      <c r="U36" s="5"/>
    </row>
    <row r="37" spans="1:21" ht="13.5" x14ac:dyDescent="0.15">
      <c r="A37" s="64"/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4"/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21" ht="18" customHeight="1" x14ac:dyDescent="0.15">
      <c r="A47" s="64"/>
      <c r="B47" s="64"/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T3:U3"/>
    <mergeCell ref="V3:W3"/>
    <mergeCell ref="A4:M4"/>
    <mergeCell ref="A5:M5"/>
    <mergeCell ref="B7:D7"/>
    <mergeCell ref="E7:G7"/>
    <mergeCell ref="H7:J7"/>
    <mergeCell ref="K7:M7"/>
    <mergeCell ref="A1:M2"/>
    <mergeCell ref="A3:M3"/>
    <mergeCell ref="N3:O3"/>
    <mergeCell ref="P3:Q3"/>
    <mergeCell ref="R3:S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8" t="s">
        <v>1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80"/>
    </row>
    <row r="2" spans="1:23" x14ac:dyDescent="0.15">
      <c r="A2" s="81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3"/>
    </row>
    <row r="3" spans="1:23" ht="12.75" customHeight="1" x14ac:dyDescent="0.15">
      <c r="A3" s="84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6"/>
      <c r="N3" s="77"/>
      <c r="O3" s="64"/>
      <c r="P3" s="77"/>
      <c r="Q3" s="64"/>
      <c r="R3" s="77"/>
      <c r="S3" s="64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67" t="s">
        <v>23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70" t="s">
        <v>19</v>
      </c>
      <c r="C7" s="70"/>
      <c r="D7" s="70"/>
      <c r="E7" s="70" t="s">
        <v>20</v>
      </c>
      <c r="F7" s="70"/>
      <c r="G7" s="70"/>
      <c r="H7" s="70" t="s">
        <v>21</v>
      </c>
      <c r="I7" s="70"/>
      <c r="J7" s="70"/>
      <c r="K7" s="70"/>
      <c r="L7" s="70"/>
      <c r="M7" s="7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15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13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17</v>
      </c>
      <c r="C11" s="13" t="str">
        <f t="shared" si="0"/>
        <v>b</v>
      </c>
      <c r="D11" s="32" t="s">
        <v>8</v>
      </c>
      <c r="E11" s="38">
        <v>13</v>
      </c>
      <c r="F11" s="13" t="str">
        <f t="shared" si="1"/>
        <v>c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15</v>
      </c>
      <c r="C12" s="13" t="str">
        <f t="shared" si="0"/>
        <v>b</v>
      </c>
      <c r="D12" s="32" t="s">
        <v>8</v>
      </c>
      <c r="E12" s="38">
        <v>13</v>
      </c>
      <c r="F12" s="13" t="str">
        <f t="shared" si="1"/>
        <v>c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13</v>
      </c>
      <c r="C13" s="13" t="str">
        <f t="shared" si="0"/>
        <v>c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13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17</v>
      </c>
      <c r="C15" s="13" t="str">
        <f t="shared" si="0"/>
        <v>b</v>
      </c>
      <c r="D15" s="32" t="s">
        <v>8</v>
      </c>
      <c r="E15" s="38">
        <v>13</v>
      </c>
      <c r="F15" s="13" t="str">
        <f t="shared" si="1"/>
        <v>c</v>
      </c>
      <c r="G15" s="32" t="s">
        <v>8</v>
      </c>
      <c r="H15" s="38">
        <v>14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14</v>
      </c>
      <c r="C16" s="13" t="str">
        <f t="shared" si="0"/>
        <v>c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14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16</v>
      </c>
      <c r="C18" s="13" t="str">
        <f t="shared" si="0"/>
        <v>b</v>
      </c>
      <c r="D18" s="32" t="s">
        <v>8</v>
      </c>
      <c r="E18" s="38">
        <v>14</v>
      </c>
      <c r="F18" s="13" t="str">
        <f t="shared" si="1"/>
        <v>c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15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14.2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14.6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14.6</v>
      </c>
      <c r="O34" s="48">
        <f>AVERAGE(B9:B18,E9:E18,H9:H18)</f>
        <v>14.6</v>
      </c>
      <c r="U34" s="5"/>
    </row>
    <row r="35" spans="1:21" ht="30.75" customHeight="1" thickBot="1" x14ac:dyDescent="0.2">
      <c r="A35" s="25"/>
      <c r="B35" s="53">
        <v>14.8</v>
      </c>
      <c r="C35" s="53"/>
      <c r="D35" s="54"/>
      <c r="E35" s="53">
        <v>14.3</v>
      </c>
      <c r="F35" s="53"/>
      <c r="G35" s="54"/>
      <c r="H35" s="53">
        <v>14.7</v>
      </c>
      <c r="I35" s="53"/>
      <c r="J35" s="54"/>
      <c r="K35" s="53"/>
      <c r="L35" s="53"/>
      <c r="M35" s="55"/>
      <c r="U35" s="5"/>
    </row>
    <row r="36" spans="1:21" x14ac:dyDescent="0.15">
      <c r="A36" s="2"/>
      <c r="U36" s="5"/>
    </row>
    <row r="37" spans="1:21" ht="13.5" x14ac:dyDescent="0.15">
      <c r="A37" s="64"/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4"/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21" ht="18" customHeight="1" x14ac:dyDescent="0.15">
      <c r="A47" s="64"/>
      <c r="B47" s="64"/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</row>
  </sheetData>
  <mergeCells count="16">
    <mergeCell ref="A1:M2"/>
    <mergeCell ref="A3:M3"/>
    <mergeCell ref="N3:O3"/>
    <mergeCell ref="P3:Q3"/>
    <mergeCell ref="R3:S3"/>
    <mergeCell ref="A47:M47"/>
    <mergeCell ref="A37:M37"/>
    <mergeCell ref="A46:M46"/>
    <mergeCell ref="V3:W3"/>
    <mergeCell ref="A4:M4"/>
    <mergeCell ref="A5:M5"/>
    <mergeCell ref="B7:D7"/>
    <mergeCell ref="E7:G7"/>
    <mergeCell ref="H7:J7"/>
    <mergeCell ref="K7:M7"/>
    <mergeCell ref="T3:U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FAB68-7A48-410B-B842-5D6EE86885BE}">
  <sheetPr codeName="Sheet35"/>
  <dimension ref="A1:N103"/>
  <sheetViews>
    <sheetView tabSelected="1" topLeftCell="A19" workbookViewId="0">
      <selection activeCell="P52" sqref="P52"/>
    </sheetView>
  </sheetViews>
  <sheetFormatPr defaultRowHeight="13.5" x14ac:dyDescent="0.15"/>
  <cols>
    <col min="1" max="16384" width="8.88671875" style="52"/>
  </cols>
  <sheetData>
    <row r="1" spans="1:14" ht="14.25" thickBot="1" x14ac:dyDescent="0.2"/>
    <row r="2" spans="1:14" x14ac:dyDescent="0.15">
      <c r="A2" s="88" t="s">
        <v>29</v>
      </c>
      <c r="B2" s="60" t="s">
        <v>26</v>
      </c>
      <c r="C2" s="56">
        <v>13</v>
      </c>
      <c r="D2" s="56">
        <v>17</v>
      </c>
      <c r="E2" s="56">
        <v>17</v>
      </c>
      <c r="F2" s="56">
        <v>16</v>
      </c>
      <c r="G2" s="56">
        <v>17</v>
      </c>
      <c r="H2" s="56">
        <v>13</v>
      </c>
      <c r="I2" s="56">
        <v>16</v>
      </c>
      <c r="J2" s="56">
        <v>16</v>
      </c>
      <c r="K2" s="56">
        <v>13</v>
      </c>
      <c r="L2" s="56">
        <v>14</v>
      </c>
      <c r="M2" s="90">
        <v>14.9</v>
      </c>
      <c r="N2" s="92" t="s">
        <v>8</v>
      </c>
    </row>
    <row r="3" spans="1:14" x14ac:dyDescent="0.15">
      <c r="A3" s="89"/>
      <c r="B3" s="61" t="s">
        <v>27</v>
      </c>
      <c r="C3" s="57">
        <v>15</v>
      </c>
      <c r="D3" s="57">
        <v>14</v>
      </c>
      <c r="E3" s="57">
        <v>15</v>
      </c>
      <c r="F3" s="57">
        <v>16</v>
      </c>
      <c r="G3" s="57">
        <v>13</v>
      </c>
      <c r="H3" s="57">
        <v>16</v>
      </c>
      <c r="I3" s="57">
        <v>17</v>
      </c>
      <c r="J3" s="57">
        <v>13</v>
      </c>
      <c r="K3" s="57">
        <v>13</v>
      </c>
      <c r="L3" s="57">
        <v>15</v>
      </c>
      <c r="M3" s="91"/>
      <c r="N3" s="93"/>
    </row>
    <row r="4" spans="1:14" ht="14.25" thickBot="1" x14ac:dyDescent="0.2">
      <c r="A4" s="89"/>
      <c r="B4" s="62" t="s">
        <v>28</v>
      </c>
      <c r="C4" s="58">
        <v>13</v>
      </c>
      <c r="D4" s="58">
        <v>15</v>
      </c>
      <c r="E4" s="58">
        <v>15</v>
      </c>
      <c r="F4" s="58">
        <v>15</v>
      </c>
      <c r="G4" s="58">
        <v>16</v>
      </c>
      <c r="H4" s="58">
        <v>16</v>
      </c>
      <c r="I4" s="58">
        <v>13</v>
      </c>
      <c r="J4" s="58">
        <v>15</v>
      </c>
      <c r="K4" s="58">
        <v>17</v>
      </c>
      <c r="L4" s="58">
        <v>13</v>
      </c>
      <c r="M4" s="91"/>
      <c r="N4" s="93"/>
    </row>
    <row r="5" spans="1:14" x14ac:dyDescent="0.15">
      <c r="A5" s="88" t="s">
        <v>30</v>
      </c>
      <c r="B5" s="60" t="s">
        <v>26</v>
      </c>
      <c r="C5" s="56">
        <v>14</v>
      </c>
      <c r="D5" s="56">
        <v>14</v>
      </c>
      <c r="E5" s="56">
        <v>16</v>
      </c>
      <c r="F5" s="56">
        <v>13</v>
      </c>
      <c r="G5" s="56">
        <v>15</v>
      </c>
      <c r="H5" s="56">
        <v>15</v>
      </c>
      <c r="I5" s="56">
        <v>16</v>
      </c>
      <c r="J5" s="56">
        <v>16</v>
      </c>
      <c r="K5" s="56">
        <v>13</v>
      </c>
      <c r="L5" s="56">
        <v>16</v>
      </c>
      <c r="M5" s="90">
        <v>14.8</v>
      </c>
      <c r="N5" s="92" t="s">
        <v>8</v>
      </c>
    </row>
    <row r="6" spans="1:14" x14ac:dyDescent="0.15">
      <c r="A6" s="89"/>
      <c r="B6" s="61" t="s">
        <v>27</v>
      </c>
      <c r="C6" s="57">
        <v>15</v>
      </c>
      <c r="D6" s="57">
        <v>15</v>
      </c>
      <c r="E6" s="57">
        <v>15</v>
      </c>
      <c r="F6" s="57">
        <v>16</v>
      </c>
      <c r="G6" s="57">
        <v>16</v>
      </c>
      <c r="H6" s="57">
        <v>13</v>
      </c>
      <c r="I6" s="57">
        <v>15</v>
      </c>
      <c r="J6" s="57">
        <v>13</v>
      </c>
      <c r="K6" s="57">
        <v>17</v>
      </c>
      <c r="L6" s="57">
        <v>13</v>
      </c>
      <c r="M6" s="91"/>
      <c r="N6" s="93"/>
    </row>
    <row r="7" spans="1:14" ht="14.25" thickBot="1" x14ac:dyDescent="0.2">
      <c r="A7" s="89"/>
      <c r="B7" s="62" t="s">
        <v>28</v>
      </c>
      <c r="C7" s="58">
        <v>13</v>
      </c>
      <c r="D7" s="58">
        <v>14</v>
      </c>
      <c r="E7" s="58">
        <v>15</v>
      </c>
      <c r="F7" s="58">
        <v>15</v>
      </c>
      <c r="G7" s="58">
        <v>14</v>
      </c>
      <c r="H7" s="58">
        <v>14</v>
      </c>
      <c r="I7" s="58">
        <v>16</v>
      </c>
      <c r="J7" s="58">
        <v>16</v>
      </c>
      <c r="K7" s="58">
        <v>17</v>
      </c>
      <c r="L7" s="58">
        <v>13</v>
      </c>
      <c r="M7" s="91"/>
      <c r="N7" s="93"/>
    </row>
    <row r="8" spans="1:14" x14ac:dyDescent="0.15">
      <c r="A8" s="88" t="s">
        <v>31</v>
      </c>
      <c r="B8" s="60" t="s">
        <v>26</v>
      </c>
      <c r="C8" s="56">
        <v>13</v>
      </c>
      <c r="D8" s="56">
        <v>15</v>
      </c>
      <c r="E8" s="56">
        <v>15</v>
      </c>
      <c r="F8" s="56">
        <v>15</v>
      </c>
      <c r="G8" s="56">
        <v>16</v>
      </c>
      <c r="H8" s="56">
        <v>17</v>
      </c>
      <c r="I8" s="56">
        <v>13</v>
      </c>
      <c r="J8" s="56">
        <v>14</v>
      </c>
      <c r="K8" s="56">
        <v>13</v>
      </c>
      <c r="L8" s="56">
        <v>15</v>
      </c>
      <c r="M8" s="90">
        <v>14.6</v>
      </c>
      <c r="N8" s="92" t="s">
        <v>8</v>
      </c>
    </row>
    <row r="9" spans="1:14" x14ac:dyDescent="0.15">
      <c r="A9" s="89"/>
      <c r="B9" s="61" t="s">
        <v>27</v>
      </c>
      <c r="C9" s="57">
        <v>16</v>
      </c>
      <c r="D9" s="57">
        <v>15</v>
      </c>
      <c r="E9" s="57">
        <v>14</v>
      </c>
      <c r="F9" s="57">
        <v>13</v>
      </c>
      <c r="G9" s="57">
        <v>14</v>
      </c>
      <c r="H9" s="57">
        <v>17</v>
      </c>
      <c r="I9" s="57">
        <v>13</v>
      </c>
      <c r="J9" s="57">
        <v>16</v>
      </c>
      <c r="K9" s="57">
        <v>16</v>
      </c>
      <c r="L9" s="57">
        <v>13</v>
      </c>
      <c r="M9" s="91"/>
      <c r="N9" s="93"/>
    </row>
    <row r="10" spans="1:14" ht="14.25" thickBot="1" x14ac:dyDescent="0.2">
      <c r="A10" s="89"/>
      <c r="B10" s="62" t="s">
        <v>28</v>
      </c>
      <c r="C10" s="58">
        <v>15</v>
      </c>
      <c r="D10" s="58">
        <v>15</v>
      </c>
      <c r="E10" s="58">
        <v>13</v>
      </c>
      <c r="F10" s="58">
        <v>16</v>
      </c>
      <c r="G10" s="58">
        <v>14</v>
      </c>
      <c r="H10" s="58">
        <v>15</v>
      </c>
      <c r="I10" s="58">
        <v>13</v>
      </c>
      <c r="J10" s="58">
        <v>14</v>
      </c>
      <c r="K10" s="58">
        <v>16</v>
      </c>
      <c r="L10" s="58">
        <v>15</v>
      </c>
      <c r="M10" s="91"/>
      <c r="N10" s="93"/>
    </row>
    <row r="11" spans="1:14" x14ac:dyDescent="0.15">
      <c r="A11" s="88" t="s">
        <v>32</v>
      </c>
      <c r="B11" s="60" t="s">
        <v>26</v>
      </c>
      <c r="C11" s="56">
        <v>16</v>
      </c>
      <c r="D11" s="56">
        <v>15</v>
      </c>
      <c r="E11" s="56">
        <v>15</v>
      </c>
      <c r="F11" s="56">
        <v>16</v>
      </c>
      <c r="G11" s="56">
        <v>16</v>
      </c>
      <c r="H11" s="56">
        <v>15</v>
      </c>
      <c r="I11" s="56">
        <v>14</v>
      </c>
      <c r="J11" s="56">
        <v>16</v>
      </c>
      <c r="K11" s="56">
        <v>13</v>
      </c>
      <c r="L11" s="56">
        <v>17</v>
      </c>
      <c r="M11" s="90">
        <v>14.9</v>
      </c>
      <c r="N11" s="92" t="s">
        <v>8</v>
      </c>
    </row>
    <row r="12" spans="1:14" x14ac:dyDescent="0.15">
      <c r="A12" s="89"/>
      <c r="B12" s="61" t="s">
        <v>27</v>
      </c>
      <c r="C12" s="57">
        <v>15</v>
      </c>
      <c r="D12" s="57">
        <v>14</v>
      </c>
      <c r="E12" s="57">
        <v>16</v>
      </c>
      <c r="F12" s="57">
        <v>16</v>
      </c>
      <c r="G12" s="57">
        <v>13</v>
      </c>
      <c r="H12" s="57">
        <v>15</v>
      </c>
      <c r="I12" s="57">
        <v>14</v>
      </c>
      <c r="J12" s="57">
        <v>14</v>
      </c>
      <c r="K12" s="57">
        <v>15</v>
      </c>
      <c r="L12" s="57">
        <v>15</v>
      </c>
      <c r="M12" s="91"/>
      <c r="N12" s="93"/>
    </row>
    <row r="13" spans="1:14" ht="14.25" thickBot="1" x14ac:dyDescent="0.2">
      <c r="A13" s="89"/>
      <c r="B13" s="62" t="s">
        <v>28</v>
      </c>
      <c r="C13" s="58">
        <v>15</v>
      </c>
      <c r="D13" s="58">
        <v>15</v>
      </c>
      <c r="E13" s="58">
        <v>14</v>
      </c>
      <c r="F13" s="58">
        <v>16</v>
      </c>
      <c r="G13" s="58">
        <v>15</v>
      </c>
      <c r="H13" s="58">
        <v>17</v>
      </c>
      <c r="I13" s="58">
        <v>16</v>
      </c>
      <c r="J13" s="58">
        <v>13</v>
      </c>
      <c r="K13" s="58">
        <v>14</v>
      </c>
      <c r="L13" s="58">
        <v>13</v>
      </c>
      <c r="M13" s="91"/>
      <c r="N13" s="93"/>
    </row>
    <row r="14" spans="1:14" x14ac:dyDescent="0.15">
      <c r="A14" s="88" t="s">
        <v>33</v>
      </c>
      <c r="B14" s="60" t="s">
        <v>26</v>
      </c>
      <c r="C14" s="56">
        <v>15</v>
      </c>
      <c r="D14" s="56">
        <v>15</v>
      </c>
      <c r="E14" s="56">
        <v>15</v>
      </c>
      <c r="F14" s="56">
        <v>14</v>
      </c>
      <c r="G14" s="56">
        <v>13</v>
      </c>
      <c r="H14" s="56">
        <v>15</v>
      </c>
      <c r="I14" s="56">
        <v>14</v>
      </c>
      <c r="J14" s="56">
        <v>13</v>
      </c>
      <c r="K14" s="56">
        <v>16</v>
      </c>
      <c r="L14" s="56">
        <v>15</v>
      </c>
      <c r="M14" s="90">
        <v>14.5</v>
      </c>
      <c r="N14" s="92" t="s">
        <v>8</v>
      </c>
    </row>
    <row r="15" spans="1:14" x14ac:dyDescent="0.15">
      <c r="A15" s="89"/>
      <c r="B15" s="61" t="s">
        <v>27</v>
      </c>
      <c r="C15" s="57">
        <v>14</v>
      </c>
      <c r="D15" s="57">
        <v>13</v>
      </c>
      <c r="E15" s="57">
        <v>15</v>
      </c>
      <c r="F15" s="57">
        <v>17</v>
      </c>
      <c r="G15" s="57">
        <v>16</v>
      </c>
      <c r="H15" s="57">
        <v>15</v>
      </c>
      <c r="I15" s="57">
        <v>13</v>
      </c>
      <c r="J15" s="57">
        <v>14</v>
      </c>
      <c r="K15" s="57">
        <v>15</v>
      </c>
      <c r="L15" s="57">
        <v>13</v>
      </c>
      <c r="M15" s="91"/>
      <c r="N15" s="93"/>
    </row>
    <row r="16" spans="1:14" ht="14.25" thickBot="1" x14ac:dyDescent="0.2">
      <c r="A16" s="89"/>
      <c r="B16" s="62" t="s">
        <v>28</v>
      </c>
      <c r="C16" s="58">
        <v>14</v>
      </c>
      <c r="D16" s="58">
        <v>15</v>
      </c>
      <c r="E16" s="58">
        <v>15</v>
      </c>
      <c r="F16" s="58">
        <v>16</v>
      </c>
      <c r="G16" s="58">
        <v>15</v>
      </c>
      <c r="H16" s="58">
        <v>13</v>
      </c>
      <c r="I16" s="58">
        <v>16</v>
      </c>
      <c r="J16" s="58">
        <v>15</v>
      </c>
      <c r="K16" s="58">
        <v>14</v>
      </c>
      <c r="L16" s="58">
        <v>13</v>
      </c>
      <c r="M16" s="91"/>
      <c r="N16" s="93"/>
    </row>
    <row r="17" spans="1:14" x14ac:dyDescent="0.15">
      <c r="A17" s="88" t="s">
        <v>34</v>
      </c>
      <c r="B17" s="60" t="s">
        <v>26</v>
      </c>
      <c r="C17" s="56">
        <v>13</v>
      </c>
      <c r="D17" s="56">
        <v>15</v>
      </c>
      <c r="E17" s="56">
        <v>15</v>
      </c>
      <c r="F17" s="56">
        <v>14</v>
      </c>
      <c r="G17" s="56">
        <v>13</v>
      </c>
      <c r="H17" s="56">
        <v>13</v>
      </c>
      <c r="I17" s="56">
        <v>14</v>
      </c>
      <c r="J17" s="56">
        <v>13</v>
      </c>
      <c r="K17" s="56">
        <v>15</v>
      </c>
      <c r="L17" s="56">
        <v>14</v>
      </c>
      <c r="M17" s="90">
        <v>14.3</v>
      </c>
      <c r="N17" s="92" t="s">
        <v>8</v>
      </c>
    </row>
    <row r="18" spans="1:14" x14ac:dyDescent="0.15">
      <c r="A18" s="89"/>
      <c r="B18" s="61" t="s">
        <v>27</v>
      </c>
      <c r="C18" s="57">
        <v>16</v>
      </c>
      <c r="D18" s="57">
        <v>15</v>
      </c>
      <c r="E18" s="57">
        <v>15</v>
      </c>
      <c r="F18" s="57">
        <v>14</v>
      </c>
      <c r="G18" s="57">
        <v>15</v>
      </c>
      <c r="H18" s="57">
        <v>16</v>
      </c>
      <c r="I18" s="57">
        <v>13</v>
      </c>
      <c r="J18" s="57">
        <v>13</v>
      </c>
      <c r="K18" s="57">
        <v>14</v>
      </c>
      <c r="L18" s="57">
        <v>13</v>
      </c>
      <c r="M18" s="91"/>
      <c r="N18" s="93"/>
    </row>
    <row r="19" spans="1:14" ht="14.25" thickBot="1" x14ac:dyDescent="0.2">
      <c r="A19" s="89"/>
      <c r="B19" s="62" t="s">
        <v>28</v>
      </c>
      <c r="C19" s="58">
        <v>14</v>
      </c>
      <c r="D19" s="58">
        <v>16</v>
      </c>
      <c r="E19" s="58">
        <v>15</v>
      </c>
      <c r="F19" s="58">
        <v>15</v>
      </c>
      <c r="G19" s="58">
        <v>15</v>
      </c>
      <c r="H19" s="58">
        <v>16</v>
      </c>
      <c r="I19" s="58">
        <v>13</v>
      </c>
      <c r="J19" s="58">
        <v>13</v>
      </c>
      <c r="K19" s="58">
        <v>15</v>
      </c>
      <c r="L19" s="58">
        <v>14</v>
      </c>
      <c r="M19" s="91"/>
      <c r="N19" s="93"/>
    </row>
    <row r="20" spans="1:14" x14ac:dyDescent="0.15">
      <c r="A20" s="88" t="s">
        <v>35</v>
      </c>
      <c r="B20" s="60" t="s">
        <v>26</v>
      </c>
      <c r="C20" s="56">
        <v>16</v>
      </c>
      <c r="D20" s="56">
        <v>13</v>
      </c>
      <c r="E20" s="56">
        <v>13</v>
      </c>
      <c r="F20" s="56">
        <v>17</v>
      </c>
      <c r="G20" s="56">
        <v>12</v>
      </c>
      <c r="H20" s="56">
        <v>16</v>
      </c>
      <c r="I20" s="56">
        <v>13</v>
      </c>
      <c r="J20" s="56">
        <v>16</v>
      </c>
      <c r="K20" s="56">
        <v>17</v>
      </c>
      <c r="L20" s="56">
        <v>15</v>
      </c>
      <c r="M20" s="90">
        <v>14.7</v>
      </c>
      <c r="N20" s="92" t="s">
        <v>8</v>
      </c>
    </row>
    <row r="21" spans="1:14" x14ac:dyDescent="0.15">
      <c r="A21" s="89"/>
      <c r="B21" s="61" t="s">
        <v>27</v>
      </c>
      <c r="C21" s="57">
        <v>15</v>
      </c>
      <c r="D21" s="57">
        <v>14</v>
      </c>
      <c r="E21" s="57">
        <v>14</v>
      </c>
      <c r="F21" s="57">
        <v>14</v>
      </c>
      <c r="G21" s="57">
        <v>15</v>
      </c>
      <c r="H21" s="57">
        <v>16</v>
      </c>
      <c r="I21" s="57">
        <v>13</v>
      </c>
      <c r="J21" s="57">
        <v>14</v>
      </c>
      <c r="K21" s="57">
        <v>15</v>
      </c>
      <c r="L21" s="57">
        <v>16</v>
      </c>
      <c r="M21" s="91"/>
      <c r="N21" s="93"/>
    </row>
    <row r="22" spans="1:14" ht="14.25" thickBot="1" x14ac:dyDescent="0.2">
      <c r="A22" s="89"/>
      <c r="B22" s="62" t="s">
        <v>28</v>
      </c>
      <c r="C22" s="58">
        <v>16</v>
      </c>
      <c r="D22" s="58">
        <v>15</v>
      </c>
      <c r="E22" s="58">
        <v>15</v>
      </c>
      <c r="F22" s="58">
        <v>14</v>
      </c>
      <c r="G22" s="58">
        <v>14</v>
      </c>
      <c r="H22" s="58">
        <v>14</v>
      </c>
      <c r="I22" s="58">
        <v>16</v>
      </c>
      <c r="J22" s="58">
        <v>15</v>
      </c>
      <c r="K22" s="58">
        <v>13</v>
      </c>
      <c r="L22" s="58">
        <v>16</v>
      </c>
      <c r="M22" s="91"/>
      <c r="N22" s="93"/>
    </row>
    <row r="23" spans="1:14" x14ac:dyDescent="0.15">
      <c r="A23" s="88" t="s">
        <v>36</v>
      </c>
      <c r="B23" s="60" t="s">
        <v>26</v>
      </c>
      <c r="C23" s="56">
        <v>13</v>
      </c>
      <c r="D23" s="56">
        <v>17</v>
      </c>
      <c r="E23" s="56">
        <v>15</v>
      </c>
      <c r="F23" s="56">
        <v>17</v>
      </c>
      <c r="G23" s="56">
        <v>14</v>
      </c>
      <c r="H23" s="56">
        <v>16</v>
      </c>
      <c r="I23" s="56">
        <v>15</v>
      </c>
      <c r="J23" s="56">
        <v>15</v>
      </c>
      <c r="K23" s="56">
        <v>14</v>
      </c>
      <c r="L23" s="56">
        <v>13</v>
      </c>
      <c r="M23" s="90">
        <v>15</v>
      </c>
      <c r="N23" s="92" t="s">
        <v>8</v>
      </c>
    </row>
    <row r="24" spans="1:14" x14ac:dyDescent="0.15">
      <c r="A24" s="89"/>
      <c r="B24" s="61" t="s">
        <v>27</v>
      </c>
      <c r="C24" s="57">
        <v>14</v>
      </c>
      <c r="D24" s="57">
        <v>16</v>
      </c>
      <c r="E24" s="57">
        <v>15</v>
      </c>
      <c r="F24" s="57">
        <v>15</v>
      </c>
      <c r="G24" s="57">
        <v>15</v>
      </c>
      <c r="H24" s="57">
        <v>13</v>
      </c>
      <c r="I24" s="57">
        <v>16</v>
      </c>
      <c r="J24" s="57">
        <v>15</v>
      </c>
      <c r="K24" s="57">
        <v>15</v>
      </c>
      <c r="L24" s="57">
        <v>13</v>
      </c>
      <c r="M24" s="91"/>
      <c r="N24" s="93"/>
    </row>
    <row r="25" spans="1:14" ht="14.25" thickBot="1" x14ac:dyDescent="0.2">
      <c r="A25" s="89"/>
      <c r="B25" s="62" t="s">
        <v>28</v>
      </c>
      <c r="C25" s="58">
        <v>13</v>
      </c>
      <c r="D25" s="58">
        <v>15</v>
      </c>
      <c r="E25" s="58">
        <v>17</v>
      </c>
      <c r="F25" s="58">
        <v>15</v>
      </c>
      <c r="G25" s="58">
        <v>16</v>
      </c>
      <c r="H25" s="58">
        <v>17</v>
      </c>
      <c r="I25" s="58">
        <v>17</v>
      </c>
      <c r="J25" s="58">
        <v>15</v>
      </c>
      <c r="K25" s="58">
        <v>16</v>
      </c>
      <c r="L25" s="58">
        <v>13</v>
      </c>
      <c r="M25" s="91"/>
      <c r="N25" s="93"/>
    </row>
    <row r="26" spans="1:14" x14ac:dyDescent="0.15">
      <c r="A26" s="88" t="s">
        <v>37</v>
      </c>
      <c r="B26" s="60" t="s">
        <v>26</v>
      </c>
      <c r="C26" s="56">
        <v>15</v>
      </c>
      <c r="D26" s="56">
        <v>15</v>
      </c>
      <c r="E26" s="56">
        <v>15</v>
      </c>
      <c r="F26" s="56">
        <v>16</v>
      </c>
      <c r="G26" s="56">
        <v>16</v>
      </c>
      <c r="H26" s="56">
        <v>13</v>
      </c>
      <c r="I26" s="56">
        <v>14</v>
      </c>
      <c r="J26" s="56">
        <v>15</v>
      </c>
      <c r="K26" s="56">
        <v>13</v>
      </c>
      <c r="L26" s="56">
        <v>15</v>
      </c>
      <c r="M26" s="90">
        <v>14.8</v>
      </c>
      <c r="N26" s="92" t="s">
        <v>8</v>
      </c>
    </row>
    <row r="27" spans="1:14" x14ac:dyDescent="0.15">
      <c r="A27" s="89"/>
      <c r="B27" s="61" t="s">
        <v>27</v>
      </c>
      <c r="C27" s="57">
        <v>16</v>
      </c>
      <c r="D27" s="57">
        <v>13</v>
      </c>
      <c r="E27" s="57">
        <v>15</v>
      </c>
      <c r="F27" s="57">
        <v>15</v>
      </c>
      <c r="G27" s="57">
        <v>15</v>
      </c>
      <c r="H27" s="57">
        <v>14</v>
      </c>
      <c r="I27" s="57">
        <v>14</v>
      </c>
      <c r="J27" s="57">
        <v>13</v>
      </c>
      <c r="K27" s="57">
        <v>15</v>
      </c>
      <c r="L27" s="57">
        <v>17</v>
      </c>
      <c r="M27" s="91"/>
      <c r="N27" s="93"/>
    </row>
    <row r="28" spans="1:14" ht="14.25" thickBot="1" x14ac:dyDescent="0.2">
      <c r="A28" s="89"/>
      <c r="B28" s="62" t="s">
        <v>28</v>
      </c>
      <c r="C28" s="58">
        <v>15</v>
      </c>
      <c r="D28" s="58">
        <v>15</v>
      </c>
      <c r="E28" s="58">
        <v>16</v>
      </c>
      <c r="F28" s="58">
        <v>13</v>
      </c>
      <c r="G28" s="58">
        <v>15</v>
      </c>
      <c r="H28" s="58">
        <v>13</v>
      </c>
      <c r="I28" s="58">
        <v>17</v>
      </c>
      <c r="J28" s="58">
        <v>13</v>
      </c>
      <c r="K28" s="58">
        <v>16</v>
      </c>
      <c r="L28" s="58">
        <v>16</v>
      </c>
      <c r="M28" s="91"/>
      <c r="N28" s="93"/>
    </row>
    <row r="29" spans="1:14" x14ac:dyDescent="0.15">
      <c r="A29" s="88" t="s">
        <v>38</v>
      </c>
      <c r="B29" s="60" t="s">
        <v>26</v>
      </c>
      <c r="C29" s="56">
        <v>16</v>
      </c>
      <c r="D29" s="56">
        <v>15</v>
      </c>
      <c r="E29" s="56">
        <v>15</v>
      </c>
      <c r="F29" s="56">
        <v>14</v>
      </c>
      <c r="G29" s="56">
        <v>13</v>
      </c>
      <c r="H29" s="56">
        <v>15</v>
      </c>
      <c r="I29" s="56">
        <v>13</v>
      </c>
      <c r="J29" s="56">
        <v>15</v>
      </c>
      <c r="K29" s="56">
        <v>15</v>
      </c>
      <c r="L29" s="56">
        <v>17</v>
      </c>
      <c r="M29" s="90">
        <v>14.8</v>
      </c>
      <c r="N29" s="92" t="s">
        <v>8</v>
      </c>
    </row>
    <row r="30" spans="1:14" x14ac:dyDescent="0.15">
      <c r="A30" s="89"/>
      <c r="B30" s="61" t="s">
        <v>27</v>
      </c>
      <c r="C30" s="57">
        <v>16</v>
      </c>
      <c r="D30" s="57">
        <v>15</v>
      </c>
      <c r="E30" s="57">
        <v>15</v>
      </c>
      <c r="F30" s="57">
        <v>15</v>
      </c>
      <c r="G30" s="57">
        <v>16</v>
      </c>
      <c r="H30" s="57">
        <v>13</v>
      </c>
      <c r="I30" s="57">
        <v>14</v>
      </c>
      <c r="J30" s="57">
        <v>15</v>
      </c>
      <c r="K30" s="57">
        <v>15</v>
      </c>
      <c r="L30" s="57">
        <v>13</v>
      </c>
      <c r="M30" s="91"/>
      <c r="N30" s="93"/>
    </row>
    <row r="31" spans="1:14" ht="14.25" thickBot="1" x14ac:dyDescent="0.2">
      <c r="A31" s="89"/>
      <c r="B31" s="62" t="s">
        <v>28</v>
      </c>
      <c r="C31" s="58">
        <v>14</v>
      </c>
      <c r="D31" s="58">
        <v>15</v>
      </c>
      <c r="E31" s="58">
        <v>13</v>
      </c>
      <c r="F31" s="58">
        <v>16</v>
      </c>
      <c r="G31" s="58">
        <v>15</v>
      </c>
      <c r="H31" s="58">
        <v>15</v>
      </c>
      <c r="I31" s="58">
        <v>14</v>
      </c>
      <c r="J31" s="58">
        <v>16</v>
      </c>
      <c r="K31" s="58">
        <v>15</v>
      </c>
      <c r="L31" s="58">
        <v>15</v>
      </c>
      <c r="M31" s="91"/>
      <c r="N31" s="93"/>
    </row>
    <row r="32" spans="1:14" x14ac:dyDescent="0.15">
      <c r="A32" s="88" t="s">
        <v>39</v>
      </c>
      <c r="B32" s="60" t="s">
        <v>26</v>
      </c>
      <c r="C32" s="56">
        <v>15</v>
      </c>
      <c r="D32" s="56">
        <v>16</v>
      </c>
      <c r="E32" s="56">
        <v>14</v>
      </c>
      <c r="F32" s="56">
        <v>13</v>
      </c>
      <c r="G32" s="56">
        <v>14</v>
      </c>
      <c r="H32" s="56">
        <v>15</v>
      </c>
      <c r="I32" s="56">
        <v>15</v>
      </c>
      <c r="J32" s="56">
        <v>15</v>
      </c>
      <c r="K32" s="56">
        <v>16</v>
      </c>
      <c r="L32" s="56">
        <v>16</v>
      </c>
      <c r="M32" s="90">
        <v>14.7</v>
      </c>
      <c r="N32" s="92" t="s">
        <v>8</v>
      </c>
    </row>
    <row r="33" spans="1:14" x14ac:dyDescent="0.15">
      <c r="A33" s="89"/>
      <c r="B33" s="61" t="s">
        <v>27</v>
      </c>
      <c r="C33" s="57">
        <v>16</v>
      </c>
      <c r="D33" s="57">
        <v>13</v>
      </c>
      <c r="E33" s="57">
        <v>16</v>
      </c>
      <c r="F33" s="57">
        <v>15</v>
      </c>
      <c r="G33" s="57">
        <v>15</v>
      </c>
      <c r="H33" s="57">
        <v>13</v>
      </c>
      <c r="I33" s="57">
        <v>14</v>
      </c>
      <c r="J33" s="57">
        <v>14</v>
      </c>
      <c r="K33" s="57">
        <v>16</v>
      </c>
      <c r="L33" s="57">
        <v>15</v>
      </c>
      <c r="M33" s="91"/>
      <c r="N33" s="93"/>
    </row>
    <row r="34" spans="1:14" ht="14.25" thickBot="1" x14ac:dyDescent="0.2">
      <c r="A34" s="89"/>
      <c r="B34" s="62" t="s">
        <v>28</v>
      </c>
      <c r="C34" s="58">
        <v>14</v>
      </c>
      <c r="D34" s="58">
        <v>17</v>
      </c>
      <c r="E34" s="58">
        <v>13</v>
      </c>
      <c r="F34" s="58">
        <v>15</v>
      </c>
      <c r="G34" s="58">
        <v>15</v>
      </c>
      <c r="H34" s="58">
        <v>14</v>
      </c>
      <c r="I34" s="58">
        <v>15</v>
      </c>
      <c r="J34" s="58">
        <v>13</v>
      </c>
      <c r="K34" s="58">
        <v>16</v>
      </c>
      <c r="L34" s="58">
        <v>14</v>
      </c>
      <c r="M34" s="91"/>
      <c r="N34" s="93"/>
    </row>
    <row r="35" spans="1:14" x14ac:dyDescent="0.15">
      <c r="A35" s="88" t="s">
        <v>40</v>
      </c>
      <c r="B35" s="60" t="s">
        <v>26</v>
      </c>
      <c r="C35" s="56">
        <v>15</v>
      </c>
      <c r="D35" s="56">
        <v>13</v>
      </c>
      <c r="E35" s="56">
        <v>15</v>
      </c>
      <c r="F35" s="56">
        <v>14</v>
      </c>
      <c r="G35" s="56">
        <v>14</v>
      </c>
      <c r="H35" s="56">
        <v>13</v>
      </c>
      <c r="I35" s="56">
        <v>15</v>
      </c>
      <c r="J35" s="56">
        <v>15</v>
      </c>
      <c r="K35" s="56">
        <v>17</v>
      </c>
      <c r="L35" s="56">
        <v>16</v>
      </c>
      <c r="M35" s="90">
        <v>14.8</v>
      </c>
      <c r="N35" s="92" t="s">
        <v>8</v>
      </c>
    </row>
    <row r="36" spans="1:14" x14ac:dyDescent="0.15">
      <c r="A36" s="89"/>
      <c r="B36" s="61" t="s">
        <v>27</v>
      </c>
      <c r="C36" s="57">
        <v>15</v>
      </c>
      <c r="D36" s="57">
        <v>14</v>
      </c>
      <c r="E36" s="57">
        <v>17</v>
      </c>
      <c r="F36" s="57">
        <v>16</v>
      </c>
      <c r="G36" s="57">
        <v>15</v>
      </c>
      <c r="H36" s="57">
        <v>15</v>
      </c>
      <c r="I36" s="57">
        <v>14</v>
      </c>
      <c r="J36" s="57">
        <v>14</v>
      </c>
      <c r="K36" s="57">
        <v>14</v>
      </c>
      <c r="L36" s="57">
        <v>15</v>
      </c>
      <c r="M36" s="91"/>
      <c r="N36" s="93"/>
    </row>
    <row r="37" spans="1:14" ht="14.25" thickBot="1" x14ac:dyDescent="0.2">
      <c r="A37" s="89"/>
      <c r="B37" s="62" t="s">
        <v>28</v>
      </c>
      <c r="C37" s="58">
        <v>13</v>
      </c>
      <c r="D37" s="58">
        <v>15</v>
      </c>
      <c r="E37" s="58">
        <v>17</v>
      </c>
      <c r="F37" s="58">
        <v>16</v>
      </c>
      <c r="G37" s="58">
        <v>16</v>
      </c>
      <c r="H37" s="58">
        <v>16</v>
      </c>
      <c r="I37" s="58">
        <v>15</v>
      </c>
      <c r="J37" s="58">
        <v>12</v>
      </c>
      <c r="K37" s="58">
        <v>15</v>
      </c>
      <c r="L37" s="58">
        <v>13</v>
      </c>
      <c r="M37" s="91"/>
      <c r="N37" s="93"/>
    </row>
    <row r="38" spans="1:14" x14ac:dyDescent="0.15">
      <c r="A38" s="88" t="s">
        <v>41</v>
      </c>
      <c r="B38" s="60" t="s">
        <v>26</v>
      </c>
      <c r="C38" s="56">
        <v>13</v>
      </c>
      <c r="D38" s="56">
        <v>15</v>
      </c>
      <c r="E38" s="56">
        <v>15</v>
      </c>
      <c r="F38" s="56">
        <v>14</v>
      </c>
      <c r="G38" s="56">
        <v>14</v>
      </c>
      <c r="H38" s="56">
        <v>13</v>
      </c>
      <c r="I38" s="56">
        <v>15</v>
      </c>
      <c r="J38" s="56">
        <v>14</v>
      </c>
      <c r="K38" s="56">
        <v>16</v>
      </c>
      <c r="L38" s="56">
        <v>17</v>
      </c>
      <c r="M38" s="90">
        <v>14.7</v>
      </c>
      <c r="N38" s="92" t="s">
        <v>8</v>
      </c>
    </row>
    <row r="39" spans="1:14" x14ac:dyDescent="0.15">
      <c r="A39" s="89"/>
      <c r="B39" s="61" t="s">
        <v>27</v>
      </c>
      <c r="C39" s="57">
        <v>14</v>
      </c>
      <c r="D39" s="57">
        <v>15</v>
      </c>
      <c r="E39" s="57">
        <v>14</v>
      </c>
      <c r="F39" s="57">
        <v>16</v>
      </c>
      <c r="G39" s="57">
        <v>13</v>
      </c>
      <c r="H39" s="57">
        <v>16</v>
      </c>
      <c r="I39" s="57">
        <v>15</v>
      </c>
      <c r="J39" s="57">
        <v>14</v>
      </c>
      <c r="K39" s="57">
        <v>14</v>
      </c>
      <c r="L39" s="57">
        <v>16</v>
      </c>
      <c r="M39" s="91"/>
      <c r="N39" s="93"/>
    </row>
    <row r="40" spans="1:14" ht="14.25" thickBot="1" x14ac:dyDescent="0.2">
      <c r="A40" s="89"/>
      <c r="B40" s="62" t="s">
        <v>28</v>
      </c>
      <c r="C40" s="58">
        <v>13</v>
      </c>
      <c r="D40" s="58">
        <v>15</v>
      </c>
      <c r="E40" s="58">
        <v>13</v>
      </c>
      <c r="F40" s="58">
        <v>16</v>
      </c>
      <c r="G40" s="58">
        <v>16</v>
      </c>
      <c r="H40" s="58">
        <v>14</v>
      </c>
      <c r="I40" s="58">
        <v>17</v>
      </c>
      <c r="J40" s="58">
        <v>15</v>
      </c>
      <c r="K40" s="58">
        <v>13</v>
      </c>
      <c r="L40" s="58">
        <v>15</v>
      </c>
      <c r="M40" s="91"/>
      <c r="N40" s="93"/>
    </row>
    <row r="41" spans="1:14" x14ac:dyDescent="0.15">
      <c r="A41" s="88" t="s">
        <v>42</v>
      </c>
      <c r="B41" s="60" t="s">
        <v>26</v>
      </c>
      <c r="C41" s="56">
        <v>13</v>
      </c>
      <c r="D41" s="56">
        <v>16</v>
      </c>
      <c r="E41" s="56">
        <v>18</v>
      </c>
      <c r="F41" s="56">
        <v>13</v>
      </c>
      <c r="G41" s="56">
        <v>17</v>
      </c>
      <c r="H41" s="56">
        <v>15</v>
      </c>
      <c r="I41" s="56">
        <v>17</v>
      </c>
      <c r="J41" s="56">
        <v>14</v>
      </c>
      <c r="K41" s="56">
        <v>13</v>
      </c>
      <c r="L41" s="56">
        <v>18</v>
      </c>
      <c r="M41" s="90">
        <v>14.9</v>
      </c>
      <c r="N41" s="92" t="s">
        <v>8</v>
      </c>
    </row>
    <row r="42" spans="1:14" x14ac:dyDescent="0.15">
      <c r="A42" s="89"/>
      <c r="B42" s="61" t="s">
        <v>27</v>
      </c>
      <c r="C42" s="57">
        <v>14</v>
      </c>
      <c r="D42" s="57">
        <v>15</v>
      </c>
      <c r="E42" s="57">
        <v>13</v>
      </c>
      <c r="F42" s="57">
        <v>15</v>
      </c>
      <c r="G42" s="57">
        <v>15</v>
      </c>
      <c r="H42" s="57">
        <v>16</v>
      </c>
      <c r="I42" s="57">
        <v>15</v>
      </c>
      <c r="J42" s="57">
        <v>15</v>
      </c>
      <c r="K42" s="57">
        <v>15</v>
      </c>
      <c r="L42" s="57">
        <v>14</v>
      </c>
      <c r="M42" s="91"/>
      <c r="N42" s="93"/>
    </row>
    <row r="43" spans="1:14" ht="14.25" thickBot="1" x14ac:dyDescent="0.2">
      <c r="A43" s="89"/>
      <c r="B43" s="62" t="s">
        <v>28</v>
      </c>
      <c r="C43" s="58">
        <v>13</v>
      </c>
      <c r="D43" s="58">
        <v>15</v>
      </c>
      <c r="E43" s="58">
        <v>15</v>
      </c>
      <c r="F43" s="58">
        <v>15</v>
      </c>
      <c r="G43" s="58">
        <v>17</v>
      </c>
      <c r="H43" s="58">
        <v>14</v>
      </c>
      <c r="I43" s="58">
        <v>13</v>
      </c>
      <c r="J43" s="58">
        <v>13</v>
      </c>
      <c r="K43" s="58">
        <v>15</v>
      </c>
      <c r="L43" s="58">
        <v>17</v>
      </c>
      <c r="M43" s="91"/>
      <c r="N43" s="93"/>
    </row>
    <row r="44" spans="1:14" x14ac:dyDescent="0.15">
      <c r="A44" s="88" t="s">
        <v>43</v>
      </c>
      <c r="B44" s="60" t="s">
        <v>26</v>
      </c>
      <c r="C44" s="56">
        <v>14</v>
      </c>
      <c r="D44" s="56">
        <v>15</v>
      </c>
      <c r="E44" s="56">
        <v>17</v>
      </c>
      <c r="F44" s="56">
        <v>13</v>
      </c>
      <c r="G44" s="56">
        <v>13</v>
      </c>
      <c r="H44" s="56">
        <v>13</v>
      </c>
      <c r="I44" s="56">
        <v>17</v>
      </c>
      <c r="J44" s="56">
        <v>13</v>
      </c>
      <c r="K44" s="56">
        <v>15</v>
      </c>
      <c r="L44" s="56">
        <v>16</v>
      </c>
      <c r="M44" s="90">
        <v>14.7</v>
      </c>
      <c r="N44" s="92" t="s">
        <v>8</v>
      </c>
    </row>
    <row r="45" spans="1:14" x14ac:dyDescent="0.15">
      <c r="A45" s="89"/>
      <c r="B45" s="61" t="s">
        <v>27</v>
      </c>
      <c r="C45" s="57">
        <v>17</v>
      </c>
      <c r="D45" s="57">
        <v>13</v>
      </c>
      <c r="E45" s="57">
        <v>13</v>
      </c>
      <c r="F45" s="57">
        <v>15</v>
      </c>
      <c r="G45" s="57">
        <v>15</v>
      </c>
      <c r="H45" s="57">
        <v>15</v>
      </c>
      <c r="I45" s="57">
        <v>16</v>
      </c>
      <c r="J45" s="57">
        <v>15</v>
      </c>
      <c r="K45" s="57">
        <v>15</v>
      </c>
      <c r="L45" s="57">
        <v>14</v>
      </c>
      <c r="M45" s="91"/>
      <c r="N45" s="93"/>
    </row>
    <row r="46" spans="1:14" ht="14.25" thickBot="1" x14ac:dyDescent="0.2">
      <c r="A46" s="89"/>
      <c r="B46" s="62" t="s">
        <v>28</v>
      </c>
      <c r="C46" s="58">
        <v>13</v>
      </c>
      <c r="D46" s="58">
        <v>13</v>
      </c>
      <c r="E46" s="58">
        <v>15</v>
      </c>
      <c r="F46" s="58">
        <v>15</v>
      </c>
      <c r="G46" s="58">
        <v>13</v>
      </c>
      <c r="H46" s="58">
        <v>17</v>
      </c>
      <c r="I46" s="58">
        <v>17</v>
      </c>
      <c r="J46" s="58">
        <v>13</v>
      </c>
      <c r="K46" s="58">
        <v>18</v>
      </c>
      <c r="L46" s="58">
        <v>13</v>
      </c>
      <c r="M46" s="91"/>
      <c r="N46" s="93"/>
    </row>
    <row r="47" spans="1:14" x14ac:dyDescent="0.15">
      <c r="A47" s="88" t="s">
        <v>44</v>
      </c>
      <c r="B47" s="60" t="s">
        <v>26</v>
      </c>
      <c r="C47" s="56">
        <v>17</v>
      </c>
      <c r="D47" s="56">
        <v>15</v>
      </c>
      <c r="E47" s="56">
        <v>15</v>
      </c>
      <c r="F47" s="56">
        <v>15</v>
      </c>
      <c r="G47" s="56">
        <v>14</v>
      </c>
      <c r="H47" s="56">
        <v>13</v>
      </c>
      <c r="I47" s="56">
        <v>16</v>
      </c>
      <c r="J47" s="56">
        <v>13</v>
      </c>
      <c r="K47" s="56">
        <v>13</v>
      </c>
      <c r="L47" s="56">
        <v>15</v>
      </c>
      <c r="M47" s="90">
        <v>14.7</v>
      </c>
      <c r="N47" s="92" t="s">
        <v>8</v>
      </c>
    </row>
    <row r="48" spans="1:14" x14ac:dyDescent="0.15">
      <c r="A48" s="89"/>
      <c r="B48" s="61" t="s">
        <v>27</v>
      </c>
      <c r="C48" s="57">
        <v>16</v>
      </c>
      <c r="D48" s="57">
        <v>13</v>
      </c>
      <c r="E48" s="57">
        <v>15</v>
      </c>
      <c r="F48" s="57">
        <v>16</v>
      </c>
      <c r="G48" s="57">
        <v>16</v>
      </c>
      <c r="H48" s="57">
        <v>13</v>
      </c>
      <c r="I48" s="57">
        <v>16</v>
      </c>
      <c r="J48" s="57">
        <v>15</v>
      </c>
      <c r="K48" s="57">
        <v>13</v>
      </c>
      <c r="L48" s="57">
        <v>16</v>
      </c>
      <c r="M48" s="91"/>
      <c r="N48" s="93"/>
    </row>
    <row r="49" spans="1:14" ht="14.25" thickBot="1" x14ac:dyDescent="0.2">
      <c r="A49" s="89"/>
      <c r="B49" s="62" t="s">
        <v>28</v>
      </c>
      <c r="C49" s="58">
        <v>13</v>
      </c>
      <c r="D49" s="58">
        <v>15</v>
      </c>
      <c r="E49" s="58">
        <v>13</v>
      </c>
      <c r="F49" s="58">
        <v>15</v>
      </c>
      <c r="G49" s="58">
        <v>16</v>
      </c>
      <c r="H49" s="58">
        <v>15</v>
      </c>
      <c r="I49" s="58">
        <v>15</v>
      </c>
      <c r="J49" s="58">
        <v>14</v>
      </c>
      <c r="K49" s="58">
        <v>15</v>
      </c>
      <c r="L49" s="58">
        <v>16</v>
      </c>
      <c r="M49" s="91"/>
      <c r="N49" s="93"/>
    </row>
    <row r="50" spans="1:14" x14ac:dyDescent="0.15">
      <c r="A50" s="88" t="s">
        <v>45</v>
      </c>
      <c r="B50" s="60" t="s">
        <v>26</v>
      </c>
      <c r="C50" s="56">
        <v>15</v>
      </c>
      <c r="D50" s="56">
        <v>15</v>
      </c>
      <c r="E50" s="56">
        <v>14</v>
      </c>
      <c r="F50" s="56">
        <v>14</v>
      </c>
      <c r="G50" s="56">
        <v>15</v>
      </c>
      <c r="H50" s="56">
        <v>16</v>
      </c>
      <c r="I50" s="56">
        <v>16</v>
      </c>
      <c r="J50" s="56">
        <v>15</v>
      </c>
      <c r="K50" s="56">
        <v>15</v>
      </c>
      <c r="L50" s="56">
        <v>13</v>
      </c>
      <c r="M50" s="90">
        <v>14.9</v>
      </c>
      <c r="N50" s="92" t="s">
        <v>8</v>
      </c>
    </row>
    <row r="51" spans="1:14" x14ac:dyDescent="0.15">
      <c r="A51" s="89"/>
      <c r="B51" s="61" t="s">
        <v>27</v>
      </c>
      <c r="C51" s="57">
        <v>15</v>
      </c>
      <c r="D51" s="57">
        <v>14</v>
      </c>
      <c r="E51" s="57">
        <v>14</v>
      </c>
      <c r="F51" s="57">
        <v>15</v>
      </c>
      <c r="G51" s="57">
        <v>13</v>
      </c>
      <c r="H51" s="57">
        <v>15</v>
      </c>
      <c r="I51" s="57">
        <v>16</v>
      </c>
      <c r="J51" s="57">
        <v>17</v>
      </c>
      <c r="K51" s="57">
        <v>15</v>
      </c>
      <c r="L51" s="57">
        <v>16</v>
      </c>
      <c r="M51" s="91"/>
      <c r="N51" s="93"/>
    </row>
    <row r="52" spans="1:14" ht="14.25" thickBot="1" x14ac:dyDescent="0.2">
      <c r="A52" s="89"/>
      <c r="B52" s="62" t="s">
        <v>28</v>
      </c>
      <c r="C52" s="58">
        <v>16</v>
      </c>
      <c r="D52" s="58">
        <v>15</v>
      </c>
      <c r="E52" s="58">
        <v>14</v>
      </c>
      <c r="F52" s="58">
        <v>16</v>
      </c>
      <c r="G52" s="58">
        <v>16</v>
      </c>
      <c r="H52" s="58">
        <v>14</v>
      </c>
      <c r="I52" s="58">
        <v>15</v>
      </c>
      <c r="J52" s="58">
        <v>13</v>
      </c>
      <c r="K52" s="58">
        <v>16</v>
      </c>
      <c r="L52" s="58">
        <v>15</v>
      </c>
      <c r="M52" s="91"/>
      <c r="N52" s="93"/>
    </row>
    <row r="53" spans="1:14" x14ac:dyDescent="0.15">
      <c r="A53" s="88" t="s">
        <v>46</v>
      </c>
      <c r="B53" s="60" t="s">
        <v>26</v>
      </c>
      <c r="C53" s="56">
        <v>15</v>
      </c>
      <c r="D53" s="56">
        <v>14</v>
      </c>
      <c r="E53" s="56">
        <v>15</v>
      </c>
      <c r="F53" s="56">
        <v>16</v>
      </c>
      <c r="G53" s="56">
        <v>13</v>
      </c>
      <c r="H53" s="56">
        <v>16</v>
      </c>
      <c r="I53" s="56">
        <v>17</v>
      </c>
      <c r="J53" s="56">
        <v>13</v>
      </c>
      <c r="K53" s="56">
        <v>13</v>
      </c>
      <c r="L53" s="56">
        <v>15</v>
      </c>
      <c r="M53" s="90">
        <v>14.7</v>
      </c>
      <c r="N53" s="92" t="s">
        <v>8</v>
      </c>
    </row>
    <row r="54" spans="1:14" x14ac:dyDescent="0.15">
      <c r="A54" s="89"/>
      <c r="B54" s="61" t="s">
        <v>27</v>
      </c>
      <c r="C54" s="57">
        <v>15</v>
      </c>
      <c r="D54" s="57">
        <v>15</v>
      </c>
      <c r="E54" s="57">
        <v>15</v>
      </c>
      <c r="F54" s="57">
        <v>16</v>
      </c>
      <c r="G54" s="57">
        <v>16</v>
      </c>
      <c r="H54" s="57">
        <v>13</v>
      </c>
      <c r="I54" s="57">
        <v>15</v>
      </c>
      <c r="J54" s="57">
        <v>13</v>
      </c>
      <c r="K54" s="57">
        <v>17</v>
      </c>
      <c r="L54" s="57">
        <v>13</v>
      </c>
      <c r="M54" s="91"/>
      <c r="N54" s="93"/>
    </row>
    <row r="55" spans="1:14" ht="14.25" thickBot="1" x14ac:dyDescent="0.2">
      <c r="A55" s="89"/>
      <c r="B55" s="62" t="s">
        <v>28</v>
      </c>
      <c r="C55" s="58">
        <v>16</v>
      </c>
      <c r="D55" s="58">
        <v>15</v>
      </c>
      <c r="E55" s="58">
        <v>14</v>
      </c>
      <c r="F55" s="58">
        <v>13</v>
      </c>
      <c r="G55" s="58">
        <v>14</v>
      </c>
      <c r="H55" s="58">
        <v>17</v>
      </c>
      <c r="I55" s="58">
        <v>13</v>
      </c>
      <c r="J55" s="58">
        <v>16</v>
      </c>
      <c r="K55" s="58">
        <v>16</v>
      </c>
      <c r="L55" s="58">
        <v>13</v>
      </c>
      <c r="M55" s="91"/>
      <c r="N55" s="93"/>
    </row>
    <row r="56" spans="1:14" x14ac:dyDescent="0.15">
      <c r="A56" s="88" t="s">
        <v>47</v>
      </c>
      <c r="B56" s="60" t="s">
        <v>26</v>
      </c>
      <c r="C56" s="56">
        <v>15</v>
      </c>
      <c r="D56" s="56">
        <v>14</v>
      </c>
      <c r="E56" s="56">
        <v>16</v>
      </c>
      <c r="F56" s="56">
        <v>16</v>
      </c>
      <c r="G56" s="56">
        <v>13</v>
      </c>
      <c r="H56" s="56">
        <v>15</v>
      </c>
      <c r="I56" s="56">
        <v>14</v>
      </c>
      <c r="J56" s="56">
        <v>14</v>
      </c>
      <c r="K56" s="56">
        <v>15</v>
      </c>
      <c r="L56" s="56">
        <v>15</v>
      </c>
      <c r="M56" s="90">
        <v>14.5</v>
      </c>
      <c r="N56" s="92" t="s">
        <v>8</v>
      </c>
    </row>
    <row r="57" spans="1:14" x14ac:dyDescent="0.15">
      <c r="A57" s="89"/>
      <c r="B57" s="61" t="s">
        <v>27</v>
      </c>
      <c r="C57" s="57">
        <v>14</v>
      </c>
      <c r="D57" s="57">
        <v>13</v>
      </c>
      <c r="E57" s="57">
        <v>15</v>
      </c>
      <c r="F57" s="57">
        <v>17</v>
      </c>
      <c r="G57" s="57">
        <v>16</v>
      </c>
      <c r="H57" s="57">
        <v>15</v>
      </c>
      <c r="I57" s="57">
        <v>13</v>
      </c>
      <c r="J57" s="57">
        <v>14</v>
      </c>
      <c r="K57" s="57">
        <v>15</v>
      </c>
      <c r="L57" s="57">
        <v>13</v>
      </c>
      <c r="M57" s="91"/>
      <c r="N57" s="93"/>
    </row>
    <row r="58" spans="1:14" ht="14.25" thickBot="1" x14ac:dyDescent="0.2">
      <c r="A58" s="89"/>
      <c r="B58" s="62" t="s">
        <v>28</v>
      </c>
      <c r="C58" s="58">
        <v>16</v>
      </c>
      <c r="D58" s="58">
        <v>15</v>
      </c>
      <c r="E58" s="58">
        <v>15</v>
      </c>
      <c r="F58" s="58">
        <v>14</v>
      </c>
      <c r="G58" s="58">
        <v>15</v>
      </c>
      <c r="H58" s="58">
        <v>16</v>
      </c>
      <c r="I58" s="58">
        <v>13</v>
      </c>
      <c r="J58" s="58">
        <v>13</v>
      </c>
      <c r="K58" s="58">
        <v>14</v>
      </c>
      <c r="L58" s="58">
        <v>13</v>
      </c>
      <c r="M58" s="91"/>
      <c r="N58" s="93"/>
    </row>
    <row r="59" spans="1:14" x14ac:dyDescent="0.15">
      <c r="A59" s="88" t="s">
        <v>48</v>
      </c>
      <c r="B59" s="60" t="s">
        <v>26</v>
      </c>
      <c r="C59" s="56">
        <v>13</v>
      </c>
      <c r="D59" s="56">
        <v>15</v>
      </c>
      <c r="E59" s="56">
        <v>15</v>
      </c>
      <c r="F59" s="56">
        <v>15</v>
      </c>
      <c r="G59" s="56">
        <v>16</v>
      </c>
      <c r="H59" s="56">
        <v>16</v>
      </c>
      <c r="I59" s="56">
        <v>13</v>
      </c>
      <c r="J59" s="56">
        <v>15</v>
      </c>
      <c r="K59" s="56">
        <v>17</v>
      </c>
      <c r="L59" s="56">
        <v>13</v>
      </c>
      <c r="M59" s="90">
        <v>14.7</v>
      </c>
      <c r="N59" s="92" t="s">
        <v>8</v>
      </c>
    </row>
    <row r="60" spans="1:14" x14ac:dyDescent="0.15">
      <c r="A60" s="89"/>
      <c r="B60" s="61" t="s">
        <v>27</v>
      </c>
      <c r="C60" s="57">
        <v>13</v>
      </c>
      <c r="D60" s="57">
        <v>14</v>
      </c>
      <c r="E60" s="57">
        <v>15</v>
      </c>
      <c r="F60" s="57">
        <v>15</v>
      </c>
      <c r="G60" s="57">
        <v>14</v>
      </c>
      <c r="H60" s="57">
        <v>14</v>
      </c>
      <c r="I60" s="57">
        <v>16</v>
      </c>
      <c r="J60" s="57">
        <v>16</v>
      </c>
      <c r="K60" s="57">
        <v>17</v>
      </c>
      <c r="L60" s="57">
        <v>13</v>
      </c>
      <c r="M60" s="91"/>
      <c r="N60" s="93"/>
    </row>
    <row r="61" spans="1:14" ht="14.25" thickBot="1" x14ac:dyDescent="0.2">
      <c r="A61" s="89"/>
      <c r="B61" s="62" t="s">
        <v>28</v>
      </c>
      <c r="C61" s="58">
        <v>15</v>
      </c>
      <c r="D61" s="58">
        <v>14</v>
      </c>
      <c r="E61" s="58">
        <v>14</v>
      </c>
      <c r="F61" s="58">
        <v>14</v>
      </c>
      <c r="G61" s="58">
        <v>15</v>
      </c>
      <c r="H61" s="58">
        <v>16</v>
      </c>
      <c r="I61" s="58">
        <v>13</v>
      </c>
      <c r="J61" s="58">
        <v>14</v>
      </c>
      <c r="K61" s="58">
        <v>15</v>
      </c>
      <c r="L61" s="58">
        <v>16</v>
      </c>
      <c r="M61" s="91"/>
      <c r="N61" s="93"/>
    </row>
    <row r="62" spans="1:14" x14ac:dyDescent="0.15">
      <c r="A62" s="88" t="s">
        <v>49</v>
      </c>
      <c r="B62" s="60" t="s">
        <v>26</v>
      </c>
      <c r="C62" s="56">
        <v>13</v>
      </c>
      <c r="D62" s="56">
        <v>17</v>
      </c>
      <c r="E62" s="56">
        <v>17</v>
      </c>
      <c r="F62" s="56">
        <v>16</v>
      </c>
      <c r="G62" s="56">
        <v>17</v>
      </c>
      <c r="H62" s="56">
        <v>13</v>
      </c>
      <c r="I62" s="56">
        <v>16</v>
      </c>
      <c r="J62" s="56">
        <v>16</v>
      </c>
      <c r="K62" s="56">
        <v>13</v>
      </c>
      <c r="L62" s="56">
        <v>14</v>
      </c>
      <c r="M62" s="90">
        <v>14.9</v>
      </c>
      <c r="N62" s="92" t="s">
        <v>8</v>
      </c>
    </row>
    <row r="63" spans="1:14" x14ac:dyDescent="0.15">
      <c r="A63" s="89"/>
      <c r="B63" s="61" t="s">
        <v>27</v>
      </c>
      <c r="C63" s="57">
        <v>14</v>
      </c>
      <c r="D63" s="57">
        <v>14</v>
      </c>
      <c r="E63" s="57">
        <v>16</v>
      </c>
      <c r="F63" s="57">
        <v>13</v>
      </c>
      <c r="G63" s="57">
        <v>15</v>
      </c>
      <c r="H63" s="57">
        <v>15</v>
      </c>
      <c r="I63" s="57">
        <v>16</v>
      </c>
      <c r="J63" s="57">
        <v>16</v>
      </c>
      <c r="K63" s="57">
        <v>13</v>
      </c>
      <c r="L63" s="57">
        <v>16</v>
      </c>
      <c r="M63" s="91"/>
      <c r="N63" s="93"/>
    </row>
    <row r="64" spans="1:14" ht="14.25" thickBot="1" x14ac:dyDescent="0.2">
      <c r="A64" s="89"/>
      <c r="B64" s="62" t="s">
        <v>28</v>
      </c>
      <c r="C64" s="58">
        <v>13</v>
      </c>
      <c r="D64" s="58">
        <v>15</v>
      </c>
      <c r="E64" s="58">
        <v>15</v>
      </c>
      <c r="F64" s="58">
        <v>15</v>
      </c>
      <c r="G64" s="58">
        <v>16</v>
      </c>
      <c r="H64" s="58">
        <v>17</v>
      </c>
      <c r="I64" s="58">
        <v>13</v>
      </c>
      <c r="J64" s="58">
        <v>14</v>
      </c>
      <c r="K64" s="58">
        <v>13</v>
      </c>
      <c r="L64" s="58">
        <v>15</v>
      </c>
      <c r="M64" s="91"/>
      <c r="N64" s="93"/>
    </row>
    <row r="65" spans="1:14" x14ac:dyDescent="0.15">
      <c r="A65" s="88" t="s">
        <v>50</v>
      </c>
      <c r="B65" s="60" t="s">
        <v>26</v>
      </c>
      <c r="C65" s="56">
        <v>16</v>
      </c>
      <c r="D65" s="56">
        <v>15</v>
      </c>
      <c r="E65" s="56">
        <v>15</v>
      </c>
      <c r="F65" s="56">
        <v>16</v>
      </c>
      <c r="G65" s="56">
        <v>16</v>
      </c>
      <c r="H65" s="56">
        <v>15</v>
      </c>
      <c r="I65" s="56">
        <v>14</v>
      </c>
      <c r="J65" s="56">
        <v>16</v>
      </c>
      <c r="K65" s="56">
        <v>13</v>
      </c>
      <c r="L65" s="56">
        <v>17</v>
      </c>
      <c r="M65" s="90">
        <v>14.6</v>
      </c>
      <c r="N65" s="92" t="s">
        <v>8</v>
      </c>
    </row>
    <row r="66" spans="1:14" x14ac:dyDescent="0.15">
      <c r="A66" s="89"/>
      <c r="B66" s="61" t="s">
        <v>27</v>
      </c>
      <c r="C66" s="57">
        <v>15</v>
      </c>
      <c r="D66" s="57">
        <v>15</v>
      </c>
      <c r="E66" s="57">
        <v>15</v>
      </c>
      <c r="F66" s="57">
        <v>14</v>
      </c>
      <c r="G66" s="57">
        <v>13</v>
      </c>
      <c r="H66" s="57">
        <v>15</v>
      </c>
      <c r="I66" s="57">
        <v>14</v>
      </c>
      <c r="J66" s="57">
        <v>13</v>
      </c>
      <c r="K66" s="57">
        <v>16</v>
      </c>
      <c r="L66" s="57">
        <v>15</v>
      </c>
      <c r="M66" s="91"/>
      <c r="N66" s="93"/>
    </row>
    <row r="67" spans="1:14" ht="14.25" thickBot="1" x14ac:dyDescent="0.2">
      <c r="A67" s="89"/>
      <c r="B67" s="62" t="s">
        <v>28</v>
      </c>
      <c r="C67" s="58">
        <v>13</v>
      </c>
      <c r="D67" s="58">
        <v>15</v>
      </c>
      <c r="E67" s="58">
        <v>15</v>
      </c>
      <c r="F67" s="58">
        <v>14</v>
      </c>
      <c r="G67" s="58">
        <v>13</v>
      </c>
      <c r="H67" s="58">
        <v>13</v>
      </c>
      <c r="I67" s="58">
        <v>14</v>
      </c>
      <c r="J67" s="58">
        <v>13</v>
      </c>
      <c r="K67" s="58">
        <v>15</v>
      </c>
      <c r="L67" s="58">
        <v>14</v>
      </c>
      <c r="M67" s="91"/>
      <c r="N67" s="93"/>
    </row>
    <row r="68" spans="1:14" x14ac:dyDescent="0.15">
      <c r="A68" s="88" t="s">
        <v>51</v>
      </c>
      <c r="B68" s="60" t="s">
        <v>26</v>
      </c>
      <c r="C68" s="56">
        <v>16</v>
      </c>
      <c r="D68" s="56">
        <v>13</v>
      </c>
      <c r="E68" s="56">
        <v>13</v>
      </c>
      <c r="F68" s="56">
        <v>17</v>
      </c>
      <c r="G68" s="56">
        <v>12</v>
      </c>
      <c r="H68" s="56">
        <v>16</v>
      </c>
      <c r="I68" s="56">
        <v>13</v>
      </c>
      <c r="J68" s="56">
        <v>16</v>
      </c>
      <c r="K68" s="56">
        <v>17</v>
      </c>
      <c r="L68" s="56">
        <v>15</v>
      </c>
      <c r="M68" s="90">
        <v>14.8</v>
      </c>
      <c r="N68" s="92" t="s">
        <v>8</v>
      </c>
    </row>
    <row r="69" spans="1:14" x14ac:dyDescent="0.15">
      <c r="A69" s="89"/>
      <c r="B69" s="61" t="s">
        <v>27</v>
      </c>
      <c r="C69" s="57">
        <v>13</v>
      </c>
      <c r="D69" s="57">
        <v>17</v>
      </c>
      <c r="E69" s="57">
        <v>15</v>
      </c>
      <c r="F69" s="57">
        <v>17</v>
      </c>
      <c r="G69" s="57">
        <v>14</v>
      </c>
      <c r="H69" s="57">
        <v>16</v>
      </c>
      <c r="I69" s="57">
        <v>15</v>
      </c>
      <c r="J69" s="57">
        <v>15</v>
      </c>
      <c r="K69" s="57">
        <v>14</v>
      </c>
      <c r="L69" s="57">
        <v>13</v>
      </c>
      <c r="M69" s="91"/>
      <c r="N69" s="93"/>
    </row>
    <row r="70" spans="1:14" ht="14.25" thickBot="1" x14ac:dyDescent="0.2">
      <c r="A70" s="89"/>
      <c r="B70" s="62" t="s">
        <v>28</v>
      </c>
      <c r="C70" s="58">
        <v>15</v>
      </c>
      <c r="D70" s="58">
        <v>15</v>
      </c>
      <c r="E70" s="58">
        <v>15</v>
      </c>
      <c r="F70" s="58">
        <v>16</v>
      </c>
      <c r="G70" s="58">
        <v>16</v>
      </c>
      <c r="H70" s="58">
        <v>13</v>
      </c>
      <c r="I70" s="58">
        <v>14</v>
      </c>
      <c r="J70" s="58">
        <v>15</v>
      </c>
      <c r="K70" s="58">
        <v>13</v>
      </c>
      <c r="L70" s="58">
        <v>15</v>
      </c>
      <c r="M70" s="91"/>
      <c r="N70" s="93"/>
    </row>
    <row r="71" spans="1:14" x14ac:dyDescent="0.15">
      <c r="A71" s="88" t="s">
        <v>52</v>
      </c>
      <c r="B71" s="60" t="s">
        <v>26</v>
      </c>
      <c r="C71" s="56">
        <v>16</v>
      </c>
      <c r="D71" s="56">
        <v>15</v>
      </c>
      <c r="E71" s="56">
        <v>15</v>
      </c>
      <c r="F71" s="56">
        <v>14</v>
      </c>
      <c r="G71" s="56">
        <v>13</v>
      </c>
      <c r="H71" s="56">
        <v>15</v>
      </c>
      <c r="I71" s="56">
        <v>13</v>
      </c>
      <c r="J71" s="56">
        <v>15</v>
      </c>
      <c r="K71" s="56">
        <v>15</v>
      </c>
      <c r="L71" s="56">
        <v>17</v>
      </c>
      <c r="M71" s="90">
        <v>14.8</v>
      </c>
      <c r="N71" s="92" t="s">
        <v>8</v>
      </c>
    </row>
    <row r="72" spans="1:14" x14ac:dyDescent="0.15">
      <c r="A72" s="89"/>
      <c r="B72" s="61" t="s">
        <v>27</v>
      </c>
      <c r="C72" s="57">
        <v>15</v>
      </c>
      <c r="D72" s="57">
        <v>16</v>
      </c>
      <c r="E72" s="57">
        <v>14</v>
      </c>
      <c r="F72" s="57">
        <v>13</v>
      </c>
      <c r="G72" s="57">
        <v>14</v>
      </c>
      <c r="H72" s="57">
        <v>15</v>
      </c>
      <c r="I72" s="57">
        <v>15</v>
      </c>
      <c r="J72" s="57">
        <v>15</v>
      </c>
      <c r="K72" s="57">
        <v>16</v>
      </c>
      <c r="L72" s="57">
        <v>16</v>
      </c>
      <c r="M72" s="91"/>
      <c r="N72" s="93"/>
    </row>
    <row r="73" spans="1:14" ht="14.25" thickBot="1" x14ac:dyDescent="0.2">
      <c r="A73" s="89"/>
      <c r="B73" s="62" t="s">
        <v>28</v>
      </c>
      <c r="C73" s="58">
        <v>15</v>
      </c>
      <c r="D73" s="58">
        <v>13</v>
      </c>
      <c r="E73" s="58">
        <v>15</v>
      </c>
      <c r="F73" s="58">
        <v>14</v>
      </c>
      <c r="G73" s="58">
        <v>14</v>
      </c>
      <c r="H73" s="58">
        <v>13</v>
      </c>
      <c r="I73" s="58">
        <v>15</v>
      </c>
      <c r="J73" s="58">
        <v>15</v>
      </c>
      <c r="K73" s="58">
        <v>17</v>
      </c>
      <c r="L73" s="58">
        <v>16</v>
      </c>
      <c r="M73" s="91"/>
      <c r="N73" s="93"/>
    </row>
    <row r="74" spans="1:14" x14ac:dyDescent="0.15">
      <c r="A74" s="88" t="s">
        <v>53</v>
      </c>
      <c r="B74" s="60" t="s">
        <v>26</v>
      </c>
      <c r="C74" s="56">
        <v>15</v>
      </c>
      <c r="D74" s="56">
        <v>14</v>
      </c>
      <c r="E74" s="56">
        <v>14</v>
      </c>
      <c r="F74" s="56">
        <v>14</v>
      </c>
      <c r="G74" s="56">
        <v>15</v>
      </c>
      <c r="H74" s="56">
        <v>16</v>
      </c>
      <c r="I74" s="56">
        <v>13</v>
      </c>
      <c r="J74" s="56">
        <v>14</v>
      </c>
      <c r="K74" s="56">
        <v>15</v>
      </c>
      <c r="L74" s="56">
        <v>16</v>
      </c>
      <c r="M74" s="90">
        <v>14.7</v>
      </c>
      <c r="N74" s="92" t="s">
        <v>8</v>
      </c>
    </row>
    <row r="75" spans="1:14" x14ac:dyDescent="0.15">
      <c r="A75" s="89"/>
      <c r="B75" s="61" t="s">
        <v>27</v>
      </c>
      <c r="C75" s="57">
        <v>14</v>
      </c>
      <c r="D75" s="57">
        <v>16</v>
      </c>
      <c r="E75" s="57">
        <v>15</v>
      </c>
      <c r="F75" s="57">
        <v>15</v>
      </c>
      <c r="G75" s="57">
        <v>15</v>
      </c>
      <c r="H75" s="57">
        <v>13</v>
      </c>
      <c r="I75" s="57">
        <v>16</v>
      </c>
      <c r="J75" s="57">
        <v>15</v>
      </c>
      <c r="K75" s="57">
        <v>15</v>
      </c>
      <c r="L75" s="57">
        <v>13</v>
      </c>
      <c r="M75" s="91"/>
      <c r="N75" s="93"/>
    </row>
    <row r="76" spans="1:14" ht="14.25" thickBot="1" x14ac:dyDescent="0.2">
      <c r="A76" s="89"/>
      <c r="B76" s="62" t="s">
        <v>28</v>
      </c>
      <c r="C76" s="58">
        <v>16</v>
      </c>
      <c r="D76" s="58">
        <v>13</v>
      </c>
      <c r="E76" s="58">
        <v>15</v>
      </c>
      <c r="F76" s="58">
        <v>15</v>
      </c>
      <c r="G76" s="58">
        <v>15</v>
      </c>
      <c r="H76" s="58">
        <v>14</v>
      </c>
      <c r="I76" s="58">
        <v>14</v>
      </c>
      <c r="J76" s="58">
        <v>13</v>
      </c>
      <c r="K76" s="58">
        <v>15</v>
      </c>
      <c r="L76" s="58">
        <v>17</v>
      </c>
      <c r="M76" s="91"/>
      <c r="N76" s="93"/>
    </row>
    <row r="77" spans="1:14" x14ac:dyDescent="0.15">
      <c r="A77" s="88" t="s">
        <v>54</v>
      </c>
      <c r="B77" s="60" t="s">
        <v>26</v>
      </c>
      <c r="C77" s="56">
        <v>16</v>
      </c>
      <c r="D77" s="56">
        <v>15</v>
      </c>
      <c r="E77" s="56">
        <v>15</v>
      </c>
      <c r="F77" s="56">
        <v>15</v>
      </c>
      <c r="G77" s="56">
        <v>16</v>
      </c>
      <c r="H77" s="56">
        <v>13</v>
      </c>
      <c r="I77" s="56">
        <v>14</v>
      </c>
      <c r="J77" s="56">
        <v>15</v>
      </c>
      <c r="K77" s="56">
        <v>15</v>
      </c>
      <c r="L77" s="56">
        <v>13</v>
      </c>
      <c r="M77" s="90">
        <v>14.8</v>
      </c>
      <c r="N77" s="92" t="s">
        <v>8</v>
      </c>
    </row>
    <row r="78" spans="1:14" x14ac:dyDescent="0.15">
      <c r="A78" s="89"/>
      <c r="B78" s="61" t="s">
        <v>27</v>
      </c>
      <c r="C78" s="57">
        <v>16</v>
      </c>
      <c r="D78" s="57">
        <v>13</v>
      </c>
      <c r="E78" s="57">
        <v>16</v>
      </c>
      <c r="F78" s="57">
        <v>15</v>
      </c>
      <c r="G78" s="57">
        <v>15</v>
      </c>
      <c r="H78" s="57">
        <v>13</v>
      </c>
      <c r="I78" s="57">
        <v>14</v>
      </c>
      <c r="J78" s="57">
        <v>14</v>
      </c>
      <c r="K78" s="57">
        <v>16</v>
      </c>
      <c r="L78" s="57">
        <v>15</v>
      </c>
      <c r="M78" s="91"/>
      <c r="N78" s="93"/>
    </row>
    <row r="79" spans="1:14" ht="14.25" thickBot="1" x14ac:dyDescent="0.2">
      <c r="A79" s="89"/>
      <c r="B79" s="62" t="s">
        <v>28</v>
      </c>
      <c r="C79" s="58">
        <v>15</v>
      </c>
      <c r="D79" s="58">
        <v>14</v>
      </c>
      <c r="E79" s="58">
        <v>17</v>
      </c>
      <c r="F79" s="58">
        <v>16</v>
      </c>
      <c r="G79" s="58">
        <v>15</v>
      </c>
      <c r="H79" s="58">
        <v>15</v>
      </c>
      <c r="I79" s="58">
        <v>14</v>
      </c>
      <c r="J79" s="58">
        <v>14</v>
      </c>
      <c r="K79" s="58">
        <v>14</v>
      </c>
      <c r="L79" s="58">
        <v>15</v>
      </c>
      <c r="M79" s="91"/>
      <c r="N79" s="93"/>
    </row>
    <row r="80" spans="1:14" x14ac:dyDescent="0.15">
      <c r="A80" s="88" t="s">
        <v>55</v>
      </c>
      <c r="B80" s="60" t="s">
        <v>26</v>
      </c>
      <c r="C80" s="56">
        <v>16</v>
      </c>
      <c r="D80" s="56">
        <v>15</v>
      </c>
      <c r="E80" s="56">
        <v>15</v>
      </c>
      <c r="F80" s="56">
        <v>14</v>
      </c>
      <c r="G80" s="56">
        <v>14</v>
      </c>
      <c r="H80" s="56">
        <v>14</v>
      </c>
      <c r="I80" s="56">
        <v>16</v>
      </c>
      <c r="J80" s="56">
        <v>15</v>
      </c>
      <c r="K80" s="56">
        <v>13</v>
      </c>
      <c r="L80" s="56">
        <v>16</v>
      </c>
      <c r="M80" s="90">
        <v>15</v>
      </c>
      <c r="N80" s="92" t="s">
        <v>8</v>
      </c>
    </row>
    <row r="81" spans="1:14" x14ac:dyDescent="0.15">
      <c r="A81" s="89"/>
      <c r="B81" s="61" t="s">
        <v>27</v>
      </c>
      <c r="C81" s="57">
        <v>13</v>
      </c>
      <c r="D81" s="57">
        <v>15</v>
      </c>
      <c r="E81" s="57">
        <v>17</v>
      </c>
      <c r="F81" s="57">
        <v>15</v>
      </c>
      <c r="G81" s="57">
        <v>16</v>
      </c>
      <c r="H81" s="57">
        <v>17</v>
      </c>
      <c r="I81" s="57">
        <v>17</v>
      </c>
      <c r="J81" s="57">
        <v>15</v>
      </c>
      <c r="K81" s="57">
        <v>16</v>
      </c>
      <c r="L81" s="57">
        <v>13</v>
      </c>
      <c r="M81" s="91"/>
      <c r="N81" s="93"/>
    </row>
    <row r="82" spans="1:14" ht="14.25" thickBot="1" x14ac:dyDescent="0.2">
      <c r="A82" s="89"/>
      <c r="B82" s="62" t="s">
        <v>28</v>
      </c>
      <c r="C82" s="58">
        <v>15</v>
      </c>
      <c r="D82" s="58">
        <v>15</v>
      </c>
      <c r="E82" s="58">
        <v>16</v>
      </c>
      <c r="F82" s="58">
        <v>13</v>
      </c>
      <c r="G82" s="58">
        <v>15</v>
      </c>
      <c r="H82" s="58">
        <v>13</v>
      </c>
      <c r="I82" s="58">
        <v>17</v>
      </c>
      <c r="J82" s="58">
        <v>13</v>
      </c>
      <c r="K82" s="58">
        <v>16</v>
      </c>
      <c r="L82" s="58">
        <v>16</v>
      </c>
      <c r="M82" s="91"/>
      <c r="N82" s="93"/>
    </row>
    <row r="83" spans="1:14" x14ac:dyDescent="0.15">
      <c r="A83" s="88" t="s">
        <v>56</v>
      </c>
      <c r="B83" s="60" t="s">
        <v>26</v>
      </c>
      <c r="C83" s="56">
        <v>14</v>
      </c>
      <c r="D83" s="56">
        <v>15</v>
      </c>
      <c r="E83" s="56">
        <v>13</v>
      </c>
      <c r="F83" s="56">
        <v>16</v>
      </c>
      <c r="G83" s="56">
        <v>15</v>
      </c>
      <c r="H83" s="56">
        <v>15</v>
      </c>
      <c r="I83" s="56">
        <v>14</v>
      </c>
      <c r="J83" s="56">
        <v>16</v>
      </c>
      <c r="K83" s="56">
        <v>15</v>
      </c>
      <c r="L83" s="56">
        <v>15</v>
      </c>
      <c r="M83" s="90">
        <v>14.7</v>
      </c>
      <c r="N83" s="92" t="s">
        <v>8</v>
      </c>
    </row>
    <row r="84" spans="1:14" x14ac:dyDescent="0.15">
      <c r="A84" s="89"/>
      <c r="B84" s="61" t="s">
        <v>27</v>
      </c>
      <c r="C84" s="57">
        <v>14</v>
      </c>
      <c r="D84" s="57">
        <v>17</v>
      </c>
      <c r="E84" s="57">
        <v>13</v>
      </c>
      <c r="F84" s="57">
        <v>15</v>
      </c>
      <c r="G84" s="57">
        <v>15</v>
      </c>
      <c r="H84" s="57">
        <v>14</v>
      </c>
      <c r="I84" s="57">
        <v>15</v>
      </c>
      <c r="J84" s="57">
        <v>13</v>
      </c>
      <c r="K84" s="57">
        <v>16</v>
      </c>
      <c r="L84" s="57">
        <v>14</v>
      </c>
      <c r="M84" s="91"/>
      <c r="N84" s="93"/>
    </row>
    <row r="85" spans="1:14" ht="14.25" thickBot="1" x14ac:dyDescent="0.2">
      <c r="A85" s="89"/>
      <c r="B85" s="62" t="s">
        <v>28</v>
      </c>
      <c r="C85" s="58">
        <v>13</v>
      </c>
      <c r="D85" s="58">
        <v>15</v>
      </c>
      <c r="E85" s="58">
        <v>17</v>
      </c>
      <c r="F85" s="58">
        <v>16</v>
      </c>
      <c r="G85" s="58">
        <v>16</v>
      </c>
      <c r="H85" s="58">
        <v>16</v>
      </c>
      <c r="I85" s="58">
        <v>15</v>
      </c>
      <c r="J85" s="58">
        <v>12</v>
      </c>
      <c r="K85" s="58">
        <v>15</v>
      </c>
      <c r="L85" s="58">
        <v>13</v>
      </c>
      <c r="M85" s="91"/>
      <c r="N85" s="93"/>
    </row>
    <row r="86" spans="1:14" x14ac:dyDescent="0.15">
      <c r="A86" s="88" t="s">
        <v>57</v>
      </c>
      <c r="B86" s="60" t="s">
        <v>26</v>
      </c>
      <c r="C86" s="56">
        <v>13</v>
      </c>
      <c r="D86" s="56">
        <v>15</v>
      </c>
      <c r="E86" s="56">
        <v>13</v>
      </c>
      <c r="F86" s="56">
        <v>16</v>
      </c>
      <c r="G86" s="56">
        <v>16</v>
      </c>
      <c r="H86" s="56">
        <v>14</v>
      </c>
      <c r="I86" s="56">
        <v>17</v>
      </c>
      <c r="J86" s="56">
        <v>15</v>
      </c>
      <c r="K86" s="56">
        <v>13</v>
      </c>
      <c r="L86" s="56">
        <v>15</v>
      </c>
      <c r="M86" s="90">
        <v>14.8</v>
      </c>
      <c r="N86" s="92" t="s">
        <v>8</v>
      </c>
    </row>
    <row r="87" spans="1:14" x14ac:dyDescent="0.15">
      <c r="A87" s="89"/>
      <c r="B87" s="61" t="s">
        <v>27</v>
      </c>
      <c r="C87" s="57">
        <v>13</v>
      </c>
      <c r="D87" s="57">
        <v>15</v>
      </c>
      <c r="E87" s="57">
        <v>15</v>
      </c>
      <c r="F87" s="57">
        <v>15</v>
      </c>
      <c r="G87" s="57">
        <v>17</v>
      </c>
      <c r="H87" s="57">
        <v>14</v>
      </c>
      <c r="I87" s="57">
        <v>13</v>
      </c>
      <c r="J87" s="57">
        <v>13</v>
      </c>
      <c r="K87" s="57">
        <v>15</v>
      </c>
      <c r="L87" s="57">
        <v>17</v>
      </c>
      <c r="M87" s="91"/>
      <c r="N87" s="93"/>
    </row>
    <row r="88" spans="1:14" ht="14.25" thickBot="1" x14ac:dyDescent="0.2">
      <c r="A88" s="89"/>
      <c r="B88" s="62" t="s">
        <v>28</v>
      </c>
      <c r="C88" s="58">
        <v>15</v>
      </c>
      <c r="D88" s="58">
        <v>14</v>
      </c>
      <c r="E88" s="58">
        <v>17</v>
      </c>
      <c r="F88" s="58">
        <v>16</v>
      </c>
      <c r="G88" s="58">
        <v>15</v>
      </c>
      <c r="H88" s="58">
        <v>15</v>
      </c>
      <c r="I88" s="58">
        <v>14</v>
      </c>
      <c r="J88" s="58">
        <v>14</v>
      </c>
      <c r="K88" s="58">
        <v>14</v>
      </c>
      <c r="L88" s="58">
        <v>15</v>
      </c>
      <c r="M88" s="91"/>
      <c r="N88" s="93"/>
    </row>
    <row r="89" spans="1:14" x14ac:dyDescent="0.15">
      <c r="A89" s="88" t="s">
        <v>58</v>
      </c>
      <c r="B89" s="60" t="s">
        <v>26</v>
      </c>
      <c r="C89" s="56">
        <v>17</v>
      </c>
      <c r="D89" s="56">
        <v>13</v>
      </c>
      <c r="E89" s="56">
        <v>13</v>
      </c>
      <c r="F89" s="56">
        <v>15</v>
      </c>
      <c r="G89" s="56">
        <v>15</v>
      </c>
      <c r="H89" s="56">
        <v>15</v>
      </c>
      <c r="I89" s="56">
        <v>16</v>
      </c>
      <c r="J89" s="56">
        <v>15</v>
      </c>
      <c r="K89" s="56">
        <v>15</v>
      </c>
      <c r="L89" s="56">
        <v>14</v>
      </c>
      <c r="M89" s="90">
        <v>14.7</v>
      </c>
      <c r="N89" s="92" t="s">
        <v>8</v>
      </c>
    </row>
    <row r="90" spans="1:14" x14ac:dyDescent="0.15">
      <c r="A90" s="89"/>
      <c r="B90" s="61" t="s">
        <v>27</v>
      </c>
      <c r="C90" s="57">
        <v>17</v>
      </c>
      <c r="D90" s="57">
        <v>15</v>
      </c>
      <c r="E90" s="57">
        <v>15</v>
      </c>
      <c r="F90" s="57">
        <v>15</v>
      </c>
      <c r="G90" s="57">
        <v>14</v>
      </c>
      <c r="H90" s="57">
        <v>13</v>
      </c>
      <c r="I90" s="57">
        <v>16</v>
      </c>
      <c r="J90" s="57">
        <v>13</v>
      </c>
      <c r="K90" s="57">
        <v>13</v>
      </c>
      <c r="L90" s="57">
        <v>15</v>
      </c>
      <c r="M90" s="91"/>
      <c r="N90" s="93"/>
    </row>
    <row r="91" spans="1:14" ht="14.25" thickBot="1" x14ac:dyDescent="0.2">
      <c r="A91" s="89"/>
      <c r="B91" s="62" t="s">
        <v>28</v>
      </c>
      <c r="C91" s="58">
        <v>15</v>
      </c>
      <c r="D91" s="58">
        <v>15</v>
      </c>
      <c r="E91" s="58">
        <v>14</v>
      </c>
      <c r="F91" s="58">
        <v>14</v>
      </c>
      <c r="G91" s="58">
        <v>15</v>
      </c>
      <c r="H91" s="58">
        <v>16</v>
      </c>
      <c r="I91" s="58">
        <v>16</v>
      </c>
      <c r="J91" s="58">
        <v>15</v>
      </c>
      <c r="K91" s="58">
        <v>15</v>
      </c>
      <c r="L91" s="58">
        <v>13</v>
      </c>
      <c r="M91" s="91"/>
      <c r="N91" s="93"/>
    </row>
    <row r="92" spans="1:14" x14ac:dyDescent="0.15">
      <c r="A92" s="88" t="s">
        <v>59</v>
      </c>
      <c r="B92" s="60" t="s">
        <v>26</v>
      </c>
      <c r="C92" s="56">
        <v>17</v>
      </c>
      <c r="D92" s="56">
        <v>13</v>
      </c>
      <c r="E92" s="56">
        <v>13</v>
      </c>
      <c r="F92" s="56">
        <v>15</v>
      </c>
      <c r="G92" s="56">
        <v>15</v>
      </c>
      <c r="H92" s="56">
        <v>15</v>
      </c>
      <c r="I92" s="56">
        <v>16</v>
      </c>
      <c r="J92" s="56">
        <v>15</v>
      </c>
      <c r="K92" s="56">
        <v>15</v>
      </c>
      <c r="L92" s="56">
        <v>14</v>
      </c>
      <c r="M92" s="90">
        <v>14.9</v>
      </c>
      <c r="N92" s="92" t="s">
        <v>8</v>
      </c>
    </row>
    <row r="93" spans="1:14" x14ac:dyDescent="0.15">
      <c r="A93" s="89"/>
      <c r="B93" s="61" t="s">
        <v>27</v>
      </c>
      <c r="C93" s="57">
        <v>16</v>
      </c>
      <c r="D93" s="57">
        <v>13</v>
      </c>
      <c r="E93" s="57">
        <v>15</v>
      </c>
      <c r="F93" s="57">
        <v>16</v>
      </c>
      <c r="G93" s="57">
        <v>16</v>
      </c>
      <c r="H93" s="57">
        <v>13</v>
      </c>
      <c r="I93" s="57">
        <v>16</v>
      </c>
      <c r="J93" s="57">
        <v>15</v>
      </c>
      <c r="K93" s="57">
        <v>13</v>
      </c>
      <c r="L93" s="57">
        <v>16</v>
      </c>
      <c r="M93" s="91"/>
      <c r="N93" s="93"/>
    </row>
    <row r="94" spans="1:14" ht="14.25" thickBot="1" x14ac:dyDescent="0.2">
      <c r="A94" s="89"/>
      <c r="B94" s="62" t="s">
        <v>28</v>
      </c>
      <c r="C94" s="58">
        <v>15</v>
      </c>
      <c r="D94" s="58">
        <v>14</v>
      </c>
      <c r="E94" s="58">
        <v>14</v>
      </c>
      <c r="F94" s="58">
        <v>15</v>
      </c>
      <c r="G94" s="58">
        <v>13</v>
      </c>
      <c r="H94" s="58">
        <v>15</v>
      </c>
      <c r="I94" s="58">
        <v>16</v>
      </c>
      <c r="J94" s="58">
        <v>17</v>
      </c>
      <c r="K94" s="58">
        <v>15</v>
      </c>
      <c r="L94" s="58">
        <v>16</v>
      </c>
      <c r="M94" s="91"/>
      <c r="N94" s="93"/>
    </row>
    <row r="95" spans="1:14" x14ac:dyDescent="0.15">
      <c r="A95" s="88" t="s">
        <v>60</v>
      </c>
      <c r="B95" s="60" t="s">
        <v>26</v>
      </c>
      <c r="C95" s="56">
        <v>16</v>
      </c>
      <c r="D95" s="56">
        <v>15</v>
      </c>
      <c r="E95" s="56">
        <v>14</v>
      </c>
      <c r="F95" s="56">
        <v>16</v>
      </c>
      <c r="G95" s="56">
        <v>16</v>
      </c>
      <c r="H95" s="56">
        <v>14</v>
      </c>
      <c r="I95" s="56">
        <v>15</v>
      </c>
      <c r="J95" s="56">
        <v>13</v>
      </c>
      <c r="K95" s="56">
        <v>16</v>
      </c>
      <c r="L95" s="56">
        <v>15</v>
      </c>
      <c r="M95" s="90">
        <v>14.9</v>
      </c>
      <c r="N95" s="92" t="s">
        <v>8</v>
      </c>
    </row>
    <row r="96" spans="1:14" x14ac:dyDescent="0.15">
      <c r="A96" s="89"/>
      <c r="B96" s="61" t="s">
        <v>27</v>
      </c>
      <c r="C96" s="57">
        <v>14</v>
      </c>
      <c r="D96" s="57">
        <v>15</v>
      </c>
      <c r="E96" s="57">
        <v>14</v>
      </c>
      <c r="F96" s="57">
        <v>16</v>
      </c>
      <c r="G96" s="57">
        <v>13</v>
      </c>
      <c r="H96" s="57">
        <v>16</v>
      </c>
      <c r="I96" s="57">
        <v>15</v>
      </c>
      <c r="J96" s="57">
        <v>14</v>
      </c>
      <c r="K96" s="57">
        <v>14</v>
      </c>
      <c r="L96" s="57">
        <v>16</v>
      </c>
      <c r="M96" s="91"/>
      <c r="N96" s="93"/>
    </row>
    <row r="97" spans="1:14" ht="14.25" thickBot="1" x14ac:dyDescent="0.2">
      <c r="A97" s="89"/>
      <c r="B97" s="62" t="s">
        <v>28</v>
      </c>
      <c r="C97" s="58">
        <v>16</v>
      </c>
      <c r="D97" s="58">
        <v>15</v>
      </c>
      <c r="E97" s="58">
        <v>14</v>
      </c>
      <c r="F97" s="58">
        <v>16</v>
      </c>
      <c r="G97" s="58">
        <v>16</v>
      </c>
      <c r="H97" s="58">
        <v>14</v>
      </c>
      <c r="I97" s="58">
        <v>15</v>
      </c>
      <c r="J97" s="58">
        <v>13</v>
      </c>
      <c r="K97" s="58">
        <v>16</v>
      </c>
      <c r="L97" s="58">
        <v>15</v>
      </c>
      <c r="M97" s="91"/>
      <c r="N97" s="93"/>
    </row>
    <row r="98" spans="1:14" x14ac:dyDescent="0.15">
      <c r="A98" s="88" t="s">
        <v>61</v>
      </c>
      <c r="B98" s="60" t="s">
        <v>26</v>
      </c>
      <c r="C98" s="56">
        <v>14</v>
      </c>
      <c r="D98" s="56">
        <v>15</v>
      </c>
      <c r="E98" s="56">
        <v>17</v>
      </c>
      <c r="F98" s="56">
        <v>13</v>
      </c>
      <c r="G98" s="56">
        <v>13</v>
      </c>
      <c r="H98" s="56">
        <v>13</v>
      </c>
      <c r="I98" s="56">
        <v>17</v>
      </c>
      <c r="J98" s="56">
        <v>13</v>
      </c>
      <c r="K98" s="56">
        <v>15</v>
      </c>
      <c r="L98" s="56">
        <v>16</v>
      </c>
      <c r="M98" s="90">
        <v>14.7</v>
      </c>
      <c r="N98" s="92" t="s">
        <v>8</v>
      </c>
    </row>
    <row r="99" spans="1:14" x14ac:dyDescent="0.15">
      <c r="A99" s="89"/>
      <c r="B99" s="61" t="s">
        <v>27</v>
      </c>
      <c r="C99" s="57">
        <v>13</v>
      </c>
      <c r="D99" s="57">
        <v>15</v>
      </c>
      <c r="E99" s="57">
        <v>13</v>
      </c>
      <c r="F99" s="57">
        <v>15</v>
      </c>
      <c r="G99" s="57">
        <v>16</v>
      </c>
      <c r="H99" s="57">
        <v>15</v>
      </c>
      <c r="I99" s="57">
        <v>15</v>
      </c>
      <c r="J99" s="57">
        <v>14</v>
      </c>
      <c r="K99" s="57">
        <v>15</v>
      </c>
      <c r="L99" s="57">
        <v>16</v>
      </c>
      <c r="M99" s="91"/>
      <c r="N99" s="93"/>
    </row>
    <row r="100" spans="1:14" ht="14.25" thickBot="1" x14ac:dyDescent="0.2">
      <c r="A100" s="89"/>
      <c r="B100" s="62" t="s">
        <v>28</v>
      </c>
      <c r="C100" s="58">
        <v>16</v>
      </c>
      <c r="D100" s="58">
        <v>13</v>
      </c>
      <c r="E100" s="58">
        <v>16</v>
      </c>
      <c r="F100" s="58">
        <v>15</v>
      </c>
      <c r="G100" s="58">
        <v>15</v>
      </c>
      <c r="H100" s="58">
        <v>13</v>
      </c>
      <c r="I100" s="58">
        <v>14</v>
      </c>
      <c r="J100" s="58">
        <v>14</v>
      </c>
      <c r="K100" s="58">
        <v>16</v>
      </c>
      <c r="L100" s="58">
        <v>15</v>
      </c>
      <c r="M100" s="91"/>
      <c r="N100" s="93"/>
    </row>
    <row r="101" spans="1:14" x14ac:dyDescent="0.15">
      <c r="A101" s="88" t="s">
        <v>62</v>
      </c>
      <c r="B101" s="60" t="s">
        <v>26</v>
      </c>
      <c r="C101" s="56">
        <v>15</v>
      </c>
      <c r="D101" s="56">
        <v>15</v>
      </c>
      <c r="E101" s="56">
        <v>17</v>
      </c>
      <c r="F101" s="56">
        <v>15</v>
      </c>
      <c r="G101" s="56">
        <v>13</v>
      </c>
      <c r="H101" s="56">
        <v>13</v>
      </c>
      <c r="I101" s="56">
        <v>17</v>
      </c>
      <c r="J101" s="56">
        <v>14</v>
      </c>
      <c r="K101" s="56">
        <v>15</v>
      </c>
      <c r="L101" s="56">
        <v>16</v>
      </c>
      <c r="M101" s="90">
        <v>14.6</v>
      </c>
      <c r="N101" s="92" t="s">
        <v>8</v>
      </c>
    </row>
    <row r="102" spans="1:14" x14ac:dyDescent="0.15">
      <c r="A102" s="89"/>
      <c r="B102" s="61" t="s">
        <v>27</v>
      </c>
      <c r="C102" s="57">
        <v>14</v>
      </c>
      <c r="D102" s="57">
        <v>15</v>
      </c>
      <c r="E102" s="57">
        <v>13</v>
      </c>
      <c r="F102" s="57">
        <v>13</v>
      </c>
      <c r="G102" s="57">
        <v>16</v>
      </c>
      <c r="H102" s="57">
        <v>15</v>
      </c>
      <c r="I102" s="57">
        <v>13</v>
      </c>
      <c r="J102" s="57">
        <v>14</v>
      </c>
      <c r="K102" s="57">
        <v>15</v>
      </c>
      <c r="L102" s="57">
        <v>14</v>
      </c>
      <c r="M102" s="91"/>
      <c r="N102" s="93"/>
    </row>
    <row r="103" spans="1:14" ht="14.25" thickBot="1" x14ac:dyDescent="0.2">
      <c r="A103" s="94"/>
      <c r="B103" s="63" t="s">
        <v>28</v>
      </c>
      <c r="C103" s="59">
        <v>15</v>
      </c>
      <c r="D103" s="59">
        <v>13</v>
      </c>
      <c r="E103" s="59">
        <v>15</v>
      </c>
      <c r="F103" s="59">
        <v>15</v>
      </c>
      <c r="G103" s="59">
        <v>16</v>
      </c>
      <c r="H103" s="59">
        <v>13</v>
      </c>
      <c r="I103" s="59">
        <v>14</v>
      </c>
      <c r="J103" s="59">
        <v>14</v>
      </c>
      <c r="K103" s="59">
        <v>16</v>
      </c>
      <c r="L103" s="59">
        <v>15</v>
      </c>
      <c r="M103" s="95"/>
      <c r="N103" s="96"/>
    </row>
  </sheetData>
  <mergeCells count="102">
    <mergeCell ref="A98:A100"/>
    <mergeCell ref="M98:M100"/>
    <mergeCell ref="N98:N100"/>
    <mergeCell ref="A101:A103"/>
    <mergeCell ref="M101:M103"/>
    <mergeCell ref="N101:N103"/>
    <mergeCell ref="A92:A94"/>
    <mergeCell ref="M92:M94"/>
    <mergeCell ref="N92:N94"/>
    <mergeCell ref="A95:A97"/>
    <mergeCell ref="M95:M97"/>
    <mergeCell ref="N95:N97"/>
    <mergeCell ref="A86:A88"/>
    <mergeCell ref="M86:M88"/>
    <mergeCell ref="N86:N88"/>
    <mergeCell ref="A89:A91"/>
    <mergeCell ref="M89:M91"/>
    <mergeCell ref="N89:N91"/>
    <mergeCell ref="A80:A82"/>
    <mergeCell ref="M80:M82"/>
    <mergeCell ref="N80:N82"/>
    <mergeCell ref="A83:A85"/>
    <mergeCell ref="M83:M85"/>
    <mergeCell ref="N83:N85"/>
    <mergeCell ref="A74:A76"/>
    <mergeCell ref="M74:M76"/>
    <mergeCell ref="N74:N76"/>
    <mergeCell ref="A77:A79"/>
    <mergeCell ref="M77:M79"/>
    <mergeCell ref="N77:N79"/>
    <mergeCell ref="A68:A70"/>
    <mergeCell ref="M68:M70"/>
    <mergeCell ref="N68:N70"/>
    <mergeCell ref="A71:A73"/>
    <mergeCell ref="M71:M73"/>
    <mergeCell ref="N71:N73"/>
    <mergeCell ref="A62:A64"/>
    <mergeCell ref="M62:M64"/>
    <mergeCell ref="N62:N64"/>
    <mergeCell ref="A65:A67"/>
    <mergeCell ref="M65:M67"/>
    <mergeCell ref="N65:N67"/>
    <mergeCell ref="A56:A58"/>
    <mergeCell ref="M56:M58"/>
    <mergeCell ref="N56:N58"/>
    <mergeCell ref="A59:A61"/>
    <mergeCell ref="M59:M61"/>
    <mergeCell ref="N59:N61"/>
    <mergeCell ref="A50:A52"/>
    <mergeCell ref="M50:M52"/>
    <mergeCell ref="N50:N52"/>
    <mergeCell ref="A53:A55"/>
    <mergeCell ref="M53:M55"/>
    <mergeCell ref="N53:N55"/>
    <mergeCell ref="A44:A46"/>
    <mergeCell ref="M44:M46"/>
    <mergeCell ref="N44:N46"/>
    <mergeCell ref="A47:A49"/>
    <mergeCell ref="M47:M49"/>
    <mergeCell ref="N47:N49"/>
    <mergeCell ref="A38:A40"/>
    <mergeCell ref="M38:M40"/>
    <mergeCell ref="N38:N40"/>
    <mergeCell ref="A41:A43"/>
    <mergeCell ref="M41:M43"/>
    <mergeCell ref="N41:N43"/>
    <mergeCell ref="A32:A34"/>
    <mergeCell ref="M32:M34"/>
    <mergeCell ref="N32:N34"/>
    <mergeCell ref="A35:A37"/>
    <mergeCell ref="M35:M37"/>
    <mergeCell ref="N35:N37"/>
    <mergeCell ref="A26:A28"/>
    <mergeCell ref="M26:M28"/>
    <mergeCell ref="N26:N28"/>
    <mergeCell ref="A29:A31"/>
    <mergeCell ref="M29:M31"/>
    <mergeCell ref="N29:N31"/>
    <mergeCell ref="A20:A22"/>
    <mergeCell ref="M20:M22"/>
    <mergeCell ref="N20:N22"/>
    <mergeCell ref="A23:A25"/>
    <mergeCell ref="M23:M25"/>
    <mergeCell ref="N23:N25"/>
    <mergeCell ref="A17:A19"/>
    <mergeCell ref="M17:M19"/>
    <mergeCell ref="N17:N19"/>
    <mergeCell ref="A8:A10"/>
    <mergeCell ref="M8:M10"/>
    <mergeCell ref="N8:N10"/>
    <mergeCell ref="A11:A13"/>
    <mergeCell ref="M11:M13"/>
    <mergeCell ref="N11:N13"/>
    <mergeCell ref="A2:A4"/>
    <mergeCell ref="M2:M4"/>
    <mergeCell ref="N2:N4"/>
    <mergeCell ref="A5:A7"/>
    <mergeCell ref="M5:M7"/>
    <mergeCell ref="N5:N7"/>
    <mergeCell ref="A14:A16"/>
    <mergeCell ref="M14:M16"/>
    <mergeCell ref="N14:N16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34</vt:i4>
      </vt:variant>
    </vt:vector>
  </HeadingPairs>
  <TitlesOfParts>
    <vt:vector size="69" baseType="lpstr">
      <vt:lpstr>232.430(S-1)</vt:lpstr>
      <vt:lpstr>232.430(S-2)</vt:lpstr>
      <vt:lpstr>232.430(S-3)</vt:lpstr>
      <vt:lpstr>232.430(S-4)</vt:lpstr>
      <vt:lpstr>232.430(S-5)</vt:lpstr>
      <vt:lpstr>232.430(S-6)</vt:lpstr>
      <vt:lpstr>232.430(S-7)</vt:lpstr>
      <vt:lpstr>232.430(S-8)</vt:lpstr>
      <vt:lpstr>232.430(S-9)</vt:lpstr>
      <vt:lpstr>232.430(S-10)</vt:lpstr>
      <vt:lpstr>232.430(S-11)</vt:lpstr>
      <vt:lpstr>232.430(S-12)</vt:lpstr>
      <vt:lpstr>232.430(S-13)</vt:lpstr>
      <vt:lpstr>232.430(S-14)</vt:lpstr>
      <vt:lpstr>232.430(S-15)</vt:lpstr>
      <vt:lpstr>232.430(S-16)</vt:lpstr>
      <vt:lpstr>232.430(S-17)</vt:lpstr>
      <vt:lpstr>232.430(S-18)</vt:lpstr>
      <vt:lpstr>232.430(S-19)</vt:lpstr>
      <vt:lpstr>232.430(S-20)</vt:lpstr>
      <vt:lpstr>232.430(S-21)</vt:lpstr>
      <vt:lpstr>232.430(S-22)</vt:lpstr>
      <vt:lpstr>232.430(S-23)</vt:lpstr>
      <vt:lpstr>232.430(S-24)</vt:lpstr>
      <vt:lpstr>232.430(S-25)</vt:lpstr>
      <vt:lpstr>232.430(S-26)</vt:lpstr>
      <vt:lpstr>232.430(S-27)</vt:lpstr>
      <vt:lpstr>232.430(S-28)</vt:lpstr>
      <vt:lpstr>232.430(S-29)</vt:lpstr>
      <vt:lpstr>232.430(S-30)</vt:lpstr>
      <vt:lpstr>232.430(S-31)</vt:lpstr>
      <vt:lpstr>232.430(S-32)</vt:lpstr>
      <vt:lpstr>232.430(S-33)</vt:lpstr>
      <vt:lpstr>232.430(S-34) </vt:lpstr>
      <vt:lpstr>NewSheet</vt:lpstr>
      <vt:lpstr>'232.430(S-1)'!Print_Area</vt:lpstr>
      <vt:lpstr>'232.430(S-10)'!Print_Area</vt:lpstr>
      <vt:lpstr>'232.430(S-11)'!Print_Area</vt:lpstr>
      <vt:lpstr>'232.430(S-12)'!Print_Area</vt:lpstr>
      <vt:lpstr>'232.430(S-13)'!Print_Area</vt:lpstr>
      <vt:lpstr>'232.430(S-14)'!Print_Area</vt:lpstr>
      <vt:lpstr>'232.430(S-15)'!Print_Area</vt:lpstr>
      <vt:lpstr>'232.430(S-16)'!Print_Area</vt:lpstr>
      <vt:lpstr>'232.430(S-17)'!Print_Area</vt:lpstr>
      <vt:lpstr>'232.430(S-18)'!Print_Area</vt:lpstr>
      <vt:lpstr>'232.430(S-19)'!Print_Area</vt:lpstr>
      <vt:lpstr>'232.430(S-2)'!Print_Area</vt:lpstr>
      <vt:lpstr>'232.430(S-20)'!Print_Area</vt:lpstr>
      <vt:lpstr>'232.430(S-21)'!Print_Area</vt:lpstr>
      <vt:lpstr>'232.430(S-22)'!Print_Area</vt:lpstr>
      <vt:lpstr>'232.430(S-23)'!Print_Area</vt:lpstr>
      <vt:lpstr>'232.430(S-24)'!Print_Area</vt:lpstr>
      <vt:lpstr>'232.430(S-25)'!Print_Area</vt:lpstr>
      <vt:lpstr>'232.430(S-26)'!Print_Area</vt:lpstr>
      <vt:lpstr>'232.430(S-27)'!Print_Area</vt:lpstr>
      <vt:lpstr>'232.430(S-28)'!Print_Area</vt:lpstr>
      <vt:lpstr>'232.430(S-29)'!Print_Area</vt:lpstr>
      <vt:lpstr>'232.430(S-3)'!Print_Area</vt:lpstr>
      <vt:lpstr>'232.430(S-30)'!Print_Area</vt:lpstr>
      <vt:lpstr>'232.430(S-31)'!Print_Area</vt:lpstr>
      <vt:lpstr>'232.430(S-32)'!Print_Area</vt:lpstr>
      <vt:lpstr>'232.430(S-33)'!Print_Area</vt:lpstr>
      <vt:lpstr>'232.430(S-34) '!Print_Area</vt:lpstr>
      <vt:lpstr>'232.430(S-4)'!Print_Area</vt:lpstr>
      <vt:lpstr>'232.430(S-5)'!Print_Area</vt:lpstr>
      <vt:lpstr>'232.430(S-6)'!Print_Area</vt:lpstr>
      <vt:lpstr>'232.430(S-7)'!Print_Area</vt:lpstr>
      <vt:lpstr>'232.430(S-8)'!Print_Area</vt:lpstr>
      <vt:lpstr>'232.430(S-9)'!Print_Area</vt:lpstr>
    </vt:vector>
  </TitlesOfParts>
  <Company>동아컨설턴트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민경남</dc:creator>
  <cp:lastModifiedBy>minhwasoo</cp:lastModifiedBy>
  <cp:lastPrinted>2018-09-27T07:56:11Z</cp:lastPrinted>
  <dcterms:created xsi:type="dcterms:W3CDTF">2003-04-02T11:09:21Z</dcterms:created>
  <dcterms:modified xsi:type="dcterms:W3CDTF">2021-01-27T07:51:43Z</dcterms:modified>
</cp:coreProperties>
</file>