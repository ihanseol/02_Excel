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63C3219-D29D-45D3-B524-CAA18A99FAB5}" xr6:coauthVersionLast="47" xr6:coauthVersionMax="47" xr10:uidLastSave="{00000000-0000-0000-0000-000000000000}"/>
  <bookViews>
    <workbookView xWindow="5460" yWindow="5550" windowWidth="27960" windowHeight="14580" tabRatio="538" firstSheet="2" activeTab="3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1" l="1"/>
  <c r="L12" i="11" s="1"/>
  <c r="C6" i="11"/>
  <c r="L23" i="11" a="1"/>
  <c r="M20" i="11" a="1"/>
  <c r="M18" i="11" a="1"/>
  <c r="M16" i="11" a="1"/>
  <c r="M17" i="11" a="1"/>
  <c r="L16" i="11" a="1"/>
  <c r="L20" i="11" a="1"/>
  <c r="M15" i="11" a="1"/>
  <c r="L22" i="11" a="1"/>
  <c r="M19" i="11" a="1"/>
  <c r="L14" i="11" a="1"/>
  <c r="M22" i="11" a="1"/>
  <c r="L18" i="11" a="1"/>
  <c r="M21" i="11" a="1"/>
  <c r="L17" i="11" a="1"/>
  <c r="M23" i="11" a="1"/>
  <c r="L21" i="11" a="1"/>
  <c r="L19" i="11" a="1"/>
  <c r="L15" i="11" a="1"/>
  <c r="D12" i="11" l="1"/>
  <c r="H12" i="11"/>
  <c r="M21" i="11"/>
  <c r="L21" i="11"/>
  <c r="L20" i="11"/>
  <c r="M20" i="11"/>
  <c r="L14" i="11"/>
  <c r="L19" i="11"/>
  <c r="L18" i="11"/>
  <c r="M19" i="11"/>
  <c r="L23" i="11"/>
  <c r="L22" i="11"/>
  <c r="L17" i="11"/>
  <c r="L16" i="11"/>
  <c r="M18" i="11"/>
  <c r="M17" i="11"/>
  <c r="M22" i="11"/>
  <c r="L15" i="11"/>
  <c r="M23" i="11"/>
  <c r="M16" i="11"/>
  <c r="M15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N17" i="11" a="1"/>
  <c r="N23" i="11" a="1"/>
  <c r="N20" i="11" a="1"/>
  <c r="N22" i="11" a="1"/>
  <c r="N16" i="11" a="1"/>
  <c r="N19" i="11" a="1"/>
  <c r="N21" i="11" a="1"/>
  <c r="N18" i="11" a="1"/>
  <c r="N15" i="11" a="1"/>
  <c r="M14" i="11" a="1"/>
  <c r="N14" i="11" a="1"/>
  <c r="M14" i="11" l="1"/>
  <c r="N14" i="11"/>
  <c r="N16" i="11"/>
  <c r="N18" i="11"/>
  <c r="N22" i="11"/>
  <c r="N20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5" i="11" s="1"/>
  <c r="F23" i="11"/>
  <c r="F21" i="11"/>
  <c r="D22" i="11"/>
  <c r="D21" i="11"/>
  <c r="D23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M19" i="7" l="1"/>
  <c r="N18" i="7"/>
  <c r="E24" i="11"/>
  <c r="E25" i="1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E26" i="11" l="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A28" i="10" l="1"/>
  <c r="A27" i="9"/>
  <c r="X24" i="7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4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AC35" i="7" s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AC36" i="7" s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C37" i="7" s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AC38" i="7" s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<sst xmlns="http://schemas.openxmlformats.org/spreadsheetml/2006/main" count="1096" uniqueCount="249">
  <si>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</si>
  <si>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</si>
  <si>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</si>
  <si>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</si>
  <si>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</si>
  <si>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</si>
  <si>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</si>
  <si>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</si>
  <si>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</si>
  <si>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</si>
  <si>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</si>
  <si>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</si>
  <si>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</si>
  <si>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</si>
  <si>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</si>
  <si>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</si>
  <si>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</si>
  <si>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</si>
  <si>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</si>
  <si>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</si>
  <si>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</si>
  <si>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</si>
  <si>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</si>
  <si>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</si>
  <si>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</si>
  <si>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</si>
  <si>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</si>
  <si>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</si>
  <si>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</si>
  <si>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</si>
  <si>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</si>
  <si>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</si>
  <si>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</si>
  <si>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</si>
  <si>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</si>
  <si>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</si>
  <si>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</si>
  <si>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</si>
  <si>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</si>
  <si>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</si>
  <si>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</si>
  <si>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</si>
  <si>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</si>
  <si>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</si>
  <si>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</si>
  <si>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</si>
  <si>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</si>
  <si>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</si>
  <si>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</si>
  <si>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</si>
  <si>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</si>
  <si>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</si>
  <si>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</si>
  <si>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</si>
  <si>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</si>
  <si>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</si>
  <si>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</si>
  <si>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</si>
  <si>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</si>
  <si>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</si>
  <si>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</si>
  <si>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</si>
  <si>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</si>
  <si>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</si>
  <si>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</si>
  <si>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</si>
  <si>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</si>
  <si>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</si>
  <si>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</si>
  <si>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</si>
  <si>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</si>
  <si>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</si>
  <si>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</si>
  <si>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</si>
  <si>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</si>
  <si>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</si>
  <si>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</si>
  <si>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</si>
  <si>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</si>
  <si>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</si>
  <si>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</si>
  <si>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</si>
  <si>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</si>
  <si>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</si>
  <si>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</si>
  <si>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</si>
  <si>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</si>
  <si>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</si>
  <si>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</si>
  <si>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</si>
  <si>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</si>
  <si>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</si>
  <si>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</si>
  <si>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</si>
  <si>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</si>
  <si>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</si>
  <si>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</si>
  <si>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</si>
  <si>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</si>
  <si>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</si>
  <si>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</si>
  <si>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</si>
  <si>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</si>
  <si>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</si>
  <si>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</si>
  <si>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</si>
  <si>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</si>
  <si>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</si>
  <si>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</si>
  <si>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</si>
  <si>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</si>
  <si>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</si>
  <si>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</si>
  <si>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</si>
  <si>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</si>
  <si>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</si>
  <si>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</si>
  <si>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</si>
  <si>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</si>
  <si>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</si>
  <si>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</si>
  <si>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</si>
  <si>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</si>
  <si>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</si>
  <si>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</si>
  <si>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</si>
  <si>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</si>
  <si>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</si>
  <si>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</si>
  <si>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</si>
  <si>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</si>
  <si>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</si>
  <si>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</si>
  <si>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</si>
  <si>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</si>
  <si>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</si>
  <si>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</si>
  <si>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</si>
  <si>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</si>
  <si>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</si>
  <si>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</si>
  <si>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</si>
  <si>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</si>
  <si>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</si>
  <si>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</si>
  <si>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</si>
  <si>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</si>
  <si>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</si>
  <si>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</si>
  <si>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</si>
  <si>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</si>
  <si>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</si>
  <si>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</si>
  <si>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</si>
  <si>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</si>
  <si>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</si>
  <si>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</si>
  <si>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</si>
  <si>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</si>
  <si>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</si>
  <si>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</si>
  <si>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</si>
  <si>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</si>
  <si>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</si>
  <si>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</si>
  <si>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</si>
  <si>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</si>
  <si>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</si>
  <si>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</si>
  <si>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</si>
  <si>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</si>
  <si>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</si>
  <si>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</si>
  <si>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</si>
  <si>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</si>
  <si>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</si>
  <si>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</si>
  <si>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</si>
  <si>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</si>
  <si>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</si>
  <si>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</si>
  <si>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</si>
  <si>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</si>
  <si>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</si>
  <si>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</si>
  <si>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</si>
  <si>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</si>
  <si>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</si>
  <si>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</si>
  <si>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</si>
  <si>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</si>
  <si>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</si>
  <si>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</si>
  <si>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</si>
  <si>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</si>
  <si>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</si>
  <si>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</si>
  <si>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</si>
  <si>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</si>
  <si>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</si>
  <si>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</si>
  <si>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</si>
  <si>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</si>
  <si>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</si>
  <si>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</si>
  <si>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</si>
  <si>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</si>
  <si>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</si>
  <si>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</si>
  <si>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</si>
  <si>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</si>
  <si>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</si>
  <si>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</si>
  <si>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</si>
  <si>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</si>
  <si>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</si>
  <si>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</si>
  <si>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</si>
  <si>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</si>
  <si>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</si>
  <si>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</si>
  <si>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</si>
  <si>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</si>
  <si>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</si>
  <si>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</si>
  <si>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</si>
  <si>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</si>
  <si>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</si>
  <si>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</si>
  <si>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</si>
  <si>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</si>
  <si>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</si>
  <si>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</si>
  <si>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</si>
  <si>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</si>
  <si>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</si>
  <si>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</si>
  <si>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</si>
  <si>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</si>
  <si>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보령시립노인전문병원 지하수유효기간 연장허가를 위한 지하수영향조사</t>
  </si>
  <si>
    <t>충청남도 보령시 청라면 장산리 828-8</t>
  </si>
  <si>
    <t>94
120
146
172
198</t>
  </si>
  <si>
    <t>25.88
30.10
34.86
40.16
48.24</t>
  </si>
  <si>
    <t>12.68
16.90
21.66
26.96
35.04</t>
  </si>
  <si>
    <t>7.463
7.143
6.757
6.410
5.650</t>
  </si>
  <si>
    <t>0.134
0.140
0.148
0.156
0.177</t>
  </si>
  <si>
    <t>관정</t>
  </si>
  <si>
    <t>공  번 : W - 2</t>
  </si>
  <si>
    <t>W-2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</si>
</sst>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\ 0.00000\ 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6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0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77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78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79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80" fontId="7" fillId="0" borderId="8" xfId="4" applyFont="1" applyBorder="1"/>
    <xf numFmtId="180" fontId="7" fillId="0" borderId="9" xfId="4" applyFont="1" applyBorder="1"/>
    <xf numFmtId="0" fontId="4" fillId="0" borderId="10" xfId="3" applyFont="1" applyBorder="1"/>
    <xf numFmtId="0" fontId="10" fillId="0" borderId="0" xfId="3" applyFont="1"/>
    <xf numFmtId="181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82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80" fontId="7" fillId="0" borderId="8" xfId="3" applyNumberFormat="1" applyFont="1" applyBorder="1"/>
    <xf numFmtId="183" fontId="7" fillId="0" borderId="8" xfId="3" applyNumberFormat="1" applyFont="1" applyBorder="1"/>
    <xf numFmtId="180" fontId="7" fillId="0" borderId="9" xfId="3" applyNumberFormat="1" applyFont="1" applyBorder="1"/>
    <xf numFmtId="0" fontId="7" fillId="4" borderId="11" xfId="3" applyFont="1" applyFill="1" applyBorder="1"/>
    <xf numFmtId="180" fontId="7" fillId="0" borderId="12" xfId="3" applyNumberFormat="1" applyFont="1" applyBorder="1"/>
    <xf numFmtId="184" fontId="7" fillId="0" borderId="12" xfId="3" applyNumberFormat="1" applyFont="1" applyBorder="1"/>
    <xf numFmtId="180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77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77" fontId="7" fillId="0" borderId="0" xfId="3" applyNumberFormat="1" applyFont="1"/>
    <xf numFmtId="186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86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76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88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89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82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91" fontId="7" fillId="0" borderId="1" xfId="3" applyNumberFormat="1" applyFont="1" applyBorder="1" applyAlignment="1">
      <alignment horizontal="center"/>
    </xf>
    <xf numFmtId="189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81" fontId="4" fillId="9" borderId="1" xfId="3" applyNumberFormat="1" applyFont="1" applyFill="1" applyBorder="1" applyAlignment="1">
      <alignment horizontal="right"/>
    </xf>
    <xf numFmtId="182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92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93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89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93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89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81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89" fontId="24" fillId="22" borderId="32" xfId="6" applyNumberFormat="1" applyFont="1" applyFill="1" applyBorder="1" applyAlignment="1">
      <alignment horizontal="center" vertical="center"/>
    </xf>
    <xf numFmtId="193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94" fontId="19" fillId="19" borderId="26" xfId="6" applyNumberFormat="1" applyFont="1" applyFill="1" applyBorder="1" applyAlignment="1">
      <alignment horizontal="center" vertical="center"/>
    </xf>
    <xf numFmtId="195" fontId="16" fillId="0" borderId="0" xfId="6" applyNumberFormat="1" applyFont="1">
      <alignment vertical="center"/>
    </xf>
    <xf numFmtId="196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94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81" fontId="19" fillId="11" borderId="42" xfId="6" applyNumberFormat="1" applyFont="1" applyFill="1" applyBorder="1">
      <alignment vertical="center"/>
    </xf>
    <xf numFmtId="189" fontId="38" fillId="20" borderId="43" xfId="6" applyNumberFormat="1" applyFont="1" applyFill="1" applyBorder="1" applyAlignment="1">
      <alignment horizontal="center" vertical="center"/>
    </xf>
    <xf numFmtId="198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93" fontId="24" fillId="22" borderId="48" xfId="6" applyNumberFormat="1" applyFont="1" applyFill="1" applyBorder="1" applyAlignment="1">
      <alignment horizontal="center" vertical="center"/>
    </xf>
    <xf numFmtId="197" fontId="19" fillId="25" borderId="43" xfId="6" applyNumberFormat="1" applyFont="1" applyFill="1" applyBorder="1" applyAlignment="1">
      <alignment horizontal="center" vertical="center"/>
    </xf>
    <xf numFmtId="189" fontId="24" fillId="22" borderId="43" xfId="6" applyNumberFormat="1" applyFont="1" applyFill="1" applyBorder="1" applyAlignment="1">
      <alignment horizontal="center" vertical="center"/>
    </xf>
    <xf numFmtId="178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89" fontId="24" fillId="22" borderId="29" xfId="6" applyNumberFormat="1" applyFont="1" applyFill="1" applyBorder="1" applyAlignment="1">
      <alignment horizontal="center" vertical="center"/>
    </xf>
    <xf numFmtId="179" fontId="38" fillId="20" borderId="50" xfId="6" applyNumberFormat="1" applyFont="1" applyFill="1" applyBorder="1" applyAlignment="1">
      <alignment horizontal="center" vertical="center"/>
    </xf>
    <xf numFmtId="178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97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89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82" fontId="19" fillId="0" borderId="0" xfId="6" applyNumberFormat="1" applyFont="1">
      <alignment vertical="center"/>
    </xf>
    <xf numFmtId="197" fontId="41" fillId="24" borderId="0" xfId="3" applyNumberFormat="1" applyFont="1" applyFill="1" applyAlignment="1">
      <alignment vertical="center"/>
    </xf>
    <xf numFmtId="197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99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81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81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86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81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86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81" fontId="46" fillId="4" borderId="0" xfId="3" applyNumberFormat="1" applyFont="1" applyFill="1" applyAlignment="1">
      <alignment vertical="center"/>
    </xf>
    <xf numFmtId="200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/>
    </xf>
    <xf numFmtId="177" fontId="46" fillId="28" borderId="0" xfId="3" applyNumberFormat="1" applyFont="1" applyFill="1" applyAlignment="1">
      <alignment vertical="center"/>
    </xf>
    <xf numFmtId="182" fontId="46" fillId="0" borderId="0" xfId="3" applyNumberFormat="1" applyFont="1" applyAlignment="1">
      <alignment vertical="center"/>
    </xf>
    <xf numFmtId="194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86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81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87" fontId="51" fillId="0" borderId="14" xfId="3" applyNumberFormat="1" applyFont="1" applyBorder="1" applyAlignment="1">
      <alignment horizontal="centerContinuous" vertical="center"/>
    </xf>
    <xf numFmtId="186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86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202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93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202" fontId="50" fillId="0" borderId="1" xfId="3" applyNumberFormat="1" applyFont="1" applyBorder="1" applyAlignment="1">
      <alignment vertical="center"/>
    </xf>
    <xf numFmtId="208" fontId="50" fillId="0" borderId="1" xfId="3" applyNumberFormat="1" applyFont="1" applyBorder="1" applyAlignment="1">
      <alignment vertical="center"/>
    </xf>
    <xf numFmtId="186" fontId="3" fillId="0" borderId="0" xfId="3" applyNumberFormat="1"/>
    <xf numFmtId="208" fontId="50" fillId="0" borderId="1" xfId="3" applyNumberFormat="1" applyFont="1" applyBorder="1" applyAlignment="1">
      <alignment horizontal="center" vertical="center"/>
    </xf>
    <xf numFmtId="186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209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96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205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210" fontId="46" fillId="0" borderId="0" xfId="3" applyNumberFormat="1" applyFont="1" applyAlignment="1">
      <alignment vertical="center"/>
    </xf>
    <xf numFmtId="177" fontId="46" fillId="4" borderId="0" xfId="3" applyNumberFormat="1" applyFont="1" applyFill="1" applyAlignment="1">
      <alignment vertical="center"/>
    </xf>
    <xf numFmtId="177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87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12" fontId="56" fillId="0" borderId="1" xfId="3" applyNumberFormat="1" applyFont="1" applyBorder="1" applyAlignment="1">
      <alignment horizontal="center" vertical="center"/>
    </xf>
    <xf numFmtId="203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204" fontId="56" fillId="0" borderId="1" xfId="3" applyNumberFormat="1" applyFont="1" applyBorder="1" applyAlignment="1">
      <alignment horizontal="right" vertical="center"/>
    </xf>
    <xf numFmtId="202" fontId="56" fillId="0" borderId="1" xfId="3" applyNumberFormat="1" applyFont="1" applyBorder="1" applyAlignment="1">
      <alignment horizontal="center" vertical="center"/>
    </xf>
    <xf numFmtId="205" fontId="56" fillId="0" borderId="2" xfId="3" applyNumberFormat="1" applyFont="1" applyBorder="1" applyAlignment="1">
      <alignment horizontal="center" vertical="center"/>
    </xf>
    <xf numFmtId="205" fontId="56" fillId="0" borderId="1" xfId="3" applyNumberFormat="1" applyFont="1" applyBorder="1" applyAlignment="1">
      <alignment horizontal="right" vertical="center"/>
    </xf>
    <xf numFmtId="205" fontId="52" fillId="29" borderId="0" xfId="3" applyNumberFormat="1" applyFont="1" applyFill="1" applyAlignment="1">
      <alignment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202" fontId="46" fillId="0" borderId="1" xfId="3" applyNumberFormat="1" applyFont="1" applyBorder="1" applyAlignment="1">
      <alignment vertical="center"/>
    </xf>
    <xf numFmtId="210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96" fontId="46" fillId="0" borderId="1" xfId="3" applyNumberFormat="1" applyFont="1" applyBorder="1" applyAlignment="1">
      <alignment vertical="center"/>
    </xf>
    <xf numFmtId="196" fontId="46" fillId="8" borderId="1" xfId="3" applyNumberFormat="1" applyFont="1" applyFill="1" applyBorder="1" applyAlignment="1">
      <alignment vertical="center"/>
    </xf>
    <xf numFmtId="213" fontId="46" fillId="0" borderId="1" xfId="3" applyNumberFormat="1" applyFont="1" applyBorder="1" applyAlignment="1">
      <alignment vertical="center"/>
    </xf>
    <xf numFmtId="176" fontId="46" fillId="17" borderId="0" xfId="3" applyNumberFormat="1" applyFont="1" applyFill="1" applyAlignment="1">
      <alignment vertical="center"/>
    </xf>
    <xf numFmtId="196" fontId="46" fillId="0" borderId="0" xfId="3" applyNumberFormat="1" applyFont="1" applyAlignment="1">
      <alignment vertical="center"/>
    </xf>
    <xf numFmtId="210" fontId="46" fillId="0" borderId="0" xfId="3" applyNumberFormat="1" applyFont="1" applyAlignment="1">
      <alignment horizontal="right" vertical="center"/>
    </xf>
    <xf numFmtId="210" fontId="46" fillId="0" borderId="0" xfId="3" applyNumberFormat="1" applyFont="1" applyAlignment="1">
      <alignment horizontal="right"/>
    </xf>
    <xf numFmtId="214" fontId="46" fillId="0" borderId="0" xfId="3" applyNumberFormat="1" applyFont="1" applyAlignment="1">
      <alignment vertical="center"/>
    </xf>
    <xf numFmtId="200" fontId="59" fillId="0" borderId="0" xfId="3" applyNumberFormat="1" applyFont="1" applyAlignment="1">
      <alignment vertical="center"/>
    </xf>
    <xf numFmtId="215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200" fontId="46" fillId="8" borderId="0" xfId="3" applyNumberFormat="1" applyFont="1" applyFill="1" applyAlignment="1">
      <alignment vertical="center"/>
    </xf>
    <xf numFmtId="176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210" fontId="46" fillId="8" borderId="2" xfId="3" applyNumberFormat="1" applyFont="1" applyFill="1" applyBorder="1" applyAlignment="1">
      <alignment horizontal="right"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96" fontId="46" fillId="11" borderId="1" xfId="3" applyNumberFormat="1" applyFont="1" applyFill="1" applyBorder="1" applyAlignment="1">
      <alignment vertical="center"/>
    </xf>
    <xf numFmtId="200" fontId="46" fillId="0" borderId="0" xfId="3" applyNumberFormat="1" applyFont="1" applyAlignment="1">
      <alignment horizontal="right"/>
    </xf>
    <xf numFmtId="196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96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78" fontId="16" fillId="0" borderId="0" xfId="3" applyNumberFormat="1" applyFont="1" applyAlignment="1">
      <alignment horizontal="left"/>
    </xf>
    <xf numFmtId="193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16" fontId="16" fillId="10" borderId="65" xfId="3" applyNumberFormat="1" applyFont="1" applyFill="1" applyBorder="1" applyAlignment="1">
      <alignment horizontal="center" vertical="center"/>
    </xf>
    <xf numFmtId="216" fontId="16" fillId="10" borderId="0" xfId="3" applyNumberFormat="1" applyFont="1" applyFill="1" applyAlignment="1">
      <alignment horizontal="center" vertical="center"/>
    </xf>
    <xf numFmtId="217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17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18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82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19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18" fontId="16" fillId="0" borderId="70" xfId="3" applyNumberFormat="1" applyFont="1" applyBorder="1" applyAlignment="1">
      <alignment horizontal="center" vertical="center"/>
    </xf>
    <xf numFmtId="182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19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207" fontId="50" fillId="0" borderId="1" xfId="3" applyNumberFormat="1" applyFont="1" applyBorder="1" applyAlignment="1">
      <alignment horizontal="center" vertical="center"/>
    </xf>
    <xf numFmtId="207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81" fontId="3" fillId="31" borderId="0" xfId="3" applyNumberFormat="1" applyFill="1"/>
    <xf numFmtId="208" fontId="65" fillId="0" borderId="1" xfId="3" applyNumberFormat="1" applyFont="1" applyBorder="1" applyAlignment="1">
      <alignment horizontal="center" vertical="center"/>
    </xf>
    <xf numFmtId="193" fontId="3" fillId="31" borderId="0" xfId="3" applyNumberFormat="1" applyFill="1"/>
    <xf numFmtId="176" fontId="3" fillId="31" borderId="0" xfId="3" applyNumberFormat="1" applyFill="1"/>
    <xf numFmtId="208" fontId="50" fillId="31" borderId="1" xfId="3" applyNumberFormat="1" applyFont="1" applyFill="1" applyBorder="1" applyAlignment="1">
      <alignment horizontal="center" vertical="center"/>
    </xf>
    <xf numFmtId="189" fontId="38" fillId="32" borderId="32" xfId="6" applyNumberFormat="1" applyFont="1" applyFill="1" applyBorder="1" applyAlignment="1">
      <alignment horizontal="center" vertical="center"/>
    </xf>
    <xf numFmtId="185" fontId="15" fillId="4" borderId="1" xfId="3" applyNumberFormat="1" applyFont="1" applyFill="1" applyBorder="1"/>
    <xf numFmtId="0" fontId="15" fillId="4" borderId="1" xfId="3" applyFont="1" applyFill="1" applyBorder="1"/>
    <xf numFmtId="197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93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82" fontId="24" fillId="23" borderId="29" xfId="6" applyNumberFormat="1" applyFont="1" applyFill="1" applyBorder="1" applyAlignment="1">
      <alignment horizontal="center" vertical="center"/>
    </xf>
    <xf numFmtId="182" fontId="24" fillId="35" borderId="86" xfId="6" applyNumberFormat="1" applyFont="1" applyFill="1" applyBorder="1" applyAlignment="1">
      <alignment horizontal="center" vertical="center"/>
    </xf>
    <xf numFmtId="178" fontId="38" fillId="32" borderId="86" xfId="6" applyNumberFormat="1" applyFont="1" applyFill="1" applyBorder="1" applyAlignment="1">
      <alignment horizontal="center" vertical="center"/>
    </xf>
    <xf numFmtId="177" fontId="52" fillId="29" borderId="0" xfId="3" applyNumberFormat="1" applyFont="1" applyFill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79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81" fontId="4" fillId="0" borderId="1" xfId="3" applyNumberFormat="1" applyFont="1" applyBorder="1" applyAlignment="1">
      <alignment horizontal="center" vertical="center"/>
    </xf>
    <xf numFmtId="190" fontId="4" fillId="4" borderId="2" xfId="3" applyNumberFormat="1" applyFont="1" applyFill="1" applyBorder="1" applyAlignment="1">
      <alignment horizontal="center"/>
    </xf>
    <xf numFmtId="190" fontId="4" fillId="4" borderId="15" xfId="3" applyNumberFormat="1" applyFont="1" applyFill="1" applyBorder="1" applyAlignment="1">
      <alignment horizontal="center"/>
    </xf>
    <xf numFmtId="179" fontId="4" fillId="0" borderId="19" xfId="3" applyNumberFormat="1" applyFont="1" applyBorder="1" applyAlignment="1">
      <alignment horizontal="center" vertical="center"/>
    </xf>
    <xf numFmtId="179" fontId="4" fillId="0" borderId="10" xfId="3" applyNumberFormat="1" applyFont="1" applyBorder="1" applyAlignment="1">
      <alignment horizontal="center" vertical="center"/>
    </xf>
    <xf numFmtId="179" fontId="4" fillId="0" borderId="20" xfId="3" applyNumberFormat="1" applyFont="1" applyBorder="1" applyAlignment="1">
      <alignment horizontal="center" vertical="center"/>
    </xf>
    <xf numFmtId="179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86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87" fontId="18" fillId="4" borderId="1" xfId="3" applyNumberFormat="1" applyFont="1" applyFill="1" applyBorder="1" applyAlignment="1">
      <alignment horizontal="center" vertical="center"/>
    </xf>
    <xf numFmtId="187" fontId="22" fillId="11" borderId="2" xfId="3" applyNumberFormat="1" applyFont="1" applyFill="1" applyBorder="1" applyAlignment="1">
      <alignment horizontal="right" vertical="center"/>
    </xf>
    <xf numFmtId="187" fontId="22" fillId="11" borderId="14" xfId="3" applyNumberFormat="1" applyFont="1" applyFill="1" applyBorder="1" applyAlignment="1">
      <alignment horizontal="right" vertical="center"/>
    </xf>
    <xf numFmtId="187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207" fontId="50" fillId="0" borderId="1" xfId="3" applyNumberFormat="1" applyFont="1" applyBorder="1" applyAlignment="1">
      <alignment horizontal="center" vertical="center"/>
    </xf>
    <xf numFmtId="208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201" fontId="50" fillId="0" borderId="2" xfId="3" applyNumberFormat="1" applyFont="1" applyBorder="1" applyAlignment="1">
      <alignment horizontal="center" vertical="center"/>
    </xf>
    <xf numFmtId="201" fontId="50" fillId="0" borderId="14" xfId="3" applyNumberFormat="1" applyFont="1" applyBorder="1" applyAlignment="1">
      <alignment horizontal="center" vertical="center"/>
    </xf>
    <xf numFmtId="201" fontId="50" fillId="0" borderId="15" xfId="3" applyNumberFormat="1" applyFont="1" applyBorder="1" applyAlignment="1">
      <alignment horizontal="center" vertical="center"/>
    </xf>
    <xf numFmtId="203" fontId="50" fillId="0" borderId="1" xfId="3" applyNumberFormat="1" applyFont="1" applyBorder="1" applyAlignment="1">
      <alignment horizontal="center" vertical="center"/>
    </xf>
    <xf numFmtId="204" fontId="50" fillId="0" borderId="1" xfId="3" applyNumberFormat="1" applyFont="1" applyBorder="1" applyAlignment="1">
      <alignment horizontal="center" vertical="center"/>
    </xf>
    <xf numFmtId="205" fontId="50" fillId="0" borderId="2" xfId="3" applyNumberFormat="1" applyFont="1" applyBorder="1" applyAlignment="1">
      <alignment horizontal="center" vertical="center"/>
    </xf>
    <xf numFmtId="205" fontId="50" fillId="0" borderId="14" xfId="3" applyNumberFormat="1" applyFont="1" applyBorder="1" applyAlignment="1">
      <alignment horizontal="center" vertical="center"/>
    </xf>
    <xf numFmtId="206" fontId="50" fillId="0" borderId="14" xfId="3" applyNumberFormat="1" applyFont="1" applyBorder="1" applyAlignment="1">
      <alignment horizontal="center" vertical="center"/>
    </xf>
    <xf numFmtId="202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13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211" fontId="46" fillId="0" borderId="1" xfId="3" applyNumberFormat="1" applyFont="1" applyBorder="1" applyAlignment="1">
      <alignment horizontal="left" vertical="center"/>
    </xf>
    <xf numFmtId="211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1.24</c:v>
                </c:pt>
                <c:pt idx="1">
                  <c:v>2.36</c:v>
                </c:pt>
                <c:pt idx="2">
                  <c:v>3.16</c:v>
                </c:pt>
                <c:pt idx="3">
                  <c:v>3.73</c:v>
                </c:pt>
                <c:pt idx="4">
                  <c:v>4.17</c:v>
                </c:pt>
                <c:pt idx="5">
                  <c:v>5.53</c:v>
                </c:pt>
                <c:pt idx="6">
                  <c:v>6.33</c:v>
                </c:pt>
                <c:pt idx="7">
                  <c:v>6.89</c:v>
                </c:pt>
                <c:pt idx="8">
                  <c:v>7.33</c:v>
                </c:pt>
                <c:pt idx="9">
                  <c:v>7.69</c:v>
                </c:pt>
                <c:pt idx="10">
                  <c:v>7.99</c:v>
                </c:pt>
                <c:pt idx="11">
                  <c:v>8.25</c:v>
                </c:pt>
                <c:pt idx="12">
                  <c:v>8.49</c:v>
                </c:pt>
                <c:pt idx="13">
                  <c:v>8.69</c:v>
                </c:pt>
                <c:pt idx="14">
                  <c:v>8.8800000000000008</c:v>
                </c:pt>
                <c:pt idx="15">
                  <c:v>9.0500000000000007</c:v>
                </c:pt>
                <c:pt idx="16">
                  <c:v>9.49</c:v>
                </c:pt>
                <c:pt idx="17">
                  <c:v>9.85</c:v>
                </c:pt>
                <c:pt idx="18">
                  <c:v>10.15</c:v>
                </c:pt>
                <c:pt idx="19">
                  <c:v>10.42</c:v>
                </c:pt>
                <c:pt idx="20" formatCode="\ 0.00\ ">
                  <c:v>10.58</c:v>
                </c:pt>
                <c:pt idx="21" formatCode="\ 0.00\ ">
                  <c:v>10.73</c:v>
                </c:pt>
                <c:pt idx="22" formatCode="\ 0.00\ ">
                  <c:v>10.870000000000001</c:v>
                </c:pt>
                <c:pt idx="23" formatCode="\ 0.00\ ">
                  <c:v>11.000000000000002</c:v>
                </c:pt>
                <c:pt idx="24" formatCode="\ 0.00\ ">
                  <c:v>11.130000000000003</c:v>
                </c:pt>
                <c:pt idx="25">
                  <c:v>12.5</c:v>
                </c:pt>
                <c:pt idx="26" formatCode="\ 0.00\ ">
                  <c:v>12.61</c:v>
                </c:pt>
                <c:pt idx="27">
                  <c:v>12.84</c:v>
                </c:pt>
                <c:pt idx="28" formatCode="\ 0.00\ ">
                  <c:v>12.94</c:v>
                </c:pt>
                <c:pt idx="29">
                  <c:v>13.19</c:v>
                </c:pt>
                <c:pt idx="30" formatCode="\ 0.00\ ">
                  <c:v>13.25</c:v>
                </c:pt>
                <c:pt idx="31" formatCode="\ 0.00\ ">
                  <c:v>13.3</c:v>
                </c:pt>
                <c:pt idx="32" formatCode="\ 0.00\ ">
                  <c:v>13.34</c:v>
                </c:pt>
                <c:pt idx="33" formatCode="\ 0.00\ ">
                  <c:v>13.37</c:v>
                </c:pt>
                <c:pt idx="34" formatCode="\ 0.00\ ">
                  <c:v>13.389999999999999</c:v>
                </c:pt>
                <c:pt idx="35">
                  <c:v>13.54</c:v>
                </c:pt>
                <c:pt idx="36" formatCode="\ 0.00\ ">
                  <c:v>13.61</c:v>
                </c:pt>
                <c:pt idx="37" formatCode="\ 0.00\ ">
                  <c:v>13.67</c:v>
                </c:pt>
                <c:pt idx="38" formatCode="\ 0.00\ ">
                  <c:v>13.72</c:v>
                </c:pt>
                <c:pt idx="39">
                  <c:v>13.89</c:v>
                </c:pt>
                <c:pt idx="40" formatCode="\ 0.00\ ">
                  <c:v>14.07</c:v>
                </c:pt>
                <c:pt idx="41" formatCode="\ 0.00\ ">
                  <c:v>14.23</c:v>
                </c:pt>
                <c:pt idx="42" formatCode="\ 0.00\ ">
                  <c:v>14.38</c:v>
                </c:pt>
                <c:pt idx="43" formatCode="\ 0.00\ ">
                  <c:v>14.520000000000001</c:v>
                </c:pt>
                <c:pt idx="44" formatCode="\ 0.00\ ">
                  <c:v>14.650000000000002</c:v>
                </c:pt>
                <c:pt idx="45">
                  <c:v>16.23</c:v>
                </c:pt>
                <c:pt idx="46" formatCode="\ 0.00\ ">
                  <c:v>16.34</c:v>
                </c:pt>
                <c:pt idx="47">
                  <c:v>16.62</c:v>
                </c:pt>
                <c:pt idx="48" formatCode="\ 0.00\ ">
                  <c:v>16.73</c:v>
                </c:pt>
                <c:pt idx="49">
                  <c:v>17.010000000000002</c:v>
                </c:pt>
                <c:pt idx="50" formatCode="\ 0.00\ ">
                  <c:v>17.080000000000002</c:v>
                </c:pt>
                <c:pt idx="51" formatCode="\ 0.00\ ">
                  <c:v>17.130000000000003</c:v>
                </c:pt>
                <c:pt idx="52" formatCode="\ 0.00\ ">
                  <c:v>17.170000000000002</c:v>
                </c:pt>
                <c:pt idx="53" formatCode="\ 0.00\ ">
                  <c:v>17.200000000000003</c:v>
                </c:pt>
                <c:pt idx="54" formatCode="\ 0.00\ ">
                  <c:v>17.220000000000002</c:v>
                </c:pt>
                <c:pt idx="55">
                  <c:v>17.399999999999999</c:v>
                </c:pt>
                <c:pt idx="56" formatCode="\ 0.00\ ">
                  <c:v>17.479999999999997</c:v>
                </c:pt>
                <c:pt idx="57" formatCode="\ 0.00\ ">
                  <c:v>17.539999999999996</c:v>
                </c:pt>
                <c:pt idx="58" formatCode="\ 0.00\ ">
                  <c:v>17.589999999999996</c:v>
                </c:pt>
                <c:pt idx="59">
                  <c:v>17.8</c:v>
                </c:pt>
                <c:pt idx="60" formatCode="\ 0.00\ ">
                  <c:v>17.990000000000002</c:v>
                </c:pt>
                <c:pt idx="61" formatCode="\ 0.00\ ">
                  <c:v>18.160000000000004</c:v>
                </c:pt>
                <c:pt idx="62" formatCode="\ 0.00\ ">
                  <c:v>18.320000000000004</c:v>
                </c:pt>
                <c:pt idx="63" formatCode="\ 0.00\ ">
                  <c:v>18.470000000000002</c:v>
                </c:pt>
                <c:pt idx="64" formatCode="\ 0.00\ ">
                  <c:v>18.610000000000003</c:v>
                </c:pt>
                <c:pt idx="65">
                  <c:v>20.41</c:v>
                </c:pt>
                <c:pt idx="66" formatCode="\ 0.00\ ">
                  <c:v>20.53</c:v>
                </c:pt>
                <c:pt idx="67" formatCode="\ 0.00\ ">
                  <c:v>20.85</c:v>
                </c:pt>
                <c:pt idx="68" formatCode="\ 0.00\ ">
                  <c:v>20.970000000000002</c:v>
                </c:pt>
                <c:pt idx="69" formatCode="\ 0.00\ ">
                  <c:v>21.28</c:v>
                </c:pt>
                <c:pt idx="70" formatCode="\ 0.00\ ">
                  <c:v>21.35</c:v>
                </c:pt>
                <c:pt idx="71" formatCode="\ 0.00\ ">
                  <c:v>21.400000000000002</c:v>
                </c:pt>
                <c:pt idx="72" formatCode="\ 0.00\ ">
                  <c:v>21.44</c:v>
                </c:pt>
                <c:pt idx="73" formatCode="\ 0.00\ ">
                  <c:v>21.470000000000002</c:v>
                </c:pt>
                <c:pt idx="74" formatCode="\ 0.00\ ">
                  <c:v>21.500000000000004</c:v>
                </c:pt>
                <c:pt idx="75" formatCode="\ 0.00\ ">
                  <c:v>21.72</c:v>
                </c:pt>
                <c:pt idx="76" formatCode="\ 0.00\ ">
                  <c:v>21.81</c:v>
                </c:pt>
                <c:pt idx="77" formatCode="\ 0.00\ ">
                  <c:v>21.88</c:v>
                </c:pt>
                <c:pt idx="78" formatCode="\ 0.00\ ">
                  <c:v>21.93</c:v>
                </c:pt>
                <c:pt idx="79" formatCode="\ 0.00\ ">
                  <c:v>22.16</c:v>
                </c:pt>
                <c:pt idx="80" formatCode="\ 0.00\ ">
                  <c:v>22.37</c:v>
                </c:pt>
                <c:pt idx="81" formatCode="\ 0.00\ ">
                  <c:v>22.560000000000002</c:v>
                </c:pt>
                <c:pt idx="82" formatCode="\ 0.00\ ">
                  <c:v>22.730000000000004</c:v>
                </c:pt>
                <c:pt idx="83" formatCode="\ 0.00\ ">
                  <c:v>22.890000000000004</c:v>
                </c:pt>
                <c:pt idx="84" formatCode="\ 0.00\ ">
                  <c:v>23.030000000000005</c:v>
                </c:pt>
                <c:pt idx="85" formatCode="\ 0.00\ ">
                  <c:v>24.81</c:v>
                </c:pt>
                <c:pt idx="86" formatCode="\ 0.00\ ">
                  <c:v>25.119999999999997</c:v>
                </c:pt>
                <c:pt idx="87" formatCode="\ 0.00\ ">
                  <c:v>25.81</c:v>
                </c:pt>
                <c:pt idx="88" formatCode="\ 0.00\ ">
                  <c:v>26.11</c:v>
                </c:pt>
                <c:pt idx="89" formatCode="\ 0.00\ ">
                  <c:v>26.8</c:v>
                </c:pt>
                <c:pt idx="90" formatCode="\ 0.00\ ">
                  <c:v>26.95</c:v>
                </c:pt>
                <c:pt idx="91" formatCode="\ 0.00\ ">
                  <c:v>27.08</c:v>
                </c:pt>
                <c:pt idx="92" formatCode="\ 0.00\ ">
                  <c:v>27.189999999999998</c:v>
                </c:pt>
                <c:pt idx="93" formatCode="\ 0.00\ ">
                  <c:v>27.269999999999996</c:v>
                </c:pt>
                <c:pt idx="94" formatCode="\ 0.00\ ">
                  <c:v>27.339999999999996</c:v>
                </c:pt>
                <c:pt idx="95" formatCode="\ 0.00\ ">
                  <c:v>27.8</c:v>
                </c:pt>
                <c:pt idx="96" formatCode="\ 0.00\ ">
                  <c:v>27.990000000000002</c:v>
                </c:pt>
                <c:pt idx="97" formatCode="\ 0.00\ ">
                  <c:v>28.150000000000002</c:v>
                </c:pt>
                <c:pt idx="98" formatCode="\ 0.00\ ">
                  <c:v>28.290000000000003</c:v>
                </c:pt>
                <c:pt idx="99" formatCode="\ 0.00\ ">
                  <c:v>28.8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0.104</c:v>
                </c:pt>
                <c:pt idx="1">
                  <c:v>0.108</c:v>
                </c:pt>
                <c:pt idx="2">
                  <c:v>0.114</c:v>
                </c:pt>
                <c:pt idx="3">
                  <c:v>0.121</c:v>
                </c:pt>
                <c:pt idx="4">
                  <c:v>0.13600000000000001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4666666666666667"/>
          <c:min val="9.333333333333332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3333333333333336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80.240933137867302</c:v>
                </c:pt>
                <c:pt idx="2">
                  <c:v>76.034305731714682</c:v>
                </c:pt>
                <c:pt idx="3">
                  <c:v>72.30465709994516</c:v>
                </c:pt>
                <c:pt idx="4">
                  <c:v>68.935494469389994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8.408333333333331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100</c:v>
                </c:pt>
                <c:pt idx="1">
                  <c:v>128</c:v>
                </c:pt>
                <c:pt idx="2">
                  <c:v>155.54999999999998</c:v>
                </c:pt>
                <c:pt idx="3">
                  <c:v>183</c:v>
                </c:pt>
                <c:pt idx="4">
                  <c:v>210.45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10.42</c:v>
                </c:pt>
                <c:pt idx="1">
                  <c:v>13.89</c:v>
                </c:pt>
                <c:pt idx="2">
                  <c:v>17.8</c:v>
                </c:pt>
                <c:pt idx="3">
                  <c:v>22.16</c:v>
                </c:pt>
                <c:pt idx="4">
                  <c:v>28.8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(Q)(W-4)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90</c:v>
                </c:pt>
                <c:pt idx="1">
                  <c:v>100</c:v>
                </c:pt>
                <c:pt idx="2">
                  <c:v>128</c:v>
                </c:pt>
                <c:pt idx="3">
                  <c:v>155.54999999999998</c:v>
                </c:pt>
                <c:pt idx="4">
                  <c:v>183</c:v>
                </c:pt>
                <c:pt idx="5">
                  <c:v>210.45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0.1042</c:v>
                </c:pt>
                <c:pt idx="2">
                  <c:v>0.108515625</c:v>
                </c:pt>
                <c:pt idx="3">
                  <c:v>0.11443265830922535</c:v>
                </c:pt>
                <c:pt idx="4">
                  <c:v>0.12109289617486339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47.26666666666665"/>
          <c:min val="63.183333333333337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(㎥/day)(W-4)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8.408333333333331"/>
      </c:valAx>
      <c:valAx>
        <c:axId val="1"/>
        <c:scaling>
          <c:orientation val="minMax"/>
          <c:max val="0.14666666666666667"/>
          <c:min val="9.3333333333333324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3333333333333336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1.24</c:v>
                </c:pt>
                <c:pt idx="1">
                  <c:v>2.36</c:v>
                </c:pt>
                <c:pt idx="2">
                  <c:v>3.16</c:v>
                </c:pt>
                <c:pt idx="3">
                  <c:v>3.73</c:v>
                </c:pt>
                <c:pt idx="4">
                  <c:v>4.17</c:v>
                </c:pt>
                <c:pt idx="5">
                  <c:v>5.53</c:v>
                </c:pt>
                <c:pt idx="6">
                  <c:v>6.33</c:v>
                </c:pt>
                <c:pt idx="7">
                  <c:v>6.89</c:v>
                </c:pt>
                <c:pt idx="8">
                  <c:v>7.33</c:v>
                </c:pt>
                <c:pt idx="9">
                  <c:v>7.69</c:v>
                </c:pt>
                <c:pt idx="10">
                  <c:v>7.99</c:v>
                </c:pt>
                <c:pt idx="11">
                  <c:v>8.25</c:v>
                </c:pt>
                <c:pt idx="12">
                  <c:v>8.49</c:v>
                </c:pt>
                <c:pt idx="13">
                  <c:v>8.69</c:v>
                </c:pt>
                <c:pt idx="14">
                  <c:v>8.8800000000000008</c:v>
                </c:pt>
                <c:pt idx="15">
                  <c:v>9.0500000000000007</c:v>
                </c:pt>
                <c:pt idx="16">
                  <c:v>9.49</c:v>
                </c:pt>
                <c:pt idx="17">
                  <c:v>9.85</c:v>
                </c:pt>
                <c:pt idx="18">
                  <c:v>10.15</c:v>
                </c:pt>
                <c:pt idx="19">
                  <c:v>10.42</c:v>
                </c:pt>
                <c:pt idx="20">
                  <c:v>12.5</c:v>
                </c:pt>
                <c:pt idx="21">
                  <c:v>12.84</c:v>
                </c:pt>
                <c:pt idx="22">
                  <c:v>13.19</c:v>
                </c:pt>
                <c:pt idx="23">
                  <c:v>13.54</c:v>
                </c:pt>
                <c:pt idx="24">
                  <c:v>13.89</c:v>
                </c:pt>
                <c:pt idx="25">
                  <c:v>16.23</c:v>
                </c:pt>
                <c:pt idx="26">
                  <c:v>16.62</c:v>
                </c:pt>
                <c:pt idx="27">
                  <c:v>17.010000000000002</c:v>
                </c:pt>
                <c:pt idx="28">
                  <c:v>17.399999999999999</c:v>
                </c:pt>
                <c:pt idx="29">
                  <c:v>17.8</c:v>
                </c:pt>
                <c:pt idx="30">
                  <c:v>20.41</c:v>
                </c:pt>
                <c:pt idx="31">
                  <c:v>20.85</c:v>
                </c:pt>
                <c:pt idx="32">
                  <c:v>21.28</c:v>
                </c:pt>
                <c:pt idx="33">
                  <c:v>21.72</c:v>
                </c:pt>
                <c:pt idx="34">
                  <c:v>22.16</c:v>
                </c:pt>
                <c:pt idx="35">
                  <c:v>24.81</c:v>
                </c:pt>
                <c:pt idx="36">
                  <c:v>25.81</c:v>
                </c:pt>
                <c:pt idx="37">
                  <c:v>26.8</c:v>
                </c:pt>
                <c:pt idx="38">
                  <c:v>27.8</c:v>
                </c:pt>
                <c:pt idx="39">
                  <c:v>28.8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1.0061610103469949</c:v>
                </c:pt>
                <c:pt idx="1">
                  <c:v>2.3691243958736798</c:v>
                </c:pt>
                <c:pt idx="2">
                  <c:v>3.1664068662627418</c:v>
                </c:pt>
                <c:pt idx="3">
                  <c:v>3.7320877814003648</c:v>
                </c:pt>
                <c:pt idx="4">
                  <c:v>4.1708639875042</c:v>
                </c:pt>
                <c:pt idx="5">
                  <c:v>5.5338273730308831</c:v>
                </c:pt>
                <c:pt idx="6">
                  <c:v>6.3311098434199469</c:v>
                </c:pt>
                <c:pt idx="7">
                  <c:v>6.8967907585575698</c:v>
                </c:pt>
                <c:pt idx="8">
                  <c:v>7.3355669646614015</c:v>
                </c:pt>
                <c:pt idx="9">
                  <c:v>7.69407322894663</c:v>
                </c:pt>
                <c:pt idx="10">
                  <c:v>7.9971859564468328</c:v>
                </c:pt>
                <c:pt idx="11">
                  <c:v>8.259754144084253</c:v>
                </c:pt>
                <c:pt idx="12">
                  <c:v>8.4913556993356938</c:v>
                </c:pt>
                <c:pt idx="13">
                  <c:v>8.6985303501880882</c:v>
                </c:pt>
                <c:pt idx="14">
                  <c:v>8.8859426184401489</c:v>
                </c:pt>
                <c:pt idx="15">
                  <c:v>9.0570366144733168</c:v>
                </c:pt>
                <c:pt idx="16">
                  <c:v>9.4958128205771519</c:v>
                </c:pt>
                <c:pt idx="17">
                  <c:v>9.8543190848623805</c:v>
                </c:pt>
                <c:pt idx="18">
                  <c:v>10.15743181236258</c:v>
                </c:pt>
                <c:pt idx="19">
                  <c:v>10.42</c:v>
                </c:pt>
                <c:pt idx="20">
                  <c:v>12.346867627109365</c:v>
                </c:pt>
                <c:pt idx="21">
                  <c:v>12.533391157726101</c:v>
                </c:pt>
                <c:pt idx="22">
                  <c:v>12.707040410338752</c:v>
                </c:pt>
                <c:pt idx="23">
                  <c:v>13.165928428623843</c:v>
                </c:pt>
                <c:pt idx="24">
                  <c:v>13.89</c:v>
                </c:pt>
                <c:pt idx="25">
                  <c:v>16.684687011808666</c:v>
                </c:pt>
                <c:pt idx="26">
                  <c:v>16.80464915878456</c:v>
                </c:pt>
                <c:pt idx="27">
                  <c:v>16.920083336503435</c:v>
                </c:pt>
                <c:pt idx="28">
                  <c:v>17.242343505904334</c:v>
                </c:pt>
                <c:pt idx="29">
                  <c:v>17.8</c:v>
                </c:pt>
                <c:pt idx="30">
                  <c:v>21.223396480227517</c:v>
                </c:pt>
                <c:pt idx="31">
                  <c:v>21.319359584439578</c:v>
                </c:pt>
                <c:pt idx="32">
                  <c:v>21.412829856444919</c:v>
                </c:pt>
                <c:pt idx="33">
                  <c:v>21.679500216623534</c:v>
                </c:pt>
                <c:pt idx="34">
                  <c:v>22.16</c:v>
                </c:pt>
                <c:pt idx="35">
                  <c:v>27.961921458395704</c:v>
                </c:pt>
                <c:pt idx="36">
                  <c:v>28.045523566811735</c:v>
                </c:pt>
                <c:pt idx="37">
                  <c:v>28.127470078638982</c:v>
                </c:pt>
                <c:pt idx="38">
                  <c:v>28.364000947281131</c:v>
                </c:pt>
                <c:pt idx="39">
                  <c:v>28.8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1.24</c:v>
                </c:pt>
                <c:pt idx="1">
                  <c:v>2.36</c:v>
                </c:pt>
                <c:pt idx="2">
                  <c:v>3.16</c:v>
                </c:pt>
                <c:pt idx="3">
                  <c:v>3.73</c:v>
                </c:pt>
                <c:pt idx="4">
                  <c:v>4.17</c:v>
                </c:pt>
                <c:pt idx="5">
                  <c:v>5.53</c:v>
                </c:pt>
                <c:pt idx="6">
                  <c:v>6.33</c:v>
                </c:pt>
                <c:pt idx="7">
                  <c:v>6.89</c:v>
                </c:pt>
                <c:pt idx="8">
                  <c:v>7.33</c:v>
                </c:pt>
                <c:pt idx="9">
                  <c:v>7.69</c:v>
                </c:pt>
                <c:pt idx="10">
                  <c:v>7.99</c:v>
                </c:pt>
                <c:pt idx="11">
                  <c:v>8.25</c:v>
                </c:pt>
                <c:pt idx="12">
                  <c:v>8.49</c:v>
                </c:pt>
                <c:pt idx="13">
                  <c:v>8.69</c:v>
                </c:pt>
                <c:pt idx="14">
                  <c:v>8.8800000000000008</c:v>
                </c:pt>
                <c:pt idx="15">
                  <c:v>9.0500000000000007</c:v>
                </c:pt>
                <c:pt idx="16">
                  <c:v>9.49</c:v>
                </c:pt>
                <c:pt idx="17">
                  <c:v>9.85</c:v>
                </c:pt>
                <c:pt idx="18">
                  <c:v>10.15</c:v>
                </c:pt>
                <c:pt idx="19">
                  <c:v>10.42</c:v>
                </c:pt>
                <c:pt idx="20">
                  <c:v>12.5</c:v>
                </c:pt>
                <c:pt idx="21">
                  <c:v>12.84</c:v>
                </c:pt>
                <c:pt idx="22">
                  <c:v>13.19</c:v>
                </c:pt>
                <c:pt idx="23">
                  <c:v>13.54</c:v>
                </c:pt>
                <c:pt idx="24">
                  <c:v>13.89</c:v>
                </c:pt>
                <c:pt idx="25">
                  <c:v>16.23</c:v>
                </c:pt>
                <c:pt idx="26">
                  <c:v>16.62</c:v>
                </c:pt>
                <c:pt idx="27">
                  <c:v>17.010000000000002</c:v>
                </c:pt>
                <c:pt idx="28">
                  <c:v>17.399999999999999</c:v>
                </c:pt>
                <c:pt idx="29">
                  <c:v>17.8</c:v>
                </c:pt>
                <c:pt idx="30">
                  <c:v>20.41</c:v>
                </c:pt>
                <c:pt idx="31">
                  <c:v>20.85</c:v>
                </c:pt>
                <c:pt idx="32">
                  <c:v>21.28</c:v>
                </c:pt>
                <c:pt idx="33">
                  <c:v>21.72</c:v>
                </c:pt>
                <c:pt idx="34">
                  <c:v>22.16</c:v>
                </c:pt>
                <c:pt idx="35">
                  <c:v>24.81</c:v>
                </c:pt>
                <c:pt idx="36">
                  <c:v>25.81</c:v>
                </c:pt>
                <c:pt idx="37">
                  <c:v>26.8</c:v>
                </c:pt>
                <c:pt idx="38">
                  <c:v>27.8</c:v>
                </c:pt>
                <c:pt idx="39">
                  <c:v>28.8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3.5360406887452882</c:v>
                </c:pt>
                <c:pt idx="1">
                  <c:v>5.6736436308690976</c:v>
                </c:pt>
                <c:pt idx="2">
                  <c:v>6.9240611934427463</c:v>
                </c:pt>
                <c:pt idx="3">
                  <c:v>7.8112465729929106</c:v>
                </c:pt>
                <c:pt idx="4">
                  <c:v>8.4994010157764492</c:v>
                </c:pt>
                <c:pt idx="5">
                  <c:v>10.637003957900259</c:v>
                </c:pt>
                <c:pt idx="6">
                  <c:v>11.887421520473904</c:v>
                </c:pt>
                <c:pt idx="7">
                  <c:v>12.774606900024068</c:v>
                </c:pt>
                <c:pt idx="8">
                  <c:v>13.462761342807607</c:v>
                </c:pt>
                <c:pt idx="9">
                  <c:v>14.025024462597713</c:v>
                </c:pt>
                <c:pt idx="10">
                  <c:v>14.500411156752541</c:v>
                </c:pt>
                <c:pt idx="11">
                  <c:v>14.912209842147881</c:v>
                </c:pt>
                <c:pt idx="12">
                  <c:v>15.275442025171358</c:v>
                </c:pt>
                <c:pt idx="13">
                  <c:v>15.600364284931416</c:v>
                </c:pt>
                <c:pt idx="14">
                  <c:v>15.862882221851672</c:v>
                </c:pt>
                <c:pt idx="15">
                  <c:v>16.162627404721526</c:v>
                </c:pt>
                <c:pt idx="16">
                  <c:v>16.850781847505061</c:v>
                </c:pt>
                <c:pt idx="17">
                  <c:v>17.413044967295171</c:v>
                </c:pt>
                <c:pt idx="18">
                  <c:v>17.888431661449999</c:v>
                </c:pt>
                <c:pt idx="19">
                  <c:v>18.300230346845332</c:v>
                </c:pt>
                <c:pt idx="20">
                  <c:v>18.77561704100016</c:v>
                </c:pt>
                <c:pt idx="21">
                  <c:v>19.1874157263955</c:v>
                </c:pt>
                <c:pt idx="22">
                  <c:v>19.550647909418977</c:v>
                </c:pt>
                <c:pt idx="23">
                  <c:v>20.437833288969145</c:v>
                </c:pt>
                <c:pt idx="24">
                  <c:v>21.12598773175268</c:v>
                </c:pt>
                <c:pt idx="25">
                  <c:v>21.68825085154279</c:v>
                </c:pt>
                <c:pt idx="26">
                  <c:v>22.163637545697618</c:v>
                </c:pt>
                <c:pt idx="27">
                  <c:v>22.575436231092958</c:v>
                </c:pt>
                <c:pt idx="28">
                  <c:v>22.938668414116435</c:v>
                </c:pt>
                <c:pt idx="29">
                  <c:v>23.263590673876493</c:v>
                </c:pt>
                <c:pt idx="30">
                  <c:v>23.557518610796748</c:v>
                </c:pt>
                <c:pt idx="31">
                  <c:v>23.825853793666603</c:v>
                </c:pt>
                <c:pt idx="32">
                  <c:v>24.072698233371725</c:v>
                </c:pt>
                <c:pt idx="33">
                  <c:v>24.301240487821431</c:v>
                </c:pt>
                <c:pt idx="34">
                  <c:v>24.514008236450138</c:v>
                </c:pt>
                <c:pt idx="35">
                  <c:v>24.713039173216764</c:v>
                </c:pt>
                <c:pt idx="36">
                  <c:v>24.9</c:v>
                </c:pt>
                <c:pt idx="37">
                  <c:v>24.9</c:v>
                </c:pt>
                <c:pt idx="38">
                  <c:v>24.9</c:v>
                </c:pt>
                <c:pt idx="39">
                  <c:v>24.9</c:v>
                </c:pt>
                <c:pt idx="40">
                  <c:v>24.9</c:v>
                </c:pt>
                <c:pt idx="41">
                  <c:v>24.9</c:v>
                </c:pt>
                <c:pt idx="42">
                  <c:v>24.9</c:v>
                </c:pt>
                <c:pt idx="43">
                  <c:v>24.9</c:v>
                </c:pt>
                <c:pt idx="44">
                  <c:v>24.9</c:v>
                </c:pt>
                <c:pt idx="45">
                  <c:v>24.9</c:v>
                </c:pt>
                <c:pt idx="46">
                  <c:v>24.9</c:v>
                </c:pt>
                <c:pt idx="47">
                  <c:v>24.9</c:v>
                </c:pt>
                <c:pt idx="48">
                  <c:v>24.9</c:v>
                </c:pt>
                <c:pt idx="49">
                  <c:v>24.9</c:v>
                </c:pt>
                <c:pt idx="50">
                  <c:v>24.9</c:v>
                </c:pt>
                <c:pt idx="51">
                  <c:v>24.9</c:v>
                </c:pt>
                <c:pt idx="52">
                  <c:v>24.9</c:v>
                </c:pt>
                <c:pt idx="53">
                  <c:v>24.9</c:v>
                </c:pt>
                <c:pt idx="54">
                  <c:v>24.9</c:v>
                </c:pt>
                <c:pt idx="55">
                  <c:v>24.9</c:v>
                </c:pt>
                <c:pt idx="56">
                  <c:v>24.9</c:v>
                </c:pt>
                <c:pt idx="57">
                  <c:v>24.9</c:v>
                </c:pt>
                <c:pt idx="58">
                  <c:v>24.9</c:v>
                </c:pt>
                <c:pt idx="59">
                  <c:v>24.9</c:v>
                </c:pt>
                <c:pt idx="60">
                  <c:v>24.9</c:v>
                </c:pt>
                <c:pt idx="61">
                  <c:v>24.9</c:v>
                </c:pt>
                <c:pt idx="62">
                  <c:v>24.9</c:v>
                </c:pt>
                <c:pt idx="63">
                  <c:v>24.9</c:v>
                </c:pt>
                <c:pt idx="64">
                  <c:v>24.9</c:v>
                </c:pt>
                <c:pt idx="65">
                  <c:v>24.9</c:v>
                </c:pt>
                <c:pt idx="66">
                  <c:v>24.9</c:v>
                </c:pt>
                <c:pt idx="67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3.5360406887452882</c:v>
                </c:pt>
                <c:pt idx="1">
                  <c:v>5.6736436308690976</c:v>
                </c:pt>
                <c:pt idx="2">
                  <c:v>6.9240611934427463</c:v>
                </c:pt>
                <c:pt idx="3">
                  <c:v>7.8112465729929106</c:v>
                </c:pt>
                <c:pt idx="4">
                  <c:v>8.4994010157764492</c:v>
                </c:pt>
                <c:pt idx="5">
                  <c:v>10.637003957900259</c:v>
                </c:pt>
                <c:pt idx="6">
                  <c:v>11.887421520473904</c:v>
                </c:pt>
                <c:pt idx="7">
                  <c:v>12.774606900024068</c:v>
                </c:pt>
                <c:pt idx="8">
                  <c:v>13.462761342807607</c:v>
                </c:pt>
                <c:pt idx="9">
                  <c:v>14.025024462597713</c:v>
                </c:pt>
                <c:pt idx="10">
                  <c:v>14.500411156752541</c:v>
                </c:pt>
                <c:pt idx="11">
                  <c:v>14.912209842147881</c:v>
                </c:pt>
                <c:pt idx="12">
                  <c:v>15.275442025171358</c:v>
                </c:pt>
                <c:pt idx="13">
                  <c:v>15.600364284931416</c:v>
                </c:pt>
                <c:pt idx="14">
                  <c:v>15.862882221851672</c:v>
                </c:pt>
                <c:pt idx="15">
                  <c:v>16.162627404721526</c:v>
                </c:pt>
                <c:pt idx="16">
                  <c:v>16.850781847505061</c:v>
                </c:pt>
                <c:pt idx="17">
                  <c:v>17.413044967295171</c:v>
                </c:pt>
                <c:pt idx="18">
                  <c:v>17.888431661449999</c:v>
                </c:pt>
                <c:pt idx="19">
                  <c:v>18.300230346845332</c:v>
                </c:pt>
                <c:pt idx="20">
                  <c:v>18.77561704100016</c:v>
                </c:pt>
                <c:pt idx="21">
                  <c:v>19.1874157263955</c:v>
                </c:pt>
                <c:pt idx="22">
                  <c:v>19.550647909418977</c:v>
                </c:pt>
                <c:pt idx="23">
                  <c:v>20.437833288969145</c:v>
                </c:pt>
                <c:pt idx="24">
                  <c:v>21.12598773175268</c:v>
                </c:pt>
                <c:pt idx="25">
                  <c:v>21.68825085154279</c:v>
                </c:pt>
                <c:pt idx="26">
                  <c:v>22.163637545697618</c:v>
                </c:pt>
                <c:pt idx="27">
                  <c:v>22.575436231092958</c:v>
                </c:pt>
                <c:pt idx="28">
                  <c:v>22.938668414116435</c:v>
                </c:pt>
                <c:pt idx="29">
                  <c:v>23.263590673876493</c:v>
                </c:pt>
                <c:pt idx="30">
                  <c:v>23.557518610796748</c:v>
                </c:pt>
                <c:pt idx="31">
                  <c:v>23.825853793666603</c:v>
                </c:pt>
                <c:pt idx="32">
                  <c:v>24.072698233371725</c:v>
                </c:pt>
                <c:pt idx="33">
                  <c:v>24.301240487821431</c:v>
                </c:pt>
                <c:pt idx="34">
                  <c:v>24.514008236450138</c:v>
                </c:pt>
                <c:pt idx="35">
                  <c:v>24.713039173216764</c:v>
                </c:pt>
                <c:pt idx="36">
                  <c:v>24.9</c:v>
                </c:pt>
                <c:pt idx="37">
                  <c:v>24.9</c:v>
                </c:pt>
                <c:pt idx="38">
                  <c:v>24.9</c:v>
                </c:pt>
                <c:pt idx="39">
                  <c:v>24.9</c:v>
                </c:pt>
                <c:pt idx="40">
                  <c:v>24.9</c:v>
                </c:pt>
                <c:pt idx="41">
                  <c:v>24.9</c:v>
                </c:pt>
                <c:pt idx="42">
                  <c:v>24.9</c:v>
                </c:pt>
                <c:pt idx="43">
                  <c:v>24.9</c:v>
                </c:pt>
                <c:pt idx="44">
                  <c:v>24.9</c:v>
                </c:pt>
                <c:pt idx="45">
                  <c:v>24.9</c:v>
                </c:pt>
                <c:pt idx="46">
                  <c:v>24.9</c:v>
                </c:pt>
                <c:pt idx="47">
                  <c:v>24.9</c:v>
                </c:pt>
                <c:pt idx="48">
                  <c:v>24.9</c:v>
                </c:pt>
                <c:pt idx="49">
                  <c:v>24.9</c:v>
                </c:pt>
                <c:pt idx="50">
                  <c:v>24.9</c:v>
                </c:pt>
                <c:pt idx="51">
                  <c:v>24.9</c:v>
                </c:pt>
                <c:pt idx="52">
                  <c:v>24.9</c:v>
                </c:pt>
                <c:pt idx="53">
                  <c:v>24.9</c:v>
                </c:pt>
                <c:pt idx="54">
                  <c:v>24.9</c:v>
                </c:pt>
                <c:pt idx="55">
                  <c:v>24.9</c:v>
                </c:pt>
                <c:pt idx="56">
                  <c:v>24.9</c:v>
                </c:pt>
                <c:pt idx="57">
                  <c:v>24.9</c:v>
                </c:pt>
                <c:pt idx="58">
                  <c:v>24.9</c:v>
                </c:pt>
                <c:pt idx="59">
                  <c:v>24.9</c:v>
                </c:pt>
                <c:pt idx="60">
                  <c:v>24.9</c:v>
                </c:pt>
                <c:pt idx="61">
                  <c:v>24.9</c:v>
                </c:pt>
                <c:pt idx="62">
                  <c:v>24.9</c:v>
                </c:pt>
                <c:pt idx="63">
                  <c:v>24.9</c:v>
                </c:pt>
                <c:pt idx="64">
                  <c:v>24.9</c:v>
                </c:pt>
                <c:pt idx="65">
                  <c:v>24.9</c:v>
                </c:pt>
                <c:pt idx="66">
                  <c:v>24.9</c:v>
                </c:pt>
                <c:pt idx="67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15.875647176711848</c:v>
                </c:pt>
                <c:pt idx="1">
                  <c:v>14.416022719845344</c:v>
                </c:pt>
                <c:pt idx="2">
                  <c:v>13.090597740415465</c:v>
                </c:pt>
                <c:pt idx="3">
                  <c:v>11.887033790912943</c:v>
                </c:pt>
                <c:pt idx="4">
                  <c:v>10.794126834258801</c:v>
                </c:pt>
                <c:pt idx="5">
                  <c:v>8.0821996731228722</c:v>
                </c:pt>
                <c:pt idx="6">
                  <c:v>7.5788897366339549</c:v>
                </c:pt>
                <c:pt idx="7">
                  <c:v>6.2493324370910521</c:v>
                </c:pt>
                <c:pt idx="8">
                  <c:v>5.6747619416187218</c:v>
                </c:pt>
                <c:pt idx="9">
                  <c:v>5.1530180892463671</c:v>
                </c:pt>
                <c:pt idx="10">
                  <c:v>4.9899899799498595</c:v>
                </c:pt>
                <c:pt idx="11">
                  <c:v>4.8321196566266362</c:v>
                </c:pt>
                <c:pt idx="12">
                  <c:v>4.6792439403239321</c:v>
                </c:pt>
                <c:pt idx="13">
                  <c:v>4.5312048146472526</c:v>
                </c:pt>
                <c:pt idx="14">
                  <c:v>4.3878492624304339</c:v>
                </c:pt>
                <c:pt idx="15">
                  <c:v>4.2490291075730449</c:v>
                </c:pt>
                <c:pt idx="16">
                  <c:v>4.114600861881641</c:v>
                </c:pt>
                <c:pt idx="17">
                  <c:v>3.9844255767565602</c:v>
                </c:pt>
                <c:pt idx="18">
                  <c:v>3.8583686995709683</c:v>
                </c:pt>
                <c:pt idx="19">
                  <c:v>3.5036260390157947</c:v>
                </c:pt>
                <c:pt idx="20">
                  <c:v>3.3927804105064072</c:v>
                </c:pt>
                <c:pt idx="21">
                  <c:v>2.7975882230899956</c:v>
                </c:pt>
                <c:pt idx="22">
                  <c:v>2.3068100257050395</c:v>
                </c:pt>
                <c:pt idx="23">
                  <c:v>1.902128573023415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5</xdr:col>
          <xdr:colOff>238125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5</xdr:col>
          <xdr:colOff>238125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ColWidth="9" defaultRowHeight="18" customHeight="1"/>
  <cols>
    <col min="1" max="2" width="13.375" style="106" customWidth="1"/>
    <col min="3" max="3" width="14.75" style="106" customWidth="1"/>
    <col min="4" max="4" width="16.375" style="106" customWidth="1"/>
    <col min="5" max="5" width="11.875" style="106" customWidth="1"/>
    <col min="6" max="7" width="9" style="106"/>
    <col min="8" max="8" width="12.875" style="106" customWidth="1"/>
    <col min="9" max="16384" width="9" style="106"/>
  </cols>
  <sheetData>
    <row r="3" spans="3:8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</row>
    <row r="4" spans="3:8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</row>
    <row r="5" spans="3:8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</row>
    <row r="6" spans="3:8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</row>
    <row r="7" spans="3:8" ht="18" customHeight="1">
      <c r="C7" s="106">
        <v>5</v>
      </c>
      <c r="D7" s="106" t="s">
        <v>102</v>
      </c>
      <c r="E7" s="106" t="s">
        <v>103</v>
      </c>
      <c r="H7" s="109" t="s">
        <v>104</v>
      </c>
    </row>
    <row r="8" spans="3:8" ht="18" customHeight="1">
      <c r="C8" s="106">
        <v>7.5</v>
      </c>
      <c r="D8" s="106" t="s">
        <v>105</v>
      </c>
      <c r="E8" s="106" t="s">
        <v>106</v>
      </c>
      <c r="H8" s="108"/>
    </row>
    <row r="9" spans="3:8" ht="18" customHeight="1">
      <c r="C9" s="106">
        <v>10</v>
      </c>
      <c r="D9" s="108" t="s">
        <v>107</v>
      </c>
      <c r="E9" s="106" t="s">
        <v>108</v>
      </c>
      <c r="H9" s="108"/>
    </row>
    <row r="10" spans="3:8" ht="18" customHeight="1">
      <c r="C10" s="106">
        <v>15</v>
      </c>
      <c r="D10" s="108" t="s">
        <v>109</v>
      </c>
      <c r="E10" s="106" t="s">
        <v>110</v>
      </c>
      <c r="H10" s="108"/>
    </row>
    <row r="11" spans="3:8" ht="18" customHeight="1">
      <c r="C11" s="106">
        <v>20</v>
      </c>
      <c r="D11" s="106" t="s">
        <v>111</v>
      </c>
      <c r="E11" s="106" t="s">
        <v>112</v>
      </c>
      <c r="H11" s="108"/>
    </row>
    <row r="12" spans="3:8" ht="18" customHeight="1">
      <c r="C12" s="106">
        <v>25</v>
      </c>
      <c r="D12" s="108" t="s">
        <v>113</v>
      </c>
      <c r="E12" s="106" t="s">
        <v>114</v>
      </c>
      <c r="H12" s="108"/>
    </row>
    <row r="13" spans="3:8" ht="18" customHeight="1">
      <c r="C13" s="106">
        <v>30</v>
      </c>
      <c r="D13" s="108" t="s">
        <v>115</v>
      </c>
      <c r="E13" s="106" t="s">
        <v>116</v>
      </c>
      <c r="H13" s="108"/>
    </row>
    <row r="14" spans="3:8" ht="18" customHeight="1">
      <c r="D14" s="108" t="s">
        <v>117</v>
      </c>
      <c r="E14" s="106" t="s">
        <v>118</v>
      </c>
      <c r="H14" s="108"/>
    </row>
    <row r="15" spans="3:8" ht="18" customHeight="1">
      <c r="D15" s="108" t="s">
        <v>119</v>
      </c>
      <c r="E15" s="106" t="s">
        <v>120</v>
      </c>
    </row>
    <row r="16" spans="3:8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92">
        <v>1</v>
      </c>
      <c r="B1" s="23">
        <f>F1</f>
        <v>1.24</v>
      </c>
      <c r="E1" s="23">
        <v>1</v>
      </c>
      <c r="F1" s="23">
        <f>StepTest!G12</f>
        <v>1.24</v>
      </c>
    </row>
    <row r="2" spans="1:6">
      <c r="A2" s="392">
        <v>2</v>
      </c>
      <c r="B2" s="23">
        <f t="shared" ref="B2:B20" si="0">F2</f>
        <v>2.36</v>
      </c>
      <c r="E2" s="23">
        <v>2</v>
      </c>
      <c r="F2" s="23">
        <f>StepTest!G13</f>
        <v>2.36</v>
      </c>
    </row>
    <row r="3" spans="1:6">
      <c r="A3" s="392">
        <v>3</v>
      </c>
      <c r="B3" s="23">
        <f t="shared" si="0"/>
        <v>3.16</v>
      </c>
      <c r="E3" s="23">
        <v>3</v>
      </c>
      <c r="F3" s="23">
        <f>StepTest!G14</f>
        <v>3.16</v>
      </c>
    </row>
    <row r="4" spans="1:6">
      <c r="A4" s="392">
        <v>4</v>
      </c>
      <c r="B4" s="23">
        <f t="shared" si="0"/>
        <v>3.73</v>
      </c>
      <c r="E4" s="23">
        <v>4</v>
      </c>
      <c r="F4" s="23">
        <f>StepTest!G15</f>
        <v>3.73</v>
      </c>
    </row>
    <row r="5" spans="1:6">
      <c r="A5" s="392">
        <v>5</v>
      </c>
      <c r="B5" s="23">
        <f t="shared" si="0"/>
        <v>4.17</v>
      </c>
      <c r="E5" s="23">
        <v>5</v>
      </c>
      <c r="F5" s="23">
        <f>StepTest!G16</f>
        <v>4.17</v>
      </c>
    </row>
    <row r="6" spans="1:6">
      <c r="A6" s="392">
        <v>10</v>
      </c>
      <c r="B6" s="23">
        <f t="shared" si="0"/>
        <v>5.53</v>
      </c>
      <c r="E6" s="23">
        <v>10</v>
      </c>
      <c r="F6" s="23">
        <f>StepTest!G17</f>
        <v>5.53</v>
      </c>
    </row>
    <row r="7" spans="1:6">
      <c r="A7" s="392">
        <v>15</v>
      </c>
      <c r="B7" s="23">
        <f t="shared" si="0"/>
        <v>6.33</v>
      </c>
      <c r="E7" s="23">
        <v>15</v>
      </c>
      <c r="F7" s="23">
        <f>StepTest!G18</f>
        <v>6.33</v>
      </c>
    </row>
    <row r="8" spans="1:6">
      <c r="A8" s="392">
        <v>20</v>
      </c>
      <c r="B8" s="23">
        <f t="shared" si="0"/>
        <v>6.89</v>
      </c>
      <c r="E8" s="23">
        <v>20</v>
      </c>
      <c r="F8" s="23">
        <f>StepTest!G19</f>
        <v>6.89</v>
      </c>
    </row>
    <row r="9" spans="1:6">
      <c r="A9" s="392">
        <v>25</v>
      </c>
      <c r="B9" s="23">
        <f t="shared" si="0"/>
        <v>7.33</v>
      </c>
      <c r="E9" s="23">
        <v>25</v>
      </c>
      <c r="F9" s="23">
        <f>StepTest!G20</f>
        <v>7.33</v>
      </c>
    </row>
    <row r="10" spans="1:6">
      <c r="A10" s="392">
        <v>30</v>
      </c>
      <c r="B10" s="23">
        <f t="shared" si="0"/>
        <v>7.69</v>
      </c>
      <c r="E10" s="23">
        <v>30</v>
      </c>
      <c r="F10" s="23">
        <f>StepTest!G21</f>
        <v>7.69</v>
      </c>
    </row>
    <row r="11" spans="1:6">
      <c r="A11" s="392">
        <v>35</v>
      </c>
      <c r="B11" s="23">
        <f t="shared" si="0"/>
        <v>7.99</v>
      </c>
      <c r="E11" s="23">
        <v>35</v>
      </c>
      <c r="F11" s="23">
        <f>StepTest!G22</f>
        <v>7.99</v>
      </c>
    </row>
    <row r="12" spans="1:6">
      <c r="A12" s="392">
        <v>40</v>
      </c>
      <c r="B12" s="23">
        <f t="shared" si="0"/>
        <v>8.25</v>
      </c>
      <c r="E12" s="23">
        <v>40</v>
      </c>
      <c r="F12" s="23">
        <f>StepTest!G23</f>
        <v>8.25</v>
      </c>
    </row>
    <row r="13" spans="1:6">
      <c r="A13" s="392">
        <v>45</v>
      </c>
      <c r="B13" s="23">
        <f t="shared" si="0"/>
        <v>8.49</v>
      </c>
      <c r="E13" s="23">
        <v>45</v>
      </c>
      <c r="F13" s="23">
        <f>StepTest!G24</f>
        <v>8.49</v>
      </c>
    </row>
    <row r="14" spans="1:6">
      <c r="A14" s="392">
        <v>50</v>
      </c>
      <c r="B14" s="23">
        <f t="shared" si="0"/>
        <v>8.69</v>
      </c>
      <c r="E14" s="23">
        <v>50</v>
      </c>
      <c r="F14" s="23">
        <f>StepTest!G25</f>
        <v>8.69</v>
      </c>
    </row>
    <row r="15" spans="1:6">
      <c r="A15" s="392">
        <v>55</v>
      </c>
      <c r="B15" s="23">
        <f t="shared" si="0"/>
        <v>8.8800000000000008</v>
      </c>
      <c r="E15" s="23">
        <v>55</v>
      </c>
      <c r="F15" s="23">
        <f>StepTest!G26</f>
        <v>8.8800000000000008</v>
      </c>
    </row>
    <row r="16" spans="1:6">
      <c r="A16" s="392">
        <v>60</v>
      </c>
      <c r="B16" s="23">
        <f t="shared" si="0"/>
        <v>9.0500000000000007</v>
      </c>
      <c r="E16" s="23">
        <v>60</v>
      </c>
      <c r="F16" s="23">
        <f>StepTest!G27</f>
        <v>9.0500000000000007</v>
      </c>
    </row>
    <row r="17" spans="1:6">
      <c r="A17" s="392">
        <v>75</v>
      </c>
      <c r="B17" s="23">
        <f t="shared" si="0"/>
        <v>9.49</v>
      </c>
      <c r="E17" s="23">
        <v>75</v>
      </c>
      <c r="F17" s="23">
        <f>StepTest!G28</f>
        <v>9.49</v>
      </c>
    </row>
    <row r="18" spans="1:6">
      <c r="A18" s="392">
        <v>90</v>
      </c>
      <c r="B18" s="23">
        <f t="shared" si="0"/>
        <v>9.85</v>
      </c>
      <c r="E18" s="23">
        <v>90</v>
      </c>
      <c r="F18" s="23">
        <f>StepTest!G29</f>
        <v>9.85</v>
      </c>
    </row>
    <row r="19" spans="1:6">
      <c r="A19" s="392">
        <v>105</v>
      </c>
      <c r="B19" s="23">
        <f t="shared" si="0"/>
        <v>10.15</v>
      </c>
      <c r="E19" s="23">
        <v>105</v>
      </c>
      <c r="F19" s="23">
        <f>StepTest!G30</f>
        <v>10.15</v>
      </c>
    </row>
    <row r="20" spans="1:6">
      <c r="A20" s="393">
        <v>120</v>
      </c>
      <c r="B20" s="394">
        <f t="shared" si="0"/>
        <v>10.42</v>
      </c>
      <c r="C20" s="394">
        <f>B26-B20</f>
        <v>2.08</v>
      </c>
      <c r="D20" s="395">
        <f>C20/10</f>
        <v>0.20800000000000002</v>
      </c>
      <c r="E20" s="23">
        <v>120</v>
      </c>
      <c r="F20" s="23">
        <f>StepTest!G31</f>
        <v>10.42</v>
      </c>
    </row>
    <row r="21" spans="1:6">
      <c r="A21" s="392">
        <v>121</v>
      </c>
      <c r="B21" s="396">
        <f>B20+D21</f>
        <v>10.58</v>
      </c>
      <c r="D21" s="23">
        <v>0.16</v>
      </c>
      <c r="E21" s="23">
        <v>130</v>
      </c>
      <c r="F21" s="23">
        <f>StepTest!G32</f>
        <v>12.5</v>
      </c>
    </row>
    <row r="22" spans="1:6">
      <c r="A22" s="392">
        <v>122</v>
      </c>
      <c r="B22" s="396">
        <f>B21+D22</f>
        <v>10.73</v>
      </c>
      <c r="D22" s="23">
        <v>0.15</v>
      </c>
      <c r="E22" s="23">
        <v>140</v>
      </c>
      <c r="F22" s="23">
        <f>StepTest!G33</f>
        <v>12.84</v>
      </c>
    </row>
    <row r="23" spans="1:6">
      <c r="A23" s="392">
        <v>123</v>
      </c>
      <c r="B23" s="396">
        <f>B22+D23</f>
        <v>10.870000000000001</v>
      </c>
      <c r="D23" s="23">
        <v>0.14000000000000001</v>
      </c>
      <c r="E23" s="23">
        <v>150</v>
      </c>
      <c r="F23" s="23">
        <f>StepTest!G34</f>
        <v>13.19</v>
      </c>
    </row>
    <row r="24" spans="1:6">
      <c r="A24" s="392">
        <v>124</v>
      </c>
      <c r="B24" s="396">
        <f>B23+D24</f>
        <v>11.000000000000002</v>
      </c>
      <c r="D24" s="23">
        <v>0.13</v>
      </c>
      <c r="E24" s="23">
        <v>180</v>
      </c>
      <c r="F24" s="23">
        <f>StepTest!G35</f>
        <v>13.54</v>
      </c>
    </row>
    <row r="25" spans="1:6">
      <c r="A25" s="392">
        <v>125</v>
      </c>
      <c r="B25" s="396">
        <f>B24+D25</f>
        <v>11.130000000000003</v>
      </c>
      <c r="D25" s="23">
        <v>0.13</v>
      </c>
      <c r="E25" s="23">
        <v>240</v>
      </c>
      <c r="F25" s="23">
        <f>StepTest!G36</f>
        <v>13.89</v>
      </c>
    </row>
    <row r="26" spans="1:6">
      <c r="A26" s="392">
        <v>130</v>
      </c>
      <c r="B26" s="394">
        <f>F21</f>
        <v>12.5</v>
      </c>
      <c r="C26" s="394">
        <f>B28-B26</f>
        <v>0.33999999999999986</v>
      </c>
      <c r="D26" s="394">
        <f>C26/2</f>
        <v>0.16999999999999993</v>
      </c>
      <c r="E26" s="23">
        <v>250</v>
      </c>
      <c r="F26" s="23">
        <f>StepTest!G37</f>
        <v>16.23</v>
      </c>
    </row>
    <row r="27" spans="1:6">
      <c r="A27" s="392">
        <v>135</v>
      </c>
      <c r="B27" s="396">
        <f>B26+D27</f>
        <v>12.61</v>
      </c>
      <c r="D27" s="23">
        <v>0.11</v>
      </c>
      <c r="E27" s="23">
        <v>260</v>
      </c>
      <c r="F27" s="23">
        <f>StepTest!G38</f>
        <v>16.62</v>
      </c>
    </row>
    <row r="28" spans="1:6">
      <c r="A28" s="392">
        <v>140</v>
      </c>
      <c r="B28" s="394">
        <f>F22</f>
        <v>12.84</v>
      </c>
      <c r="C28" s="394">
        <f>B30-B28</f>
        <v>0.34999999999999964</v>
      </c>
      <c r="D28" s="394">
        <f>C28/2</f>
        <v>0.17499999999999982</v>
      </c>
      <c r="E28" s="23">
        <v>270</v>
      </c>
      <c r="F28" s="23">
        <f>StepTest!G39</f>
        <v>17.010000000000002</v>
      </c>
    </row>
    <row r="29" spans="1:6">
      <c r="A29" s="392">
        <v>145</v>
      </c>
      <c r="B29" s="396">
        <f>B28+D29</f>
        <v>12.94</v>
      </c>
      <c r="D29" s="23">
        <v>0.1</v>
      </c>
      <c r="E29" s="23">
        <v>300</v>
      </c>
      <c r="F29" s="23">
        <f>StepTest!G40</f>
        <v>17.399999999999999</v>
      </c>
    </row>
    <row r="30" spans="1:6">
      <c r="A30" s="392">
        <v>150</v>
      </c>
      <c r="B30" s="394">
        <f>F23</f>
        <v>13.19</v>
      </c>
      <c r="C30" s="394">
        <f>B36-B30</f>
        <v>0.34999999999999964</v>
      </c>
      <c r="D30" s="397">
        <f>C30/6</f>
        <v>5.8333333333333272E-2</v>
      </c>
      <c r="E30" s="23">
        <v>360</v>
      </c>
      <c r="F30" s="23">
        <f>StepTest!G41</f>
        <v>17.8</v>
      </c>
    </row>
    <row r="31" spans="1:6">
      <c r="A31" s="392">
        <v>155</v>
      </c>
      <c r="B31" s="396">
        <f>B30+D31</f>
        <v>13.25</v>
      </c>
      <c r="D31" s="23">
        <v>0.06</v>
      </c>
    </row>
    <row r="32" spans="1:6">
      <c r="A32" s="392">
        <v>160</v>
      </c>
      <c r="B32" s="396">
        <f t="shared" ref="B32:B39" si="1">B31+D32</f>
        <v>13.3</v>
      </c>
      <c r="D32" s="23">
        <v>0.05</v>
      </c>
    </row>
    <row r="33" spans="1:4">
      <c r="A33" s="392">
        <v>165</v>
      </c>
      <c r="B33" s="396">
        <f t="shared" si="1"/>
        <v>13.34</v>
      </c>
      <c r="D33" s="23">
        <v>0.04</v>
      </c>
    </row>
    <row r="34" spans="1:4">
      <c r="A34" s="392">
        <v>170</v>
      </c>
      <c r="B34" s="396">
        <f t="shared" si="1"/>
        <v>13.37</v>
      </c>
      <c r="D34" s="23">
        <v>0.03</v>
      </c>
    </row>
    <row r="35" spans="1:4">
      <c r="A35" s="392">
        <v>175</v>
      </c>
      <c r="B35" s="396">
        <f t="shared" si="1"/>
        <v>13.389999999999999</v>
      </c>
      <c r="D35" s="23">
        <v>0.02</v>
      </c>
    </row>
    <row r="36" spans="1:4">
      <c r="A36" s="392">
        <v>180</v>
      </c>
      <c r="B36" s="394">
        <f>F24</f>
        <v>13.54</v>
      </c>
      <c r="C36" s="394">
        <f>B40-B36</f>
        <v>0.35000000000000142</v>
      </c>
      <c r="D36" s="394">
        <f>C36/4</f>
        <v>8.7500000000000355E-2</v>
      </c>
    </row>
    <row r="37" spans="1:4">
      <c r="A37" s="392">
        <v>195</v>
      </c>
      <c r="B37" s="396">
        <f t="shared" si="1"/>
        <v>13.61</v>
      </c>
      <c r="D37" s="23">
        <v>7.0000000000000007E-2</v>
      </c>
    </row>
    <row r="38" spans="1:4">
      <c r="A38" s="392">
        <v>210</v>
      </c>
      <c r="B38" s="396">
        <f t="shared" si="1"/>
        <v>13.67</v>
      </c>
      <c r="D38" s="23">
        <v>0.06</v>
      </c>
    </row>
    <row r="39" spans="1:4">
      <c r="A39" s="392">
        <v>225</v>
      </c>
      <c r="B39" s="396">
        <f t="shared" si="1"/>
        <v>13.72</v>
      </c>
      <c r="D39" s="23">
        <v>0.05</v>
      </c>
    </row>
    <row r="40" spans="1:4">
      <c r="A40" s="393">
        <v>240</v>
      </c>
      <c r="B40" s="394">
        <f>F25</f>
        <v>13.89</v>
      </c>
      <c r="C40" s="394">
        <f>B46-B40</f>
        <v>2.34</v>
      </c>
      <c r="D40" s="395">
        <f>C40/10</f>
        <v>0.23399999999999999</v>
      </c>
    </row>
    <row r="41" spans="1:4">
      <c r="A41" s="392">
        <v>241</v>
      </c>
      <c r="B41" s="396">
        <f>B40+D41</f>
        <v>14.07</v>
      </c>
      <c r="D41" s="23">
        <v>0.18</v>
      </c>
    </row>
    <row r="42" spans="1:4">
      <c r="A42" s="392">
        <v>242</v>
      </c>
      <c r="B42" s="396">
        <f>B41+D42</f>
        <v>14.23</v>
      </c>
      <c r="D42" s="23">
        <v>0.16</v>
      </c>
    </row>
    <row r="43" spans="1:4">
      <c r="A43" s="392">
        <v>243</v>
      </c>
      <c r="B43" s="396">
        <f>B42+D43</f>
        <v>14.38</v>
      </c>
      <c r="D43" s="23">
        <v>0.15</v>
      </c>
    </row>
    <row r="44" spans="1:4">
      <c r="A44" s="392">
        <v>244</v>
      </c>
      <c r="B44" s="396">
        <f>B43+D44</f>
        <v>14.520000000000001</v>
      </c>
      <c r="D44" s="23">
        <v>0.14000000000000001</v>
      </c>
    </row>
    <row r="45" spans="1:4">
      <c r="A45" s="392">
        <v>245</v>
      </c>
      <c r="B45" s="396">
        <f>B44+D45</f>
        <v>14.650000000000002</v>
      </c>
      <c r="D45" s="23">
        <v>0.13</v>
      </c>
    </row>
    <row r="46" spans="1:4">
      <c r="A46" s="392">
        <v>250</v>
      </c>
      <c r="B46" s="394">
        <f>F26</f>
        <v>16.23</v>
      </c>
      <c r="C46" s="394">
        <f>B48-B46</f>
        <v>0.39000000000000057</v>
      </c>
      <c r="D46" s="394">
        <f>C46/2</f>
        <v>0.19500000000000028</v>
      </c>
    </row>
    <row r="47" spans="1:4">
      <c r="A47" s="392">
        <v>255</v>
      </c>
      <c r="B47" s="396">
        <f>B46+D47</f>
        <v>16.34</v>
      </c>
      <c r="D47" s="23">
        <v>0.11</v>
      </c>
    </row>
    <row r="48" spans="1:4">
      <c r="A48" s="392">
        <v>260</v>
      </c>
      <c r="B48" s="394">
        <f>F27</f>
        <v>16.62</v>
      </c>
      <c r="C48" s="394">
        <f>B50-B48</f>
        <v>0.39000000000000057</v>
      </c>
      <c r="D48" s="394">
        <f>C48/2</f>
        <v>0.19500000000000028</v>
      </c>
    </row>
    <row r="49" spans="1:6">
      <c r="A49" s="392">
        <v>265</v>
      </c>
      <c r="B49" s="396">
        <f>B48+D49</f>
        <v>16.73</v>
      </c>
      <c r="D49" s="23">
        <v>0.11</v>
      </c>
    </row>
    <row r="50" spans="1:6">
      <c r="A50" s="392">
        <v>270</v>
      </c>
      <c r="B50" s="394">
        <f>F28</f>
        <v>17.010000000000002</v>
      </c>
      <c r="C50" s="394">
        <f>B56-B50</f>
        <v>0.38999999999999702</v>
      </c>
      <c r="D50" s="397">
        <f>C50/6</f>
        <v>6.4999999999999503E-2</v>
      </c>
    </row>
    <row r="51" spans="1:6">
      <c r="A51" s="392">
        <v>275</v>
      </c>
      <c r="B51" s="396">
        <f>B50+D51</f>
        <v>17.080000000000002</v>
      </c>
      <c r="D51" s="23">
        <v>7.0000000000000007E-2</v>
      </c>
    </row>
    <row r="52" spans="1:6">
      <c r="A52" s="392">
        <v>280</v>
      </c>
      <c r="B52" s="396">
        <f>B51+D52</f>
        <v>17.130000000000003</v>
      </c>
      <c r="D52" s="23">
        <v>0.05</v>
      </c>
    </row>
    <row r="53" spans="1:6">
      <c r="A53" s="392">
        <v>285</v>
      </c>
      <c r="B53" s="396">
        <f>B52+D53</f>
        <v>17.170000000000002</v>
      </c>
      <c r="D53" s="23">
        <v>0.04</v>
      </c>
    </row>
    <row r="54" spans="1:6">
      <c r="A54" s="392">
        <v>290</v>
      </c>
      <c r="B54" s="396">
        <f>B53+D54</f>
        <v>17.200000000000003</v>
      </c>
      <c r="D54" s="23">
        <v>0.03</v>
      </c>
    </row>
    <row r="55" spans="1:6">
      <c r="A55" s="392">
        <v>295</v>
      </c>
      <c r="B55" s="396">
        <f>B54+D55</f>
        <v>17.220000000000002</v>
      </c>
      <c r="D55" s="23">
        <v>0.02</v>
      </c>
    </row>
    <row r="56" spans="1:6">
      <c r="A56" s="392">
        <v>300</v>
      </c>
      <c r="B56" s="394">
        <f>F29</f>
        <v>17.399999999999999</v>
      </c>
      <c r="C56" s="394">
        <f>B60-B56</f>
        <v>0.40000000000000213</v>
      </c>
      <c r="D56" s="394">
        <f>C56/4</f>
        <v>0.10000000000000053</v>
      </c>
    </row>
    <row r="57" spans="1:6">
      <c r="A57" s="392">
        <v>315</v>
      </c>
      <c r="B57" s="396">
        <f>B56+D57</f>
        <v>17.479999999999997</v>
      </c>
      <c r="D57" s="23">
        <v>0.08</v>
      </c>
    </row>
    <row r="58" spans="1:6">
      <c r="A58" s="392">
        <v>330</v>
      </c>
      <c r="B58" s="396">
        <f>B57+D58</f>
        <v>17.539999999999996</v>
      </c>
      <c r="D58" s="23">
        <v>0.06</v>
      </c>
    </row>
    <row r="59" spans="1:6">
      <c r="A59" s="392">
        <v>345</v>
      </c>
      <c r="B59" s="396">
        <f>B58+D59</f>
        <v>17.589999999999996</v>
      </c>
      <c r="D59" s="23">
        <v>0.05</v>
      </c>
    </row>
    <row r="60" spans="1:6">
      <c r="A60" s="393">
        <v>360</v>
      </c>
      <c r="B60" s="394">
        <f>F30</f>
        <v>17.8</v>
      </c>
      <c r="C60" s="394">
        <f>B66-B60</f>
        <v>2.6099999999999994</v>
      </c>
      <c r="D60" s="395">
        <f>C60/10</f>
        <v>0.26099999999999995</v>
      </c>
    </row>
    <row r="61" spans="1:6">
      <c r="A61" s="392">
        <v>361</v>
      </c>
      <c r="B61" s="396">
        <f>B60+D61</f>
        <v>17.990000000000002</v>
      </c>
      <c r="D61" s="23">
        <v>0.19</v>
      </c>
    </row>
    <row r="62" spans="1:6">
      <c r="A62" s="392">
        <v>362</v>
      </c>
      <c r="B62" s="396">
        <f>B61+D62</f>
        <v>18.160000000000004</v>
      </c>
      <c r="D62" s="23">
        <v>0.17</v>
      </c>
    </row>
    <row r="63" spans="1:6">
      <c r="A63" s="392">
        <v>363</v>
      </c>
      <c r="B63" s="396">
        <f>B62+D63</f>
        <v>18.320000000000004</v>
      </c>
      <c r="D63" s="23">
        <v>0.16</v>
      </c>
      <c r="E63" s="23">
        <v>370</v>
      </c>
      <c r="F63" s="23">
        <f>StepTest!G42</f>
        <v>20.41</v>
      </c>
    </row>
    <row r="64" spans="1:6">
      <c r="A64" s="392">
        <v>364</v>
      </c>
      <c r="B64" s="396">
        <f>B63+D64</f>
        <v>18.470000000000002</v>
      </c>
      <c r="D64" s="23">
        <v>0.15</v>
      </c>
      <c r="E64" s="23">
        <v>380</v>
      </c>
      <c r="F64" s="23">
        <f>StepTest!G43</f>
        <v>20.85</v>
      </c>
    </row>
    <row r="65" spans="1:6">
      <c r="A65" s="392">
        <v>365</v>
      </c>
      <c r="B65" s="396">
        <f>B64+D65</f>
        <v>18.610000000000003</v>
      </c>
      <c r="D65" s="23">
        <v>0.14000000000000001</v>
      </c>
      <c r="E65" s="23">
        <v>390</v>
      </c>
      <c r="F65" s="23">
        <f>StepTest!G44</f>
        <v>21.28</v>
      </c>
    </row>
    <row r="66" spans="1:6">
      <c r="A66" s="392">
        <v>370</v>
      </c>
      <c r="B66" s="394">
        <f>F63</f>
        <v>20.41</v>
      </c>
      <c r="C66" s="398">
        <f>B68-B66</f>
        <v>0.44000000000000128</v>
      </c>
      <c r="D66" s="394">
        <f>C66/2</f>
        <v>0.22000000000000064</v>
      </c>
      <c r="E66" s="23">
        <v>420</v>
      </c>
      <c r="F66" s="23">
        <f>StepTest!G45</f>
        <v>21.72</v>
      </c>
    </row>
    <row r="67" spans="1:6">
      <c r="A67" s="392">
        <v>375</v>
      </c>
      <c r="B67" s="396">
        <f>B66+D67</f>
        <v>20.53</v>
      </c>
      <c r="D67" s="23">
        <v>0.12</v>
      </c>
      <c r="E67" s="23">
        <v>480</v>
      </c>
      <c r="F67" s="23">
        <f>StepTest!G46</f>
        <v>22.16</v>
      </c>
    </row>
    <row r="68" spans="1:6">
      <c r="A68" s="392">
        <v>380</v>
      </c>
      <c r="B68" s="399">
        <f>F64</f>
        <v>20.85</v>
      </c>
      <c r="C68" s="394">
        <f>B70-B68</f>
        <v>0.42999999999999972</v>
      </c>
      <c r="D68" s="394">
        <f>C68/2</f>
        <v>0.21499999999999986</v>
      </c>
      <c r="E68" s="23">
        <v>490</v>
      </c>
      <c r="F68" s="23">
        <f>StepTest!G47</f>
        <v>24.81</v>
      </c>
    </row>
    <row r="69" spans="1:6">
      <c r="A69" s="392">
        <v>385</v>
      </c>
      <c r="B69" s="396">
        <f>B68+D69</f>
        <v>20.970000000000002</v>
      </c>
      <c r="D69" s="23">
        <v>0.12</v>
      </c>
      <c r="E69" s="23">
        <v>500</v>
      </c>
      <c r="F69" s="23">
        <f>StepTest!G48</f>
        <v>25.81</v>
      </c>
    </row>
    <row r="70" spans="1:6">
      <c r="A70" s="392">
        <v>390</v>
      </c>
      <c r="B70" s="399">
        <f>F65</f>
        <v>21.28</v>
      </c>
      <c r="C70" s="394">
        <f>B76-B70</f>
        <v>0.43999999999999773</v>
      </c>
      <c r="D70" s="397">
        <f>C70/6</f>
        <v>7.3333333333332959E-2</v>
      </c>
      <c r="E70" s="23">
        <v>510</v>
      </c>
      <c r="F70" s="23">
        <f>StepTest!G49</f>
        <v>26.8</v>
      </c>
    </row>
    <row r="71" spans="1:6">
      <c r="A71" s="392">
        <v>395</v>
      </c>
      <c r="B71" s="396">
        <f>B70+D71</f>
        <v>21.35</v>
      </c>
      <c r="D71" s="23">
        <v>7.0000000000000007E-2</v>
      </c>
      <c r="E71" s="23">
        <v>540</v>
      </c>
      <c r="F71" s="23">
        <f>StepTest!G50</f>
        <v>27.8</v>
      </c>
    </row>
    <row r="72" spans="1:6">
      <c r="A72" s="392">
        <v>400</v>
      </c>
      <c r="B72" s="396">
        <f>B71+D72</f>
        <v>21.400000000000002</v>
      </c>
      <c r="D72" s="23">
        <v>0.05</v>
      </c>
      <c r="E72" s="23">
        <v>600</v>
      </c>
      <c r="F72" s="23">
        <f>StepTest!G51</f>
        <v>28.8</v>
      </c>
    </row>
    <row r="73" spans="1:6">
      <c r="A73" s="392">
        <v>405</v>
      </c>
      <c r="B73" s="396">
        <f>B72+D73</f>
        <v>21.44</v>
      </c>
      <c r="D73" s="23">
        <v>0.04</v>
      </c>
    </row>
    <row r="74" spans="1:6">
      <c r="A74" s="392">
        <v>410</v>
      </c>
      <c r="B74" s="396">
        <f>B73+D74</f>
        <v>21.470000000000002</v>
      </c>
      <c r="D74" s="23">
        <v>0.03</v>
      </c>
    </row>
    <row r="75" spans="1:6">
      <c r="A75" s="392">
        <v>415</v>
      </c>
      <c r="B75" s="396">
        <f>B74+D75</f>
        <v>21.500000000000004</v>
      </c>
      <c r="D75" s="23">
        <v>0.03</v>
      </c>
    </row>
    <row r="76" spans="1:6">
      <c r="A76" s="392">
        <v>420</v>
      </c>
      <c r="B76" s="399">
        <f>F66</f>
        <v>21.72</v>
      </c>
      <c r="C76" s="394">
        <f>B80-B76</f>
        <v>0.44000000000000128</v>
      </c>
      <c r="D76" s="394">
        <f>C76/4</f>
        <v>0.11000000000000032</v>
      </c>
    </row>
    <row r="77" spans="1:6">
      <c r="A77" s="392">
        <v>435</v>
      </c>
      <c r="B77" s="396">
        <f>B76+D77</f>
        <v>21.81</v>
      </c>
      <c r="D77" s="23">
        <v>0.09</v>
      </c>
    </row>
    <row r="78" spans="1:6">
      <c r="A78" s="392">
        <v>450</v>
      </c>
      <c r="B78" s="396">
        <f>B77+D78</f>
        <v>21.88</v>
      </c>
      <c r="D78" s="23">
        <v>7.0000000000000007E-2</v>
      </c>
    </row>
    <row r="79" spans="1:6">
      <c r="A79" s="392">
        <v>465</v>
      </c>
      <c r="B79" s="396">
        <f>B78+D79</f>
        <v>21.93</v>
      </c>
      <c r="D79" s="23">
        <v>0.05</v>
      </c>
    </row>
    <row r="80" spans="1:6">
      <c r="A80" s="393">
        <v>480</v>
      </c>
      <c r="B80" s="399">
        <f>F67</f>
        <v>22.16</v>
      </c>
      <c r="C80" s="394">
        <f>B86-B80</f>
        <v>2.6499999999999986</v>
      </c>
      <c r="D80" s="395">
        <f>C80/10</f>
        <v>0.26499999999999985</v>
      </c>
    </row>
    <row r="81" spans="1:4">
      <c r="A81" s="392">
        <v>481</v>
      </c>
      <c r="B81" s="396">
        <f>B80+D81</f>
        <v>22.37</v>
      </c>
      <c r="D81" s="23">
        <v>0.21</v>
      </c>
    </row>
    <row r="82" spans="1:4">
      <c r="A82" s="392">
        <v>482</v>
      </c>
      <c r="B82" s="396">
        <f>B81+D82</f>
        <v>22.560000000000002</v>
      </c>
      <c r="D82" s="23">
        <v>0.19</v>
      </c>
    </row>
    <row r="83" spans="1:4">
      <c r="A83" s="392">
        <v>483</v>
      </c>
      <c r="B83" s="396">
        <f>B82+D83</f>
        <v>22.730000000000004</v>
      </c>
      <c r="D83" s="23">
        <v>0.17</v>
      </c>
    </row>
    <row r="84" spans="1:4">
      <c r="A84" s="392">
        <v>484</v>
      </c>
      <c r="B84" s="396">
        <f>B83+D84</f>
        <v>22.890000000000004</v>
      </c>
      <c r="D84" s="23">
        <v>0.16</v>
      </c>
    </row>
    <row r="85" spans="1:4">
      <c r="A85" s="392">
        <v>485</v>
      </c>
      <c r="B85" s="396">
        <f>B84+D85</f>
        <v>23.030000000000005</v>
      </c>
      <c r="D85" s="23">
        <v>0.14000000000000001</v>
      </c>
    </row>
    <row r="86" spans="1:4">
      <c r="A86" s="392">
        <v>490</v>
      </c>
      <c r="B86" s="399">
        <f>F68</f>
        <v>24.81</v>
      </c>
      <c r="C86" s="394">
        <f>B88-B86</f>
        <v>1</v>
      </c>
      <c r="D86" s="394">
        <f>C86/2</f>
        <v>0.5</v>
      </c>
    </row>
    <row r="87" spans="1:4">
      <c r="A87" s="392">
        <v>495</v>
      </c>
      <c r="B87" s="396">
        <f>B86+D87</f>
        <v>25.119999999999997</v>
      </c>
      <c r="D87" s="23">
        <v>0.31</v>
      </c>
    </row>
    <row r="88" spans="1:4">
      <c r="A88" s="392">
        <v>500</v>
      </c>
      <c r="B88" s="399">
        <f>F69</f>
        <v>25.81</v>
      </c>
      <c r="C88" s="394">
        <f>B90-B88</f>
        <v>0.99000000000000199</v>
      </c>
      <c r="D88" s="394">
        <f>C88/2</f>
        <v>0.49500000000000099</v>
      </c>
    </row>
    <row r="89" spans="1:4">
      <c r="A89" s="392">
        <v>505</v>
      </c>
      <c r="B89" s="396">
        <f>B88+D89</f>
        <v>26.11</v>
      </c>
      <c r="D89" s="23">
        <v>0.3</v>
      </c>
    </row>
    <row r="90" spans="1:4">
      <c r="A90" s="392">
        <v>510</v>
      </c>
      <c r="B90" s="399">
        <f>F70</f>
        <v>26.8</v>
      </c>
      <c r="C90" s="394">
        <f>B96-B90</f>
        <v>1</v>
      </c>
      <c r="D90" s="397">
        <f>C90/6</f>
        <v>0.16666666666666666</v>
      </c>
    </row>
    <row r="91" spans="1:4">
      <c r="A91" s="392">
        <v>515</v>
      </c>
      <c r="B91" s="396">
        <f>B90+D91</f>
        <v>26.95</v>
      </c>
      <c r="D91" s="23">
        <v>0.15</v>
      </c>
    </row>
    <row r="92" spans="1:4">
      <c r="A92" s="392">
        <v>520</v>
      </c>
      <c r="B92" s="396">
        <f>B91+D92</f>
        <v>27.08</v>
      </c>
      <c r="D92" s="23">
        <v>0.13</v>
      </c>
    </row>
    <row r="93" spans="1:4">
      <c r="A93" s="392">
        <v>525</v>
      </c>
      <c r="B93" s="396">
        <f>B92+D93</f>
        <v>27.189999999999998</v>
      </c>
      <c r="D93" s="23">
        <v>0.11</v>
      </c>
    </row>
    <row r="94" spans="1:4">
      <c r="A94" s="392">
        <v>530</v>
      </c>
      <c r="B94" s="396">
        <f>B93+D94</f>
        <v>27.269999999999996</v>
      </c>
      <c r="D94" s="23">
        <v>0.08</v>
      </c>
    </row>
    <row r="95" spans="1:4">
      <c r="A95" s="392">
        <v>535</v>
      </c>
      <c r="B95" s="396">
        <f>B94+D95</f>
        <v>27.339999999999996</v>
      </c>
      <c r="D95" s="23">
        <v>7.0000000000000007E-2</v>
      </c>
    </row>
    <row r="96" spans="1:4">
      <c r="A96" s="392">
        <v>540</v>
      </c>
      <c r="B96" s="399">
        <f>F71</f>
        <v>27.8</v>
      </c>
      <c r="C96" s="394">
        <f>B100-B96</f>
        <v>1</v>
      </c>
      <c r="D96" s="394">
        <f>C96/4</f>
        <v>0.25</v>
      </c>
    </row>
    <row r="97" spans="1:4">
      <c r="A97" s="392">
        <v>555</v>
      </c>
      <c r="B97" s="396">
        <f>B96+D97</f>
        <v>27.990000000000002</v>
      </c>
      <c r="D97" s="23">
        <v>0.19</v>
      </c>
    </row>
    <row r="98" spans="1:4">
      <c r="A98" s="392">
        <v>570</v>
      </c>
      <c r="B98" s="396">
        <f>B97+D98</f>
        <v>28.150000000000002</v>
      </c>
      <c r="D98" s="23">
        <v>0.16</v>
      </c>
    </row>
    <row r="99" spans="1:4">
      <c r="A99" s="392">
        <v>585</v>
      </c>
      <c r="B99" s="396">
        <f>B98+D99</f>
        <v>28.290000000000003</v>
      </c>
      <c r="D99" s="23">
        <v>0.14000000000000001</v>
      </c>
    </row>
    <row r="100" spans="1:4">
      <c r="A100" s="393">
        <v>600</v>
      </c>
      <c r="B100" s="270">
        <f>F72</f>
        <v>28.8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80"/>
  <sheetViews>
    <sheetView topLeftCell="A25" zoomScaleNormal="100" workbookViewId="0">
      <selection activeCell="Q49" sqref="Q49"/>
    </sheetView>
  </sheetViews>
  <sheetFormatPr defaultColWidth="9" defaultRowHeight="13.5"/>
  <cols>
    <col min="1" max="1" width="11.625" style="1" bestFit="1" customWidth="1"/>
    <col min="2" max="2" width="10.125" style="1" customWidth="1"/>
    <col min="3" max="3" width="6" style="1" bestFit="1" customWidth="1"/>
    <col min="4" max="4" width="8.375" style="1" customWidth="1"/>
    <col min="5" max="5" width="4.75" style="1" customWidth="1"/>
    <col min="6" max="6" width="6" style="1" bestFit="1" customWidth="1"/>
    <col min="7" max="7" width="9.75" style="1" bestFit="1" customWidth="1"/>
    <col min="8" max="8" width="9" style="3"/>
    <col min="9" max="9" width="11.375" style="3" bestFit="1" customWidth="1"/>
    <col min="10" max="10" width="9" style="3"/>
    <col min="11" max="11" width="11.125" style="3" customWidth="1"/>
    <col min="12" max="16" width="9" style="3"/>
    <col min="17" max="17" width="11.375" style="3" bestFit="1" customWidth="1"/>
    <col min="18" max="18" width="10.875" style="3" customWidth="1"/>
    <col min="19" max="19" width="12.75" style="3" customWidth="1"/>
    <col min="20" max="21" width="10.375" style="3" bestFit="1" customWidth="1"/>
    <col min="22" max="16384" width="9" style="3"/>
  </cols>
  <sheetData>
    <row r="1" spans="1:19">
      <c r="E1" s="2">
        <f>SUM(E3:E6)</f>
        <v>47.212499999999999</v>
      </c>
      <c r="F1" s="2"/>
      <c r="G1" s="2">
        <f>E1/E2</f>
        <v>0.88523437499999991</v>
      </c>
    </row>
    <row r="2" spans="1:19">
      <c r="A2" s="4" t="s">
        <v>0</v>
      </c>
      <c r="B2" s="4" t="s">
        <v>1</v>
      </c>
      <c r="D2" s="5">
        <f>D19</f>
        <v>90</v>
      </c>
      <c r="E2" s="2">
        <f>M51/3</f>
        <v>53.333333333333336</v>
      </c>
      <c r="F2" s="6" t="s">
        <v>2</v>
      </c>
      <c r="G2" s="7" t="s">
        <v>3</v>
      </c>
    </row>
    <row r="3" spans="1:19">
      <c r="A3" s="8">
        <f>B3+$M$48</f>
        <v>16.02</v>
      </c>
      <c r="B3" s="9">
        <f>B20</f>
        <v>10.42</v>
      </c>
      <c r="C3" s="10"/>
      <c r="D3" s="11">
        <f t="shared" ref="D3:D7" si="0">D20</f>
        <v>100</v>
      </c>
      <c r="E3" s="1">
        <f>D3/12</f>
        <v>8.3333333333333339</v>
      </c>
      <c r="F3" s="12">
        <f>INT(B3/D3*1000)/1000</f>
        <v>0.104</v>
      </c>
      <c r="G3" s="12">
        <f>1/F3</f>
        <v>9.615384615384615</v>
      </c>
    </row>
    <row r="4" spans="1:19">
      <c r="A4" s="8">
        <f>B4+$M$48</f>
        <v>19.490000000000002</v>
      </c>
      <c r="B4" s="10">
        <f>B21</f>
        <v>13.89</v>
      </c>
      <c r="C4" s="10"/>
      <c r="D4" s="5">
        <f t="shared" si="0"/>
        <v>128</v>
      </c>
      <c r="E4" s="1">
        <f>D4/12</f>
        <v>10.666666666666666</v>
      </c>
      <c r="F4" s="12">
        <f>INT(B4/D4*1000)/1000</f>
        <v>0.108</v>
      </c>
      <c r="G4" s="12">
        <f t="shared" ref="G4:G7" si="1">1/F4</f>
        <v>9.2592592592592595</v>
      </c>
    </row>
    <row r="5" spans="1:19">
      <c r="A5" s="8">
        <f>B5+$M$48</f>
        <v>23.4</v>
      </c>
      <c r="B5" s="10">
        <f>B22</f>
        <v>17.8</v>
      </c>
      <c r="C5" s="10"/>
      <c r="D5" s="5">
        <f t="shared" si="0"/>
        <v>155.54999999999998</v>
      </c>
      <c r="E5" s="1">
        <f>D5/12</f>
        <v>12.962499999999999</v>
      </c>
      <c r="F5" s="12">
        <f>INT(B5/D5*1000)/1000</f>
        <v>0.114</v>
      </c>
      <c r="G5" s="12">
        <f t="shared" si="1"/>
        <v>8.7719298245614024</v>
      </c>
    </row>
    <row r="6" spans="1:19">
      <c r="A6" s="8">
        <f>B6+$M$48</f>
        <v>27.759999999999998</v>
      </c>
      <c r="B6" s="9">
        <f>B23</f>
        <v>22.16</v>
      </c>
      <c r="C6" s="10"/>
      <c r="D6" s="5">
        <f>D23</f>
        <v>183</v>
      </c>
      <c r="E6" s="1">
        <f>D6/12</f>
        <v>15.25</v>
      </c>
      <c r="F6" s="12">
        <f>INT(B6/D6*1000)/1000</f>
        <v>0.121</v>
      </c>
      <c r="G6" s="12">
        <f t="shared" si="1"/>
        <v>8.2644628099173563</v>
      </c>
    </row>
    <row r="7" spans="1:19">
      <c r="A7" s="8">
        <f>B7+$M$48</f>
        <v>34.4</v>
      </c>
      <c r="B7" s="10">
        <f>B24</f>
        <v>28.8</v>
      </c>
      <c r="C7" s="10"/>
      <c r="D7" s="5">
        <f t="shared" si="0"/>
        <v>210.45</v>
      </c>
      <c r="E7" s="1">
        <f>D7/12</f>
        <v>17.537499999999998</v>
      </c>
      <c r="F7" s="12">
        <f>INT(B7/D7*1000)/1000</f>
        <v>0.13600000000000001</v>
      </c>
      <c r="G7" s="12">
        <f t="shared" si="1"/>
        <v>7.3529411764705879</v>
      </c>
    </row>
    <row r="8" spans="1:19">
      <c r="B8" s="1" t="s">
        <v>4</v>
      </c>
      <c r="E8" s="460" t="s">
        <v>5</v>
      </c>
      <c r="F8" s="460"/>
      <c r="G8" s="460"/>
    </row>
    <row r="9" spans="1:19">
      <c r="A9" s="13" t="s">
        <v>6</v>
      </c>
      <c r="B9" s="13" t="s">
        <v>2</v>
      </c>
      <c r="E9" s="14">
        <v>0.98</v>
      </c>
      <c r="F9" s="459" t="s">
        <v>7</v>
      </c>
      <c r="G9" s="459"/>
    </row>
    <row r="10" spans="1:19">
      <c r="A10" s="15">
        <f>D20/B20</f>
        <v>9.5969289827255277</v>
      </c>
      <c r="B10" s="15">
        <f>B20/D20</f>
        <v>0.1042</v>
      </c>
      <c r="E10" s="14">
        <v>0.98</v>
      </c>
      <c r="F10" s="459" t="s">
        <v>8</v>
      </c>
      <c r="G10" s="459"/>
    </row>
    <row r="11" spans="1:19">
      <c r="A11" s="15">
        <f t="shared" ref="A11:A14" si="2">D21/B21</f>
        <v>9.2152627789776815</v>
      </c>
      <c r="B11" s="15">
        <f t="shared" ref="B11:B14" si="3">B21/D21</f>
        <v>0.108515625</v>
      </c>
      <c r="D11" s="1" t="s">
        <v>4</v>
      </c>
      <c r="E11" s="14">
        <v>0.98</v>
      </c>
      <c r="F11" s="459" t="s">
        <v>9</v>
      </c>
      <c r="G11" s="459"/>
    </row>
    <row r="12" spans="1:19">
      <c r="A12" s="15">
        <f t="shared" si="2"/>
        <v>8.7387640449438191</v>
      </c>
      <c r="B12" s="15">
        <f t="shared" si="3"/>
        <v>0.11443265830922535</v>
      </c>
      <c r="E12" s="14">
        <v>1</v>
      </c>
      <c r="F12" s="459" t="s">
        <v>10</v>
      </c>
      <c r="G12" s="459"/>
    </row>
    <row r="13" spans="1:19">
      <c r="A13" s="15">
        <f t="shared" si="2"/>
        <v>8.2581227436823106</v>
      </c>
      <c r="B13" s="15">
        <f t="shared" si="3"/>
        <v>0.12109289617486339</v>
      </c>
      <c r="D13" s="1" t="s">
        <v>4</v>
      </c>
      <c r="E13" s="460" t="s">
        <v>11</v>
      </c>
      <c r="F13" s="460"/>
      <c r="G13" s="460"/>
    </row>
    <row r="14" spans="1:19">
      <c r="A14" s="15">
        <f t="shared" si="2"/>
        <v>7.3072916666666661</v>
      </c>
      <c r="B14" s="15">
        <f t="shared" si="3"/>
        <v>0.13684960798289381</v>
      </c>
      <c r="E14" s="16">
        <v>1</v>
      </c>
      <c r="F14" s="459" t="s">
        <v>7</v>
      </c>
      <c r="G14" s="459"/>
    </row>
    <row r="15" spans="1:19">
      <c r="E15" s="16">
        <v>1</v>
      </c>
      <c r="F15" s="459" t="s">
        <v>8</v>
      </c>
      <c r="G15" s="459"/>
    </row>
    <row r="16" spans="1:19">
      <c r="B16" s="17" t="s">
        <v>12</v>
      </c>
      <c r="D16" s="18" t="s">
        <v>13</v>
      </c>
      <c r="E16" s="16">
        <v>1</v>
      </c>
      <c r="F16" s="459" t="s">
        <v>9</v>
      </c>
      <c r="G16" s="459"/>
      <c r="R16" s="3">
        <v>0.128</v>
      </c>
      <c r="S16" s="3">
        <f>ROUNDDOWN(R16,1)</f>
        <v>0.1</v>
      </c>
    </row>
    <row r="17" spans="1:21">
      <c r="B17" s="19">
        <f>M52</f>
        <v>22.16</v>
      </c>
      <c r="D17" s="20">
        <f>M47</f>
        <v>183</v>
      </c>
      <c r="E17" s="16">
        <v>1</v>
      </c>
      <c r="F17" s="459" t="s">
        <v>10</v>
      </c>
      <c r="G17" s="459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90</v>
      </c>
      <c r="F19" s="10"/>
      <c r="G19" s="10"/>
    </row>
    <row r="20" spans="1:21">
      <c r="A20" s="27" t="s">
        <v>14</v>
      </c>
      <c r="B20" s="28">
        <f>INT(B$17*C20*100)/100</f>
        <v>10.42</v>
      </c>
      <c r="C20" s="1">
        <f>0.48*E9</f>
        <v>0.47039999999999998</v>
      </c>
      <c r="D20" s="29">
        <f>INT(D$17*E20)</f>
        <v>100</v>
      </c>
      <c r="E20" s="30">
        <f>0.55*E14</f>
        <v>0.55000000000000004</v>
      </c>
      <c r="F20" s="12">
        <f>B20/D20</f>
        <v>0.1042</v>
      </c>
      <c r="G20" s="1">
        <f>F20-F19</f>
        <v>0.1042</v>
      </c>
    </row>
    <row r="21" spans="1:21">
      <c r="A21" s="10">
        <f>B21-B20</f>
        <v>3.4700000000000006</v>
      </c>
      <c r="B21" s="28">
        <f>INT(B$17*C21*100)/100</f>
        <v>13.89</v>
      </c>
      <c r="C21" s="1">
        <f>0.64*E10</f>
        <v>0.62719999999999998</v>
      </c>
      <c r="D21" s="29">
        <f>INT(D$17*E21)</f>
        <v>128</v>
      </c>
      <c r="E21" s="30">
        <f>0.7*E15</f>
        <v>0.7</v>
      </c>
      <c r="F21" s="12">
        <f>B21/D21</f>
        <v>0.108515625</v>
      </c>
      <c r="G21" s="1">
        <f>F21-F20</f>
        <v>4.3156250000000035E-3</v>
      </c>
      <c r="N21" s="31" t="s">
        <v>15</v>
      </c>
      <c r="O21" s="445" t="s">
        <v>16</v>
      </c>
      <c r="P21" s="445"/>
      <c r="Q21" s="445" t="s">
        <v>17</v>
      </c>
      <c r="R21" s="445"/>
      <c r="S21" s="445" t="s">
        <v>18</v>
      </c>
      <c r="T21" s="445"/>
      <c r="U21" s="32" t="s">
        <v>19</v>
      </c>
    </row>
    <row r="22" spans="1:21">
      <c r="A22" s="10">
        <f>B22-B21</f>
        <v>3.91</v>
      </c>
      <c r="B22" s="28">
        <f>INT(B$17*C22*100)/100</f>
        <v>17.8</v>
      </c>
      <c r="C22" s="1">
        <f>0.82*E11</f>
        <v>0.80359999999999998</v>
      </c>
      <c r="D22" s="33">
        <f>(D$17*E22)</f>
        <v>155.54999999999998</v>
      </c>
      <c r="E22" s="30">
        <f>0.85*E16</f>
        <v>0.85</v>
      </c>
      <c r="F22" s="12">
        <f>B22/D22</f>
        <v>0.11443265830922535</v>
      </c>
      <c r="G22" s="1">
        <f>F22-F21</f>
        <v>5.9170333092253419E-3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4.3599999999999994</v>
      </c>
      <c r="B23" s="28">
        <f>INT(B$17*C23*100)/100</f>
        <v>22.16</v>
      </c>
      <c r="C23" s="1">
        <v>1</v>
      </c>
      <c r="D23" s="29">
        <f>D$17*E23</f>
        <v>183</v>
      </c>
      <c r="E23" s="30">
        <v>1</v>
      </c>
      <c r="F23" s="12">
        <f>B23/D23</f>
        <v>0.12109289617486339</v>
      </c>
      <c r="G23" s="1">
        <f>F23-F22</f>
        <v>6.6602378656380468E-3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6.6400000000000006</v>
      </c>
      <c r="B24" s="28">
        <f>INT(B$17*C24*100)/100</f>
        <v>28.8</v>
      </c>
      <c r="C24" s="1">
        <f>1.3*E12</f>
        <v>1.3</v>
      </c>
      <c r="D24" s="29">
        <f>D$17*E24</f>
        <v>210.45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0.13684960798289381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6" t="s">
        <v>22</v>
      </c>
      <c r="B26" s="446"/>
      <c r="C26" s="40">
        <f>INT(M51*1)</f>
        <v>160</v>
      </c>
      <c r="F26" s="41">
        <f>M50/M51</f>
        <v>0.15562499999999999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6" t="s">
        <v>23</v>
      </c>
      <c r="B27" s="446"/>
      <c r="C27" s="42">
        <f>SafeYield!B7</f>
        <v>165.3743022163581</v>
      </c>
      <c r="D27" s="10">
        <f>(C27/D6)*100</f>
        <v>90.368471156479842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90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2.0460000000000001E-4</v>
      </c>
      <c r="B31" s="45">
        <v>8.3087400000000006E-2</v>
      </c>
      <c r="D31" s="5">
        <f t="shared" ref="D31:D36" si="4">D19</f>
        <v>90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2.0460000000000001E-4</v>
      </c>
      <c r="B32" s="1">
        <f t="shared" si="5"/>
        <v>8.3087400000000006E-2</v>
      </c>
      <c r="D32" s="5">
        <f t="shared" si="4"/>
        <v>100</v>
      </c>
      <c r="F32" s="44">
        <f>B32*D32/(B32*D32+A32*D32*D32)*100</f>
        <v>80.240933137867302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2.0460000000000001E-4</v>
      </c>
      <c r="B33" s="1">
        <f t="shared" si="5"/>
        <v>8.3087400000000006E-2</v>
      </c>
      <c r="D33" s="5">
        <f t="shared" si="4"/>
        <v>128</v>
      </c>
      <c r="F33" s="44">
        <f>B33*D33/(B33*D33+A33*D33*D33)*100</f>
        <v>76.034305731714682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2.0460000000000001E-4</v>
      </c>
      <c r="B34" s="1">
        <f t="shared" si="5"/>
        <v>8.3087400000000006E-2</v>
      </c>
      <c r="D34" s="5">
        <f t="shared" si="4"/>
        <v>155.54999999999998</v>
      </c>
      <c r="F34" s="44">
        <f>B34*D34/(B34*D34+A34*D34*D34)*100</f>
        <v>72.30465709994516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2.0460000000000001E-4</v>
      </c>
      <c r="B35" s="1">
        <f>B34</f>
        <v>8.3087400000000006E-2</v>
      </c>
      <c r="D35" s="5">
        <f t="shared" si="4"/>
        <v>183</v>
      </c>
      <c r="F35" s="44">
        <f>B35*D35/(B35*D35+A35*D35*D35)*100</f>
        <v>68.935494469389994</v>
      </c>
      <c r="G35" s="44"/>
    </row>
    <row r="36" spans="1:21">
      <c r="D36" s="5">
        <f t="shared" si="4"/>
        <v>210.45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74.378847609729291</v>
      </c>
      <c r="P37" s="3">
        <v>2.0460000000000001E-4</v>
      </c>
      <c r="Q37" s="3">
        <v>0.13600000000000001</v>
      </c>
    </row>
    <row r="38" spans="1:21">
      <c r="A38" s="54">
        <v>71.902999999999992</v>
      </c>
      <c r="B38" s="4">
        <v>0.13600000000000001</v>
      </c>
      <c r="C38" s="4">
        <v>93.662999999999997</v>
      </c>
      <c r="E38" s="1" t="s">
        <v>30</v>
      </c>
      <c r="P38" s="3">
        <v>8.3087400000000006E-2</v>
      </c>
      <c r="Q38" s="3">
        <v>93.662999999999997</v>
      </c>
    </row>
    <row r="39" spans="1:21">
      <c r="A39" s="55"/>
      <c r="B39" s="56" t="s">
        <v>31</v>
      </c>
      <c r="C39" s="10">
        <f>(C38-A38)/B38</f>
        <v>160.00000000000003</v>
      </c>
      <c r="D39" s="1">
        <f>C38-B38*M51</f>
        <v>71.902999999999992</v>
      </c>
    </row>
    <row r="40" spans="1:21">
      <c r="A40" s="55" t="s">
        <v>32</v>
      </c>
      <c r="B40" s="56" t="s">
        <v>31</v>
      </c>
      <c r="C40" s="1">
        <f>INT(C39)</f>
        <v>160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7" t="s">
        <v>239</v>
      </c>
      <c r="J44" s="448"/>
      <c r="K44" s="449"/>
      <c r="L44" s="64" t="s">
        <v>39</v>
      </c>
      <c r="M44" s="65">
        <v>200</v>
      </c>
      <c r="N44" s="64" t="s">
        <v>40</v>
      </c>
      <c r="Q44" s="66">
        <v>94</v>
      </c>
      <c r="R44" s="67">
        <v>25.88</v>
      </c>
      <c r="S44" s="67">
        <v>12.68</v>
      </c>
      <c r="T44" s="68">
        <v>7.4630000000000001</v>
      </c>
      <c r="U44" s="3">
        <v>0.13400000000000001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1" t="s">
        <v>238</v>
      </c>
      <c r="J45" s="69"/>
      <c r="K45" s="402"/>
      <c r="L45" s="64" t="s">
        <v>43</v>
      </c>
      <c r="M45" s="70">
        <v>100</v>
      </c>
      <c r="N45" s="70">
        <f>M44</f>
        <v>200</v>
      </c>
      <c r="Q45" s="66">
        <v>120</v>
      </c>
      <c r="R45" s="67">
        <v>30.099999999999998</v>
      </c>
      <c r="S45" s="67">
        <v>16.899999999999999</v>
      </c>
      <c r="T45" s="68">
        <v>7.1429999999999998</v>
      </c>
      <c r="U45" s="3">
        <v>0.14000000000000001</v>
      </c>
    </row>
    <row r="46" spans="1:21" ht="16.5">
      <c r="A46" s="1">
        <f>B34</f>
        <v>8.3087400000000006E-2</v>
      </c>
      <c r="B46" s="43" t="s">
        <v>44</v>
      </c>
      <c r="C46" s="450" t="s">
        <v>45</v>
      </c>
      <c r="D46" s="450"/>
      <c r="H46" s="63" t="s">
        <v>46</v>
      </c>
      <c r="I46" s="402" t="s">
        <v>240</v>
      </c>
      <c r="J46" s="69"/>
      <c r="K46" s="402"/>
      <c r="L46" s="64" t="s">
        <v>47</v>
      </c>
      <c r="M46" s="71">
        <f>IF(I52&gt;M48, M45-I52,M45-M48)</f>
        <v>80</v>
      </c>
      <c r="N46" s="72"/>
      <c r="Q46" s="66">
        <v>146</v>
      </c>
      <c r="R46" s="67">
        <v>34.86</v>
      </c>
      <c r="S46" s="67">
        <v>21.66</v>
      </c>
      <c r="T46" s="68">
        <v>6.7569999999999997</v>
      </c>
      <c r="U46" s="3">
        <v>0.14799999999999999</v>
      </c>
    </row>
    <row r="47" spans="1:21" ht="16.5">
      <c r="A47" s="1">
        <f>120/1440</f>
        <v>8.3333333333333329E-2</v>
      </c>
      <c r="B47" s="43" t="s">
        <v>48</v>
      </c>
      <c r="C47" s="450" t="s">
        <v>49</v>
      </c>
      <c r="D47" s="450"/>
      <c r="H47" s="63" t="s">
        <v>50</v>
      </c>
      <c r="I47" s="402" t="s">
        <v>238</v>
      </c>
      <c r="J47" s="69"/>
      <c r="K47" s="65"/>
      <c r="L47" s="64" t="s">
        <v>51</v>
      </c>
      <c r="M47" s="73">
        <f>INT((M51*100)/M53)</f>
        <v>183</v>
      </c>
      <c r="N47" s="72"/>
      <c r="Q47" s="66">
        <v>172</v>
      </c>
      <c r="R47" s="67">
        <v>40.159999999999997</v>
      </c>
      <c r="S47" s="67">
        <v>26.96</v>
      </c>
      <c r="T47" s="68">
        <v>6.41</v>
      </c>
      <c r="U47" s="3">
        <v>0.156</v>
      </c>
    </row>
    <row r="48" spans="1:21" ht="16.5">
      <c r="B48" s="43"/>
      <c r="H48" s="63" t="s">
        <v>52</v>
      </c>
      <c r="I48" s="74">
        <v>3</v>
      </c>
      <c r="J48" s="451" t="s">
        <v>247</v>
      </c>
      <c r="K48" s="451"/>
      <c r="L48" s="75" t="s">
        <v>53</v>
      </c>
      <c r="M48" s="76">
        <v>5.6</v>
      </c>
      <c r="N48" s="72"/>
      <c r="Q48" s="66">
        <v>198</v>
      </c>
      <c r="R48" s="67">
        <v>48.239999999999995</v>
      </c>
      <c r="S48" s="67">
        <v>35.04</v>
      </c>
      <c r="T48" s="68">
        <v>5.65</v>
      </c>
      <c r="U48" s="3">
        <v>0.17699999999999999</v>
      </c>
    </row>
    <row r="49" spans="1:21" ht="16.5">
      <c r="A49" s="56" t="s">
        <v>54</v>
      </c>
      <c r="B49" s="12">
        <f>INT(SQRT(B54)*1000)/1000</f>
        <v>0</v>
      </c>
      <c r="C49" s="43" t="s">
        <v>55</v>
      </c>
      <c r="D49" s="77" t="s">
        <v>30</v>
      </c>
      <c r="H49" s="452" t="s">
        <v>56</v>
      </c>
      <c r="I49" s="455" t="str">
        <f>I45</f>
        <v xml:space="preserve">산수개발(주) </v>
      </c>
      <c r="J49" s="455"/>
      <c r="K49" s="455"/>
      <c r="L49" s="64" t="s">
        <v>57</v>
      </c>
      <c r="M49" s="76">
        <v>30.5</v>
      </c>
      <c r="N49" s="72"/>
    </row>
    <row r="50" spans="1:21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53"/>
      <c r="I50" s="455"/>
      <c r="J50" s="455"/>
      <c r="K50" s="455"/>
      <c r="L50" s="64" t="s">
        <v>59</v>
      </c>
      <c r="M50" s="78">
        <f>M49-M48</f>
        <v>24.9</v>
      </c>
      <c r="N50" s="72"/>
    </row>
    <row r="51" spans="1:21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4"/>
      <c r="I51" s="456" t="s">
        <v>61</v>
      </c>
      <c r="J51" s="457"/>
      <c r="K51" s="458"/>
      <c r="L51" s="79" t="s">
        <v>62</v>
      </c>
      <c r="M51" s="80">
        <v>160</v>
      </c>
      <c r="N51" s="72"/>
    </row>
    <row r="52" spans="1:21" ht="16.5">
      <c r="A52" s="81" t="s">
        <v>63</v>
      </c>
      <c r="B52" s="1">
        <f>INT(10^((INT(5.46*A44*A46*1000))/1000)*1000)/1000</f>
        <v>1.741806873391615E+18</v>
      </c>
      <c r="C52" s="1">
        <f>INT(B52*B51*1000)/1000</f>
        <v>870903436695807.5</v>
      </c>
      <c r="H52" s="82" t="s">
        <v>64</v>
      </c>
      <c r="I52" s="74">
        <v>20</v>
      </c>
      <c r="J52" s="82" t="s">
        <v>65</v>
      </c>
      <c r="K52" s="83">
        <v>0</v>
      </c>
      <c r="L52" s="84" t="s">
        <v>66</v>
      </c>
      <c r="M52" s="71">
        <f>INT(M50*0.89*100)/100</f>
        <v>22.16</v>
      </c>
      <c r="N52" s="85"/>
    </row>
    <row r="53" spans="1:21" ht="16.5">
      <c r="H53" s="72"/>
      <c r="I53" s="444" t="s">
        <v>67</v>
      </c>
      <c r="J53" s="444"/>
      <c r="K53" s="444"/>
      <c r="L53" s="444"/>
      <c r="M53" s="86">
        <v>87</v>
      </c>
      <c r="N53" s="72"/>
    </row>
    <row r="54" spans="1:21" ht="18.75" customHeight="1">
      <c r="A54" s="56" t="s">
        <v>68</v>
      </c>
      <c r="B54" s="1">
        <f>INT(C50/C52*1000)/1000</f>
        <v>0</v>
      </c>
      <c r="H54" s="87" t="s">
        <v>69</v>
      </c>
      <c r="I54" s="88" t="s">
        <v>248</v>
      </c>
    </row>
    <row r="55" spans="1:21">
      <c r="A55" s="56"/>
    </row>
    <row r="56" spans="1:21">
      <c r="A56" s="56"/>
    </row>
    <row r="57" spans="1:21">
      <c r="A57" s="24"/>
      <c r="B57" s="17" t="s">
        <v>71</v>
      </c>
      <c r="C57" s="17" t="s">
        <v>72</v>
      </c>
      <c r="D57" s="432" t="s">
        <v>73</v>
      </c>
      <c r="E57" s="432"/>
      <c r="F57" s="432" t="s">
        <v>72</v>
      </c>
      <c r="G57" s="433"/>
      <c r="H57" s="89" t="s">
        <v>74</v>
      </c>
      <c r="I57" s="90">
        <f>M50</f>
        <v>24.9</v>
      </c>
      <c r="J57" s="91" t="s">
        <v>75</v>
      </c>
      <c r="K57" s="89" t="s">
        <v>76</v>
      </c>
      <c r="L57" s="436" t="s">
        <v>77</v>
      </c>
      <c r="M57" s="436"/>
    </row>
    <row r="58" spans="1:21">
      <c r="A58" s="17" t="s">
        <v>78</v>
      </c>
      <c r="B58" s="92">
        <v>40.21</v>
      </c>
      <c r="C58" s="17"/>
      <c r="D58" s="432">
        <v>0.22439999999999999</v>
      </c>
      <c r="E58" s="432"/>
      <c r="F58" s="432"/>
      <c r="G58" s="433"/>
      <c r="H58" s="89" t="s">
        <v>79</v>
      </c>
      <c r="I58" s="93">
        <f>C62/M46</f>
        <v>0.56774999999999998</v>
      </c>
      <c r="J58" s="94" t="s">
        <v>80</v>
      </c>
      <c r="K58" s="95">
        <f>INT((6*I57*I58*I60/I59)^0.5)</f>
        <v>16</v>
      </c>
      <c r="L58" s="89" t="s">
        <v>81</v>
      </c>
      <c r="M58" s="89" t="s">
        <v>82</v>
      </c>
    </row>
    <row r="59" spans="1:21">
      <c r="A59" s="17" t="s">
        <v>83</v>
      </c>
      <c r="B59" s="92">
        <v>59.61</v>
      </c>
      <c r="C59" s="437">
        <f>B59</f>
        <v>59.61</v>
      </c>
      <c r="D59" s="438">
        <v>0.15190000000000001</v>
      </c>
      <c r="E59" s="439"/>
      <c r="F59" s="440">
        <f>INT((D59+D60)/1*10000000)/10000000</f>
        <v>0.15190000000000001</v>
      </c>
      <c r="G59" s="441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20</v>
      </c>
      <c r="L59" s="95"/>
      <c r="M59" s="95"/>
    </row>
    <row r="60" spans="1:21">
      <c r="A60" s="17" t="s">
        <v>85</v>
      </c>
      <c r="B60" s="92"/>
      <c r="C60" s="437"/>
      <c r="D60" s="438"/>
      <c r="E60" s="439"/>
      <c r="F60" s="442"/>
      <c r="G60" s="443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1">
      <c r="A61" s="17" t="s">
        <v>87</v>
      </c>
      <c r="B61" s="92">
        <v>31.23</v>
      </c>
      <c r="C61" s="17">
        <f>B61</f>
        <v>31.23</v>
      </c>
      <c r="D61" s="432"/>
      <c r="E61" s="432"/>
      <c r="F61" s="432"/>
      <c r="G61" s="433"/>
      <c r="H61" s="89" t="s">
        <v>37</v>
      </c>
      <c r="I61" s="91">
        <f>C62</f>
        <v>45.42</v>
      </c>
      <c r="J61" s="94" t="s">
        <v>88</v>
      </c>
      <c r="K61" s="95">
        <f>((K58+K59+K60)/3)</f>
        <v>18.113637503862758</v>
      </c>
      <c r="L61" s="100"/>
      <c r="M61" s="99"/>
    </row>
    <row r="62" spans="1:21">
      <c r="A62" s="101" t="s">
        <v>72</v>
      </c>
      <c r="B62" s="101"/>
      <c r="C62" s="102">
        <f>INT((C58+C59+C61)*1000/2)/1000</f>
        <v>45.42</v>
      </c>
      <c r="D62" s="434"/>
      <c r="E62" s="434"/>
      <c r="F62" s="435">
        <f>F59</f>
        <v>0.15190000000000001</v>
      </c>
      <c r="G62" s="435"/>
      <c r="H62" s="94" t="s">
        <v>89</v>
      </c>
      <c r="I62" s="99">
        <v>70.33</v>
      </c>
      <c r="J62" s="94" t="s">
        <v>90</v>
      </c>
      <c r="K62" s="103">
        <f>MAX(K58:K60)</f>
        <v>20</v>
      </c>
      <c r="L62" s="100"/>
      <c r="M62" s="104"/>
    </row>
    <row r="64" spans="1:21" s="429" customFormat="1" ht="97.5" customHeight="1">
      <c r="A64" s="430"/>
      <c r="B64" s="430"/>
      <c r="C64" s="430"/>
      <c r="D64" s="430"/>
      <c r="E64" s="430"/>
      <c r="F64" s="430"/>
      <c r="G64" s="430"/>
      <c r="Q64" s="431" t="s">
        <v>241</v>
      </c>
      <c r="R64" s="431" t="s">
        <v>242</v>
      </c>
      <c r="S64" s="431" t="s">
        <v>243</v>
      </c>
      <c r="T64" s="431" t="s">
        <v>244</v>
      </c>
      <c r="U64" s="431" t="s">
        <v>245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266700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314325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304800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266700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266700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314325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266700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tabSelected="1" zoomScaleNormal="100" workbookViewId="0">
      <selection activeCell="I29" sqref="I29"/>
    </sheetView>
  </sheetViews>
  <sheetFormatPr defaultColWidth="9" defaultRowHeight="13.5"/>
  <cols>
    <col min="1" max="1" width="9" style="23"/>
    <col min="2" max="2" width="16.125" style="23" customWidth="1"/>
    <col min="3" max="3" width="14" style="23" customWidth="1"/>
    <col min="4" max="4" width="18.125" style="23" customWidth="1"/>
    <col min="5" max="5" width="14.375" style="23" customWidth="1"/>
    <col min="6" max="7" width="13.25" style="23" customWidth="1"/>
    <col min="8" max="8" width="18" style="200" customWidth="1"/>
    <col min="9" max="9" width="18.75" style="23" customWidth="1"/>
    <col min="10" max="10" width="10.125" style="23" customWidth="1"/>
    <col min="11" max="11" width="13.125" style="23" bestFit="1" customWidth="1"/>
    <col min="12" max="12" width="13.375" style="23" customWidth="1"/>
    <col min="13" max="13" width="11.6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산수개발(주) 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- 2</v>
      </c>
      <c r="C2" s="113" t="str">
        <f>Input!I46</f>
        <v>충청남도 보령시 청라면 장산리 828-8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404" t="s">
        <v>44</v>
      </c>
      <c r="I3" s="117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3.5360406887452882</v>
      </c>
      <c r="C4" s="119">
        <f>LongTest!B10</f>
        <v>160</v>
      </c>
      <c r="D4" s="120">
        <v>1.855</v>
      </c>
      <c r="E4" s="121">
        <f>Input!M44/2000</f>
        <v>0.1</v>
      </c>
      <c r="F4" s="122">
        <v>5.0000000000000001E-4</v>
      </c>
      <c r="G4" s="122">
        <f>PI()</f>
        <v>3.1415926535897931</v>
      </c>
      <c r="H4" s="405">
        <f>Input!$A$46</f>
        <v>8.3087400000000006E-2</v>
      </c>
      <c r="I4" s="123">
        <f>Input!M48</f>
        <v>5.6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2.8689</v>
      </c>
      <c r="E5" s="127" t="s">
        <v>131</v>
      </c>
      <c r="F5" s="128"/>
      <c r="G5" s="128"/>
      <c r="H5" s="406"/>
      <c r="I5" s="129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132</v>
      </c>
      <c r="C6" s="131">
        <f>(2*G4*B4*D5)/(C4)</f>
        <v>0.39837543429627964</v>
      </c>
      <c r="D6" s="132"/>
      <c r="E6" s="131">
        <f>1.15*LOG((2.25*D5*(1/1440))/(F4*E4^2))</f>
        <v>3.3954502470023731</v>
      </c>
      <c r="F6" s="133" t="s">
        <v>133</v>
      </c>
      <c r="G6" s="134">
        <f>C6-E6</f>
        <v>-2.9970748127060935</v>
      </c>
      <c r="H6" s="406"/>
      <c r="I6" s="420">
        <f>Input!M49</f>
        <v>30.5</v>
      </c>
      <c r="J6" s="425">
        <f>MAX(C13,C18,C23)</f>
        <v>140.6</v>
      </c>
      <c r="K6" s="424" t="s">
        <v>235</v>
      </c>
      <c r="M6" s="135"/>
      <c r="N6" s="110"/>
      <c r="O6" s="110"/>
    </row>
    <row r="7" spans="1:15" ht="22.7" customHeight="1" thickBot="1">
      <c r="A7" s="110"/>
      <c r="B7" s="136" t="s">
        <v>134</v>
      </c>
      <c r="C7" s="137">
        <f>2.25*D4*(120/1440)</f>
        <v>0.34781249999999997</v>
      </c>
      <c r="D7" s="138"/>
      <c r="E7" s="139" t="s">
        <v>135</v>
      </c>
      <c r="F7" s="140">
        <f>F4*10^(5.46*D4*H4)</f>
        <v>3.47139567270217E-3</v>
      </c>
      <c r="G7" s="141" t="s">
        <v>136</v>
      </c>
      <c r="H7" s="406">
        <f>F4*EXP(4*G4*D4*H4)</f>
        <v>3.4683237880456198E-3</v>
      </c>
      <c r="I7" s="421" t="s">
        <v>137</v>
      </c>
      <c r="J7" s="426">
        <f>ROUND((C13+C18+C23)/3,1)</f>
        <v>127.1</v>
      </c>
      <c r="K7" s="423" t="s">
        <v>236</v>
      </c>
      <c r="L7" s="110"/>
      <c r="M7" s="135"/>
      <c r="N7" s="110"/>
      <c r="O7" s="110"/>
    </row>
    <row r="8" spans="1:15" ht="22.7" customHeight="1" thickBot="1">
      <c r="A8" s="110"/>
      <c r="B8" s="142" t="s">
        <v>138</v>
      </c>
      <c r="C8" s="400">
        <f>ROUND(E4*EXP(-1*G6),3)</f>
        <v>2.0030000000000001</v>
      </c>
      <c r="D8" s="407"/>
      <c r="E8" s="407"/>
      <c r="F8" s="143"/>
      <c r="G8" s="407"/>
      <c r="H8" s="408"/>
      <c r="I8" s="144">
        <f>Input!M45</f>
        <v>100</v>
      </c>
      <c r="J8" s="422" t="s">
        <v>139</v>
      </c>
      <c r="K8" s="427">
        <f>ROUND(SQRT(C7/F7),4)</f>
        <v>10.0097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141</v>
      </c>
      <c r="J9" s="142" t="s">
        <v>140</v>
      </c>
      <c r="K9" s="411">
        <f>ROUND(SQRT(C7/H7),4)</f>
        <v>10.014099999999999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6">
        <f>LongTest!F101</f>
        <v>7.5021285730234144</v>
      </c>
      <c r="D10" s="147" t="s">
        <v>143</v>
      </c>
      <c r="E10" s="148">
        <v>6.3030000000000003E-2</v>
      </c>
      <c r="H10" s="410" t="s">
        <v>234</v>
      </c>
      <c r="I10" s="150">
        <f>Input!I52</f>
        <v>20</v>
      </c>
      <c r="J10" s="409" t="s">
        <v>144</v>
      </c>
      <c r="K10" s="412">
        <f>ROUND(E4*SQRT(E10/F4),4)</f>
        <v>1.1228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6">
        <f>I6-C10</f>
        <v>22.997871426976587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146</v>
      </c>
      <c r="C13" s="403">
        <f>ROUND(SQRT(6*B16*E16*H16/I16),1)</f>
        <v>114.8</v>
      </c>
      <c r="D13" s="152"/>
      <c r="E13" s="153" t="s">
        <v>147</v>
      </c>
      <c r="F13" s="154">
        <f>D5</f>
        <v>2.8689</v>
      </c>
      <c r="G13" s="153" t="s">
        <v>148</v>
      </c>
      <c r="H13" s="155">
        <v>3.4540000000000002</v>
      </c>
      <c r="I13" s="156">
        <v>38.380000000000003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149</v>
      </c>
      <c r="C15" s="159" t="s">
        <v>150</v>
      </c>
      <c r="D15" s="159" t="s">
        <v>151</v>
      </c>
      <c r="E15" s="159" t="s">
        <v>79</v>
      </c>
      <c r="F15" s="159" t="s">
        <v>152</v>
      </c>
      <c r="G15" s="159" t="s">
        <v>153</v>
      </c>
      <c r="H15" s="159" t="s">
        <v>154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24.9</v>
      </c>
      <c r="C16" s="164">
        <f>I8-IF(I4&gt;I10,I4,I10)</f>
        <v>80</v>
      </c>
      <c r="D16" s="165">
        <f>(F13+H13)/2</f>
        <v>3.1614500000000003</v>
      </c>
      <c r="E16" s="166">
        <f>INT(D16/C16*100000)/100000</f>
        <v>3.9510000000000003E-2</v>
      </c>
      <c r="F16" s="167">
        <v>1440</v>
      </c>
      <c r="G16" s="168">
        <v>1020</v>
      </c>
      <c r="H16" s="169">
        <f>INT(G16/F16*10000)/10000</f>
        <v>0.70830000000000004</v>
      </c>
      <c r="I16" s="170">
        <v>3.1730000000000001E-4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155</v>
      </c>
      <c r="C18" s="403">
        <f>ROUND(3*SQRT(B21*E21*H21/I21),1)</f>
        <v>140.6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156</v>
      </c>
      <c r="C20" s="178" t="s">
        <v>47</v>
      </c>
      <c r="D20" s="178" t="s">
        <v>157</v>
      </c>
      <c r="E20" s="178" t="s">
        <v>79</v>
      </c>
      <c r="F20" s="178" t="s">
        <v>152</v>
      </c>
      <c r="G20" s="178" t="s">
        <v>158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24.9</v>
      </c>
      <c r="C21" s="183">
        <f t="shared" si="0"/>
        <v>80</v>
      </c>
      <c r="D21" s="184">
        <f t="shared" si="0"/>
        <v>3.1614500000000003</v>
      </c>
      <c r="E21" s="169">
        <f t="shared" si="0"/>
        <v>3.9510000000000003E-2</v>
      </c>
      <c r="F21" s="184">
        <f t="shared" si="0"/>
        <v>1440</v>
      </c>
      <c r="G21" s="184">
        <f>G16</f>
        <v>1020</v>
      </c>
      <c r="H21" s="185">
        <f t="shared" si="0"/>
        <v>0.70830000000000004</v>
      </c>
      <c r="I21" s="186">
        <f t="shared" si="0"/>
        <v>3.1730000000000001E-4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159</v>
      </c>
      <c r="C23" s="403">
        <f>ROUND(SQRT((2.25*D26*H26)/I26),1)</f>
        <v>126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156</v>
      </c>
      <c r="C25" s="159" t="s">
        <v>47</v>
      </c>
      <c r="D25" s="159" t="s">
        <v>157</v>
      </c>
      <c r="E25" s="159" t="s">
        <v>79</v>
      </c>
      <c r="F25" s="159" t="s">
        <v>152</v>
      </c>
      <c r="G25" s="159" t="s">
        <v>158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24.9</v>
      </c>
      <c r="C26" s="167">
        <f t="shared" si="1"/>
        <v>80</v>
      </c>
      <c r="D26" s="192">
        <f t="shared" si="1"/>
        <v>3.1614500000000003</v>
      </c>
      <c r="E26" s="166">
        <f t="shared" si="1"/>
        <v>3.9510000000000003E-2</v>
      </c>
      <c r="F26" s="167">
        <f t="shared" si="1"/>
        <v>1440</v>
      </c>
      <c r="G26" s="167">
        <f t="shared" si="1"/>
        <v>1020</v>
      </c>
      <c r="H26" s="165">
        <f>INT(G16/F16*10000)/10000</f>
        <v>0.70830000000000004</v>
      </c>
      <c r="I26" s="193">
        <f t="shared" si="1"/>
        <v>3.1730000000000001E-4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160</v>
      </c>
      <c r="C27" s="195">
        <f>D16</f>
        <v>3.1614500000000003</v>
      </c>
      <c r="D27" s="196">
        <f>(C27/C16)*(100/86400)</f>
        <v>4.5738570601851848E-5</v>
      </c>
      <c r="E27" s="110" t="s">
        <v>161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162</v>
      </c>
      <c r="C28" s="110">
        <f>I21</f>
        <v>3.1730000000000001E-4</v>
      </c>
      <c r="D28" s="110">
        <f>C27/C16*100/86400</f>
        <v>4.5738570601851848E-5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163</v>
      </c>
      <c r="C29" s="197">
        <f>(C13+C18+C23)/3</f>
        <v>127.13333333333333</v>
      </c>
      <c r="D29" s="110"/>
      <c r="E29" s="198">
        <f>(C13+C18)/2</f>
        <v>127.69999999999999</v>
      </c>
      <c r="F29" s="199">
        <f>MAX(C13,C18)</f>
        <v>140.6</v>
      </c>
      <c r="G29" s="149">
        <f>ROUND(C4/(G4*F29^2*I16),3)</f>
        <v>8.1199999999999992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ColWidth="9" defaultRowHeight="16.5"/>
  <cols>
    <col min="1" max="1" width="20.75" style="201" bestFit="1" customWidth="1"/>
    <col min="2" max="2" width="8.37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164</v>
      </c>
      <c r="B2" s="203">
        <f>StepTest!B12</f>
        <v>100</v>
      </c>
    </row>
    <row r="3" spans="1:2" ht="20.100000000000001" customHeight="1">
      <c r="A3" s="204" t="s">
        <v>165</v>
      </c>
      <c r="B3" s="205">
        <f>StepTest!G31</f>
        <v>10.42</v>
      </c>
    </row>
    <row r="4" spans="1:2" ht="20.100000000000001" customHeight="1">
      <c r="A4" s="204" t="s">
        <v>166</v>
      </c>
      <c r="B4" s="206">
        <f>StepTest!G46</f>
        <v>22.16</v>
      </c>
    </row>
    <row r="5" spans="1:2" ht="20.100000000000001" customHeight="1">
      <c r="A5" s="207" t="s">
        <v>167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168</v>
      </c>
      <c r="B7" s="206">
        <f>B2*(B4/B3)^(2/3)</f>
        <v>165.3743022163581</v>
      </c>
    </row>
    <row r="8" spans="1:2" ht="20.100000000000001" customHeight="1">
      <c r="A8" s="204" t="s">
        <v>169</v>
      </c>
      <c r="B8" s="206">
        <f>INT(B7)</f>
        <v>165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0.90163934426229508</v>
      </c>
    </row>
    <row r="12" spans="1:2" ht="17.25" thickBot="1"/>
    <row r="13" spans="1:2" ht="24.95" customHeight="1">
      <c r="A13" s="209" t="s">
        <v>170</v>
      </c>
      <c r="B13" s="210">
        <f>Input!$D$6</f>
        <v>183</v>
      </c>
    </row>
    <row r="14" spans="1:2" ht="24.95" customHeight="1">
      <c r="A14" s="211" t="s">
        <v>62</v>
      </c>
      <c r="B14" s="212">
        <f>B8</f>
        <v>165</v>
      </c>
    </row>
    <row r="15" spans="1:2" ht="24.95" customHeight="1" thickBot="1">
      <c r="A15" s="213" t="s">
        <v>171</v>
      </c>
      <c r="B15" s="214">
        <f>Input!$M$51</f>
        <v>160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216" customWidth="1"/>
    <col min="2" max="2" width="17" style="216" customWidth="1"/>
    <col min="3" max="3" width="12.375" style="216" customWidth="1"/>
    <col min="4" max="4" width="8.75" style="216" customWidth="1"/>
    <col min="5" max="5" width="5.75" style="216" customWidth="1"/>
    <col min="6" max="6" width="13.625" style="216" customWidth="1"/>
    <col min="7" max="7" width="7.875" style="216" customWidth="1"/>
    <col min="8" max="8" width="8.125" style="216" customWidth="1"/>
    <col min="9" max="9" width="10.375" style="217" customWidth="1"/>
    <col min="10" max="10" width="14.625" style="216" customWidth="1"/>
    <col min="11" max="15" width="9" style="216"/>
    <col min="16" max="17" width="9.875" style="216" bestFit="1" customWidth="1"/>
    <col min="18" max="18" width="9" style="216"/>
    <col min="19" max="19" width="3.75" style="216" bestFit="1" customWidth="1"/>
    <col min="20" max="20" width="5.375" style="216" bestFit="1" customWidth="1"/>
    <col min="21" max="21" width="7.375" style="219" bestFit="1" customWidth="1"/>
    <col min="22" max="23" width="8.75" style="216" customWidth="1"/>
    <col min="24" max="24" width="9.125" style="216" customWidth="1"/>
    <col min="25" max="25" width="7.375" style="216" customWidth="1"/>
    <col min="26" max="26" width="9" style="23" bestFit="1" customWidth="1"/>
    <col min="27" max="27" width="6.375" style="23" bestFit="1" customWidth="1"/>
    <col min="28" max="28" width="7.25" style="23" customWidth="1"/>
    <col min="29" max="29" width="6.625" style="23" customWidth="1"/>
    <col min="30" max="30" width="6.75" style="23" bestFit="1" customWidth="1"/>
    <col min="31" max="31" width="7.125" style="23" customWidth="1"/>
    <col min="32" max="32" width="6.875" style="23" customWidth="1"/>
    <col min="33" max="33" width="6.25" style="23" customWidth="1"/>
    <col min="34" max="34" width="5.375" style="23" customWidth="1"/>
    <col min="35" max="16384" width="9" style="216"/>
  </cols>
  <sheetData>
    <row r="1" spans="1:136" ht="22.5">
      <c r="A1" s="215" t="s">
        <v>172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173</v>
      </c>
      <c r="T2" s="223" t="s">
        <v>174</v>
      </c>
      <c r="U2" s="224"/>
      <c r="V2" s="223"/>
    </row>
    <row r="3" spans="1:136" s="221" customFormat="1" ht="22.5">
      <c r="A3" s="225" t="s">
        <v>175</v>
      </c>
      <c r="B3" s="226"/>
      <c r="C3" s="226"/>
      <c r="D3" s="226"/>
      <c r="E3" s="226"/>
      <c r="F3" s="226"/>
      <c r="G3" s="226"/>
      <c r="H3" s="227"/>
      <c r="I3" s="226"/>
      <c r="Q3" s="228" t="s">
        <v>176</v>
      </c>
      <c r="S3" s="229" t="s">
        <v>13</v>
      </c>
      <c r="T3" s="229" t="s">
        <v>37</v>
      </c>
      <c r="U3" s="230" t="s">
        <v>177</v>
      </c>
      <c r="V3" s="229" t="s">
        <v>41</v>
      </c>
      <c r="W3" s="229" t="s">
        <v>178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3" t="s">
        <v>179</v>
      </c>
      <c r="B4" s="463"/>
      <c r="C4" s="231" t="str">
        <f>Input!I44</f>
        <v>보령시립노인전문병원 지하수유효기간 연장허가를 위한 지하수영향조사</v>
      </c>
      <c r="D4" s="232"/>
      <c r="E4" s="232"/>
      <c r="F4" s="232"/>
      <c r="G4" s="232"/>
      <c r="H4" s="233"/>
      <c r="I4" s="234"/>
      <c r="P4" s="221">
        <v>1</v>
      </c>
      <c r="Q4" s="235">
        <v>-0.23999999999999971</v>
      </c>
      <c r="R4" s="236">
        <f>B12</f>
        <v>100</v>
      </c>
      <c r="S4" s="221">
        <f>$R$4</f>
        <v>100</v>
      </c>
      <c r="T4" s="237">
        <v>4.0424397447692026</v>
      </c>
      <c r="U4" s="238">
        <f>Input!M44/2/1000</f>
        <v>0.1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14.042528142033973</v>
      </c>
      <c r="Z4" s="241">
        <f>Z22</f>
        <v>13.036367131686978</v>
      </c>
      <c r="AA4" s="240">
        <f>$Z$4</f>
        <v>13.036367131686978</v>
      </c>
      <c r="AB4" s="240">
        <f>X4</f>
        <v>1</v>
      </c>
      <c r="AC4" s="240">
        <f>Y4-AA4</f>
        <v>1.0061610103469949</v>
      </c>
      <c r="AD4" s="242">
        <f>INT((AC4-AE4)*100)/100</f>
        <v>1.24</v>
      </c>
      <c r="AE4" s="243">
        <f>Q4</f>
        <v>-0.23999999999999971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3" t="s">
        <v>180</v>
      </c>
      <c r="B5" s="463"/>
      <c r="C5" s="244" t="str">
        <f>Input!I45</f>
        <v xml:space="preserve">산수개발(주) </v>
      </c>
      <c r="D5" s="232"/>
      <c r="E5" s="232"/>
      <c r="F5" s="245"/>
      <c r="G5" s="232"/>
      <c r="H5" s="246" t="str">
        <f>Input!J48</f>
        <v>공  번 : W - 2</v>
      </c>
      <c r="I5" s="247"/>
      <c r="P5" s="221">
        <v>2</v>
      </c>
      <c r="Q5" s="235"/>
      <c r="S5" s="221">
        <f t="shared" ref="S5:S23" si="3">$R$4</f>
        <v>100</v>
      </c>
      <c r="T5" s="221">
        <f>$T4</f>
        <v>4.0424397447692026</v>
      </c>
      <c r="U5" s="248">
        <f>$U4</f>
        <v>0.1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15.405491527560658</v>
      </c>
      <c r="AA5" s="240">
        <f t="shared" ref="AA5:AA23" si="5">$Z$4</f>
        <v>13.036367131686978</v>
      </c>
      <c r="AB5" s="240">
        <f t="shared" ref="AB5:AB43" si="6">X5</f>
        <v>2</v>
      </c>
      <c r="AC5" s="240">
        <f t="shared" ref="AC5:AC43" si="7">Y5-AA5</f>
        <v>2.3691243958736798</v>
      </c>
      <c r="AD5" s="242">
        <f t="shared" ref="AD5:AD16" si="8">INT((AC5-AE5)*100)/100</f>
        <v>2.36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3" t="s">
        <v>181</v>
      </c>
      <c r="B6" s="463"/>
      <c r="C6" s="249" t="str">
        <f>Input!I46</f>
        <v>충청남도 보령시 청라면 장산리 828-8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100</v>
      </c>
      <c r="T6" s="221">
        <f t="shared" ref="T6:T51" si="10">$T5</f>
        <v>4.0424397447692026</v>
      </c>
      <c r="U6" s="248">
        <f t="shared" ref="U6:U51" si="11">$U5</f>
        <v>0.1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16.20277399794972</v>
      </c>
      <c r="AA6" s="240">
        <f t="shared" si="5"/>
        <v>13.036367131686978</v>
      </c>
      <c r="AB6" s="240">
        <f t="shared" si="6"/>
        <v>3</v>
      </c>
      <c r="AC6" s="240">
        <f t="shared" si="7"/>
        <v>3.1664068662627418</v>
      </c>
      <c r="AD6" s="242">
        <f t="shared" si="8"/>
        <v>3.16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3" t="s">
        <v>182</v>
      </c>
      <c r="B7" s="463"/>
      <c r="C7" s="250" t="str">
        <f>Input!I47</f>
        <v xml:space="preserve">산수개발(주) </v>
      </c>
      <c r="D7" s="251"/>
      <c r="E7" s="232"/>
      <c r="F7" s="252"/>
      <c r="G7" s="253" t="str">
        <f>Input!I49</f>
        <v xml:space="preserve">산수개발(주) </v>
      </c>
      <c r="H7" s="254"/>
      <c r="I7" s="255"/>
      <c r="P7" s="221">
        <v>4</v>
      </c>
      <c r="Q7" s="235"/>
      <c r="S7" s="221">
        <f t="shared" si="3"/>
        <v>100</v>
      </c>
      <c r="T7" s="221">
        <f t="shared" si="10"/>
        <v>4.0424397447692026</v>
      </c>
      <c r="U7" s="248">
        <f t="shared" si="11"/>
        <v>0.1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16.768454913087343</v>
      </c>
      <c r="AA7" s="240">
        <f t="shared" si="5"/>
        <v>13.036367131686978</v>
      </c>
      <c r="AB7" s="240">
        <f t="shared" si="6"/>
        <v>4</v>
      </c>
      <c r="AC7" s="240">
        <f t="shared" si="7"/>
        <v>3.7320877814003648</v>
      </c>
      <c r="AD7" s="242">
        <f t="shared" si="8"/>
        <v>3.73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183</v>
      </c>
      <c r="B8" s="256"/>
      <c r="C8" s="464">
        <f>Input!I48</f>
        <v>3</v>
      </c>
      <c r="D8" s="465"/>
      <c r="E8" s="466"/>
      <c r="F8" s="257" t="s">
        <v>184</v>
      </c>
      <c r="G8" s="253" t="str">
        <f>G7</f>
        <v xml:space="preserve">산수개발(주) </v>
      </c>
      <c r="H8" s="254"/>
      <c r="I8" s="258"/>
      <c r="K8" s="259"/>
      <c r="P8" s="221">
        <v>5</v>
      </c>
      <c r="Q8" s="235"/>
      <c r="S8" s="221">
        <f t="shared" si="3"/>
        <v>100</v>
      </c>
      <c r="T8" s="221">
        <f t="shared" si="10"/>
        <v>4.0424397447692026</v>
      </c>
      <c r="U8" s="248">
        <f t="shared" si="11"/>
        <v>0.1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17.207231119191178</v>
      </c>
      <c r="AA8" s="240">
        <f t="shared" si="5"/>
        <v>13.036367131686978</v>
      </c>
      <c r="AB8" s="240">
        <f t="shared" si="6"/>
        <v>5</v>
      </c>
      <c r="AC8" s="240">
        <f t="shared" si="7"/>
        <v>4.1708639875042</v>
      </c>
      <c r="AD8" s="242">
        <f t="shared" si="8"/>
        <v>4.17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185</v>
      </c>
      <c r="B9" s="256"/>
      <c r="C9" s="260" t="s">
        <v>186</v>
      </c>
      <c r="D9" s="467">
        <f>Input!M44</f>
        <v>200</v>
      </c>
      <c r="E9" s="467"/>
      <c r="F9" s="261" t="s">
        <v>187</v>
      </c>
      <c r="G9" s="468">
        <f>Input!M45</f>
        <v>100</v>
      </c>
      <c r="H9" s="468"/>
      <c r="I9" s="261"/>
      <c r="P9" s="221">
        <v>10</v>
      </c>
      <c r="Q9" s="235"/>
      <c r="S9" s="221">
        <f t="shared" si="3"/>
        <v>100</v>
      </c>
      <c r="T9" s="221">
        <f t="shared" si="10"/>
        <v>4.0424397447692026</v>
      </c>
      <c r="U9" s="248">
        <f t="shared" si="11"/>
        <v>0.1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18.570194504717861</v>
      </c>
      <c r="AA9" s="240">
        <f t="shared" si="5"/>
        <v>13.036367131686978</v>
      </c>
      <c r="AB9" s="240">
        <f t="shared" si="6"/>
        <v>10</v>
      </c>
      <c r="AC9" s="240">
        <f t="shared" si="7"/>
        <v>5.5338273730308831</v>
      </c>
      <c r="AD9" s="242">
        <f t="shared" si="8"/>
        <v>5.53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188</v>
      </c>
      <c r="B10" s="256"/>
      <c r="C10" s="260" t="s">
        <v>237</v>
      </c>
      <c r="D10" s="469">
        <f>Input!M48</f>
        <v>5.6</v>
      </c>
      <c r="E10" s="470"/>
      <c r="F10" s="262" t="s">
        <v>4</v>
      </c>
      <c r="G10" s="471" t="s">
        <v>4</v>
      </c>
      <c r="H10" s="471"/>
      <c r="I10" s="247"/>
      <c r="P10" s="221">
        <v>15</v>
      </c>
      <c r="Q10" s="235"/>
      <c r="S10" s="221">
        <f t="shared" si="3"/>
        <v>100</v>
      </c>
      <c r="T10" s="221">
        <f t="shared" si="10"/>
        <v>4.0424397447692026</v>
      </c>
      <c r="U10" s="248">
        <f t="shared" si="11"/>
        <v>0.1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19.367476975106925</v>
      </c>
      <c r="AA10" s="240">
        <f t="shared" si="5"/>
        <v>13.036367131686978</v>
      </c>
      <c r="AB10" s="240">
        <f t="shared" si="6"/>
        <v>15</v>
      </c>
      <c r="AC10" s="240">
        <f t="shared" si="7"/>
        <v>6.3311098434199469</v>
      </c>
      <c r="AD10" s="242">
        <f t="shared" si="8"/>
        <v>6.33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3.1" customHeight="1">
      <c r="A11" s="261" t="s">
        <v>189</v>
      </c>
      <c r="B11" s="263" t="s">
        <v>190</v>
      </c>
      <c r="C11" s="260" t="s">
        <v>191</v>
      </c>
      <c r="D11" s="472" t="s">
        <v>192</v>
      </c>
      <c r="E11" s="472"/>
      <c r="F11" s="263" t="s">
        <v>193</v>
      </c>
      <c r="G11" s="473" t="s">
        <v>194</v>
      </c>
      <c r="H11" s="473"/>
      <c r="I11" s="261" t="s">
        <v>195</v>
      </c>
      <c r="J11" s="264">
        <f>G12-J13</f>
        <v>0.12000000000000011</v>
      </c>
      <c r="P11" s="221">
        <v>20</v>
      </c>
      <c r="Q11" s="235"/>
      <c r="S11" s="221">
        <f t="shared" si="3"/>
        <v>100</v>
      </c>
      <c r="T11" s="221">
        <f t="shared" si="10"/>
        <v>4.0424397447692026</v>
      </c>
      <c r="U11" s="248">
        <f t="shared" si="11"/>
        <v>0.1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19.933157890244548</v>
      </c>
      <c r="AA11" s="240">
        <f t="shared" si="5"/>
        <v>13.036367131686978</v>
      </c>
      <c r="AB11" s="240">
        <f t="shared" si="6"/>
        <v>20</v>
      </c>
      <c r="AC11" s="240">
        <f t="shared" si="7"/>
        <v>6.8967907585575698</v>
      </c>
      <c r="AD11" s="242">
        <f t="shared" si="8"/>
        <v>6.89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100</v>
      </c>
      <c r="C12" s="267">
        <v>44725.048611111117</v>
      </c>
      <c r="D12" s="461">
        <v>1</v>
      </c>
      <c r="E12" s="461"/>
      <c r="F12" s="268">
        <f>G12+$D$10</f>
        <v>6.84</v>
      </c>
      <c r="G12" s="462">
        <f>AD4</f>
        <v>1.24</v>
      </c>
      <c r="H12" s="462"/>
      <c r="I12" s="261" t="s">
        <v>196</v>
      </c>
      <c r="J12" s="269"/>
      <c r="P12" s="221">
        <v>25</v>
      </c>
      <c r="Q12" s="235"/>
      <c r="S12" s="221">
        <f t="shared" si="3"/>
        <v>100</v>
      </c>
      <c r="T12" s="221">
        <f t="shared" si="10"/>
        <v>4.0424397447692026</v>
      </c>
      <c r="U12" s="248">
        <f t="shared" si="11"/>
        <v>0.1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20.371934096348379</v>
      </c>
      <c r="AA12" s="240">
        <f t="shared" si="5"/>
        <v>13.036367131686978</v>
      </c>
      <c r="AB12" s="240">
        <f t="shared" si="6"/>
        <v>25</v>
      </c>
      <c r="AC12" s="240">
        <f t="shared" si="7"/>
        <v>7.3355669646614015</v>
      </c>
      <c r="AD12" s="242">
        <f t="shared" si="8"/>
        <v>7.33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61">
        <v>2</v>
      </c>
      <c r="E13" s="461"/>
      <c r="F13" s="268">
        <f t="shared" ref="F13:F51" si="13">G13+$D$10</f>
        <v>7.9599999999999991</v>
      </c>
      <c r="G13" s="462">
        <f t="shared" ref="G13:G51" si="14">AD5</f>
        <v>2.36</v>
      </c>
      <c r="H13" s="462"/>
      <c r="I13" s="270"/>
      <c r="J13" s="269">
        <f>G13-G12</f>
        <v>1.1199999999999999</v>
      </c>
      <c r="P13" s="221">
        <v>30</v>
      </c>
      <c r="Q13" s="235"/>
      <c r="S13" s="221">
        <f t="shared" si="3"/>
        <v>100</v>
      </c>
      <c r="T13" s="221">
        <f t="shared" si="10"/>
        <v>4.0424397447692026</v>
      </c>
      <c r="U13" s="248">
        <f t="shared" si="11"/>
        <v>0.1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20.730440360633608</v>
      </c>
      <c r="AA13" s="240">
        <f t="shared" si="5"/>
        <v>13.036367131686978</v>
      </c>
      <c r="AB13" s="240">
        <f t="shared" si="6"/>
        <v>30</v>
      </c>
      <c r="AC13" s="240">
        <f t="shared" si="7"/>
        <v>7.69407322894663</v>
      </c>
      <c r="AD13" s="242">
        <f t="shared" si="8"/>
        <v>7.69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61">
        <v>3</v>
      </c>
      <c r="E14" s="461"/>
      <c r="F14" s="268">
        <f t="shared" si="13"/>
        <v>8.76</v>
      </c>
      <c r="G14" s="462">
        <f t="shared" si="14"/>
        <v>3.16</v>
      </c>
      <c r="H14" s="462"/>
      <c r="I14" s="270"/>
      <c r="J14" s="269">
        <f t="shared" ref="J14:J51" si="15">G14-G13</f>
        <v>0.80000000000000027</v>
      </c>
      <c r="Q14" s="235"/>
      <c r="S14" s="221">
        <f t="shared" si="3"/>
        <v>100</v>
      </c>
      <c r="T14" s="221">
        <f t="shared" si="10"/>
        <v>4.0424397447692026</v>
      </c>
      <c r="U14" s="248">
        <f t="shared" si="11"/>
        <v>0.1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21.033553088133811</v>
      </c>
      <c r="AA14" s="240">
        <f t="shared" si="5"/>
        <v>13.036367131686978</v>
      </c>
      <c r="AB14" s="240">
        <f t="shared" si="6"/>
        <v>35</v>
      </c>
      <c r="AC14" s="240">
        <f t="shared" si="7"/>
        <v>7.9971859564468328</v>
      </c>
      <c r="AD14" s="242">
        <f t="shared" si="8"/>
        <v>7.99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61">
        <v>4</v>
      </c>
      <c r="E15" s="461"/>
      <c r="F15" s="268">
        <f t="shared" si="13"/>
        <v>9.33</v>
      </c>
      <c r="G15" s="462">
        <f t="shared" si="14"/>
        <v>3.73</v>
      </c>
      <c r="H15" s="462"/>
      <c r="I15" s="270"/>
      <c r="J15" s="269">
        <f t="shared" si="15"/>
        <v>0.56999999999999984</v>
      </c>
      <c r="Q15" s="235"/>
      <c r="S15" s="221">
        <f t="shared" si="3"/>
        <v>100</v>
      </c>
      <c r="T15" s="221">
        <f t="shared" si="10"/>
        <v>4.0424397447692026</v>
      </c>
      <c r="U15" s="248">
        <f t="shared" si="11"/>
        <v>0.1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21.296121275771231</v>
      </c>
      <c r="AA15" s="240">
        <f t="shared" si="5"/>
        <v>13.036367131686978</v>
      </c>
      <c r="AB15" s="240">
        <f t="shared" si="6"/>
        <v>40</v>
      </c>
      <c r="AC15" s="240">
        <f t="shared" si="7"/>
        <v>8.259754144084253</v>
      </c>
      <c r="AD15" s="242">
        <f t="shared" si="8"/>
        <v>8.25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61">
        <v>5</v>
      </c>
      <c r="E16" s="461"/>
      <c r="F16" s="268">
        <f t="shared" si="13"/>
        <v>9.77</v>
      </c>
      <c r="G16" s="462">
        <f t="shared" si="14"/>
        <v>4.17</v>
      </c>
      <c r="H16" s="462"/>
      <c r="I16" s="270"/>
      <c r="J16" s="269">
        <f t="shared" si="15"/>
        <v>0.43999999999999995</v>
      </c>
      <c r="L16" s="229" t="s">
        <v>197</v>
      </c>
      <c r="M16" s="229" t="s">
        <v>198</v>
      </c>
      <c r="S16" s="221">
        <f t="shared" si="3"/>
        <v>100</v>
      </c>
      <c r="T16" s="221">
        <f t="shared" si="10"/>
        <v>4.0424397447692026</v>
      </c>
      <c r="U16" s="248">
        <f t="shared" si="11"/>
        <v>0.1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21.527722831022672</v>
      </c>
      <c r="AA16" s="240">
        <f t="shared" si="5"/>
        <v>13.036367131686978</v>
      </c>
      <c r="AB16" s="240">
        <f t="shared" si="6"/>
        <v>45</v>
      </c>
      <c r="AC16" s="240">
        <f t="shared" si="7"/>
        <v>8.4913556993356938</v>
      </c>
      <c r="AD16" s="242">
        <f t="shared" si="8"/>
        <v>8.49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61">
        <v>10</v>
      </c>
      <c r="E17" s="461"/>
      <c r="F17" s="268">
        <f t="shared" si="13"/>
        <v>11.129999999999999</v>
      </c>
      <c r="G17" s="462">
        <f t="shared" si="14"/>
        <v>5.53</v>
      </c>
      <c r="H17" s="462"/>
      <c r="I17" s="270"/>
      <c r="J17" s="269">
        <f t="shared" si="15"/>
        <v>1.3600000000000003</v>
      </c>
      <c r="K17" s="228">
        <f>D12</f>
        <v>1</v>
      </c>
      <c r="L17" s="221">
        <f>INT(B12/1440*10000)/10000</f>
        <v>6.9400000000000003E-2</v>
      </c>
      <c r="M17" s="221">
        <f>K17*L17</f>
        <v>6.9400000000000003E-2</v>
      </c>
      <c r="N17" s="221">
        <f>INT((8*2.54/2/100)^2*3.14159*100000)/100000</f>
        <v>3.2419999999999997E-2</v>
      </c>
      <c r="O17" s="221">
        <f>INT(M17/N17*100)/100</f>
        <v>2.14</v>
      </c>
      <c r="P17" s="241">
        <f>INT((G12-O17)*100)/100</f>
        <v>-0.9</v>
      </c>
      <c r="S17" s="221">
        <f t="shared" si="3"/>
        <v>100</v>
      </c>
      <c r="T17" s="221">
        <f t="shared" si="10"/>
        <v>4.0424397447692026</v>
      </c>
      <c r="U17" s="248">
        <f t="shared" si="11"/>
        <v>0.1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21.734897481875066</v>
      </c>
      <c r="AA17" s="240">
        <f t="shared" si="5"/>
        <v>13.036367131686978</v>
      </c>
      <c r="AB17" s="240">
        <f t="shared" si="6"/>
        <v>50</v>
      </c>
      <c r="AC17" s="240">
        <f t="shared" si="7"/>
        <v>8.6985303501880882</v>
      </c>
      <c r="AD17" s="242">
        <f t="shared" ref="AD17:AD22" si="16">INT(AC17*100)/100</f>
        <v>8.69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61">
        <v>15</v>
      </c>
      <c r="E18" s="461"/>
      <c r="F18" s="268">
        <f t="shared" si="13"/>
        <v>11.93</v>
      </c>
      <c r="G18" s="462">
        <f t="shared" si="14"/>
        <v>6.33</v>
      </c>
      <c r="H18" s="462"/>
      <c r="I18" s="270"/>
      <c r="J18" s="269">
        <f t="shared" si="15"/>
        <v>0.79999999999999982</v>
      </c>
      <c r="K18" s="228">
        <f>D13</f>
        <v>2</v>
      </c>
      <c r="L18" s="221">
        <f>L17</f>
        <v>6.9400000000000003E-2</v>
      </c>
      <c r="M18" s="221">
        <f t="shared" ref="M18:M32" si="17">K18*L18</f>
        <v>0.13880000000000001</v>
      </c>
      <c r="N18" s="221">
        <f>N17</f>
        <v>3.2419999999999997E-2</v>
      </c>
      <c r="O18" s="221">
        <f>INT(M18/N18*100)/100</f>
        <v>4.28</v>
      </c>
      <c r="P18" s="241">
        <f>INT((G13-O18)*100*0.98)/100</f>
        <v>-1.89</v>
      </c>
      <c r="S18" s="221">
        <f t="shared" si="3"/>
        <v>100</v>
      </c>
      <c r="T18" s="221">
        <f t="shared" si="10"/>
        <v>4.0424397447692026</v>
      </c>
      <c r="U18" s="248">
        <f t="shared" si="11"/>
        <v>0.1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21.922309750127127</v>
      </c>
      <c r="AA18" s="240">
        <f t="shared" si="5"/>
        <v>13.036367131686978</v>
      </c>
      <c r="AB18" s="240">
        <f t="shared" si="6"/>
        <v>55</v>
      </c>
      <c r="AC18" s="240">
        <f t="shared" si="7"/>
        <v>8.8859426184401489</v>
      </c>
      <c r="AD18" s="242">
        <f t="shared" si="16"/>
        <v>8.8800000000000008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61">
        <v>20</v>
      </c>
      <c r="E19" s="461"/>
      <c r="F19" s="268">
        <f t="shared" si="13"/>
        <v>12.489999999999998</v>
      </c>
      <c r="G19" s="462">
        <f t="shared" si="14"/>
        <v>6.89</v>
      </c>
      <c r="H19" s="462"/>
      <c r="I19" s="270"/>
      <c r="J19" s="269">
        <f t="shared" si="15"/>
        <v>0.55999999999999961</v>
      </c>
      <c r="K19" s="228">
        <f t="shared" ref="K19:K32" si="18">D14</f>
        <v>3</v>
      </c>
      <c r="L19" s="221">
        <f>L18</f>
        <v>6.9400000000000003E-2</v>
      </c>
      <c r="M19" s="221">
        <f t="shared" si="17"/>
        <v>0.2082</v>
      </c>
      <c r="N19" s="221">
        <f t="shared" ref="N19:N32" si="19">N18</f>
        <v>3.2419999999999997E-2</v>
      </c>
      <c r="O19" s="221">
        <f>INT(M19/N19*100)/100</f>
        <v>6.42</v>
      </c>
      <c r="P19" s="241">
        <f>INT((G14-O19)*100*0.95)/100</f>
        <v>-3.1</v>
      </c>
      <c r="S19" s="221">
        <f t="shared" si="3"/>
        <v>100</v>
      </c>
      <c r="T19" s="221">
        <f t="shared" si="10"/>
        <v>4.0424397447692026</v>
      </c>
      <c r="U19" s="248">
        <f t="shared" si="11"/>
        <v>0.1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22.093403746160295</v>
      </c>
      <c r="AA19" s="240">
        <f t="shared" si="5"/>
        <v>13.036367131686978</v>
      </c>
      <c r="AB19" s="240">
        <f t="shared" si="6"/>
        <v>60</v>
      </c>
      <c r="AC19" s="240">
        <f t="shared" si="7"/>
        <v>9.0570366144733168</v>
      </c>
      <c r="AD19" s="242">
        <f t="shared" si="16"/>
        <v>9.0500000000000007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61">
        <v>25</v>
      </c>
      <c r="E20" s="461"/>
      <c r="F20" s="268">
        <f t="shared" si="13"/>
        <v>12.93</v>
      </c>
      <c r="G20" s="462">
        <f t="shared" si="14"/>
        <v>7.33</v>
      </c>
      <c r="H20" s="462"/>
      <c r="I20" s="270"/>
      <c r="J20" s="269">
        <f t="shared" si="15"/>
        <v>0.44000000000000039</v>
      </c>
      <c r="K20" s="228">
        <f t="shared" si="18"/>
        <v>4</v>
      </c>
      <c r="L20" s="221">
        <f>L19</f>
        <v>6.9400000000000003E-2</v>
      </c>
      <c r="M20" s="221">
        <f t="shared" si="17"/>
        <v>0.27760000000000001</v>
      </c>
      <c r="N20" s="221">
        <f t="shared" si="19"/>
        <v>3.2419999999999997E-2</v>
      </c>
      <c r="O20" s="221">
        <f>INT(M20/N20*100)/100</f>
        <v>8.56</v>
      </c>
      <c r="P20" s="241">
        <f>INT((G15-O20)*100*0.91)/100</f>
        <v>-4.4000000000000004</v>
      </c>
      <c r="S20" s="221">
        <f t="shared" si="3"/>
        <v>100</v>
      </c>
      <c r="T20" s="221">
        <f t="shared" si="10"/>
        <v>4.0424397447692026</v>
      </c>
      <c r="U20" s="248">
        <f t="shared" si="11"/>
        <v>0.1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22.53217995226413</v>
      </c>
      <c r="AA20" s="240">
        <f t="shared" si="5"/>
        <v>13.036367131686978</v>
      </c>
      <c r="AB20" s="240">
        <f t="shared" si="6"/>
        <v>75</v>
      </c>
      <c r="AC20" s="240">
        <f t="shared" si="7"/>
        <v>9.4958128205771519</v>
      </c>
      <c r="AD20" s="242">
        <f t="shared" si="16"/>
        <v>9.49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61">
        <v>30</v>
      </c>
      <c r="E21" s="461"/>
      <c r="F21" s="268">
        <f t="shared" si="13"/>
        <v>13.29</v>
      </c>
      <c r="G21" s="462">
        <f t="shared" si="14"/>
        <v>7.69</v>
      </c>
      <c r="H21" s="462"/>
      <c r="I21" s="270"/>
      <c r="J21" s="269">
        <f t="shared" si="15"/>
        <v>0.36000000000000032</v>
      </c>
      <c r="K21" s="228">
        <f t="shared" si="18"/>
        <v>5</v>
      </c>
      <c r="L21" s="228">
        <f>L20</f>
        <v>6.9400000000000003E-2</v>
      </c>
      <c r="M21" s="221">
        <f t="shared" si="17"/>
        <v>0.34700000000000003</v>
      </c>
      <c r="N21" s="221">
        <f t="shared" si="19"/>
        <v>3.2419999999999997E-2</v>
      </c>
      <c r="O21" s="228">
        <f>INT(M21/N21*100)/100</f>
        <v>10.7</v>
      </c>
      <c r="P21" s="241">
        <f>INT((G16-O21)*100*0.86)/100</f>
        <v>-5.62</v>
      </c>
      <c r="S21" s="221">
        <f t="shared" si="3"/>
        <v>100</v>
      </c>
      <c r="T21" s="221">
        <f t="shared" si="10"/>
        <v>4.0424397447692026</v>
      </c>
      <c r="U21" s="248">
        <f t="shared" si="11"/>
        <v>0.1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22.890686216549359</v>
      </c>
      <c r="AA21" s="240">
        <f t="shared" si="5"/>
        <v>13.036367131686978</v>
      </c>
      <c r="AB21" s="240">
        <f t="shared" si="6"/>
        <v>90</v>
      </c>
      <c r="AC21" s="240">
        <f t="shared" si="7"/>
        <v>9.8543190848623805</v>
      </c>
      <c r="AD21" s="242">
        <f t="shared" si="16"/>
        <v>9.85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61">
        <v>35</v>
      </c>
      <c r="E22" s="461"/>
      <c r="F22" s="268">
        <f t="shared" si="13"/>
        <v>13.59</v>
      </c>
      <c r="G22" s="462">
        <f t="shared" si="14"/>
        <v>7.99</v>
      </c>
      <c r="H22" s="462"/>
      <c r="I22" s="261"/>
      <c r="J22" s="269">
        <f t="shared" si="15"/>
        <v>0.29999999999999982</v>
      </c>
      <c r="K22" s="228">
        <f t="shared" si="18"/>
        <v>10</v>
      </c>
      <c r="L22" s="228">
        <f t="shared" ref="L22:L32" si="20">L21</f>
        <v>6.9400000000000003E-2</v>
      </c>
      <c r="M22" s="221">
        <f t="shared" si="17"/>
        <v>0.69400000000000006</v>
      </c>
      <c r="N22" s="221">
        <f t="shared" si="19"/>
        <v>3.2419999999999997E-2</v>
      </c>
      <c r="O22" s="228">
        <f t="shared" ref="O22:O30" si="21">INT(M22/N22*100)/100</f>
        <v>21.4</v>
      </c>
      <c r="P22" s="241">
        <f>INT((G17-O22)*100*0.8)/100</f>
        <v>-12.7</v>
      </c>
      <c r="S22" s="221">
        <f t="shared" si="3"/>
        <v>100</v>
      </c>
      <c r="T22" s="221">
        <f t="shared" si="10"/>
        <v>4.0424397447692026</v>
      </c>
      <c r="U22" s="248">
        <f t="shared" si="11"/>
        <v>0.1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23.193798944049558</v>
      </c>
      <c r="Z22" s="240">
        <f>Y23-Z23</f>
        <v>13.036367131686978</v>
      </c>
      <c r="AA22" s="240">
        <f t="shared" si="5"/>
        <v>13.036367131686978</v>
      </c>
      <c r="AB22" s="240">
        <f t="shared" si="6"/>
        <v>105</v>
      </c>
      <c r="AC22" s="240">
        <f t="shared" si="7"/>
        <v>10.15743181236258</v>
      </c>
      <c r="AD22" s="242">
        <f t="shared" si="16"/>
        <v>10.15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61">
        <v>40</v>
      </c>
      <c r="E23" s="461"/>
      <c r="F23" s="268">
        <f t="shared" si="13"/>
        <v>13.85</v>
      </c>
      <c r="G23" s="462">
        <f t="shared" si="14"/>
        <v>8.25</v>
      </c>
      <c r="H23" s="462"/>
      <c r="I23" s="261"/>
      <c r="J23" s="269">
        <f t="shared" si="15"/>
        <v>0.25999999999999979</v>
      </c>
      <c r="K23" s="228">
        <f t="shared" si="18"/>
        <v>15</v>
      </c>
      <c r="L23" s="228">
        <f t="shared" si="20"/>
        <v>6.9400000000000003E-2</v>
      </c>
      <c r="M23" s="221">
        <f t="shared" si="17"/>
        <v>1.0410000000000001</v>
      </c>
      <c r="N23" s="221">
        <f t="shared" si="19"/>
        <v>3.2419999999999997E-2</v>
      </c>
      <c r="O23" s="228">
        <f t="shared" si="21"/>
        <v>32.1</v>
      </c>
      <c r="P23" s="241">
        <f t="shared" ref="P23:P32" si="22">INT((G18-O23)*100)/100</f>
        <v>-25.77</v>
      </c>
      <c r="S23" s="221">
        <f t="shared" si="3"/>
        <v>100</v>
      </c>
      <c r="T23" s="221">
        <f t="shared" si="10"/>
        <v>4.0424397447692026</v>
      </c>
      <c r="U23" s="248">
        <f t="shared" si="11"/>
        <v>0.1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23.456367131686978</v>
      </c>
      <c r="Z23" s="240">
        <f>Input!B20</f>
        <v>10.42</v>
      </c>
      <c r="AA23" s="240">
        <f t="shared" si="5"/>
        <v>13.036367131686978</v>
      </c>
      <c r="AB23" s="240">
        <f t="shared" si="6"/>
        <v>120</v>
      </c>
      <c r="AC23" s="240">
        <f t="shared" si="7"/>
        <v>10.42</v>
      </c>
      <c r="AD23" s="242">
        <f>INT((AC$3+AE23)*100)/100</f>
        <v>10.42</v>
      </c>
      <c r="AE23" s="240">
        <f>AG$23*AF23</f>
        <v>10.42</v>
      </c>
      <c r="AF23" s="240">
        <v>1</v>
      </c>
      <c r="AG23" s="240">
        <f>AC23-AC3</f>
        <v>10.42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61">
        <v>45</v>
      </c>
      <c r="E24" s="461"/>
      <c r="F24" s="268">
        <f t="shared" si="13"/>
        <v>14.09</v>
      </c>
      <c r="G24" s="462">
        <f t="shared" si="14"/>
        <v>8.49</v>
      </c>
      <c r="H24" s="462"/>
      <c r="I24" s="261"/>
      <c r="J24" s="269">
        <f t="shared" si="15"/>
        <v>0.24000000000000021</v>
      </c>
      <c r="K24" s="228">
        <f t="shared" si="18"/>
        <v>20</v>
      </c>
      <c r="L24" s="228">
        <f t="shared" si="20"/>
        <v>6.9400000000000003E-2</v>
      </c>
      <c r="M24" s="221">
        <f t="shared" si="17"/>
        <v>1.3880000000000001</v>
      </c>
      <c r="N24" s="221">
        <f t="shared" si="19"/>
        <v>3.2419999999999997E-2</v>
      </c>
      <c r="O24" s="228">
        <f t="shared" si="21"/>
        <v>42.81</v>
      </c>
      <c r="P24" s="241">
        <f t="shared" si="22"/>
        <v>-35.92</v>
      </c>
      <c r="R24" s="236">
        <f>B32</f>
        <v>128</v>
      </c>
      <c r="S24" s="221">
        <f>$R$24</f>
        <v>128</v>
      </c>
      <c r="T24" s="221">
        <f t="shared" si="10"/>
        <v>4.0424397447692026</v>
      </c>
      <c r="U24" s="248">
        <f t="shared" si="11"/>
        <v>0.1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30.225610689142858</v>
      </c>
      <c r="Z24" s="240">
        <f>Z27</f>
        <v>17.878743062033493</v>
      </c>
      <c r="AA24" s="240">
        <f>$Z$24</f>
        <v>17.878743062033493</v>
      </c>
      <c r="AB24" s="240">
        <f t="shared" si="6"/>
        <v>130</v>
      </c>
      <c r="AC24" s="240">
        <f t="shared" si="7"/>
        <v>12.346867627109365</v>
      </c>
      <c r="AD24" s="242">
        <f>INT((AC$23+AE24)*100)/100</f>
        <v>12.5</v>
      </c>
      <c r="AE24" s="240">
        <f>AF24*AG$28</f>
        <v>2.0820000000000003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61">
        <v>50</v>
      </c>
      <c r="E25" s="461"/>
      <c r="F25" s="268">
        <f t="shared" si="13"/>
        <v>14.29</v>
      </c>
      <c r="G25" s="462">
        <f t="shared" si="14"/>
        <v>8.69</v>
      </c>
      <c r="H25" s="462"/>
      <c r="I25" s="261"/>
      <c r="J25" s="269">
        <f t="shared" si="15"/>
        <v>0.19999999999999929</v>
      </c>
      <c r="K25" s="228">
        <f t="shared" si="18"/>
        <v>25</v>
      </c>
      <c r="L25" s="228">
        <f t="shared" si="20"/>
        <v>6.9400000000000003E-2</v>
      </c>
      <c r="M25" s="221">
        <f t="shared" si="17"/>
        <v>1.7350000000000001</v>
      </c>
      <c r="N25" s="221">
        <f t="shared" si="19"/>
        <v>3.2419999999999997E-2</v>
      </c>
      <c r="O25" s="228">
        <f t="shared" si="21"/>
        <v>53.51</v>
      </c>
      <c r="P25" s="241">
        <f t="shared" si="22"/>
        <v>-46.18</v>
      </c>
      <c r="S25" s="221">
        <f>$R$24</f>
        <v>128</v>
      </c>
      <c r="T25" s="221">
        <f t="shared" si="10"/>
        <v>4.0424397447692026</v>
      </c>
      <c r="U25" s="248">
        <f t="shared" si="11"/>
        <v>0.1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30.412134219759594</v>
      </c>
      <c r="AA25" s="240">
        <f>$Z$24</f>
        <v>17.878743062033493</v>
      </c>
      <c r="AB25" s="240">
        <f t="shared" si="6"/>
        <v>140</v>
      </c>
      <c r="AC25" s="240">
        <f t="shared" si="7"/>
        <v>12.533391157726101</v>
      </c>
      <c r="AD25" s="242">
        <f>INT((AC$23+AE25)*100)/100</f>
        <v>12.84</v>
      </c>
      <c r="AE25" s="240">
        <f>AF25*AG$28</f>
        <v>2.4290000000000003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61">
        <v>55</v>
      </c>
      <c r="E26" s="461"/>
      <c r="F26" s="268">
        <f t="shared" si="13"/>
        <v>14.48</v>
      </c>
      <c r="G26" s="462">
        <f t="shared" si="14"/>
        <v>8.8800000000000008</v>
      </c>
      <c r="H26" s="462"/>
      <c r="I26" s="261"/>
      <c r="J26" s="269">
        <f t="shared" si="15"/>
        <v>0.19000000000000128</v>
      </c>
      <c r="K26" s="228">
        <f t="shared" si="18"/>
        <v>30</v>
      </c>
      <c r="L26" s="228">
        <f t="shared" si="20"/>
        <v>6.9400000000000003E-2</v>
      </c>
      <c r="M26" s="221">
        <f t="shared" si="17"/>
        <v>2.0820000000000003</v>
      </c>
      <c r="N26" s="221">
        <f t="shared" si="19"/>
        <v>3.2419999999999997E-2</v>
      </c>
      <c r="O26" s="221">
        <f t="shared" si="21"/>
        <v>64.209999999999994</v>
      </c>
      <c r="P26" s="241">
        <f t="shared" si="22"/>
        <v>-56.52</v>
      </c>
      <c r="S26" s="221">
        <f>$R$24</f>
        <v>128</v>
      </c>
      <c r="T26" s="221">
        <f t="shared" si="10"/>
        <v>4.0424397447692026</v>
      </c>
      <c r="U26" s="248">
        <f t="shared" si="11"/>
        <v>0.1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30.585783472372245</v>
      </c>
      <c r="AA26" s="240">
        <f>$Z$24</f>
        <v>17.878743062033493</v>
      </c>
      <c r="AB26" s="240">
        <f t="shared" si="6"/>
        <v>150</v>
      </c>
      <c r="AC26" s="240">
        <f t="shared" si="7"/>
        <v>12.707040410338752</v>
      </c>
      <c r="AD26" s="242">
        <f>INT((AC$23+AE26)*100)/100</f>
        <v>13.19</v>
      </c>
      <c r="AE26" s="240">
        <f>AF26*AG$28</f>
        <v>2.7760000000000007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61">
        <v>60</v>
      </c>
      <c r="E27" s="461"/>
      <c r="F27" s="268">
        <f t="shared" si="13"/>
        <v>14.65</v>
      </c>
      <c r="G27" s="462">
        <f t="shared" si="14"/>
        <v>9.0500000000000007</v>
      </c>
      <c r="H27" s="462"/>
      <c r="I27" s="261"/>
      <c r="J27" s="269">
        <f t="shared" si="15"/>
        <v>0.16999999999999993</v>
      </c>
      <c r="K27" s="228">
        <f t="shared" si="18"/>
        <v>35</v>
      </c>
      <c r="L27" s="228">
        <f t="shared" si="20"/>
        <v>6.9400000000000003E-2</v>
      </c>
      <c r="M27" s="221">
        <f t="shared" si="17"/>
        <v>2.4290000000000003</v>
      </c>
      <c r="N27" s="221">
        <f t="shared" si="19"/>
        <v>3.2419999999999997E-2</v>
      </c>
      <c r="O27" s="221">
        <f t="shared" si="21"/>
        <v>74.92</v>
      </c>
      <c r="P27" s="241">
        <f t="shared" si="22"/>
        <v>-66.930000000000007</v>
      </c>
      <c r="S27" s="221">
        <f>$R$24</f>
        <v>128</v>
      </c>
      <c r="T27" s="221">
        <f t="shared" si="10"/>
        <v>4.0424397447692026</v>
      </c>
      <c r="U27" s="248">
        <f t="shared" si="11"/>
        <v>0.1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31.044671490657336</v>
      </c>
      <c r="Z27" s="240">
        <f>Y28-Z28</f>
        <v>17.878743062033493</v>
      </c>
      <c r="AA27" s="240">
        <f>$Z$24</f>
        <v>17.878743062033493</v>
      </c>
      <c r="AB27" s="240">
        <f t="shared" si="6"/>
        <v>180</v>
      </c>
      <c r="AC27" s="240">
        <f t="shared" si="7"/>
        <v>13.165928428623843</v>
      </c>
      <c r="AD27" s="242">
        <f>INT((AC$23+AE27)*100)/100</f>
        <v>13.54</v>
      </c>
      <c r="AE27" s="240">
        <f>AF27*AG$28</f>
        <v>3.1230000000000007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61">
        <v>75</v>
      </c>
      <c r="E28" s="461"/>
      <c r="F28" s="268">
        <f t="shared" si="13"/>
        <v>15.09</v>
      </c>
      <c r="G28" s="462">
        <f t="shared" si="14"/>
        <v>9.49</v>
      </c>
      <c r="H28" s="462"/>
      <c r="I28" s="261"/>
      <c r="J28" s="269">
        <f t="shared" si="15"/>
        <v>0.4399999999999995</v>
      </c>
      <c r="K28" s="228">
        <f t="shared" si="18"/>
        <v>40</v>
      </c>
      <c r="L28" s="228">
        <f t="shared" si="20"/>
        <v>6.9400000000000003E-2</v>
      </c>
      <c r="M28" s="221">
        <f t="shared" si="17"/>
        <v>2.7760000000000002</v>
      </c>
      <c r="N28" s="221">
        <f t="shared" si="19"/>
        <v>3.2419999999999997E-2</v>
      </c>
      <c r="O28" s="221">
        <f t="shared" si="21"/>
        <v>85.62</v>
      </c>
      <c r="P28" s="241">
        <f t="shared" si="22"/>
        <v>-77.37</v>
      </c>
      <c r="S28" s="221">
        <f>$R$24</f>
        <v>128</v>
      </c>
      <c r="T28" s="221">
        <f t="shared" si="10"/>
        <v>4.0424397447692026</v>
      </c>
      <c r="U28" s="248">
        <f t="shared" si="11"/>
        <v>0.1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31.768743062033494</v>
      </c>
      <c r="Z28" s="240">
        <f>Input!B21</f>
        <v>13.89</v>
      </c>
      <c r="AA28" s="240">
        <f>$Z$24</f>
        <v>17.878743062033493</v>
      </c>
      <c r="AB28" s="240">
        <f t="shared" si="6"/>
        <v>240</v>
      </c>
      <c r="AC28" s="240">
        <f t="shared" si="7"/>
        <v>13.89</v>
      </c>
      <c r="AD28" s="242">
        <f>INT((AC$23+AE28)*100)/100</f>
        <v>13.89</v>
      </c>
      <c r="AE28" s="240">
        <f>AF28*AG$28</f>
        <v>3.4700000000000006</v>
      </c>
      <c r="AF28" s="240">
        <v>1</v>
      </c>
      <c r="AG28" s="240">
        <f>AC28-AC23</f>
        <v>3.4700000000000006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61">
        <v>90</v>
      </c>
      <c r="E29" s="461"/>
      <c r="F29" s="268">
        <f t="shared" si="13"/>
        <v>15.45</v>
      </c>
      <c r="G29" s="462">
        <f t="shared" si="14"/>
        <v>9.85</v>
      </c>
      <c r="H29" s="462"/>
      <c r="I29" s="261"/>
      <c r="J29" s="269">
        <f t="shared" si="15"/>
        <v>0.35999999999999943</v>
      </c>
      <c r="K29" s="228">
        <f t="shared" si="18"/>
        <v>45</v>
      </c>
      <c r="L29" s="228">
        <f t="shared" si="20"/>
        <v>6.9400000000000003E-2</v>
      </c>
      <c r="M29" s="221">
        <f t="shared" si="17"/>
        <v>3.1230000000000002</v>
      </c>
      <c r="N29" s="221">
        <f t="shared" si="19"/>
        <v>3.2419999999999997E-2</v>
      </c>
      <c r="O29" s="221">
        <f t="shared" si="21"/>
        <v>96.32</v>
      </c>
      <c r="P29" s="241">
        <f t="shared" si="22"/>
        <v>-87.83</v>
      </c>
      <c r="R29" s="236">
        <f>B37</f>
        <v>155.54999999999998</v>
      </c>
      <c r="S29" s="221">
        <f>$R$29</f>
        <v>155.54999999999998</v>
      </c>
      <c r="T29" s="221">
        <f t="shared" si="10"/>
        <v>4.0424397447692026</v>
      </c>
      <c r="U29" s="248">
        <f t="shared" si="11"/>
        <v>0.1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38.731328514024696</v>
      </c>
      <c r="Z29" s="240">
        <f>Z32</f>
        <v>22.04664150221603</v>
      </c>
      <c r="AA29" s="240">
        <f>$Z$29</f>
        <v>22.04664150221603</v>
      </c>
      <c r="AB29" s="240">
        <f t="shared" si="6"/>
        <v>250</v>
      </c>
      <c r="AC29" s="240">
        <f t="shared" si="7"/>
        <v>16.684687011808666</v>
      </c>
      <c r="AD29" s="242">
        <f>INT((AC$28+AE29)*100)/100</f>
        <v>16.23</v>
      </c>
      <c r="AE29" s="240">
        <f>AF29*AG$33</f>
        <v>2.3460000000000001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61">
        <v>105</v>
      </c>
      <c r="E30" s="461"/>
      <c r="F30" s="268">
        <f t="shared" si="13"/>
        <v>15.75</v>
      </c>
      <c r="G30" s="462">
        <f t="shared" si="14"/>
        <v>10.15</v>
      </c>
      <c r="H30" s="462"/>
      <c r="I30" s="261"/>
      <c r="J30" s="269">
        <f t="shared" si="15"/>
        <v>0.30000000000000071</v>
      </c>
      <c r="K30" s="228">
        <f t="shared" si="18"/>
        <v>50</v>
      </c>
      <c r="L30" s="228">
        <f t="shared" si="20"/>
        <v>6.9400000000000003E-2</v>
      </c>
      <c r="M30" s="221">
        <f t="shared" si="17"/>
        <v>3.47</v>
      </c>
      <c r="N30" s="221">
        <f t="shared" si="19"/>
        <v>3.2419999999999997E-2</v>
      </c>
      <c r="O30" s="221">
        <f t="shared" si="21"/>
        <v>107.03</v>
      </c>
      <c r="P30" s="241">
        <f t="shared" si="22"/>
        <v>-98.34</v>
      </c>
      <c r="R30" s="221" t="s">
        <v>30</v>
      </c>
      <c r="S30" s="221">
        <f>$R$29</f>
        <v>155.54999999999998</v>
      </c>
      <c r="T30" s="221">
        <f t="shared" si="10"/>
        <v>4.0424397447692026</v>
      </c>
      <c r="U30" s="248">
        <f t="shared" si="11"/>
        <v>0.1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38.85129066100059</v>
      </c>
      <c r="AA30" s="240">
        <f>$Z$29</f>
        <v>22.04664150221603</v>
      </c>
      <c r="AB30" s="240">
        <f t="shared" si="6"/>
        <v>260</v>
      </c>
      <c r="AC30" s="240">
        <f t="shared" si="7"/>
        <v>16.80464915878456</v>
      </c>
      <c r="AD30" s="242">
        <f>INT((AC$28+AE30)*100)/100</f>
        <v>16.62</v>
      </c>
      <c r="AE30" s="240">
        <f>AF30*AG$33</f>
        <v>2.7370000000000001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61">
        <v>120</v>
      </c>
      <c r="E31" s="461"/>
      <c r="F31" s="268">
        <f t="shared" si="13"/>
        <v>16.02</v>
      </c>
      <c r="G31" s="462">
        <f t="shared" si="14"/>
        <v>10.42</v>
      </c>
      <c r="H31" s="462"/>
      <c r="I31" s="261"/>
      <c r="J31" s="269">
        <f t="shared" si="15"/>
        <v>0.26999999999999957</v>
      </c>
      <c r="K31" s="228">
        <f t="shared" si="18"/>
        <v>55</v>
      </c>
      <c r="L31" s="228">
        <f t="shared" si="20"/>
        <v>6.9400000000000003E-2</v>
      </c>
      <c r="M31" s="221">
        <f t="shared" si="17"/>
        <v>3.8170000000000002</v>
      </c>
      <c r="N31" s="221">
        <f t="shared" si="19"/>
        <v>3.2419999999999997E-2</v>
      </c>
      <c r="O31" s="221">
        <f>INT(M31/N31*100)/100</f>
        <v>117.73</v>
      </c>
      <c r="P31" s="241">
        <f t="shared" si="22"/>
        <v>-108.85</v>
      </c>
      <c r="S31" s="221">
        <f>$R$29</f>
        <v>155.54999999999998</v>
      </c>
      <c r="T31" s="221">
        <f t="shared" si="10"/>
        <v>4.0424397447692026</v>
      </c>
      <c r="U31" s="248">
        <f t="shared" si="11"/>
        <v>0.1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38.966724838719465</v>
      </c>
      <c r="AA31" s="240">
        <f>$Z$29</f>
        <v>22.04664150221603</v>
      </c>
      <c r="AB31" s="240">
        <f t="shared" si="6"/>
        <v>270</v>
      </c>
      <c r="AC31" s="240">
        <f t="shared" si="7"/>
        <v>16.920083336503435</v>
      </c>
      <c r="AD31" s="242">
        <f>INT((AC$28+AE31)*100)/100</f>
        <v>17.010000000000002</v>
      </c>
      <c r="AE31" s="240">
        <f>AF31*AG$33</f>
        <v>3.1280000000000001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128</v>
      </c>
      <c r="C32" s="267">
        <f>$C$12+D32/1440</f>
        <v>44725.138888888898</v>
      </c>
      <c r="D32" s="461">
        <v>130</v>
      </c>
      <c r="E32" s="461"/>
      <c r="F32" s="268">
        <f t="shared" si="13"/>
        <v>18.100000000000001</v>
      </c>
      <c r="G32" s="462">
        <f t="shared" si="14"/>
        <v>12.5</v>
      </c>
      <c r="H32" s="462"/>
      <c r="I32" s="261"/>
      <c r="J32" s="269">
        <f t="shared" si="15"/>
        <v>2.08</v>
      </c>
      <c r="K32" s="228">
        <f t="shared" si="18"/>
        <v>60</v>
      </c>
      <c r="L32" s="228">
        <f t="shared" si="20"/>
        <v>6.9400000000000003E-2</v>
      </c>
      <c r="M32" s="221">
        <f t="shared" si="17"/>
        <v>4.1640000000000006</v>
      </c>
      <c r="N32" s="221">
        <f t="shared" si="19"/>
        <v>3.2419999999999997E-2</v>
      </c>
      <c r="O32" s="221">
        <f>INT(M32/N32*100)/100</f>
        <v>128.43</v>
      </c>
      <c r="P32" s="241">
        <f t="shared" si="22"/>
        <v>-119.38</v>
      </c>
      <c r="S32" s="221">
        <f>$R$29</f>
        <v>155.54999999999998</v>
      </c>
      <c r="T32" s="221">
        <f t="shared" si="10"/>
        <v>4.0424397447692026</v>
      </c>
      <c r="U32" s="248">
        <f t="shared" si="11"/>
        <v>0.1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39.288985008120363</v>
      </c>
      <c r="Z32" s="240">
        <f>Y33-Z33</f>
        <v>22.04664150221603</v>
      </c>
      <c r="AA32" s="240">
        <f>$Z$29</f>
        <v>22.04664150221603</v>
      </c>
      <c r="AB32" s="240">
        <f t="shared" si="6"/>
        <v>300</v>
      </c>
      <c r="AC32" s="240">
        <f t="shared" si="7"/>
        <v>17.242343505904334</v>
      </c>
      <c r="AD32" s="242">
        <f>INT((AC$28+AE32)*100)/100</f>
        <v>17.399999999999999</v>
      </c>
      <c r="AE32" s="240">
        <f>AF32*AG$33</f>
        <v>3.5190000000000001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61">
        <v>140</v>
      </c>
      <c r="E33" s="461"/>
      <c r="F33" s="268">
        <f t="shared" si="13"/>
        <v>18.439999999999998</v>
      </c>
      <c r="G33" s="462">
        <f t="shared" si="14"/>
        <v>12.84</v>
      </c>
      <c r="H33" s="462"/>
      <c r="I33" s="261"/>
      <c r="J33" s="269">
        <f t="shared" si="15"/>
        <v>0.33999999999999986</v>
      </c>
      <c r="L33" s="271" t="s">
        <v>30</v>
      </c>
      <c r="P33" s="241"/>
      <c r="S33" s="221">
        <f>$R$29</f>
        <v>155.54999999999998</v>
      </c>
      <c r="T33" s="221">
        <f t="shared" si="10"/>
        <v>4.0424397447692026</v>
      </c>
      <c r="U33" s="248">
        <f t="shared" si="11"/>
        <v>0.1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39.846641502216031</v>
      </c>
      <c r="Z33" s="240">
        <f>Input!B22</f>
        <v>17.8</v>
      </c>
      <c r="AA33" s="240">
        <f>$Z$29</f>
        <v>22.04664150221603</v>
      </c>
      <c r="AB33" s="240">
        <f t="shared" si="6"/>
        <v>360</v>
      </c>
      <c r="AC33" s="240">
        <f t="shared" si="7"/>
        <v>17.8</v>
      </c>
      <c r="AD33" s="242">
        <f>INT((AC$28+AE33)*100)/100</f>
        <v>17.8</v>
      </c>
      <c r="AE33" s="240">
        <f>AF33*AG$33</f>
        <v>3.91</v>
      </c>
      <c r="AF33" s="240">
        <v>1</v>
      </c>
      <c r="AG33" s="240">
        <f>AC33-AC28</f>
        <v>3.91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61">
        <v>150</v>
      </c>
      <c r="E34" s="461"/>
      <c r="F34" s="268">
        <f t="shared" si="13"/>
        <v>18.79</v>
      </c>
      <c r="G34" s="462">
        <f t="shared" si="14"/>
        <v>13.19</v>
      </c>
      <c r="H34" s="462"/>
      <c r="I34" s="261"/>
      <c r="J34" s="269">
        <f t="shared" si="15"/>
        <v>0.34999999999999964</v>
      </c>
      <c r="L34" s="271" t="s">
        <v>30</v>
      </c>
      <c r="R34" s="221">
        <f>B42</f>
        <v>183</v>
      </c>
      <c r="S34" s="221">
        <f>$R$34</f>
        <v>183</v>
      </c>
      <c r="T34" s="221">
        <f t="shared" si="10"/>
        <v>4.0424397447692026</v>
      </c>
      <c r="U34" s="248">
        <f t="shared" si="11"/>
        <v>0.1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46.976994322242355</v>
      </c>
      <c r="Z34" s="240">
        <f>Z37</f>
        <v>25.753597842014837</v>
      </c>
      <c r="AA34" s="240">
        <f>$Z$34</f>
        <v>25.753597842014837</v>
      </c>
      <c r="AB34" s="240">
        <f t="shared" si="6"/>
        <v>370</v>
      </c>
      <c r="AC34" s="240">
        <f t="shared" si="7"/>
        <v>21.223396480227517</v>
      </c>
      <c r="AD34" s="242">
        <f>INT((AC$33+AE34)*100)/100</f>
        <v>20.41</v>
      </c>
      <c r="AE34" s="240">
        <f>AG$38*AF34</f>
        <v>2.6159999999999997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61">
        <v>180</v>
      </c>
      <c r="E35" s="461"/>
      <c r="F35" s="268">
        <f t="shared" si="13"/>
        <v>19.14</v>
      </c>
      <c r="G35" s="462">
        <f t="shared" si="14"/>
        <v>13.54</v>
      </c>
      <c r="H35" s="462"/>
      <c r="I35" s="261"/>
      <c r="J35" s="269">
        <f t="shared" si="15"/>
        <v>0.34999999999999964</v>
      </c>
      <c r="L35" s="271" t="s">
        <v>30</v>
      </c>
      <c r="S35" s="221">
        <f>$R$34</f>
        <v>183</v>
      </c>
      <c r="T35" s="221">
        <f t="shared" si="10"/>
        <v>4.0424397447692026</v>
      </c>
      <c r="U35" s="248">
        <f t="shared" si="11"/>
        <v>0.1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47.072957426454415</v>
      </c>
      <c r="AA35" s="240">
        <f>$Z$34</f>
        <v>25.753597842014837</v>
      </c>
      <c r="AB35" s="240">
        <f t="shared" si="6"/>
        <v>380</v>
      </c>
      <c r="AC35" s="240">
        <f t="shared" si="7"/>
        <v>21.319359584439578</v>
      </c>
      <c r="AD35" s="242">
        <f>INT((AC$33+AE35)*100)/100</f>
        <v>20.85</v>
      </c>
      <c r="AE35" s="240">
        <f>AG$38*AF35</f>
        <v>3.0519999999999996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61">
        <v>240</v>
      </c>
      <c r="E36" s="461"/>
      <c r="F36" s="268">
        <f t="shared" si="13"/>
        <v>19.490000000000002</v>
      </c>
      <c r="G36" s="462">
        <f t="shared" si="14"/>
        <v>13.89</v>
      </c>
      <c r="H36" s="462"/>
      <c r="I36" s="261"/>
      <c r="J36" s="269">
        <f t="shared" si="15"/>
        <v>0.35000000000000142</v>
      </c>
      <c r="L36" s="271" t="s">
        <v>30</v>
      </c>
      <c r="S36" s="221">
        <f>$R$34</f>
        <v>183</v>
      </c>
      <c r="T36" s="221">
        <f t="shared" si="10"/>
        <v>4.0424397447692026</v>
      </c>
      <c r="U36" s="248">
        <f t="shared" si="11"/>
        <v>0.1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47.166427698459756</v>
      </c>
      <c r="AA36" s="240">
        <f>$Z$34</f>
        <v>25.753597842014837</v>
      </c>
      <c r="AB36" s="240">
        <f t="shared" si="6"/>
        <v>390</v>
      </c>
      <c r="AC36" s="240">
        <f t="shared" si="7"/>
        <v>21.412829856444919</v>
      </c>
      <c r="AD36" s="242">
        <f>INT((AC$33+AE36)*100)/100</f>
        <v>21.28</v>
      </c>
      <c r="AE36" s="240">
        <f>AG$38*AF36</f>
        <v>3.4879999999999995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155.54999999999998</v>
      </c>
      <c r="C37" s="267">
        <f>$C$12+D37/1440</f>
        <v>44725.222222222226</v>
      </c>
      <c r="D37" s="461">
        <v>250</v>
      </c>
      <c r="E37" s="461"/>
      <c r="F37" s="268">
        <f t="shared" si="13"/>
        <v>21.83</v>
      </c>
      <c r="G37" s="462">
        <f t="shared" si="14"/>
        <v>16.23</v>
      </c>
      <c r="H37" s="462"/>
      <c r="I37" s="261"/>
      <c r="J37" s="269">
        <f t="shared" si="15"/>
        <v>2.34</v>
      </c>
      <c r="L37" s="271" t="s">
        <v>30</v>
      </c>
      <c r="S37" s="221">
        <f>$R$34</f>
        <v>183</v>
      </c>
      <c r="T37" s="221">
        <f t="shared" si="10"/>
        <v>4.0424397447692026</v>
      </c>
      <c r="U37" s="248">
        <f t="shared" si="11"/>
        <v>0.1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47.433098058638372</v>
      </c>
      <c r="Z37" s="240">
        <f>Y38-Z38</f>
        <v>25.753597842014837</v>
      </c>
      <c r="AA37" s="240">
        <f>$Z$34</f>
        <v>25.753597842014837</v>
      </c>
      <c r="AB37" s="240">
        <f t="shared" si="6"/>
        <v>420</v>
      </c>
      <c r="AC37" s="240">
        <f t="shared" si="7"/>
        <v>21.679500216623534</v>
      </c>
      <c r="AD37" s="242">
        <f>INT((AC$33+AE37)*100)/100</f>
        <v>21.72</v>
      </c>
      <c r="AE37" s="240">
        <f>AG$38*AF37</f>
        <v>3.9239999999999995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61">
        <v>260</v>
      </c>
      <c r="E38" s="461"/>
      <c r="F38" s="268">
        <f t="shared" si="13"/>
        <v>22.22</v>
      </c>
      <c r="G38" s="462">
        <f t="shared" si="14"/>
        <v>16.62</v>
      </c>
      <c r="H38" s="462"/>
      <c r="I38" s="261"/>
      <c r="J38" s="269">
        <f t="shared" si="15"/>
        <v>0.39000000000000057</v>
      </c>
      <c r="L38" s="271" t="s">
        <v>30</v>
      </c>
      <c r="S38" s="221">
        <f>$R$34</f>
        <v>183</v>
      </c>
      <c r="T38" s="221">
        <f t="shared" si="10"/>
        <v>4.0424397447692026</v>
      </c>
      <c r="U38" s="248">
        <f t="shared" si="11"/>
        <v>0.1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47.913597842014838</v>
      </c>
      <c r="Z38" s="240">
        <f>Input!B23</f>
        <v>22.16</v>
      </c>
      <c r="AA38" s="240">
        <f>$Z$34</f>
        <v>25.753597842014837</v>
      </c>
      <c r="AB38" s="240">
        <f t="shared" si="6"/>
        <v>480</v>
      </c>
      <c r="AC38" s="240">
        <f t="shared" si="7"/>
        <v>22.16</v>
      </c>
      <c r="AD38" s="242">
        <f>INT((AC$33+AE38)*100)/100</f>
        <v>22.16</v>
      </c>
      <c r="AE38" s="240">
        <f>AG$38*AF38</f>
        <v>4.3599999999999994</v>
      </c>
      <c r="AF38" s="240">
        <v>1</v>
      </c>
      <c r="AG38" s="240">
        <f>AC38-AC33</f>
        <v>4.3599999999999994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61">
        <v>270</v>
      </c>
      <c r="E39" s="461"/>
      <c r="F39" s="268">
        <f t="shared" si="13"/>
        <v>22.61</v>
      </c>
      <c r="G39" s="462">
        <f t="shared" si="14"/>
        <v>17.010000000000002</v>
      </c>
      <c r="H39" s="462"/>
      <c r="I39" s="261"/>
      <c r="J39" s="269">
        <f t="shared" si="15"/>
        <v>0.39000000000000057</v>
      </c>
      <c r="K39" s="243" t="s">
        <v>30</v>
      </c>
      <c r="L39" s="271" t="s">
        <v>30</v>
      </c>
      <c r="R39" s="236">
        <f>B47</f>
        <v>210.45</v>
      </c>
      <c r="S39" s="221">
        <f>$R$39</f>
        <v>210.45</v>
      </c>
      <c r="T39" s="221">
        <f t="shared" si="10"/>
        <v>4.0424397447692026</v>
      </c>
      <c r="U39" s="248">
        <f t="shared" si="11"/>
        <v>0.1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55.185963502458286</v>
      </c>
      <c r="Z39" s="240">
        <f>Z42</f>
        <v>27.224042044062582</v>
      </c>
      <c r="AA39" s="240">
        <f>$Z$39</f>
        <v>27.224042044062582</v>
      </c>
      <c r="AB39" s="240">
        <f t="shared" si="6"/>
        <v>490</v>
      </c>
      <c r="AC39" s="240">
        <f t="shared" si="7"/>
        <v>27.961921458395704</v>
      </c>
      <c r="AD39" s="242">
        <f>INT((AC$38+AE39)*100)/100</f>
        <v>24.81</v>
      </c>
      <c r="AE39" s="240">
        <f>AG$43*AF39</f>
        <v>2.6560000000000006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61">
        <v>300</v>
      </c>
      <c r="E40" s="461"/>
      <c r="F40" s="268">
        <f t="shared" si="13"/>
        <v>23</v>
      </c>
      <c r="G40" s="462">
        <f t="shared" si="14"/>
        <v>17.399999999999999</v>
      </c>
      <c r="H40" s="462"/>
      <c r="I40" s="261"/>
      <c r="J40" s="269">
        <f t="shared" si="15"/>
        <v>0.38999999999999702</v>
      </c>
      <c r="K40" s="243" t="s">
        <v>30</v>
      </c>
      <c r="L40" s="271" t="s">
        <v>30</v>
      </c>
      <c r="S40" s="221">
        <f>$R$39</f>
        <v>210.45</v>
      </c>
      <c r="T40" s="221">
        <f t="shared" si="10"/>
        <v>4.0424397447692026</v>
      </c>
      <c r="U40" s="248">
        <f t="shared" si="11"/>
        <v>0.1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55.269565610874317</v>
      </c>
      <c r="AA40" s="240">
        <f>$Z$39</f>
        <v>27.224042044062582</v>
      </c>
      <c r="AB40" s="240">
        <f t="shared" si="6"/>
        <v>500</v>
      </c>
      <c r="AC40" s="240">
        <f t="shared" si="7"/>
        <v>28.045523566811735</v>
      </c>
      <c r="AD40" s="242">
        <f>INT((AC$38+AE40)*100)/100</f>
        <v>25.81</v>
      </c>
      <c r="AE40" s="240">
        <f>AG$43*AF40</f>
        <v>3.6520000000000006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61">
        <v>360</v>
      </c>
      <c r="E41" s="461"/>
      <c r="F41" s="268">
        <f t="shared" si="13"/>
        <v>23.4</v>
      </c>
      <c r="G41" s="462">
        <f t="shared" si="14"/>
        <v>17.8</v>
      </c>
      <c r="H41" s="462"/>
      <c r="I41" s="261"/>
      <c r="J41" s="269">
        <f t="shared" si="15"/>
        <v>0.40000000000000213</v>
      </c>
      <c r="K41" s="243" t="s">
        <v>30</v>
      </c>
      <c r="L41" s="271" t="s">
        <v>30</v>
      </c>
      <c r="S41" s="221">
        <f>$R$39</f>
        <v>210.45</v>
      </c>
      <c r="T41" s="221">
        <f t="shared" si="10"/>
        <v>4.0424397447692026</v>
      </c>
      <c r="U41" s="248">
        <f t="shared" si="11"/>
        <v>0.1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55.351512122701564</v>
      </c>
      <c r="AA41" s="240">
        <f>$Z$39</f>
        <v>27.224042044062582</v>
      </c>
      <c r="AB41" s="240">
        <f t="shared" si="6"/>
        <v>510</v>
      </c>
      <c r="AC41" s="240">
        <f t="shared" si="7"/>
        <v>28.127470078638982</v>
      </c>
      <c r="AD41" s="242">
        <f>INT((AC$38+AE41)*100)/100</f>
        <v>26.8</v>
      </c>
      <c r="AE41" s="240">
        <f>AG$43*AF41</f>
        <v>4.6479999999999997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183</v>
      </c>
      <c r="C42" s="267">
        <f>$C$12+D42/1440</f>
        <v>44725.305555555562</v>
      </c>
      <c r="D42" s="461">
        <v>370</v>
      </c>
      <c r="E42" s="461"/>
      <c r="F42" s="268">
        <f t="shared" si="13"/>
        <v>26.009999999999998</v>
      </c>
      <c r="G42" s="462">
        <f t="shared" si="14"/>
        <v>20.41</v>
      </c>
      <c r="H42" s="462"/>
      <c r="I42" s="261"/>
      <c r="J42" s="269">
        <f t="shared" si="15"/>
        <v>2.6099999999999994</v>
      </c>
      <c r="K42" s="243" t="s">
        <v>30</v>
      </c>
      <c r="L42" s="271" t="s">
        <v>30</v>
      </c>
      <c r="S42" s="221">
        <f>$R$39</f>
        <v>210.45</v>
      </c>
      <c r="T42" s="221">
        <f t="shared" si="10"/>
        <v>4.0424397447692026</v>
      </c>
      <c r="U42" s="248">
        <f t="shared" si="11"/>
        <v>0.1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55.588042991343713</v>
      </c>
      <c r="Z42" s="240">
        <f>Y43-Z43</f>
        <v>27.224042044062582</v>
      </c>
      <c r="AA42" s="240">
        <f>$Z$39</f>
        <v>27.224042044062582</v>
      </c>
      <c r="AB42" s="240">
        <f t="shared" si="6"/>
        <v>540</v>
      </c>
      <c r="AC42" s="240">
        <f t="shared" si="7"/>
        <v>28.364000947281131</v>
      </c>
      <c r="AD42" s="242">
        <f>INT((AC$38+AE42)*100)/100</f>
        <v>27.8</v>
      </c>
      <c r="AE42" s="240">
        <f>AG$43*AF42</f>
        <v>5.6440000000000001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61">
        <v>380</v>
      </c>
      <c r="E43" s="461"/>
      <c r="F43" s="268">
        <f t="shared" si="13"/>
        <v>26.450000000000003</v>
      </c>
      <c r="G43" s="462">
        <f t="shared" si="14"/>
        <v>20.85</v>
      </c>
      <c r="H43" s="462"/>
      <c r="I43" s="261"/>
      <c r="J43" s="269">
        <f t="shared" si="15"/>
        <v>0.44000000000000128</v>
      </c>
      <c r="K43" s="243" t="s">
        <v>30</v>
      </c>
      <c r="L43" s="271" t="s">
        <v>30</v>
      </c>
      <c r="S43" s="221">
        <f>$R$39</f>
        <v>210.45</v>
      </c>
      <c r="T43" s="221">
        <f t="shared" si="10"/>
        <v>4.0424397447692026</v>
      </c>
      <c r="U43" s="248">
        <f t="shared" si="11"/>
        <v>0.1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56.024042044062583</v>
      </c>
      <c r="Z43" s="240">
        <f>Input!B24</f>
        <v>28.8</v>
      </c>
      <c r="AA43" s="240">
        <f>$Z$39</f>
        <v>27.224042044062582</v>
      </c>
      <c r="AB43" s="240">
        <f t="shared" si="6"/>
        <v>600</v>
      </c>
      <c r="AC43" s="240">
        <f t="shared" si="7"/>
        <v>28.8</v>
      </c>
      <c r="AD43" s="242">
        <f>INT((AC$38+AE43)*100)/100</f>
        <v>28.8</v>
      </c>
      <c r="AE43" s="240">
        <f>AG$43*AF43</f>
        <v>6.6400000000000006</v>
      </c>
      <c r="AF43" s="240">
        <v>1</v>
      </c>
      <c r="AG43" s="240">
        <f>AC43-AC38</f>
        <v>6.6400000000000006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61">
        <v>390</v>
      </c>
      <c r="E44" s="461"/>
      <c r="F44" s="268">
        <f t="shared" si="13"/>
        <v>26.880000000000003</v>
      </c>
      <c r="G44" s="462">
        <f t="shared" si="14"/>
        <v>21.28</v>
      </c>
      <c r="H44" s="462"/>
      <c r="I44" s="261"/>
      <c r="J44" s="269">
        <f t="shared" si="15"/>
        <v>0.42999999999999972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61">
        <v>420</v>
      </c>
      <c r="E45" s="461"/>
      <c r="F45" s="268">
        <f t="shared" si="13"/>
        <v>27.32</v>
      </c>
      <c r="G45" s="462">
        <f t="shared" si="14"/>
        <v>21.72</v>
      </c>
      <c r="H45" s="462"/>
      <c r="I45" s="261"/>
      <c r="J45" s="269">
        <f t="shared" si="15"/>
        <v>0.43999999999999773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61">
        <v>480</v>
      </c>
      <c r="E46" s="461"/>
      <c r="F46" s="268">
        <f t="shared" si="13"/>
        <v>27.759999999999998</v>
      </c>
      <c r="G46" s="462">
        <f t="shared" si="14"/>
        <v>22.16</v>
      </c>
      <c r="H46" s="462"/>
      <c r="I46" s="261"/>
      <c r="J46" s="269">
        <f t="shared" si="15"/>
        <v>0.44000000000000128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210.45</v>
      </c>
      <c r="C47" s="267">
        <f>$C$12+D47/1440</f>
        <v>44725.388888888898</v>
      </c>
      <c r="D47" s="461">
        <v>490</v>
      </c>
      <c r="E47" s="461"/>
      <c r="F47" s="268">
        <f t="shared" si="13"/>
        <v>30.409999999999997</v>
      </c>
      <c r="G47" s="462">
        <f t="shared" si="14"/>
        <v>24.81</v>
      </c>
      <c r="H47" s="462"/>
      <c r="I47" s="261"/>
      <c r="J47" s="269">
        <f t="shared" si="15"/>
        <v>2.6499999999999986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61">
        <v>500</v>
      </c>
      <c r="E48" s="461"/>
      <c r="F48" s="268">
        <f t="shared" si="13"/>
        <v>31.409999999999997</v>
      </c>
      <c r="G48" s="462">
        <f t="shared" si="14"/>
        <v>25.81</v>
      </c>
      <c r="H48" s="462"/>
      <c r="I48" s="261"/>
      <c r="J48" s="269">
        <f t="shared" si="15"/>
        <v>1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61">
        <v>510</v>
      </c>
      <c r="E49" s="461"/>
      <c r="F49" s="268">
        <f t="shared" si="13"/>
        <v>32.4</v>
      </c>
      <c r="G49" s="462">
        <f t="shared" si="14"/>
        <v>26.8</v>
      </c>
      <c r="H49" s="462"/>
      <c r="I49" s="261"/>
      <c r="J49" s="269">
        <f t="shared" si="15"/>
        <v>0.99000000000000199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61">
        <v>540</v>
      </c>
      <c r="E50" s="461"/>
      <c r="F50" s="268">
        <f t="shared" si="13"/>
        <v>33.4</v>
      </c>
      <c r="G50" s="462">
        <f t="shared" si="14"/>
        <v>27.8</v>
      </c>
      <c r="H50" s="462"/>
      <c r="I50" s="261"/>
      <c r="J50" s="269">
        <f t="shared" si="15"/>
        <v>1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61">
        <v>600</v>
      </c>
      <c r="E51" s="461"/>
      <c r="F51" s="268">
        <f t="shared" si="13"/>
        <v>34.4</v>
      </c>
      <c r="G51" s="462">
        <f t="shared" si="14"/>
        <v>28.8</v>
      </c>
      <c r="H51" s="462"/>
      <c r="I51" s="261" t="s">
        <v>199</v>
      </c>
      <c r="J51" s="269">
        <f t="shared" si="15"/>
        <v>1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409575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390525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409575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2"/>
  <cols>
    <col min="1" max="1" width="5.25" style="216" customWidth="1"/>
    <col min="2" max="2" width="13.875" style="216" customWidth="1"/>
    <col min="3" max="3" width="10.875" style="216" customWidth="1"/>
    <col min="4" max="4" width="11.25" style="216" customWidth="1"/>
    <col min="5" max="5" width="0.125" style="216" customWidth="1"/>
    <col min="6" max="6" width="11.125" style="216" customWidth="1"/>
    <col min="7" max="7" width="13.125" style="216" customWidth="1"/>
    <col min="8" max="8" width="8.25" style="216" customWidth="1"/>
    <col min="9" max="9" width="8.625" style="216" customWidth="1"/>
    <col min="10" max="10" width="7.625" style="217" customWidth="1"/>
    <col min="11" max="11" width="9" style="216" customWidth="1"/>
    <col min="12" max="12" width="13.625" style="216" customWidth="1"/>
    <col min="13" max="14" width="10.125" style="216" bestFit="1" customWidth="1"/>
    <col min="15" max="15" width="8.625" style="216" customWidth="1"/>
    <col min="16" max="16" width="8" style="216" customWidth="1"/>
    <col min="17" max="17" width="9.75" style="216" customWidth="1"/>
    <col min="18" max="20" width="9" style="216"/>
    <col min="21" max="21" width="10.125" style="216" customWidth="1"/>
    <col min="22" max="22" width="8.25" style="216" customWidth="1"/>
    <col min="23" max="23" width="5.625" style="216" bestFit="1" customWidth="1"/>
    <col min="24" max="24" width="5.375" style="216" customWidth="1"/>
    <col min="25" max="25" width="6.875" style="216" bestFit="1" customWidth="1"/>
    <col min="26" max="26" width="7.375" style="216" bestFit="1" customWidth="1"/>
    <col min="27" max="27" width="10.625" style="216" customWidth="1"/>
    <col min="28" max="28" width="6.375" style="355" customWidth="1"/>
    <col min="29" max="29" width="6.75" style="216" bestFit="1" customWidth="1"/>
    <col min="30" max="30" width="6.375" style="216" bestFit="1" customWidth="1"/>
    <col min="31" max="33" width="10.125" style="216" bestFit="1" customWidth="1"/>
    <col min="34" max="16384" width="9" style="216"/>
  </cols>
  <sheetData>
    <row r="1" spans="1:38" s="221" customFormat="1" ht="31.5" customHeight="1">
      <c r="A1" s="272" t="s">
        <v>200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201</v>
      </c>
      <c r="M1" s="275">
        <f>P1-R1</f>
        <v>-3.8882508515427894</v>
      </c>
      <c r="N1" s="475" t="s">
        <v>202</v>
      </c>
      <c r="O1" s="475"/>
      <c r="P1" s="276">
        <f>StepTest!G41</f>
        <v>17.8</v>
      </c>
      <c r="Q1" s="277" t="s">
        <v>203</v>
      </c>
      <c r="R1" s="278">
        <f>G35</f>
        <v>21.68825085154279</v>
      </c>
      <c r="S1" s="279">
        <f>D7/2000</f>
        <v>0.1</v>
      </c>
      <c r="T1" s="280">
        <v>2.8688829872213799</v>
      </c>
      <c r="V1" s="281" t="s">
        <v>13</v>
      </c>
      <c r="W1" s="281" t="s">
        <v>37</v>
      </c>
      <c r="X1" s="281" t="s">
        <v>177</v>
      </c>
      <c r="Y1" s="281" t="s">
        <v>41</v>
      </c>
      <c r="Z1" s="281" t="s">
        <v>178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>보령시립노인전문병원 지하수유효기간 연장허가를 위한 지하수영향조사</v>
      </c>
      <c r="D2" s="286"/>
      <c r="E2" s="286"/>
      <c r="F2" s="287"/>
      <c r="G2" s="287"/>
      <c r="H2" s="287"/>
      <c r="I2" s="287"/>
      <c r="J2" s="288"/>
      <c r="O2" s="221" t="s">
        <v>204</v>
      </c>
      <c r="P2" s="289">
        <f>G8</f>
        <v>30.5</v>
      </c>
      <c r="T2" s="221">
        <v>0</v>
      </c>
      <c r="U2" s="236">
        <f>B10</f>
        <v>160</v>
      </c>
      <c r="V2" s="236">
        <f>U2</f>
        <v>160</v>
      </c>
      <c r="W2" s="221">
        <f>T1</f>
        <v>2.8688829872213799</v>
      </c>
      <c r="X2" s="221">
        <f>StepTest!U4</f>
        <v>0.1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20.966040395805976</v>
      </c>
      <c r="AC2" s="240">
        <f>1.6*V2/(4*PI()*W2)*LOG10((2.25*W2*Z2)/(X2*X2*Y2))</f>
        <v>20.966040395805976</v>
      </c>
      <c r="AD2" s="281">
        <v>0</v>
      </c>
      <c r="AE2" s="239">
        <f>AA2</f>
        <v>1</v>
      </c>
      <c r="AF2" s="240">
        <f>AC2-$P$3-O3</f>
        <v>3.5360406887452882</v>
      </c>
      <c r="AG2" s="240">
        <f>AC2</f>
        <v>20.966040395805976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산수개발(주) </v>
      </c>
      <c r="D3" s="286"/>
      <c r="E3" s="286"/>
      <c r="F3" s="291"/>
      <c r="G3" s="287"/>
      <c r="H3" s="292" t="str">
        <f>StepTest!H5</f>
        <v>공  번 : W - 2</v>
      </c>
      <c r="I3" s="292"/>
      <c r="J3" s="293"/>
      <c r="L3" s="294" t="s">
        <v>57</v>
      </c>
      <c r="M3" s="241">
        <f t="shared" ref="M3:M10" si="1">Q17</f>
        <v>0</v>
      </c>
      <c r="N3" s="295"/>
      <c r="O3" s="296"/>
      <c r="P3" s="297">
        <v>17.429999707060688</v>
      </c>
      <c r="V3" s="236">
        <f>V2</f>
        <v>160</v>
      </c>
      <c r="W3" s="221">
        <f>W$2</f>
        <v>2.8688829872213799</v>
      </c>
      <c r="X3" s="221">
        <f>X2</f>
        <v>0.1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23.103643337929785</v>
      </c>
      <c r="AC3" s="240">
        <f t="shared" ref="AC3:AC38" si="4">1.6*V3/(4*PI()*W3)*LOG10((2.25*W3*Z3)/(X3*X3*Y3))</f>
        <v>23.103643337929785</v>
      </c>
      <c r="AD3" s="240">
        <f>AB69</f>
        <v>42.329999707060686</v>
      </c>
      <c r="AE3" s="239">
        <f t="shared" ref="AE3:AE66" si="5">AA3</f>
        <v>2</v>
      </c>
      <c r="AF3" s="240">
        <f t="shared" ref="AF3:AF16" si="6">AC3-$P$3-O4</f>
        <v>5.6736436308690976</v>
      </c>
      <c r="AG3" s="240">
        <f t="shared" ref="AG3:AG16" si="7">AC3</f>
        <v>23.103643337929785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>충청남도 보령시 청라면 장산리 828-8</v>
      </c>
      <c r="D4" s="298"/>
      <c r="E4" s="298"/>
      <c r="F4" s="287"/>
      <c r="G4" s="287"/>
      <c r="H4" s="287"/>
      <c r="I4" s="287"/>
      <c r="J4" s="288"/>
      <c r="L4" s="294" t="s">
        <v>205</v>
      </c>
      <c r="M4" s="241">
        <f t="shared" si="1"/>
        <v>-1.4</v>
      </c>
      <c r="N4" s="295"/>
      <c r="O4" s="228"/>
      <c r="P4" s="228"/>
      <c r="V4" s="236">
        <f t="shared" ref="V4:V67" si="8">V3</f>
        <v>160</v>
      </c>
      <c r="W4" s="221">
        <f t="shared" ref="W4:W67" si="9">W$2</f>
        <v>2.8688829872213799</v>
      </c>
      <c r="X4" s="221">
        <f t="shared" ref="X4:X67" si="10">X3</f>
        <v>0.1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24.354060900503434</v>
      </c>
      <c r="AC4" s="240">
        <f t="shared" si="4"/>
        <v>24.354060900503434</v>
      </c>
      <c r="AD4" s="240">
        <f>AC69</f>
        <v>42.329999707060686</v>
      </c>
      <c r="AE4" s="239">
        <f t="shared" si="5"/>
        <v>3</v>
      </c>
      <c r="AF4" s="240">
        <f t="shared" si="6"/>
        <v>6.9240611934427463</v>
      </c>
      <c r="AG4" s="240">
        <f t="shared" si="7"/>
        <v>24.354060900503434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산수개발(주) </v>
      </c>
      <c r="E5" s="286"/>
      <c r="F5" s="300" t="s">
        <v>188</v>
      </c>
      <c r="G5" s="301">
        <f>Input!I50</f>
        <v>0</v>
      </c>
      <c r="H5" s="302"/>
      <c r="I5" s="302"/>
      <c r="J5" s="302"/>
      <c r="L5" s="294" t="s">
        <v>206</v>
      </c>
      <c r="M5" s="241">
        <f t="shared" si="1"/>
        <v>-3.69</v>
      </c>
      <c r="N5" s="295"/>
      <c r="O5" s="228"/>
      <c r="P5" s="228"/>
      <c r="V5" s="236">
        <f t="shared" si="8"/>
        <v>160</v>
      </c>
      <c r="W5" s="221">
        <f t="shared" si="9"/>
        <v>2.8688829872213799</v>
      </c>
      <c r="X5" s="221">
        <f t="shared" si="10"/>
        <v>0.1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25.241246280053598</v>
      </c>
      <c r="AC5" s="240">
        <f t="shared" si="4"/>
        <v>25.241246280053598</v>
      </c>
      <c r="AD5" s="240">
        <f>AF69</f>
        <v>24.9</v>
      </c>
      <c r="AE5" s="239">
        <f t="shared" si="5"/>
        <v>4</v>
      </c>
      <c r="AF5" s="240">
        <f t="shared" si="6"/>
        <v>7.8112465729929106</v>
      </c>
      <c r="AG5" s="240">
        <f t="shared" si="7"/>
        <v>25.241246280053598</v>
      </c>
    </row>
    <row r="6" spans="1:38" s="221" customFormat="1" ht="21.6" customHeight="1">
      <c r="A6" s="283" t="str">
        <f>StepTest!A8</f>
        <v>수중모타</v>
      </c>
      <c r="B6" s="284"/>
      <c r="C6" s="476">
        <f>StepTest!C8</f>
        <v>3</v>
      </c>
      <c r="D6" s="476"/>
      <c r="E6" s="477"/>
      <c r="F6" s="300" t="s">
        <v>184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-6.33</v>
      </c>
      <c r="N6" s="295"/>
      <c r="O6" s="228"/>
      <c r="P6" s="228"/>
      <c r="V6" s="236">
        <f t="shared" si="8"/>
        <v>160</v>
      </c>
      <c r="W6" s="221">
        <f t="shared" si="9"/>
        <v>2.8688829872213799</v>
      </c>
      <c r="X6" s="221">
        <f t="shared" si="10"/>
        <v>0.1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25.929400722837137</v>
      </c>
      <c r="AC6" s="240">
        <f t="shared" si="4"/>
        <v>25.929400722837137</v>
      </c>
      <c r="AE6" s="239">
        <f t="shared" si="5"/>
        <v>5</v>
      </c>
      <c r="AF6" s="240">
        <f t="shared" si="6"/>
        <v>8.4994010157764492</v>
      </c>
      <c r="AG6" s="240">
        <f t="shared" si="7"/>
        <v>25.929400722837137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200</v>
      </c>
      <c r="E7" s="306"/>
      <c r="F7" s="307" t="s">
        <v>187</v>
      </c>
      <c r="G7" s="308">
        <f>StepTest!G9</f>
        <v>100</v>
      </c>
      <c r="H7" s="287"/>
      <c r="I7" s="287"/>
      <c r="J7" s="288"/>
      <c r="M7" s="241">
        <f t="shared" si="1"/>
        <v>-9.19</v>
      </c>
      <c r="N7" s="295"/>
      <c r="O7" s="228"/>
      <c r="P7" s="228"/>
      <c r="V7" s="236">
        <f t="shared" si="8"/>
        <v>160</v>
      </c>
      <c r="W7" s="221">
        <f t="shared" si="9"/>
        <v>2.8688829872213799</v>
      </c>
      <c r="X7" s="221">
        <f t="shared" si="10"/>
        <v>0.1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28.067003664960946</v>
      </c>
      <c r="AC7" s="240">
        <f t="shared" si="4"/>
        <v>28.067003664960946</v>
      </c>
      <c r="AE7" s="239">
        <f t="shared" si="5"/>
        <v>10</v>
      </c>
      <c r="AF7" s="240">
        <f t="shared" si="6"/>
        <v>10.637003957900259</v>
      </c>
      <c r="AG7" s="240">
        <f t="shared" si="7"/>
        <v>28.067003664960946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207</v>
      </c>
      <c r="D8" s="310">
        <f>StepTest!D10</f>
        <v>5.6</v>
      </c>
      <c r="E8" s="306"/>
      <c r="F8" s="307" t="s">
        <v>208</v>
      </c>
      <c r="G8" s="311">
        <f>F77</f>
        <v>30.5</v>
      </c>
      <c r="H8" s="302">
        <f>Input!C40</f>
        <v>160</v>
      </c>
      <c r="I8" s="302"/>
      <c r="J8" s="284"/>
      <c r="K8" s="312">
        <f>Input!M50</f>
        <v>24.9</v>
      </c>
      <c r="L8" s="428">
        <f>G10-K11</f>
        <v>1.3984377466214788</v>
      </c>
      <c r="M8" s="241">
        <f t="shared" si="1"/>
        <v>-24.74</v>
      </c>
      <c r="N8" s="295"/>
      <c r="O8" s="228"/>
      <c r="P8" s="228"/>
      <c r="V8" s="236">
        <f t="shared" si="8"/>
        <v>160</v>
      </c>
      <c r="W8" s="221">
        <f t="shared" si="9"/>
        <v>2.8688829872213799</v>
      </c>
      <c r="X8" s="221">
        <f t="shared" si="10"/>
        <v>0.1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29.317421227534592</v>
      </c>
      <c r="AC8" s="240">
        <f t="shared" si="4"/>
        <v>29.317421227534592</v>
      </c>
      <c r="AE8" s="239">
        <f t="shared" si="5"/>
        <v>15</v>
      </c>
      <c r="AF8" s="240">
        <f t="shared" si="6"/>
        <v>11.887421520473904</v>
      </c>
      <c r="AG8" s="240">
        <f t="shared" si="7"/>
        <v>29.317421227534592</v>
      </c>
    </row>
    <row r="9" spans="1:38" s="221" customFormat="1" ht="21.6" customHeight="1">
      <c r="A9" s="307" t="s">
        <v>189</v>
      </c>
      <c r="B9" s="313" t="s">
        <v>190</v>
      </c>
      <c r="C9" s="309" t="s">
        <v>209</v>
      </c>
      <c r="D9" s="478" t="s">
        <v>192</v>
      </c>
      <c r="E9" s="478"/>
      <c r="F9" s="313" t="s">
        <v>193</v>
      </c>
      <c r="G9" s="313" t="s">
        <v>194</v>
      </c>
      <c r="H9" s="314"/>
      <c r="I9" s="314"/>
      <c r="J9" s="314"/>
      <c r="K9" s="289">
        <f>G8-D8</f>
        <v>24.9</v>
      </c>
      <c r="M9" s="241">
        <f t="shared" si="1"/>
        <v>-41.17</v>
      </c>
      <c r="N9" s="295"/>
      <c r="O9" s="228"/>
      <c r="P9" s="228"/>
      <c r="V9" s="236">
        <f t="shared" si="8"/>
        <v>160</v>
      </c>
      <c r="W9" s="221">
        <f t="shared" si="9"/>
        <v>2.8688829872213799</v>
      </c>
      <c r="X9" s="221">
        <f t="shared" si="10"/>
        <v>0.1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30.204606607084756</v>
      </c>
      <c r="AC9" s="240">
        <f t="shared" si="4"/>
        <v>30.204606607084756</v>
      </c>
      <c r="AE9" s="239">
        <f t="shared" si="5"/>
        <v>20</v>
      </c>
      <c r="AF9" s="240">
        <f t="shared" si="6"/>
        <v>12.774606900024068</v>
      </c>
      <c r="AG9" s="240">
        <f t="shared" si="7"/>
        <v>30.204606607084756</v>
      </c>
    </row>
    <row r="10" spans="1:38" s="221" customFormat="1" ht="21" customHeight="1">
      <c r="A10" s="315">
        <v>1</v>
      </c>
      <c r="B10" s="316">
        <f>Input!C26</f>
        <v>160</v>
      </c>
      <c r="C10" s="317">
        <v>44988.395833333336</v>
      </c>
      <c r="D10" s="318">
        <v>1</v>
      </c>
      <c r="E10" s="319">
        <f>D10/1440</f>
        <v>6.9444444444444447E-4</v>
      </c>
      <c r="F10" s="320">
        <f>G10+D$8</f>
        <v>9.1360406887452879</v>
      </c>
      <c r="G10" s="321">
        <f>AF2</f>
        <v>3.5360406887452882</v>
      </c>
      <c r="H10" s="322"/>
      <c r="I10" s="322"/>
      <c r="J10" s="322"/>
      <c r="K10" s="323">
        <f>K8-K9</f>
        <v>0</v>
      </c>
      <c r="L10" s="289">
        <f>K10+Q17</f>
        <v>0</v>
      </c>
      <c r="M10" s="241">
        <f t="shared" si="1"/>
        <v>-57.97</v>
      </c>
      <c r="N10" s="295"/>
      <c r="O10" s="228"/>
      <c r="P10" s="228"/>
      <c r="V10" s="236">
        <f t="shared" si="8"/>
        <v>160</v>
      </c>
      <c r="W10" s="221">
        <f t="shared" si="9"/>
        <v>2.8688829872213799</v>
      </c>
      <c r="X10" s="221">
        <f t="shared" si="10"/>
        <v>0.1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30.892761049868295</v>
      </c>
      <c r="AC10" s="240">
        <f t="shared" si="4"/>
        <v>30.892761049868295</v>
      </c>
      <c r="AE10" s="239">
        <f t="shared" si="5"/>
        <v>25</v>
      </c>
      <c r="AF10" s="240">
        <f t="shared" si="6"/>
        <v>13.462761342807607</v>
      </c>
      <c r="AG10" s="240">
        <f t="shared" si="7"/>
        <v>30.892761049868295</v>
      </c>
    </row>
    <row r="11" spans="1:38" s="221" customFormat="1" ht="21" customHeight="1">
      <c r="A11" s="315"/>
      <c r="B11" s="315"/>
      <c r="C11" s="317"/>
      <c r="D11" s="318">
        <v>2</v>
      </c>
      <c r="E11" s="319">
        <f t="shared" ref="E11:E74" si="12">D11/1440</f>
        <v>1.3888888888888889E-3</v>
      </c>
      <c r="F11" s="320">
        <f t="shared" ref="F11:F62" si="13">G11+D$8</f>
        <v>11.273643630869097</v>
      </c>
      <c r="G11" s="320">
        <f>AF3</f>
        <v>5.6736436308690976</v>
      </c>
      <c r="H11" s="322"/>
      <c r="I11" s="322"/>
      <c r="J11" s="322"/>
      <c r="K11" s="324">
        <f>G11-G10</f>
        <v>2.1376029421238094</v>
      </c>
      <c r="L11" s="289" t="s">
        <v>30</v>
      </c>
      <c r="N11" s="295"/>
      <c r="O11" s="228"/>
      <c r="V11" s="236">
        <f t="shared" si="8"/>
        <v>160</v>
      </c>
      <c r="W11" s="221">
        <f t="shared" si="9"/>
        <v>2.8688829872213799</v>
      </c>
      <c r="X11" s="221">
        <f t="shared" si="10"/>
        <v>0.1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31.455024169658401</v>
      </c>
      <c r="AC11" s="240">
        <f t="shared" si="4"/>
        <v>31.455024169658401</v>
      </c>
      <c r="AE11" s="239">
        <f t="shared" si="5"/>
        <v>30</v>
      </c>
      <c r="AF11" s="240">
        <f t="shared" si="6"/>
        <v>14.025024462597713</v>
      </c>
      <c r="AG11" s="240">
        <f t="shared" si="7"/>
        <v>31.455024169658401</v>
      </c>
    </row>
    <row r="12" spans="1:38" s="221" customFormat="1" ht="21" customHeight="1">
      <c r="A12" s="315"/>
      <c r="B12" s="315"/>
      <c r="C12" s="317"/>
      <c r="D12" s="318">
        <v>3</v>
      </c>
      <c r="E12" s="319">
        <f t="shared" si="12"/>
        <v>2.0833333333333333E-3</v>
      </c>
      <c r="F12" s="320">
        <f t="shared" si="13"/>
        <v>12.524061193442746</v>
      </c>
      <c r="G12" s="320">
        <f t="shared" ref="G12:G74" si="14">AF4</f>
        <v>6.9240611934427463</v>
      </c>
      <c r="H12" s="322"/>
      <c r="I12" s="322"/>
      <c r="J12" s="322"/>
      <c r="K12" s="324">
        <f t="shared" ref="K12:K47" si="15">G12-G11</f>
        <v>1.2504175625736487</v>
      </c>
      <c r="L12" s="289" t="s">
        <v>30</v>
      </c>
      <c r="N12" s="295"/>
      <c r="O12" s="228"/>
      <c r="V12" s="236">
        <f t="shared" si="8"/>
        <v>160</v>
      </c>
      <c r="W12" s="221">
        <f t="shared" si="9"/>
        <v>2.8688829872213799</v>
      </c>
      <c r="X12" s="221">
        <f t="shared" si="10"/>
        <v>0.1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31.930410863813229</v>
      </c>
      <c r="AC12" s="240">
        <f t="shared" si="4"/>
        <v>31.930410863813229</v>
      </c>
      <c r="AE12" s="239">
        <f t="shared" si="5"/>
        <v>35</v>
      </c>
      <c r="AF12" s="240">
        <f t="shared" si="6"/>
        <v>14.500411156752541</v>
      </c>
      <c r="AG12" s="240">
        <f t="shared" si="7"/>
        <v>31.930410863813229</v>
      </c>
    </row>
    <row r="13" spans="1:38" s="221" customFormat="1" ht="21" customHeight="1">
      <c r="A13" s="315"/>
      <c r="B13" s="315"/>
      <c r="C13" s="317"/>
      <c r="D13" s="318">
        <v>4</v>
      </c>
      <c r="E13" s="319">
        <f t="shared" si="12"/>
        <v>2.7777777777777779E-3</v>
      </c>
      <c r="F13" s="320">
        <f t="shared" si="13"/>
        <v>13.41124657299291</v>
      </c>
      <c r="G13" s="320">
        <f t="shared" si="14"/>
        <v>7.8112465729929106</v>
      </c>
      <c r="H13" s="322"/>
      <c r="I13" s="322"/>
      <c r="J13" s="322"/>
      <c r="K13" s="324">
        <f t="shared" si="15"/>
        <v>0.8871853795501643</v>
      </c>
      <c r="L13" s="289" t="s">
        <v>30</v>
      </c>
      <c r="N13" s="295"/>
      <c r="O13" s="228"/>
      <c r="V13" s="236">
        <f t="shared" si="8"/>
        <v>160</v>
      </c>
      <c r="W13" s="221">
        <f t="shared" si="9"/>
        <v>2.8688829872213799</v>
      </c>
      <c r="X13" s="221">
        <f t="shared" si="10"/>
        <v>0.1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32.342209549208569</v>
      </c>
      <c r="AC13" s="240">
        <f t="shared" si="4"/>
        <v>32.342209549208569</v>
      </c>
      <c r="AE13" s="239">
        <f t="shared" si="5"/>
        <v>40</v>
      </c>
      <c r="AF13" s="240">
        <f t="shared" si="6"/>
        <v>14.912209842147881</v>
      </c>
      <c r="AG13" s="240">
        <f t="shared" si="7"/>
        <v>32.342209549208569</v>
      </c>
    </row>
    <row r="14" spans="1:38" s="221" customFormat="1" ht="21" customHeight="1">
      <c r="A14" s="315"/>
      <c r="B14" s="315"/>
      <c r="C14" s="317"/>
      <c r="D14" s="318">
        <v>5</v>
      </c>
      <c r="E14" s="319">
        <f t="shared" si="12"/>
        <v>3.472222222222222E-3</v>
      </c>
      <c r="F14" s="320">
        <f t="shared" si="13"/>
        <v>14.099401015776449</v>
      </c>
      <c r="G14" s="320">
        <f t="shared" si="14"/>
        <v>8.4994010157764492</v>
      </c>
      <c r="H14" s="322"/>
      <c r="I14" s="322"/>
      <c r="J14" s="322"/>
      <c r="K14" s="324">
        <f t="shared" si="15"/>
        <v>0.68815444278353866</v>
      </c>
      <c r="L14" s="289" t="s">
        <v>30</v>
      </c>
      <c r="N14" s="295"/>
      <c r="O14" s="228"/>
      <c r="V14" s="236">
        <f t="shared" si="8"/>
        <v>160</v>
      </c>
      <c r="W14" s="221">
        <f t="shared" si="9"/>
        <v>2.8688829872213799</v>
      </c>
      <c r="X14" s="221">
        <f t="shared" si="10"/>
        <v>0.1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32.705441732232046</v>
      </c>
      <c r="AC14" s="240">
        <f t="shared" si="4"/>
        <v>32.705441732232046</v>
      </c>
      <c r="AE14" s="239">
        <f t="shared" si="5"/>
        <v>45</v>
      </c>
      <c r="AF14" s="240">
        <f t="shared" si="6"/>
        <v>15.275442025171358</v>
      </c>
      <c r="AG14" s="240">
        <f t="shared" si="7"/>
        <v>32.705441732232046</v>
      </c>
    </row>
    <row r="15" spans="1:38" s="221" customFormat="1" ht="21" customHeight="1">
      <c r="A15" s="315"/>
      <c r="C15" s="317"/>
      <c r="D15" s="318">
        <v>10</v>
      </c>
      <c r="E15" s="319">
        <f t="shared" si="12"/>
        <v>6.9444444444444441E-3</v>
      </c>
      <c r="F15" s="320">
        <f t="shared" si="13"/>
        <v>16.237003957900257</v>
      </c>
      <c r="G15" s="320">
        <f t="shared" si="14"/>
        <v>10.637003957900259</v>
      </c>
      <c r="H15" s="322"/>
      <c r="I15" s="322"/>
      <c r="J15" s="322"/>
      <c r="K15" s="324">
        <f t="shared" si="15"/>
        <v>2.1376029421238094</v>
      </c>
      <c r="L15" s="289" t="s">
        <v>30</v>
      </c>
      <c r="N15" s="325"/>
      <c r="O15" s="229"/>
      <c r="V15" s="236">
        <f t="shared" si="8"/>
        <v>160</v>
      </c>
      <c r="W15" s="221">
        <f t="shared" si="9"/>
        <v>2.8688829872213799</v>
      </c>
      <c r="X15" s="221">
        <f t="shared" si="10"/>
        <v>0.1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33.030363991992104</v>
      </c>
      <c r="AC15" s="240">
        <f t="shared" si="4"/>
        <v>33.030363991992104</v>
      </c>
      <c r="AE15" s="239">
        <f t="shared" si="5"/>
        <v>50</v>
      </c>
      <c r="AF15" s="240">
        <f t="shared" si="6"/>
        <v>15.600364284931416</v>
      </c>
      <c r="AG15" s="240">
        <f t="shared" si="7"/>
        <v>33.030363991992104</v>
      </c>
    </row>
    <row r="16" spans="1:38" s="221" customFormat="1" ht="21" customHeight="1">
      <c r="A16" s="315"/>
      <c r="B16" s="315"/>
      <c r="C16" s="317"/>
      <c r="D16" s="318">
        <v>15</v>
      </c>
      <c r="E16" s="319">
        <f t="shared" si="12"/>
        <v>1.0416666666666666E-2</v>
      </c>
      <c r="F16" s="320">
        <f t="shared" si="13"/>
        <v>17.487421520473902</v>
      </c>
      <c r="G16" s="320">
        <f t="shared" si="14"/>
        <v>11.887421520473904</v>
      </c>
      <c r="H16" s="322"/>
      <c r="I16" s="322"/>
      <c r="J16" s="322"/>
      <c r="K16" s="324">
        <f t="shared" si="15"/>
        <v>1.2504175625736451</v>
      </c>
      <c r="L16" s="326"/>
      <c r="N16" s="327"/>
      <c r="O16" s="281"/>
      <c r="Q16" s="241"/>
      <c r="V16" s="236">
        <f t="shared" si="8"/>
        <v>160</v>
      </c>
      <c r="W16" s="221">
        <f t="shared" si="9"/>
        <v>2.8688829872213799</v>
      </c>
      <c r="X16" s="221">
        <f t="shared" si="10"/>
        <v>0.1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33.324291928912359</v>
      </c>
      <c r="AC16" s="240">
        <f t="shared" si="4"/>
        <v>33.324291928912359</v>
      </c>
      <c r="AE16" s="239">
        <f t="shared" si="5"/>
        <v>55</v>
      </c>
      <c r="AF16" s="240">
        <f t="shared" si="6"/>
        <v>15.862882221851672</v>
      </c>
      <c r="AG16" s="240">
        <f t="shared" si="7"/>
        <v>33.324291928912359</v>
      </c>
    </row>
    <row r="17" spans="1:32" s="221" customFormat="1" ht="21" customHeight="1">
      <c r="A17" s="315"/>
      <c r="B17" s="315"/>
      <c r="C17" s="317"/>
      <c r="D17" s="318">
        <v>20</v>
      </c>
      <c r="E17" s="319">
        <f t="shared" si="12"/>
        <v>1.3888888888888888E-2</v>
      </c>
      <c r="F17" s="320">
        <f t="shared" si="13"/>
        <v>18.374606900024069</v>
      </c>
      <c r="G17" s="320">
        <f t="shared" si="14"/>
        <v>12.774606900024068</v>
      </c>
      <c r="H17" s="322"/>
      <c r="I17" s="322"/>
      <c r="J17" s="322"/>
      <c r="K17" s="324">
        <f t="shared" si="15"/>
        <v>0.8871853795501643</v>
      </c>
      <c r="L17" s="228">
        <f>D10</f>
        <v>1</v>
      </c>
      <c r="M17" s="221">
        <f>INT(B10/1440*10000)/10000</f>
        <v>0.1111</v>
      </c>
      <c r="N17" s="221">
        <f>L17*M17</f>
        <v>0.1111</v>
      </c>
      <c r="O17" s="221">
        <f>INT((D7/2/1000)^2*PI()*100000)/100000</f>
        <v>3.141E-2</v>
      </c>
      <c r="P17" s="221">
        <f>INT(N17/O17*100)/100</f>
        <v>3.53</v>
      </c>
      <c r="Q17" s="241">
        <f>INT((G10-P17)*100)/100</f>
        <v>0</v>
      </c>
      <c r="V17" s="236">
        <f t="shared" si="8"/>
        <v>160</v>
      </c>
      <c r="W17" s="221">
        <f t="shared" si="9"/>
        <v>2.8688829872213799</v>
      </c>
      <c r="X17" s="221">
        <f t="shared" si="10"/>
        <v>0.1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33.592627111782214</v>
      </c>
      <c r="AC17" s="240">
        <f t="shared" si="4"/>
        <v>33.592627111782214</v>
      </c>
      <c r="AE17" s="239">
        <f t="shared" si="5"/>
        <v>60</v>
      </c>
      <c r="AF17" s="240">
        <f t="shared" ref="AF17:AF69" si="16">AC17-$P$3</f>
        <v>16.162627404721526</v>
      </c>
    </row>
    <row r="18" spans="1:32" s="221" customFormat="1" ht="21" customHeight="1">
      <c r="A18" s="315"/>
      <c r="B18" s="315"/>
      <c r="C18" s="317"/>
      <c r="D18" s="318">
        <v>25</v>
      </c>
      <c r="E18" s="319">
        <f t="shared" si="12"/>
        <v>1.7361111111111112E-2</v>
      </c>
      <c r="F18" s="320">
        <f t="shared" si="13"/>
        <v>19.062761342807605</v>
      </c>
      <c r="G18" s="320">
        <f t="shared" si="14"/>
        <v>13.462761342807607</v>
      </c>
      <c r="H18" s="322"/>
      <c r="I18" s="322"/>
      <c r="J18" s="322"/>
      <c r="K18" s="324">
        <f t="shared" si="15"/>
        <v>0.68815444278353866</v>
      </c>
      <c r="L18" s="228">
        <f t="shared" ref="L18:L31" si="17">D11</f>
        <v>2</v>
      </c>
      <c r="M18" s="221">
        <f>M17</f>
        <v>0.1111</v>
      </c>
      <c r="N18" s="221">
        <f>L18*M18</f>
        <v>0.22220000000000001</v>
      </c>
      <c r="O18" s="221">
        <f>O17</f>
        <v>3.141E-2</v>
      </c>
      <c r="P18" s="221">
        <f>INT(N18/O18*100)/100</f>
        <v>7.07</v>
      </c>
      <c r="Q18" s="241">
        <f t="shared" ref="Q18:Q27" si="18">INT((G11-P18)*100)/100</f>
        <v>-1.4</v>
      </c>
      <c r="V18" s="236">
        <f t="shared" si="8"/>
        <v>160</v>
      </c>
      <c r="W18" s="221">
        <f t="shared" si="9"/>
        <v>2.8688829872213799</v>
      </c>
      <c r="X18" s="221">
        <f t="shared" si="10"/>
        <v>0.1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34.280781554565749</v>
      </c>
      <c r="AC18" s="240">
        <f t="shared" si="4"/>
        <v>34.280781554565749</v>
      </c>
      <c r="AE18" s="239">
        <f t="shared" si="5"/>
        <v>75</v>
      </c>
      <c r="AF18" s="240">
        <f t="shared" si="16"/>
        <v>16.850781847505061</v>
      </c>
    </row>
    <row r="19" spans="1:32" s="221" customFormat="1" ht="21" customHeight="1">
      <c r="A19" s="315"/>
      <c r="B19" s="315"/>
      <c r="C19" s="317"/>
      <c r="D19" s="318">
        <v>30</v>
      </c>
      <c r="E19" s="319">
        <f t="shared" si="12"/>
        <v>2.0833333333333332E-2</v>
      </c>
      <c r="F19" s="320">
        <f t="shared" si="13"/>
        <v>19.625024462597715</v>
      </c>
      <c r="G19" s="320">
        <f t="shared" si="14"/>
        <v>14.025024462597713</v>
      </c>
      <c r="H19" s="322"/>
      <c r="I19" s="322"/>
      <c r="J19" s="322"/>
      <c r="K19" s="324">
        <f t="shared" si="15"/>
        <v>0.56226311979010646</v>
      </c>
      <c r="L19" s="228">
        <f t="shared" si="17"/>
        <v>3</v>
      </c>
      <c r="M19" s="221">
        <f>M18</f>
        <v>0.1111</v>
      </c>
      <c r="N19" s="221">
        <f t="shared" ref="N19:N27" si="19">L19*M19</f>
        <v>0.33330000000000004</v>
      </c>
      <c r="O19" s="221">
        <f t="shared" ref="O19:O31" si="20">O18</f>
        <v>3.141E-2</v>
      </c>
      <c r="P19" s="221">
        <f>INT(N19/O19*100)/100</f>
        <v>10.61</v>
      </c>
      <c r="Q19" s="241">
        <f t="shared" si="18"/>
        <v>-3.69</v>
      </c>
      <c r="V19" s="236">
        <f t="shared" si="8"/>
        <v>160</v>
      </c>
      <c r="W19" s="221">
        <f t="shared" si="9"/>
        <v>2.8688829872213799</v>
      </c>
      <c r="X19" s="221">
        <f t="shared" si="10"/>
        <v>0.1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34.843044674355859</v>
      </c>
      <c r="AC19" s="240">
        <f t="shared" si="4"/>
        <v>34.843044674355859</v>
      </c>
      <c r="AE19" s="239">
        <f t="shared" si="5"/>
        <v>90</v>
      </c>
      <c r="AF19" s="240">
        <f t="shared" si="16"/>
        <v>17.413044967295171</v>
      </c>
    </row>
    <row r="20" spans="1:32" s="221" customFormat="1" ht="21" customHeight="1">
      <c r="A20" s="315"/>
      <c r="B20" s="315"/>
      <c r="C20" s="317"/>
      <c r="D20" s="318">
        <v>35</v>
      </c>
      <c r="E20" s="319">
        <f t="shared" si="12"/>
        <v>2.4305555555555556E-2</v>
      </c>
      <c r="F20" s="320">
        <f t="shared" si="13"/>
        <v>20.100411156752543</v>
      </c>
      <c r="G20" s="320">
        <f t="shared" si="14"/>
        <v>14.500411156752541</v>
      </c>
      <c r="H20" s="322"/>
      <c r="I20" s="322"/>
      <c r="J20" s="322"/>
      <c r="K20" s="324">
        <f t="shared" si="15"/>
        <v>0.47538669415482815</v>
      </c>
      <c r="L20" s="228">
        <f t="shared" si="17"/>
        <v>4</v>
      </c>
      <c r="M20" s="221">
        <f>M19</f>
        <v>0.1111</v>
      </c>
      <c r="N20" s="221">
        <f>L20*M20</f>
        <v>0.44440000000000002</v>
      </c>
      <c r="O20" s="221">
        <f>O19</f>
        <v>3.141E-2</v>
      </c>
      <c r="P20" s="221">
        <f>INT(N20/O20*100)/100</f>
        <v>14.14</v>
      </c>
      <c r="Q20" s="241">
        <f t="shared" si="18"/>
        <v>-6.33</v>
      </c>
      <c r="V20" s="236">
        <f t="shared" si="8"/>
        <v>160</v>
      </c>
      <c r="W20" s="221">
        <f t="shared" si="9"/>
        <v>2.8688829872213799</v>
      </c>
      <c r="X20" s="221">
        <f t="shared" si="10"/>
        <v>0.1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35.318431368510687</v>
      </c>
      <c r="AC20" s="240">
        <f t="shared" si="4"/>
        <v>35.318431368510687</v>
      </c>
      <c r="AE20" s="239">
        <f t="shared" si="5"/>
        <v>105</v>
      </c>
      <c r="AF20" s="240">
        <f t="shared" si="16"/>
        <v>17.888431661449999</v>
      </c>
    </row>
    <row r="21" spans="1:32" s="221" customFormat="1" ht="21" customHeight="1">
      <c r="A21" s="315"/>
      <c r="B21" s="315"/>
      <c r="C21" s="317"/>
      <c r="D21" s="318">
        <v>40</v>
      </c>
      <c r="E21" s="319">
        <f t="shared" si="12"/>
        <v>2.7777777777777776E-2</v>
      </c>
      <c r="F21" s="320">
        <f t="shared" si="13"/>
        <v>20.512209842147882</v>
      </c>
      <c r="G21" s="320">
        <f t="shared" si="14"/>
        <v>14.912209842147881</v>
      </c>
      <c r="H21" s="322"/>
      <c r="I21" s="322"/>
      <c r="J21" s="322"/>
      <c r="K21" s="324">
        <f t="shared" si="15"/>
        <v>0.4117986853953397</v>
      </c>
      <c r="L21" s="228">
        <f t="shared" si="17"/>
        <v>5</v>
      </c>
      <c r="M21" s="221">
        <f>M20</f>
        <v>0.1111</v>
      </c>
      <c r="N21" s="221">
        <f t="shared" si="19"/>
        <v>0.55549999999999999</v>
      </c>
      <c r="O21" s="221">
        <f t="shared" si="20"/>
        <v>3.141E-2</v>
      </c>
      <c r="P21" s="221">
        <f>INT(N21/O21*100)/100</f>
        <v>17.68</v>
      </c>
      <c r="Q21" s="241">
        <f t="shared" si="18"/>
        <v>-9.19</v>
      </c>
      <c r="V21" s="236">
        <f t="shared" si="8"/>
        <v>160</v>
      </c>
      <c r="W21" s="221">
        <f t="shared" si="9"/>
        <v>2.8688829872213799</v>
      </c>
      <c r="X21" s="221">
        <f t="shared" si="10"/>
        <v>0.1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35.73023005390602</v>
      </c>
      <c r="AC21" s="240">
        <f t="shared" si="4"/>
        <v>35.73023005390602</v>
      </c>
      <c r="AE21" s="239">
        <f t="shared" si="5"/>
        <v>120</v>
      </c>
      <c r="AF21" s="240">
        <f t="shared" si="16"/>
        <v>18.300230346845332</v>
      </c>
    </row>
    <row r="22" spans="1:32" s="221" customFormat="1" ht="21" customHeight="1">
      <c r="A22" s="315"/>
      <c r="B22" s="315"/>
      <c r="C22" s="317"/>
      <c r="D22" s="318">
        <v>45</v>
      </c>
      <c r="E22" s="319">
        <f t="shared" si="12"/>
        <v>3.125E-2</v>
      </c>
      <c r="F22" s="320">
        <f t="shared" si="13"/>
        <v>20.87544202517136</v>
      </c>
      <c r="G22" s="320">
        <f t="shared" si="14"/>
        <v>15.275442025171358</v>
      </c>
      <c r="H22" s="322"/>
      <c r="I22" s="322"/>
      <c r="J22" s="322"/>
      <c r="K22" s="324">
        <f t="shared" si="15"/>
        <v>0.36323218302347726</v>
      </c>
      <c r="L22" s="228">
        <f t="shared" si="17"/>
        <v>10</v>
      </c>
      <c r="M22" s="221">
        <f t="shared" ref="M22:M31" si="21">M21</f>
        <v>0.1111</v>
      </c>
      <c r="N22" s="221">
        <f>L22*M22</f>
        <v>1.111</v>
      </c>
      <c r="O22" s="221">
        <f t="shared" si="20"/>
        <v>3.141E-2</v>
      </c>
      <c r="P22" s="221">
        <f t="shared" ref="P22:P27" si="22">INT(N22/O22*100)/100</f>
        <v>35.369999999999997</v>
      </c>
      <c r="Q22" s="241">
        <f t="shared" si="18"/>
        <v>-24.74</v>
      </c>
      <c r="V22" s="236">
        <f t="shared" si="8"/>
        <v>160</v>
      </c>
      <c r="W22" s="221">
        <f t="shared" si="9"/>
        <v>2.8688829872213799</v>
      </c>
      <c r="X22" s="221">
        <f t="shared" si="10"/>
        <v>0.1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36.205616748060848</v>
      </c>
      <c r="AC22" s="240">
        <f t="shared" si="4"/>
        <v>36.205616748060848</v>
      </c>
      <c r="AE22" s="239">
        <f t="shared" si="5"/>
        <v>140</v>
      </c>
      <c r="AF22" s="240">
        <f t="shared" si="16"/>
        <v>18.77561704100016</v>
      </c>
    </row>
    <row r="23" spans="1:32" s="221" customFormat="1" ht="21" customHeight="1">
      <c r="A23" s="315"/>
      <c r="B23" s="315"/>
      <c r="C23" s="317"/>
      <c r="D23" s="318">
        <v>50</v>
      </c>
      <c r="E23" s="319">
        <f t="shared" si="12"/>
        <v>3.4722222222222224E-2</v>
      </c>
      <c r="F23" s="320">
        <f t="shared" si="13"/>
        <v>21.200364284931418</v>
      </c>
      <c r="G23" s="320">
        <f t="shared" si="14"/>
        <v>15.600364284931416</v>
      </c>
      <c r="H23" s="322"/>
      <c r="I23" s="322"/>
      <c r="J23" s="322"/>
      <c r="K23" s="324">
        <f t="shared" si="15"/>
        <v>0.32492225976005784</v>
      </c>
      <c r="L23" s="228">
        <f t="shared" si="17"/>
        <v>15</v>
      </c>
      <c r="M23" s="221">
        <f t="shared" si="21"/>
        <v>0.1111</v>
      </c>
      <c r="N23" s="221">
        <f t="shared" si="19"/>
        <v>1.6665000000000001</v>
      </c>
      <c r="O23" s="221">
        <f t="shared" si="20"/>
        <v>3.141E-2</v>
      </c>
      <c r="P23" s="221">
        <f t="shared" si="22"/>
        <v>53.05</v>
      </c>
      <c r="Q23" s="241">
        <f t="shared" si="18"/>
        <v>-41.17</v>
      </c>
      <c r="V23" s="236">
        <f t="shared" si="8"/>
        <v>160</v>
      </c>
      <c r="W23" s="221">
        <f t="shared" si="9"/>
        <v>2.8688829872213799</v>
      </c>
      <c r="X23" s="221">
        <f t="shared" si="10"/>
        <v>0.1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36.617415433456188</v>
      </c>
      <c r="AC23" s="240">
        <f t="shared" si="4"/>
        <v>36.617415433456188</v>
      </c>
      <c r="AE23" s="239">
        <f t="shared" si="5"/>
        <v>160</v>
      </c>
      <c r="AF23" s="240">
        <f t="shared" si="16"/>
        <v>19.1874157263955</v>
      </c>
    </row>
    <row r="24" spans="1:32" s="221" customFormat="1" ht="21" customHeight="1">
      <c r="A24" s="315"/>
      <c r="B24" s="315"/>
      <c r="C24" s="317"/>
      <c r="D24" s="318">
        <v>55</v>
      </c>
      <c r="E24" s="319">
        <f t="shared" si="12"/>
        <v>3.8194444444444448E-2</v>
      </c>
      <c r="F24" s="320">
        <f t="shared" si="13"/>
        <v>21.462882221851672</v>
      </c>
      <c r="G24" s="320">
        <f t="shared" si="14"/>
        <v>15.862882221851672</v>
      </c>
      <c r="H24" s="322"/>
      <c r="I24" s="322"/>
      <c r="J24" s="322"/>
      <c r="K24" s="324">
        <f t="shared" si="15"/>
        <v>0.26251793692025593</v>
      </c>
      <c r="L24" s="228">
        <f t="shared" si="17"/>
        <v>20</v>
      </c>
      <c r="M24" s="221">
        <f t="shared" si="21"/>
        <v>0.1111</v>
      </c>
      <c r="N24" s="221">
        <f t="shared" si="19"/>
        <v>2.222</v>
      </c>
      <c r="O24" s="221">
        <f t="shared" si="20"/>
        <v>3.141E-2</v>
      </c>
      <c r="P24" s="221">
        <f t="shared" si="22"/>
        <v>70.739999999999995</v>
      </c>
      <c r="Q24" s="241">
        <f t="shared" si="18"/>
        <v>-57.97</v>
      </c>
      <c r="V24" s="236">
        <f t="shared" si="8"/>
        <v>160</v>
      </c>
      <c r="W24" s="221">
        <f t="shared" si="9"/>
        <v>2.8688829872213799</v>
      </c>
      <c r="X24" s="221">
        <f t="shared" si="10"/>
        <v>0.1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36.980647616479665</v>
      </c>
      <c r="AC24" s="240">
        <f t="shared" si="4"/>
        <v>36.980647616479665</v>
      </c>
      <c r="AE24" s="239">
        <f t="shared" si="5"/>
        <v>180</v>
      </c>
      <c r="AF24" s="240">
        <f t="shared" si="16"/>
        <v>19.550647909418977</v>
      </c>
    </row>
    <row r="25" spans="1:32" s="221" customFormat="1" ht="21" customHeight="1">
      <c r="A25" s="315"/>
      <c r="B25" s="315"/>
      <c r="C25" s="317">
        <f>$C$10+D25/1440</f>
        <v>44988.4375</v>
      </c>
      <c r="D25" s="318">
        <v>60</v>
      </c>
      <c r="E25" s="319">
        <f t="shared" si="12"/>
        <v>4.1666666666666664E-2</v>
      </c>
      <c r="F25" s="320">
        <f t="shared" si="13"/>
        <v>21.762627404721528</v>
      </c>
      <c r="G25" s="320">
        <f t="shared" si="14"/>
        <v>16.162627404721526</v>
      </c>
      <c r="H25" s="322"/>
      <c r="I25" s="322"/>
      <c r="J25" s="322"/>
      <c r="K25" s="324">
        <f t="shared" si="15"/>
        <v>0.29974518286985408</v>
      </c>
      <c r="L25" s="228">
        <f t="shared" si="17"/>
        <v>25</v>
      </c>
      <c r="M25" s="221">
        <f t="shared" si="21"/>
        <v>0.1111</v>
      </c>
      <c r="N25" s="221">
        <f t="shared" si="19"/>
        <v>2.7775000000000003</v>
      </c>
      <c r="O25" s="221">
        <f t="shared" si="20"/>
        <v>3.141E-2</v>
      </c>
      <c r="P25" s="221">
        <f t="shared" si="22"/>
        <v>88.42</v>
      </c>
      <c r="Q25" s="241">
        <f t="shared" si="18"/>
        <v>-74.959999999999994</v>
      </c>
      <c r="V25" s="236">
        <f t="shared" si="8"/>
        <v>160</v>
      </c>
      <c r="W25" s="221">
        <f t="shared" si="9"/>
        <v>2.8688829872213799</v>
      </c>
      <c r="X25" s="221">
        <f t="shared" si="10"/>
        <v>0.1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37.867832996029833</v>
      </c>
      <c r="AC25" s="240">
        <f t="shared" si="4"/>
        <v>37.867832996029833</v>
      </c>
      <c r="AE25" s="239">
        <f t="shared" si="5"/>
        <v>240</v>
      </c>
      <c r="AF25" s="240">
        <f t="shared" si="16"/>
        <v>20.437833288969145</v>
      </c>
    </row>
    <row r="26" spans="1:32" s="221" customFormat="1" ht="21" customHeight="1">
      <c r="A26" s="315"/>
      <c r="B26" s="315"/>
      <c r="C26" s="317"/>
      <c r="D26" s="318">
        <v>75</v>
      </c>
      <c r="E26" s="319">
        <f t="shared" si="12"/>
        <v>5.2083333333333336E-2</v>
      </c>
      <c r="F26" s="320">
        <f t="shared" si="13"/>
        <v>22.450781847505063</v>
      </c>
      <c r="G26" s="320">
        <f t="shared" si="14"/>
        <v>16.850781847505061</v>
      </c>
      <c r="H26" s="322"/>
      <c r="I26" s="322"/>
      <c r="J26" s="322"/>
      <c r="K26" s="324">
        <f t="shared" si="15"/>
        <v>0.6881544427835351</v>
      </c>
      <c r="L26" s="228">
        <f t="shared" si="17"/>
        <v>30</v>
      </c>
      <c r="M26" s="221">
        <f t="shared" si="21"/>
        <v>0.1111</v>
      </c>
      <c r="N26" s="221">
        <f t="shared" si="19"/>
        <v>3.3330000000000002</v>
      </c>
      <c r="O26" s="221">
        <f t="shared" si="20"/>
        <v>3.141E-2</v>
      </c>
      <c r="P26" s="221">
        <f t="shared" si="22"/>
        <v>106.11</v>
      </c>
      <c r="Q26" s="241">
        <f t="shared" si="18"/>
        <v>-92.09</v>
      </c>
      <c r="V26" s="236">
        <f t="shared" si="8"/>
        <v>160</v>
      </c>
      <c r="W26" s="221">
        <f t="shared" si="9"/>
        <v>2.8688829872213799</v>
      </c>
      <c r="X26" s="221">
        <f t="shared" si="10"/>
        <v>0.1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38.555987438813368</v>
      </c>
      <c r="AC26" s="240">
        <f t="shared" si="4"/>
        <v>38.555987438813368</v>
      </c>
      <c r="AE26" s="239">
        <f t="shared" si="5"/>
        <v>300</v>
      </c>
      <c r="AF26" s="240">
        <f t="shared" si="16"/>
        <v>21.12598773175268</v>
      </c>
    </row>
    <row r="27" spans="1:32" s="221" customFormat="1" ht="21" customHeight="1">
      <c r="A27" s="315"/>
      <c r="B27" s="315"/>
      <c r="C27" s="317"/>
      <c r="D27" s="318">
        <v>90</v>
      </c>
      <c r="E27" s="319">
        <f t="shared" si="12"/>
        <v>6.25E-2</v>
      </c>
      <c r="F27" s="320">
        <f t="shared" si="13"/>
        <v>23.013044967295173</v>
      </c>
      <c r="G27" s="320">
        <f t="shared" si="14"/>
        <v>17.413044967295171</v>
      </c>
      <c r="H27" s="322"/>
      <c r="I27" s="322"/>
      <c r="J27" s="322"/>
      <c r="K27" s="324">
        <f t="shared" si="15"/>
        <v>0.56226311979011001</v>
      </c>
      <c r="L27" s="228">
        <f t="shared" si="17"/>
        <v>35</v>
      </c>
      <c r="M27" s="221">
        <f t="shared" si="21"/>
        <v>0.1111</v>
      </c>
      <c r="N27" s="221">
        <f t="shared" si="19"/>
        <v>3.8885000000000001</v>
      </c>
      <c r="O27" s="221">
        <f t="shared" si="20"/>
        <v>3.141E-2</v>
      </c>
      <c r="P27" s="221">
        <f t="shared" si="22"/>
        <v>123.79</v>
      </c>
      <c r="Q27" s="241">
        <f t="shared" si="18"/>
        <v>-109.29</v>
      </c>
      <c r="V27" s="236">
        <f t="shared" si="8"/>
        <v>160</v>
      </c>
      <c r="W27" s="221">
        <f t="shared" si="9"/>
        <v>2.8688829872213799</v>
      </c>
      <c r="X27" s="221">
        <f t="shared" si="10"/>
        <v>0.1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39.118250558603478</v>
      </c>
      <c r="AC27" s="240">
        <f t="shared" si="4"/>
        <v>39.118250558603478</v>
      </c>
      <c r="AE27" s="239">
        <f t="shared" si="5"/>
        <v>360</v>
      </c>
      <c r="AF27" s="240">
        <f t="shared" si="16"/>
        <v>21.68825085154279</v>
      </c>
    </row>
    <row r="28" spans="1:32" s="221" customFormat="1" ht="21" customHeight="1">
      <c r="A28" s="315"/>
      <c r="B28" s="315"/>
      <c r="C28" s="317"/>
      <c r="D28" s="318">
        <v>105</v>
      </c>
      <c r="E28" s="319">
        <f t="shared" si="12"/>
        <v>7.2916666666666671E-2</v>
      </c>
      <c r="F28" s="320">
        <f t="shared" si="13"/>
        <v>23.488431661450001</v>
      </c>
      <c r="G28" s="320">
        <f t="shared" si="14"/>
        <v>17.888431661449999</v>
      </c>
      <c r="H28" s="322"/>
      <c r="I28" s="322"/>
      <c r="J28" s="322"/>
      <c r="K28" s="324">
        <f t="shared" si="15"/>
        <v>0.47538669415482815</v>
      </c>
      <c r="L28" s="228">
        <f t="shared" si="17"/>
        <v>40</v>
      </c>
      <c r="M28" s="221">
        <f t="shared" si="21"/>
        <v>0.1111</v>
      </c>
      <c r="N28" s="221">
        <f>L28*M28</f>
        <v>4.444</v>
      </c>
      <c r="O28" s="221">
        <f t="shared" si="20"/>
        <v>3.141E-2</v>
      </c>
      <c r="P28" s="221">
        <f>INT(N28/O28*100)/100</f>
        <v>141.47999999999999</v>
      </c>
      <c r="Q28" s="241">
        <f>INT((G21-P28)*100)/100</f>
        <v>-126.57</v>
      </c>
      <c r="V28" s="236">
        <f t="shared" si="8"/>
        <v>160</v>
      </c>
      <c r="W28" s="221">
        <f t="shared" si="9"/>
        <v>2.8688829872213799</v>
      </c>
      <c r="X28" s="221">
        <f t="shared" si="10"/>
        <v>0.1</v>
      </c>
      <c r="Y28" s="221">
        <f t="shared" si="11"/>
        <v>5.0000000000000001E-4</v>
      </c>
      <c r="Z28" s="221">
        <f t="shared" si="2"/>
        <v>0.29166666666666669</v>
      </c>
      <c r="AA28" s="328">
        <f t="shared" si="3"/>
        <v>420</v>
      </c>
      <c r="AB28" s="290">
        <f t="shared" si="0"/>
        <v>39.593637252758306</v>
      </c>
      <c r="AC28" s="240">
        <f t="shared" si="4"/>
        <v>39.593637252758306</v>
      </c>
      <c r="AE28" s="239">
        <f t="shared" si="5"/>
        <v>420</v>
      </c>
      <c r="AF28" s="240">
        <f t="shared" si="16"/>
        <v>22.163637545697618</v>
      </c>
    </row>
    <row r="29" spans="1:32" s="221" customFormat="1" ht="21" customHeight="1">
      <c r="A29" s="315"/>
      <c r="B29" s="315"/>
      <c r="C29" s="317"/>
      <c r="D29" s="318">
        <v>120</v>
      </c>
      <c r="E29" s="319">
        <f t="shared" si="12"/>
        <v>8.3333333333333329E-2</v>
      </c>
      <c r="F29" s="320">
        <f t="shared" si="13"/>
        <v>23.900230346845333</v>
      </c>
      <c r="G29" s="320">
        <f t="shared" si="14"/>
        <v>18.300230346845332</v>
      </c>
      <c r="H29" s="322"/>
      <c r="I29" s="322"/>
      <c r="J29" s="322"/>
      <c r="K29" s="324">
        <f t="shared" si="15"/>
        <v>0.4117986853953326</v>
      </c>
      <c r="L29" s="228">
        <f t="shared" si="17"/>
        <v>45</v>
      </c>
      <c r="M29" s="221">
        <f t="shared" si="21"/>
        <v>0.1111</v>
      </c>
      <c r="N29" s="221">
        <f>L29*M29</f>
        <v>4.9995000000000003</v>
      </c>
      <c r="O29" s="221">
        <f t="shared" si="20"/>
        <v>3.141E-2</v>
      </c>
      <c r="P29" s="221">
        <f>INT(N29/O29*100)/100</f>
        <v>159.16</v>
      </c>
      <c r="Q29" s="241">
        <f>INT((G22-P29)*100)/100</f>
        <v>-143.88999999999999</v>
      </c>
      <c r="V29" s="236">
        <f t="shared" si="8"/>
        <v>160</v>
      </c>
      <c r="W29" s="221">
        <f t="shared" si="9"/>
        <v>2.8688829872213799</v>
      </c>
      <c r="X29" s="221">
        <f t="shared" si="10"/>
        <v>0.1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40.005435938153646</v>
      </c>
      <c r="AC29" s="240">
        <f t="shared" si="4"/>
        <v>40.005435938153646</v>
      </c>
      <c r="AE29" s="239">
        <f t="shared" si="5"/>
        <v>480</v>
      </c>
      <c r="AF29" s="240">
        <f t="shared" si="16"/>
        <v>22.575436231092958</v>
      </c>
    </row>
    <row r="30" spans="1:32" s="221" customFormat="1" ht="21" customHeight="1">
      <c r="A30" s="315" t="s">
        <v>4</v>
      </c>
      <c r="B30" s="315" t="s">
        <v>4</v>
      </c>
      <c r="C30" s="317" t="s">
        <v>4</v>
      </c>
      <c r="D30" s="318">
        <v>140</v>
      </c>
      <c r="E30" s="319">
        <f t="shared" si="12"/>
        <v>9.7222222222222224E-2</v>
      </c>
      <c r="F30" s="320">
        <f t="shared" si="13"/>
        <v>24.375617041000162</v>
      </c>
      <c r="G30" s="320">
        <f t="shared" si="14"/>
        <v>18.77561704100016</v>
      </c>
      <c r="H30" s="322"/>
      <c r="I30" s="322"/>
      <c r="J30" s="322"/>
      <c r="K30" s="324">
        <f t="shared" si="15"/>
        <v>0.47538669415482815</v>
      </c>
      <c r="L30" s="228">
        <f t="shared" si="17"/>
        <v>50</v>
      </c>
      <c r="M30" s="221">
        <f t="shared" si="21"/>
        <v>0.1111</v>
      </c>
      <c r="N30" s="221">
        <f>L30*M30</f>
        <v>5.5550000000000006</v>
      </c>
      <c r="O30" s="221">
        <f t="shared" si="20"/>
        <v>3.141E-2</v>
      </c>
      <c r="P30" s="221">
        <f>INT(N30/O30*100)/100</f>
        <v>176.85</v>
      </c>
      <c r="Q30" s="241">
        <f>INT((G23-P30)*100)/100</f>
        <v>-161.25</v>
      </c>
      <c r="V30" s="236">
        <f t="shared" si="8"/>
        <v>160</v>
      </c>
      <c r="W30" s="221">
        <f t="shared" si="9"/>
        <v>2.8688829872213799</v>
      </c>
      <c r="X30" s="221">
        <f t="shared" si="10"/>
        <v>0.1</v>
      </c>
      <c r="Y30" s="221">
        <f t="shared" si="11"/>
        <v>5.0000000000000001E-4</v>
      </c>
      <c r="Z30" s="221">
        <f t="shared" si="2"/>
        <v>0.375</v>
      </c>
      <c r="AA30" s="328">
        <f t="shared" si="3"/>
        <v>540</v>
      </c>
      <c r="AB30" s="290">
        <f t="shared" si="0"/>
        <v>40.368668121177123</v>
      </c>
      <c r="AC30" s="240">
        <f t="shared" si="4"/>
        <v>40.368668121177123</v>
      </c>
      <c r="AE30" s="239">
        <f t="shared" si="5"/>
        <v>540</v>
      </c>
      <c r="AF30" s="240">
        <f t="shared" si="16"/>
        <v>22.938668414116435</v>
      </c>
    </row>
    <row r="31" spans="1:32" s="221" customFormat="1" ht="21" customHeight="1">
      <c r="A31" s="315"/>
      <c r="B31" s="315"/>
      <c r="C31" s="317"/>
      <c r="D31" s="318">
        <v>160</v>
      </c>
      <c r="E31" s="319">
        <f t="shared" si="12"/>
        <v>0.1111111111111111</v>
      </c>
      <c r="F31" s="320">
        <f t="shared" si="13"/>
        <v>24.787415726395501</v>
      </c>
      <c r="G31" s="320">
        <f t="shared" si="14"/>
        <v>19.1874157263955</v>
      </c>
      <c r="H31" s="322"/>
      <c r="I31" s="322"/>
      <c r="J31" s="322"/>
      <c r="K31" s="324">
        <f t="shared" si="15"/>
        <v>0.4117986853953397</v>
      </c>
      <c r="L31" s="228">
        <f t="shared" si="17"/>
        <v>55</v>
      </c>
      <c r="M31" s="221">
        <f t="shared" si="21"/>
        <v>0.1111</v>
      </c>
      <c r="N31" s="221">
        <f>L31*M31</f>
        <v>6.1105</v>
      </c>
      <c r="O31" s="221">
        <f t="shared" si="20"/>
        <v>3.141E-2</v>
      </c>
      <c r="P31" s="221">
        <f>INT(N31/O31*100)/100</f>
        <v>194.53</v>
      </c>
      <c r="Q31" s="241">
        <f>INT((G24-P31)*100)/100</f>
        <v>-178.67</v>
      </c>
      <c r="V31" s="236">
        <f t="shared" si="8"/>
        <v>160</v>
      </c>
      <c r="W31" s="221">
        <f t="shared" si="9"/>
        <v>2.8688829872213799</v>
      </c>
      <c r="X31" s="221">
        <f t="shared" si="10"/>
        <v>0.1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40.693590380937181</v>
      </c>
      <c r="AC31" s="240">
        <f t="shared" si="4"/>
        <v>40.693590380937181</v>
      </c>
      <c r="AE31" s="239">
        <f t="shared" si="5"/>
        <v>600</v>
      </c>
      <c r="AF31" s="240">
        <f t="shared" si="16"/>
        <v>23.263590673876493</v>
      </c>
    </row>
    <row r="32" spans="1:32" s="221" customFormat="1" ht="21" customHeight="1">
      <c r="A32" s="315"/>
      <c r="B32" s="315"/>
      <c r="C32" s="317"/>
      <c r="D32" s="318">
        <v>180</v>
      </c>
      <c r="E32" s="319">
        <f t="shared" si="12"/>
        <v>0.125</v>
      </c>
      <c r="F32" s="320">
        <f t="shared" si="13"/>
        <v>25.150647909418979</v>
      </c>
      <c r="G32" s="320">
        <f t="shared" si="14"/>
        <v>19.550647909418977</v>
      </c>
      <c r="H32" s="322"/>
      <c r="I32" s="322"/>
      <c r="J32" s="322"/>
      <c r="K32" s="324">
        <f t="shared" si="15"/>
        <v>0.36323218302347726</v>
      </c>
      <c r="L32" s="326" t="s">
        <v>30</v>
      </c>
      <c r="O32" s="329"/>
      <c r="V32" s="236">
        <f t="shared" si="8"/>
        <v>160</v>
      </c>
      <c r="W32" s="221">
        <f t="shared" si="9"/>
        <v>2.8688829872213799</v>
      </c>
      <c r="X32" s="221">
        <f t="shared" si="10"/>
        <v>0.1</v>
      </c>
      <c r="Y32" s="221">
        <f t="shared" si="11"/>
        <v>5.0000000000000001E-4</v>
      </c>
      <c r="Z32" s="221">
        <f t="shared" si="2"/>
        <v>0.45833333333333331</v>
      </c>
      <c r="AA32" s="328">
        <f t="shared" si="3"/>
        <v>660</v>
      </c>
      <c r="AB32" s="290">
        <f t="shared" si="0"/>
        <v>40.987518317857436</v>
      </c>
      <c r="AC32" s="240">
        <f t="shared" si="4"/>
        <v>40.987518317857436</v>
      </c>
      <c r="AE32" s="239">
        <f t="shared" si="5"/>
        <v>660</v>
      </c>
      <c r="AF32" s="240">
        <f t="shared" si="16"/>
        <v>23.557518610796748</v>
      </c>
    </row>
    <row r="33" spans="1:32" s="221" customFormat="1" ht="21" customHeight="1">
      <c r="A33" s="315"/>
      <c r="B33" s="315"/>
      <c r="C33" s="317">
        <f>$C$10+D33/1440</f>
        <v>44988.5625</v>
      </c>
      <c r="D33" s="318">
        <f t="shared" ref="D33:D76" si="23">D32+60</f>
        <v>240</v>
      </c>
      <c r="E33" s="319">
        <f t="shared" si="12"/>
        <v>0.16666666666666666</v>
      </c>
      <c r="F33" s="320">
        <f t="shared" si="13"/>
        <v>26.037833288969146</v>
      </c>
      <c r="G33" s="320">
        <f t="shared" si="14"/>
        <v>20.437833288969145</v>
      </c>
      <c r="H33" s="322"/>
      <c r="I33" s="322"/>
      <c r="J33" s="322"/>
      <c r="K33" s="324">
        <f t="shared" si="15"/>
        <v>0.88718537955016785</v>
      </c>
      <c r="L33" s="289" t="s">
        <v>30</v>
      </c>
      <c r="O33" s="329"/>
      <c r="V33" s="236">
        <f t="shared" si="8"/>
        <v>160</v>
      </c>
      <c r="W33" s="221">
        <f t="shared" si="9"/>
        <v>2.8688829872213799</v>
      </c>
      <c r="X33" s="221">
        <f t="shared" si="10"/>
        <v>0.1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41.255853500727291</v>
      </c>
      <c r="AC33" s="240">
        <f t="shared" si="4"/>
        <v>41.255853500727291</v>
      </c>
      <c r="AE33" s="239">
        <f t="shared" si="5"/>
        <v>720</v>
      </c>
      <c r="AF33" s="240">
        <f t="shared" si="16"/>
        <v>23.825853793666603</v>
      </c>
    </row>
    <row r="34" spans="1:32" s="221" customFormat="1" ht="21" customHeight="1">
      <c r="A34" s="315"/>
      <c r="B34" s="315"/>
      <c r="C34" s="317"/>
      <c r="D34" s="318">
        <f t="shared" si="23"/>
        <v>300</v>
      </c>
      <c r="E34" s="319">
        <f t="shared" si="12"/>
        <v>0.20833333333333334</v>
      </c>
      <c r="F34" s="320">
        <f t="shared" si="13"/>
        <v>26.725987731752681</v>
      </c>
      <c r="G34" s="320">
        <f t="shared" si="14"/>
        <v>21.12598773175268</v>
      </c>
      <c r="H34" s="322"/>
      <c r="I34" s="322"/>
      <c r="J34" s="322"/>
      <c r="K34" s="324">
        <f t="shared" si="15"/>
        <v>0.6881544427835351</v>
      </c>
      <c r="L34" s="289" t="s">
        <v>30</v>
      </c>
      <c r="P34" s="329"/>
      <c r="V34" s="236">
        <f t="shared" si="8"/>
        <v>160</v>
      </c>
      <c r="W34" s="221">
        <f t="shared" si="9"/>
        <v>2.8688829872213799</v>
      </c>
      <c r="X34" s="221">
        <f t="shared" si="10"/>
        <v>0.1</v>
      </c>
      <c r="Y34" s="221">
        <f t="shared" si="11"/>
        <v>5.0000000000000001E-4</v>
      </c>
      <c r="Z34" s="221">
        <f t="shared" si="2"/>
        <v>0.54166666666666663</v>
      </c>
      <c r="AA34" s="328">
        <f t="shared" si="3"/>
        <v>780</v>
      </c>
      <c r="AB34" s="290">
        <f t="shared" si="0"/>
        <v>41.502697940432412</v>
      </c>
      <c r="AC34" s="240">
        <f t="shared" si="4"/>
        <v>41.502697940432412</v>
      </c>
      <c r="AE34" s="239">
        <f t="shared" si="5"/>
        <v>780</v>
      </c>
      <c r="AF34" s="240">
        <f t="shared" si="16"/>
        <v>24.072698233371725</v>
      </c>
    </row>
    <row r="35" spans="1:32" s="221" customFormat="1" ht="21" customHeight="1">
      <c r="A35" s="315" t="s">
        <v>4</v>
      </c>
      <c r="B35" s="315" t="s">
        <v>4</v>
      </c>
      <c r="C35" s="317" t="s">
        <v>4</v>
      </c>
      <c r="D35" s="318">
        <f t="shared" si="23"/>
        <v>360</v>
      </c>
      <c r="E35" s="319">
        <f t="shared" si="12"/>
        <v>0.25</v>
      </c>
      <c r="F35" s="320">
        <f t="shared" si="13"/>
        <v>27.288250851542792</v>
      </c>
      <c r="G35" s="320">
        <f t="shared" si="14"/>
        <v>21.68825085154279</v>
      </c>
      <c r="H35" s="322"/>
      <c r="I35" s="322"/>
      <c r="J35" s="322"/>
      <c r="K35" s="324">
        <f t="shared" si="15"/>
        <v>0.56226311979011001</v>
      </c>
      <c r="L35" s="289" t="s">
        <v>30</v>
      </c>
      <c r="O35" s="329"/>
      <c r="V35" s="236">
        <f t="shared" si="8"/>
        <v>160</v>
      </c>
      <c r="W35" s="221">
        <f t="shared" si="9"/>
        <v>2.8688829872213799</v>
      </c>
      <c r="X35" s="221">
        <f t="shared" si="10"/>
        <v>0.1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41.731240194882119</v>
      </c>
      <c r="AC35" s="240">
        <f t="shared" si="4"/>
        <v>41.731240194882119</v>
      </c>
      <c r="AE35" s="239">
        <f t="shared" si="5"/>
        <v>840</v>
      </c>
      <c r="AF35" s="240">
        <f t="shared" si="16"/>
        <v>24.301240487821431</v>
      </c>
    </row>
    <row r="36" spans="1:32" s="221" customFormat="1" ht="21" customHeight="1">
      <c r="A36" s="315"/>
      <c r="B36" s="315"/>
      <c r="C36" s="317"/>
      <c r="D36" s="318">
        <f t="shared" si="23"/>
        <v>420</v>
      </c>
      <c r="E36" s="319">
        <f t="shared" si="12"/>
        <v>0.29166666666666669</v>
      </c>
      <c r="F36" s="320">
        <f t="shared" si="13"/>
        <v>27.76363754569762</v>
      </c>
      <c r="G36" s="320">
        <f t="shared" si="14"/>
        <v>22.163637545697618</v>
      </c>
      <c r="H36" s="322"/>
      <c r="I36" s="322"/>
      <c r="J36" s="322"/>
      <c r="K36" s="324">
        <f t="shared" si="15"/>
        <v>0.47538669415482815</v>
      </c>
      <c r="L36" s="289" t="s">
        <v>30</v>
      </c>
      <c r="V36" s="236">
        <f t="shared" si="8"/>
        <v>160</v>
      </c>
      <c r="W36" s="221">
        <f t="shared" si="9"/>
        <v>2.8688829872213799</v>
      </c>
      <c r="X36" s="221">
        <f t="shared" si="10"/>
        <v>0.1</v>
      </c>
      <c r="Y36" s="221">
        <f t="shared" si="11"/>
        <v>5.0000000000000001E-4</v>
      </c>
      <c r="Z36" s="221">
        <f t="shared" si="2"/>
        <v>0.625</v>
      </c>
      <c r="AA36" s="328">
        <f t="shared" si="3"/>
        <v>900</v>
      </c>
      <c r="AB36" s="290">
        <f t="shared" si="0"/>
        <v>41.944007943510826</v>
      </c>
      <c r="AC36" s="240">
        <f t="shared" si="4"/>
        <v>41.944007943510826</v>
      </c>
      <c r="AE36" s="239">
        <f t="shared" si="5"/>
        <v>900</v>
      </c>
      <c r="AF36" s="240">
        <f t="shared" si="16"/>
        <v>24.514008236450138</v>
      </c>
    </row>
    <row r="37" spans="1:32" s="221" customFormat="1" ht="21" customHeight="1">
      <c r="A37" s="315"/>
      <c r="B37" s="315"/>
      <c r="C37" s="317"/>
      <c r="D37" s="318">
        <f t="shared" si="23"/>
        <v>480</v>
      </c>
      <c r="E37" s="319">
        <f t="shared" si="12"/>
        <v>0.33333333333333331</v>
      </c>
      <c r="F37" s="320">
        <f t="shared" si="13"/>
        <v>28.175436231092959</v>
      </c>
      <c r="G37" s="320">
        <f t="shared" si="14"/>
        <v>22.575436231092958</v>
      </c>
      <c r="H37" s="322"/>
      <c r="I37" s="322"/>
      <c r="J37" s="322"/>
      <c r="K37" s="324">
        <f t="shared" si="15"/>
        <v>0.4117986853953397</v>
      </c>
      <c r="L37" s="289" t="s">
        <v>30</v>
      </c>
      <c r="V37" s="236">
        <f t="shared" si="8"/>
        <v>160</v>
      </c>
      <c r="W37" s="221">
        <f t="shared" si="9"/>
        <v>2.8688829872213799</v>
      </c>
      <c r="X37" s="221">
        <f t="shared" si="10"/>
        <v>0.1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42.143038880277452</v>
      </c>
      <c r="AC37" s="240">
        <f t="shared" si="4"/>
        <v>42.143038880277452</v>
      </c>
      <c r="AD37" s="221">
        <v>37</v>
      </c>
      <c r="AE37" s="239">
        <f t="shared" si="5"/>
        <v>960</v>
      </c>
      <c r="AF37" s="240">
        <f t="shared" si="16"/>
        <v>24.713039173216764</v>
      </c>
    </row>
    <row r="38" spans="1:32" s="221" customFormat="1" ht="21" customHeight="1">
      <c r="A38" s="315"/>
      <c r="B38" s="315"/>
      <c r="C38" s="317"/>
      <c r="D38" s="318">
        <f t="shared" si="23"/>
        <v>540</v>
      </c>
      <c r="E38" s="319">
        <f t="shared" si="12"/>
        <v>0.375</v>
      </c>
      <c r="F38" s="320">
        <f t="shared" si="13"/>
        <v>28.538668414116437</v>
      </c>
      <c r="G38" s="320">
        <f t="shared" si="14"/>
        <v>22.938668414116435</v>
      </c>
      <c r="H38" s="322"/>
      <c r="I38" s="322"/>
      <c r="J38" s="322"/>
      <c r="K38" s="324">
        <f t="shared" si="15"/>
        <v>0.36323218302347726</v>
      </c>
      <c r="L38" s="289" t="s">
        <v>30</v>
      </c>
      <c r="V38" s="236">
        <f t="shared" si="8"/>
        <v>160</v>
      </c>
      <c r="W38" s="221">
        <f t="shared" si="9"/>
        <v>2.8688829872213799</v>
      </c>
      <c r="X38" s="221">
        <f t="shared" si="10"/>
        <v>0.1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42.329999707060686</v>
      </c>
      <c r="AC38" s="240">
        <f t="shared" si="4"/>
        <v>42.329999707060686</v>
      </c>
      <c r="AD38" s="228" t="s">
        <v>49</v>
      </c>
      <c r="AE38" s="239">
        <f t="shared" si="5"/>
        <v>1020</v>
      </c>
      <c r="AF38" s="240">
        <f t="shared" si="16"/>
        <v>24.9</v>
      </c>
    </row>
    <row r="39" spans="1:32" s="221" customFormat="1" ht="21" customHeight="1">
      <c r="A39" s="315"/>
      <c r="B39" s="315"/>
      <c r="C39" s="317">
        <f>$C$10+D39/1440</f>
        <v>44988.8125</v>
      </c>
      <c r="D39" s="318">
        <f t="shared" si="23"/>
        <v>600</v>
      </c>
      <c r="E39" s="319">
        <f t="shared" si="12"/>
        <v>0.41666666666666669</v>
      </c>
      <c r="F39" s="320">
        <f t="shared" si="13"/>
        <v>28.863590673876494</v>
      </c>
      <c r="G39" s="320">
        <f t="shared" si="14"/>
        <v>23.263590673876493</v>
      </c>
      <c r="H39" s="322"/>
      <c r="I39" s="322"/>
      <c r="J39" s="322"/>
      <c r="K39" s="324">
        <f t="shared" si="15"/>
        <v>0.32492225976005784</v>
      </c>
      <c r="L39" s="289" t="s">
        <v>30</v>
      </c>
      <c r="V39" s="236">
        <f t="shared" si="8"/>
        <v>160</v>
      </c>
      <c r="W39" s="221">
        <f t="shared" si="9"/>
        <v>2.8688829872213799</v>
      </c>
      <c r="X39" s="221">
        <f t="shared" si="10"/>
        <v>0.1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42.329999707060686</v>
      </c>
      <c r="AC39" s="240">
        <f t="shared" ref="AC39:AC46" si="24">AC38</f>
        <v>42.329999707060686</v>
      </c>
      <c r="AD39" s="330">
        <v>39</v>
      </c>
      <c r="AE39" s="239">
        <f t="shared" si="5"/>
        <v>1080</v>
      </c>
      <c r="AF39" s="240">
        <f t="shared" si="16"/>
        <v>24.9</v>
      </c>
    </row>
    <row r="40" spans="1:32" s="221" customFormat="1" ht="21" customHeight="1">
      <c r="A40" s="315" t="s">
        <v>4</v>
      </c>
      <c r="B40" s="315" t="s">
        <v>4</v>
      </c>
      <c r="C40" s="317" t="s">
        <v>4</v>
      </c>
      <c r="D40" s="318">
        <f t="shared" si="23"/>
        <v>660</v>
      </c>
      <c r="E40" s="319">
        <f t="shared" si="12"/>
        <v>0.45833333333333331</v>
      </c>
      <c r="F40" s="320">
        <f t="shared" si="13"/>
        <v>29.15751861079675</v>
      </c>
      <c r="G40" s="320">
        <f t="shared" si="14"/>
        <v>23.557518610796748</v>
      </c>
      <c r="H40" s="322"/>
      <c r="I40" s="322"/>
      <c r="J40" s="322"/>
      <c r="K40" s="324">
        <f t="shared" si="15"/>
        <v>0.29392793692025521</v>
      </c>
      <c r="L40" s="289" t="s">
        <v>30</v>
      </c>
      <c r="V40" s="236">
        <f t="shared" si="8"/>
        <v>160</v>
      </c>
      <c r="W40" s="221">
        <f t="shared" si="9"/>
        <v>2.8688829872213799</v>
      </c>
      <c r="X40" s="221">
        <f t="shared" si="10"/>
        <v>0.1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42.329999707060686</v>
      </c>
      <c r="AC40" s="240">
        <f t="shared" si="24"/>
        <v>42.329999707060686</v>
      </c>
      <c r="AD40" s="330">
        <v>40</v>
      </c>
      <c r="AE40" s="239">
        <f t="shared" si="5"/>
        <v>1140</v>
      </c>
      <c r="AF40" s="240">
        <f t="shared" si="16"/>
        <v>24.9</v>
      </c>
    </row>
    <row r="41" spans="1:32" s="221" customFormat="1" ht="21" customHeight="1">
      <c r="A41" s="315"/>
      <c r="B41" s="315"/>
      <c r="C41" s="317"/>
      <c r="D41" s="318">
        <f t="shared" si="23"/>
        <v>720</v>
      </c>
      <c r="E41" s="319">
        <f t="shared" si="12"/>
        <v>0.5</v>
      </c>
      <c r="F41" s="320">
        <f t="shared" si="13"/>
        <v>29.425853793666604</v>
      </c>
      <c r="G41" s="320">
        <f t="shared" si="14"/>
        <v>23.825853793666603</v>
      </c>
      <c r="H41" s="322"/>
      <c r="I41" s="322"/>
      <c r="J41" s="322"/>
      <c r="K41" s="324">
        <f t="shared" si="15"/>
        <v>0.2683351828698548</v>
      </c>
      <c r="L41" s="289" t="s">
        <v>30</v>
      </c>
      <c r="V41" s="331">
        <f t="shared" si="8"/>
        <v>160</v>
      </c>
      <c r="W41" s="332">
        <f t="shared" si="9"/>
        <v>2.8688829872213799</v>
      </c>
      <c r="X41" s="332">
        <f t="shared" si="10"/>
        <v>0.1</v>
      </c>
      <c r="Y41" s="332">
        <f t="shared" si="11"/>
        <v>5.0000000000000001E-4</v>
      </c>
      <c r="Z41" s="332">
        <f t="shared" si="2"/>
        <v>0.83333333333333337</v>
      </c>
      <c r="AA41" s="333">
        <f t="shared" si="3"/>
        <v>1200</v>
      </c>
      <c r="AB41" s="334">
        <f t="shared" si="0"/>
        <v>42.329999707060686</v>
      </c>
      <c r="AC41" s="240">
        <f t="shared" si="24"/>
        <v>42.329999707060686</v>
      </c>
      <c r="AD41" s="335">
        <v>41</v>
      </c>
      <c r="AE41" s="239">
        <f t="shared" si="5"/>
        <v>1200</v>
      </c>
      <c r="AF41" s="240">
        <f t="shared" si="16"/>
        <v>24.9</v>
      </c>
    </row>
    <row r="42" spans="1:32" s="221" customFormat="1" ht="21" customHeight="1">
      <c r="A42" s="315"/>
      <c r="B42" s="315"/>
      <c r="C42" s="317"/>
      <c r="D42" s="318">
        <f t="shared" si="23"/>
        <v>780</v>
      </c>
      <c r="E42" s="319">
        <f t="shared" si="12"/>
        <v>0.54166666666666663</v>
      </c>
      <c r="F42" s="320">
        <f t="shared" si="13"/>
        <v>29.672698233371726</v>
      </c>
      <c r="G42" s="320">
        <f t="shared" si="14"/>
        <v>24.072698233371725</v>
      </c>
      <c r="H42" s="322"/>
      <c r="I42" s="322"/>
      <c r="J42" s="322"/>
      <c r="K42" s="324">
        <f t="shared" si="15"/>
        <v>0.24684443970512149</v>
      </c>
      <c r="L42" s="289" t="s">
        <v>30</v>
      </c>
      <c r="V42" s="236">
        <f t="shared" si="8"/>
        <v>160</v>
      </c>
      <c r="W42" s="221">
        <f t="shared" si="9"/>
        <v>2.8688829872213799</v>
      </c>
      <c r="X42" s="221">
        <f t="shared" si="10"/>
        <v>0.1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42.329999707060686</v>
      </c>
      <c r="AC42" s="240">
        <f t="shared" si="24"/>
        <v>42.329999707060686</v>
      </c>
      <c r="AD42" s="330">
        <v>42</v>
      </c>
      <c r="AE42" s="239">
        <f t="shared" si="5"/>
        <v>1260</v>
      </c>
      <c r="AF42" s="240">
        <f t="shared" si="16"/>
        <v>24.9</v>
      </c>
    </row>
    <row r="43" spans="1:32" s="221" customFormat="1" ht="21" customHeight="1">
      <c r="A43" s="315"/>
      <c r="B43" s="315"/>
      <c r="C43" s="317"/>
      <c r="D43" s="318">
        <f t="shared" si="23"/>
        <v>840</v>
      </c>
      <c r="E43" s="319">
        <f t="shared" si="12"/>
        <v>0.58333333333333337</v>
      </c>
      <c r="F43" s="320">
        <f t="shared" si="13"/>
        <v>29.901240487821433</v>
      </c>
      <c r="G43" s="320">
        <f t="shared" si="14"/>
        <v>24.301240487821431</v>
      </c>
      <c r="H43" s="322"/>
      <c r="I43" s="322"/>
      <c r="J43" s="322"/>
      <c r="K43" s="324">
        <f t="shared" si="15"/>
        <v>0.22854225444970666</v>
      </c>
      <c r="L43" s="289" t="s">
        <v>30</v>
      </c>
      <c r="V43" s="331">
        <f t="shared" si="8"/>
        <v>160</v>
      </c>
      <c r="W43" s="332">
        <f t="shared" si="9"/>
        <v>2.8688829872213799</v>
      </c>
      <c r="X43" s="332">
        <f t="shared" si="10"/>
        <v>0.1</v>
      </c>
      <c r="Y43" s="332">
        <f t="shared" si="11"/>
        <v>5.0000000000000001E-4</v>
      </c>
      <c r="Z43" s="332">
        <f t="shared" si="2"/>
        <v>0.91666666666666663</v>
      </c>
      <c r="AA43" s="333">
        <f t="shared" si="3"/>
        <v>1320</v>
      </c>
      <c r="AB43" s="334">
        <f t="shared" si="0"/>
        <v>42.329999707060686</v>
      </c>
      <c r="AC43" s="240">
        <f t="shared" si="24"/>
        <v>42.329999707060686</v>
      </c>
      <c r="AD43" s="335">
        <v>43</v>
      </c>
      <c r="AE43" s="239">
        <f t="shared" si="5"/>
        <v>1320</v>
      </c>
      <c r="AF43" s="240">
        <f t="shared" si="16"/>
        <v>24.9</v>
      </c>
    </row>
    <row r="44" spans="1:32" s="221" customFormat="1" ht="21" customHeight="1">
      <c r="A44" s="315"/>
      <c r="B44" s="315"/>
      <c r="C44" s="317"/>
      <c r="D44" s="318">
        <f t="shared" si="23"/>
        <v>900</v>
      </c>
      <c r="E44" s="319">
        <f t="shared" si="12"/>
        <v>0.625</v>
      </c>
      <c r="F44" s="320">
        <f t="shared" si="13"/>
        <v>30.11400823645014</v>
      </c>
      <c r="G44" s="320">
        <f t="shared" si="14"/>
        <v>24.514008236450138</v>
      </c>
      <c r="H44" s="322"/>
      <c r="I44" s="322"/>
      <c r="J44" s="322"/>
      <c r="K44" s="324">
        <f t="shared" si="15"/>
        <v>0.21276774862870695</v>
      </c>
      <c r="L44" s="289" t="s">
        <v>30</v>
      </c>
      <c r="V44" s="236">
        <f t="shared" si="8"/>
        <v>160</v>
      </c>
      <c r="W44" s="221">
        <f t="shared" si="9"/>
        <v>2.8688829872213799</v>
      </c>
      <c r="X44" s="221">
        <f t="shared" si="10"/>
        <v>0.1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42.329999707060686</v>
      </c>
      <c r="AC44" s="240">
        <f t="shared" si="24"/>
        <v>42.329999707060686</v>
      </c>
      <c r="AD44" s="330">
        <v>44</v>
      </c>
      <c r="AE44" s="239">
        <f t="shared" si="5"/>
        <v>1380</v>
      </c>
      <c r="AF44" s="240">
        <f t="shared" si="16"/>
        <v>24.9</v>
      </c>
    </row>
    <row r="45" spans="1:32" s="221" customFormat="1" ht="21" customHeight="1">
      <c r="A45" s="315" t="s">
        <v>4</v>
      </c>
      <c r="B45" s="315" t="s">
        <v>4</v>
      </c>
      <c r="C45" s="317">
        <f>$C$10+D45/1440</f>
        <v>44989.0625</v>
      </c>
      <c r="D45" s="318">
        <f t="shared" si="23"/>
        <v>960</v>
      </c>
      <c r="E45" s="319">
        <f t="shared" si="12"/>
        <v>0.66666666666666663</v>
      </c>
      <c r="F45" s="320">
        <f t="shared" si="13"/>
        <v>30.313039173216765</v>
      </c>
      <c r="G45" s="320">
        <f t="shared" si="14"/>
        <v>24.713039173216764</v>
      </c>
      <c r="H45" s="322"/>
      <c r="I45" s="322"/>
      <c r="J45" s="322"/>
      <c r="K45" s="324">
        <f t="shared" si="15"/>
        <v>0.19903093676662564</v>
      </c>
      <c r="L45" s="289" t="s">
        <v>30</v>
      </c>
      <c r="V45" s="331">
        <f t="shared" si="8"/>
        <v>160</v>
      </c>
      <c r="W45" s="332">
        <f t="shared" si="9"/>
        <v>2.8688829872213799</v>
      </c>
      <c r="X45" s="332">
        <f t="shared" si="10"/>
        <v>0.1</v>
      </c>
      <c r="Y45" s="332">
        <f t="shared" si="11"/>
        <v>5.0000000000000001E-4</v>
      </c>
      <c r="Z45" s="332">
        <f t="shared" si="2"/>
        <v>1</v>
      </c>
      <c r="AA45" s="333">
        <f t="shared" si="3"/>
        <v>1440</v>
      </c>
      <c r="AB45" s="334">
        <f t="shared" si="0"/>
        <v>42.329999707060686</v>
      </c>
      <c r="AC45" s="240">
        <f t="shared" si="24"/>
        <v>42.329999707060686</v>
      </c>
      <c r="AD45" s="335">
        <v>45</v>
      </c>
      <c r="AE45" s="239">
        <f t="shared" si="5"/>
        <v>1440</v>
      </c>
      <c r="AF45" s="240">
        <f t="shared" si="16"/>
        <v>24.9</v>
      </c>
    </row>
    <row r="46" spans="1:32" s="221" customFormat="1" ht="21" customHeight="1">
      <c r="A46" s="315"/>
      <c r="B46" s="315"/>
      <c r="C46" s="315"/>
      <c r="D46" s="336">
        <f t="shared" si="23"/>
        <v>1020</v>
      </c>
      <c r="E46" s="319">
        <f t="shared" si="12"/>
        <v>0.70833333333333337</v>
      </c>
      <c r="F46" s="320">
        <f t="shared" si="13"/>
        <v>30.5</v>
      </c>
      <c r="G46" s="320">
        <f t="shared" si="14"/>
        <v>24.9</v>
      </c>
      <c r="H46" s="322"/>
      <c r="I46" s="322"/>
      <c r="J46" s="322"/>
      <c r="K46" s="324">
        <f t="shared" si="15"/>
        <v>0.18696082678323478</v>
      </c>
      <c r="L46" s="289" t="s">
        <v>30</v>
      </c>
      <c r="V46" s="236">
        <f t="shared" si="8"/>
        <v>160</v>
      </c>
      <c r="W46" s="221">
        <f t="shared" si="9"/>
        <v>2.8688829872213799</v>
      </c>
      <c r="X46" s="221">
        <f t="shared" si="10"/>
        <v>0.1</v>
      </c>
      <c r="Y46" s="221">
        <f t="shared" si="11"/>
        <v>5.0000000000000001E-4</v>
      </c>
      <c r="Z46" s="221">
        <f t="shared" si="2"/>
        <v>1.0416666666666667</v>
      </c>
      <c r="AA46" s="337">
        <f t="shared" si="3"/>
        <v>1500</v>
      </c>
      <c r="AB46" s="338">
        <f t="shared" si="0"/>
        <v>42.329999707060686</v>
      </c>
      <c r="AC46" s="240">
        <f t="shared" si="24"/>
        <v>42.329999707060686</v>
      </c>
      <c r="AD46" s="330">
        <v>46</v>
      </c>
      <c r="AE46" s="337">
        <f t="shared" si="5"/>
        <v>1500</v>
      </c>
      <c r="AF46" s="339">
        <f t="shared" si="16"/>
        <v>24.9</v>
      </c>
    </row>
    <row r="47" spans="1:32" s="221" customFormat="1" ht="21" customHeight="1">
      <c r="A47" s="315"/>
      <c r="B47" s="315"/>
      <c r="C47" s="317"/>
      <c r="D47" s="318">
        <f t="shared" si="23"/>
        <v>1080</v>
      </c>
      <c r="E47" s="319">
        <f t="shared" si="12"/>
        <v>0.75</v>
      </c>
      <c r="F47" s="320">
        <f t="shared" si="13"/>
        <v>30.5</v>
      </c>
      <c r="G47" s="320">
        <f t="shared" si="14"/>
        <v>24.9</v>
      </c>
      <c r="H47" s="322"/>
      <c r="I47" s="322"/>
      <c r="J47" s="322"/>
      <c r="K47" s="324">
        <f t="shared" si="15"/>
        <v>0</v>
      </c>
      <c r="L47" s="289" t="s">
        <v>30</v>
      </c>
      <c r="V47" s="236">
        <f t="shared" si="8"/>
        <v>160</v>
      </c>
      <c r="W47" s="221">
        <f t="shared" si="9"/>
        <v>2.8688829872213799</v>
      </c>
      <c r="X47" s="221">
        <f t="shared" si="10"/>
        <v>0.1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42.329999707060686</v>
      </c>
      <c r="AC47" s="240">
        <f t="shared" ref="AC47:AC69" si="25">AC46</f>
        <v>42.329999707060686</v>
      </c>
      <c r="AE47" s="239">
        <f t="shared" si="5"/>
        <v>1560</v>
      </c>
      <c r="AF47" s="240">
        <f t="shared" si="16"/>
        <v>24.9</v>
      </c>
    </row>
    <row r="48" spans="1:32" s="221" customFormat="1" ht="21" customHeight="1">
      <c r="A48" s="315"/>
      <c r="B48" s="315"/>
      <c r="C48" s="317"/>
      <c r="D48" s="318">
        <f t="shared" si="23"/>
        <v>1140</v>
      </c>
      <c r="E48" s="319">
        <f t="shared" si="12"/>
        <v>0.79166666666666663</v>
      </c>
      <c r="F48" s="320">
        <f t="shared" si="13"/>
        <v>30.5</v>
      </c>
      <c r="G48" s="320">
        <f t="shared" si="14"/>
        <v>24.9</v>
      </c>
      <c r="H48" s="322"/>
      <c r="I48" s="322"/>
      <c r="J48" s="322"/>
      <c r="K48" s="221" t="s">
        <v>30</v>
      </c>
      <c r="L48" s="289" t="s">
        <v>30</v>
      </c>
      <c r="V48" s="236">
        <f t="shared" si="8"/>
        <v>160</v>
      </c>
      <c r="W48" s="221">
        <f t="shared" si="9"/>
        <v>2.8688829872213799</v>
      </c>
      <c r="X48" s="221">
        <f t="shared" si="10"/>
        <v>0.1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42.329999707060686</v>
      </c>
      <c r="AC48" s="240">
        <f t="shared" si="25"/>
        <v>42.329999707060686</v>
      </c>
      <c r="AE48" s="239">
        <f t="shared" si="5"/>
        <v>1620</v>
      </c>
      <c r="AF48" s="240">
        <f t="shared" si="16"/>
        <v>24.9</v>
      </c>
    </row>
    <row r="49" spans="1:32" s="221" customFormat="1" ht="21" customHeight="1">
      <c r="A49" s="315"/>
      <c r="B49" s="315"/>
      <c r="C49" s="317"/>
      <c r="D49" s="318">
        <f t="shared" si="23"/>
        <v>1200</v>
      </c>
      <c r="E49" s="319">
        <f t="shared" si="12"/>
        <v>0.83333333333333337</v>
      </c>
      <c r="F49" s="320">
        <f t="shared" si="13"/>
        <v>30.5</v>
      </c>
      <c r="G49" s="320">
        <f t="shared" si="14"/>
        <v>24.9</v>
      </c>
      <c r="H49" s="322"/>
      <c r="I49" s="322"/>
      <c r="J49" s="322"/>
      <c r="K49" s="221" t="s">
        <v>30</v>
      </c>
      <c r="L49" s="289" t="s">
        <v>30</v>
      </c>
      <c r="V49" s="236">
        <f t="shared" si="8"/>
        <v>160</v>
      </c>
      <c r="W49" s="221">
        <f t="shared" si="9"/>
        <v>2.8688829872213799</v>
      </c>
      <c r="X49" s="221">
        <f t="shared" si="10"/>
        <v>0.1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42.329999707060686</v>
      </c>
      <c r="AC49" s="240">
        <f t="shared" si="25"/>
        <v>42.329999707060686</v>
      </c>
      <c r="AE49" s="239">
        <f t="shared" si="5"/>
        <v>1680</v>
      </c>
      <c r="AF49" s="240">
        <f t="shared" si="16"/>
        <v>24.9</v>
      </c>
    </row>
    <row r="50" spans="1:32" s="221" customFormat="1" ht="21" customHeight="1">
      <c r="A50" s="315"/>
      <c r="B50" s="315"/>
      <c r="C50" s="317"/>
      <c r="D50" s="318">
        <f t="shared" si="23"/>
        <v>1260</v>
      </c>
      <c r="E50" s="319">
        <f t="shared" si="12"/>
        <v>0.875</v>
      </c>
      <c r="F50" s="320">
        <f t="shared" si="13"/>
        <v>30.5</v>
      </c>
      <c r="G50" s="320">
        <f t="shared" si="14"/>
        <v>24.9</v>
      </c>
      <c r="H50" s="322"/>
      <c r="I50" s="322"/>
      <c r="J50" s="322"/>
      <c r="K50" s="221" t="s">
        <v>30</v>
      </c>
      <c r="L50" s="289" t="s">
        <v>30</v>
      </c>
      <c r="V50" s="236">
        <f t="shared" si="8"/>
        <v>160</v>
      </c>
      <c r="W50" s="221">
        <f t="shared" si="9"/>
        <v>2.8688829872213799</v>
      </c>
      <c r="X50" s="221">
        <f t="shared" si="10"/>
        <v>0.1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42.329999707060686</v>
      </c>
      <c r="AC50" s="240">
        <f t="shared" si="25"/>
        <v>42.329999707060686</v>
      </c>
      <c r="AE50" s="239">
        <f t="shared" si="5"/>
        <v>1740</v>
      </c>
      <c r="AF50" s="240">
        <f t="shared" si="16"/>
        <v>24.9</v>
      </c>
    </row>
    <row r="51" spans="1:32" s="221" customFormat="1" ht="21" customHeight="1">
      <c r="A51" s="315"/>
      <c r="B51" s="315"/>
      <c r="C51" s="317">
        <f>$C$10+D51/1440</f>
        <v>44989.3125</v>
      </c>
      <c r="D51" s="318">
        <f t="shared" si="23"/>
        <v>1320</v>
      </c>
      <c r="E51" s="319">
        <f t="shared" si="12"/>
        <v>0.91666666666666663</v>
      </c>
      <c r="F51" s="320">
        <f t="shared" si="13"/>
        <v>30.5</v>
      </c>
      <c r="G51" s="320">
        <f t="shared" si="14"/>
        <v>24.9</v>
      </c>
      <c r="H51" s="322"/>
      <c r="I51" s="322"/>
      <c r="J51" s="322"/>
      <c r="K51" s="221" t="s">
        <v>30</v>
      </c>
      <c r="L51" s="289" t="s">
        <v>30</v>
      </c>
      <c r="V51" s="236">
        <f t="shared" si="8"/>
        <v>160</v>
      </c>
      <c r="W51" s="221">
        <f t="shared" si="9"/>
        <v>2.8688829872213799</v>
      </c>
      <c r="X51" s="221">
        <f t="shared" si="10"/>
        <v>0.1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42.329999707060686</v>
      </c>
      <c r="AC51" s="240">
        <f t="shared" si="25"/>
        <v>42.329999707060686</v>
      </c>
      <c r="AE51" s="239">
        <f t="shared" si="5"/>
        <v>1800</v>
      </c>
      <c r="AF51" s="240">
        <f t="shared" si="16"/>
        <v>24.9</v>
      </c>
    </row>
    <row r="52" spans="1:32" s="221" customFormat="1" ht="21" customHeight="1">
      <c r="A52" s="315"/>
      <c r="B52" s="315"/>
      <c r="C52" s="317"/>
      <c r="D52" s="318">
        <f t="shared" si="23"/>
        <v>1380</v>
      </c>
      <c r="E52" s="319">
        <f t="shared" si="12"/>
        <v>0.95833333333333337</v>
      </c>
      <c r="F52" s="320">
        <f t="shared" si="13"/>
        <v>30.5</v>
      </c>
      <c r="G52" s="320">
        <f t="shared" si="14"/>
        <v>24.9</v>
      </c>
      <c r="H52" s="322"/>
      <c r="I52" s="322"/>
      <c r="J52" s="322"/>
      <c r="K52" s="221" t="s">
        <v>30</v>
      </c>
      <c r="L52" s="289" t="s">
        <v>30</v>
      </c>
      <c r="V52" s="236">
        <f t="shared" si="8"/>
        <v>160</v>
      </c>
      <c r="W52" s="221">
        <f t="shared" si="9"/>
        <v>2.8688829872213799</v>
      </c>
      <c r="X52" s="221">
        <f t="shared" si="10"/>
        <v>0.1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42.329999707060686</v>
      </c>
      <c r="AC52" s="240">
        <f t="shared" si="25"/>
        <v>42.329999707060686</v>
      </c>
      <c r="AE52" s="239">
        <f t="shared" si="5"/>
        <v>1860</v>
      </c>
      <c r="AF52" s="240">
        <f t="shared" si="16"/>
        <v>24.9</v>
      </c>
    </row>
    <row r="53" spans="1:32" s="221" customFormat="1" ht="21" customHeight="1">
      <c r="A53" s="315"/>
      <c r="B53" s="315"/>
      <c r="C53" s="317"/>
      <c r="D53" s="318">
        <f t="shared" si="23"/>
        <v>1440</v>
      </c>
      <c r="E53" s="319">
        <f t="shared" si="12"/>
        <v>1</v>
      </c>
      <c r="F53" s="320">
        <f t="shared" si="13"/>
        <v>30.5</v>
      </c>
      <c r="G53" s="320">
        <f t="shared" si="14"/>
        <v>24.9</v>
      </c>
      <c r="H53" s="322"/>
      <c r="I53" s="322"/>
      <c r="J53" s="322"/>
      <c r="K53" s="221" t="s">
        <v>30</v>
      </c>
      <c r="L53" s="289" t="s">
        <v>30</v>
      </c>
      <c r="V53" s="236">
        <f t="shared" si="8"/>
        <v>160</v>
      </c>
      <c r="W53" s="221">
        <f t="shared" si="9"/>
        <v>2.8688829872213799</v>
      </c>
      <c r="X53" s="221">
        <f t="shared" si="10"/>
        <v>0.1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42.329999707060686</v>
      </c>
      <c r="AC53" s="240">
        <f t="shared" si="25"/>
        <v>42.329999707060686</v>
      </c>
      <c r="AE53" s="239">
        <f t="shared" si="5"/>
        <v>1920</v>
      </c>
      <c r="AF53" s="240">
        <f t="shared" si="16"/>
        <v>24.9</v>
      </c>
    </row>
    <row r="54" spans="1:32" s="221" customFormat="1" ht="21" customHeight="1">
      <c r="A54" s="315"/>
      <c r="B54" s="315"/>
      <c r="C54" s="317"/>
      <c r="D54" s="318">
        <f t="shared" si="23"/>
        <v>1500</v>
      </c>
      <c r="E54" s="319">
        <f t="shared" si="12"/>
        <v>1.0416666666666667</v>
      </c>
      <c r="F54" s="320">
        <f t="shared" si="13"/>
        <v>30.5</v>
      </c>
      <c r="G54" s="320">
        <f t="shared" si="14"/>
        <v>24.9</v>
      </c>
      <c r="H54" s="322"/>
      <c r="I54" s="322"/>
      <c r="J54" s="322"/>
      <c r="K54" s="221" t="s">
        <v>30</v>
      </c>
      <c r="L54" s="289" t="s">
        <v>30</v>
      </c>
      <c r="V54" s="236">
        <f t="shared" si="8"/>
        <v>160</v>
      </c>
      <c r="W54" s="221">
        <f t="shared" si="9"/>
        <v>2.8688829872213799</v>
      </c>
      <c r="X54" s="221">
        <f t="shared" si="10"/>
        <v>0.1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42.329999707060686</v>
      </c>
      <c r="AC54" s="240">
        <f t="shared" si="25"/>
        <v>42.329999707060686</v>
      </c>
      <c r="AE54" s="239">
        <f t="shared" si="5"/>
        <v>1980</v>
      </c>
      <c r="AF54" s="240">
        <f t="shared" si="16"/>
        <v>24.9</v>
      </c>
    </row>
    <row r="55" spans="1:32" s="221" customFormat="1" ht="21" customHeight="1">
      <c r="A55" s="315"/>
      <c r="B55" s="315"/>
      <c r="C55" s="317" t="s">
        <v>4</v>
      </c>
      <c r="D55" s="318">
        <f t="shared" si="23"/>
        <v>1560</v>
      </c>
      <c r="E55" s="319">
        <f t="shared" si="12"/>
        <v>1.0833333333333333</v>
      </c>
      <c r="F55" s="320">
        <f t="shared" si="13"/>
        <v>30.5</v>
      </c>
      <c r="G55" s="320">
        <f t="shared" si="14"/>
        <v>24.9</v>
      </c>
      <c r="H55" s="322"/>
      <c r="I55" s="322"/>
      <c r="J55" s="322"/>
      <c r="K55" s="221" t="s">
        <v>30</v>
      </c>
      <c r="L55" s="289" t="s">
        <v>30</v>
      </c>
      <c r="V55" s="236">
        <f t="shared" si="8"/>
        <v>160</v>
      </c>
      <c r="W55" s="221">
        <f t="shared" si="9"/>
        <v>2.8688829872213799</v>
      </c>
      <c r="X55" s="221">
        <f t="shared" si="10"/>
        <v>0.1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42.329999707060686</v>
      </c>
      <c r="AC55" s="240">
        <f t="shared" si="25"/>
        <v>42.329999707060686</v>
      </c>
      <c r="AE55" s="239">
        <f t="shared" si="5"/>
        <v>2040</v>
      </c>
      <c r="AF55" s="240">
        <f t="shared" si="16"/>
        <v>24.9</v>
      </c>
    </row>
    <row r="56" spans="1:32" s="221" customFormat="1" ht="21.6" customHeight="1">
      <c r="A56" s="315"/>
      <c r="B56" s="315"/>
      <c r="C56" s="317">
        <f>$C$10+D56/1440</f>
        <v>44989.520833333336</v>
      </c>
      <c r="D56" s="318">
        <f t="shared" si="23"/>
        <v>1620</v>
      </c>
      <c r="E56" s="319">
        <f t="shared" si="12"/>
        <v>1.125</v>
      </c>
      <c r="F56" s="320">
        <f t="shared" si="13"/>
        <v>30.5</v>
      </c>
      <c r="G56" s="320">
        <f t="shared" si="14"/>
        <v>24.9</v>
      </c>
      <c r="H56" s="322"/>
      <c r="I56" s="322"/>
      <c r="J56" s="322"/>
      <c r="K56" s="221" t="s">
        <v>30</v>
      </c>
      <c r="L56" s="289" t="s">
        <v>30</v>
      </c>
      <c r="V56" s="236">
        <f t="shared" si="8"/>
        <v>160</v>
      </c>
      <c r="W56" s="221">
        <f t="shared" si="9"/>
        <v>2.8688829872213799</v>
      </c>
      <c r="X56" s="221">
        <f t="shared" si="10"/>
        <v>0.1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42.329999707060686</v>
      </c>
      <c r="AC56" s="240">
        <f t="shared" si="25"/>
        <v>42.329999707060686</v>
      </c>
      <c r="AE56" s="239">
        <f t="shared" si="5"/>
        <v>2100</v>
      </c>
      <c r="AF56" s="240">
        <f t="shared" si="16"/>
        <v>24.9</v>
      </c>
    </row>
    <row r="57" spans="1:32" s="221" customFormat="1" ht="21.6" customHeight="1">
      <c r="A57" s="315"/>
      <c r="B57" s="315"/>
      <c r="C57" s="317"/>
      <c r="D57" s="318">
        <f t="shared" si="23"/>
        <v>1680</v>
      </c>
      <c r="E57" s="319">
        <f t="shared" si="12"/>
        <v>1.1666666666666667</v>
      </c>
      <c r="F57" s="320">
        <f t="shared" si="13"/>
        <v>30.5</v>
      </c>
      <c r="G57" s="320">
        <f t="shared" si="14"/>
        <v>24.9</v>
      </c>
      <c r="H57" s="322"/>
      <c r="I57" s="322"/>
      <c r="J57" s="322"/>
      <c r="K57" s="221" t="s">
        <v>30</v>
      </c>
      <c r="L57" s="289" t="s">
        <v>30</v>
      </c>
      <c r="V57" s="236">
        <f t="shared" si="8"/>
        <v>160</v>
      </c>
      <c r="W57" s="221">
        <f t="shared" si="9"/>
        <v>2.8688829872213799</v>
      </c>
      <c r="X57" s="221">
        <f t="shared" si="10"/>
        <v>0.1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42.329999707060686</v>
      </c>
      <c r="AC57" s="240">
        <f t="shared" si="25"/>
        <v>42.329999707060686</v>
      </c>
      <c r="AE57" s="239">
        <f t="shared" si="5"/>
        <v>2160</v>
      </c>
      <c r="AF57" s="240">
        <f t="shared" si="16"/>
        <v>24.9</v>
      </c>
    </row>
    <row r="58" spans="1:32" s="221" customFormat="1" ht="21.6" customHeight="1">
      <c r="A58" s="315"/>
      <c r="B58" s="315"/>
      <c r="C58" s="317"/>
      <c r="D58" s="318">
        <f t="shared" si="23"/>
        <v>1740</v>
      </c>
      <c r="E58" s="319">
        <f t="shared" si="12"/>
        <v>1.2083333333333333</v>
      </c>
      <c r="F58" s="320">
        <f t="shared" si="13"/>
        <v>30.5</v>
      </c>
      <c r="G58" s="320">
        <f t="shared" si="14"/>
        <v>24.9</v>
      </c>
      <c r="H58" s="322"/>
      <c r="I58" s="322"/>
      <c r="J58" s="322"/>
      <c r="K58" s="221" t="s">
        <v>30</v>
      </c>
      <c r="L58" s="289" t="s">
        <v>30</v>
      </c>
      <c r="V58" s="236">
        <f t="shared" si="8"/>
        <v>160</v>
      </c>
      <c r="W58" s="221">
        <f t="shared" si="9"/>
        <v>2.8688829872213799</v>
      </c>
      <c r="X58" s="221">
        <f t="shared" si="10"/>
        <v>0.1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42.329999707060686</v>
      </c>
      <c r="AC58" s="240">
        <f t="shared" si="25"/>
        <v>42.329999707060686</v>
      </c>
      <c r="AE58" s="239">
        <f t="shared" si="5"/>
        <v>2220</v>
      </c>
      <c r="AF58" s="240">
        <f t="shared" si="16"/>
        <v>24.9</v>
      </c>
    </row>
    <row r="59" spans="1:32" s="221" customFormat="1" ht="21.6" customHeight="1">
      <c r="A59" s="315"/>
      <c r="B59" s="315"/>
      <c r="C59" s="317"/>
      <c r="D59" s="318">
        <f t="shared" si="23"/>
        <v>1800</v>
      </c>
      <c r="E59" s="319">
        <f t="shared" si="12"/>
        <v>1.25</v>
      </c>
      <c r="F59" s="320">
        <f t="shared" si="13"/>
        <v>30.5</v>
      </c>
      <c r="G59" s="320">
        <f t="shared" si="14"/>
        <v>24.9</v>
      </c>
      <c r="H59" s="322"/>
      <c r="I59" s="322"/>
      <c r="J59" s="322"/>
      <c r="K59" s="221" t="s">
        <v>30</v>
      </c>
      <c r="L59" s="289" t="s">
        <v>30</v>
      </c>
      <c r="V59" s="236">
        <f t="shared" si="8"/>
        <v>160</v>
      </c>
      <c r="W59" s="221">
        <f t="shared" si="9"/>
        <v>2.8688829872213799</v>
      </c>
      <c r="X59" s="221">
        <f t="shared" si="10"/>
        <v>0.1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42.329999707060686</v>
      </c>
      <c r="AC59" s="240">
        <f t="shared" si="25"/>
        <v>42.329999707060686</v>
      </c>
      <c r="AE59" s="239">
        <f t="shared" si="5"/>
        <v>2280</v>
      </c>
      <c r="AF59" s="240">
        <f t="shared" si="16"/>
        <v>24.9</v>
      </c>
    </row>
    <row r="60" spans="1:32" s="221" customFormat="1" ht="21.6" customHeight="1">
      <c r="A60" s="315"/>
      <c r="B60" s="315"/>
      <c r="C60" s="317"/>
      <c r="D60" s="318">
        <f t="shared" si="23"/>
        <v>1860</v>
      </c>
      <c r="E60" s="319">
        <f t="shared" si="12"/>
        <v>1.2916666666666667</v>
      </c>
      <c r="F60" s="320">
        <f t="shared" si="13"/>
        <v>30.5</v>
      </c>
      <c r="G60" s="320">
        <f t="shared" si="14"/>
        <v>24.9</v>
      </c>
      <c r="H60" s="322"/>
      <c r="I60" s="322"/>
      <c r="J60" s="322"/>
      <c r="K60" s="221" t="s">
        <v>30</v>
      </c>
      <c r="L60" s="289" t="s">
        <v>30</v>
      </c>
      <c r="V60" s="236">
        <f t="shared" si="8"/>
        <v>160</v>
      </c>
      <c r="W60" s="221">
        <f t="shared" si="9"/>
        <v>2.8688829872213799</v>
      </c>
      <c r="X60" s="221">
        <f t="shared" si="10"/>
        <v>0.1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42.329999707060686</v>
      </c>
      <c r="AC60" s="240">
        <f t="shared" si="25"/>
        <v>42.329999707060686</v>
      </c>
      <c r="AE60" s="239">
        <f t="shared" si="5"/>
        <v>2340</v>
      </c>
      <c r="AF60" s="240">
        <f t="shared" si="16"/>
        <v>24.9</v>
      </c>
    </row>
    <row r="61" spans="1:32" s="221" customFormat="1" ht="21.6" customHeight="1">
      <c r="A61" s="315"/>
      <c r="B61" s="315"/>
      <c r="C61" s="317">
        <f>$C$10+D61/1440</f>
        <v>44989.729166666672</v>
      </c>
      <c r="D61" s="318">
        <f t="shared" si="23"/>
        <v>1920</v>
      </c>
      <c r="E61" s="319">
        <f t="shared" si="12"/>
        <v>1.3333333333333333</v>
      </c>
      <c r="F61" s="320">
        <f t="shared" si="13"/>
        <v>30.5</v>
      </c>
      <c r="G61" s="320">
        <f t="shared" si="14"/>
        <v>24.9</v>
      </c>
      <c r="H61" s="322"/>
      <c r="I61" s="322"/>
      <c r="J61" s="322"/>
      <c r="K61" s="221" t="s">
        <v>30</v>
      </c>
      <c r="L61" s="289" t="s">
        <v>30</v>
      </c>
      <c r="V61" s="236">
        <f t="shared" si="8"/>
        <v>160</v>
      </c>
      <c r="W61" s="221">
        <f t="shared" si="9"/>
        <v>2.8688829872213799</v>
      </c>
      <c r="X61" s="221">
        <f t="shared" si="10"/>
        <v>0.1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42.329999707060686</v>
      </c>
      <c r="AC61" s="240">
        <f t="shared" si="25"/>
        <v>42.329999707060686</v>
      </c>
      <c r="AE61" s="239">
        <f t="shared" si="5"/>
        <v>2400</v>
      </c>
      <c r="AF61" s="240">
        <f t="shared" si="16"/>
        <v>24.9</v>
      </c>
    </row>
    <row r="62" spans="1:32" s="221" customFormat="1" ht="21.6" customHeight="1">
      <c r="A62" s="315"/>
      <c r="B62" s="315"/>
      <c r="C62" s="317"/>
      <c r="D62" s="318">
        <f t="shared" si="23"/>
        <v>1980</v>
      </c>
      <c r="E62" s="319">
        <f t="shared" si="12"/>
        <v>1.375</v>
      </c>
      <c r="F62" s="320">
        <f t="shared" si="13"/>
        <v>30.5</v>
      </c>
      <c r="G62" s="320">
        <f t="shared" si="14"/>
        <v>24.9</v>
      </c>
      <c r="H62" s="322"/>
      <c r="I62" s="322"/>
      <c r="J62" s="322"/>
      <c r="K62" s="221" t="s">
        <v>30</v>
      </c>
      <c r="L62" s="289" t="s">
        <v>30</v>
      </c>
      <c r="V62" s="236">
        <f t="shared" si="8"/>
        <v>160</v>
      </c>
      <c r="W62" s="221">
        <f t="shared" si="9"/>
        <v>2.8688829872213799</v>
      </c>
      <c r="X62" s="221">
        <f t="shared" si="10"/>
        <v>0.1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42.329999707060686</v>
      </c>
      <c r="AC62" s="240">
        <f t="shared" si="25"/>
        <v>42.329999707060686</v>
      </c>
      <c r="AE62" s="239">
        <f t="shared" si="5"/>
        <v>2460</v>
      </c>
      <c r="AF62" s="240">
        <f t="shared" si="16"/>
        <v>24.9</v>
      </c>
    </row>
    <row r="63" spans="1:32" s="221" customFormat="1" ht="21.6" customHeight="1">
      <c r="A63" s="315"/>
      <c r="B63" s="315"/>
      <c r="C63" s="317"/>
      <c r="D63" s="318">
        <f t="shared" si="23"/>
        <v>2040</v>
      </c>
      <c r="E63" s="319">
        <f t="shared" si="12"/>
        <v>1.4166666666666667</v>
      </c>
      <c r="F63" s="320">
        <f>F62</f>
        <v>30.5</v>
      </c>
      <c r="G63" s="320">
        <f t="shared" si="14"/>
        <v>24.9</v>
      </c>
      <c r="H63" s="322"/>
      <c r="I63" s="322"/>
      <c r="J63" s="322"/>
      <c r="K63" s="221" t="s">
        <v>30</v>
      </c>
      <c r="L63" s="289" t="s">
        <v>30</v>
      </c>
      <c r="V63" s="236">
        <f t="shared" si="8"/>
        <v>160</v>
      </c>
      <c r="W63" s="221">
        <f t="shared" si="9"/>
        <v>2.8688829872213799</v>
      </c>
      <c r="X63" s="221">
        <f t="shared" si="10"/>
        <v>0.1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42.329999707060686</v>
      </c>
      <c r="AC63" s="240">
        <f t="shared" si="25"/>
        <v>42.329999707060686</v>
      </c>
      <c r="AE63" s="239">
        <f t="shared" si="5"/>
        <v>2520</v>
      </c>
      <c r="AF63" s="240">
        <f t="shared" si="16"/>
        <v>24.9</v>
      </c>
    </row>
    <row r="64" spans="1:32" s="221" customFormat="1" ht="21.6" customHeight="1">
      <c r="A64" s="315"/>
      <c r="B64" s="315"/>
      <c r="C64" s="317"/>
      <c r="D64" s="318">
        <f t="shared" si="23"/>
        <v>2100</v>
      </c>
      <c r="E64" s="319">
        <f t="shared" si="12"/>
        <v>1.4583333333333333</v>
      </c>
      <c r="F64" s="320">
        <f t="shared" ref="F64:F77" si="26">F63</f>
        <v>30.5</v>
      </c>
      <c r="G64" s="320">
        <f t="shared" si="14"/>
        <v>24.9</v>
      </c>
      <c r="H64" s="322"/>
      <c r="I64" s="322"/>
      <c r="J64" s="322"/>
      <c r="K64" s="221" t="s">
        <v>30</v>
      </c>
      <c r="L64" s="289" t="s">
        <v>30</v>
      </c>
      <c r="V64" s="236">
        <f t="shared" si="8"/>
        <v>160</v>
      </c>
      <c r="W64" s="221">
        <f t="shared" si="9"/>
        <v>2.8688829872213799</v>
      </c>
      <c r="X64" s="221">
        <f t="shared" si="10"/>
        <v>0.1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42.329999707060686</v>
      </c>
      <c r="AC64" s="240">
        <f t="shared" si="25"/>
        <v>42.329999707060686</v>
      </c>
      <c r="AE64" s="239">
        <f t="shared" si="5"/>
        <v>2580</v>
      </c>
      <c r="AF64" s="240">
        <f t="shared" si="16"/>
        <v>24.9</v>
      </c>
    </row>
    <row r="65" spans="1:32" s="221" customFormat="1" ht="21.6" customHeight="1">
      <c r="A65" s="315"/>
      <c r="B65" s="315"/>
      <c r="C65" s="317"/>
      <c r="D65" s="318">
        <f t="shared" si="23"/>
        <v>2160</v>
      </c>
      <c r="E65" s="319">
        <f t="shared" si="12"/>
        <v>1.5</v>
      </c>
      <c r="F65" s="320">
        <f t="shared" si="26"/>
        <v>30.5</v>
      </c>
      <c r="G65" s="320">
        <f t="shared" si="14"/>
        <v>24.9</v>
      </c>
      <c r="H65" s="322"/>
      <c r="I65" s="322"/>
      <c r="J65" s="322"/>
      <c r="K65" s="221" t="s">
        <v>30</v>
      </c>
      <c r="L65" s="289" t="s">
        <v>30</v>
      </c>
      <c r="V65" s="236">
        <f t="shared" si="8"/>
        <v>160</v>
      </c>
      <c r="W65" s="221">
        <f t="shared" si="9"/>
        <v>2.8688829872213799</v>
      </c>
      <c r="X65" s="221">
        <f t="shared" si="10"/>
        <v>0.1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42.329999707060686</v>
      </c>
      <c r="AC65" s="240">
        <f t="shared" si="25"/>
        <v>42.329999707060686</v>
      </c>
      <c r="AE65" s="239">
        <f t="shared" si="5"/>
        <v>2640</v>
      </c>
      <c r="AF65" s="240">
        <f t="shared" si="16"/>
        <v>24.9</v>
      </c>
    </row>
    <row r="66" spans="1:32" s="221" customFormat="1" ht="21.6" customHeight="1">
      <c r="A66" s="315"/>
      <c r="B66" s="315"/>
      <c r="C66" s="317">
        <f>$C$10+D66/1440</f>
        <v>44989.9375</v>
      </c>
      <c r="D66" s="318">
        <f t="shared" si="23"/>
        <v>2220</v>
      </c>
      <c r="E66" s="319">
        <f t="shared" si="12"/>
        <v>1.5416666666666667</v>
      </c>
      <c r="F66" s="320">
        <f t="shared" si="26"/>
        <v>30.5</v>
      </c>
      <c r="G66" s="320">
        <f t="shared" si="14"/>
        <v>24.9</v>
      </c>
      <c r="H66" s="322"/>
      <c r="I66" s="322"/>
      <c r="J66" s="322"/>
      <c r="K66" s="221" t="s">
        <v>30</v>
      </c>
      <c r="L66" s="289" t="s">
        <v>30</v>
      </c>
      <c r="V66" s="236">
        <f t="shared" si="8"/>
        <v>160</v>
      </c>
      <c r="W66" s="221">
        <f t="shared" si="9"/>
        <v>2.8688829872213799</v>
      </c>
      <c r="X66" s="221">
        <f t="shared" si="10"/>
        <v>0.1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42.329999707060686</v>
      </c>
      <c r="AC66" s="240">
        <f t="shared" si="25"/>
        <v>42.329999707060686</v>
      </c>
      <c r="AE66" s="239">
        <f t="shared" si="5"/>
        <v>2700</v>
      </c>
      <c r="AF66" s="240">
        <f t="shared" si="16"/>
        <v>24.9</v>
      </c>
    </row>
    <row r="67" spans="1:32" s="221" customFormat="1" ht="21.6" customHeight="1">
      <c r="A67" s="315"/>
      <c r="B67" s="315"/>
      <c r="C67" s="317"/>
      <c r="D67" s="318">
        <f t="shared" si="23"/>
        <v>2280</v>
      </c>
      <c r="E67" s="319">
        <f t="shared" si="12"/>
        <v>1.5833333333333333</v>
      </c>
      <c r="F67" s="320">
        <f t="shared" si="26"/>
        <v>30.5</v>
      </c>
      <c r="G67" s="320">
        <f t="shared" si="14"/>
        <v>24.9</v>
      </c>
      <c r="H67" s="322"/>
      <c r="I67" s="322"/>
      <c r="J67" s="322"/>
      <c r="K67" s="221" t="s">
        <v>30</v>
      </c>
      <c r="L67" s="289" t="s">
        <v>30</v>
      </c>
      <c r="V67" s="236">
        <f t="shared" si="8"/>
        <v>160</v>
      </c>
      <c r="W67" s="221">
        <f t="shared" si="9"/>
        <v>2.8688829872213799</v>
      </c>
      <c r="X67" s="221">
        <f t="shared" si="10"/>
        <v>0.1</v>
      </c>
      <c r="Y67" s="221">
        <f t="shared" si="11"/>
        <v>5.0000000000000001E-4</v>
      </c>
      <c r="Z67" s="221">
        <f t="shared" ref="Z67:Z79" si="27">E75</f>
        <v>1.9166666666666667</v>
      </c>
      <c r="AA67" s="239">
        <f t="shared" ref="AA67:AA79" si="28">D75</f>
        <v>2760</v>
      </c>
      <c r="AB67" s="290">
        <f>AC67+AD$2</f>
        <v>42.329999707060686</v>
      </c>
      <c r="AC67" s="240">
        <f t="shared" si="25"/>
        <v>42.329999707060686</v>
      </c>
      <c r="AE67" s="239">
        <f>AA67</f>
        <v>2760</v>
      </c>
      <c r="AF67" s="240">
        <f t="shared" si="16"/>
        <v>24.9</v>
      </c>
    </row>
    <row r="68" spans="1:32" s="221" customFormat="1" ht="21.6" customHeight="1">
      <c r="A68" s="315"/>
      <c r="B68" s="315"/>
      <c r="C68" s="317" t="s">
        <v>4</v>
      </c>
      <c r="D68" s="318">
        <f t="shared" si="23"/>
        <v>2340</v>
      </c>
      <c r="E68" s="319">
        <f t="shared" si="12"/>
        <v>1.625</v>
      </c>
      <c r="F68" s="320">
        <f t="shared" si="26"/>
        <v>30.5</v>
      </c>
      <c r="G68" s="320">
        <f t="shared" si="14"/>
        <v>24.9</v>
      </c>
      <c r="H68" s="322"/>
      <c r="I68" s="322"/>
      <c r="J68" s="322"/>
      <c r="K68" s="221" t="s">
        <v>30</v>
      </c>
      <c r="L68" s="289" t="s">
        <v>30</v>
      </c>
      <c r="V68" s="236">
        <f>V67</f>
        <v>160</v>
      </c>
      <c r="W68" s="221">
        <f t="shared" ref="W68:W83" si="29">W$2</f>
        <v>2.8688829872213799</v>
      </c>
      <c r="X68" s="221">
        <f t="shared" ref="X68:X83" si="30">X67</f>
        <v>0.1</v>
      </c>
      <c r="Y68" s="221">
        <f t="shared" ref="Y68:Y83" si="31">Y$2</f>
        <v>5.0000000000000001E-4</v>
      </c>
      <c r="Z68" s="221">
        <f t="shared" si="27"/>
        <v>1.9583333333333333</v>
      </c>
      <c r="AA68" s="239">
        <f t="shared" si="28"/>
        <v>2820</v>
      </c>
      <c r="AB68" s="290">
        <f>AC68+AD$2</f>
        <v>42.329999707060686</v>
      </c>
      <c r="AC68" s="240">
        <f t="shared" si="25"/>
        <v>42.329999707060686</v>
      </c>
      <c r="AE68" s="239">
        <f>AA68</f>
        <v>2820</v>
      </c>
      <c r="AF68" s="240">
        <f t="shared" si="16"/>
        <v>24.9</v>
      </c>
    </row>
    <row r="69" spans="1:32" s="221" customFormat="1" ht="21.6" customHeight="1">
      <c r="A69" s="315"/>
      <c r="B69" s="315"/>
      <c r="C69" s="317"/>
      <c r="D69" s="318">
        <f t="shared" si="23"/>
        <v>2400</v>
      </c>
      <c r="E69" s="319">
        <f t="shared" si="12"/>
        <v>1.6666666666666667</v>
      </c>
      <c r="F69" s="320">
        <f t="shared" si="26"/>
        <v>30.5</v>
      </c>
      <c r="G69" s="320">
        <f t="shared" si="14"/>
        <v>24.9</v>
      </c>
      <c r="H69" s="322"/>
      <c r="I69" s="322"/>
      <c r="J69" s="322"/>
      <c r="K69" s="221" t="s">
        <v>30</v>
      </c>
      <c r="L69" s="289" t="s">
        <v>30</v>
      </c>
      <c r="V69" s="236">
        <f>V68</f>
        <v>160</v>
      </c>
      <c r="W69" s="221">
        <f t="shared" si="29"/>
        <v>2.8688829872213799</v>
      </c>
      <c r="X69" s="221">
        <f t="shared" si="30"/>
        <v>0.1</v>
      </c>
      <c r="Y69" s="221">
        <f t="shared" si="31"/>
        <v>5.0000000000000001E-4</v>
      </c>
      <c r="Z69" s="221">
        <f t="shared" si="27"/>
        <v>2</v>
      </c>
      <c r="AA69" s="239">
        <f t="shared" si="28"/>
        <v>2880</v>
      </c>
      <c r="AB69" s="290">
        <f>AC69+AD$2</f>
        <v>42.329999707060686</v>
      </c>
      <c r="AC69" s="240">
        <f t="shared" si="25"/>
        <v>42.329999707060686</v>
      </c>
      <c r="AE69" s="239">
        <f>AA69</f>
        <v>2880</v>
      </c>
      <c r="AF69" s="240">
        <f t="shared" si="16"/>
        <v>24.9</v>
      </c>
    </row>
    <row r="70" spans="1:32" s="221" customFormat="1" ht="21.6" customHeight="1">
      <c r="A70" s="315"/>
      <c r="B70" s="315"/>
      <c r="C70" s="317"/>
      <c r="D70" s="318">
        <f t="shared" si="23"/>
        <v>2460</v>
      </c>
      <c r="E70" s="319">
        <f t="shared" si="12"/>
        <v>1.7083333333333333</v>
      </c>
      <c r="F70" s="320">
        <f t="shared" si="26"/>
        <v>30.5</v>
      </c>
      <c r="G70" s="320">
        <f t="shared" si="14"/>
        <v>24.9</v>
      </c>
      <c r="H70" s="322"/>
      <c r="I70" s="322"/>
      <c r="J70" s="322"/>
      <c r="K70" s="221" t="s">
        <v>30</v>
      </c>
      <c r="L70" s="289" t="s">
        <v>30</v>
      </c>
      <c r="V70" s="236"/>
      <c r="W70" s="221">
        <f t="shared" si="29"/>
        <v>2.8688829872213799</v>
      </c>
      <c r="X70" s="221">
        <f t="shared" si="30"/>
        <v>0.1</v>
      </c>
      <c r="Y70" s="221">
        <f t="shared" si="31"/>
        <v>5.0000000000000001E-4</v>
      </c>
      <c r="Z70" s="221">
        <f t="shared" si="27"/>
        <v>6.9444444444444447E-4</v>
      </c>
      <c r="AA70" s="239">
        <f t="shared" si="28"/>
        <v>1</v>
      </c>
      <c r="AB70" s="290"/>
      <c r="AC70" s="240"/>
      <c r="AF70" s="240"/>
    </row>
    <row r="71" spans="1:32" s="221" customFormat="1" ht="21.6" customHeight="1">
      <c r="A71" s="315"/>
      <c r="B71" s="315"/>
      <c r="C71" s="317">
        <f>$C$10+D71/1440</f>
        <v>44990.145833333336</v>
      </c>
      <c r="D71" s="318">
        <f t="shared" si="23"/>
        <v>2520</v>
      </c>
      <c r="E71" s="319">
        <f t="shared" si="12"/>
        <v>1.75</v>
      </c>
      <c r="F71" s="320">
        <f t="shared" si="26"/>
        <v>30.5</v>
      </c>
      <c r="G71" s="320">
        <f t="shared" si="14"/>
        <v>24.9</v>
      </c>
      <c r="H71" s="322"/>
      <c r="I71" s="322"/>
      <c r="J71" s="322"/>
      <c r="K71" s="221" t="s">
        <v>30</v>
      </c>
      <c r="L71" s="289" t="s">
        <v>30</v>
      </c>
      <c r="V71" s="236"/>
      <c r="W71" s="221">
        <f t="shared" si="29"/>
        <v>2.8688829872213799</v>
      </c>
      <c r="X71" s="221">
        <f t="shared" si="30"/>
        <v>0.1</v>
      </c>
      <c r="Y71" s="221">
        <f t="shared" si="31"/>
        <v>5.0000000000000001E-4</v>
      </c>
      <c r="Z71" s="221">
        <f t="shared" si="27"/>
        <v>1.3888888888888889E-3</v>
      </c>
      <c r="AA71" s="239">
        <f t="shared" si="28"/>
        <v>2</v>
      </c>
      <c r="AB71" s="290"/>
      <c r="AC71" s="240"/>
      <c r="AF71" s="240"/>
    </row>
    <row r="72" spans="1:32" s="221" customFormat="1" ht="21.6" customHeight="1">
      <c r="A72" s="315"/>
      <c r="B72" s="315"/>
      <c r="C72" s="317"/>
      <c r="D72" s="318">
        <f t="shared" si="23"/>
        <v>2580</v>
      </c>
      <c r="E72" s="319">
        <f t="shared" si="12"/>
        <v>1.7916666666666667</v>
      </c>
      <c r="F72" s="320">
        <f t="shared" si="26"/>
        <v>30.5</v>
      </c>
      <c r="G72" s="320">
        <f t="shared" si="14"/>
        <v>24.9</v>
      </c>
      <c r="H72" s="322"/>
      <c r="I72" s="322"/>
      <c r="J72" s="322"/>
      <c r="K72" s="221" t="s">
        <v>30</v>
      </c>
      <c r="L72" s="289" t="s">
        <v>30</v>
      </c>
      <c r="V72" s="236"/>
      <c r="W72" s="221">
        <f t="shared" si="29"/>
        <v>2.8688829872213799</v>
      </c>
      <c r="X72" s="221">
        <f t="shared" si="30"/>
        <v>0.1</v>
      </c>
      <c r="Y72" s="221">
        <f t="shared" si="31"/>
        <v>5.0000000000000001E-4</v>
      </c>
      <c r="Z72" s="221">
        <f t="shared" si="27"/>
        <v>2.0833333333333333E-3</v>
      </c>
      <c r="AA72" s="239">
        <f t="shared" si="28"/>
        <v>3</v>
      </c>
      <c r="AB72" s="290"/>
      <c r="AC72" s="240"/>
      <c r="AF72" s="240"/>
    </row>
    <row r="73" spans="1:32" s="221" customFormat="1" ht="21.6" customHeight="1">
      <c r="A73" s="315"/>
      <c r="B73" s="315"/>
      <c r="C73" s="317"/>
      <c r="D73" s="318">
        <f t="shared" si="23"/>
        <v>2640</v>
      </c>
      <c r="E73" s="319">
        <f t="shared" si="12"/>
        <v>1.8333333333333333</v>
      </c>
      <c r="F73" s="320">
        <f t="shared" si="26"/>
        <v>30.5</v>
      </c>
      <c r="G73" s="320">
        <f t="shared" si="14"/>
        <v>24.9</v>
      </c>
      <c r="H73" s="322"/>
      <c r="I73" s="322"/>
      <c r="J73" s="322"/>
      <c r="K73" s="221" t="s">
        <v>30</v>
      </c>
      <c r="L73" s="289" t="s">
        <v>30</v>
      </c>
      <c r="V73" s="236"/>
      <c r="W73" s="221">
        <f t="shared" si="29"/>
        <v>2.8688829872213799</v>
      </c>
      <c r="X73" s="221">
        <f t="shared" si="30"/>
        <v>0.1</v>
      </c>
      <c r="Y73" s="221">
        <f t="shared" si="31"/>
        <v>5.0000000000000001E-4</v>
      </c>
      <c r="Z73" s="221">
        <f t="shared" si="27"/>
        <v>2.7777777777777779E-3</v>
      </c>
      <c r="AA73" s="239">
        <f t="shared" si="28"/>
        <v>4</v>
      </c>
      <c r="AB73" s="290"/>
      <c r="AC73" s="240"/>
      <c r="AF73" s="240"/>
    </row>
    <row r="74" spans="1:32" s="221" customFormat="1" ht="21.6" customHeight="1">
      <c r="A74" s="315"/>
      <c r="B74" s="315"/>
      <c r="C74" s="317"/>
      <c r="D74" s="318">
        <f t="shared" si="23"/>
        <v>2700</v>
      </c>
      <c r="E74" s="319">
        <f t="shared" si="12"/>
        <v>1.875</v>
      </c>
      <c r="F74" s="320">
        <f t="shared" si="26"/>
        <v>30.5</v>
      </c>
      <c r="G74" s="320">
        <f t="shared" si="14"/>
        <v>24.9</v>
      </c>
      <c r="H74" s="322"/>
      <c r="I74" s="322"/>
      <c r="J74" s="322"/>
      <c r="K74" s="221" t="s">
        <v>30</v>
      </c>
      <c r="L74" s="289" t="s">
        <v>30</v>
      </c>
      <c r="V74" s="236"/>
      <c r="W74" s="221">
        <f t="shared" si="29"/>
        <v>2.8688829872213799</v>
      </c>
      <c r="X74" s="221">
        <f t="shared" si="30"/>
        <v>0.1</v>
      </c>
      <c r="Y74" s="221">
        <f t="shared" si="31"/>
        <v>5.0000000000000001E-4</v>
      </c>
      <c r="Z74" s="221">
        <f t="shared" si="27"/>
        <v>3.472222222222222E-3</v>
      </c>
      <c r="AA74" s="239">
        <f t="shared" si="28"/>
        <v>5</v>
      </c>
      <c r="AB74" s="290"/>
      <c r="AC74" s="240"/>
      <c r="AF74" s="240"/>
    </row>
    <row r="75" spans="1:32" s="221" customFormat="1" ht="21.6" customHeight="1">
      <c r="A75" s="315"/>
      <c r="B75" s="315"/>
      <c r="C75" s="317"/>
      <c r="D75" s="318">
        <f t="shared" si="23"/>
        <v>2760</v>
      </c>
      <c r="E75" s="319">
        <f>D75/1440</f>
        <v>1.9166666666666667</v>
      </c>
      <c r="F75" s="320">
        <f t="shared" si="26"/>
        <v>30.5</v>
      </c>
      <c r="G75" s="320">
        <f>AF67</f>
        <v>24.9</v>
      </c>
      <c r="H75" s="322"/>
      <c r="I75" s="322"/>
      <c r="J75" s="322"/>
      <c r="K75" s="221" t="s">
        <v>30</v>
      </c>
      <c r="L75" s="289" t="s">
        <v>30</v>
      </c>
      <c r="V75" s="236"/>
      <c r="W75" s="221">
        <f t="shared" si="29"/>
        <v>2.8688829872213799</v>
      </c>
      <c r="X75" s="221">
        <f t="shared" si="30"/>
        <v>0.1</v>
      </c>
      <c r="Y75" s="221">
        <f t="shared" si="31"/>
        <v>5.0000000000000001E-4</v>
      </c>
      <c r="Z75" s="221">
        <f t="shared" si="27"/>
        <v>6.9444444444444441E-3</v>
      </c>
      <c r="AA75" s="239">
        <f t="shared" si="28"/>
        <v>10</v>
      </c>
      <c r="AB75" s="290"/>
      <c r="AC75" s="240"/>
      <c r="AF75" s="240"/>
    </row>
    <row r="76" spans="1:32" s="221" customFormat="1" ht="21.6" customHeight="1">
      <c r="A76" s="315"/>
      <c r="B76" s="315"/>
      <c r="C76" s="317"/>
      <c r="D76" s="318">
        <f t="shared" si="23"/>
        <v>2820</v>
      </c>
      <c r="E76" s="319">
        <f>D76/1440</f>
        <v>1.9583333333333333</v>
      </c>
      <c r="F76" s="320">
        <f t="shared" si="26"/>
        <v>30.5</v>
      </c>
      <c r="G76" s="320">
        <f>AF68</f>
        <v>24.9</v>
      </c>
      <c r="H76" s="322"/>
      <c r="I76" s="322"/>
      <c r="J76" s="322"/>
      <c r="K76" s="221" t="s">
        <v>30</v>
      </c>
      <c r="L76" s="289" t="s">
        <v>30</v>
      </c>
      <c r="V76" s="236"/>
      <c r="W76" s="221">
        <f t="shared" si="29"/>
        <v>2.8688829872213799</v>
      </c>
      <c r="X76" s="221">
        <f t="shared" si="30"/>
        <v>0.1</v>
      </c>
      <c r="Y76" s="221">
        <f t="shared" si="31"/>
        <v>5.0000000000000001E-4</v>
      </c>
      <c r="Z76" s="221">
        <f t="shared" si="27"/>
        <v>1.0416666666666666E-2</v>
      </c>
      <c r="AA76" s="239">
        <f t="shared" si="28"/>
        <v>15</v>
      </c>
      <c r="AB76" s="290"/>
      <c r="AC76" s="240"/>
      <c r="AF76" s="240"/>
    </row>
    <row r="77" spans="1:32" s="221" customFormat="1" ht="21.6" customHeight="1">
      <c r="A77" s="315"/>
      <c r="B77" s="315"/>
      <c r="C77" s="317">
        <f>$C$10+D77/1440</f>
        <v>44990.395833333336</v>
      </c>
      <c r="D77" s="318">
        <f>D76+60</f>
        <v>2880</v>
      </c>
      <c r="E77" s="319">
        <f>D77/1440</f>
        <v>2</v>
      </c>
      <c r="F77" s="321">
        <f t="shared" si="26"/>
        <v>30.5</v>
      </c>
      <c r="G77" s="320">
        <f>AF69</f>
        <v>24.9</v>
      </c>
      <c r="H77" s="322" t="s">
        <v>199</v>
      </c>
      <c r="I77" s="322"/>
      <c r="J77" s="322"/>
      <c r="K77" s="221" t="s">
        <v>30</v>
      </c>
      <c r="L77" s="289" t="s">
        <v>30</v>
      </c>
      <c r="V77" s="236"/>
      <c r="W77" s="221">
        <f t="shared" si="29"/>
        <v>2.8688829872213799</v>
      </c>
      <c r="X77" s="221">
        <f t="shared" si="30"/>
        <v>0.1</v>
      </c>
      <c r="Y77" s="221">
        <f t="shared" si="31"/>
        <v>5.0000000000000001E-4</v>
      </c>
      <c r="Z77" s="221">
        <f t="shared" si="27"/>
        <v>1.3888888888888888E-2</v>
      </c>
      <c r="AA77" s="239">
        <f t="shared" si="28"/>
        <v>20</v>
      </c>
      <c r="AB77" s="290"/>
      <c r="AC77" s="240"/>
      <c r="AF77" s="240"/>
    </row>
    <row r="78" spans="1:32" s="221" customFormat="1" ht="20.45" customHeight="1">
      <c r="A78" s="315">
        <v>2</v>
      </c>
      <c r="B78" s="315">
        <v>0</v>
      </c>
      <c r="C78" s="317">
        <f>$C$10+(D78+2880)/1440</f>
        <v>44990.396527777782</v>
      </c>
      <c r="D78" s="318">
        <v>1</v>
      </c>
      <c r="E78" s="319">
        <f t="shared" ref="E78:E101" si="32">D78/1440</f>
        <v>6.9444444444444447E-4</v>
      </c>
      <c r="F78" s="320">
        <f>G78+D$8</f>
        <v>21.475647176711846</v>
      </c>
      <c r="G78" s="320">
        <f>H114</f>
        <v>15.875647176711848</v>
      </c>
      <c r="H78" s="474" t="s">
        <v>210</v>
      </c>
      <c r="I78" s="474"/>
      <c r="J78" s="474"/>
      <c r="K78" s="221" t="s">
        <v>30</v>
      </c>
      <c r="L78" s="289"/>
      <c r="V78" s="236"/>
      <c r="W78" s="221">
        <f t="shared" si="29"/>
        <v>2.8688829872213799</v>
      </c>
      <c r="X78" s="221">
        <f t="shared" si="30"/>
        <v>0.1</v>
      </c>
      <c r="Y78" s="221">
        <f t="shared" si="31"/>
        <v>5.0000000000000001E-4</v>
      </c>
      <c r="Z78" s="221">
        <f t="shared" si="27"/>
        <v>1.7361111111111112E-2</v>
      </c>
      <c r="AA78" s="239">
        <f t="shared" si="28"/>
        <v>25</v>
      </c>
      <c r="AB78" s="290"/>
      <c r="AC78" s="240"/>
      <c r="AF78" s="240"/>
    </row>
    <row r="79" spans="1:32" s="221" customFormat="1" ht="20.45" customHeight="1">
      <c r="A79" s="315"/>
      <c r="B79" s="315"/>
      <c r="C79" s="315" t="s">
        <v>30</v>
      </c>
      <c r="D79" s="318">
        <v>2</v>
      </c>
      <c r="E79" s="319">
        <f t="shared" si="32"/>
        <v>1.3888888888888889E-3</v>
      </c>
      <c r="F79" s="320">
        <f t="shared" ref="F79:F101" si="33">G79+D$8</f>
        <v>20.016022719845346</v>
      </c>
      <c r="G79" s="320">
        <f>H115</f>
        <v>14.416022719845344</v>
      </c>
      <c r="H79" s="474"/>
      <c r="I79" s="474"/>
      <c r="J79" s="474"/>
      <c r="K79" s="221" t="s">
        <v>30</v>
      </c>
      <c r="L79" s="289" t="s">
        <v>30</v>
      </c>
      <c r="V79" s="236"/>
      <c r="W79" s="221">
        <f t="shared" si="29"/>
        <v>2.8688829872213799</v>
      </c>
      <c r="X79" s="221">
        <f t="shared" si="30"/>
        <v>0.1</v>
      </c>
      <c r="Y79" s="221">
        <f t="shared" si="31"/>
        <v>5.0000000000000001E-4</v>
      </c>
      <c r="Z79" s="221">
        <f t="shared" si="27"/>
        <v>2.0833333333333332E-2</v>
      </c>
      <c r="AA79" s="239">
        <f t="shared" si="28"/>
        <v>30</v>
      </c>
      <c r="AB79" s="290"/>
      <c r="AC79" s="240"/>
      <c r="AF79" s="240"/>
    </row>
    <row r="80" spans="1:32" s="221" customFormat="1" ht="20.45" customHeight="1">
      <c r="A80" s="315"/>
      <c r="B80" s="315"/>
      <c r="C80" s="317" t="s">
        <v>30</v>
      </c>
      <c r="D80" s="318">
        <v>3</v>
      </c>
      <c r="E80" s="319">
        <f t="shared" si="32"/>
        <v>2.0833333333333333E-3</v>
      </c>
      <c r="F80" s="320">
        <f t="shared" si="33"/>
        <v>18.690597740415463</v>
      </c>
      <c r="G80" s="320">
        <f>H116</f>
        <v>13.090597740415465</v>
      </c>
      <c r="H80" s="474"/>
      <c r="I80" s="474"/>
      <c r="J80" s="474"/>
      <c r="K80" s="221" t="s">
        <v>30</v>
      </c>
      <c r="L80" s="289" t="s">
        <v>30</v>
      </c>
      <c r="V80" s="236"/>
      <c r="W80" s="221">
        <f t="shared" si="29"/>
        <v>2.8688829872213799</v>
      </c>
      <c r="X80" s="221">
        <f t="shared" si="30"/>
        <v>0.1</v>
      </c>
      <c r="Y80" s="221">
        <f t="shared" si="31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5"/>
      <c r="B81" s="315"/>
      <c r="C81" s="317" t="s">
        <v>30</v>
      </c>
      <c r="D81" s="318">
        <v>4</v>
      </c>
      <c r="E81" s="319">
        <f t="shared" si="32"/>
        <v>2.7777777777777779E-3</v>
      </c>
      <c r="F81" s="320">
        <f t="shared" si="33"/>
        <v>17.487033790912943</v>
      </c>
      <c r="G81" s="320">
        <f>H117</f>
        <v>11.887033790912943</v>
      </c>
      <c r="H81" s="474"/>
      <c r="I81" s="474"/>
      <c r="J81" s="474"/>
      <c r="K81" s="221" t="s">
        <v>30</v>
      </c>
      <c r="L81" s="289" t="s">
        <v>30</v>
      </c>
      <c r="V81" s="236"/>
      <c r="W81" s="221">
        <f t="shared" si="29"/>
        <v>2.8688829872213799</v>
      </c>
      <c r="X81" s="221">
        <f t="shared" si="30"/>
        <v>0.1</v>
      </c>
      <c r="Y81" s="221">
        <f t="shared" si="31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5"/>
      <c r="B82" s="315"/>
      <c r="C82" s="317" t="s">
        <v>30</v>
      </c>
      <c r="D82" s="318">
        <v>5</v>
      </c>
      <c r="E82" s="319">
        <f t="shared" si="32"/>
        <v>3.472222222222222E-3</v>
      </c>
      <c r="F82" s="320">
        <f t="shared" si="33"/>
        <v>16.394126834258799</v>
      </c>
      <c r="G82" s="320">
        <f>H118</f>
        <v>10.794126834258801</v>
      </c>
      <c r="H82" s="474"/>
      <c r="I82" s="474"/>
      <c r="J82" s="474"/>
      <c r="K82" s="221" t="s">
        <v>30</v>
      </c>
      <c r="L82" s="289" t="s">
        <v>30</v>
      </c>
      <c r="V82" s="236"/>
      <c r="W82" s="221">
        <f t="shared" si="29"/>
        <v>2.8688829872213799</v>
      </c>
      <c r="X82" s="221">
        <f t="shared" si="30"/>
        <v>0.1</v>
      </c>
      <c r="Y82" s="221">
        <f t="shared" si="31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5"/>
      <c r="B83" s="315"/>
      <c r="C83" s="317" t="s">
        <v>30</v>
      </c>
      <c r="D83" s="318">
        <v>10</v>
      </c>
      <c r="E83" s="319">
        <f t="shared" si="32"/>
        <v>6.9444444444444441E-3</v>
      </c>
      <c r="F83" s="320">
        <f t="shared" si="33"/>
        <v>13.682199673122872</v>
      </c>
      <c r="G83" s="320">
        <f>H121</f>
        <v>8.0821996731228722</v>
      </c>
      <c r="H83" s="474"/>
      <c r="I83" s="474"/>
      <c r="J83" s="474"/>
      <c r="K83" s="221" t="s">
        <v>30</v>
      </c>
      <c r="L83" s="289" t="s">
        <v>30</v>
      </c>
      <c r="V83" s="236"/>
      <c r="W83" s="221">
        <f t="shared" si="29"/>
        <v>2.8688829872213799</v>
      </c>
      <c r="X83" s="221">
        <f t="shared" si="30"/>
        <v>0.1</v>
      </c>
      <c r="Y83" s="221">
        <f t="shared" si="31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5"/>
      <c r="B84" s="315"/>
      <c r="C84" s="317" t="s">
        <v>30</v>
      </c>
      <c r="D84" s="318">
        <v>15</v>
      </c>
      <c r="E84" s="319">
        <f t="shared" si="32"/>
        <v>1.0416666666666666E-2</v>
      </c>
      <c r="F84" s="320">
        <f t="shared" si="33"/>
        <v>13.178889736633955</v>
      </c>
      <c r="G84" s="320">
        <f>H124</f>
        <v>7.5788897366339549</v>
      </c>
      <c r="H84" s="474"/>
      <c r="I84" s="474"/>
      <c r="J84" s="474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5"/>
      <c r="B85" s="315"/>
      <c r="C85" s="317" t="s">
        <v>30</v>
      </c>
      <c r="D85" s="318">
        <v>20</v>
      </c>
      <c r="E85" s="319">
        <f t="shared" si="32"/>
        <v>1.3888888888888888E-2</v>
      </c>
      <c r="F85" s="320">
        <f t="shared" si="33"/>
        <v>11.849332437091052</v>
      </c>
      <c r="G85" s="320">
        <f>H126</f>
        <v>6.2493324370910521</v>
      </c>
      <c r="H85" s="474"/>
      <c r="I85" s="474"/>
      <c r="J85" s="474"/>
      <c r="K85" s="221" t="s">
        <v>30</v>
      </c>
      <c r="L85" s="289" t="s">
        <v>30</v>
      </c>
      <c r="V85" s="236"/>
      <c r="AA85" s="239">
        <f>D100</f>
        <v>300</v>
      </c>
      <c r="AB85" s="340"/>
      <c r="AF85" s="240"/>
    </row>
    <row r="86" spans="1:32" s="221" customFormat="1" ht="20.45" customHeight="1">
      <c r="A86" s="315"/>
      <c r="B86" s="315"/>
      <c r="C86" s="317" t="s">
        <v>30</v>
      </c>
      <c r="D86" s="318">
        <v>25</v>
      </c>
      <c r="E86" s="319">
        <f t="shared" si="32"/>
        <v>1.7361111111111112E-2</v>
      </c>
      <c r="F86" s="320">
        <f t="shared" si="33"/>
        <v>11.274761941618721</v>
      </c>
      <c r="G86" s="320">
        <f t="shared" ref="G86:G92" si="34">H127</f>
        <v>5.6747619416187218</v>
      </c>
      <c r="H86" s="474"/>
      <c r="I86" s="474"/>
      <c r="J86" s="474"/>
      <c r="K86" s="221" t="s">
        <v>30</v>
      </c>
      <c r="L86" s="289" t="s">
        <v>30</v>
      </c>
      <c r="V86" s="236"/>
      <c r="AA86" s="239">
        <f>D101</f>
        <v>360</v>
      </c>
      <c r="AB86" s="340"/>
      <c r="AF86" s="240"/>
    </row>
    <row r="87" spans="1:32" s="221" customFormat="1" ht="20.45" customHeight="1">
      <c r="A87" s="315"/>
      <c r="B87" s="315"/>
      <c r="C87" s="317" t="s">
        <v>30</v>
      </c>
      <c r="D87" s="318">
        <v>30</v>
      </c>
      <c r="E87" s="319">
        <f t="shared" si="32"/>
        <v>2.0833333333333332E-2</v>
      </c>
      <c r="F87" s="320">
        <f t="shared" si="33"/>
        <v>10.753018089246368</v>
      </c>
      <c r="G87" s="320">
        <f t="shared" si="34"/>
        <v>5.1530180892463671</v>
      </c>
      <c r="H87" s="474"/>
      <c r="I87" s="474"/>
      <c r="J87" s="474"/>
      <c r="K87" s="221" t="s">
        <v>30</v>
      </c>
      <c r="L87" s="289" t="s">
        <v>30</v>
      </c>
      <c r="V87" s="236" t="s">
        <v>30</v>
      </c>
      <c r="AA87" s="239" t="s">
        <v>30</v>
      </c>
      <c r="AB87" s="340"/>
    </row>
    <row r="88" spans="1:32" s="221" customFormat="1" ht="20.45" customHeight="1">
      <c r="A88" s="315"/>
      <c r="B88" s="315"/>
      <c r="C88" s="317"/>
      <c r="D88" s="318">
        <v>35</v>
      </c>
      <c r="E88" s="319">
        <f t="shared" si="32"/>
        <v>2.4305555555555556E-2</v>
      </c>
      <c r="F88" s="320">
        <f t="shared" si="33"/>
        <v>10.589989979949859</v>
      </c>
      <c r="G88" s="320">
        <f t="shared" si="34"/>
        <v>4.9899899799498595</v>
      </c>
      <c r="H88" s="474"/>
      <c r="I88" s="474"/>
      <c r="J88" s="474"/>
      <c r="L88" s="289"/>
      <c r="V88" s="236"/>
      <c r="AA88" s="239"/>
      <c r="AB88" s="340"/>
    </row>
    <row r="89" spans="1:32" s="221" customFormat="1" ht="20.45" customHeight="1">
      <c r="A89" s="315"/>
      <c r="B89" s="315"/>
      <c r="C89" s="317"/>
      <c r="D89" s="318">
        <v>40</v>
      </c>
      <c r="E89" s="319">
        <f t="shared" si="32"/>
        <v>2.7777777777777776E-2</v>
      </c>
      <c r="F89" s="320">
        <f t="shared" si="33"/>
        <v>10.432119656626636</v>
      </c>
      <c r="G89" s="320">
        <f t="shared" si="34"/>
        <v>4.8321196566266362</v>
      </c>
      <c r="H89" s="474"/>
      <c r="I89" s="474"/>
      <c r="J89" s="474"/>
      <c r="L89" s="289"/>
      <c r="V89" s="236"/>
      <c r="AA89" s="239"/>
      <c r="AB89" s="340"/>
    </row>
    <row r="90" spans="1:32" s="221" customFormat="1" ht="20.45" customHeight="1">
      <c r="A90" s="315"/>
      <c r="B90" s="315"/>
      <c r="C90" s="317" t="s">
        <v>30</v>
      </c>
      <c r="D90" s="318">
        <v>45</v>
      </c>
      <c r="E90" s="319">
        <f t="shared" si="32"/>
        <v>3.125E-2</v>
      </c>
      <c r="F90" s="320">
        <f t="shared" si="33"/>
        <v>10.279243940323932</v>
      </c>
      <c r="G90" s="320">
        <f t="shared" si="34"/>
        <v>4.6792439403239321</v>
      </c>
      <c r="H90" s="474"/>
      <c r="I90" s="474"/>
      <c r="J90" s="474"/>
      <c r="K90" s="221" t="s">
        <v>30</v>
      </c>
      <c r="L90" s="289" t="s">
        <v>30</v>
      </c>
      <c r="V90" s="236" t="s">
        <v>30</v>
      </c>
      <c r="AA90" s="239" t="s">
        <v>30</v>
      </c>
      <c r="AB90" s="340"/>
    </row>
    <row r="91" spans="1:32" s="221" customFormat="1" ht="20.45" customHeight="1">
      <c r="A91" s="315"/>
      <c r="B91" s="315"/>
      <c r="C91" s="317"/>
      <c r="D91" s="318">
        <v>50</v>
      </c>
      <c r="E91" s="319">
        <f t="shared" si="32"/>
        <v>3.4722222222222224E-2</v>
      </c>
      <c r="F91" s="320">
        <f t="shared" si="33"/>
        <v>10.131204814647251</v>
      </c>
      <c r="G91" s="320">
        <f t="shared" si="34"/>
        <v>4.5312048146472526</v>
      </c>
      <c r="H91" s="474"/>
      <c r="I91" s="474"/>
      <c r="J91" s="474"/>
      <c r="L91" s="289"/>
      <c r="V91" s="236"/>
      <c r="AA91" s="239"/>
      <c r="AB91" s="340"/>
    </row>
    <row r="92" spans="1:32" s="221" customFormat="1" ht="20.45" customHeight="1">
      <c r="A92" s="315"/>
      <c r="B92" s="315"/>
      <c r="C92" s="317"/>
      <c r="D92" s="318">
        <v>55</v>
      </c>
      <c r="E92" s="319">
        <f t="shared" si="32"/>
        <v>3.8194444444444448E-2</v>
      </c>
      <c r="F92" s="320">
        <f t="shared" si="33"/>
        <v>9.9878492624304336</v>
      </c>
      <c r="G92" s="320">
        <f t="shared" si="34"/>
        <v>4.3878492624304339</v>
      </c>
      <c r="H92" s="474"/>
      <c r="I92" s="474"/>
      <c r="J92" s="474"/>
      <c r="L92" s="289"/>
      <c r="V92" s="236"/>
      <c r="AA92" s="239"/>
      <c r="AB92" s="340"/>
    </row>
    <row r="93" spans="1:32" s="221" customFormat="1" ht="20.45" customHeight="1">
      <c r="A93" s="315"/>
      <c r="B93" s="315"/>
      <c r="C93" s="317">
        <f>$C$10+(D93+2880)/1440</f>
        <v>44990.4375</v>
      </c>
      <c r="D93" s="318">
        <v>60</v>
      </c>
      <c r="E93" s="319">
        <f t="shared" si="32"/>
        <v>4.1666666666666664E-2</v>
      </c>
      <c r="F93" s="320">
        <f t="shared" si="33"/>
        <v>9.8490291075730454</v>
      </c>
      <c r="G93" s="320">
        <f>H134</f>
        <v>4.2490291075730449</v>
      </c>
      <c r="H93" s="474"/>
      <c r="I93" s="474"/>
      <c r="J93" s="474"/>
      <c r="K93" s="221" t="s">
        <v>30</v>
      </c>
      <c r="L93" s="289" t="s">
        <v>30</v>
      </c>
      <c r="V93" s="236" t="s">
        <v>30</v>
      </c>
      <c r="AA93" s="239" t="s">
        <v>30</v>
      </c>
      <c r="AB93" s="340"/>
    </row>
    <row r="94" spans="1:32" s="221" customFormat="1" ht="20.45" customHeight="1">
      <c r="A94" s="315"/>
      <c r="B94" s="315"/>
      <c r="C94" s="317"/>
      <c r="D94" s="318">
        <v>75</v>
      </c>
      <c r="E94" s="319">
        <f t="shared" si="32"/>
        <v>5.2083333333333336E-2</v>
      </c>
      <c r="F94" s="320">
        <f t="shared" si="33"/>
        <v>9.7146008618816406</v>
      </c>
      <c r="G94" s="320">
        <f>H135</f>
        <v>4.114600861881641</v>
      </c>
      <c r="H94" s="474"/>
      <c r="I94" s="474"/>
      <c r="J94" s="474"/>
      <c r="L94" s="289"/>
      <c r="V94" s="236"/>
      <c r="AA94" s="239"/>
      <c r="AB94" s="340"/>
    </row>
    <row r="95" spans="1:32" s="221" customFormat="1" ht="20.45" customHeight="1">
      <c r="A95" s="315"/>
      <c r="B95" s="315"/>
      <c r="C95" s="317"/>
      <c r="D95" s="318">
        <v>90</v>
      </c>
      <c r="E95" s="319">
        <f t="shared" si="32"/>
        <v>6.25E-2</v>
      </c>
      <c r="F95" s="320">
        <f t="shared" si="33"/>
        <v>9.5844255767565603</v>
      </c>
      <c r="G95" s="320">
        <f>H136</f>
        <v>3.9844255767565602</v>
      </c>
      <c r="H95" s="474"/>
      <c r="I95" s="474"/>
      <c r="J95" s="474"/>
      <c r="L95" s="289"/>
      <c r="V95" s="236"/>
      <c r="AA95" s="239"/>
      <c r="AB95" s="340"/>
    </row>
    <row r="96" spans="1:32" s="221" customFormat="1" ht="20.45" customHeight="1">
      <c r="A96" s="315"/>
      <c r="B96" s="315"/>
      <c r="C96" s="317"/>
      <c r="D96" s="318">
        <v>105</v>
      </c>
      <c r="E96" s="319">
        <f t="shared" si="32"/>
        <v>7.2916666666666671E-2</v>
      </c>
      <c r="F96" s="320">
        <f t="shared" si="33"/>
        <v>9.4583686995709684</v>
      </c>
      <c r="G96" s="320">
        <f>H137</f>
        <v>3.8583686995709683</v>
      </c>
      <c r="H96" s="474"/>
      <c r="I96" s="474"/>
      <c r="J96" s="474"/>
      <c r="L96" s="289"/>
      <c r="V96" s="236"/>
      <c r="AA96" s="239"/>
      <c r="AB96" s="340"/>
    </row>
    <row r="97" spans="1:28" s="221" customFormat="1" ht="20.45" customHeight="1">
      <c r="A97" s="315"/>
      <c r="B97" s="315"/>
      <c r="C97" s="317">
        <f>$C$10+(D97+2880)/1440</f>
        <v>44990.479166666672</v>
      </c>
      <c r="D97" s="318">
        <v>120</v>
      </c>
      <c r="E97" s="319">
        <f t="shared" si="32"/>
        <v>8.3333333333333329E-2</v>
      </c>
      <c r="F97" s="320">
        <f t="shared" si="33"/>
        <v>9.1036260390157935</v>
      </c>
      <c r="G97" s="320">
        <f>H138</f>
        <v>3.5036260390157947</v>
      </c>
      <c r="H97" s="474"/>
      <c r="I97" s="474"/>
      <c r="J97" s="474"/>
      <c r="K97" s="221" t="s">
        <v>30</v>
      </c>
      <c r="L97" s="289" t="s">
        <v>30</v>
      </c>
      <c r="V97" s="236" t="s">
        <v>30</v>
      </c>
      <c r="AA97" s="239" t="s">
        <v>30</v>
      </c>
      <c r="AB97" s="340"/>
    </row>
    <row r="98" spans="1:28" s="221" customFormat="1" ht="20.45" customHeight="1">
      <c r="A98" s="315"/>
      <c r="B98" s="315"/>
      <c r="C98" s="317" t="s">
        <v>30</v>
      </c>
      <c r="D98" s="318">
        <v>180</v>
      </c>
      <c r="E98" s="319">
        <f t="shared" si="32"/>
        <v>0.125</v>
      </c>
      <c r="F98" s="320">
        <f t="shared" si="33"/>
        <v>8.9927804105064073</v>
      </c>
      <c r="G98" s="320">
        <f>H140</f>
        <v>3.3927804105064072</v>
      </c>
      <c r="H98" s="474"/>
      <c r="I98" s="474"/>
      <c r="J98" s="474"/>
      <c r="K98" s="324"/>
      <c r="L98" s="289" t="s">
        <v>30</v>
      </c>
      <c r="V98" s="236" t="str">
        <f t="shared" ref="V98:V103" si="35">V97</f>
        <v xml:space="preserve"> </v>
      </c>
      <c r="AA98" s="239" t="s">
        <v>30</v>
      </c>
      <c r="AB98" s="340"/>
    </row>
    <row r="99" spans="1:28" s="221" customFormat="1" ht="20.45" customHeight="1">
      <c r="A99" s="315"/>
      <c r="B99" s="315"/>
      <c r="C99" s="317">
        <f>$C$10+(D99+2880)/1440</f>
        <v>44990.5625</v>
      </c>
      <c r="D99" s="318">
        <v>240</v>
      </c>
      <c r="E99" s="319">
        <f t="shared" si="32"/>
        <v>0.16666666666666666</v>
      </c>
      <c r="F99" s="320">
        <f t="shared" si="33"/>
        <v>8.3975882230899952</v>
      </c>
      <c r="G99" s="320">
        <f>H142</f>
        <v>2.7975882230899956</v>
      </c>
      <c r="H99" s="474"/>
      <c r="I99" s="474"/>
      <c r="J99" s="474"/>
      <c r="V99" s="236" t="str">
        <f t="shared" si="35"/>
        <v xml:space="preserve"> </v>
      </c>
      <c r="AA99" s="239" t="s">
        <v>30</v>
      </c>
      <c r="AB99" s="340"/>
    </row>
    <row r="100" spans="1:28" s="221" customFormat="1" ht="20.45" customHeight="1">
      <c r="A100" s="315"/>
      <c r="B100" s="315"/>
      <c r="C100" s="317" t="s">
        <v>30</v>
      </c>
      <c r="D100" s="318">
        <v>300</v>
      </c>
      <c r="E100" s="319">
        <f t="shared" si="32"/>
        <v>0.20833333333333334</v>
      </c>
      <c r="F100" s="320">
        <f t="shared" si="33"/>
        <v>7.9068100257050391</v>
      </c>
      <c r="G100" s="320">
        <f>H144</f>
        <v>2.3068100257050395</v>
      </c>
      <c r="H100" s="474"/>
      <c r="I100" s="474"/>
      <c r="J100" s="474"/>
      <c r="V100" s="236" t="str">
        <f t="shared" si="35"/>
        <v xml:space="preserve"> </v>
      </c>
      <c r="AA100" s="239" t="s">
        <v>30</v>
      </c>
      <c r="AB100" s="340"/>
    </row>
    <row r="101" spans="1:28" s="221" customFormat="1" ht="20.45" customHeight="1">
      <c r="A101" s="315"/>
      <c r="B101" s="315"/>
      <c r="C101" s="317">
        <f>$C$10+(D101+2880)/1440</f>
        <v>44990.645833333336</v>
      </c>
      <c r="D101" s="318">
        <v>360</v>
      </c>
      <c r="E101" s="319">
        <f t="shared" si="32"/>
        <v>0.25</v>
      </c>
      <c r="F101" s="321">
        <f t="shared" si="33"/>
        <v>7.5021285730234144</v>
      </c>
      <c r="G101" s="341">
        <f>H146</f>
        <v>1.902128573023415</v>
      </c>
      <c r="H101" s="474"/>
      <c r="I101" s="474"/>
      <c r="J101" s="474"/>
      <c r="V101" s="236" t="str">
        <f t="shared" si="35"/>
        <v xml:space="preserve"> </v>
      </c>
      <c r="AA101" s="239" t="s">
        <v>30</v>
      </c>
      <c r="AB101" s="340"/>
    </row>
    <row r="102" spans="1:28" s="221" customFormat="1" ht="17.25" customHeight="1">
      <c r="D102" s="342"/>
      <c r="V102" s="236" t="str">
        <f t="shared" si="35"/>
        <v xml:space="preserve"> </v>
      </c>
      <c r="AA102" s="239" t="s">
        <v>30</v>
      </c>
      <c r="AB102" s="340"/>
    </row>
    <row r="103" spans="1:28" s="221" customFormat="1" ht="17.25" customHeight="1">
      <c r="D103" s="342"/>
      <c r="V103" s="236" t="str">
        <f t="shared" si="35"/>
        <v xml:space="preserve"> </v>
      </c>
      <c r="AA103" s="239"/>
      <c r="AB103" s="340"/>
    </row>
    <row r="104" spans="1:28" s="221" customFormat="1" ht="17.25" customHeight="1">
      <c r="D104" s="342"/>
      <c r="AA104" s="239"/>
      <c r="AB104" s="340"/>
    </row>
    <row r="105" spans="1:28" s="221" customFormat="1" ht="17.25" customHeight="1">
      <c r="D105" s="342"/>
      <c r="AA105" s="239"/>
      <c r="AB105" s="340"/>
    </row>
    <row r="106" spans="1:28" s="221" customFormat="1" ht="17.25" customHeight="1">
      <c r="AA106" s="239"/>
      <c r="AB106" s="340"/>
    </row>
    <row r="107" spans="1:28" s="221" customFormat="1" ht="17.25" customHeight="1">
      <c r="AA107" s="239"/>
      <c r="AB107" s="340"/>
    </row>
    <row r="108" spans="1:28" s="221" customFormat="1" ht="17.25" customHeight="1">
      <c r="AA108" s="239"/>
      <c r="AB108" s="340"/>
    </row>
    <row r="109" spans="1:28" s="221" customFormat="1" ht="17.25" customHeight="1">
      <c r="AA109" s="239"/>
      <c r="AB109" s="340"/>
    </row>
    <row r="110" spans="1:28" s="221" customFormat="1" ht="17.25" customHeight="1">
      <c r="C110" s="228">
        <v>3</v>
      </c>
      <c r="D110" s="343">
        <f>G77</f>
        <v>24.9</v>
      </c>
      <c r="F110" s="344" t="s">
        <v>211</v>
      </c>
      <c r="H110" s="345" t="s">
        <v>212</v>
      </c>
      <c r="I110" s="346"/>
      <c r="AA110" s="239"/>
      <c r="AB110" s="340"/>
    </row>
    <row r="111" spans="1:28" s="221" customFormat="1" ht="17.25" hidden="1" customHeight="1">
      <c r="B111" s="221">
        <v>1</v>
      </c>
      <c r="C111" s="221">
        <v>95</v>
      </c>
      <c r="D111" s="347">
        <f>D110</f>
        <v>24.9</v>
      </c>
      <c r="E111" s="281">
        <f>C111/100</f>
        <v>0.95</v>
      </c>
      <c r="F111" s="315" t="s">
        <v>30</v>
      </c>
      <c r="G111" s="221">
        <v>1</v>
      </c>
      <c r="H111" s="348">
        <f t="shared" ref="H111:H146" si="36">D111^E111</f>
        <v>21.202612671304788</v>
      </c>
      <c r="I111" s="240"/>
      <c r="AA111" s="239"/>
      <c r="AB111" s="340"/>
    </row>
    <row r="112" spans="1:28" s="221" customFormat="1" ht="17.25" hidden="1" customHeight="1">
      <c r="B112" s="221">
        <v>2</v>
      </c>
      <c r="C112" s="221">
        <f t="shared" ref="C112:C119" si="37">C111-C$110</f>
        <v>92</v>
      </c>
      <c r="D112" s="346">
        <f>D111</f>
        <v>24.9</v>
      </c>
      <c r="E112" s="281">
        <f t="shared" ref="E112:E141" si="38">C112/100</f>
        <v>0.92</v>
      </c>
      <c r="F112" s="349"/>
      <c r="G112" s="221">
        <v>2</v>
      </c>
      <c r="H112" s="348">
        <f t="shared" si="36"/>
        <v>19.253221149811299</v>
      </c>
      <c r="I112" s="240"/>
      <c r="J112" s="241">
        <f>H111-H112</f>
        <v>1.9493915214934887</v>
      </c>
      <c r="AA112" s="239"/>
      <c r="AB112" s="340"/>
    </row>
    <row r="113" spans="1:28" s="221" customFormat="1" ht="17.25" hidden="1" customHeight="1">
      <c r="B113" s="221">
        <v>3</v>
      </c>
      <c r="C113" s="221">
        <f t="shared" si="37"/>
        <v>89</v>
      </c>
      <c r="D113" s="346">
        <f t="shared" ref="D113:D146" si="39">D112</f>
        <v>24.9</v>
      </c>
      <c r="E113" s="281">
        <f t="shared" si="38"/>
        <v>0.89</v>
      </c>
      <c r="F113" s="315" t="s">
        <v>30</v>
      </c>
      <c r="G113" s="221">
        <v>3</v>
      </c>
      <c r="H113" s="348">
        <f t="shared" si="36"/>
        <v>17.48305882818023</v>
      </c>
      <c r="I113" s="240"/>
      <c r="J113" s="241">
        <f t="shared" ref="J113:J146" si="40">H112-H113</f>
        <v>1.7701623216310693</v>
      </c>
      <c r="AA113" s="239"/>
      <c r="AB113" s="340"/>
    </row>
    <row r="114" spans="1:28" s="221" customFormat="1" ht="17.25" customHeight="1">
      <c r="B114" s="221">
        <v>4</v>
      </c>
      <c r="C114" s="221">
        <f t="shared" si="37"/>
        <v>86</v>
      </c>
      <c r="D114" s="346">
        <f t="shared" si="39"/>
        <v>24.9</v>
      </c>
      <c r="E114" s="281">
        <f t="shared" si="38"/>
        <v>0.86</v>
      </c>
      <c r="F114" s="349">
        <v>1</v>
      </c>
      <c r="G114" s="350">
        <v>4</v>
      </c>
      <c r="H114" s="351">
        <f t="shared" si="36"/>
        <v>15.875647176711848</v>
      </c>
      <c r="I114" s="352"/>
      <c r="J114" s="241">
        <f t="shared" si="40"/>
        <v>1.6074116514683823</v>
      </c>
      <c r="AA114" s="239"/>
      <c r="AB114" s="340"/>
    </row>
    <row r="115" spans="1:28" s="221" customFormat="1" ht="17.25" customHeight="1">
      <c r="B115" s="221">
        <v>5</v>
      </c>
      <c r="C115" s="221">
        <f t="shared" si="37"/>
        <v>83</v>
      </c>
      <c r="D115" s="346">
        <f t="shared" si="39"/>
        <v>24.9</v>
      </c>
      <c r="E115" s="281">
        <f t="shared" si="38"/>
        <v>0.83</v>
      </c>
      <c r="F115" s="349">
        <v>2</v>
      </c>
      <c r="G115" s="350">
        <v>5</v>
      </c>
      <c r="H115" s="351">
        <f t="shared" si="36"/>
        <v>14.416022719845344</v>
      </c>
      <c r="I115" s="352"/>
      <c r="J115" s="241">
        <f t="shared" si="40"/>
        <v>1.4596244568665036</v>
      </c>
      <c r="AA115" s="239"/>
      <c r="AB115" s="340"/>
    </row>
    <row r="116" spans="1:28" s="221" customFormat="1" ht="17.25" customHeight="1">
      <c r="B116" s="221">
        <v>6</v>
      </c>
      <c r="C116" s="221">
        <f t="shared" si="37"/>
        <v>80</v>
      </c>
      <c r="D116" s="346">
        <f t="shared" si="39"/>
        <v>24.9</v>
      </c>
      <c r="E116" s="281">
        <f t="shared" si="38"/>
        <v>0.8</v>
      </c>
      <c r="F116" s="349">
        <v>3</v>
      </c>
      <c r="G116" s="350">
        <v>6</v>
      </c>
      <c r="H116" s="351">
        <f t="shared" si="36"/>
        <v>13.090597740415465</v>
      </c>
      <c r="I116" s="352"/>
      <c r="J116" s="241">
        <f t="shared" si="40"/>
        <v>1.3254249794298794</v>
      </c>
      <c r="AA116" s="239"/>
      <c r="AB116" s="340"/>
    </row>
    <row r="117" spans="1:28" s="221" customFormat="1" ht="17.25" customHeight="1">
      <c r="B117" s="221">
        <v>7</v>
      </c>
      <c r="C117" s="221">
        <f t="shared" si="37"/>
        <v>77</v>
      </c>
      <c r="D117" s="346">
        <f t="shared" si="39"/>
        <v>24.9</v>
      </c>
      <c r="E117" s="281">
        <f t="shared" si="38"/>
        <v>0.77</v>
      </c>
      <c r="F117" s="349">
        <v>4</v>
      </c>
      <c r="G117" s="350">
        <v>7</v>
      </c>
      <c r="H117" s="351">
        <f t="shared" si="36"/>
        <v>11.887033790912943</v>
      </c>
      <c r="I117" s="352"/>
      <c r="J117" s="241">
        <f t="shared" si="40"/>
        <v>1.2035639495025219</v>
      </c>
      <c r="AA117" s="239"/>
      <c r="AB117" s="340"/>
    </row>
    <row r="118" spans="1:28" s="221" customFormat="1" ht="17.25" customHeight="1">
      <c r="B118" s="221">
        <v>8</v>
      </c>
      <c r="C118" s="221">
        <f t="shared" si="37"/>
        <v>74</v>
      </c>
      <c r="D118" s="346">
        <f t="shared" si="39"/>
        <v>24.9</v>
      </c>
      <c r="E118" s="281">
        <f t="shared" si="38"/>
        <v>0.74</v>
      </c>
      <c r="F118" s="349">
        <v>5</v>
      </c>
      <c r="G118" s="350">
        <v>8</v>
      </c>
      <c r="H118" s="351">
        <f t="shared" si="36"/>
        <v>10.794126834258801</v>
      </c>
      <c r="I118" s="352"/>
      <c r="J118" s="241">
        <f t="shared" si="40"/>
        <v>1.0929069566541418</v>
      </c>
      <c r="AA118" s="239"/>
      <c r="AB118" s="340"/>
    </row>
    <row r="119" spans="1:28" s="221" customFormat="1" ht="17.25" hidden="1" customHeight="1">
      <c r="B119" s="221">
        <v>9</v>
      </c>
      <c r="C119" s="221">
        <f t="shared" si="37"/>
        <v>71</v>
      </c>
      <c r="D119" s="346">
        <f t="shared" si="39"/>
        <v>24.9</v>
      </c>
      <c r="E119" s="281">
        <f t="shared" si="38"/>
        <v>0.71</v>
      </c>
      <c r="F119" s="315"/>
      <c r="G119" s="221">
        <v>9</v>
      </c>
      <c r="H119" s="353">
        <f t="shared" si="36"/>
        <v>9.8017029448620328</v>
      </c>
      <c r="I119" s="354"/>
      <c r="J119" s="241">
        <f t="shared" si="40"/>
        <v>0.99242388939676829</v>
      </c>
      <c r="AA119" s="239"/>
      <c r="AB119" s="340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6">
        <f t="shared" si="39"/>
        <v>24.9</v>
      </c>
      <c r="E120" s="281">
        <f t="shared" si="38"/>
        <v>0.68</v>
      </c>
      <c r="F120" s="315" t="s">
        <v>30</v>
      </c>
      <c r="G120" s="221">
        <v>10</v>
      </c>
      <c r="H120" s="348">
        <f t="shared" si="36"/>
        <v>8.9005235990368252</v>
      </c>
      <c r="I120" s="240"/>
      <c r="J120" s="241">
        <f t="shared" si="40"/>
        <v>0.90117934582520753</v>
      </c>
      <c r="AA120" s="239"/>
      <c r="AB120" s="340"/>
    </row>
    <row r="121" spans="1:28" s="221" customFormat="1" ht="17.25" customHeight="1">
      <c r="B121" s="221">
        <v>11</v>
      </c>
      <c r="C121" s="221">
        <f t="shared" ref="C121:C128" si="41">C120-A$120</f>
        <v>65</v>
      </c>
      <c r="D121" s="346">
        <f t="shared" si="39"/>
        <v>24.9</v>
      </c>
      <c r="E121" s="281">
        <f t="shared" si="38"/>
        <v>0.65</v>
      </c>
      <c r="F121" s="349">
        <v>10</v>
      </c>
      <c r="G121" s="350">
        <v>12</v>
      </c>
      <c r="H121" s="351">
        <f t="shared" si="36"/>
        <v>8.0821996731228722</v>
      </c>
      <c r="I121" s="352"/>
      <c r="J121" s="241">
        <f t="shared" si="40"/>
        <v>0.81832392591395298</v>
      </c>
      <c r="AA121" s="239"/>
      <c r="AB121" s="340"/>
    </row>
    <row r="122" spans="1:28" s="221" customFormat="1" ht="17.25" hidden="1" customHeight="1">
      <c r="B122" s="221">
        <v>12</v>
      </c>
      <c r="C122" s="221">
        <f t="shared" si="41"/>
        <v>62</v>
      </c>
      <c r="D122" s="346">
        <f t="shared" si="39"/>
        <v>24.9</v>
      </c>
      <c r="E122" s="281">
        <f t="shared" si="38"/>
        <v>0.62</v>
      </c>
      <c r="F122" s="315"/>
      <c r="G122" s="221">
        <v>14</v>
      </c>
      <c r="H122" s="348">
        <f t="shared" si="36"/>
        <v>7.3391133487131333</v>
      </c>
      <c r="I122" s="240"/>
      <c r="J122" s="241">
        <f t="shared" si="40"/>
        <v>0.74308632440973899</v>
      </c>
      <c r="AA122" s="239"/>
      <c r="AB122" s="340"/>
    </row>
    <row r="123" spans="1:28" s="221" customFormat="1" ht="17.25" hidden="1" customHeight="1">
      <c r="C123" s="221">
        <v>37</v>
      </c>
      <c r="D123" s="346">
        <f t="shared" si="39"/>
        <v>24.9</v>
      </c>
      <c r="E123" s="281">
        <f t="shared" si="38"/>
        <v>0.37</v>
      </c>
      <c r="F123" s="315"/>
      <c r="G123" s="221">
        <v>15</v>
      </c>
      <c r="H123" s="348">
        <f t="shared" si="36"/>
        <v>3.2854416498027783</v>
      </c>
      <c r="I123" s="240"/>
      <c r="J123" s="241">
        <f t="shared" si="40"/>
        <v>4.0536716989103549</v>
      </c>
      <c r="AA123" s="239"/>
      <c r="AB123" s="340"/>
    </row>
    <row r="124" spans="1:28" s="221" customFormat="1" ht="17.25" customHeight="1">
      <c r="B124" s="221">
        <v>13</v>
      </c>
      <c r="C124" s="221">
        <v>63</v>
      </c>
      <c r="D124" s="346">
        <f t="shared" si="39"/>
        <v>24.9</v>
      </c>
      <c r="E124" s="281">
        <f t="shared" si="38"/>
        <v>0.63</v>
      </c>
      <c r="F124" s="349">
        <v>15</v>
      </c>
      <c r="G124" s="350">
        <v>16</v>
      </c>
      <c r="H124" s="351">
        <f t="shared" si="36"/>
        <v>7.5788897366339549</v>
      </c>
      <c r="I124" s="352"/>
      <c r="J124" s="241">
        <f t="shared" si="40"/>
        <v>-4.2934480868311766</v>
      </c>
      <c r="AA124" s="239"/>
      <c r="AB124" s="340"/>
    </row>
    <row r="125" spans="1:28" s="221" customFormat="1" ht="17.25" hidden="1" customHeight="1">
      <c r="B125" s="221">
        <v>14</v>
      </c>
      <c r="C125" s="221">
        <f t="shared" si="41"/>
        <v>60</v>
      </c>
      <c r="D125" s="346">
        <f t="shared" si="39"/>
        <v>24.9</v>
      </c>
      <c r="E125" s="281">
        <f t="shared" si="38"/>
        <v>0.6</v>
      </c>
      <c r="F125" s="315"/>
      <c r="G125" s="221">
        <v>18</v>
      </c>
      <c r="H125" s="348">
        <f t="shared" si="36"/>
        <v>6.8820782811795311</v>
      </c>
      <c r="I125" s="240"/>
      <c r="J125" s="241">
        <f t="shared" si="40"/>
        <v>0.6968114554544238</v>
      </c>
      <c r="AA125" s="239"/>
      <c r="AB125" s="340"/>
    </row>
    <row r="126" spans="1:28" s="221" customFormat="1" ht="17.25" customHeight="1">
      <c r="B126" s="221">
        <v>15</v>
      </c>
      <c r="C126" s="221">
        <f t="shared" si="41"/>
        <v>57</v>
      </c>
      <c r="D126" s="346">
        <f t="shared" si="39"/>
        <v>24.9</v>
      </c>
      <c r="E126" s="281">
        <f t="shared" si="38"/>
        <v>0.56999999999999995</v>
      </c>
      <c r="F126" s="349">
        <v>20</v>
      </c>
      <c r="G126" s="350">
        <v>20</v>
      </c>
      <c r="H126" s="351">
        <f t="shared" si="36"/>
        <v>6.2493324370910521</v>
      </c>
      <c r="I126" s="352"/>
      <c r="J126" s="241">
        <f t="shared" si="40"/>
        <v>0.632745844088479</v>
      </c>
      <c r="AA126" s="239"/>
      <c r="AB126" s="340"/>
    </row>
    <row r="127" spans="1:28" s="221" customFormat="1" ht="17.25" customHeight="1">
      <c r="B127" s="221">
        <v>16</v>
      </c>
      <c r="C127" s="221">
        <f t="shared" si="41"/>
        <v>54</v>
      </c>
      <c r="D127" s="346">
        <f t="shared" si="39"/>
        <v>24.9</v>
      </c>
      <c r="E127" s="281">
        <f t="shared" si="38"/>
        <v>0.54</v>
      </c>
      <c r="F127" s="349">
        <v>25</v>
      </c>
      <c r="G127" s="350">
        <v>25</v>
      </c>
      <c r="H127" s="351">
        <f t="shared" si="36"/>
        <v>5.6747619416187218</v>
      </c>
      <c r="I127" s="352"/>
      <c r="J127" s="241">
        <f t="shared" si="40"/>
        <v>0.5745704954723303</v>
      </c>
      <c r="AA127" s="239"/>
      <c r="AB127" s="340"/>
    </row>
    <row r="128" spans="1:28" s="221" customFormat="1" ht="17.25" customHeight="1">
      <c r="B128" s="221">
        <v>17</v>
      </c>
      <c r="C128" s="221">
        <f t="shared" si="41"/>
        <v>51</v>
      </c>
      <c r="D128" s="346">
        <f t="shared" si="39"/>
        <v>24.9</v>
      </c>
      <c r="E128" s="281">
        <f t="shared" si="38"/>
        <v>0.51</v>
      </c>
      <c r="F128" s="349">
        <v>30</v>
      </c>
      <c r="G128" s="350">
        <v>30</v>
      </c>
      <c r="H128" s="351">
        <f t="shared" si="36"/>
        <v>5.1530180892463671</v>
      </c>
      <c r="I128" s="352"/>
      <c r="J128" s="241">
        <f t="shared" si="40"/>
        <v>0.52174385237235477</v>
      </c>
      <c r="AA128" s="239"/>
      <c r="AB128" s="340"/>
    </row>
    <row r="129" spans="1:28" s="221" customFormat="1" ht="17.25" customHeight="1">
      <c r="C129" s="221">
        <v>50</v>
      </c>
      <c r="D129" s="346">
        <f t="shared" si="39"/>
        <v>24.9</v>
      </c>
      <c r="E129" s="281">
        <f t="shared" si="38"/>
        <v>0.5</v>
      </c>
      <c r="F129" s="349">
        <v>35</v>
      </c>
      <c r="G129" s="350">
        <v>35</v>
      </c>
      <c r="H129" s="351">
        <f t="shared" si="36"/>
        <v>4.9899899799498595</v>
      </c>
      <c r="I129" s="352"/>
      <c r="J129" s="241">
        <f t="shared" si="40"/>
        <v>0.16302810929650757</v>
      </c>
      <c r="AA129" s="239"/>
      <c r="AB129" s="340"/>
    </row>
    <row r="130" spans="1:28" s="221" customFormat="1" ht="17.25" customHeight="1">
      <c r="C130" s="221">
        <v>49</v>
      </c>
      <c r="D130" s="346">
        <f t="shared" si="39"/>
        <v>24.9</v>
      </c>
      <c r="E130" s="281">
        <f t="shared" si="38"/>
        <v>0.49</v>
      </c>
      <c r="F130" s="349">
        <v>40</v>
      </c>
      <c r="G130" s="350">
        <v>40</v>
      </c>
      <c r="H130" s="351">
        <f t="shared" si="36"/>
        <v>4.8321196566266362</v>
      </c>
      <c r="I130" s="352"/>
      <c r="J130" s="241">
        <f t="shared" si="40"/>
        <v>0.15787032332322326</v>
      </c>
      <c r="AA130" s="239"/>
      <c r="AB130" s="340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6">
        <f t="shared" si="39"/>
        <v>24.9</v>
      </c>
      <c r="E131" s="281">
        <f t="shared" si="38"/>
        <v>0.48</v>
      </c>
      <c r="F131" s="349">
        <v>45</v>
      </c>
      <c r="G131" s="350">
        <v>45</v>
      </c>
      <c r="H131" s="351">
        <f t="shared" si="36"/>
        <v>4.6792439403239321</v>
      </c>
      <c r="I131" s="352"/>
      <c r="J131" s="241">
        <f t="shared" si="40"/>
        <v>0.15287571630270413</v>
      </c>
      <c r="AA131" s="239"/>
      <c r="AB131" s="340"/>
    </row>
    <row r="132" spans="1:28" s="221" customFormat="1" ht="17.25" customHeight="1">
      <c r="C132" s="221">
        <v>47</v>
      </c>
      <c r="D132" s="346">
        <f t="shared" si="39"/>
        <v>24.9</v>
      </c>
      <c r="E132" s="281">
        <f t="shared" si="38"/>
        <v>0.47</v>
      </c>
      <c r="F132" s="349">
        <v>50</v>
      </c>
      <c r="G132" s="350">
        <v>50</v>
      </c>
      <c r="H132" s="351">
        <f t="shared" si="36"/>
        <v>4.5312048146472526</v>
      </c>
      <c r="I132" s="352"/>
      <c r="J132" s="241">
        <f t="shared" si="40"/>
        <v>0.14803912567667954</v>
      </c>
      <c r="AA132" s="239"/>
      <c r="AB132" s="340"/>
    </row>
    <row r="133" spans="1:28" s="221" customFormat="1" ht="17.25" customHeight="1">
      <c r="C133" s="221">
        <v>46</v>
      </c>
      <c r="D133" s="346">
        <f t="shared" si="39"/>
        <v>24.9</v>
      </c>
      <c r="E133" s="281">
        <f t="shared" si="38"/>
        <v>0.46</v>
      </c>
      <c r="F133" s="349">
        <v>55</v>
      </c>
      <c r="G133" s="350">
        <v>55</v>
      </c>
      <c r="H133" s="351">
        <f t="shared" si="36"/>
        <v>4.3878492624304339</v>
      </c>
      <c r="I133" s="352"/>
      <c r="J133" s="241">
        <f t="shared" si="40"/>
        <v>0.14335555221681862</v>
      </c>
      <c r="AA133" s="239"/>
      <c r="AB133" s="340"/>
    </row>
    <row r="134" spans="1:28" s="221" customFormat="1" ht="17.25" customHeight="1">
      <c r="B134" s="221">
        <v>19</v>
      </c>
      <c r="C134" s="221">
        <f>C131-A$131</f>
        <v>45</v>
      </c>
      <c r="D134" s="346">
        <f t="shared" si="39"/>
        <v>24.9</v>
      </c>
      <c r="E134" s="281">
        <f t="shared" si="38"/>
        <v>0.45</v>
      </c>
      <c r="F134" s="349">
        <v>60</v>
      </c>
      <c r="G134" s="350">
        <v>60</v>
      </c>
      <c r="H134" s="351">
        <f t="shared" si="36"/>
        <v>4.2490291075730449</v>
      </c>
      <c r="I134" s="352"/>
      <c r="J134" s="241">
        <f t="shared" si="40"/>
        <v>0.13882015485738908</v>
      </c>
      <c r="AA134" s="239"/>
      <c r="AB134" s="340"/>
    </row>
    <row r="135" spans="1:28" s="221" customFormat="1" ht="17.25" customHeight="1">
      <c r="C135" s="221">
        <v>44</v>
      </c>
      <c r="D135" s="346">
        <f t="shared" si="39"/>
        <v>24.9</v>
      </c>
      <c r="E135" s="281">
        <f t="shared" si="38"/>
        <v>0.44</v>
      </c>
      <c r="F135" s="349">
        <v>75</v>
      </c>
      <c r="G135" s="350">
        <v>75</v>
      </c>
      <c r="H135" s="351">
        <f t="shared" si="36"/>
        <v>4.114600861881641</v>
      </c>
      <c r="I135" s="352"/>
      <c r="J135" s="241">
        <f t="shared" si="40"/>
        <v>0.13442824569140388</v>
      </c>
      <c r="AA135" s="239"/>
      <c r="AB135" s="340"/>
    </row>
    <row r="136" spans="1:28" s="221" customFormat="1" ht="17.25" customHeight="1">
      <c r="C136" s="221">
        <v>43</v>
      </c>
      <c r="D136" s="346">
        <f t="shared" si="39"/>
        <v>24.9</v>
      </c>
      <c r="E136" s="281">
        <f t="shared" si="38"/>
        <v>0.43</v>
      </c>
      <c r="F136" s="349">
        <v>90</v>
      </c>
      <c r="G136" s="350">
        <v>90</v>
      </c>
      <c r="H136" s="351">
        <f t="shared" si="36"/>
        <v>3.9844255767565602</v>
      </c>
      <c r="I136" s="352"/>
      <c r="J136" s="241">
        <f t="shared" si="40"/>
        <v>0.13017528512508081</v>
      </c>
      <c r="AA136" s="239"/>
      <c r="AB136" s="340"/>
    </row>
    <row r="137" spans="1:28" s="221" customFormat="1" ht="17.25" customHeight="1">
      <c r="B137" s="221">
        <v>20</v>
      </c>
      <c r="C137" s="221">
        <f>C134-A$131</f>
        <v>42</v>
      </c>
      <c r="D137" s="346">
        <f t="shared" si="39"/>
        <v>24.9</v>
      </c>
      <c r="E137" s="281">
        <f t="shared" si="38"/>
        <v>0.42</v>
      </c>
      <c r="F137" s="349">
        <v>105</v>
      </c>
      <c r="G137" s="350">
        <v>105</v>
      </c>
      <c r="H137" s="351">
        <f t="shared" si="36"/>
        <v>3.8583686995709683</v>
      </c>
      <c r="I137" s="352"/>
      <c r="J137" s="241">
        <f t="shared" si="40"/>
        <v>0.12605687718559189</v>
      </c>
      <c r="AA137" s="239"/>
      <c r="AB137" s="340"/>
    </row>
    <row r="138" spans="1:28" s="221" customFormat="1" ht="17.25" customHeight="1">
      <c r="A138" s="221">
        <f>A131</f>
        <v>3</v>
      </c>
      <c r="C138" s="221">
        <f>C137-A$138</f>
        <v>39</v>
      </c>
      <c r="D138" s="346">
        <f t="shared" si="39"/>
        <v>24.9</v>
      </c>
      <c r="E138" s="281">
        <f t="shared" si="38"/>
        <v>0.39</v>
      </c>
      <c r="F138" s="349">
        <v>120</v>
      </c>
      <c r="G138" s="350">
        <v>120</v>
      </c>
      <c r="H138" s="351">
        <f t="shared" si="36"/>
        <v>3.5036260390157947</v>
      </c>
      <c r="I138" s="352"/>
      <c r="J138" s="241">
        <f t="shared" si="40"/>
        <v>0.35474266055517356</v>
      </c>
      <c r="AA138" s="239"/>
      <c r="AB138" s="340"/>
    </row>
    <row r="139" spans="1:28" s="221" customFormat="1" ht="17.25" hidden="1" customHeight="1">
      <c r="C139" s="221">
        <f t="shared" ref="C139:C146" si="42">C138-A$138</f>
        <v>36</v>
      </c>
      <c r="D139" s="346">
        <f t="shared" si="39"/>
        <v>24.9</v>
      </c>
      <c r="E139" s="281">
        <f t="shared" si="38"/>
        <v>0.36</v>
      </c>
      <c r="F139" s="315"/>
      <c r="G139" s="221">
        <v>150</v>
      </c>
      <c r="H139" s="348">
        <f t="shared" si="36"/>
        <v>3.1814988087153178</v>
      </c>
      <c r="I139" s="240"/>
      <c r="J139" s="241">
        <f t="shared" si="40"/>
        <v>0.32212723030047696</v>
      </c>
      <c r="AA139" s="239"/>
      <c r="AB139" s="340"/>
    </row>
    <row r="140" spans="1:28" s="221" customFormat="1" ht="17.25" customHeight="1">
      <c r="C140" s="221">
        <v>38</v>
      </c>
      <c r="D140" s="346">
        <f t="shared" si="39"/>
        <v>24.9</v>
      </c>
      <c r="E140" s="281">
        <f t="shared" si="38"/>
        <v>0.38</v>
      </c>
      <c r="F140" s="349">
        <v>180</v>
      </c>
      <c r="G140" s="350">
        <v>180</v>
      </c>
      <c r="H140" s="351">
        <f t="shared" si="36"/>
        <v>3.3927804105064072</v>
      </c>
      <c r="I140" s="352"/>
      <c r="J140" s="241">
        <f t="shared" si="40"/>
        <v>-0.21128160179108946</v>
      </c>
      <c r="AA140" s="239"/>
      <c r="AB140" s="340"/>
    </row>
    <row r="141" spans="1:28" s="221" customFormat="1" ht="17.25" hidden="1" customHeight="1">
      <c r="C141" s="221">
        <f t="shared" si="42"/>
        <v>35</v>
      </c>
      <c r="D141" s="346">
        <f t="shared" si="39"/>
        <v>24.9</v>
      </c>
      <c r="E141" s="281">
        <f t="shared" si="38"/>
        <v>0.35</v>
      </c>
      <c r="F141" s="315"/>
      <c r="G141" s="221">
        <v>210</v>
      </c>
      <c r="H141" s="348">
        <f t="shared" si="36"/>
        <v>3.0808444491670079</v>
      </c>
      <c r="I141" s="240"/>
      <c r="J141" s="241">
        <f t="shared" si="40"/>
        <v>0.31193596133939927</v>
      </c>
      <c r="AA141" s="239"/>
      <c r="AB141" s="340"/>
    </row>
    <row r="142" spans="1:28" s="221" customFormat="1" ht="17.25" customHeight="1">
      <c r="C142" s="221">
        <f t="shared" si="42"/>
        <v>32</v>
      </c>
      <c r="D142" s="346">
        <f t="shared" si="39"/>
        <v>24.9</v>
      </c>
      <c r="E142" s="281">
        <f>C142/100</f>
        <v>0.32</v>
      </c>
      <c r="F142" s="349">
        <v>240</v>
      </c>
      <c r="G142" s="350">
        <v>240</v>
      </c>
      <c r="H142" s="351">
        <f t="shared" si="36"/>
        <v>2.7975882230899956</v>
      </c>
      <c r="I142" s="352"/>
      <c r="J142" s="241">
        <f t="shared" si="40"/>
        <v>0.2832562260770124</v>
      </c>
      <c r="AA142" s="239"/>
      <c r="AB142" s="340"/>
    </row>
    <row r="143" spans="1:28" s="221" customFormat="1" ht="17.25" hidden="1" customHeight="1">
      <c r="C143" s="221">
        <f t="shared" si="42"/>
        <v>29</v>
      </c>
      <c r="D143" s="346">
        <f t="shared" si="39"/>
        <v>24.9</v>
      </c>
      <c r="E143" s="281">
        <f>C143/100</f>
        <v>0.28999999999999998</v>
      </c>
      <c r="F143" s="315"/>
      <c r="G143" s="221">
        <v>270</v>
      </c>
      <c r="H143" s="348">
        <f t="shared" si="36"/>
        <v>2.5403748858816777</v>
      </c>
      <c r="I143" s="240"/>
      <c r="J143" s="241">
        <f t="shared" si="40"/>
        <v>0.25721333720831785</v>
      </c>
      <c r="AA143" s="239"/>
      <c r="AB143" s="340"/>
    </row>
    <row r="144" spans="1:28" s="221" customFormat="1" ht="17.25" customHeight="1">
      <c r="C144" s="221">
        <f t="shared" si="42"/>
        <v>26</v>
      </c>
      <c r="D144" s="346">
        <f t="shared" si="39"/>
        <v>24.9</v>
      </c>
      <c r="E144" s="281">
        <f>C144/100</f>
        <v>0.26</v>
      </c>
      <c r="F144" s="349">
        <v>300</v>
      </c>
      <c r="G144" s="350">
        <v>300</v>
      </c>
      <c r="H144" s="351">
        <f t="shared" si="36"/>
        <v>2.3068100257050395</v>
      </c>
      <c r="I144" s="352"/>
      <c r="J144" s="241">
        <f t="shared" si="40"/>
        <v>0.23356486017663824</v>
      </c>
      <c r="AA144" s="239"/>
      <c r="AB144" s="340"/>
    </row>
    <row r="145" spans="3:28" s="221" customFormat="1" ht="17.25" hidden="1" customHeight="1">
      <c r="C145" s="221">
        <f t="shared" si="42"/>
        <v>23</v>
      </c>
      <c r="D145" s="346">
        <f t="shared" si="39"/>
        <v>24.9</v>
      </c>
      <c r="E145" s="281">
        <f>C145/100</f>
        <v>0.23</v>
      </c>
      <c r="F145" s="315"/>
      <c r="G145" s="221">
        <v>330</v>
      </c>
      <c r="H145" s="348">
        <f t="shared" si="36"/>
        <v>2.0947193755800404</v>
      </c>
      <c r="I145" s="240"/>
      <c r="J145" s="241">
        <f t="shared" si="40"/>
        <v>0.21209065012499906</v>
      </c>
      <c r="AA145" s="239"/>
      <c r="AB145" s="340"/>
    </row>
    <row r="146" spans="3:28" s="221" customFormat="1" ht="17.25" customHeight="1">
      <c r="C146" s="221">
        <f t="shared" si="42"/>
        <v>20</v>
      </c>
      <c r="D146" s="346">
        <f t="shared" si="39"/>
        <v>24.9</v>
      </c>
      <c r="E146" s="281">
        <f>C146/100</f>
        <v>0.2</v>
      </c>
      <c r="F146" s="349">
        <v>360</v>
      </c>
      <c r="G146" s="350">
        <v>360</v>
      </c>
      <c r="H146" s="351">
        <f t="shared" si="36"/>
        <v>1.902128573023415</v>
      </c>
      <c r="I146" s="352"/>
      <c r="J146" s="241">
        <f t="shared" si="40"/>
        <v>0.19259080255662542</v>
      </c>
      <c r="AA146" s="239"/>
      <c r="AB146" s="340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0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0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0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0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0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0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0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0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0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0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0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0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0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0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0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0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0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0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0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0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0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0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0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0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0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0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0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0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0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0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0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0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0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0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0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0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0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0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0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0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0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0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0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0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0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0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0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0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0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0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0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0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0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0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0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0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0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0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0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0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0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0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0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0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0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0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0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0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0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0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0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0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0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0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0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0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0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0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0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0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0"/>
    </row>
    <row r="228" spans="3:28" s="221" customFormat="1" ht="17.25" customHeight="1">
      <c r="AB228" s="340"/>
    </row>
    <row r="229" spans="3:28" s="221" customFormat="1" ht="17.25" customHeight="1">
      <c r="AB229" s="340"/>
    </row>
    <row r="230" spans="3:28" s="221" customFormat="1" ht="17.25" customHeight="1">
      <c r="AB230" s="340"/>
    </row>
    <row r="231" spans="3:28" s="221" customFormat="1" ht="17.25" customHeight="1">
      <c r="AB231" s="340"/>
    </row>
    <row r="232" spans="3:28" s="221" customFormat="1" ht="17.25" customHeight="1">
      <c r="AB232" s="340"/>
    </row>
    <row r="233" spans="3:28" s="221" customFormat="1" ht="17.25" customHeight="1">
      <c r="AB233" s="340"/>
    </row>
    <row r="234" spans="3:28" s="221" customFormat="1" ht="17.25" customHeight="1">
      <c r="AB234" s="340"/>
    </row>
    <row r="235" spans="3:28" s="221" customFormat="1" ht="17.25" customHeight="1">
      <c r="AB235" s="340"/>
    </row>
    <row r="236" spans="3:28" s="221" customFormat="1" ht="17.25" customHeight="1">
      <c r="AB236" s="340"/>
    </row>
    <row r="237" spans="3:28" s="221" customFormat="1" ht="17.25" customHeight="1">
      <c r="AB237" s="340"/>
    </row>
    <row r="238" spans="3:28" s="221" customFormat="1" ht="17.25" customHeight="1">
      <c r="AB238" s="340"/>
    </row>
    <row r="239" spans="3:28" s="221" customFormat="1" ht="17.25" customHeight="1">
      <c r="AB239" s="340"/>
    </row>
    <row r="240" spans="3:28" s="221" customFormat="1" ht="17.25" customHeight="1">
      <c r="AB240" s="340"/>
    </row>
    <row r="241" spans="28:28" s="221" customFormat="1" ht="17.25" customHeight="1">
      <c r="AB241" s="340"/>
    </row>
    <row r="242" spans="28:28" s="221" customFormat="1" ht="17.25" customHeight="1">
      <c r="AB242" s="340"/>
    </row>
    <row r="243" spans="28:28" s="221" customFormat="1" ht="17.25" customHeight="1">
      <c r="AB243" s="340"/>
    </row>
    <row r="244" spans="28:28" s="221" customFormat="1" ht="17.25" customHeight="1">
      <c r="AB244" s="340"/>
    </row>
    <row r="245" spans="28:28" s="221" customFormat="1" ht="17.25" customHeight="1">
      <c r="AB245" s="340"/>
    </row>
    <row r="246" spans="28:28" s="221" customFormat="1" ht="17.25" customHeight="1">
      <c r="AB246" s="340"/>
    </row>
    <row r="247" spans="28:28" s="221" customFormat="1" ht="17.25" customHeight="1">
      <c r="AB247" s="340"/>
    </row>
    <row r="248" spans="28:28" s="221" customFormat="1" ht="17.25" customHeight="1">
      <c r="AB248" s="340"/>
    </row>
    <row r="249" spans="28:28" s="221" customFormat="1" ht="17.25" customHeight="1">
      <c r="AB249" s="340"/>
    </row>
    <row r="250" spans="28:28" s="221" customFormat="1" ht="17.25" customHeight="1">
      <c r="AB250" s="340"/>
    </row>
    <row r="251" spans="28:28" s="221" customFormat="1" ht="17.25" customHeight="1">
      <c r="AB251" s="340"/>
    </row>
    <row r="252" spans="28:28" s="221" customFormat="1" ht="17.25" customHeight="1">
      <c r="AB252" s="340"/>
    </row>
    <row r="253" spans="28:28" s="221" customFormat="1" ht="17.25" customHeight="1">
      <c r="AB253" s="340"/>
    </row>
    <row r="254" spans="28:28" s="221" customFormat="1" ht="17.25" customHeight="1">
      <c r="AB254" s="340"/>
    </row>
    <row r="255" spans="28:28" s="221" customFormat="1" ht="17.25" customHeight="1">
      <c r="AB255" s="340"/>
    </row>
    <row r="256" spans="28:28" s="221" customFormat="1" ht="17.25" customHeight="1">
      <c r="AB256" s="340"/>
    </row>
    <row r="257" spans="28:28" s="221" customFormat="1" ht="17.25" customHeight="1">
      <c r="AB257" s="340"/>
    </row>
    <row r="258" spans="28:28" s="221" customFormat="1" ht="17.25" customHeight="1">
      <c r="AB258" s="340"/>
    </row>
    <row r="259" spans="28:28" s="221" customFormat="1" ht="17.25" customHeight="1">
      <c r="AB259" s="340"/>
    </row>
    <row r="260" spans="28:28" s="221" customFormat="1" ht="17.25" customHeight="1">
      <c r="AB260" s="340"/>
    </row>
    <row r="261" spans="28:28" s="221" customFormat="1" ht="17.25" customHeight="1">
      <c r="AB261" s="340"/>
    </row>
    <row r="262" spans="28:28" s="221" customFormat="1" ht="17.25" customHeight="1">
      <c r="AB262" s="340"/>
    </row>
    <row r="263" spans="28:28" s="221" customFormat="1" ht="17.25" customHeight="1">
      <c r="AB263" s="340"/>
    </row>
    <row r="264" spans="28:28" s="221" customFormat="1" ht="17.25" customHeight="1">
      <c r="AB264" s="340"/>
    </row>
    <row r="265" spans="28:28" s="221" customFormat="1" ht="17.25" customHeight="1">
      <c r="AB265" s="340"/>
    </row>
    <row r="266" spans="28:28" s="221" customFormat="1" ht="17.25" customHeight="1">
      <c r="AB266" s="340"/>
    </row>
    <row r="267" spans="28:28" s="221" customFormat="1" ht="17.25" customHeight="1">
      <c r="AB267" s="340"/>
    </row>
    <row r="268" spans="28:28" s="221" customFormat="1" ht="17.25" customHeight="1">
      <c r="AB268" s="340"/>
    </row>
    <row r="269" spans="28:28" s="221" customFormat="1" ht="17.25" customHeight="1">
      <c r="AB269" s="340"/>
    </row>
    <row r="270" spans="28:28" s="221" customFormat="1" ht="17.25" customHeight="1">
      <c r="AB270" s="340"/>
    </row>
    <row r="271" spans="28:28" s="221" customFormat="1" ht="17.25" customHeight="1">
      <c r="AB271" s="340"/>
    </row>
    <row r="272" spans="28:28" s="221" customFormat="1" ht="17.25" customHeight="1">
      <c r="AB272" s="340"/>
    </row>
    <row r="273" spans="28:28" s="221" customFormat="1" ht="17.25" customHeight="1">
      <c r="AB273" s="340"/>
    </row>
    <row r="274" spans="28:28" s="221" customFormat="1" ht="17.25" customHeight="1">
      <c r="AB274" s="340"/>
    </row>
    <row r="275" spans="28:28" s="221" customFormat="1" ht="17.25" customHeight="1">
      <c r="AB275" s="340"/>
    </row>
    <row r="276" spans="28:28" s="221" customFormat="1" ht="17.25" customHeight="1">
      <c r="AB276" s="340"/>
    </row>
    <row r="277" spans="28:28" s="221" customFormat="1" ht="17.25" customHeight="1">
      <c r="AB277" s="340"/>
    </row>
    <row r="278" spans="28:28" s="221" customFormat="1" ht="17.25" customHeight="1">
      <c r="AB278" s="340"/>
    </row>
    <row r="279" spans="28:28" s="221" customFormat="1" ht="17.25" customHeight="1">
      <c r="AB279" s="340"/>
    </row>
    <row r="280" spans="28:28" s="221" customFormat="1" ht="17.25" customHeight="1">
      <c r="AB280" s="340"/>
    </row>
    <row r="281" spans="28:28" s="221" customFormat="1" ht="17.25" customHeight="1">
      <c r="AB281" s="340"/>
    </row>
    <row r="282" spans="28:28" s="221" customFormat="1" ht="17.25" customHeight="1">
      <c r="AB282" s="340"/>
    </row>
    <row r="283" spans="28:28" s="221" customFormat="1" ht="17.25" customHeight="1">
      <c r="AB283" s="340"/>
    </row>
    <row r="284" spans="28:28" s="221" customFormat="1" ht="17.25" customHeight="1">
      <c r="AB284" s="340"/>
    </row>
    <row r="285" spans="28:28" s="221" customFormat="1" ht="17.25" customHeight="1">
      <c r="AB285" s="340"/>
    </row>
    <row r="286" spans="28:28" s="221" customFormat="1" ht="17.25" customHeight="1">
      <c r="AB286" s="340"/>
    </row>
    <row r="287" spans="28:28" s="221" customFormat="1" ht="17.25" customHeight="1">
      <c r="AB287" s="340"/>
    </row>
    <row r="288" spans="28:28" s="221" customFormat="1" ht="17.25" customHeight="1">
      <c r="AB288" s="340"/>
    </row>
    <row r="289" spans="28:28" s="221" customFormat="1" ht="17.25" customHeight="1">
      <c r="AB289" s="340"/>
    </row>
    <row r="290" spans="28:28" s="221" customFormat="1" ht="17.25" customHeight="1">
      <c r="AB290" s="340"/>
    </row>
    <row r="291" spans="28:28" s="221" customFormat="1" ht="17.25" customHeight="1">
      <c r="AB291" s="340"/>
    </row>
    <row r="292" spans="28:28" s="221" customFormat="1" ht="17.25" customHeight="1">
      <c r="AB292" s="340"/>
    </row>
    <row r="293" spans="28:28" s="221" customFormat="1" ht="17.25" customHeight="1">
      <c r="AB293" s="340"/>
    </row>
    <row r="294" spans="28:28" s="221" customFormat="1" ht="17.25" customHeight="1">
      <c r="AB294" s="340"/>
    </row>
    <row r="295" spans="28:28" s="221" customFormat="1" ht="17.25" customHeight="1">
      <c r="AB295" s="340"/>
    </row>
    <row r="296" spans="28:28" s="221" customFormat="1" ht="17.25" customHeight="1">
      <c r="AB296" s="340"/>
    </row>
    <row r="297" spans="28:28" s="221" customFormat="1" ht="17.25" customHeight="1">
      <c r="AB297" s="340"/>
    </row>
    <row r="298" spans="28:28" s="221" customFormat="1" ht="17.25" customHeight="1">
      <c r="AB298" s="340"/>
    </row>
    <row r="299" spans="28:28" s="221" customFormat="1" ht="17.25" customHeight="1">
      <c r="AB299" s="340"/>
    </row>
    <row r="300" spans="28:28" s="221" customFormat="1" ht="17.25" customHeight="1">
      <c r="AB300" s="340"/>
    </row>
    <row r="301" spans="28:28" s="221" customFormat="1" ht="17.25" customHeight="1">
      <c r="AB301" s="340"/>
    </row>
    <row r="302" spans="28:28" s="221" customFormat="1" ht="17.25" customHeight="1">
      <c r="AB302" s="340"/>
    </row>
    <row r="303" spans="28:28" s="221" customFormat="1" ht="17.25" customHeight="1">
      <c r="AB303" s="340"/>
    </row>
    <row r="304" spans="28:28" s="221" customFormat="1" ht="17.25" customHeight="1">
      <c r="AB304" s="340"/>
    </row>
    <row r="305" spans="28:28" s="221" customFormat="1" ht="17.25" customHeight="1">
      <c r="AB305" s="340"/>
    </row>
    <row r="306" spans="28:28" s="221" customFormat="1" ht="17.25" customHeight="1">
      <c r="AB306" s="340"/>
    </row>
    <row r="307" spans="28:28" s="221" customFormat="1" ht="17.25" customHeight="1">
      <c r="AB307" s="340"/>
    </row>
    <row r="308" spans="28:28" s="221" customFormat="1" ht="17.25" customHeight="1">
      <c r="AB308" s="340"/>
    </row>
    <row r="309" spans="28:28" s="221" customFormat="1" ht="17.25" customHeight="1">
      <c r="AB309" s="340"/>
    </row>
    <row r="310" spans="28:28" s="221" customFormat="1" ht="17.25" customHeight="1">
      <c r="AB310" s="340"/>
    </row>
    <row r="311" spans="28:28" s="221" customFormat="1" ht="17.25" customHeight="1">
      <c r="AB311" s="340"/>
    </row>
    <row r="312" spans="28:28" s="221" customFormat="1" ht="17.25" customHeight="1">
      <c r="AB312" s="340"/>
    </row>
    <row r="313" spans="28:28" s="221" customFormat="1" ht="17.25" customHeight="1">
      <c r="AB313" s="340"/>
    </row>
    <row r="314" spans="28:28" s="221" customFormat="1" ht="17.25" customHeight="1">
      <c r="AB314" s="340"/>
    </row>
    <row r="315" spans="28:28" s="221" customFormat="1" ht="17.25" customHeight="1">
      <c r="AB315" s="340"/>
    </row>
    <row r="316" spans="28:28" s="221" customFormat="1" ht="17.25" customHeight="1">
      <c r="AB316" s="340"/>
    </row>
    <row r="317" spans="28:28" s="221" customFormat="1" ht="17.25" customHeight="1">
      <c r="AB317" s="340"/>
    </row>
    <row r="318" spans="28:28" s="221" customFormat="1" ht="17.25" customHeight="1">
      <c r="AB318" s="340"/>
    </row>
    <row r="319" spans="28:28" s="221" customFormat="1" ht="17.25" customHeight="1">
      <c r="AB319" s="340"/>
    </row>
    <row r="320" spans="28:28" s="221" customFormat="1" ht="17.25" customHeight="1">
      <c r="AB320" s="340"/>
    </row>
    <row r="321" spans="28:28" s="221" customFormat="1" ht="17.25" customHeight="1">
      <c r="AB321" s="340"/>
    </row>
    <row r="322" spans="28:28" s="221" customFormat="1" ht="17.25" customHeight="1">
      <c r="AB322" s="340"/>
    </row>
    <row r="323" spans="28:28" s="221" customFormat="1" ht="17.25" customHeight="1">
      <c r="AB323" s="340"/>
    </row>
    <row r="324" spans="28:28" s="221" customFormat="1" ht="17.25" customHeight="1">
      <c r="AB324" s="340"/>
    </row>
    <row r="325" spans="28:28" s="221" customFormat="1" ht="17.25" customHeight="1">
      <c r="AB325" s="340"/>
    </row>
    <row r="326" spans="28:28" s="221" customFormat="1" ht="17.25" customHeight="1">
      <c r="AB326" s="340"/>
    </row>
    <row r="327" spans="28:28" s="221" customFormat="1" ht="17.25" customHeight="1">
      <c r="AB327" s="340"/>
    </row>
    <row r="328" spans="28:28" s="221" customFormat="1" ht="17.25" customHeight="1">
      <c r="AB328" s="340"/>
    </row>
    <row r="329" spans="28:28" s="221" customFormat="1" ht="17.25" customHeight="1">
      <c r="AB329" s="340"/>
    </row>
    <row r="330" spans="28:28" s="221" customFormat="1" ht="17.25" customHeight="1">
      <c r="AB330" s="340"/>
    </row>
    <row r="331" spans="28:28" s="221" customFormat="1" ht="17.25" customHeight="1">
      <c r="AB331" s="340"/>
    </row>
    <row r="332" spans="28:28" s="221" customFormat="1" ht="17.25" customHeight="1">
      <c r="AB332" s="340"/>
    </row>
    <row r="333" spans="28:28" s="221" customFormat="1" ht="17.25" customHeight="1">
      <c r="AB333" s="340"/>
    </row>
    <row r="334" spans="28:28" s="221" customFormat="1" ht="17.25" customHeight="1">
      <c r="AB334" s="340"/>
    </row>
    <row r="335" spans="28:28" s="221" customFormat="1" ht="17.25" customHeight="1">
      <c r="AB335" s="340"/>
    </row>
    <row r="336" spans="28:28" s="221" customFormat="1" ht="17.25" customHeight="1">
      <c r="AB336" s="340"/>
    </row>
    <row r="337" spans="28:28" s="221" customFormat="1" ht="17.25" customHeight="1">
      <c r="AB337" s="340"/>
    </row>
    <row r="338" spans="28:28" s="221" customFormat="1" ht="17.25" customHeight="1">
      <c r="AB338" s="340"/>
    </row>
    <row r="339" spans="28:28" s="221" customFormat="1" ht="17.25" customHeight="1">
      <c r="AB339" s="340"/>
    </row>
    <row r="340" spans="28:28" s="221" customFormat="1" ht="17.25" customHeight="1">
      <c r="AB340" s="340"/>
    </row>
    <row r="341" spans="28:28" s="221" customFormat="1" ht="17.25" customHeight="1">
      <c r="AB341" s="340"/>
    </row>
    <row r="342" spans="28:28" s="221" customFormat="1" ht="17.25" customHeight="1">
      <c r="AB342" s="340"/>
    </row>
    <row r="343" spans="28:28" s="221" customFormat="1" ht="17.25" customHeight="1">
      <c r="AB343" s="340"/>
    </row>
    <row r="344" spans="28:28" s="221" customFormat="1" ht="17.25" customHeight="1">
      <c r="AB344" s="340"/>
    </row>
    <row r="345" spans="28:28" s="221" customFormat="1" ht="17.25" customHeight="1">
      <c r="AB345" s="340"/>
    </row>
    <row r="346" spans="28:28" s="221" customFormat="1" ht="17.25" customHeight="1">
      <c r="AB346" s="340"/>
    </row>
    <row r="347" spans="28:28" s="221" customFormat="1" ht="17.25" customHeight="1">
      <c r="AB347" s="340"/>
    </row>
    <row r="348" spans="28:28" s="221" customFormat="1" ht="17.25" customHeight="1">
      <c r="AB348" s="340"/>
    </row>
    <row r="349" spans="28:28" s="221" customFormat="1" ht="17.25" customHeight="1">
      <c r="AB349" s="340"/>
    </row>
    <row r="350" spans="28:28" s="221" customFormat="1" ht="17.25" customHeight="1">
      <c r="AB350" s="340"/>
    </row>
    <row r="351" spans="28:28" s="221" customFormat="1" ht="17.25" customHeight="1">
      <c r="AB351" s="340"/>
    </row>
    <row r="352" spans="28:28" s="221" customFormat="1" ht="17.25" customHeight="1">
      <c r="AB352" s="340"/>
    </row>
    <row r="353" spans="28:28" s="221" customFormat="1" ht="17.25" customHeight="1">
      <c r="AB353" s="340"/>
    </row>
    <row r="354" spans="28:28" s="221" customFormat="1" ht="17.25" customHeight="1">
      <c r="AB354" s="340"/>
    </row>
    <row r="355" spans="28:28" s="221" customFormat="1" ht="17.25" customHeight="1">
      <c r="AB355" s="340"/>
    </row>
    <row r="356" spans="28:28" s="221" customFormat="1" ht="17.25" customHeight="1">
      <c r="AB356" s="340"/>
    </row>
    <row r="357" spans="28:28" s="221" customFormat="1" ht="17.25" customHeight="1">
      <c r="AB357" s="340"/>
    </row>
    <row r="358" spans="28:28" s="221" customFormat="1" ht="17.25" customHeight="1">
      <c r="AB358" s="340"/>
    </row>
    <row r="359" spans="28:28" s="221" customFormat="1" ht="17.25" customHeight="1">
      <c r="AB359" s="340"/>
    </row>
    <row r="360" spans="28:28" s="221" customFormat="1" ht="17.25" customHeight="1">
      <c r="AB360" s="340"/>
    </row>
    <row r="361" spans="28:28" s="221" customFormat="1" ht="17.25" customHeight="1">
      <c r="AB361" s="340"/>
    </row>
    <row r="362" spans="28:28" s="221" customFormat="1" ht="17.25" customHeight="1">
      <c r="AB362" s="340"/>
    </row>
    <row r="363" spans="28:28" s="221" customFormat="1" ht="17.25" customHeight="1">
      <c r="AB363" s="340"/>
    </row>
    <row r="364" spans="28:28" s="221" customFormat="1" ht="17.25" customHeight="1">
      <c r="AB364" s="340"/>
    </row>
    <row r="365" spans="28:28" s="221" customFormat="1" ht="17.25" customHeight="1">
      <c r="AB365" s="340"/>
    </row>
    <row r="366" spans="28:28" s="221" customFormat="1" ht="17.25" customHeight="1">
      <c r="AB366" s="340"/>
    </row>
    <row r="367" spans="28:28" s="221" customFormat="1" ht="17.25" customHeight="1">
      <c r="AB367" s="340"/>
    </row>
    <row r="368" spans="28:28" s="221" customFormat="1" ht="17.25" customHeight="1">
      <c r="AB368" s="340"/>
    </row>
    <row r="369" spans="28:28" s="221" customFormat="1" ht="17.25" customHeight="1">
      <c r="AB369" s="340"/>
    </row>
    <row r="370" spans="28:28" s="221" customFormat="1" ht="17.25" customHeight="1">
      <c r="AB370" s="340"/>
    </row>
    <row r="371" spans="28:28" s="221" customFormat="1" ht="17.25" customHeight="1">
      <c r="AB371" s="340"/>
    </row>
    <row r="372" spans="28:28" s="221" customFormat="1" ht="17.25" customHeight="1">
      <c r="AB372" s="340"/>
    </row>
    <row r="373" spans="28:28" s="221" customFormat="1" ht="17.25" customHeight="1">
      <c r="AB373" s="340"/>
    </row>
    <row r="374" spans="28:28" s="221" customFormat="1" ht="17.25" customHeight="1">
      <c r="AB374" s="340"/>
    </row>
    <row r="375" spans="28:28" s="221" customFormat="1" ht="17.25" customHeight="1">
      <c r="AB375" s="340"/>
    </row>
    <row r="376" spans="28:28" s="221" customFormat="1" ht="17.25" customHeight="1">
      <c r="AB376" s="340"/>
    </row>
    <row r="377" spans="28:28" s="221" customFormat="1" ht="17.25" customHeight="1">
      <c r="AB377" s="340"/>
    </row>
    <row r="378" spans="28:28" s="221" customFormat="1" ht="17.25" customHeight="1">
      <c r="AB378" s="340"/>
    </row>
    <row r="379" spans="28:28" s="221" customFormat="1" ht="17.25" customHeight="1">
      <c r="AB379" s="340"/>
    </row>
    <row r="380" spans="28:28" s="221" customFormat="1" ht="17.25" customHeight="1">
      <c r="AB380" s="340"/>
    </row>
    <row r="381" spans="28:28" s="221" customFormat="1" ht="17.25" customHeight="1">
      <c r="AB381" s="340"/>
    </row>
    <row r="382" spans="28:28" s="221" customFormat="1" ht="17.25" customHeight="1">
      <c r="AB382" s="340"/>
    </row>
    <row r="383" spans="28:28" s="221" customFormat="1" ht="17.25" customHeight="1">
      <c r="AB383" s="340"/>
    </row>
    <row r="384" spans="28:28" s="221" customFormat="1" ht="17.25" customHeight="1">
      <c r="AB384" s="340"/>
    </row>
    <row r="385" spans="28:28" s="221" customFormat="1" ht="17.25" customHeight="1">
      <c r="AB385" s="340"/>
    </row>
    <row r="386" spans="28:28" s="221" customFormat="1" ht="17.25" customHeight="1">
      <c r="AB386" s="340"/>
    </row>
    <row r="387" spans="28:28" s="221" customFormat="1" ht="17.25" customHeight="1">
      <c r="AB387" s="340"/>
    </row>
    <row r="388" spans="28:28" s="221" customFormat="1" ht="17.25" customHeight="1">
      <c r="AB388" s="340"/>
    </row>
    <row r="389" spans="28:28" s="221" customFormat="1" ht="17.25" customHeight="1">
      <c r="AB389" s="340"/>
    </row>
    <row r="390" spans="28:28" s="221" customFormat="1" ht="17.25" customHeight="1">
      <c r="AB390" s="340"/>
    </row>
    <row r="391" spans="28:28" s="221" customFormat="1" ht="17.25" customHeight="1">
      <c r="AB391" s="340"/>
    </row>
    <row r="392" spans="28:28" s="221" customFormat="1" ht="17.25" customHeight="1">
      <c r="AB392" s="340"/>
    </row>
    <row r="393" spans="28:28" s="221" customFormat="1" ht="17.25" customHeight="1">
      <c r="AB393" s="340"/>
    </row>
    <row r="394" spans="28:28" s="221" customFormat="1" ht="17.25" customHeight="1">
      <c r="AB394" s="340"/>
    </row>
    <row r="395" spans="28:28" s="221" customFormat="1" ht="17.25" customHeight="1">
      <c r="AB395" s="340"/>
    </row>
    <row r="396" spans="28:28" s="221" customFormat="1" ht="17.25" customHeight="1">
      <c r="AB396" s="340"/>
    </row>
    <row r="397" spans="28:28" s="221" customFormat="1" ht="17.25" customHeight="1">
      <c r="AB397" s="340"/>
    </row>
    <row r="398" spans="28:28" s="221" customFormat="1" ht="17.25" customHeight="1">
      <c r="AB398" s="340"/>
    </row>
    <row r="399" spans="28:28" s="221" customFormat="1" ht="17.25" customHeight="1">
      <c r="AB399" s="340"/>
    </row>
    <row r="400" spans="28:28" s="221" customFormat="1" ht="17.25" customHeight="1">
      <c r="AB400" s="340"/>
    </row>
    <row r="401" spans="28:28" s="221" customFormat="1" ht="17.25" customHeight="1">
      <c r="AB401" s="340"/>
    </row>
    <row r="402" spans="28:28" s="221" customFormat="1" ht="17.25" customHeight="1">
      <c r="AB402" s="340"/>
    </row>
    <row r="403" spans="28:28" s="221" customFormat="1" ht="17.25" customHeight="1">
      <c r="AB403" s="340"/>
    </row>
    <row r="404" spans="28:28" s="221" customFormat="1" ht="17.25" customHeight="1">
      <c r="AB404" s="340"/>
    </row>
    <row r="405" spans="28:28" s="221" customFormat="1" ht="17.25" customHeight="1">
      <c r="AB405" s="340"/>
    </row>
    <row r="406" spans="28:28" s="221" customFormat="1" ht="17.25" customHeight="1">
      <c r="AB406" s="340"/>
    </row>
    <row r="407" spans="28:28" s="221" customFormat="1" ht="17.25" customHeight="1">
      <c r="AB407" s="340"/>
    </row>
    <row r="408" spans="28:28" s="221" customFormat="1" ht="17.25" customHeight="1">
      <c r="AB408" s="340"/>
    </row>
    <row r="409" spans="28:28" s="221" customFormat="1" ht="17.25" customHeight="1">
      <c r="AB409" s="340"/>
    </row>
    <row r="410" spans="28:28" s="221" customFormat="1" ht="17.25" customHeight="1">
      <c r="AB410" s="340"/>
    </row>
    <row r="411" spans="28:28" s="221" customFormat="1" ht="17.25" customHeight="1">
      <c r="AB411" s="340"/>
    </row>
    <row r="412" spans="28:28" s="221" customFormat="1" ht="17.25" customHeight="1">
      <c r="AB412" s="340"/>
    </row>
    <row r="413" spans="28:28" s="221" customFormat="1" ht="17.25" customHeight="1">
      <c r="AB413" s="340"/>
    </row>
    <row r="414" spans="28:28" s="221" customFormat="1" ht="17.25" customHeight="1">
      <c r="AB414" s="340"/>
    </row>
    <row r="415" spans="28:28" s="221" customFormat="1" ht="17.25" customHeight="1">
      <c r="AB415" s="340"/>
    </row>
    <row r="416" spans="28:28" s="221" customFormat="1" ht="17.25" customHeight="1">
      <c r="AB416" s="340"/>
    </row>
    <row r="417" spans="28:28" s="221" customFormat="1" ht="17.25" customHeight="1">
      <c r="AB417" s="340"/>
    </row>
    <row r="418" spans="28:28" s="221" customFormat="1" ht="17.25" customHeight="1">
      <c r="AB418" s="340"/>
    </row>
    <row r="419" spans="28:28" s="221" customFormat="1" ht="17.25" customHeight="1">
      <c r="AB419" s="340"/>
    </row>
    <row r="420" spans="28:28" s="221" customFormat="1" ht="17.25" customHeight="1">
      <c r="AB420" s="340"/>
    </row>
    <row r="421" spans="28:28" s="221" customFormat="1" ht="17.25" customHeight="1">
      <c r="AB421" s="340"/>
    </row>
    <row r="422" spans="28:28" s="221" customFormat="1" ht="17.25" customHeight="1">
      <c r="AB422" s="340"/>
    </row>
    <row r="423" spans="28:28" s="221" customFormat="1" ht="17.25" customHeight="1">
      <c r="AB423" s="340"/>
    </row>
    <row r="424" spans="28:28" s="221" customFormat="1" ht="17.25" customHeight="1">
      <c r="AB424" s="340"/>
    </row>
    <row r="425" spans="28:28" s="221" customFormat="1" ht="17.25" customHeight="1">
      <c r="AB425" s="340"/>
    </row>
    <row r="426" spans="28:28" s="221" customFormat="1" ht="17.25" customHeight="1">
      <c r="AB426" s="340"/>
    </row>
    <row r="427" spans="28:28" s="221" customFormat="1" ht="17.25" customHeight="1">
      <c r="AB427" s="340"/>
    </row>
    <row r="428" spans="28:28" s="221" customFormat="1" ht="17.25" customHeight="1">
      <c r="AB428" s="340"/>
    </row>
    <row r="429" spans="28:28" s="221" customFormat="1" ht="17.25" customHeight="1">
      <c r="AB429" s="340"/>
    </row>
    <row r="430" spans="28:28" s="221" customFormat="1" ht="17.25" customHeight="1">
      <c r="AB430" s="340"/>
    </row>
    <row r="431" spans="28:28" s="221" customFormat="1" ht="17.25" customHeight="1">
      <c r="AB431" s="340"/>
    </row>
    <row r="432" spans="28:28" s="221" customFormat="1" ht="17.25" customHeight="1">
      <c r="AB432" s="340"/>
    </row>
    <row r="433" spans="28:28" s="221" customFormat="1" ht="17.25" customHeight="1">
      <c r="AB433" s="340"/>
    </row>
    <row r="434" spans="28:28" s="221" customFormat="1" ht="17.25" customHeight="1">
      <c r="AB434" s="340"/>
    </row>
    <row r="435" spans="28:28" s="221" customFormat="1" ht="17.25" customHeight="1">
      <c r="AB435" s="340"/>
    </row>
    <row r="436" spans="28:28" s="221" customFormat="1" ht="17.25" customHeight="1">
      <c r="AB436" s="340"/>
    </row>
    <row r="437" spans="28:28" s="221" customFormat="1" ht="17.25" customHeight="1">
      <c r="AB437" s="340"/>
    </row>
    <row r="438" spans="28:28" s="221" customFormat="1" ht="17.25" customHeight="1">
      <c r="AB438" s="340"/>
    </row>
    <row r="439" spans="28:28" s="221" customFormat="1" ht="17.25" customHeight="1">
      <c r="AB439" s="340"/>
    </row>
    <row r="440" spans="28:28" s="221" customFormat="1" ht="17.25" customHeight="1">
      <c r="AB440" s="340"/>
    </row>
    <row r="441" spans="28:28" s="221" customFormat="1" ht="17.25" customHeight="1">
      <c r="AB441" s="340"/>
    </row>
    <row r="442" spans="28:28" s="221" customFormat="1" ht="17.25" customHeight="1">
      <c r="AB442" s="340"/>
    </row>
    <row r="443" spans="28:28" s="221" customFormat="1" ht="17.25" customHeight="1">
      <c r="AB443" s="340"/>
    </row>
    <row r="444" spans="28:28" s="221" customFormat="1" ht="17.25" customHeight="1">
      <c r="AB444" s="340"/>
    </row>
    <row r="445" spans="28:28" s="221" customFormat="1" ht="17.25" customHeight="1">
      <c r="AB445" s="340"/>
    </row>
    <row r="446" spans="28:28" s="221" customFormat="1" ht="17.25" customHeight="1">
      <c r="AB446" s="340"/>
    </row>
    <row r="447" spans="28:28" s="221" customFormat="1" ht="17.25" customHeight="1">
      <c r="AB447" s="340"/>
    </row>
    <row r="448" spans="28:28" s="221" customFormat="1" ht="17.25" customHeight="1">
      <c r="AB448" s="340"/>
    </row>
    <row r="449" spans="28:28" s="221" customFormat="1" ht="17.25" customHeight="1">
      <c r="AB449" s="340"/>
    </row>
    <row r="450" spans="28:28" s="221" customFormat="1" ht="17.25" customHeight="1">
      <c r="AB450" s="340"/>
    </row>
    <row r="451" spans="28:28" s="221" customFormat="1" ht="17.25" customHeight="1">
      <c r="AB451" s="340"/>
    </row>
    <row r="452" spans="28:28" s="221" customFormat="1" ht="17.25" customHeight="1">
      <c r="AB452" s="340"/>
    </row>
    <row r="453" spans="28:28" s="221" customFormat="1" ht="17.25" customHeight="1">
      <c r="AB453" s="340"/>
    </row>
    <row r="454" spans="28:28" s="221" customFormat="1" ht="17.25" customHeight="1">
      <c r="AB454" s="340"/>
    </row>
    <row r="455" spans="28:28" s="221" customFormat="1" ht="17.25" customHeight="1">
      <c r="AB455" s="340"/>
    </row>
    <row r="456" spans="28:28" s="221" customFormat="1" ht="17.25" customHeight="1">
      <c r="AB456" s="340"/>
    </row>
    <row r="457" spans="28:28" s="221" customFormat="1">
      <c r="AB457" s="340"/>
    </row>
    <row r="458" spans="28:28" s="221" customFormat="1">
      <c r="AB458" s="340"/>
    </row>
    <row r="459" spans="28:28" s="221" customFormat="1">
      <c r="AB459" s="340"/>
    </row>
    <row r="460" spans="28:28" s="221" customFormat="1">
      <c r="AB460" s="340"/>
    </row>
    <row r="461" spans="28:28" s="221" customFormat="1">
      <c r="AB461" s="340"/>
    </row>
    <row r="462" spans="28:28" s="221" customFormat="1">
      <c r="AB462" s="340"/>
    </row>
    <row r="463" spans="28:28" s="221" customFormat="1">
      <c r="AB463" s="340"/>
    </row>
    <row r="464" spans="28:28" s="221" customFormat="1">
      <c r="AB464" s="340"/>
    </row>
    <row r="465" spans="28:28" s="221" customFormat="1">
      <c r="AB465" s="340"/>
    </row>
    <row r="466" spans="28:28" s="221" customFormat="1">
      <c r="AB466" s="340"/>
    </row>
    <row r="467" spans="28:28" s="221" customFormat="1">
      <c r="AB467" s="340"/>
    </row>
    <row r="468" spans="28:28" s="221" customFormat="1">
      <c r="AB468" s="340"/>
    </row>
    <row r="469" spans="28:28" s="221" customFormat="1">
      <c r="AB469" s="340"/>
    </row>
    <row r="470" spans="28:28" s="221" customFormat="1">
      <c r="AB470" s="340"/>
    </row>
    <row r="471" spans="28:28" s="221" customFormat="1">
      <c r="AB471" s="340"/>
    </row>
    <row r="472" spans="28:28" s="221" customFormat="1">
      <c r="AB472" s="340"/>
    </row>
    <row r="473" spans="28:28" s="221" customFormat="1">
      <c r="AB473" s="340"/>
    </row>
    <row r="474" spans="28:28" s="221" customFormat="1">
      <c r="AB474" s="340"/>
    </row>
    <row r="475" spans="28:28" s="221" customFormat="1">
      <c r="AB475" s="340"/>
    </row>
    <row r="476" spans="28:28" s="221" customFormat="1">
      <c r="AB476" s="340"/>
    </row>
    <row r="477" spans="28:28" s="221" customFormat="1">
      <c r="AB477" s="340"/>
    </row>
    <row r="478" spans="28:28" s="221" customFormat="1">
      <c r="AB478" s="340"/>
    </row>
    <row r="479" spans="28:28" s="221" customFormat="1">
      <c r="AB479" s="340"/>
    </row>
    <row r="480" spans="28:28" s="221" customFormat="1">
      <c r="AB480" s="340"/>
    </row>
    <row r="481" spans="28:28" s="221" customFormat="1">
      <c r="AB481" s="340"/>
    </row>
    <row r="482" spans="28:28" s="221" customFormat="1">
      <c r="AB482" s="340"/>
    </row>
    <row r="483" spans="28:28" s="221" customFormat="1">
      <c r="AB483" s="340"/>
    </row>
    <row r="484" spans="28:28" s="221" customFormat="1">
      <c r="AB484" s="340"/>
    </row>
    <row r="485" spans="28:28" s="221" customFormat="1">
      <c r="AB485" s="340"/>
    </row>
    <row r="486" spans="28:28" s="221" customFormat="1">
      <c r="AB486" s="340"/>
    </row>
    <row r="487" spans="28:28" s="221" customFormat="1">
      <c r="AB487" s="340"/>
    </row>
    <row r="488" spans="28:28" s="221" customFormat="1">
      <c r="AB488" s="340"/>
    </row>
    <row r="489" spans="28:28" s="221" customFormat="1">
      <c r="AB489" s="340"/>
    </row>
    <row r="490" spans="28:28" s="221" customFormat="1">
      <c r="AB490" s="340"/>
    </row>
    <row r="491" spans="28:28" s="221" customFormat="1">
      <c r="AB491" s="340"/>
    </row>
    <row r="492" spans="28:28" s="221" customFormat="1">
      <c r="AB492" s="340"/>
    </row>
    <row r="493" spans="28:28" s="221" customFormat="1">
      <c r="AB493" s="340"/>
    </row>
    <row r="494" spans="28:28" s="221" customFormat="1">
      <c r="AB494" s="340"/>
    </row>
    <row r="495" spans="28:28" s="221" customFormat="1">
      <c r="AB495" s="340"/>
    </row>
    <row r="496" spans="28:28" s="221" customFormat="1">
      <c r="AB496" s="340"/>
    </row>
    <row r="497" spans="28:28" s="221" customFormat="1">
      <c r="AB497" s="340"/>
    </row>
    <row r="498" spans="28:28" s="221" customFormat="1">
      <c r="AB498" s="340"/>
    </row>
    <row r="499" spans="28:28" s="221" customFormat="1">
      <c r="AB499" s="340"/>
    </row>
    <row r="500" spans="28:28" s="221" customFormat="1">
      <c r="AB500" s="340"/>
    </row>
    <row r="501" spans="28:28" s="221" customFormat="1">
      <c r="AB501" s="340"/>
    </row>
    <row r="502" spans="28:28" s="221" customFormat="1">
      <c r="AB502" s="340"/>
    </row>
    <row r="503" spans="28:28" s="221" customFormat="1">
      <c r="AB503" s="340"/>
    </row>
    <row r="504" spans="28:28" s="221" customFormat="1">
      <c r="AB504" s="340"/>
    </row>
    <row r="505" spans="28:28" s="221" customFormat="1">
      <c r="AB505" s="340"/>
    </row>
    <row r="506" spans="28:28" s="221" customFormat="1">
      <c r="AB506" s="340"/>
    </row>
    <row r="507" spans="28:28" s="221" customFormat="1">
      <c r="AB507" s="340"/>
    </row>
    <row r="508" spans="28:28" s="221" customFormat="1">
      <c r="AB508" s="340"/>
    </row>
    <row r="509" spans="28:28" s="221" customFormat="1">
      <c r="AB509" s="340"/>
    </row>
    <row r="510" spans="28:28" s="221" customFormat="1">
      <c r="AB510" s="340"/>
    </row>
    <row r="511" spans="28:28" s="221" customFormat="1">
      <c r="AB511" s="340"/>
    </row>
    <row r="512" spans="28:28" s="221" customFormat="1">
      <c r="AB512" s="340"/>
    </row>
    <row r="513" spans="28:28" s="221" customFormat="1">
      <c r="AB513" s="340"/>
    </row>
    <row r="514" spans="28:28" s="221" customFormat="1">
      <c r="AB514" s="340"/>
    </row>
    <row r="515" spans="28:28" s="221" customFormat="1">
      <c r="AB515" s="340"/>
    </row>
    <row r="516" spans="28:28" s="221" customFormat="1">
      <c r="AB516" s="340"/>
    </row>
    <row r="517" spans="28:28" s="221" customFormat="1">
      <c r="AB517" s="340"/>
    </row>
    <row r="518" spans="28:28" s="221" customFormat="1">
      <c r="AB518" s="340"/>
    </row>
    <row r="519" spans="28:28" s="221" customFormat="1">
      <c r="AB519" s="340"/>
    </row>
    <row r="520" spans="28:28" s="221" customFormat="1">
      <c r="AB520" s="340"/>
    </row>
    <row r="521" spans="28:28" s="221" customFormat="1">
      <c r="AB521" s="340"/>
    </row>
    <row r="522" spans="28:28" s="221" customFormat="1">
      <c r="AB522" s="340"/>
    </row>
    <row r="523" spans="28:28" s="221" customFormat="1">
      <c r="AB523" s="340"/>
    </row>
    <row r="524" spans="28:28" s="221" customFormat="1">
      <c r="AB524" s="340"/>
    </row>
    <row r="525" spans="28:28" s="221" customFormat="1">
      <c r="AB525" s="340"/>
    </row>
    <row r="526" spans="28:28" s="221" customFormat="1">
      <c r="AB526" s="340"/>
    </row>
    <row r="527" spans="28:28" s="221" customFormat="1">
      <c r="AB527" s="340"/>
    </row>
    <row r="528" spans="28:28" s="221" customFormat="1">
      <c r="AB528" s="340"/>
    </row>
    <row r="529" spans="28:28" s="221" customFormat="1">
      <c r="AB529" s="340"/>
    </row>
    <row r="530" spans="28:28" s="221" customFormat="1">
      <c r="AB530" s="340"/>
    </row>
    <row r="531" spans="28:28" s="221" customFormat="1">
      <c r="AB531" s="340"/>
    </row>
    <row r="532" spans="28:28" s="221" customFormat="1">
      <c r="AB532" s="340"/>
    </row>
    <row r="533" spans="28:28" s="221" customFormat="1">
      <c r="AB533" s="340"/>
    </row>
    <row r="534" spans="28:28" s="221" customFormat="1">
      <c r="AB534" s="340"/>
    </row>
    <row r="535" spans="28:28" s="221" customFormat="1">
      <c r="AB535" s="340"/>
    </row>
    <row r="536" spans="28:28" s="221" customFormat="1">
      <c r="AB536" s="340"/>
    </row>
    <row r="537" spans="28:28" s="221" customFormat="1">
      <c r="AB537" s="340"/>
    </row>
    <row r="538" spans="28:28" s="221" customFormat="1">
      <c r="AB538" s="340"/>
    </row>
    <row r="539" spans="28:28" s="221" customFormat="1">
      <c r="AB539" s="340"/>
    </row>
    <row r="540" spans="28:28" s="221" customFormat="1">
      <c r="AB540" s="340"/>
    </row>
    <row r="541" spans="28:28" s="221" customFormat="1">
      <c r="AB541" s="340"/>
    </row>
    <row r="542" spans="28:28" s="221" customFormat="1">
      <c r="AB542" s="340"/>
    </row>
    <row r="543" spans="28:28" s="221" customFormat="1">
      <c r="AB543" s="340"/>
    </row>
    <row r="544" spans="28:28" s="221" customFormat="1">
      <c r="AB544" s="340"/>
    </row>
    <row r="545" spans="28:28" s="221" customFormat="1">
      <c r="AB545" s="340"/>
    </row>
    <row r="546" spans="28:28" s="221" customFormat="1">
      <c r="AB546" s="340"/>
    </row>
    <row r="547" spans="28:28" s="221" customFormat="1">
      <c r="AB547" s="340"/>
    </row>
    <row r="548" spans="28:28" s="221" customFormat="1">
      <c r="AB548" s="340"/>
    </row>
    <row r="549" spans="28:28" s="221" customFormat="1">
      <c r="AB549" s="340"/>
    </row>
    <row r="550" spans="28:28" s="221" customFormat="1">
      <c r="AB550" s="340"/>
    </row>
    <row r="551" spans="28:28" s="221" customFormat="1">
      <c r="AB551" s="340"/>
    </row>
    <row r="552" spans="28:28" s="221" customFormat="1">
      <c r="AB552" s="340"/>
    </row>
    <row r="553" spans="28:28" s="221" customFormat="1">
      <c r="AB553" s="340"/>
    </row>
    <row r="554" spans="28:28" s="221" customFormat="1">
      <c r="AB554" s="340"/>
    </row>
    <row r="555" spans="28:28" s="221" customFormat="1">
      <c r="AB555" s="340"/>
    </row>
    <row r="556" spans="28:28" s="221" customFormat="1">
      <c r="AB556" s="340"/>
    </row>
    <row r="557" spans="28:28" s="221" customFormat="1">
      <c r="AB557" s="340"/>
    </row>
    <row r="558" spans="28:28" s="221" customFormat="1">
      <c r="AB558" s="340"/>
    </row>
    <row r="559" spans="28:28" s="221" customFormat="1">
      <c r="AB559" s="340"/>
    </row>
    <row r="560" spans="28:28" s="221" customFormat="1">
      <c r="AB560" s="340"/>
    </row>
    <row r="561" spans="28:28" s="221" customFormat="1">
      <c r="AB561" s="340"/>
    </row>
    <row r="562" spans="28:28" s="221" customFormat="1">
      <c r="AB562" s="340"/>
    </row>
    <row r="563" spans="28:28" s="221" customFormat="1">
      <c r="AB563" s="340"/>
    </row>
    <row r="564" spans="28:28" s="221" customFormat="1">
      <c r="AB564" s="340"/>
    </row>
    <row r="565" spans="28:28" s="221" customFormat="1">
      <c r="AB565" s="340"/>
    </row>
    <row r="566" spans="28:28" s="221" customFormat="1">
      <c r="AB566" s="340"/>
    </row>
    <row r="567" spans="28:28" s="221" customFormat="1">
      <c r="AB567" s="340"/>
    </row>
    <row r="568" spans="28:28" s="221" customFormat="1">
      <c r="AB568" s="340"/>
    </row>
    <row r="569" spans="28:28" s="221" customFormat="1">
      <c r="AB569" s="340"/>
    </row>
    <row r="570" spans="28:28" s="221" customFormat="1">
      <c r="AB570" s="340"/>
    </row>
    <row r="571" spans="28:28" s="221" customFormat="1">
      <c r="AB571" s="340"/>
    </row>
    <row r="572" spans="28:28" s="221" customFormat="1">
      <c r="AB572" s="340"/>
    </row>
    <row r="573" spans="28:28" s="221" customFormat="1">
      <c r="AB573" s="340"/>
    </row>
    <row r="574" spans="28:28" s="221" customFormat="1">
      <c r="AB574" s="340"/>
    </row>
    <row r="575" spans="28:28" s="221" customFormat="1">
      <c r="AB575" s="340"/>
    </row>
    <row r="576" spans="28:28" s="221" customFormat="1">
      <c r="AB576" s="340"/>
    </row>
    <row r="577" spans="28:28" s="221" customFormat="1">
      <c r="AB577" s="340"/>
    </row>
    <row r="578" spans="28:28" s="221" customFormat="1">
      <c r="AB578" s="340"/>
    </row>
    <row r="579" spans="28:28" s="221" customFormat="1">
      <c r="AB579" s="340"/>
    </row>
    <row r="580" spans="28:28" s="221" customFormat="1">
      <c r="AB580" s="340"/>
    </row>
    <row r="581" spans="28:28" s="221" customFormat="1">
      <c r="AB581" s="340"/>
    </row>
    <row r="582" spans="28:28" s="221" customFormat="1">
      <c r="AB582" s="340"/>
    </row>
    <row r="583" spans="28:28" s="221" customFormat="1">
      <c r="AB583" s="340"/>
    </row>
    <row r="584" spans="28:28" s="221" customFormat="1">
      <c r="AB584" s="340"/>
    </row>
    <row r="585" spans="28:28" s="221" customFormat="1">
      <c r="AB585" s="340"/>
    </row>
    <row r="586" spans="28:28" s="221" customFormat="1">
      <c r="AB586" s="340"/>
    </row>
    <row r="587" spans="28:28" s="221" customFormat="1">
      <c r="AB587" s="340"/>
    </row>
    <row r="588" spans="28:28" s="221" customFormat="1">
      <c r="AB588" s="340"/>
    </row>
    <row r="589" spans="28:28" s="221" customFormat="1">
      <c r="AB589" s="340"/>
    </row>
    <row r="590" spans="28:28" s="221" customFormat="1">
      <c r="AB590" s="340"/>
    </row>
    <row r="591" spans="28:28" s="221" customFormat="1">
      <c r="AB591" s="340"/>
    </row>
    <row r="592" spans="28:28" s="221" customFormat="1">
      <c r="AB592" s="340"/>
    </row>
    <row r="593" spans="28:28" s="221" customFormat="1">
      <c r="AB593" s="340"/>
    </row>
    <row r="594" spans="28:28" s="221" customFormat="1">
      <c r="AB594" s="340"/>
    </row>
    <row r="595" spans="28:28" s="221" customFormat="1">
      <c r="AB595" s="340"/>
    </row>
    <row r="596" spans="28:28" s="221" customFormat="1">
      <c r="AB596" s="340"/>
    </row>
    <row r="597" spans="28:28" s="221" customFormat="1">
      <c r="AB597" s="340"/>
    </row>
    <row r="598" spans="28:28" s="221" customFormat="1">
      <c r="AB598" s="340"/>
    </row>
    <row r="599" spans="28:28" s="221" customFormat="1">
      <c r="AB599" s="340"/>
    </row>
    <row r="600" spans="28:28" s="221" customFormat="1">
      <c r="AB600" s="340"/>
    </row>
    <row r="601" spans="28:28" s="221" customFormat="1">
      <c r="AB601" s="340"/>
    </row>
    <row r="602" spans="28:28" s="221" customFormat="1">
      <c r="AB602" s="340"/>
    </row>
    <row r="603" spans="28:28" s="221" customFormat="1">
      <c r="AB603" s="340"/>
    </row>
    <row r="604" spans="28:28" s="221" customFormat="1">
      <c r="AB604" s="340"/>
    </row>
    <row r="605" spans="28:28" s="221" customFormat="1">
      <c r="AB605" s="340"/>
    </row>
    <row r="606" spans="28:28" s="221" customFormat="1">
      <c r="AB606" s="340"/>
    </row>
    <row r="607" spans="28:28" s="221" customFormat="1">
      <c r="AB607" s="340"/>
    </row>
    <row r="608" spans="28:28" s="221" customFormat="1">
      <c r="AB608" s="340"/>
    </row>
    <row r="609" spans="28:28" s="221" customFormat="1">
      <c r="AB609" s="340"/>
    </row>
    <row r="610" spans="28:28" s="221" customFormat="1">
      <c r="AB610" s="340"/>
    </row>
    <row r="611" spans="28:28" s="221" customFormat="1">
      <c r="AB611" s="340"/>
    </row>
    <row r="612" spans="28:28" s="221" customFormat="1">
      <c r="AB612" s="340"/>
    </row>
    <row r="613" spans="28:28" s="221" customFormat="1">
      <c r="AB613" s="340"/>
    </row>
    <row r="614" spans="28:28" s="221" customFormat="1">
      <c r="AB614" s="340"/>
    </row>
    <row r="615" spans="28:28" s="221" customFormat="1">
      <c r="AB615" s="340"/>
    </row>
    <row r="616" spans="28:28" s="221" customFormat="1">
      <c r="AB616" s="340"/>
    </row>
    <row r="617" spans="28:28" s="221" customFormat="1">
      <c r="AB617" s="340"/>
    </row>
    <row r="618" spans="28:28" s="221" customFormat="1">
      <c r="AB618" s="340"/>
    </row>
    <row r="619" spans="28:28" s="221" customFormat="1">
      <c r="AB619" s="340"/>
    </row>
    <row r="620" spans="28:28" s="221" customFormat="1">
      <c r="AB620" s="340"/>
    </row>
    <row r="621" spans="28:28" s="221" customFormat="1">
      <c r="AB621" s="340"/>
    </row>
    <row r="622" spans="28:28" s="221" customFormat="1">
      <c r="AB622" s="340"/>
    </row>
    <row r="623" spans="28:28" s="221" customFormat="1">
      <c r="AB623" s="340"/>
    </row>
    <row r="624" spans="28:28" s="221" customFormat="1">
      <c r="AB624" s="340"/>
    </row>
    <row r="625" spans="28:28" s="221" customFormat="1">
      <c r="AB625" s="340"/>
    </row>
    <row r="626" spans="28:28" s="221" customFormat="1">
      <c r="AB626" s="340"/>
    </row>
    <row r="627" spans="28:28" s="221" customFormat="1">
      <c r="AB627" s="340"/>
    </row>
    <row r="628" spans="28:28" s="221" customFormat="1">
      <c r="AB628" s="340"/>
    </row>
    <row r="629" spans="28:28" s="221" customFormat="1">
      <c r="AB629" s="340"/>
    </row>
    <row r="630" spans="28:28" s="221" customFormat="1">
      <c r="AB630" s="340"/>
    </row>
    <row r="631" spans="28:28" s="221" customFormat="1">
      <c r="AB631" s="340"/>
    </row>
    <row r="632" spans="28:28" s="221" customFormat="1">
      <c r="AB632" s="340"/>
    </row>
    <row r="633" spans="28:28" s="221" customFormat="1">
      <c r="AB633" s="340"/>
    </row>
    <row r="634" spans="28:28" s="221" customFormat="1">
      <c r="AB634" s="340"/>
    </row>
    <row r="635" spans="28:28" s="221" customFormat="1">
      <c r="AB635" s="340"/>
    </row>
    <row r="636" spans="28:28" s="221" customFormat="1">
      <c r="AB636" s="340"/>
    </row>
    <row r="637" spans="28:28" s="221" customFormat="1">
      <c r="AB637" s="340"/>
    </row>
    <row r="638" spans="28:28" s="221" customFormat="1">
      <c r="AB638" s="340"/>
    </row>
    <row r="639" spans="28:28" s="221" customFormat="1">
      <c r="AB639" s="340"/>
    </row>
    <row r="640" spans="28:28" s="221" customFormat="1">
      <c r="AB640" s="340"/>
    </row>
    <row r="641" spans="28:28" s="221" customFormat="1">
      <c r="AB641" s="340"/>
    </row>
    <row r="642" spans="28:28" s="221" customFormat="1">
      <c r="AB642" s="340"/>
    </row>
    <row r="643" spans="28:28" s="221" customFormat="1">
      <c r="AB643" s="340"/>
    </row>
    <row r="644" spans="28:28" s="221" customFormat="1">
      <c r="AB644" s="340"/>
    </row>
    <row r="645" spans="28:28" s="221" customFormat="1">
      <c r="AB645" s="340"/>
    </row>
    <row r="646" spans="28:28" s="221" customFormat="1">
      <c r="AB646" s="340"/>
    </row>
    <row r="647" spans="28:28" s="221" customFormat="1">
      <c r="AB647" s="340"/>
    </row>
    <row r="648" spans="28:28" s="221" customFormat="1">
      <c r="AB648" s="340"/>
    </row>
    <row r="649" spans="28:28" s="221" customFormat="1">
      <c r="AB649" s="340"/>
    </row>
    <row r="650" spans="28:28" s="221" customFormat="1">
      <c r="AB650" s="340"/>
    </row>
    <row r="651" spans="28:28" s="221" customFormat="1">
      <c r="AB651" s="340"/>
    </row>
    <row r="652" spans="28:28" s="221" customFormat="1">
      <c r="AB652" s="340"/>
    </row>
    <row r="653" spans="28:28" s="221" customFormat="1">
      <c r="AB653" s="340"/>
    </row>
    <row r="654" spans="28:28" s="221" customFormat="1">
      <c r="AB654" s="340"/>
    </row>
    <row r="655" spans="28:28" s="221" customFormat="1">
      <c r="AB655" s="340"/>
    </row>
    <row r="656" spans="28:28" s="221" customFormat="1">
      <c r="AB656" s="340"/>
    </row>
    <row r="657" spans="28:28" s="221" customFormat="1">
      <c r="AB657" s="340"/>
    </row>
    <row r="658" spans="28:28" s="221" customFormat="1">
      <c r="AB658" s="340"/>
    </row>
    <row r="659" spans="28:28" s="221" customFormat="1">
      <c r="AB659" s="340"/>
    </row>
    <row r="660" spans="28:28" s="221" customFormat="1">
      <c r="AB660" s="340"/>
    </row>
    <row r="661" spans="28:28" s="221" customFormat="1">
      <c r="AB661" s="340"/>
    </row>
    <row r="662" spans="28:28" s="221" customFormat="1">
      <c r="AB662" s="340"/>
    </row>
    <row r="663" spans="28:28" s="221" customFormat="1">
      <c r="AB663" s="340"/>
    </row>
    <row r="664" spans="28:28" s="221" customFormat="1">
      <c r="AB664" s="340"/>
    </row>
    <row r="665" spans="28:28" s="221" customFormat="1">
      <c r="AB665" s="340"/>
    </row>
    <row r="666" spans="28:28" s="221" customFormat="1">
      <c r="AB666" s="340"/>
    </row>
    <row r="667" spans="28:28" s="221" customFormat="1">
      <c r="AB667" s="340"/>
    </row>
    <row r="668" spans="28:28" s="221" customFormat="1">
      <c r="AB668" s="340"/>
    </row>
    <row r="669" spans="28:28" s="221" customFormat="1">
      <c r="AB669" s="340"/>
    </row>
    <row r="670" spans="28:28" s="221" customFormat="1">
      <c r="AB670" s="340"/>
    </row>
    <row r="671" spans="28:28" s="221" customFormat="1">
      <c r="AB671" s="340"/>
    </row>
    <row r="672" spans="28:28" s="221" customFormat="1">
      <c r="AB672" s="340"/>
    </row>
    <row r="673" spans="28:28" s="221" customFormat="1">
      <c r="AB673" s="340"/>
    </row>
    <row r="674" spans="28:28" s="221" customFormat="1">
      <c r="AB674" s="340"/>
    </row>
    <row r="675" spans="28:28" s="221" customFormat="1">
      <c r="AB675" s="340"/>
    </row>
    <row r="676" spans="28:28" s="221" customFormat="1">
      <c r="AB676" s="340"/>
    </row>
    <row r="677" spans="28:28" s="221" customFormat="1">
      <c r="AB677" s="340"/>
    </row>
    <row r="678" spans="28:28" s="221" customFormat="1">
      <c r="AB678" s="340"/>
    </row>
    <row r="679" spans="28:28" s="221" customFormat="1">
      <c r="AB679" s="340"/>
    </row>
    <row r="680" spans="28:28" s="221" customFormat="1">
      <c r="AB680" s="340"/>
    </row>
    <row r="681" spans="28:28" s="221" customFormat="1">
      <c r="AB681" s="340"/>
    </row>
    <row r="682" spans="28:28" s="221" customFormat="1">
      <c r="AB682" s="340"/>
    </row>
    <row r="683" spans="28:28" s="221" customFormat="1">
      <c r="AB683" s="340"/>
    </row>
    <row r="684" spans="28:28" s="221" customFormat="1">
      <c r="AB684" s="340"/>
    </row>
    <row r="685" spans="28:28" s="221" customFormat="1">
      <c r="AB685" s="340"/>
    </row>
    <row r="686" spans="28:28" s="221" customFormat="1">
      <c r="AB686" s="340"/>
    </row>
    <row r="687" spans="28:28" s="221" customFormat="1">
      <c r="AB687" s="340"/>
    </row>
    <row r="688" spans="28:28" s="221" customFormat="1">
      <c r="AB688" s="340"/>
    </row>
    <row r="689" spans="1:28" s="221" customFormat="1">
      <c r="AB689" s="340"/>
    </row>
    <row r="690" spans="1:28" s="221" customFormat="1">
      <c r="AB690" s="340"/>
    </row>
    <row r="691" spans="1:28" s="221" customFormat="1">
      <c r="AB691" s="340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Input!M46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W-2</v>
      </c>
      <c r="B15" s="356"/>
    </row>
    <row r="16" spans="1:2">
      <c r="A16" s="356">
        <v>0</v>
      </c>
      <c r="B16" s="356"/>
    </row>
    <row r="17" spans="1:2">
      <c r="A17" s="356">
        <v>0</v>
      </c>
      <c r="B17" s="356"/>
    </row>
    <row r="18" spans="1:2">
      <c r="A18" s="356">
        <f>Input!N45/2/1000</f>
        <v>0.1</v>
      </c>
      <c r="B18" s="356"/>
    </row>
    <row r="19" spans="1:2">
      <c r="A19" s="356">
        <f>Input!M44/2/1000</f>
        <v>0.1</v>
      </c>
      <c r="B19" s="356"/>
    </row>
    <row r="20" spans="1:2">
      <c r="A20" s="356">
        <v>0</v>
      </c>
      <c r="B20" s="356"/>
    </row>
    <row r="21" spans="1:2">
      <c r="A21" s="356">
        <v>0</v>
      </c>
      <c r="B21" s="356"/>
    </row>
    <row r="22" spans="1:2">
      <c r="A22" s="356">
        <v>1</v>
      </c>
      <c r="B22" s="356"/>
    </row>
    <row r="23" spans="1:2">
      <c r="A23" s="356">
        <v>5</v>
      </c>
      <c r="B23" s="356"/>
    </row>
    <row r="24" spans="1:2">
      <c r="A24" s="358">
        <v>0</v>
      </c>
      <c r="B24" s="358">
        <f>Input!D3</f>
        <v>100</v>
      </c>
    </row>
    <row r="25" spans="1:2">
      <c r="A25" s="358">
        <f>StepTest!D31</f>
        <v>120</v>
      </c>
      <c r="B25" s="358">
        <f>Input!D4</f>
        <v>128</v>
      </c>
    </row>
    <row r="26" spans="1:2">
      <c r="A26" s="358">
        <f>StepTest!D36</f>
        <v>240</v>
      </c>
      <c r="B26" s="358">
        <f>Input!D5</f>
        <v>155.54999999999998</v>
      </c>
    </row>
    <row r="27" spans="1:2">
      <c r="A27" s="358">
        <f>StepTest!D41</f>
        <v>360</v>
      </c>
      <c r="B27" s="358">
        <f>Input!D6</f>
        <v>183</v>
      </c>
    </row>
    <row r="28" spans="1:2">
      <c r="A28" s="358">
        <f>StepTest!D46</f>
        <v>480</v>
      </c>
      <c r="B28" s="358">
        <f>Input!D7</f>
        <v>210.45</v>
      </c>
    </row>
    <row r="29" spans="1:2">
      <c r="A29" s="356" t="s">
        <v>219</v>
      </c>
      <c r="B29" s="356"/>
    </row>
    <row r="30" spans="1:2">
      <c r="A30" s="356" t="str">
        <f>A15</f>
        <v>W-2</v>
      </c>
      <c r="B30" s="356"/>
    </row>
    <row r="31" spans="1:2">
      <c r="A31" s="359">
        <f>A19</f>
        <v>0.1</v>
      </c>
      <c r="B31" s="356"/>
    </row>
    <row r="32" spans="1:2">
      <c r="A32" s="356">
        <v>0</v>
      </c>
      <c r="B32" s="356"/>
    </row>
    <row r="33" spans="1:3">
      <c r="A33" s="356">
        <v>0</v>
      </c>
      <c r="B33" s="356"/>
    </row>
    <row r="34" spans="1:3">
      <c r="A34" s="358">
        <f>SUM(C35:C134)</f>
        <v>100</v>
      </c>
      <c r="B34" s="356"/>
    </row>
    <row r="35" spans="1:3">
      <c r="A35" s="356">
        <f>Sheet1!A1</f>
        <v>1</v>
      </c>
      <c r="B35" s="357">
        <f>Sheet1!B1</f>
        <v>1.24</v>
      </c>
      <c r="C35" s="358">
        <v>1</v>
      </c>
    </row>
    <row r="36" spans="1:3">
      <c r="A36" s="356">
        <f>Sheet1!A2</f>
        <v>2</v>
      </c>
      <c r="B36" s="357">
        <f>Sheet1!B2</f>
        <v>2.36</v>
      </c>
      <c r="C36" s="358">
        <v>1</v>
      </c>
    </row>
    <row r="37" spans="1:3">
      <c r="A37" s="356">
        <f>Sheet1!A3</f>
        <v>3</v>
      </c>
      <c r="B37" s="357">
        <f>Sheet1!B3</f>
        <v>3.16</v>
      </c>
      <c r="C37" s="358">
        <v>1</v>
      </c>
    </row>
    <row r="38" spans="1:3">
      <c r="A38" s="356">
        <f>Sheet1!A4</f>
        <v>4</v>
      </c>
      <c r="B38" s="357">
        <f>Sheet1!B4</f>
        <v>3.73</v>
      </c>
      <c r="C38" s="358">
        <v>1</v>
      </c>
    </row>
    <row r="39" spans="1:3">
      <c r="A39" s="356">
        <f>Sheet1!A5</f>
        <v>5</v>
      </c>
      <c r="B39" s="357">
        <f>Sheet1!B5</f>
        <v>4.17</v>
      </c>
      <c r="C39" s="358">
        <v>1</v>
      </c>
    </row>
    <row r="40" spans="1:3">
      <c r="A40" s="356">
        <f>Sheet1!A6</f>
        <v>10</v>
      </c>
      <c r="B40" s="357">
        <f>Sheet1!B6</f>
        <v>5.53</v>
      </c>
      <c r="C40" s="358">
        <v>1</v>
      </c>
    </row>
    <row r="41" spans="1:3">
      <c r="A41" s="356">
        <f>Sheet1!A7</f>
        <v>15</v>
      </c>
      <c r="B41" s="357">
        <f>Sheet1!B7</f>
        <v>6.33</v>
      </c>
      <c r="C41" s="358">
        <v>1</v>
      </c>
    </row>
    <row r="42" spans="1:3">
      <c r="A42" s="356">
        <f>Sheet1!A8</f>
        <v>20</v>
      </c>
      <c r="B42" s="357">
        <f>Sheet1!B8</f>
        <v>6.89</v>
      </c>
      <c r="C42" s="358">
        <v>1</v>
      </c>
    </row>
    <row r="43" spans="1:3">
      <c r="A43" s="356">
        <f>Sheet1!A9</f>
        <v>25</v>
      </c>
      <c r="B43" s="357">
        <f>Sheet1!B9</f>
        <v>7.33</v>
      </c>
      <c r="C43" s="358">
        <v>1</v>
      </c>
    </row>
    <row r="44" spans="1:3">
      <c r="A44" s="356">
        <f>Sheet1!A10</f>
        <v>30</v>
      </c>
      <c r="B44" s="357">
        <f>Sheet1!B10</f>
        <v>7.69</v>
      </c>
      <c r="C44" s="358">
        <v>1</v>
      </c>
    </row>
    <row r="45" spans="1:3">
      <c r="A45" s="356">
        <f>Sheet1!A11</f>
        <v>35</v>
      </c>
      <c r="B45" s="357">
        <f>Sheet1!B11</f>
        <v>7.99</v>
      </c>
      <c r="C45" s="358">
        <v>1</v>
      </c>
    </row>
    <row r="46" spans="1:3">
      <c r="A46" s="356">
        <f>Sheet1!A12</f>
        <v>40</v>
      </c>
      <c r="B46" s="357">
        <f>Sheet1!B12</f>
        <v>8.25</v>
      </c>
      <c r="C46" s="358">
        <v>1</v>
      </c>
    </row>
    <row r="47" spans="1:3">
      <c r="A47" s="356">
        <f>Sheet1!A13</f>
        <v>45</v>
      </c>
      <c r="B47" s="357">
        <f>Sheet1!B13</f>
        <v>8.49</v>
      </c>
      <c r="C47" s="358">
        <v>1</v>
      </c>
    </row>
    <row r="48" spans="1:3">
      <c r="A48" s="356">
        <f>Sheet1!A14</f>
        <v>50</v>
      </c>
      <c r="B48" s="357">
        <f>Sheet1!B14</f>
        <v>8.69</v>
      </c>
      <c r="C48" s="358">
        <v>1</v>
      </c>
    </row>
    <row r="49" spans="1:3">
      <c r="A49" s="356">
        <f>Sheet1!A15</f>
        <v>55</v>
      </c>
      <c r="B49" s="357">
        <f>Sheet1!B15</f>
        <v>8.8800000000000008</v>
      </c>
      <c r="C49" s="358">
        <v>1</v>
      </c>
    </row>
    <row r="50" spans="1:3">
      <c r="A50" s="356">
        <f>Sheet1!A16</f>
        <v>60</v>
      </c>
      <c r="B50" s="357">
        <f>Sheet1!B16</f>
        <v>9.0500000000000007</v>
      </c>
      <c r="C50" s="358">
        <v>1</v>
      </c>
    </row>
    <row r="51" spans="1:3">
      <c r="A51" s="356">
        <f>Sheet1!A17</f>
        <v>75</v>
      </c>
      <c r="B51" s="357">
        <f>Sheet1!B17</f>
        <v>9.49</v>
      </c>
      <c r="C51" s="358">
        <v>1</v>
      </c>
    </row>
    <row r="52" spans="1:3">
      <c r="A52" s="356">
        <f>Sheet1!A18</f>
        <v>90</v>
      </c>
      <c r="B52" s="357">
        <f>Sheet1!B18</f>
        <v>9.85</v>
      </c>
      <c r="C52" s="358">
        <v>1</v>
      </c>
    </row>
    <row r="53" spans="1:3">
      <c r="A53" s="356">
        <f>Sheet1!A19</f>
        <v>105</v>
      </c>
      <c r="B53" s="357">
        <f>Sheet1!B19</f>
        <v>10.15</v>
      </c>
      <c r="C53" s="358">
        <v>1</v>
      </c>
    </row>
    <row r="54" spans="1:3">
      <c r="A54" s="356">
        <f>Sheet1!A20</f>
        <v>120</v>
      </c>
      <c r="B54" s="357">
        <f>Sheet1!B20</f>
        <v>10.42</v>
      </c>
      <c r="C54" s="358">
        <v>1</v>
      </c>
    </row>
    <row r="55" spans="1:3">
      <c r="A55" s="356">
        <f>Sheet1!A21</f>
        <v>121</v>
      </c>
      <c r="B55" s="357">
        <f>Sheet1!B21</f>
        <v>10.58</v>
      </c>
      <c r="C55" s="358">
        <v>1</v>
      </c>
    </row>
    <row r="56" spans="1:3">
      <c r="A56" s="356">
        <f>Sheet1!A22</f>
        <v>122</v>
      </c>
      <c r="B56" s="357">
        <f>Sheet1!B22</f>
        <v>10.73</v>
      </c>
      <c r="C56" s="358">
        <v>1</v>
      </c>
    </row>
    <row r="57" spans="1:3">
      <c r="A57" s="356">
        <f>Sheet1!A23</f>
        <v>123</v>
      </c>
      <c r="B57" s="357">
        <f>Sheet1!B23</f>
        <v>10.870000000000001</v>
      </c>
      <c r="C57" s="358">
        <v>1</v>
      </c>
    </row>
    <row r="58" spans="1:3">
      <c r="A58" s="356">
        <f>Sheet1!A24</f>
        <v>124</v>
      </c>
      <c r="B58" s="357">
        <f>Sheet1!B24</f>
        <v>11.000000000000002</v>
      </c>
      <c r="C58" s="358">
        <v>1</v>
      </c>
    </row>
    <row r="59" spans="1:3">
      <c r="A59" s="356">
        <f>Sheet1!A25</f>
        <v>125</v>
      </c>
      <c r="B59" s="357">
        <f>Sheet1!B25</f>
        <v>11.130000000000003</v>
      </c>
      <c r="C59" s="358">
        <v>1</v>
      </c>
    </row>
    <row r="60" spans="1:3">
      <c r="A60" s="356">
        <f>Sheet1!A26</f>
        <v>130</v>
      </c>
      <c r="B60" s="357">
        <f>Sheet1!B26</f>
        <v>12.5</v>
      </c>
      <c r="C60" s="358">
        <v>1</v>
      </c>
    </row>
    <row r="61" spans="1:3">
      <c r="A61" s="356">
        <f>Sheet1!A27</f>
        <v>135</v>
      </c>
      <c r="B61" s="357">
        <f>Sheet1!B27</f>
        <v>12.61</v>
      </c>
      <c r="C61" s="358">
        <v>1</v>
      </c>
    </row>
    <row r="62" spans="1:3">
      <c r="A62" s="356">
        <f>Sheet1!A28</f>
        <v>140</v>
      </c>
      <c r="B62" s="357">
        <f>Sheet1!B28</f>
        <v>12.84</v>
      </c>
      <c r="C62" s="358">
        <v>1</v>
      </c>
    </row>
    <row r="63" spans="1:3">
      <c r="A63" s="356">
        <f>Sheet1!A29</f>
        <v>145</v>
      </c>
      <c r="B63" s="357">
        <f>Sheet1!B29</f>
        <v>12.94</v>
      </c>
      <c r="C63" s="358">
        <v>1</v>
      </c>
    </row>
    <row r="64" spans="1:3">
      <c r="A64" s="356">
        <f>Sheet1!A30</f>
        <v>150</v>
      </c>
      <c r="B64" s="357">
        <f>Sheet1!B30</f>
        <v>13.19</v>
      </c>
      <c r="C64" s="358">
        <v>1</v>
      </c>
    </row>
    <row r="65" spans="1:3">
      <c r="A65" s="356">
        <f>Sheet1!A31</f>
        <v>155</v>
      </c>
      <c r="B65" s="357">
        <f>Sheet1!B31</f>
        <v>13.25</v>
      </c>
      <c r="C65" s="358">
        <v>1</v>
      </c>
    </row>
    <row r="66" spans="1:3">
      <c r="A66" s="356">
        <f>Sheet1!A32</f>
        <v>160</v>
      </c>
      <c r="B66" s="357">
        <f>Sheet1!B32</f>
        <v>13.3</v>
      </c>
      <c r="C66" s="358">
        <v>1</v>
      </c>
    </row>
    <row r="67" spans="1:3">
      <c r="A67" s="356">
        <f>Sheet1!A33</f>
        <v>165</v>
      </c>
      <c r="B67" s="357">
        <f>Sheet1!B33</f>
        <v>13.34</v>
      </c>
      <c r="C67" s="358">
        <v>1</v>
      </c>
    </row>
    <row r="68" spans="1:3">
      <c r="A68" s="356">
        <f>Sheet1!A34</f>
        <v>170</v>
      </c>
      <c r="B68" s="357">
        <f>Sheet1!B34</f>
        <v>13.37</v>
      </c>
      <c r="C68" s="358">
        <v>1</v>
      </c>
    </row>
    <row r="69" spans="1:3">
      <c r="A69" s="356">
        <f>Sheet1!A35</f>
        <v>175</v>
      </c>
      <c r="B69" s="357">
        <f>Sheet1!B35</f>
        <v>13.389999999999999</v>
      </c>
      <c r="C69" s="358">
        <v>1</v>
      </c>
    </row>
    <row r="70" spans="1:3">
      <c r="A70" s="356">
        <f>Sheet1!A36</f>
        <v>180</v>
      </c>
      <c r="B70" s="357">
        <f>Sheet1!B36</f>
        <v>13.54</v>
      </c>
      <c r="C70" s="358">
        <v>1</v>
      </c>
    </row>
    <row r="71" spans="1:3">
      <c r="A71" s="356">
        <f>Sheet1!A37</f>
        <v>195</v>
      </c>
      <c r="B71" s="357">
        <f>Sheet1!B37</f>
        <v>13.61</v>
      </c>
      <c r="C71" s="358">
        <v>1</v>
      </c>
    </row>
    <row r="72" spans="1:3">
      <c r="A72" s="356">
        <f>Sheet1!A38</f>
        <v>210</v>
      </c>
      <c r="B72" s="357">
        <f>Sheet1!B38</f>
        <v>13.67</v>
      </c>
      <c r="C72" s="358">
        <v>1</v>
      </c>
    </row>
    <row r="73" spans="1:3">
      <c r="A73" s="356">
        <f>Sheet1!A39</f>
        <v>225</v>
      </c>
      <c r="B73" s="357">
        <f>Sheet1!B39</f>
        <v>13.72</v>
      </c>
      <c r="C73" s="358">
        <v>1</v>
      </c>
    </row>
    <row r="74" spans="1:3">
      <c r="A74" s="356">
        <f>Sheet1!A40</f>
        <v>240</v>
      </c>
      <c r="B74" s="357">
        <f>Sheet1!B40</f>
        <v>13.89</v>
      </c>
      <c r="C74" s="358">
        <v>1</v>
      </c>
    </row>
    <row r="75" spans="1:3">
      <c r="A75" s="356">
        <f>Sheet1!A41</f>
        <v>241</v>
      </c>
      <c r="B75" s="357">
        <f>Sheet1!B41</f>
        <v>14.07</v>
      </c>
      <c r="C75" s="358">
        <v>1</v>
      </c>
    </row>
    <row r="76" spans="1:3">
      <c r="A76" s="356">
        <f>Sheet1!A42</f>
        <v>242</v>
      </c>
      <c r="B76" s="357">
        <f>Sheet1!B42</f>
        <v>14.23</v>
      </c>
      <c r="C76" s="358">
        <v>1</v>
      </c>
    </row>
    <row r="77" spans="1:3">
      <c r="A77" s="356">
        <f>Sheet1!A43</f>
        <v>243</v>
      </c>
      <c r="B77" s="357">
        <f>Sheet1!B43</f>
        <v>14.38</v>
      </c>
      <c r="C77" s="358">
        <v>1</v>
      </c>
    </row>
    <row r="78" spans="1:3">
      <c r="A78" s="356">
        <f>Sheet1!A44</f>
        <v>244</v>
      </c>
      <c r="B78" s="357">
        <f>Sheet1!B44</f>
        <v>14.520000000000001</v>
      </c>
      <c r="C78" s="358">
        <v>1</v>
      </c>
    </row>
    <row r="79" spans="1:3">
      <c r="A79" s="356">
        <f>Sheet1!A45</f>
        <v>245</v>
      </c>
      <c r="B79" s="357">
        <f>Sheet1!B45</f>
        <v>14.650000000000002</v>
      </c>
      <c r="C79" s="358">
        <v>1</v>
      </c>
    </row>
    <row r="80" spans="1:3">
      <c r="A80" s="356">
        <f>Sheet1!A46</f>
        <v>250</v>
      </c>
      <c r="B80" s="357">
        <f>Sheet1!B46</f>
        <v>16.23</v>
      </c>
      <c r="C80" s="358">
        <v>1</v>
      </c>
    </row>
    <row r="81" spans="1:3">
      <c r="A81" s="356">
        <f>Sheet1!A47</f>
        <v>255</v>
      </c>
      <c r="B81" s="357">
        <f>Sheet1!B47</f>
        <v>16.34</v>
      </c>
      <c r="C81" s="358">
        <v>1</v>
      </c>
    </row>
    <row r="82" spans="1:3">
      <c r="A82" s="356">
        <f>Sheet1!A48</f>
        <v>260</v>
      </c>
      <c r="B82" s="357">
        <f>Sheet1!B48</f>
        <v>16.62</v>
      </c>
      <c r="C82" s="358">
        <v>1</v>
      </c>
    </row>
    <row r="83" spans="1:3">
      <c r="A83" s="356">
        <f>Sheet1!A49</f>
        <v>265</v>
      </c>
      <c r="B83" s="357">
        <f>Sheet1!B49</f>
        <v>16.73</v>
      </c>
      <c r="C83" s="358">
        <v>1</v>
      </c>
    </row>
    <row r="84" spans="1:3">
      <c r="A84" s="356">
        <f>Sheet1!A50</f>
        <v>270</v>
      </c>
      <c r="B84" s="357">
        <f>Sheet1!B50</f>
        <v>17.010000000000002</v>
      </c>
      <c r="C84" s="358">
        <v>1</v>
      </c>
    </row>
    <row r="85" spans="1:3">
      <c r="A85" s="356">
        <f>Sheet1!A51</f>
        <v>275</v>
      </c>
      <c r="B85" s="357">
        <f>Sheet1!B51</f>
        <v>17.080000000000002</v>
      </c>
      <c r="C85" s="358">
        <v>1</v>
      </c>
    </row>
    <row r="86" spans="1:3">
      <c r="A86" s="356">
        <f>Sheet1!A52</f>
        <v>280</v>
      </c>
      <c r="B86" s="357">
        <f>Sheet1!B52</f>
        <v>17.130000000000003</v>
      </c>
      <c r="C86" s="358">
        <v>1</v>
      </c>
    </row>
    <row r="87" spans="1:3">
      <c r="A87" s="356">
        <f>Sheet1!A53</f>
        <v>285</v>
      </c>
      <c r="B87" s="357">
        <f>Sheet1!B53</f>
        <v>17.170000000000002</v>
      </c>
      <c r="C87" s="358">
        <v>1</v>
      </c>
    </row>
    <row r="88" spans="1:3">
      <c r="A88" s="356">
        <f>Sheet1!A54</f>
        <v>290</v>
      </c>
      <c r="B88" s="357">
        <f>Sheet1!B54</f>
        <v>17.200000000000003</v>
      </c>
      <c r="C88" s="358">
        <v>1</v>
      </c>
    </row>
    <row r="89" spans="1:3">
      <c r="A89" s="356">
        <f>Sheet1!A55</f>
        <v>295</v>
      </c>
      <c r="B89" s="357">
        <f>Sheet1!B55</f>
        <v>17.220000000000002</v>
      </c>
      <c r="C89" s="358">
        <v>1</v>
      </c>
    </row>
    <row r="90" spans="1:3">
      <c r="A90" s="356">
        <f>Sheet1!A56</f>
        <v>300</v>
      </c>
      <c r="B90" s="357">
        <f>Sheet1!B56</f>
        <v>17.399999999999999</v>
      </c>
      <c r="C90" s="358">
        <v>1</v>
      </c>
    </row>
    <row r="91" spans="1:3">
      <c r="A91" s="356">
        <f>Sheet1!A57</f>
        <v>315</v>
      </c>
      <c r="B91" s="357">
        <f>Sheet1!B57</f>
        <v>17.479999999999997</v>
      </c>
      <c r="C91" s="358">
        <v>1</v>
      </c>
    </row>
    <row r="92" spans="1:3">
      <c r="A92" s="356">
        <f>Sheet1!A58</f>
        <v>330</v>
      </c>
      <c r="B92" s="357">
        <f>Sheet1!B58</f>
        <v>17.539999999999996</v>
      </c>
      <c r="C92" s="358">
        <v>1</v>
      </c>
    </row>
    <row r="93" spans="1:3">
      <c r="A93" s="356">
        <f>Sheet1!A59</f>
        <v>345</v>
      </c>
      <c r="B93" s="357">
        <f>Sheet1!B59</f>
        <v>17.589999999999996</v>
      </c>
      <c r="C93" s="358">
        <v>1</v>
      </c>
    </row>
    <row r="94" spans="1:3">
      <c r="A94" s="356">
        <f>Sheet1!A60</f>
        <v>360</v>
      </c>
      <c r="B94" s="357">
        <f>Sheet1!B60</f>
        <v>17.8</v>
      </c>
      <c r="C94" s="358">
        <v>1</v>
      </c>
    </row>
    <row r="95" spans="1:3">
      <c r="A95" s="356">
        <f>Sheet1!A61</f>
        <v>361</v>
      </c>
      <c r="B95" s="357">
        <f>Sheet1!B61</f>
        <v>17.990000000000002</v>
      </c>
      <c r="C95" s="358">
        <v>1</v>
      </c>
    </row>
    <row r="96" spans="1:3">
      <c r="A96" s="356">
        <f>Sheet1!A62</f>
        <v>362</v>
      </c>
      <c r="B96" s="357">
        <f>Sheet1!B62</f>
        <v>18.160000000000004</v>
      </c>
      <c r="C96" s="358">
        <v>1</v>
      </c>
    </row>
    <row r="97" spans="1:3">
      <c r="A97" s="356">
        <f>Sheet1!A63</f>
        <v>363</v>
      </c>
      <c r="B97" s="357">
        <f>Sheet1!B63</f>
        <v>18.320000000000004</v>
      </c>
      <c r="C97" s="358">
        <v>1</v>
      </c>
    </row>
    <row r="98" spans="1:3">
      <c r="A98" s="356">
        <f>Sheet1!A64</f>
        <v>364</v>
      </c>
      <c r="B98" s="357">
        <f>Sheet1!B64</f>
        <v>18.470000000000002</v>
      </c>
      <c r="C98" s="358">
        <v>1</v>
      </c>
    </row>
    <row r="99" spans="1:3">
      <c r="A99" s="356">
        <f>Sheet1!A65</f>
        <v>365</v>
      </c>
      <c r="B99" s="357">
        <f>Sheet1!B65</f>
        <v>18.610000000000003</v>
      </c>
      <c r="C99" s="358">
        <v>1</v>
      </c>
    </row>
    <row r="100" spans="1:3">
      <c r="A100" s="356">
        <f>Sheet1!A66</f>
        <v>370</v>
      </c>
      <c r="B100" s="357">
        <f>Sheet1!B66</f>
        <v>20.41</v>
      </c>
      <c r="C100" s="358">
        <v>1</v>
      </c>
    </row>
    <row r="101" spans="1:3">
      <c r="A101" s="356">
        <f>Sheet1!A67</f>
        <v>375</v>
      </c>
      <c r="B101" s="357">
        <f>Sheet1!B67</f>
        <v>20.53</v>
      </c>
      <c r="C101" s="358">
        <v>1</v>
      </c>
    </row>
    <row r="102" spans="1:3">
      <c r="A102" s="356">
        <f>Sheet1!A68</f>
        <v>380</v>
      </c>
      <c r="B102" s="357">
        <f>Sheet1!B68</f>
        <v>20.85</v>
      </c>
      <c r="C102" s="358">
        <v>1</v>
      </c>
    </row>
    <row r="103" spans="1:3">
      <c r="A103" s="356">
        <f>Sheet1!A69</f>
        <v>385</v>
      </c>
      <c r="B103" s="357">
        <f>Sheet1!B69</f>
        <v>20.970000000000002</v>
      </c>
      <c r="C103" s="358">
        <v>1</v>
      </c>
    </row>
    <row r="104" spans="1:3">
      <c r="A104" s="356">
        <f>Sheet1!A70</f>
        <v>390</v>
      </c>
      <c r="B104" s="357">
        <f>Sheet1!B70</f>
        <v>21.28</v>
      </c>
      <c r="C104" s="358">
        <v>1</v>
      </c>
    </row>
    <row r="105" spans="1:3">
      <c r="A105" s="356">
        <f>Sheet1!A71</f>
        <v>395</v>
      </c>
      <c r="B105" s="357">
        <f>Sheet1!B71</f>
        <v>21.35</v>
      </c>
      <c r="C105" s="358">
        <v>1</v>
      </c>
    </row>
    <row r="106" spans="1:3">
      <c r="A106" s="356">
        <f>Sheet1!A72</f>
        <v>400</v>
      </c>
      <c r="B106" s="357">
        <f>Sheet1!B72</f>
        <v>21.400000000000002</v>
      </c>
      <c r="C106" s="358">
        <v>1</v>
      </c>
    </row>
    <row r="107" spans="1:3">
      <c r="A107" s="356">
        <f>Sheet1!A73</f>
        <v>405</v>
      </c>
      <c r="B107" s="357">
        <f>Sheet1!B73</f>
        <v>21.44</v>
      </c>
      <c r="C107" s="358">
        <v>1</v>
      </c>
    </row>
    <row r="108" spans="1:3">
      <c r="A108" s="356">
        <f>Sheet1!A74</f>
        <v>410</v>
      </c>
      <c r="B108" s="357">
        <f>Sheet1!B74</f>
        <v>21.470000000000002</v>
      </c>
      <c r="C108" s="358">
        <v>1</v>
      </c>
    </row>
    <row r="109" spans="1:3">
      <c r="A109" s="356">
        <f>Sheet1!A75</f>
        <v>415</v>
      </c>
      <c r="B109" s="357">
        <f>Sheet1!B75</f>
        <v>21.500000000000004</v>
      </c>
      <c r="C109" s="358">
        <v>1</v>
      </c>
    </row>
    <row r="110" spans="1:3">
      <c r="A110" s="356">
        <f>Sheet1!A76</f>
        <v>420</v>
      </c>
      <c r="B110" s="357">
        <f>Sheet1!B76</f>
        <v>21.72</v>
      </c>
      <c r="C110" s="358">
        <v>1</v>
      </c>
    </row>
    <row r="111" spans="1:3">
      <c r="A111" s="356">
        <f>Sheet1!A77</f>
        <v>435</v>
      </c>
      <c r="B111" s="357">
        <f>Sheet1!B77</f>
        <v>21.81</v>
      </c>
      <c r="C111" s="358">
        <v>1</v>
      </c>
    </row>
    <row r="112" spans="1:3">
      <c r="A112" s="356">
        <f>Sheet1!A78</f>
        <v>450</v>
      </c>
      <c r="B112" s="357">
        <f>Sheet1!B78</f>
        <v>21.88</v>
      </c>
      <c r="C112" s="358">
        <v>1</v>
      </c>
    </row>
    <row r="113" spans="1:3">
      <c r="A113" s="356">
        <f>Sheet1!A79</f>
        <v>465</v>
      </c>
      <c r="B113" s="357">
        <f>Sheet1!B79</f>
        <v>21.93</v>
      </c>
      <c r="C113" s="358">
        <v>1</v>
      </c>
    </row>
    <row r="114" spans="1:3">
      <c r="A114" s="356">
        <f>Sheet1!A80</f>
        <v>480</v>
      </c>
      <c r="B114" s="357">
        <f>Sheet1!B80</f>
        <v>22.16</v>
      </c>
      <c r="C114" s="358">
        <v>1</v>
      </c>
    </row>
    <row r="115" spans="1:3">
      <c r="A115" s="356">
        <f>Sheet1!A81</f>
        <v>481</v>
      </c>
      <c r="B115" s="357">
        <f>Sheet1!B81</f>
        <v>22.37</v>
      </c>
      <c r="C115" s="358">
        <v>1</v>
      </c>
    </row>
    <row r="116" spans="1:3">
      <c r="A116" s="356">
        <f>Sheet1!A82</f>
        <v>482</v>
      </c>
      <c r="B116" s="357">
        <f>Sheet1!B82</f>
        <v>22.560000000000002</v>
      </c>
      <c r="C116" s="358">
        <v>1</v>
      </c>
    </row>
    <row r="117" spans="1:3">
      <c r="A117" s="356">
        <f>Sheet1!A83</f>
        <v>483</v>
      </c>
      <c r="B117" s="357">
        <f>Sheet1!B83</f>
        <v>22.730000000000004</v>
      </c>
      <c r="C117" s="358">
        <v>1</v>
      </c>
    </row>
    <row r="118" spans="1:3">
      <c r="A118" s="356">
        <f>Sheet1!A84</f>
        <v>484</v>
      </c>
      <c r="B118" s="357">
        <f>Sheet1!B84</f>
        <v>22.890000000000004</v>
      </c>
      <c r="C118" s="358">
        <v>1</v>
      </c>
    </row>
    <row r="119" spans="1:3">
      <c r="A119" s="356">
        <f>Sheet1!A85</f>
        <v>485</v>
      </c>
      <c r="B119" s="357">
        <f>Sheet1!B85</f>
        <v>23.030000000000005</v>
      </c>
      <c r="C119" s="358">
        <v>1</v>
      </c>
    </row>
    <row r="120" spans="1:3">
      <c r="A120" s="356">
        <f>Sheet1!A86</f>
        <v>490</v>
      </c>
      <c r="B120" s="357">
        <f>Sheet1!B86</f>
        <v>24.81</v>
      </c>
      <c r="C120" s="358">
        <v>1</v>
      </c>
    </row>
    <row r="121" spans="1:3">
      <c r="A121" s="356">
        <f>Sheet1!A87</f>
        <v>495</v>
      </c>
      <c r="B121" s="357">
        <f>Sheet1!B87</f>
        <v>25.119999999999997</v>
      </c>
      <c r="C121" s="358">
        <v>1</v>
      </c>
    </row>
    <row r="122" spans="1:3">
      <c r="A122" s="356">
        <f>Sheet1!A88</f>
        <v>500</v>
      </c>
      <c r="B122" s="357">
        <f>Sheet1!B88</f>
        <v>25.81</v>
      </c>
      <c r="C122" s="358">
        <v>1</v>
      </c>
    </row>
    <row r="123" spans="1:3">
      <c r="A123" s="356">
        <f>Sheet1!A89</f>
        <v>505</v>
      </c>
      <c r="B123" s="357">
        <f>Sheet1!B89</f>
        <v>26.11</v>
      </c>
      <c r="C123" s="358">
        <v>1</v>
      </c>
    </row>
    <row r="124" spans="1:3">
      <c r="A124" s="356">
        <f>Sheet1!A90</f>
        <v>510</v>
      </c>
      <c r="B124" s="357">
        <f>Sheet1!B90</f>
        <v>26.8</v>
      </c>
      <c r="C124" s="358">
        <v>1</v>
      </c>
    </row>
    <row r="125" spans="1:3">
      <c r="A125" s="356">
        <f>Sheet1!A91</f>
        <v>515</v>
      </c>
      <c r="B125" s="357">
        <f>Sheet1!B91</f>
        <v>26.95</v>
      </c>
      <c r="C125" s="358">
        <v>1</v>
      </c>
    </row>
    <row r="126" spans="1:3">
      <c r="A126" s="356">
        <f>Sheet1!A92</f>
        <v>520</v>
      </c>
      <c r="B126" s="357">
        <f>Sheet1!B92</f>
        <v>27.08</v>
      </c>
      <c r="C126" s="358">
        <v>1</v>
      </c>
    </row>
    <row r="127" spans="1:3">
      <c r="A127" s="356">
        <f>Sheet1!A93</f>
        <v>525</v>
      </c>
      <c r="B127" s="357">
        <f>Sheet1!B93</f>
        <v>27.189999999999998</v>
      </c>
      <c r="C127" s="358">
        <v>1</v>
      </c>
    </row>
    <row r="128" spans="1:3">
      <c r="A128" s="356">
        <f>Sheet1!A94</f>
        <v>530</v>
      </c>
      <c r="B128" s="357">
        <f>Sheet1!B94</f>
        <v>27.269999999999996</v>
      </c>
      <c r="C128" s="358">
        <v>1</v>
      </c>
    </row>
    <row r="129" spans="1:3">
      <c r="A129" s="356">
        <f>Sheet1!A95</f>
        <v>535</v>
      </c>
      <c r="B129" s="357">
        <f>Sheet1!B95</f>
        <v>27.339999999999996</v>
      </c>
      <c r="C129" s="358">
        <v>1</v>
      </c>
    </row>
    <row r="130" spans="1:3">
      <c r="A130" s="356">
        <f>Sheet1!A96</f>
        <v>540</v>
      </c>
      <c r="B130" s="357">
        <f>Sheet1!B96</f>
        <v>27.8</v>
      </c>
      <c r="C130" s="358">
        <v>1</v>
      </c>
    </row>
    <row r="131" spans="1:3">
      <c r="A131" s="356">
        <f>Sheet1!A97</f>
        <v>555</v>
      </c>
      <c r="B131" s="357">
        <f>Sheet1!B97</f>
        <v>27.990000000000002</v>
      </c>
      <c r="C131" s="358">
        <v>1</v>
      </c>
    </row>
    <row r="132" spans="1:3">
      <c r="A132" s="356">
        <f>Sheet1!A98</f>
        <v>570</v>
      </c>
      <c r="B132" s="357">
        <f>Sheet1!B98</f>
        <v>28.150000000000002</v>
      </c>
      <c r="C132" s="358">
        <v>1</v>
      </c>
    </row>
    <row r="133" spans="1:3">
      <c r="A133" s="356">
        <f>Sheet1!A99</f>
        <v>585</v>
      </c>
      <c r="B133" s="357">
        <f>Sheet1!B99</f>
        <v>28.290000000000003</v>
      </c>
      <c r="C133" s="358">
        <v>1</v>
      </c>
    </row>
    <row r="134" spans="1:3">
      <c r="A134" s="356">
        <f>Sheet1!A100</f>
        <v>600</v>
      </c>
      <c r="B134" s="357">
        <f>Sheet1!B100</f>
        <v>28.8</v>
      </c>
      <c r="C134" s="358">
        <v>1</v>
      </c>
    </row>
    <row r="135" spans="1:3">
      <c r="A135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>
      <selection activeCell="I17" sqref="I17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W-2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1</v>
      </c>
      <c r="B23" s="356"/>
    </row>
    <row r="24" spans="1:3">
      <c r="A24" s="358">
        <v>0</v>
      </c>
      <c r="B24" s="358">
        <f>Input!M51</f>
        <v>160</v>
      </c>
    </row>
    <row r="25" spans="1:3">
      <c r="A25" s="356" t="s">
        <v>219</v>
      </c>
      <c r="B25" s="356"/>
    </row>
    <row r="26" spans="1:3">
      <c r="A26" s="356" t="str">
        <f>A15</f>
        <v>W-2</v>
      </c>
      <c r="B26" s="356"/>
    </row>
    <row r="27" spans="1:3">
      <c r="A27" s="359">
        <f>SkinFactor!C8</f>
        <v>2.0030000000000001</v>
      </c>
      <c r="B27" s="356"/>
    </row>
    <row r="28" spans="1:3">
      <c r="A28" s="356">
        <v>0</v>
      </c>
      <c r="B28" s="356"/>
    </row>
    <row r="29" spans="1:3">
      <c r="A29" s="356">
        <v>0</v>
      </c>
      <c r="B29" s="356"/>
    </row>
    <row r="30" spans="1:3">
      <c r="A30" s="358">
        <f>SUM(C31:C98)</f>
        <v>68</v>
      </c>
      <c r="B30" s="356"/>
    </row>
    <row r="31" spans="1:3">
      <c r="A31" s="356">
        <f>LongTest!D10</f>
        <v>1</v>
      </c>
      <c r="B31" s="360">
        <f>LongTest!G10</f>
        <v>3.5360406887452882</v>
      </c>
      <c r="C31" s="358">
        <v>1</v>
      </c>
    </row>
    <row r="32" spans="1:3">
      <c r="A32" s="356">
        <f>LongTest!D11</f>
        <v>2</v>
      </c>
      <c r="B32" s="360">
        <f>LongTest!G11</f>
        <v>5.6736436308690976</v>
      </c>
      <c r="C32" s="358">
        <v>1</v>
      </c>
    </row>
    <row r="33" spans="1:3">
      <c r="A33" s="356">
        <f>LongTest!D12</f>
        <v>3</v>
      </c>
      <c r="B33" s="360">
        <f>LongTest!G12</f>
        <v>6.9240611934427463</v>
      </c>
      <c r="C33" s="358">
        <v>1</v>
      </c>
    </row>
    <row r="34" spans="1:3">
      <c r="A34" s="356">
        <f>LongTest!D13</f>
        <v>4</v>
      </c>
      <c r="B34" s="360">
        <f>LongTest!G13</f>
        <v>7.8112465729929106</v>
      </c>
      <c r="C34" s="358">
        <v>1</v>
      </c>
    </row>
    <row r="35" spans="1:3">
      <c r="A35" s="356">
        <f>LongTest!D14</f>
        <v>5</v>
      </c>
      <c r="B35" s="360">
        <f>LongTest!G14</f>
        <v>8.4994010157764492</v>
      </c>
      <c r="C35" s="358">
        <v>1</v>
      </c>
    </row>
    <row r="36" spans="1:3">
      <c r="A36" s="356">
        <f>LongTest!D15</f>
        <v>10</v>
      </c>
      <c r="B36" s="360">
        <f>LongTest!G15</f>
        <v>10.637003957900259</v>
      </c>
      <c r="C36" s="358">
        <v>1</v>
      </c>
    </row>
    <row r="37" spans="1:3">
      <c r="A37" s="356">
        <f>LongTest!D16</f>
        <v>15</v>
      </c>
      <c r="B37" s="360">
        <f>LongTest!G16</f>
        <v>11.887421520473904</v>
      </c>
      <c r="C37" s="358">
        <v>1</v>
      </c>
    </row>
    <row r="38" spans="1:3">
      <c r="A38" s="356">
        <f>LongTest!D17</f>
        <v>20</v>
      </c>
      <c r="B38" s="360">
        <f>LongTest!G17</f>
        <v>12.774606900024068</v>
      </c>
      <c r="C38" s="358">
        <v>1</v>
      </c>
    </row>
    <row r="39" spans="1:3">
      <c r="A39" s="356">
        <f>LongTest!D18</f>
        <v>25</v>
      </c>
      <c r="B39" s="360">
        <f>LongTest!G18</f>
        <v>13.462761342807607</v>
      </c>
      <c r="C39" s="358">
        <v>1</v>
      </c>
    </row>
    <row r="40" spans="1:3">
      <c r="A40" s="356">
        <f>LongTest!D19</f>
        <v>30</v>
      </c>
      <c r="B40" s="360">
        <f>LongTest!G19</f>
        <v>14.025024462597713</v>
      </c>
      <c r="C40" s="358">
        <v>1</v>
      </c>
    </row>
    <row r="41" spans="1:3">
      <c r="A41" s="356">
        <f>LongTest!D20</f>
        <v>35</v>
      </c>
      <c r="B41" s="360">
        <f>LongTest!G20</f>
        <v>14.500411156752541</v>
      </c>
      <c r="C41" s="358">
        <v>1</v>
      </c>
    </row>
    <row r="42" spans="1:3">
      <c r="A42" s="356">
        <f>LongTest!D21</f>
        <v>40</v>
      </c>
      <c r="B42" s="360">
        <f>LongTest!G21</f>
        <v>14.912209842147881</v>
      </c>
      <c r="C42" s="358">
        <v>1</v>
      </c>
    </row>
    <row r="43" spans="1:3">
      <c r="A43" s="356">
        <f>LongTest!D22</f>
        <v>45</v>
      </c>
      <c r="B43" s="360">
        <f>LongTest!G22</f>
        <v>15.275442025171358</v>
      </c>
      <c r="C43" s="358">
        <v>1</v>
      </c>
    </row>
    <row r="44" spans="1:3">
      <c r="A44" s="356">
        <f>LongTest!D23</f>
        <v>50</v>
      </c>
      <c r="B44" s="360">
        <f>LongTest!G23</f>
        <v>15.600364284931416</v>
      </c>
      <c r="C44" s="358">
        <v>1</v>
      </c>
    </row>
    <row r="45" spans="1:3">
      <c r="A45" s="356">
        <f>LongTest!D24</f>
        <v>55</v>
      </c>
      <c r="B45" s="360">
        <f>LongTest!G24</f>
        <v>15.862882221851672</v>
      </c>
      <c r="C45" s="358">
        <v>1</v>
      </c>
    </row>
    <row r="46" spans="1:3">
      <c r="A46" s="356">
        <f>LongTest!D25</f>
        <v>60</v>
      </c>
      <c r="B46" s="360">
        <f>LongTest!G25</f>
        <v>16.162627404721526</v>
      </c>
      <c r="C46" s="358">
        <v>1</v>
      </c>
    </row>
    <row r="47" spans="1:3">
      <c r="A47" s="356">
        <f>LongTest!D26</f>
        <v>75</v>
      </c>
      <c r="B47" s="360">
        <f>LongTest!G26</f>
        <v>16.850781847505061</v>
      </c>
      <c r="C47" s="358">
        <v>1</v>
      </c>
    </row>
    <row r="48" spans="1:3">
      <c r="A48" s="356">
        <f>LongTest!D27</f>
        <v>90</v>
      </c>
      <c r="B48" s="360">
        <f>LongTest!G27</f>
        <v>17.413044967295171</v>
      </c>
      <c r="C48" s="358">
        <v>1</v>
      </c>
    </row>
    <row r="49" spans="1:3">
      <c r="A49" s="356">
        <f>LongTest!D28</f>
        <v>105</v>
      </c>
      <c r="B49" s="360">
        <f>LongTest!G28</f>
        <v>17.888431661449999</v>
      </c>
      <c r="C49" s="358">
        <v>1</v>
      </c>
    </row>
    <row r="50" spans="1:3">
      <c r="A50" s="356">
        <f>LongTest!D29</f>
        <v>120</v>
      </c>
      <c r="B50" s="360">
        <f>LongTest!G29</f>
        <v>18.300230346845332</v>
      </c>
      <c r="C50" s="358">
        <v>1</v>
      </c>
    </row>
    <row r="51" spans="1:3">
      <c r="A51" s="356">
        <f>LongTest!D30</f>
        <v>140</v>
      </c>
      <c r="B51" s="360">
        <f>LongTest!G30</f>
        <v>18.77561704100016</v>
      </c>
      <c r="C51" s="358">
        <v>1</v>
      </c>
    </row>
    <row r="52" spans="1:3">
      <c r="A52" s="356">
        <f>LongTest!D31</f>
        <v>160</v>
      </c>
      <c r="B52" s="360">
        <f>LongTest!G31</f>
        <v>19.1874157263955</v>
      </c>
      <c r="C52" s="358">
        <v>1</v>
      </c>
    </row>
    <row r="53" spans="1:3">
      <c r="A53" s="356">
        <f>LongTest!D32</f>
        <v>180</v>
      </c>
      <c r="B53" s="360">
        <f>LongTest!G32</f>
        <v>19.550647909418977</v>
      </c>
      <c r="C53" s="358">
        <v>1</v>
      </c>
    </row>
    <row r="54" spans="1:3">
      <c r="A54" s="356">
        <f>LongTest!D33</f>
        <v>240</v>
      </c>
      <c r="B54" s="360">
        <f>LongTest!G33</f>
        <v>20.437833288969145</v>
      </c>
      <c r="C54" s="358">
        <v>1</v>
      </c>
    </row>
    <row r="55" spans="1:3">
      <c r="A55" s="356">
        <f>LongTest!D34</f>
        <v>300</v>
      </c>
      <c r="B55" s="360">
        <f>LongTest!G34</f>
        <v>21.12598773175268</v>
      </c>
      <c r="C55" s="358">
        <v>1</v>
      </c>
    </row>
    <row r="56" spans="1:3">
      <c r="A56" s="356">
        <f>LongTest!D35</f>
        <v>360</v>
      </c>
      <c r="B56" s="360">
        <f>LongTest!G35</f>
        <v>21.68825085154279</v>
      </c>
      <c r="C56" s="358">
        <v>1</v>
      </c>
    </row>
    <row r="57" spans="1:3">
      <c r="A57" s="356">
        <f>LongTest!D36</f>
        <v>420</v>
      </c>
      <c r="B57" s="360">
        <f>LongTest!G36</f>
        <v>22.163637545697618</v>
      </c>
      <c r="C57" s="358">
        <v>1</v>
      </c>
    </row>
    <row r="58" spans="1:3">
      <c r="A58" s="356">
        <f>LongTest!D37</f>
        <v>480</v>
      </c>
      <c r="B58" s="360">
        <f>LongTest!G37</f>
        <v>22.575436231092958</v>
      </c>
      <c r="C58" s="358">
        <v>1</v>
      </c>
    </row>
    <row r="59" spans="1:3">
      <c r="A59" s="356">
        <f>LongTest!D38</f>
        <v>540</v>
      </c>
      <c r="B59" s="360">
        <f>LongTest!G38</f>
        <v>22.938668414116435</v>
      </c>
      <c r="C59" s="358">
        <v>1</v>
      </c>
    </row>
    <row r="60" spans="1:3">
      <c r="A60" s="356">
        <f>LongTest!D39</f>
        <v>600</v>
      </c>
      <c r="B60" s="360">
        <f>LongTest!G39</f>
        <v>23.263590673876493</v>
      </c>
      <c r="C60" s="358">
        <v>1</v>
      </c>
    </row>
    <row r="61" spans="1:3">
      <c r="A61" s="356">
        <f>LongTest!D40</f>
        <v>660</v>
      </c>
      <c r="B61" s="360">
        <f>LongTest!G40</f>
        <v>23.557518610796748</v>
      </c>
      <c r="C61" s="358">
        <v>1</v>
      </c>
    </row>
    <row r="62" spans="1:3">
      <c r="A62" s="356">
        <f>LongTest!D41</f>
        <v>720</v>
      </c>
      <c r="B62" s="360">
        <f>LongTest!G41</f>
        <v>23.825853793666603</v>
      </c>
      <c r="C62" s="358">
        <v>1</v>
      </c>
    </row>
    <row r="63" spans="1:3">
      <c r="A63" s="356">
        <f>LongTest!D42</f>
        <v>780</v>
      </c>
      <c r="B63" s="360">
        <f>LongTest!G42</f>
        <v>24.072698233371725</v>
      </c>
      <c r="C63" s="358">
        <v>1</v>
      </c>
    </row>
    <row r="64" spans="1:3">
      <c r="A64" s="356">
        <f>LongTest!D43</f>
        <v>840</v>
      </c>
      <c r="B64" s="360">
        <f>LongTest!G43</f>
        <v>24.301240487821431</v>
      </c>
      <c r="C64" s="358">
        <v>1</v>
      </c>
    </row>
    <row r="65" spans="1:3">
      <c r="A65" s="356">
        <f>LongTest!D44</f>
        <v>900</v>
      </c>
      <c r="B65" s="360">
        <f>LongTest!G44</f>
        <v>24.514008236450138</v>
      </c>
      <c r="C65" s="358">
        <v>1</v>
      </c>
    </row>
    <row r="66" spans="1:3">
      <c r="A66" s="356">
        <f>LongTest!D45</f>
        <v>960</v>
      </c>
      <c r="B66" s="360">
        <f>LongTest!G45</f>
        <v>24.713039173216764</v>
      </c>
      <c r="C66" s="358">
        <v>1</v>
      </c>
    </row>
    <row r="67" spans="1:3">
      <c r="A67" s="356">
        <f>LongTest!D46</f>
        <v>1020</v>
      </c>
      <c r="B67" s="360">
        <f>LongTest!G46</f>
        <v>24.9</v>
      </c>
      <c r="C67" s="358">
        <v>1</v>
      </c>
    </row>
    <row r="68" spans="1:3">
      <c r="A68" s="356">
        <f>LongTest!D47</f>
        <v>1080</v>
      </c>
      <c r="B68" s="360">
        <f>LongTest!G47</f>
        <v>24.9</v>
      </c>
      <c r="C68" s="358">
        <v>1</v>
      </c>
    </row>
    <row r="69" spans="1:3">
      <c r="A69" s="356">
        <f>LongTest!D48</f>
        <v>1140</v>
      </c>
      <c r="B69" s="360">
        <f>LongTest!G48</f>
        <v>24.9</v>
      </c>
      <c r="C69" s="358">
        <v>1</v>
      </c>
    </row>
    <row r="70" spans="1:3">
      <c r="A70" s="356">
        <f>LongTest!D49</f>
        <v>1200</v>
      </c>
      <c r="B70" s="360">
        <f>LongTest!G49</f>
        <v>24.9</v>
      </c>
      <c r="C70" s="358">
        <v>1</v>
      </c>
    </row>
    <row r="71" spans="1:3">
      <c r="A71" s="356">
        <f>LongTest!D50</f>
        <v>1260</v>
      </c>
      <c r="B71" s="360">
        <f>LongTest!G50</f>
        <v>24.9</v>
      </c>
      <c r="C71" s="358">
        <v>1</v>
      </c>
    </row>
    <row r="72" spans="1:3">
      <c r="A72" s="356">
        <f>LongTest!D51</f>
        <v>1320</v>
      </c>
      <c r="B72" s="360">
        <f>LongTest!G51</f>
        <v>24.9</v>
      </c>
      <c r="C72" s="358">
        <v>1</v>
      </c>
    </row>
    <row r="73" spans="1:3">
      <c r="A73" s="356">
        <f>LongTest!D52</f>
        <v>1380</v>
      </c>
      <c r="B73" s="360">
        <f>LongTest!G52</f>
        <v>24.9</v>
      </c>
      <c r="C73" s="358">
        <v>1</v>
      </c>
    </row>
    <row r="74" spans="1:3">
      <c r="A74" s="356">
        <f>LongTest!D53</f>
        <v>1440</v>
      </c>
      <c r="B74" s="360">
        <f>LongTest!G53</f>
        <v>24.9</v>
      </c>
      <c r="C74" s="358">
        <v>1</v>
      </c>
    </row>
    <row r="75" spans="1:3">
      <c r="A75" s="356">
        <f>LongTest!D54</f>
        <v>1500</v>
      </c>
      <c r="B75" s="360">
        <f>LongTest!G54</f>
        <v>24.9</v>
      </c>
      <c r="C75" s="358">
        <v>1</v>
      </c>
    </row>
    <row r="76" spans="1:3">
      <c r="A76" s="356">
        <f>LongTest!D55</f>
        <v>1560</v>
      </c>
      <c r="B76" s="360">
        <f>LongTest!G55</f>
        <v>24.9</v>
      </c>
      <c r="C76" s="358">
        <v>1</v>
      </c>
    </row>
    <row r="77" spans="1:3">
      <c r="A77" s="356">
        <f>LongTest!D56</f>
        <v>1620</v>
      </c>
      <c r="B77" s="360">
        <f>LongTest!G56</f>
        <v>24.9</v>
      </c>
      <c r="C77" s="358">
        <v>1</v>
      </c>
    </row>
    <row r="78" spans="1:3">
      <c r="A78" s="356">
        <f>LongTest!D57</f>
        <v>1680</v>
      </c>
      <c r="B78" s="360">
        <f>LongTest!G57</f>
        <v>24.9</v>
      </c>
      <c r="C78" s="358">
        <v>1</v>
      </c>
    </row>
    <row r="79" spans="1:3">
      <c r="A79" s="356">
        <f>LongTest!D58</f>
        <v>1740</v>
      </c>
      <c r="B79" s="360">
        <f>LongTest!G58</f>
        <v>24.9</v>
      </c>
      <c r="C79" s="358">
        <v>1</v>
      </c>
    </row>
    <row r="80" spans="1:3">
      <c r="A80" s="356">
        <f>LongTest!D59</f>
        <v>1800</v>
      </c>
      <c r="B80" s="360">
        <f>LongTest!G59</f>
        <v>24.9</v>
      </c>
      <c r="C80" s="358">
        <v>1</v>
      </c>
    </row>
    <row r="81" spans="1:3">
      <c r="A81" s="356">
        <f>LongTest!D60</f>
        <v>1860</v>
      </c>
      <c r="B81" s="360">
        <f>LongTest!G60</f>
        <v>24.9</v>
      </c>
      <c r="C81" s="358">
        <v>1</v>
      </c>
    </row>
    <row r="82" spans="1:3">
      <c r="A82" s="356">
        <f>LongTest!D61</f>
        <v>1920</v>
      </c>
      <c r="B82" s="360">
        <f>LongTest!G61</f>
        <v>24.9</v>
      </c>
      <c r="C82" s="358">
        <v>1</v>
      </c>
    </row>
    <row r="83" spans="1:3">
      <c r="A83" s="356">
        <f>LongTest!D62</f>
        <v>1980</v>
      </c>
      <c r="B83" s="360">
        <f>LongTest!G62</f>
        <v>24.9</v>
      </c>
      <c r="C83" s="358">
        <v>1</v>
      </c>
    </row>
    <row r="84" spans="1:3">
      <c r="A84" s="356">
        <f>LongTest!D63</f>
        <v>2040</v>
      </c>
      <c r="B84" s="360">
        <f>LongTest!G63</f>
        <v>24.9</v>
      </c>
      <c r="C84" s="358">
        <v>1</v>
      </c>
    </row>
    <row r="85" spans="1:3">
      <c r="A85" s="356">
        <f>LongTest!D64</f>
        <v>2100</v>
      </c>
      <c r="B85" s="360">
        <f>LongTest!G64</f>
        <v>24.9</v>
      </c>
      <c r="C85" s="358">
        <v>1</v>
      </c>
    </row>
    <row r="86" spans="1:3">
      <c r="A86" s="356">
        <f>LongTest!D65</f>
        <v>2160</v>
      </c>
      <c r="B86" s="360">
        <f>LongTest!G65</f>
        <v>24.9</v>
      </c>
      <c r="C86" s="358">
        <v>1</v>
      </c>
    </row>
    <row r="87" spans="1:3">
      <c r="A87" s="356">
        <f>LongTest!D66</f>
        <v>2220</v>
      </c>
      <c r="B87" s="360">
        <f>LongTest!G66</f>
        <v>24.9</v>
      </c>
      <c r="C87" s="358">
        <v>1</v>
      </c>
    </row>
    <row r="88" spans="1:3">
      <c r="A88" s="356">
        <f>LongTest!D67</f>
        <v>2280</v>
      </c>
      <c r="B88" s="360">
        <f>LongTest!G67</f>
        <v>24.9</v>
      </c>
      <c r="C88" s="358">
        <v>1</v>
      </c>
    </row>
    <row r="89" spans="1:3">
      <c r="A89" s="356">
        <f>LongTest!D68</f>
        <v>2340</v>
      </c>
      <c r="B89" s="360">
        <f>LongTest!G68</f>
        <v>24.9</v>
      </c>
      <c r="C89" s="358">
        <v>1</v>
      </c>
    </row>
    <row r="90" spans="1:3">
      <c r="A90" s="356">
        <f>LongTest!D69</f>
        <v>2400</v>
      </c>
      <c r="B90" s="360">
        <f>LongTest!G69</f>
        <v>24.9</v>
      </c>
      <c r="C90" s="358">
        <v>1</v>
      </c>
    </row>
    <row r="91" spans="1:3">
      <c r="A91" s="356">
        <f>LongTest!D70</f>
        <v>2460</v>
      </c>
      <c r="B91" s="360">
        <f>LongTest!G70</f>
        <v>24.9</v>
      </c>
      <c r="C91" s="358">
        <v>1</v>
      </c>
    </row>
    <row r="92" spans="1:3">
      <c r="A92" s="356">
        <f>LongTest!D71</f>
        <v>2520</v>
      </c>
      <c r="B92" s="360">
        <f>LongTest!G71</f>
        <v>24.9</v>
      </c>
      <c r="C92" s="358">
        <v>1</v>
      </c>
    </row>
    <row r="93" spans="1:3">
      <c r="A93" s="356">
        <f>LongTest!D72</f>
        <v>2580</v>
      </c>
      <c r="B93" s="360">
        <f>LongTest!G72</f>
        <v>24.9</v>
      </c>
      <c r="C93" s="358">
        <v>1</v>
      </c>
    </row>
    <row r="94" spans="1:3">
      <c r="A94" s="356">
        <f>LongTest!D73</f>
        <v>2640</v>
      </c>
      <c r="B94" s="360">
        <f>LongTest!G73</f>
        <v>24.9</v>
      </c>
      <c r="C94" s="358">
        <v>1</v>
      </c>
    </row>
    <row r="95" spans="1:3">
      <c r="A95" s="356">
        <f>LongTest!D74</f>
        <v>2700</v>
      </c>
      <c r="B95" s="360">
        <f>LongTest!G74</f>
        <v>24.9</v>
      </c>
      <c r="C95" s="358">
        <v>1</v>
      </c>
    </row>
    <row r="96" spans="1:3">
      <c r="A96" s="356">
        <f>LongTest!D75</f>
        <v>2760</v>
      </c>
      <c r="B96" s="360">
        <f>LongTest!G75</f>
        <v>24.9</v>
      </c>
      <c r="C96" s="358">
        <v>1</v>
      </c>
    </row>
    <row r="97" spans="1:3">
      <c r="A97" s="356">
        <f>LongTest!D76</f>
        <v>2820</v>
      </c>
      <c r="B97" s="360">
        <f>LongTest!G76</f>
        <v>24.9</v>
      </c>
      <c r="C97" s="358">
        <v>1</v>
      </c>
    </row>
    <row r="98" spans="1:3">
      <c r="A98" s="356">
        <f>LongTest!D77</f>
        <v>2880</v>
      </c>
      <c r="B98" s="360">
        <f>LongTest!G77</f>
        <v>24.9</v>
      </c>
      <c r="C98" s="358">
        <v>1</v>
      </c>
    </row>
    <row r="99" spans="1:3">
      <c r="A99" s="356" t="s">
        <v>220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571500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552450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>
      <selection activeCell="H42" sqref="H42"/>
    </sheetView>
  </sheetViews>
  <sheetFormatPr defaultColWidth="9" defaultRowHeight="16.5"/>
  <cols>
    <col min="1" max="1" width="9" style="356"/>
    <col min="2" max="3" width="9" style="357"/>
    <col min="4" max="16384" width="9" style="356"/>
  </cols>
  <sheetData>
    <row r="1" spans="1:2">
      <c r="B1" s="356"/>
    </row>
    <row r="2" spans="1:2">
      <c r="A2" s="356" t="s">
        <v>213</v>
      </c>
      <c r="B2" s="356"/>
    </row>
    <row r="3" spans="1:2">
      <c r="A3" s="356">
        <v>2</v>
      </c>
      <c r="B3" s="356"/>
    </row>
    <row r="4" spans="1:2">
      <c r="A4" s="356">
        <v>1</v>
      </c>
      <c r="B4" s="356"/>
    </row>
    <row r="5" spans="1:2">
      <c r="A5" s="356">
        <v>6</v>
      </c>
      <c r="B5" s="356"/>
    </row>
    <row r="6" spans="1:2">
      <c r="A6" s="356" t="s">
        <v>214</v>
      </c>
      <c r="B6" s="356"/>
    </row>
    <row r="7" spans="1:2">
      <c r="A7" s="356">
        <f>Step.Select!A7</f>
        <v>80</v>
      </c>
      <c r="B7" s="356"/>
    </row>
    <row r="8" spans="1:2">
      <c r="A8" s="356" t="s">
        <v>215</v>
      </c>
      <c r="B8" s="356"/>
    </row>
    <row r="9" spans="1:2">
      <c r="A9" s="356">
        <v>1</v>
      </c>
      <c r="B9" s="356"/>
    </row>
    <row r="10" spans="1:2">
      <c r="A10" s="356" t="s">
        <v>216</v>
      </c>
      <c r="B10" s="356"/>
    </row>
    <row r="11" spans="1:2">
      <c r="A11" s="356">
        <v>1</v>
      </c>
      <c r="B11" s="356"/>
    </row>
    <row r="12" spans="1:2">
      <c r="A12" s="356" t="s">
        <v>217</v>
      </c>
      <c r="B12" s="356"/>
    </row>
    <row r="13" spans="1:2">
      <c r="A13" s="356">
        <v>1</v>
      </c>
      <c r="B13" s="356"/>
    </row>
    <row r="14" spans="1:2">
      <c r="A14" s="356" t="s">
        <v>218</v>
      </c>
      <c r="B14" s="356"/>
    </row>
    <row r="15" spans="1:2">
      <c r="A15" s="356" t="str">
        <f>Input!I54</f>
        <v>W-2</v>
      </c>
      <c r="B15" s="356"/>
    </row>
    <row r="16" spans="1:2">
      <c r="A16" s="356">
        <v>0</v>
      </c>
      <c r="B16" s="356"/>
    </row>
    <row r="17" spans="1:3">
      <c r="A17" s="356">
        <v>0</v>
      </c>
      <c r="B17" s="356"/>
    </row>
    <row r="18" spans="1:3">
      <c r="A18" s="356">
        <f>Step.Select!A18</f>
        <v>0.1</v>
      </c>
      <c r="B18" s="356"/>
    </row>
    <row r="19" spans="1:3">
      <c r="A19" s="356">
        <f>Step.Select!A19</f>
        <v>0.1</v>
      </c>
      <c r="B19" s="356"/>
    </row>
    <row r="20" spans="1:3">
      <c r="A20" s="356">
        <v>0</v>
      </c>
      <c r="B20" s="356"/>
    </row>
    <row r="21" spans="1:3">
      <c r="A21" s="356">
        <v>0</v>
      </c>
      <c r="B21" s="356"/>
    </row>
    <row r="22" spans="1:3">
      <c r="A22" s="356">
        <v>1</v>
      </c>
      <c r="B22" s="356"/>
    </row>
    <row r="23" spans="1:3">
      <c r="A23" s="356">
        <v>2</v>
      </c>
      <c r="B23" s="356"/>
    </row>
    <row r="24" spans="1:3">
      <c r="A24" s="358">
        <v>0</v>
      </c>
      <c r="B24" s="358">
        <f>Input!M51</f>
        <v>160</v>
      </c>
    </row>
    <row r="25" spans="1:3">
      <c r="A25" s="358">
        <v>2880</v>
      </c>
      <c r="B25" s="358">
        <v>0</v>
      </c>
    </row>
    <row r="26" spans="1:3">
      <c r="A26" s="356" t="s">
        <v>219</v>
      </c>
      <c r="B26" s="356"/>
    </row>
    <row r="27" spans="1:3">
      <c r="A27" s="356" t="str">
        <f>A15</f>
        <v>W-2</v>
      </c>
      <c r="B27" s="356"/>
    </row>
    <row r="28" spans="1:3">
      <c r="A28" s="359">
        <f>SkinFactor!C8</f>
        <v>2.0030000000000001</v>
      </c>
      <c r="B28" s="356"/>
    </row>
    <row r="29" spans="1:3">
      <c r="A29" s="356">
        <v>0</v>
      </c>
      <c r="B29" s="356"/>
    </row>
    <row r="30" spans="1:3">
      <c r="A30" s="356">
        <v>0</v>
      </c>
      <c r="B30" s="356"/>
    </row>
    <row r="31" spans="1:3">
      <c r="A31" s="358">
        <f>SUM(C32:C56)</f>
        <v>25</v>
      </c>
      <c r="B31" s="356"/>
    </row>
    <row r="32" spans="1:3">
      <c r="A32" s="356">
        <f>LongTest!D77</f>
        <v>2880</v>
      </c>
      <c r="B32" s="357">
        <f>LongTest!G77</f>
        <v>24.9</v>
      </c>
      <c r="C32" s="358">
        <v>1</v>
      </c>
    </row>
    <row r="33" spans="1:3">
      <c r="A33" s="356">
        <f>$A$32+LongTest!D78</f>
        <v>2881</v>
      </c>
      <c r="B33" s="357">
        <f>LongTest!G78</f>
        <v>15.875647176711848</v>
      </c>
      <c r="C33" s="358">
        <v>1</v>
      </c>
    </row>
    <row r="34" spans="1:3">
      <c r="A34" s="356">
        <f>$A$32+LongTest!D79</f>
        <v>2882</v>
      </c>
      <c r="B34" s="357">
        <f>LongTest!G79</f>
        <v>14.416022719845344</v>
      </c>
      <c r="C34" s="358">
        <v>1</v>
      </c>
    </row>
    <row r="35" spans="1:3">
      <c r="A35" s="356">
        <f>$A$32+LongTest!D80</f>
        <v>2883</v>
      </c>
      <c r="B35" s="357">
        <f>LongTest!G80</f>
        <v>13.090597740415465</v>
      </c>
      <c r="C35" s="358">
        <v>1</v>
      </c>
    </row>
    <row r="36" spans="1:3">
      <c r="A36" s="356">
        <f>$A$32+LongTest!D81</f>
        <v>2884</v>
      </c>
      <c r="B36" s="357">
        <f>LongTest!G81</f>
        <v>11.887033790912943</v>
      </c>
      <c r="C36" s="358">
        <v>1</v>
      </c>
    </row>
    <row r="37" spans="1:3">
      <c r="A37" s="356">
        <f>$A$32+LongTest!D82</f>
        <v>2885</v>
      </c>
      <c r="B37" s="357">
        <f>LongTest!G82</f>
        <v>10.794126834258801</v>
      </c>
      <c r="C37" s="358">
        <v>1</v>
      </c>
    </row>
    <row r="38" spans="1:3">
      <c r="A38" s="356">
        <f>$A$32+LongTest!D83</f>
        <v>2890</v>
      </c>
      <c r="B38" s="357">
        <f>LongTest!G83</f>
        <v>8.0821996731228722</v>
      </c>
      <c r="C38" s="358">
        <v>1</v>
      </c>
    </row>
    <row r="39" spans="1:3">
      <c r="A39" s="356">
        <f>$A$32+LongTest!D84</f>
        <v>2895</v>
      </c>
      <c r="B39" s="357">
        <f>LongTest!G84</f>
        <v>7.5788897366339549</v>
      </c>
      <c r="C39" s="358">
        <v>1</v>
      </c>
    </row>
    <row r="40" spans="1:3">
      <c r="A40" s="356">
        <f>$A$32+LongTest!D85</f>
        <v>2900</v>
      </c>
      <c r="B40" s="357">
        <f>LongTest!G85</f>
        <v>6.2493324370910521</v>
      </c>
      <c r="C40" s="358">
        <v>1</v>
      </c>
    </row>
    <row r="41" spans="1:3">
      <c r="A41" s="356">
        <f>$A$32+LongTest!D86</f>
        <v>2905</v>
      </c>
      <c r="B41" s="357">
        <f>LongTest!G86</f>
        <v>5.6747619416187218</v>
      </c>
      <c r="C41" s="358">
        <v>1</v>
      </c>
    </row>
    <row r="42" spans="1:3">
      <c r="A42" s="356">
        <f>$A$32+LongTest!D87</f>
        <v>2910</v>
      </c>
      <c r="B42" s="357">
        <f>LongTest!G87</f>
        <v>5.1530180892463671</v>
      </c>
      <c r="C42" s="358">
        <v>1</v>
      </c>
    </row>
    <row r="43" spans="1:3">
      <c r="A43" s="356">
        <f>$A$32+LongTest!D88</f>
        <v>2915</v>
      </c>
      <c r="B43" s="357">
        <f>LongTest!G88</f>
        <v>4.9899899799498595</v>
      </c>
      <c r="C43" s="358">
        <v>1</v>
      </c>
    </row>
    <row r="44" spans="1:3">
      <c r="A44" s="356">
        <f>$A$32+LongTest!D89</f>
        <v>2920</v>
      </c>
      <c r="B44" s="357">
        <f>LongTest!G89</f>
        <v>4.8321196566266362</v>
      </c>
      <c r="C44" s="358">
        <v>1</v>
      </c>
    </row>
    <row r="45" spans="1:3">
      <c r="A45" s="356">
        <f>$A$32+LongTest!D90</f>
        <v>2925</v>
      </c>
      <c r="B45" s="357">
        <f>LongTest!G90</f>
        <v>4.6792439403239321</v>
      </c>
      <c r="C45" s="358">
        <v>1</v>
      </c>
    </row>
    <row r="46" spans="1:3">
      <c r="A46" s="356">
        <f>$A$32+LongTest!D91</f>
        <v>2930</v>
      </c>
      <c r="B46" s="357">
        <f>LongTest!G91</f>
        <v>4.5312048146472526</v>
      </c>
      <c r="C46" s="358">
        <v>1</v>
      </c>
    </row>
    <row r="47" spans="1:3">
      <c r="A47" s="356">
        <f>$A$32+LongTest!D92</f>
        <v>2935</v>
      </c>
      <c r="B47" s="357">
        <f>LongTest!G92</f>
        <v>4.3878492624304339</v>
      </c>
      <c r="C47" s="358">
        <v>1</v>
      </c>
    </row>
    <row r="48" spans="1:3">
      <c r="A48" s="356">
        <f>$A$32+LongTest!D93</f>
        <v>2940</v>
      </c>
      <c r="B48" s="357">
        <f>LongTest!G93</f>
        <v>4.2490291075730449</v>
      </c>
      <c r="C48" s="358">
        <v>1</v>
      </c>
    </row>
    <row r="49" spans="1:3">
      <c r="A49" s="356">
        <f>$A$32+LongTest!D94</f>
        <v>2955</v>
      </c>
      <c r="B49" s="357">
        <f>LongTest!G94</f>
        <v>4.114600861881641</v>
      </c>
      <c r="C49" s="358">
        <v>1</v>
      </c>
    </row>
    <row r="50" spans="1:3">
      <c r="A50" s="356">
        <f>$A$32+LongTest!D95</f>
        <v>2970</v>
      </c>
      <c r="B50" s="357">
        <f>LongTest!G95</f>
        <v>3.9844255767565602</v>
      </c>
      <c r="C50" s="358">
        <v>1</v>
      </c>
    </row>
    <row r="51" spans="1:3">
      <c r="A51" s="356">
        <f>$A$32+LongTest!D96</f>
        <v>2985</v>
      </c>
      <c r="B51" s="357">
        <f>LongTest!G96</f>
        <v>3.8583686995709683</v>
      </c>
      <c r="C51" s="358">
        <v>1</v>
      </c>
    </row>
    <row r="52" spans="1:3">
      <c r="A52" s="356">
        <f>$A$32+LongTest!D97</f>
        <v>3000</v>
      </c>
      <c r="B52" s="357">
        <f>LongTest!G97</f>
        <v>3.5036260390157947</v>
      </c>
      <c r="C52" s="358">
        <v>1</v>
      </c>
    </row>
    <row r="53" spans="1:3">
      <c r="A53" s="356">
        <f>$A$32+LongTest!D98</f>
        <v>3060</v>
      </c>
      <c r="B53" s="357">
        <f>LongTest!G98</f>
        <v>3.3927804105064072</v>
      </c>
      <c r="C53" s="358">
        <v>1</v>
      </c>
    </row>
    <row r="54" spans="1:3">
      <c r="A54" s="356">
        <f>$A$32+LongTest!D99</f>
        <v>3120</v>
      </c>
      <c r="B54" s="357">
        <f>LongTest!G99</f>
        <v>2.7975882230899956</v>
      </c>
      <c r="C54" s="358">
        <v>1</v>
      </c>
    </row>
    <row r="55" spans="1:3">
      <c r="A55" s="356">
        <f>$A$32+LongTest!D100</f>
        <v>3180</v>
      </c>
      <c r="B55" s="357">
        <f>LongTest!G100</f>
        <v>2.3068100257050395</v>
      </c>
      <c r="C55" s="358">
        <v>1</v>
      </c>
    </row>
    <row r="56" spans="1:3">
      <c r="A56" s="356">
        <f>$A$32+LongTest!D101</f>
        <v>3240</v>
      </c>
      <c r="B56" s="357">
        <f>LongTest!G101</f>
        <v>1.902128573023415</v>
      </c>
      <c r="C56" s="358">
        <v>1</v>
      </c>
    </row>
    <row r="57" spans="1:3">
      <c r="A57" s="356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topLeftCell="A10" workbookViewId="0">
      <selection activeCell="I9" sqref="I9"/>
    </sheetView>
  </sheetViews>
  <sheetFormatPr defaultColWidth="10" defaultRowHeight="16.5"/>
  <cols>
    <col min="1" max="1" width="10" style="72"/>
    <col min="2" max="2" width="18.75" style="72" customWidth="1"/>
    <col min="3" max="4" width="16.375" style="72" customWidth="1"/>
    <col min="5" max="5" width="13.375" style="391" customWidth="1"/>
    <col min="6" max="6" width="13.875" style="391" customWidth="1"/>
    <col min="7" max="7" width="10" style="72"/>
    <col min="8" max="8" width="11.625" style="72" customWidth="1"/>
    <col min="9" max="9" width="10.625" style="72" customWidth="1"/>
    <col min="10" max="10" width="11.375" style="72" customWidth="1"/>
    <col min="11" max="11" width="10" style="72"/>
    <col min="12" max="12" width="11.25" style="72" customWidth="1"/>
    <col min="13" max="15" width="10" style="72"/>
    <col min="16" max="16" width="11.25" style="72" customWidth="1"/>
    <col min="17" max="16384" width="10" style="72"/>
  </cols>
  <sheetData>
    <row r="1" spans="2:16" s="361" customFormat="1" ht="18" customHeight="1">
      <c r="E1" s="107"/>
      <c r="F1" s="107"/>
    </row>
    <row r="2" spans="2:16" s="361" customFormat="1" ht="18" customHeight="1">
      <c r="B2" s="361" t="s">
        <v>222</v>
      </c>
      <c r="E2" s="107"/>
      <c r="F2" s="107"/>
    </row>
    <row r="3" spans="2:16" s="361" customFormat="1" ht="18" customHeight="1">
      <c r="E3" s="107"/>
      <c r="F3" s="107"/>
    </row>
    <row r="4" spans="2:16" s="364" customFormat="1" ht="26.25" customHeight="1">
      <c r="B4" s="362" t="s">
        <v>246</v>
      </c>
      <c r="C4" s="363" t="str">
        <f>Input!$I$54</f>
        <v>W-2</v>
      </c>
      <c r="E4" s="363"/>
      <c r="F4" s="363"/>
    </row>
    <row r="5" spans="2:16" s="361" customFormat="1" ht="18" customHeight="1" thickBot="1">
      <c r="E5" s="107"/>
      <c r="F5" s="107"/>
    </row>
    <row r="6" spans="2:16" s="361" customFormat="1" ht="26.1" customHeight="1" thickBot="1">
      <c r="B6" s="365" t="s">
        <v>223</v>
      </c>
      <c r="C6" s="366">
        <f>LongTest!C10</f>
        <v>44988.395833333336</v>
      </c>
      <c r="D6" s="367"/>
      <c r="E6" s="107"/>
      <c r="F6" s="107"/>
    </row>
    <row r="7" spans="2:16" s="361" customFormat="1" ht="26.1" customHeight="1" thickBot="1">
      <c r="B7" s="365" t="s">
        <v>224</v>
      </c>
      <c r="C7" s="368">
        <v>14.8</v>
      </c>
      <c r="D7" s="367"/>
      <c r="E7" s="107"/>
      <c r="F7" s="107"/>
    </row>
    <row r="8" spans="2:16" s="361" customFormat="1" ht="26.1" customHeight="1">
      <c r="B8" s="369" t="s">
        <v>225</v>
      </c>
      <c r="C8" s="370">
        <v>180</v>
      </c>
      <c r="D8" s="367"/>
      <c r="E8" s="107"/>
      <c r="F8" s="107"/>
    </row>
    <row r="9" spans="2:16" s="361" customFormat="1" ht="26.1" customHeight="1">
      <c r="B9" s="369" t="s">
        <v>226</v>
      </c>
      <c r="C9" s="371">
        <v>7</v>
      </c>
      <c r="D9" s="367"/>
      <c r="E9" s="107"/>
      <c r="F9" s="107"/>
    </row>
    <row r="10" spans="2:16" s="361" customFormat="1" ht="26.1" customHeight="1">
      <c r="B10" s="369"/>
      <c r="C10" s="370"/>
      <c r="D10" s="367"/>
      <c r="E10" s="107"/>
      <c r="F10" s="107"/>
    </row>
    <row r="11" spans="2:16" s="361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81" t="s">
        <v>227</v>
      </c>
      <c r="C12" s="482"/>
      <c r="D12" s="483" t="str">
        <f>C4</f>
        <v>W-2</v>
      </c>
      <c r="E12" s="484"/>
      <c r="F12" s="482"/>
      <c r="H12" s="481" t="str">
        <f>C4</f>
        <v>W-2</v>
      </c>
      <c r="I12" s="484"/>
      <c r="J12" s="482"/>
      <c r="L12" s="485" t="str">
        <f>C4</f>
        <v>W-2</v>
      </c>
      <c r="M12" s="486"/>
      <c r="N12" s="487"/>
      <c r="O12" s="23"/>
      <c r="P12" s="23"/>
    </row>
    <row r="13" spans="2:16" s="107" customFormat="1" ht="26.1" customHeight="1">
      <c r="B13" s="413" t="s">
        <v>223</v>
      </c>
      <c r="C13" s="414" t="s">
        <v>228</v>
      </c>
      <c r="D13" s="415" t="s">
        <v>229</v>
      </c>
      <c r="E13" s="416" t="s">
        <v>230</v>
      </c>
      <c r="F13" s="414" t="s">
        <v>231</v>
      </c>
      <c r="H13" s="413" t="s">
        <v>229</v>
      </c>
      <c r="I13" s="416" t="s">
        <v>230</v>
      </c>
      <c r="J13" s="414" t="s">
        <v>231</v>
      </c>
      <c r="L13" s="372" t="s">
        <v>229</v>
      </c>
      <c r="M13" s="373" t="s">
        <v>230</v>
      </c>
      <c r="N13" s="374" t="s">
        <v>231</v>
      </c>
      <c r="O13" s="23"/>
      <c r="P13" s="23"/>
    </row>
    <row r="14" spans="2:16" s="107" customFormat="1" ht="26.1" customHeight="1">
      <c r="B14" s="375">
        <f>$C$6+C14/1440</f>
        <v>44988.399305555555</v>
      </c>
      <c r="C14" s="376">
        <v>5</v>
      </c>
      <c r="D14" s="377">
        <f t="shared" ref="D14:D20" si="0">baseTemp+H14</f>
        <v>14.8</v>
      </c>
      <c r="E14" s="378">
        <f>$C$8+I14</f>
        <v>181</v>
      </c>
      <c r="F14" s="379">
        <f>$C$9+J14</f>
        <v>7.09</v>
      </c>
      <c r="H14" s="380">
        <v>0</v>
      </c>
      <c r="I14" s="381">
        <v>1</v>
      </c>
      <c r="J14" s="382">
        <v>0.09</v>
      </c>
      <c r="L14" s="372" cm="1">
        <f t="array" aca="1" ref="L14" ca="1">ROUND(myRandBetween(0,1,10), 1)</f>
        <v>0</v>
      </c>
      <c r="M14" s="373" cm="1">
        <f t="array" aca="1" ref="M14" ca="1">myRandBetween(1,3,1)</f>
        <v>-1</v>
      </c>
      <c r="N14" s="374" cm="1">
        <f t="array" aca="1" ref="N14" ca="1">ROUND(myRandBetween(7,12,100), 2)</f>
        <v>-7.0000000000000007E-2</v>
      </c>
      <c r="O14" s="23"/>
      <c r="P14" s="23"/>
    </row>
    <row r="15" spans="2:16" s="107" customFormat="1" ht="26.1" customHeight="1">
      <c r="B15" s="383">
        <f t="shared" ref="B15:B23" si="1">$C$6+C15/1440</f>
        <v>44988.416666666672</v>
      </c>
      <c r="C15" s="382">
        <v>30</v>
      </c>
      <c r="D15" s="384">
        <f t="shared" si="0"/>
        <v>14.8</v>
      </c>
      <c r="E15" s="385">
        <f t="shared" ref="E15:E20" si="2">$C$8+I15</f>
        <v>181</v>
      </c>
      <c r="F15" s="386">
        <f t="shared" ref="F15:F20" si="3">$C$9+J15</f>
        <v>7.07</v>
      </c>
      <c r="H15" s="380">
        <v>0</v>
      </c>
      <c r="I15" s="381">
        <v>1</v>
      </c>
      <c r="J15" s="382">
        <v>7.0000000000000007E-2</v>
      </c>
      <c r="L15" s="372" cm="1">
        <f t="array" aca="1" ref="L15" ca="1">ROUND(myRandBetween(0,1,10), 1)</f>
        <v>0</v>
      </c>
      <c r="M15" s="373" cm="1">
        <f t="array" aca="1" ref="M15" ca="1">myRandBetween(1,3,1)</f>
        <v>-3</v>
      </c>
      <c r="N15" s="374" cm="1">
        <f t="array" aca="1" ref="N15" ca="1">ROUND(myRandBetween(7,12,100), 2)</f>
        <v>0.1</v>
      </c>
      <c r="O15" s="23"/>
      <c r="P15" s="23"/>
    </row>
    <row r="16" spans="2:16" s="107" customFormat="1" ht="26.1" customHeight="1">
      <c r="B16" s="383">
        <f t="shared" si="1"/>
        <v>44988.4375</v>
      </c>
      <c r="C16" s="382">
        <v>60</v>
      </c>
      <c r="D16" s="384">
        <f t="shared" si="0"/>
        <v>14.700000000000001</v>
      </c>
      <c r="E16" s="385">
        <f t="shared" si="2"/>
        <v>182</v>
      </c>
      <c r="F16" s="386">
        <f t="shared" si="3"/>
        <v>7.07</v>
      </c>
      <c r="H16" s="380">
        <v>-0.1</v>
      </c>
      <c r="I16" s="381">
        <v>2</v>
      </c>
      <c r="J16" s="382">
        <v>7.0000000000000007E-2</v>
      </c>
      <c r="L16" s="372" cm="1">
        <f t="array" aca="1" ref="L16" ca="1">ROUND(myRandBetween(0,1,10), 1)</f>
        <v>0</v>
      </c>
      <c r="M16" s="373" cm="1">
        <f t="array" aca="1" ref="M16" ca="1">myRandBetween(1,3,1)</f>
        <v>-1</v>
      </c>
      <c r="N16" s="374" cm="1">
        <f t="array" aca="1" ref="N16" ca="1">ROUND(myRandBetween(7,12,100), 2)</f>
        <v>-0.12</v>
      </c>
      <c r="O16" s="23"/>
      <c r="P16" s="23"/>
    </row>
    <row r="17" spans="2:16" s="107" customFormat="1" ht="26.1" customHeight="1">
      <c r="B17" s="383">
        <f t="shared" si="1"/>
        <v>44988.479166666672</v>
      </c>
      <c r="C17" s="382">
        <v>120</v>
      </c>
      <c r="D17" s="384">
        <f t="shared" si="0"/>
        <v>14.700000000000001</v>
      </c>
      <c r="E17" s="385">
        <f t="shared" si="2"/>
        <v>181</v>
      </c>
      <c r="F17" s="386">
        <f t="shared" si="3"/>
        <v>7.1</v>
      </c>
      <c r="H17" s="380">
        <v>-0.1</v>
      </c>
      <c r="I17" s="381">
        <v>1</v>
      </c>
      <c r="J17" s="382">
        <v>0.1</v>
      </c>
      <c r="L17" s="372" cm="1">
        <f t="array" aca="1" ref="L17" ca="1">ROUND(myRandBetween(0,1,10), 1)</f>
        <v>0.1</v>
      </c>
      <c r="M17" s="373" cm="1">
        <f t="array" aca="1" ref="M17" ca="1">myRandBetween(1,3,1)</f>
        <v>3</v>
      </c>
      <c r="N17" s="374" cm="1">
        <f t="array" aca="1" ref="N17" ca="1">ROUND(myRandBetween(7,12,100), 2)</f>
        <v>0.09</v>
      </c>
      <c r="O17" s="23"/>
      <c r="P17" s="23"/>
    </row>
    <row r="18" spans="2:16" s="107" customFormat="1" ht="26.1" customHeight="1">
      <c r="B18" s="383">
        <f t="shared" si="1"/>
        <v>44988.5625</v>
      </c>
      <c r="C18" s="382">
        <v>240</v>
      </c>
      <c r="D18" s="384">
        <f t="shared" si="0"/>
        <v>14.8</v>
      </c>
      <c r="E18" s="385">
        <f t="shared" si="2"/>
        <v>177</v>
      </c>
      <c r="F18" s="386">
        <f t="shared" si="3"/>
        <v>6.88</v>
      </c>
      <c r="H18" s="380">
        <v>0</v>
      </c>
      <c r="I18" s="381">
        <v>-3</v>
      </c>
      <c r="J18" s="382">
        <v>-0.12</v>
      </c>
      <c r="L18" s="372" cm="1">
        <f t="array" aca="1" ref="L18" ca="1">ROUND(myRandBetween(0,1,10), 1)</f>
        <v>0.1</v>
      </c>
      <c r="M18" s="373" cm="1">
        <f t="array" aca="1" ref="M18" ca="1">myRandBetween(1,3,1)</f>
        <v>3</v>
      </c>
      <c r="N18" s="374" cm="1">
        <f t="array" aca="1" ref="N18" ca="1">ROUND(myRandBetween(7,12,100), 2)</f>
        <v>-0.09</v>
      </c>
      <c r="O18" s="23"/>
      <c r="P18" s="23"/>
    </row>
    <row r="19" spans="2:16" s="107" customFormat="1" ht="26.1" customHeight="1">
      <c r="B19" s="383">
        <f t="shared" si="1"/>
        <v>44988.729166666672</v>
      </c>
      <c r="C19" s="382">
        <v>480</v>
      </c>
      <c r="D19" s="384">
        <f t="shared" si="0"/>
        <v>14.8</v>
      </c>
      <c r="E19" s="385">
        <f t="shared" si="2"/>
        <v>183</v>
      </c>
      <c r="F19" s="386">
        <f t="shared" si="3"/>
        <v>7.09</v>
      </c>
      <c r="H19" s="380">
        <v>0</v>
      </c>
      <c r="I19" s="381">
        <v>3</v>
      </c>
      <c r="J19" s="382">
        <v>0.09</v>
      </c>
      <c r="L19" s="372" cm="1">
        <f t="array" aca="1" ref="L19" ca="1">ROUND(myRandBetween(0,1,10), 1)</f>
        <v>0</v>
      </c>
      <c r="M19" s="373" cm="1">
        <f t="array" aca="1" ref="M19" ca="1">myRandBetween(1,3,1)</f>
        <v>-2</v>
      </c>
      <c r="N19" s="374" cm="1">
        <f t="array" aca="1" ref="N19" ca="1">ROUND(myRandBetween(7,12,100), 2)</f>
        <v>0.09</v>
      </c>
      <c r="O19" s="23"/>
      <c r="P19" s="23"/>
    </row>
    <row r="20" spans="2:16" s="361" customFormat="1" ht="26.1" customHeight="1">
      <c r="B20" s="383">
        <f t="shared" si="1"/>
        <v>44989.395833333336</v>
      </c>
      <c r="C20" s="382">
        <v>1440</v>
      </c>
      <c r="D20" s="384">
        <f t="shared" si="0"/>
        <v>14.8</v>
      </c>
      <c r="E20" s="385">
        <f t="shared" si="2"/>
        <v>183</v>
      </c>
      <c r="F20" s="386">
        <f t="shared" si="3"/>
        <v>7.1</v>
      </c>
      <c r="H20" s="380">
        <v>0</v>
      </c>
      <c r="I20" s="381">
        <v>3</v>
      </c>
      <c r="J20" s="382">
        <v>0.1</v>
      </c>
      <c r="L20" s="372" cm="1">
        <f t="array" aca="1" ref="L20" ca="1">ROUND(myRandBetween(0,1,10), 1)</f>
        <v>0</v>
      </c>
      <c r="M20" s="373" cm="1">
        <f t="array" aca="1" ref="M20" ca="1">myRandBetween(1,3,1)</f>
        <v>-2</v>
      </c>
      <c r="N20" s="374" cm="1">
        <f t="array" aca="1" ref="N20" ca="1">ROUND(myRandBetween(7,12,100), 2)</f>
        <v>-7.0000000000000007E-2</v>
      </c>
      <c r="O20" s="23"/>
      <c r="P20" s="23"/>
    </row>
    <row r="21" spans="2:16" s="361" customFormat="1" ht="26.1" customHeight="1">
      <c r="B21" s="383">
        <f t="shared" si="1"/>
        <v>44989.5625</v>
      </c>
      <c r="C21" s="382">
        <v>1680</v>
      </c>
      <c r="D21" s="384">
        <f>$D$20</f>
        <v>14.8</v>
      </c>
      <c r="E21" s="385">
        <f>$E$20</f>
        <v>183</v>
      </c>
      <c r="F21" s="386">
        <f>$F$20</f>
        <v>7.1</v>
      </c>
      <c r="H21" s="380">
        <v>0</v>
      </c>
      <c r="I21" s="381">
        <v>-1</v>
      </c>
      <c r="J21" s="382">
        <v>0.09</v>
      </c>
      <c r="L21" s="372" cm="1">
        <f t="array" aca="1" ref="L21" ca="1">ROUND(myRandBetween(0,1,10), 1)</f>
        <v>0.1</v>
      </c>
      <c r="M21" s="373" cm="1">
        <f t="array" aca="1" ref="M21" ca="1">myRandBetween(1,3,1)</f>
        <v>3</v>
      </c>
      <c r="N21" s="374" cm="1">
        <f t="array" aca="1" ref="N21" ca="1">ROUND(myRandBetween(7,12,100), 2)</f>
        <v>0.1</v>
      </c>
      <c r="O21" s="23"/>
      <c r="P21" s="23"/>
    </row>
    <row r="22" spans="2:16" s="361" customFormat="1" ht="26.1" customHeight="1">
      <c r="B22" s="383">
        <f t="shared" si="1"/>
        <v>44989.729166666672</v>
      </c>
      <c r="C22" s="382">
        <v>1920</v>
      </c>
      <c r="D22" s="384">
        <f t="shared" ref="D22:D23" si="4">$D$20</f>
        <v>14.8</v>
      </c>
      <c r="E22" s="385">
        <f t="shared" ref="E22:E23" si="5">$E$20</f>
        <v>183</v>
      </c>
      <c r="F22" s="386">
        <f t="shared" ref="F22:F23" si="6">$F$20</f>
        <v>7.1</v>
      </c>
      <c r="H22" s="380">
        <v>0</v>
      </c>
      <c r="I22" s="381">
        <v>-2</v>
      </c>
      <c r="J22" s="382">
        <v>-0.11</v>
      </c>
      <c r="L22" s="372" cm="1">
        <f t="array" aca="1" ref="L22" ca="1">ROUND(myRandBetween(0,1,10), 1)</f>
        <v>0</v>
      </c>
      <c r="M22" s="373" cm="1">
        <f t="array" aca="1" ref="M22" ca="1">myRandBetween(1,3,1)</f>
        <v>-2</v>
      </c>
      <c r="N22" s="374" cm="1">
        <f t="array" aca="1" ref="N22" ca="1">ROUND(myRandBetween(7,12,100), 2)</f>
        <v>-0.11</v>
      </c>
      <c r="O22" s="23"/>
      <c r="P22" s="23"/>
    </row>
    <row r="23" spans="2:16" s="361" customFormat="1" ht="26.1" customHeight="1" thickBot="1">
      <c r="B23" s="383">
        <f t="shared" si="1"/>
        <v>44990.395833333336</v>
      </c>
      <c r="C23" s="382">
        <v>2880</v>
      </c>
      <c r="D23" s="384">
        <f t="shared" si="4"/>
        <v>14.8</v>
      </c>
      <c r="E23" s="385">
        <f t="shared" si="5"/>
        <v>183</v>
      </c>
      <c r="F23" s="386">
        <f t="shared" si="6"/>
        <v>7.1</v>
      </c>
      <c r="H23" s="387">
        <v>0</v>
      </c>
      <c r="I23" s="388">
        <v>-1</v>
      </c>
      <c r="J23" s="389">
        <v>-0.12</v>
      </c>
      <c r="L23" s="372" cm="1">
        <f t="array" aca="1" ref="L23" ca="1">ROUND(myRandBetween(0,1,10), 1)</f>
        <v>-0.1</v>
      </c>
      <c r="M23" s="373" cm="1">
        <f t="array" aca="1" ref="M23" ca="1">myRandBetween(1,3,1)</f>
        <v>3</v>
      </c>
      <c r="N23" s="390" cm="1">
        <f t="array" aca="1" ref="N23" ca="1">ROUND(myRandBetween(7,12,100), 2)</f>
        <v>0.11</v>
      </c>
      <c r="O23" s="23"/>
      <c r="P23" s="23"/>
    </row>
    <row r="24" spans="2:16" s="361" customFormat="1" ht="26.1" customHeight="1">
      <c r="B24" s="488" t="s">
        <v>90</v>
      </c>
      <c r="C24" s="489"/>
      <c r="D24" s="415">
        <f>MAX(D14:D23)</f>
        <v>14.8</v>
      </c>
      <c r="E24" s="416">
        <f t="shared" ref="E24:F24" si="7">MAX(E14:E23)</f>
        <v>183</v>
      </c>
      <c r="F24" s="414">
        <f t="shared" si="7"/>
        <v>7.1</v>
      </c>
      <c r="H24" s="107"/>
      <c r="I24" s="107"/>
      <c r="J24" s="107"/>
      <c r="L24" s="23"/>
      <c r="M24" s="23"/>
      <c r="N24" s="23"/>
      <c r="O24" s="23"/>
      <c r="P24" s="23"/>
    </row>
    <row r="25" spans="2:16" s="361" customFormat="1" ht="26.1" customHeight="1">
      <c r="B25" s="488" t="s">
        <v>232</v>
      </c>
      <c r="C25" s="489"/>
      <c r="D25" s="415">
        <f>MIN(D14:D23)</f>
        <v>14.700000000000001</v>
      </c>
      <c r="E25" s="416">
        <f t="shared" ref="E25:F25" si="8">MIN(E14:E23)</f>
        <v>177</v>
      </c>
      <c r="F25" s="414">
        <f t="shared" si="8"/>
        <v>6.88</v>
      </c>
      <c r="H25" s="107"/>
      <c r="I25" s="107"/>
      <c r="J25" s="107"/>
      <c r="L25" s="23"/>
      <c r="M25" s="23"/>
      <c r="N25" s="23"/>
      <c r="O25" s="23"/>
      <c r="P25" s="23"/>
    </row>
    <row r="26" spans="2:16" s="361" customFormat="1" ht="26.1" customHeight="1" thickBot="1">
      <c r="B26" s="479" t="s">
        <v>233</v>
      </c>
      <c r="C26" s="480"/>
      <c r="D26" s="417">
        <f>D24-D25</f>
        <v>9.9999999999999645E-2</v>
      </c>
      <c r="E26" s="418">
        <f t="shared" ref="E26:F26" si="9">E24-E25</f>
        <v>6</v>
      </c>
      <c r="F26" s="419">
        <f t="shared" si="9"/>
        <v>0.21999999999999975</v>
      </c>
      <c r="H26" s="107"/>
      <c r="I26" s="107"/>
      <c r="J26" s="107"/>
      <c r="L26" s="23"/>
      <c r="M26" s="23"/>
      <c r="N26" s="23"/>
      <c r="O26" s="23"/>
      <c r="P26" s="23"/>
    </row>
    <row r="27" spans="2:16" s="361" customFormat="1" ht="18" customHeight="1">
      <c r="E27" s="107"/>
      <c r="F27" s="107"/>
      <c r="L27" s="23"/>
      <c r="M27" s="23"/>
      <c r="N27" s="23"/>
      <c r="O27" s="23"/>
      <c r="P27" s="23"/>
    </row>
    <row r="28" spans="2:16" s="361" customFormat="1" ht="18" customHeight="1">
      <c r="E28" s="107"/>
      <c r="F28" s="107"/>
      <c r="L28" s="23"/>
      <c r="M28" s="23"/>
      <c r="N28" s="23"/>
      <c r="O28" s="23"/>
      <c r="P28" s="23"/>
    </row>
    <row r="29" spans="2:16" s="361" customFormat="1" ht="18" customHeight="1">
      <c r="E29" s="107"/>
      <c r="F29" s="107"/>
    </row>
    <row r="30" spans="2:16" s="361" customFormat="1" ht="18" customHeight="1">
      <c r="E30" s="107"/>
      <c r="F30" s="107"/>
    </row>
    <row r="31" spans="2:16" s="361" customFormat="1" ht="18" customHeight="1">
      <c r="E31" s="107"/>
      <c r="F31" s="107"/>
    </row>
    <row r="32" spans="2:16" s="361" customFormat="1" ht="18" customHeight="1">
      <c r="E32" s="107"/>
      <c r="F32" s="107"/>
    </row>
    <row r="33" spans="5:6" s="361" customFormat="1" ht="18" customHeight="1">
      <c r="E33" s="107"/>
      <c r="F33" s="107"/>
    </row>
    <row r="34" spans="5:6" s="361" customFormat="1" ht="18" customHeight="1">
      <c r="E34" s="107"/>
      <c r="F34" s="107"/>
    </row>
    <row r="35" spans="5:6" s="361" customFormat="1" ht="18" customHeight="1">
      <c r="E35" s="107"/>
      <c r="F35" s="107"/>
    </row>
    <row r="36" spans="5:6" s="361" customFormat="1" ht="18" customHeight="1">
      <c r="E36" s="107"/>
      <c r="F36" s="107"/>
    </row>
    <row r="37" spans="5:6" s="361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981075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4</xdr:col>
                <xdr:colOff>981075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4</xdr:col>
                <xdr:colOff>981075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2023-03-15T11:55:07Z</dcterms:modified>
</cp:coreProperties>
</file>