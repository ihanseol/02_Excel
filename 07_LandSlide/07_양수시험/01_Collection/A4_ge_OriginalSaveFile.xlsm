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028042A-2FDA-49CD-8E3F-7E8A5181539D}" xr6:coauthVersionLast="47" xr6:coauthVersionMax="47" xr10:uidLastSave="{00000000-0000-0000-0000-000000000000}"/>
  <bookViews>
    <workbookView xWindow="38280" yWindow="5115" windowWidth="29040" windowHeight="15840" tabRatio="538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7" l="1"/>
  <c r="C4" i="11" l="1"/>
  <c r="L12" i="11" s="1"/>
  <c r="C6" i="11"/>
  <c r="L19" i="11" a="1"/>
  <c r="L16" i="11" a="1"/>
  <c r="L21" i="11" a="1"/>
  <c r="L17" i="11" a="1"/>
  <c r="L23" i="11" a="1"/>
  <c r="M21" i="11" a="1"/>
  <c r="M20" i="11" a="1"/>
  <c r="M23" i="11" a="1"/>
  <c r="M15" i="11" a="1"/>
  <c r="L14" i="11" a="1"/>
  <c r="M18" i="11" a="1"/>
  <c r="M17" i="11" a="1"/>
  <c r="M19" i="11" a="1"/>
  <c r="M22" i="11" a="1"/>
  <c r="L15" i="11" a="1"/>
  <c r="M16" i="11" a="1"/>
  <c r="L20" i="11" a="1"/>
  <c r="L18" i="11" a="1"/>
  <c r="L22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9" i="11" a="1"/>
  <c r="N21" i="11" a="1"/>
  <c r="N23" i="11" a="1"/>
  <c r="N17" i="11" a="1"/>
  <c r="N16" i="11" a="1"/>
  <c r="N15" i="11" a="1"/>
  <c r="N18" i="11" a="1"/>
  <c r="N14" i="11" a="1"/>
  <c r="N20" i="11" a="1"/>
  <c r="N22" i="11" a="1"/>
  <c r="M14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5" i="11" s="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M20" i="7" s="1"/>
  <c r="N20" i="7" s="1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E26" i="11" l="1"/>
  <c r="N19" i="7"/>
  <c r="P19" i="7" s="1"/>
  <c r="S6" i="6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8" i="10" l="1"/>
  <c r="A27" i="9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<sst xmlns="http://schemas.openxmlformats.org/spreadsheetml/2006/main" count="1096" uniqueCount="249">
  <si>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</si>
  <si>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</si>
  <si>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</si>
  <si>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</si>
  <si>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</si>
  <si>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</si>
  <si>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</si>
  <si>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</si>
  <si>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</si>
  <si>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</si>
  <si>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</si>
  <si>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</si>
  <si>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</si>
  <si>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</si>
  <si>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</si>
  <si>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</si>
  <si>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</si>
  <si>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</si>
  <si>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</si>
  <si>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</si>
  <si>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</si>
  <si>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</si>
  <si>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</si>
  <si>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</si>
  <si>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</si>
  <si>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</si>
  <si>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</si>
  <si>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</si>
  <si>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</si>
  <si>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</si>
  <si>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</si>
  <si>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</si>
  <si>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</si>
  <si>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</si>
  <si>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</si>
  <si>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</si>
  <si>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</si>
  <si>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</si>
  <si>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</si>
  <si>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</si>
  <si>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</si>
  <si>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</si>
  <si>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</si>
  <si>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</si>
  <si>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</si>
  <si>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</si>
  <si>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</si>
  <si>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</si>
  <si>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</si>
  <si>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</si>
  <si>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</si>
  <si>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</si>
  <si>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</si>
  <si>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</si>
  <si>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</si>
  <si>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</si>
  <si>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</si>
  <si>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</si>
  <si>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</si>
  <si>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</si>
  <si>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</si>
  <si>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</si>
  <si>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</si>
  <si>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</si>
  <si>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</si>
  <si>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</si>
  <si>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</si>
  <si>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</si>
  <si>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</si>
  <si>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</si>
  <si>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</si>
  <si>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</si>
  <si>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</si>
  <si>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</si>
  <si>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</si>
  <si>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</si>
  <si>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</si>
  <si>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</si>
  <si>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</si>
  <si>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</si>
  <si>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</si>
  <si>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</si>
  <si>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</si>
  <si>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</si>
  <si>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</si>
  <si>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</si>
  <si>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</si>
  <si>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</si>
  <si>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</si>
  <si>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</si>
  <si>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</si>
  <si>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</si>
  <si>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</si>
  <si>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</si>
  <si>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</si>
  <si>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</si>
  <si>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</si>
  <si>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</si>
  <si>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</si>
  <si>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</si>
  <si>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</si>
  <si>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</si>
  <si>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</si>
  <si>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</si>
  <si>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</si>
  <si>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</si>
  <si>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</si>
  <si>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</si>
  <si>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</si>
  <si>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</si>
  <si>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</si>
  <si>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</si>
  <si>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</si>
  <si>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</si>
  <si>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</si>
  <si>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</si>
  <si>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</si>
  <si>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</si>
  <si>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</si>
  <si>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</si>
  <si>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</si>
  <si>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</si>
  <si>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</si>
  <si>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</si>
  <si>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</si>
  <si>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</si>
  <si>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</si>
  <si>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</si>
  <si>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</si>
  <si>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</si>
  <si>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</si>
  <si>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</si>
  <si>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</si>
  <si>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</si>
  <si>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</si>
  <si>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</si>
  <si>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</si>
  <si>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</si>
  <si>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</si>
  <si>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</si>
  <si>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</si>
  <si>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</si>
  <si>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</si>
  <si>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</si>
  <si>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</si>
  <si>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</si>
  <si>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</si>
  <si>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</si>
  <si>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</si>
  <si>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</si>
  <si>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</si>
  <si>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</si>
  <si>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</si>
  <si>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</si>
  <si>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</si>
  <si>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</si>
  <si>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</si>
  <si>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</si>
  <si>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</si>
  <si>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</si>
  <si>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</si>
  <si>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</si>
  <si>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</si>
  <si>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</si>
  <si>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</si>
  <si>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</si>
  <si>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</si>
  <si>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</si>
  <si>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</si>
  <si>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</si>
  <si>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</si>
  <si>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</si>
  <si>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</si>
  <si>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</si>
  <si>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</si>
  <si>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</si>
  <si>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</si>
  <si>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</si>
  <si>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</si>
  <si>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</si>
  <si>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</si>
  <si>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</si>
  <si>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</si>
  <si>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</si>
  <si>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</si>
  <si>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</si>
  <si>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</si>
  <si>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</si>
  <si>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</si>
  <si>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</si>
  <si>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</si>
  <si>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</si>
  <si>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</si>
  <si>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</si>
  <si>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</si>
  <si>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</si>
  <si>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</si>
  <si>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</si>
  <si>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</si>
  <si>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</si>
  <si>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</si>
  <si>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</si>
  <si>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</si>
  <si>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</si>
  <si>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</si>
  <si>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</si>
  <si>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</si>
  <si>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</si>
  <si>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</si>
  <si>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</si>
  <si>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</si>
  <si>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</si>
  <si>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</si>
  <si>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</si>
  <si>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</si>
  <si>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</si>
  <si>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</si>
  <si>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</si>
  <si>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</si>
  <si>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</si>
  <si>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</si>
  <si>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</si>
  <si>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</si>
  <si>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</si>
  <si>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</si>
  <si>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</si>
  <si>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</si>
  <si>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</si>
  <si>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</si>
  <si>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</si>
  <si>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</si>
  <si>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</si>
  <si>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</si>
  <si>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</si>
  <si>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</si>
  <si>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</si>
  <si>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</si>
  <si>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</si>
  <si>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</si>
  <si>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</si>
  <si>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</si>
  <si>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</si>
  <si>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</si>
  <si>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</si>
  <si>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</si>
  <si>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</si>
  <si>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관정</t>
  </si>
  <si>
    <t>공  번 : W - 4</t>
  </si>
  <si>
    <t>W-4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</si>
</sst>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0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177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1.1599999999999999</c:v>
                </c:pt>
                <c:pt idx="3">
                  <c:v>1.2</c:v>
                </c:pt>
                <c:pt idx="4">
                  <c:v>1.23</c:v>
                </c:pt>
                <c:pt idx="5">
                  <c:v>1.34</c:v>
                </c:pt>
                <c:pt idx="6">
                  <c:v>1.4</c:v>
                </c:pt>
                <c:pt idx="7">
                  <c:v>1.44</c:v>
                </c:pt>
                <c:pt idx="8">
                  <c:v>1.47</c:v>
                </c:pt>
                <c:pt idx="9">
                  <c:v>1.5</c:v>
                </c:pt>
                <c:pt idx="10">
                  <c:v>1.52</c:v>
                </c:pt>
                <c:pt idx="11">
                  <c:v>1.54</c:v>
                </c:pt>
                <c:pt idx="12">
                  <c:v>1.56</c:v>
                </c:pt>
                <c:pt idx="13">
                  <c:v>1.58</c:v>
                </c:pt>
                <c:pt idx="14">
                  <c:v>1.59</c:v>
                </c:pt>
                <c:pt idx="15">
                  <c:v>1.6</c:v>
                </c:pt>
                <c:pt idx="16">
                  <c:v>1.64</c:v>
                </c:pt>
                <c:pt idx="17">
                  <c:v>1.66</c:v>
                </c:pt>
                <c:pt idx="18">
                  <c:v>1.69</c:v>
                </c:pt>
                <c:pt idx="19">
                  <c:v>1.71</c:v>
                </c:pt>
                <c:pt idx="20" formatCode="\ 0.00\ ">
                  <c:v>1.8699999999999999</c:v>
                </c:pt>
                <c:pt idx="21" formatCode="\ 0.00\ ">
                  <c:v>2.02</c:v>
                </c:pt>
                <c:pt idx="22" formatCode="\ 0.00\ ">
                  <c:v>2.16</c:v>
                </c:pt>
                <c:pt idx="23" formatCode="\ 0.00\ ">
                  <c:v>2.29</c:v>
                </c:pt>
                <c:pt idx="24" formatCode="\ 0.00\ ">
                  <c:v>2.42</c:v>
                </c:pt>
                <c:pt idx="25">
                  <c:v>2.0499999999999998</c:v>
                </c:pt>
                <c:pt idx="26" formatCode="\ 0.00\ ">
                  <c:v>2.1599999999999997</c:v>
                </c:pt>
                <c:pt idx="27">
                  <c:v>2.1</c:v>
                </c:pt>
                <c:pt idx="28" formatCode="\ 0.00\ ">
                  <c:v>2.2000000000000002</c:v>
                </c:pt>
                <c:pt idx="29">
                  <c:v>2.16</c:v>
                </c:pt>
                <c:pt idx="30" formatCode="\ 0.00\ ">
                  <c:v>2.2200000000000002</c:v>
                </c:pt>
                <c:pt idx="31" formatCode="\ 0.00\ ">
                  <c:v>2.27</c:v>
                </c:pt>
                <c:pt idx="32" formatCode="\ 0.00\ ">
                  <c:v>2.31</c:v>
                </c:pt>
                <c:pt idx="33" formatCode="\ 0.00\ ">
                  <c:v>2.34</c:v>
                </c:pt>
                <c:pt idx="34" formatCode="\ 0.00\ ">
                  <c:v>2.36</c:v>
                </c:pt>
                <c:pt idx="35">
                  <c:v>2.2200000000000002</c:v>
                </c:pt>
                <c:pt idx="36" formatCode="\ 0.00\ ">
                  <c:v>2.29</c:v>
                </c:pt>
                <c:pt idx="37" formatCode="\ 0.00\ ">
                  <c:v>2.35</c:v>
                </c:pt>
                <c:pt idx="38" formatCode="\ 0.00\ ">
                  <c:v>2.4</c:v>
                </c:pt>
                <c:pt idx="39">
                  <c:v>2.2799999999999998</c:v>
                </c:pt>
                <c:pt idx="40" formatCode="\ 0.00\ ">
                  <c:v>2.46</c:v>
                </c:pt>
                <c:pt idx="41" formatCode="\ 0.00\ ">
                  <c:v>2.62</c:v>
                </c:pt>
                <c:pt idx="42" formatCode="\ 0.00\ ">
                  <c:v>2.77</c:v>
                </c:pt>
                <c:pt idx="43" formatCode="\ 0.00\ ">
                  <c:v>2.91</c:v>
                </c:pt>
                <c:pt idx="44" formatCode="\ 0.00\ ">
                  <c:v>3.04</c:v>
                </c:pt>
                <c:pt idx="45">
                  <c:v>2.66</c:v>
                </c:pt>
                <c:pt idx="46" formatCode="\ 0.00\ ">
                  <c:v>2.77</c:v>
                </c:pt>
                <c:pt idx="47">
                  <c:v>2.72</c:v>
                </c:pt>
                <c:pt idx="48" formatCode="\ 0.00\ ">
                  <c:v>2.83</c:v>
                </c:pt>
                <c:pt idx="49">
                  <c:v>2.79</c:v>
                </c:pt>
                <c:pt idx="50" formatCode="\ 0.00\ ">
                  <c:v>2.86</c:v>
                </c:pt>
                <c:pt idx="51" formatCode="\ 0.00\ ">
                  <c:v>2.9099999999999997</c:v>
                </c:pt>
                <c:pt idx="52" formatCode="\ 0.00\ ">
                  <c:v>2.9499999999999997</c:v>
                </c:pt>
                <c:pt idx="53" formatCode="\ 0.00\ ">
                  <c:v>2.9799999999999995</c:v>
                </c:pt>
                <c:pt idx="54" formatCode="\ 0.00\ ">
                  <c:v>2.9999999999999996</c:v>
                </c:pt>
                <c:pt idx="55">
                  <c:v>2.85</c:v>
                </c:pt>
                <c:pt idx="56" formatCode="\ 0.00\ ">
                  <c:v>2.93</c:v>
                </c:pt>
                <c:pt idx="57" formatCode="\ 0.00\ ">
                  <c:v>2.99</c:v>
                </c:pt>
                <c:pt idx="58" formatCode="\ 0.00\ ">
                  <c:v>3.04</c:v>
                </c:pt>
                <c:pt idx="59">
                  <c:v>2.92</c:v>
                </c:pt>
                <c:pt idx="60" formatCode="\ 0.00\ ">
                  <c:v>3.11</c:v>
                </c:pt>
                <c:pt idx="61" formatCode="\ 0.00\ ">
                  <c:v>3.28</c:v>
                </c:pt>
                <c:pt idx="62" formatCode="\ 0.00\ ">
                  <c:v>3.44</c:v>
                </c:pt>
                <c:pt idx="63" formatCode="\ 0.00\ ">
                  <c:v>3.59</c:v>
                </c:pt>
                <c:pt idx="64" formatCode="\ 0.00\ ">
                  <c:v>3.73</c:v>
                </c:pt>
                <c:pt idx="65">
                  <c:v>3.35</c:v>
                </c:pt>
                <c:pt idx="66" formatCode="\ 0.00\ ">
                  <c:v>3.47</c:v>
                </c:pt>
                <c:pt idx="67" formatCode="\ 0.00\ ">
                  <c:v>3.42</c:v>
                </c:pt>
                <c:pt idx="68" formatCode="\ 0.00\ ">
                  <c:v>3.54</c:v>
                </c:pt>
                <c:pt idx="69" formatCode="\ 0.00\ ">
                  <c:v>3.49</c:v>
                </c:pt>
                <c:pt idx="70" formatCode="\ 0.00\ ">
                  <c:v>3.56</c:v>
                </c:pt>
                <c:pt idx="71" formatCode="\ 0.00\ ">
                  <c:v>3.61</c:v>
                </c:pt>
                <c:pt idx="72" formatCode="\ 0.00\ ">
                  <c:v>3.65</c:v>
                </c:pt>
                <c:pt idx="73" formatCode="\ 0.00\ ">
                  <c:v>3.6799999999999997</c:v>
                </c:pt>
                <c:pt idx="74" formatCode="\ 0.00\ ">
                  <c:v>3.7099999999999995</c:v>
                </c:pt>
                <c:pt idx="75" formatCode="\ 0.00\ ">
                  <c:v>3.56</c:v>
                </c:pt>
                <c:pt idx="76" formatCode="\ 0.00\ ">
                  <c:v>3.65</c:v>
                </c:pt>
                <c:pt idx="77" formatCode="\ 0.00\ ">
                  <c:v>3.7199999999999998</c:v>
                </c:pt>
                <c:pt idx="78" formatCode="\ 0.00\ ">
                  <c:v>3.7699999999999996</c:v>
                </c:pt>
                <c:pt idx="79" formatCode="\ 0.00\ ">
                  <c:v>3.64</c:v>
                </c:pt>
                <c:pt idx="80" formatCode="\ 0.00\ ">
                  <c:v>3.85</c:v>
                </c:pt>
                <c:pt idx="81" formatCode="\ 0.00\ ">
                  <c:v>4.04</c:v>
                </c:pt>
                <c:pt idx="82" formatCode="\ 0.00\ ">
                  <c:v>4.21</c:v>
                </c:pt>
                <c:pt idx="83" formatCode="\ 0.00\ ">
                  <c:v>4.37</c:v>
                </c:pt>
                <c:pt idx="84" formatCode="\ 0.00\ ">
                  <c:v>4.51</c:v>
                </c:pt>
                <c:pt idx="85" formatCode="\ 0.00\ ">
                  <c:v>4.07</c:v>
                </c:pt>
                <c:pt idx="86" formatCode="\ 0.00\ ">
                  <c:v>4.38</c:v>
                </c:pt>
                <c:pt idx="87" formatCode="\ 0.00\ ">
                  <c:v>4.2300000000000004</c:v>
                </c:pt>
                <c:pt idx="88" formatCode="\ 0.00\ ">
                  <c:v>4.53</c:v>
                </c:pt>
                <c:pt idx="89" formatCode="\ 0.00\ ">
                  <c:v>4.4000000000000004</c:v>
                </c:pt>
                <c:pt idx="90" formatCode="\ 0.00\ ">
                  <c:v>4.5500000000000007</c:v>
                </c:pt>
                <c:pt idx="91" formatCode="\ 0.00\ ">
                  <c:v>4.6800000000000006</c:v>
                </c:pt>
                <c:pt idx="92" formatCode="\ 0.00\ ">
                  <c:v>4.7900000000000009</c:v>
                </c:pt>
                <c:pt idx="93" formatCode="\ 0.00\ ">
                  <c:v>4.870000000000001</c:v>
                </c:pt>
                <c:pt idx="94" formatCode="\ 0.00\ ">
                  <c:v>4.9400000000000013</c:v>
                </c:pt>
                <c:pt idx="95" formatCode="\ 0.00\ ">
                  <c:v>4.5599999999999996</c:v>
                </c:pt>
                <c:pt idx="96" formatCode="\ 0.00\ ">
                  <c:v>4.75</c:v>
                </c:pt>
                <c:pt idx="97" formatCode="\ 0.00\ ">
                  <c:v>4.91</c:v>
                </c:pt>
                <c:pt idx="98" formatCode="\ 0.00\ ">
                  <c:v>5.05</c:v>
                </c:pt>
                <c:pt idx="99" formatCode="\ 0.00\ ">
                  <c:v>4.7300000000000004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2.1999999999999999E-2</c:v>
                </c:pt>
                <c:pt idx="1">
                  <c:v>2.4E-2</c:v>
                </c:pt>
                <c:pt idx="2">
                  <c:v>2.5000000000000001E-2</c:v>
                </c:pt>
                <c:pt idx="3">
                  <c:v>2.5999999999999999E-2</c:v>
                </c:pt>
                <c:pt idx="4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3.2666666666666663E-2"/>
          <c:min val="1.9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80.337350032496616</c:v>
                </c:pt>
                <c:pt idx="2">
                  <c:v>76.334829922889469</c:v>
                </c:pt>
                <c:pt idx="3">
                  <c:v>72.4628869374814</c:v>
                </c:pt>
                <c:pt idx="4">
                  <c:v>69.104748234049779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1.71</c:v>
                </c:pt>
                <c:pt idx="1">
                  <c:v>2.2799999999999998</c:v>
                </c:pt>
                <c:pt idx="2">
                  <c:v>2.92</c:v>
                </c:pt>
                <c:pt idx="3">
                  <c:v>3.64</c:v>
                </c:pt>
                <c:pt idx="4">
                  <c:v>4.7300000000000004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2.2800000000000001E-2</c:v>
                </c:pt>
                <c:pt idx="2">
                  <c:v>2.3999999999999997E-2</c:v>
                </c:pt>
                <c:pt idx="3">
                  <c:v>2.5075139544869042E-2</c:v>
                </c:pt>
                <c:pt idx="4">
                  <c:v>2.6569343065693432E-2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3.2666666666666663E-2"/>
          <c:min val="1.9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1.1000000000000001</c:v>
                </c:pt>
                <c:pt idx="2">
                  <c:v>1.1599999999999999</c:v>
                </c:pt>
                <c:pt idx="3">
                  <c:v>1.2</c:v>
                </c:pt>
                <c:pt idx="4">
                  <c:v>1.23</c:v>
                </c:pt>
                <c:pt idx="5">
                  <c:v>1.34</c:v>
                </c:pt>
                <c:pt idx="6">
                  <c:v>1.4</c:v>
                </c:pt>
                <c:pt idx="7">
                  <c:v>1.44</c:v>
                </c:pt>
                <c:pt idx="8">
                  <c:v>1.47</c:v>
                </c:pt>
                <c:pt idx="9">
                  <c:v>1.5</c:v>
                </c:pt>
                <c:pt idx="10">
                  <c:v>1.52</c:v>
                </c:pt>
                <c:pt idx="11">
                  <c:v>1.54</c:v>
                </c:pt>
                <c:pt idx="12">
                  <c:v>1.56</c:v>
                </c:pt>
                <c:pt idx="13">
                  <c:v>1.58</c:v>
                </c:pt>
                <c:pt idx="14">
                  <c:v>1.59</c:v>
                </c:pt>
                <c:pt idx="15">
                  <c:v>1.6</c:v>
                </c:pt>
                <c:pt idx="16">
                  <c:v>1.64</c:v>
                </c:pt>
                <c:pt idx="17">
                  <c:v>1.66</c:v>
                </c:pt>
                <c:pt idx="18">
                  <c:v>1.69</c:v>
                </c:pt>
                <c:pt idx="19">
                  <c:v>1.71</c:v>
                </c:pt>
                <c:pt idx="20">
                  <c:v>2.0499999999999998</c:v>
                </c:pt>
                <c:pt idx="21">
                  <c:v>2.1</c:v>
                </c:pt>
                <c:pt idx="22">
                  <c:v>2.16</c:v>
                </c:pt>
                <c:pt idx="23">
                  <c:v>2.2200000000000002</c:v>
                </c:pt>
                <c:pt idx="24">
                  <c:v>2.2799999999999998</c:v>
                </c:pt>
                <c:pt idx="25">
                  <c:v>2.66</c:v>
                </c:pt>
                <c:pt idx="26">
                  <c:v>2.72</c:v>
                </c:pt>
                <c:pt idx="27">
                  <c:v>2.79</c:v>
                </c:pt>
                <c:pt idx="28">
                  <c:v>2.85</c:v>
                </c:pt>
                <c:pt idx="29">
                  <c:v>2.92</c:v>
                </c:pt>
                <c:pt idx="30">
                  <c:v>3.35</c:v>
                </c:pt>
                <c:pt idx="31">
                  <c:v>3.42</c:v>
                </c:pt>
                <c:pt idx="32">
                  <c:v>3.49</c:v>
                </c:pt>
                <c:pt idx="33">
                  <c:v>3.56</c:v>
                </c:pt>
                <c:pt idx="34">
                  <c:v>3.64</c:v>
                </c:pt>
                <c:pt idx="35">
                  <c:v>4.07</c:v>
                </c:pt>
                <c:pt idx="36">
                  <c:v>4.2300000000000004</c:v>
                </c:pt>
                <c:pt idx="37">
                  <c:v>4.4000000000000004</c:v>
                </c:pt>
                <c:pt idx="38">
                  <c:v>4.5599999999999996</c:v>
                </c:pt>
                <c:pt idx="39">
                  <c:v>4.7300000000000004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1.0004358276958114</c:v>
                </c:pt>
                <c:pt idx="1">
                  <c:v>1.1031686222119628</c:v>
                </c:pt>
                <c:pt idx="2">
                  <c:v>1.1632634545982035</c:v>
                </c:pt>
                <c:pt idx="3">
                  <c:v>1.2059014167281141</c:v>
                </c:pt>
                <c:pt idx="4">
                  <c:v>1.2389739895491536</c:v>
                </c:pt>
                <c:pt idx="5">
                  <c:v>1.341706784065305</c:v>
                </c:pt>
                <c:pt idx="6">
                  <c:v>1.4018016164515457</c:v>
                </c:pt>
                <c:pt idx="7">
                  <c:v>1.4444395785814566</c:v>
                </c:pt>
                <c:pt idx="8">
                  <c:v>1.477512151402496</c:v>
                </c:pt>
                <c:pt idx="9">
                  <c:v>1.5045344109676972</c:v>
                </c:pt>
                <c:pt idx="10">
                  <c:v>1.5273814058908037</c:v>
                </c:pt>
                <c:pt idx="11">
                  <c:v>1.5471723730976079</c:v>
                </c:pt>
                <c:pt idx="12">
                  <c:v>1.5646292433539377</c:v>
                </c:pt>
                <c:pt idx="13">
                  <c:v>1.5802449459186474</c:v>
                </c:pt>
                <c:pt idx="14">
                  <c:v>1.5943710671692963</c:v>
                </c:pt>
                <c:pt idx="15">
                  <c:v>1.6072672054838484</c:v>
                </c:pt>
                <c:pt idx="16">
                  <c:v>1.6403397783048881</c:v>
                </c:pt>
                <c:pt idx="17">
                  <c:v>1.6673620378700891</c:v>
                </c:pt>
                <c:pt idx="18">
                  <c:v>1.690209032793196</c:v>
                </c:pt>
                <c:pt idx="19">
                  <c:v>1.71</c:v>
                </c:pt>
                <c:pt idx="20">
                  <c:v>2.1648986367943066</c:v>
                </c:pt>
                <c:pt idx="21">
                  <c:v>2.178811320515476</c:v>
                </c:pt>
                <c:pt idx="22">
                  <c:v>2.191763719186191</c:v>
                </c:pt>
                <c:pt idx="23">
                  <c:v>2.2259919146354461</c:v>
                </c:pt>
                <c:pt idx="24">
                  <c:v>2.2799999999999998</c:v>
                </c:pt>
                <c:pt idx="25">
                  <c:v>2.836086876630195</c:v>
                </c:pt>
                <c:pt idx="26">
                  <c:v>2.8451125031094668</c:v>
                </c:pt>
                <c:pt idx="27">
                  <c:v>2.8537974574662917</c:v>
                </c:pt>
                <c:pt idx="28">
                  <c:v>2.8780434383150975</c:v>
                </c:pt>
                <c:pt idx="29">
                  <c:v>2.92</c:v>
                </c:pt>
                <c:pt idx="30">
                  <c:v>3.5695324921924256</c:v>
                </c:pt>
                <c:pt idx="31">
                  <c:v>3.5767524958039272</c:v>
                </c:pt>
                <c:pt idx="32">
                  <c:v>3.5837849454832882</c:v>
                </c:pt>
                <c:pt idx="33">
                  <c:v>3.6038484999022375</c:v>
                </c:pt>
                <c:pt idx="34">
                  <c:v>3.64</c:v>
                </c:pt>
                <c:pt idx="35">
                  <c:v>4.666945244249983</c:v>
                </c:pt>
                <c:pt idx="36">
                  <c:v>4.6732352400733674</c:v>
                </c:pt>
                <c:pt idx="37">
                  <c:v>4.679400673301072</c:v>
                </c:pt>
                <c:pt idx="38">
                  <c:v>4.6971966141457333</c:v>
                </c:pt>
                <c:pt idx="39">
                  <c:v>4.7300000000000004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1.1000000000000001</c:v>
                </c:pt>
                <c:pt idx="2">
                  <c:v>1.1599999999999999</c:v>
                </c:pt>
                <c:pt idx="3">
                  <c:v>1.2</c:v>
                </c:pt>
                <c:pt idx="4">
                  <c:v>1.23</c:v>
                </c:pt>
                <c:pt idx="5">
                  <c:v>1.34</c:v>
                </c:pt>
                <c:pt idx="6">
                  <c:v>1.4</c:v>
                </c:pt>
                <c:pt idx="7">
                  <c:v>1.44</c:v>
                </c:pt>
                <c:pt idx="8">
                  <c:v>1.47</c:v>
                </c:pt>
                <c:pt idx="9">
                  <c:v>1.5</c:v>
                </c:pt>
                <c:pt idx="10">
                  <c:v>1.52</c:v>
                </c:pt>
                <c:pt idx="11">
                  <c:v>1.54</c:v>
                </c:pt>
                <c:pt idx="12">
                  <c:v>1.56</c:v>
                </c:pt>
                <c:pt idx="13">
                  <c:v>1.58</c:v>
                </c:pt>
                <c:pt idx="14">
                  <c:v>1.59</c:v>
                </c:pt>
                <c:pt idx="15">
                  <c:v>1.6</c:v>
                </c:pt>
                <c:pt idx="16">
                  <c:v>1.64</c:v>
                </c:pt>
                <c:pt idx="17">
                  <c:v>1.66</c:v>
                </c:pt>
                <c:pt idx="18">
                  <c:v>1.69</c:v>
                </c:pt>
                <c:pt idx="19">
                  <c:v>1.71</c:v>
                </c:pt>
                <c:pt idx="20">
                  <c:v>2.0499999999999998</c:v>
                </c:pt>
                <c:pt idx="21">
                  <c:v>2.1</c:v>
                </c:pt>
                <c:pt idx="22">
                  <c:v>2.16</c:v>
                </c:pt>
                <c:pt idx="23">
                  <c:v>2.2200000000000002</c:v>
                </c:pt>
                <c:pt idx="24">
                  <c:v>2.2799999999999998</c:v>
                </c:pt>
                <c:pt idx="25">
                  <c:v>2.66</c:v>
                </c:pt>
                <c:pt idx="26">
                  <c:v>2.72</c:v>
                </c:pt>
                <c:pt idx="27">
                  <c:v>2.79</c:v>
                </c:pt>
                <c:pt idx="28">
                  <c:v>2.85</c:v>
                </c:pt>
                <c:pt idx="29">
                  <c:v>2.92</c:v>
                </c:pt>
                <c:pt idx="30">
                  <c:v>3.35</c:v>
                </c:pt>
                <c:pt idx="31">
                  <c:v>3.42</c:v>
                </c:pt>
                <c:pt idx="32">
                  <c:v>3.49</c:v>
                </c:pt>
                <c:pt idx="33">
                  <c:v>3.56</c:v>
                </c:pt>
                <c:pt idx="34">
                  <c:v>3.64</c:v>
                </c:pt>
                <c:pt idx="35">
                  <c:v>4.07</c:v>
                </c:pt>
                <c:pt idx="36">
                  <c:v>4.2300000000000004</c:v>
                </c:pt>
                <c:pt idx="37">
                  <c:v>4.4000000000000004</c:v>
                </c:pt>
                <c:pt idx="38">
                  <c:v>4.5599999999999996</c:v>
                </c:pt>
                <c:pt idx="39">
                  <c:v>4.7300000000000004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2.6572570388731762</c:v>
                </c:pt>
                <c:pt idx="1">
                  <c:v>2.8016128464040597</c:v>
                </c:pt>
                <c:pt idx="2">
                  <c:v>2.8860555805709476</c:v>
                </c:pt>
                <c:pt idx="3">
                  <c:v>2.9459686539349437</c:v>
                </c:pt>
                <c:pt idx="4">
                  <c:v>2.992440844039288</c:v>
                </c:pt>
                <c:pt idx="5">
                  <c:v>3.1367966515701715</c:v>
                </c:pt>
                <c:pt idx="6">
                  <c:v>3.2212393857370594</c:v>
                </c:pt>
                <c:pt idx="7">
                  <c:v>3.2811524591010555</c:v>
                </c:pt>
                <c:pt idx="8">
                  <c:v>3.3276246492053998</c:v>
                </c:pt>
                <c:pt idx="9">
                  <c:v>3.3655951932679433</c:v>
                </c:pt>
                <c:pt idx="10">
                  <c:v>3.3976988308387148</c:v>
                </c:pt>
                <c:pt idx="11">
                  <c:v>3.4255082666319394</c:v>
                </c:pt>
                <c:pt idx="12">
                  <c:v>3.4500379274348307</c:v>
                </c:pt>
                <c:pt idx="13">
                  <c:v>3.4719804567362837</c:v>
                </c:pt>
                <c:pt idx="14">
                  <c:v>3.4604198889455473</c:v>
                </c:pt>
                <c:pt idx="15">
                  <c:v>3.5099510007988273</c:v>
                </c:pt>
                <c:pt idx="16">
                  <c:v>3.5564231909031716</c:v>
                </c:pt>
                <c:pt idx="17">
                  <c:v>3.5943937349657147</c:v>
                </c:pt>
                <c:pt idx="18">
                  <c:v>3.6264973725364866</c:v>
                </c:pt>
                <c:pt idx="19">
                  <c:v>3.6543068083297108</c:v>
                </c:pt>
                <c:pt idx="20">
                  <c:v>3.6864104459004827</c:v>
                </c:pt>
                <c:pt idx="21">
                  <c:v>3.7142198816937069</c:v>
                </c:pt>
                <c:pt idx="22">
                  <c:v>3.7387495424965986</c:v>
                </c:pt>
                <c:pt idx="23">
                  <c:v>3.7986626158605947</c:v>
                </c:pt>
                <c:pt idx="24">
                  <c:v>3.8451348059649391</c:v>
                </c:pt>
                <c:pt idx="25">
                  <c:v>3.8831053500274826</c:v>
                </c:pt>
                <c:pt idx="26">
                  <c:v>3.9152089875982541</c:v>
                </c:pt>
                <c:pt idx="27">
                  <c:v>3.9430184233914787</c:v>
                </c:pt>
                <c:pt idx="28">
                  <c:v>3.96754808419437</c:v>
                </c:pt>
                <c:pt idx="29">
                  <c:v>3.989490613495823</c:v>
                </c:pt>
                <c:pt idx="30">
                  <c:v>4.0093400457050867</c:v>
                </c:pt>
                <c:pt idx="31">
                  <c:v>4.027461157558367</c:v>
                </c:pt>
                <c:pt idx="32">
                  <c:v>4.0441309645304404</c:v>
                </c:pt>
                <c:pt idx="33">
                  <c:v>4.0595647951291376</c:v>
                </c:pt>
                <c:pt idx="34">
                  <c:v>4.0739333476627104</c:v>
                </c:pt>
                <c:pt idx="35">
                  <c:v>4.0873742309223626</c:v>
                </c:pt>
                <c:pt idx="36">
                  <c:v>4.1000000000000005</c:v>
                </c:pt>
                <c:pt idx="37">
                  <c:v>4.1000000000000005</c:v>
                </c:pt>
                <c:pt idx="38">
                  <c:v>4.1000000000000005</c:v>
                </c:pt>
                <c:pt idx="39">
                  <c:v>4.1000000000000005</c:v>
                </c:pt>
                <c:pt idx="40">
                  <c:v>4.1000000000000005</c:v>
                </c:pt>
                <c:pt idx="41">
                  <c:v>4.1000000000000005</c:v>
                </c:pt>
                <c:pt idx="42">
                  <c:v>4.1000000000000005</c:v>
                </c:pt>
                <c:pt idx="43">
                  <c:v>4.1000000000000005</c:v>
                </c:pt>
                <c:pt idx="44">
                  <c:v>4.1000000000000005</c:v>
                </c:pt>
                <c:pt idx="45">
                  <c:v>4.1000000000000005</c:v>
                </c:pt>
                <c:pt idx="46">
                  <c:v>4.1000000000000005</c:v>
                </c:pt>
                <c:pt idx="47">
                  <c:v>4.1000000000000005</c:v>
                </c:pt>
                <c:pt idx="48">
                  <c:v>4.1000000000000005</c:v>
                </c:pt>
                <c:pt idx="49">
                  <c:v>4.1000000000000005</c:v>
                </c:pt>
                <c:pt idx="50">
                  <c:v>4.1000000000000005</c:v>
                </c:pt>
                <c:pt idx="51">
                  <c:v>4.1000000000000005</c:v>
                </c:pt>
                <c:pt idx="52">
                  <c:v>4.1000000000000005</c:v>
                </c:pt>
                <c:pt idx="53">
                  <c:v>4.1000000000000005</c:v>
                </c:pt>
                <c:pt idx="54">
                  <c:v>4.1000000000000005</c:v>
                </c:pt>
                <c:pt idx="55">
                  <c:v>4.1000000000000005</c:v>
                </c:pt>
                <c:pt idx="56">
                  <c:v>4.1000000000000005</c:v>
                </c:pt>
                <c:pt idx="57">
                  <c:v>4.1000000000000005</c:v>
                </c:pt>
                <c:pt idx="58">
                  <c:v>4.1000000000000005</c:v>
                </c:pt>
                <c:pt idx="59">
                  <c:v>4.1000000000000005</c:v>
                </c:pt>
                <c:pt idx="60">
                  <c:v>4.1000000000000005</c:v>
                </c:pt>
                <c:pt idx="61">
                  <c:v>4.1000000000000005</c:v>
                </c:pt>
                <c:pt idx="62">
                  <c:v>4.1000000000000005</c:v>
                </c:pt>
                <c:pt idx="63">
                  <c:v>4.1000000000000005</c:v>
                </c:pt>
                <c:pt idx="64">
                  <c:v>4.1000000000000005</c:v>
                </c:pt>
                <c:pt idx="65">
                  <c:v>4.1000000000000005</c:v>
                </c:pt>
                <c:pt idx="66">
                  <c:v>4.1000000000000005</c:v>
                </c:pt>
                <c:pt idx="67">
                  <c:v>4.1000000000000005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2.6572570388731762</c:v>
                </c:pt>
                <c:pt idx="1">
                  <c:v>2.8016128464040597</c:v>
                </c:pt>
                <c:pt idx="2">
                  <c:v>2.8860555805709476</c:v>
                </c:pt>
                <c:pt idx="3">
                  <c:v>2.9459686539349437</c:v>
                </c:pt>
                <c:pt idx="4">
                  <c:v>2.992440844039288</c:v>
                </c:pt>
                <c:pt idx="5">
                  <c:v>3.1367966515701715</c:v>
                </c:pt>
                <c:pt idx="6">
                  <c:v>3.2212393857370594</c:v>
                </c:pt>
                <c:pt idx="7">
                  <c:v>3.2811524591010555</c:v>
                </c:pt>
                <c:pt idx="8">
                  <c:v>3.3276246492053998</c:v>
                </c:pt>
                <c:pt idx="9">
                  <c:v>3.3655951932679433</c:v>
                </c:pt>
                <c:pt idx="10">
                  <c:v>3.3976988308387148</c:v>
                </c:pt>
                <c:pt idx="11">
                  <c:v>3.4255082666319394</c:v>
                </c:pt>
                <c:pt idx="12">
                  <c:v>3.4500379274348307</c:v>
                </c:pt>
                <c:pt idx="13">
                  <c:v>3.4719804567362837</c:v>
                </c:pt>
                <c:pt idx="14">
                  <c:v>3.4604198889455473</c:v>
                </c:pt>
                <c:pt idx="15">
                  <c:v>3.5099510007988273</c:v>
                </c:pt>
                <c:pt idx="16">
                  <c:v>3.5564231909031716</c:v>
                </c:pt>
                <c:pt idx="17">
                  <c:v>3.5943937349657147</c:v>
                </c:pt>
                <c:pt idx="18">
                  <c:v>3.6264973725364866</c:v>
                </c:pt>
                <c:pt idx="19">
                  <c:v>3.6543068083297108</c:v>
                </c:pt>
                <c:pt idx="20">
                  <c:v>3.6864104459004827</c:v>
                </c:pt>
                <c:pt idx="21">
                  <c:v>3.7142198816937069</c:v>
                </c:pt>
                <c:pt idx="22">
                  <c:v>3.7387495424965986</c:v>
                </c:pt>
                <c:pt idx="23">
                  <c:v>3.7986626158605947</c:v>
                </c:pt>
                <c:pt idx="24">
                  <c:v>3.8451348059649391</c:v>
                </c:pt>
                <c:pt idx="25">
                  <c:v>3.8831053500274826</c:v>
                </c:pt>
                <c:pt idx="26">
                  <c:v>3.9152089875982541</c:v>
                </c:pt>
                <c:pt idx="27">
                  <c:v>3.9430184233914787</c:v>
                </c:pt>
                <c:pt idx="28">
                  <c:v>3.96754808419437</c:v>
                </c:pt>
                <c:pt idx="29">
                  <c:v>3.989490613495823</c:v>
                </c:pt>
                <c:pt idx="30">
                  <c:v>4.0093400457050867</c:v>
                </c:pt>
                <c:pt idx="31">
                  <c:v>4.027461157558367</c:v>
                </c:pt>
                <c:pt idx="32">
                  <c:v>4.0441309645304404</c:v>
                </c:pt>
                <c:pt idx="33">
                  <c:v>4.0595647951291376</c:v>
                </c:pt>
                <c:pt idx="34">
                  <c:v>4.0739333476627104</c:v>
                </c:pt>
                <c:pt idx="35">
                  <c:v>4.0873742309223626</c:v>
                </c:pt>
                <c:pt idx="36">
                  <c:v>4.1000000000000005</c:v>
                </c:pt>
                <c:pt idx="37">
                  <c:v>4.1000000000000005</c:v>
                </c:pt>
                <c:pt idx="38">
                  <c:v>4.1000000000000005</c:v>
                </c:pt>
                <c:pt idx="39">
                  <c:v>4.1000000000000005</c:v>
                </c:pt>
                <c:pt idx="40">
                  <c:v>4.1000000000000005</c:v>
                </c:pt>
                <c:pt idx="41">
                  <c:v>4.1000000000000005</c:v>
                </c:pt>
                <c:pt idx="42">
                  <c:v>4.1000000000000005</c:v>
                </c:pt>
                <c:pt idx="43">
                  <c:v>4.1000000000000005</c:v>
                </c:pt>
                <c:pt idx="44">
                  <c:v>4.1000000000000005</c:v>
                </c:pt>
                <c:pt idx="45">
                  <c:v>4.1000000000000005</c:v>
                </c:pt>
                <c:pt idx="46">
                  <c:v>4.1000000000000005</c:v>
                </c:pt>
                <c:pt idx="47">
                  <c:v>4.1000000000000005</c:v>
                </c:pt>
                <c:pt idx="48">
                  <c:v>4.1000000000000005</c:v>
                </c:pt>
                <c:pt idx="49">
                  <c:v>4.1000000000000005</c:v>
                </c:pt>
                <c:pt idx="50">
                  <c:v>4.1000000000000005</c:v>
                </c:pt>
                <c:pt idx="51">
                  <c:v>4.1000000000000005</c:v>
                </c:pt>
                <c:pt idx="52">
                  <c:v>4.1000000000000005</c:v>
                </c:pt>
                <c:pt idx="53">
                  <c:v>4.1000000000000005</c:v>
                </c:pt>
                <c:pt idx="54">
                  <c:v>4.1000000000000005</c:v>
                </c:pt>
                <c:pt idx="55">
                  <c:v>4.1000000000000005</c:v>
                </c:pt>
                <c:pt idx="56">
                  <c:v>4.1000000000000005</c:v>
                </c:pt>
                <c:pt idx="57">
                  <c:v>4.1000000000000005</c:v>
                </c:pt>
                <c:pt idx="58">
                  <c:v>4.1000000000000005</c:v>
                </c:pt>
                <c:pt idx="59">
                  <c:v>4.1000000000000005</c:v>
                </c:pt>
                <c:pt idx="60">
                  <c:v>4.1000000000000005</c:v>
                </c:pt>
                <c:pt idx="61">
                  <c:v>4.1000000000000005</c:v>
                </c:pt>
                <c:pt idx="62">
                  <c:v>4.1000000000000005</c:v>
                </c:pt>
                <c:pt idx="63">
                  <c:v>4.1000000000000005</c:v>
                </c:pt>
                <c:pt idx="64">
                  <c:v>4.1000000000000005</c:v>
                </c:pt>
                <c:pt idx="65">
                  <c:v>4.1000000000000005</c:v>
                </c:pt>
                <c:pt idx="66">
                  <c:v>4.1000000000000005</c:v>
                </c:pt>
                <c:pt idx="67">
                  <c:v>4.1000000000000005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3.365070108130086</c:v>
                </c:pt>
                <c:pt idx="1">
                  <c:v>3.225600673262333</c:v>
                </c:pt>
                <c:pt idx="2">
                  <c:v>3.0919117192277539</c:v>
                </c:pt>
                <c:pt idx="3">
                  <c:v>2.9637636669480036</c:v>
                </c:pt>
                <c:pt idx="4">
                  <c:v>2.8409268669918473</c:v>
                </c:pt>
                <c:pt idx="5">
                  <c:v>2.5021279076784597</c:v>
                </c:pt>
                <c:pt idx="6">
                  <c:v>2.4325054934655461</c:v>
                </c:pt>
                <c:pt idx="7">
                  <c:v>2.2350477109409637</c:v>
                </c:pt>
                <c:pt idx="8">
                  <c:v>2.1424134325661162</c:v>
                </c:pt>
                <c:pt idx="9">
                  <c:v>2.0536184948406975</c:v>
                </c:pt>
                <c:pt idx="10">
                  <c:v>2.0248456731316589</c:v>
                </c:pt>
                <c:pt idx="11">
                  <c:v>1.9964759814446669</c:v>
                </c:pt>
                <c:pt idx="12">
                  <c:v>1.9685037716088074</c:v>
                </c:pt>
                <c:pt idx="13">
                  <c:v>1.9409234745885162</c:v>
                </c:pt>
                <c:pt idx="14">
                  <c:v>1.9137295993748265</c:v>
                </c:pt>
                <c:pt idx="15">
                  <c:v>1.8869167318921576</c:v>
                </c:pt>
                <c:pt idx="16">
                  <c:v>1.8604795339204154</c:v>
                </c:pt>
                <c:pt idx="17">
                  <c:v>1.8344127420321976</c:v>
                </c:pt>
                <c:pt idx="18">
                  <c:v>1.8087111665448892</c:v>
                </c:pt>
                <c:pt idx="19">
                  <c:v>1.7337469262375198</c:v>
                </c:pt>
                <c:pt idx="20">
                  <c:v>1.7094557585632162</c:v>
                </c:pt>
                <c:pt idx="21">
                  <c:v>1.5706912853414619</c:v>
                </c:pt>
                <c:pt idx="22">
                  <c:v>1.4431909696926974</c:v>
                </c:pt>
                <c:pt idx="23">
                  <c:v>1.3260404475662166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375" style="106" customWidth="1"/>
    <col min="3" max="3" width="14.75" style="106" customWidth="1"/>
    <col min="4" max="4" width="16.37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92">
        <v>2</v>
      </c>
      <c r="B2" s="23">
        <f t="shared" ref="B2:B20" si="0">F2</f>
        <v>1.1000000000000001</v>
      </c>
      <c r="E2" s="23">
        <v>2</v>
      </c>
      <c r="F2" s="23">
        <f>StepTest!G13</f>
        <v>1.1000000000000001</v>
      </c>
    </row>
    <row r="3" spans="1:6">
      <c r="A3" s="392">
        <v>3</v>
      </c>
      <c r="B3" s="23">
        <f t="shared" si="0"/>
        <v>1.1599999999999999</v>
      </c>
      <c r="E3" s="23">
        <v>3</v>
      </c>
      <c r="F3" s="23">
        <f>StepTest!G14</f>
        <v>1.1599999999999999</v>
      </c>
    </row>
    <row r="4" spans="1:6">
      <c r="A4" s="392">
        <v>4</v>
      </c>
      <c r="B4" s="23">
        <f t="shared" si="0"/>
        <v>1.2</v>
      </c>
      <c r="E4" s="23">
        <v>4</v>
      </c>
      <c r="F4" s="23">
        <f>StepTest!G15</f>
        <v>1.2</v>
      </c>
    </row>
    <row r="5" spans="1:6">
      <c r="A5" s="392">
        <v>5</v>
      </c>
      <c r="B5" s="23">
        <f t="shared" si="0"/>
        <v>1.23</v>
      </c>
      <c r="E5" s="23">
        <v>5</v>
      </c>
      <c r="F5" s="23">
        <f>StepTest!G16</f>
        <v>1.23</v>
      </c>
    </row>
    <row r="6" spans="1:6">
      <c r="A6" s="392">
        <v>10</v>
      </c>
      <c r="B6" s="23">
        <f t="shared" si="0"/>
        <v>1.34</v>
      </c>
      <c r="E6" s="23">
        <v>10</v>
      </c>
      <c r="F6" s="23">
        <f>StepTest!G17</f>
        <v>1.34</v>
      </c>
    </row>
    <row r="7" spans="1:6">
      <c r="A7" s="392">
        <v>15</v>
      </c>
      <c r="B7" s="23">
        <f t="shared" si="0"/>
        <v>1.4</v>
      </c>
      <c r="E7" s="23">
        <v>15</v>
      </c>
      <c r="F7" s="23">
        <f>StepTest!G18</f>
        <v>1.4</v>
      </c>
    </row>
    <row r="8" spans="1:6">
      <c r="A8" s="392">
        <v>20</v>
      </c>
      <c r="B8" s="23">
        <f t="shared" si="0"/>
        <v>1.44</v>
      </c>
      <c r="E8" s="23">
        <v>20</v>
      </c>
      <c r="F8" s="23">
        <f>StepTest!G19</f>
        <v>1.44</v>
      </c>
    </row>
    <row r="9" spans="1:6">
      <c r="A9" s="392">
        <v>25</v>
      </c>
      <c r="B9" s="23">
        <f t="shared" si="0"/>
        <v>1.47</v>
      </c>
      <c r="E9" s="23">
        <v>25</v>
      </c>
      <c r="F9" s="23">
        <f>StepTest!G20</f>
        <v>1.47</v>
      </c>
    </row>
    <row r="10" spans="1:6">
      <c r="A10" s="392">
        <v>30</v>
      </c>
      <c r="B10" s="23">
        <f t="shared" si="0"/>
        <v>1.5</v>
      </c>
      <c r="E10" s="23">
        <v>30</v>
      </c>
      <c r="F10" s="23">
        <f>StepTest!G21</f>
        <v>1.5</v>
      </c>
    </row>
    <row r="11" spans="1:6">
      <c r="A11" s="392">
        <v>35</v>
      </c>
      <c r="B11" s="23">
        <f t="shared" si="0"/>
        <v>1.52</v>
      </c>
      <c r="E11" s="23">
        <v>35</v>
      </c>
      <c r="F11" s="23">
        <f>StepTest!G22</f>
        <v>1.52</v>
      </c>
    </row>
    <row r="12" spans="1:6">
      <c r="A12" s="392">
        <v>40</v>
      </c>
      <c r="B12" s="23">
        <f t="shared" si="0"/>
        <v>1.54</v>
      </c>
      <c r="E12" s="23">
        <v>40</v>
      </c>
      <c r="F12" s="23">
        <f>StepTest!G23</f>
        <v>1.54</v>
      </c>
    </row>
    <row r="13" spans="1:6">
      <c r="A13" s="392">
        <v>45</v>
      </c>
      <c r="B13" s="23">
        <f t="shared" si="0"/>
        <v>1.56</v>
      </c>
      <c r="E13" s="23">
        <v>45</v>
      </c>
      <c r="F13" s="23">
        <f>StepTest!G24</f>
        <v>1.56</v>
      </c>
    </row>
    <row r="14" spans="1:6">
      <c r="A14" s="392">
        <v>50</v>
      </c>
      <c r="B14" s="23">
        <f t="shared" si="0"/>
        <v>1.58</v>
      </c>
      <c r="E14" s="23">
        <v>50</v>
      </c>
      <c r="F14" s="23">
        <f>StepTest!G25</f>
        <v>1.58</v>
      </c>
    </row>
    <row r="15" spans="1:6">
      <c r="A15" s="392">
        <v>55</v>
      </c>
      <c r="B15" s="23">
        <f t="shared" si="0"/>
        <v>1.59</v>
      </c>
      <c r="E15" s="23">
        <v>55</v>
      </c>
      <c r="F15" s="23">
        <f>StepTest!G26</f>
        <v>1.59</v>
      </c>
    </row>
    <row r="16" spans="1:6">
      <c r="A16" s="392">
        <v>60</v>
      </c>
      <c r="B16" s="23">
        <f t="shared" si="0"/>
        <v>1.6</v>
      </c>
      <c r="E16" s="23">
        <v>60</v>
      </c>
      <c r="F16" s="23">
        <f>StepTest!G27</f>
        <v>1.6</v>
      </c>
    </row>
    <row r="17" spans="1:6">
      <c r="A17" s="392">
        <v>75</v>
      </c>
      <c r="B17" s="23">
        <f t="shared" si="0"/>
        <v>1.64</v>
      </c>
      <c r="E17" s="23">
        <v>75</v>
      </c>
      <c r="F17" s="23">
        <f>StepTest!G28</f>
        <v>1.64</v>
      </c>
    </row>
    <row r="18" spans="1:6">
      <c r="A18" s="392">
        <v>90</v>
      </c>
      <c r="B18" s="23">
        <f t="shared" si="0"/>
        <v>1.66</v>
      </c>
      <c r="E18" s="23">
        <v>90</v>
      </c>
      <c r="F18" s="23">
        <f>StepTest!G29</f>
        <v>1.66</v>
      </c>
    </row>
    <row r="19" spans="1:6">
      <c r="A19" s="392">
        <v>105</v>
      </c>
      <c r="B19" s="23">
        <f t="shared" si="0"/>
        <v>1.69</v>
      </c>
      <c r="E19" s="23">
        <v>105</v>
      </c>
      <c r="F19" s="23">
        <f>StepTest!G30</f>
        <v>1.69</v>
      </c>
    </row>
    <row r="20" spans="1:6">
      <c r="A20" s="393">
        <v>120</v>
      </c>
      <c r="B20" s="394">
        <f t="shared" si="0"/>
        <v>1.71</v>
      </c>
      <c r="C20" s="394">
        <f>B26-B20</f>
        <v>0.33999999999999986</v>
      </c>
      <c r="D20" s="395">
        <f>C20/10</f>
        <v>3.3999999999999989E-2</v>
      </c>
      <c r="E20" s="23">
        <v>120</v>
      </c>
      <c r="F20" s="23">
        <f>StepTest!G31</f>
        <v>1.71</v>
      </c>
    </row>
    <row r="21" spans="1:6">
      <c r="A21" s="392">
        <v>121</v>
      </c>
      <c r="B21" s="396">
        <f>B20+D21</f>
        <v>1.8699999999999999</v>
      </c>
      <c r="D21" s="23">
        <v>0.16</v>
      </c>
      <c r="E21" s="23">
        <v>130</v>
      </c>
      <c r="F21" s="23">
        <f>StepTest!G32</f>
        <v>2.0499999999999998</v>
      </c>
    </row>
    <row r="22" spans="1:6">
      <c r="A22" s="392">
        <v>122</v>
      </c>
      <c r="B22" s="396">
        <f>B21+D22</f>
        <v>2.02</v>
      </c>
      <c r="D22" s="23">
        <v>0.15</v>
      </c>
      <c r="E22" s="23">
        <v>140</v>
      </c>
      <c r="F22" s="23">
        <f>StepTest!G33</f>
        <v>2.1</v>
      </c>
    </row>
    <row r="23" spans="1:6">
      <c r="A23" s="392">
        <v>123</v>
      </c>
      <c r="B23" s="396">
        <f>B22+D23</f>
        <v>2.16</v>
      </c>
      <c r="D23" s="23">
        <v>0.14000000000000001</v>
      </c>
      <c r="E23" s="23">
        <v>150</v>
      </c>
      <c r="F23" s="23">
        <f>StepTest!G34</f>
        <v>2.16</v>
      </c>
    </row>
    <row r="24" spans="1:6">
      <c r="A24" s="392">
        <v>124</v>
      </c>
      <c r="B24" s="396">
        <f>B23+D24</f>
        <v>2.29</v>
      </c>
      <c r="D24" s="23">
        <v>0.13</v>
      </c>
      <c r="E24" s="23">
        <v>180</v>
      </c>
      <c r="F24" s="23">
        <f>StepTest!G35</f>
        <v>2.2200000000000002</v>
      </c>
    </row>
    <row r="25" spans="1:6">
      <c r="A25" s="392">
        <v>125</v>
      </c>
      <c r="B25" s="396">
        <f>B24+D25</f>
        <v>2.42</v>
      </c>
      <c r="D25" s="23">
        <v>0.13</v>
      </c>
      <c r="E25" s="23">
        <v>240</v>
      </c>
      <c r="F25" s="23">
        <f>StepTest!G36</f>
        <v>2.2799999999999998</v>
      </c>
    </row>
    <row r="26" spans="1:6">
      <c r="A26" s="392">
        <v>130</v>
      </c>
      <c r="B26" s="394">
        <f>F21</f>
        <v>2.0499999999999998</v>
      </c>
      <c r="C26" s="394">
        <f>B28-B26</f>
        <v>5.0000000000000266E-2</v>
      </c>
      <c r="D26" s="394">
        <f>C26/2</f>
        <v>2.5000000000000133E-2</v>
      </c>
      <c r="E26" s="23">
        <v>250</v>
      </c>
      <c r="F26" s="23">
        <f>StepTest!G37</f>
        <v>2.66</v>
      </c>
    </row>
    <row r="27" spans="1:6">
      <c r="A27" s="392">
        <v>135</v>
      </c>
      <c r="B27" s="396">
        <f>B26+D27</f>
        <v>2.1599999999999997</v>
      </c>
      <c r="D27" s="23">
        <v>0.11</v>
      </c>
      <c r="E27" s="23">
        <v>260</v>
      </c>
      <c r="F27" s="23">
        <f>StepTest!G38</f>
        <v>2.72</v>
      </c>
    </row>
    <row r="28" spans="1:6">
      <c r="A28" s="392">
        <v>140</v>
      </c>
      <c r="B28" s="394">
        <f>F22</f>
        <v>2.1</v>
      </c>
      <c r="C28" s="394">
        <f>B30-B28</f>
        <v>6.0000000000000053E-2</v>
      </c>
      <c r="D28" s="394">
        <f>C28/2</f>
        <v>3.0000000000000027E-2</v>
      </c>
      <c r="E28" s="23">
        <v>270</v>
      </c>
      <c r="F28" s="23">
        <f>StepTest!G39</f>
        <v>2.79</v>
      </c>
    </row>
    <row r="29" spans="1:6">
      <c r="A29" s="392">
        <v>145</v>
      </c>
      <c r="B29" s="396">
        <f>B28+D29</f>
        <v>2.2000000000000002</v>
      </c>
      <c r="D29" s="23">
        <v>0.1</v>
      </c>
      <c r="E29" s="23">
        <v>300</v>
      </c>
      <c r="F29" s="23">
        <f>StepTest!G40</f>
        <v>2.85</v>
      </c>
    </row>
    <row r="30" spans="1:6">
      <c r="A30" s="392">
        <v>150</v>
      </c>
      <c r="B30" s="394">
        <f>F23</f>
        <v>2.16</v>
      </c>
      <c r="C30" s="394">
        <f>B36-B30</f>
        <v>6.0000000000000053E-2</v>
      </c>
      <c r="D30" s="397">
        <f>C30/6</f>
        <v>1.0000000000000009E-2</v>
      </c>
      <c r="E30" s="23">
        <v>360</v>
      </c>
      <c r="F30" s="23">
        <f>StepTest!G41</f>
        <v>2.92</v>
      </c>
    </row>
    <row r="31" spans="1:6">
      <c r="A31" s="392">
        <v>155</v>
      </c>
      <c r="B31" s="396">
        <f>B30+D31</f>
        <v>2.2200000000000002</v>
      </c>
      <c r="D31" s="23">
        <v>0.06</v>
      </c>
    </row>
    <row r="32" spans="1:6">
      <c r="A32" s="392">
        <v>160</v>
      </c>
      <c r="B32" s="396">
        <f t="shared" ref="B32:B39" si="1">B31+D32</f>
        <v>2.27</v>
      </c>
      <c r="D32" s="23">
        <v>0.05</v>
      </c>
    </row>
    <row r="33" spans="1:4">
      <c r="A33" s="392">
        <v>165</v>
      </c>
      <c r="B33" s="396">
        <f t="shared" si="1"/>
        <v>2.31</v>
      </c>
      <c r="D33" s="23">
        <v>0.04</v>
      </c>
    </row>
    <row r="34" spans="1:4">
      <c r="A34" s="392">
        <v>170</v>
      </c>
      <c r="B34" s="396">
        <f t="shared" si="1"/>
        <v>2.34</v>
      </c>
      <c r="D34" s="23">
        <v>0.03</v>
      </c>
    </row>
    <row r="35" spans="1:4">
      <c r="A35" s="392">
        <v>175</v>
      </c>
      <c r="B35" s="396">
        <f t="shared" si="1"/>
        <v>2.36</v>
      </c>
      <c r="D35" s="23">
        <v>0.02</v>
      </c>
    </row>
    <row r="36" spans="1:4">
      <c r="A36" s="392">
        <v>180</v>
      </c>
      <c r="B36" s="394">
        <f>F24</f>
        <v>2.2200000000000002</v>
      </c>
      <c r="C36" s="394">
        <f>B40-B36</f>
        <v>5.9999999999999609E-2</v>
      </c>
      <c r="D36" s="394">
        <f>C36/4</f>
        <v>1.4999999999999902E-2</v>
      </c>
    </row>
    <row r="37" spans="1:4">
      <c r="A37" s="392">
        <v>195</v>
      </c>
      <c r="B37" s="396">
        <f t="shared" si="1"/>
        <v>2.29</v>
      </c>
      <c r="D37" s="23">
        <v>7.0000000000000007E-2</v>
      </c>
    </row>
    <row r="38" spans="1:4">
      <c r="A38" s="392">
        <v>210</v>
      </c>
      <c r="B38" s="396">
        <f t="shared" si="1"/>
        <v>2.35</v>
      </c>
      <c r="D38" s="23">
        <v>0.06</v>
      </c>
    </row>
    <row r="39" spans="1:4">
      <c r="A39" s="392">
        <v>225</v>
      </c>
      <c r="B39" s="396">
        <f t="shared" si="1"/>
        <v>2.4</v>
      </c>
      <c r="D39" s="23">
        <v>0.05</v>
      </c>
    </row>
    <row r="40" spans="1:4">
      <c r="A40" s="393">
        <v>240</v>
      </c>
      <c r="B40" s="394">
        <f>F25</f>
        <v>2.2799999999999998</v>
      </c>
      <c r="C40" s="394">
        <f>B46-B40</f>
        <v>0.38000000000000034</v>
      </c>
      <c r="D40" s="395">
        <f>C40/10</f>
        <v>3.8000000000000034E-2</v>
      </c>
    </row>
    <row r="41" spans="1:4">
      <c r="A41" s="392">
        <v>241</v>
      </c>
      <c r="B41" s="396">
        <f>B40+D41</f>
        <v>2.46</v>
      </c>
      <c r="D41" s="23">
        <v>0.18</v>
      </c>
    </row>
    <row r="42" spans="1:4">
      <c r="A42" s="392">
        <v>242</v>
      </c>
      <c r="B42" s="396">
        <f>B41+D42</f>
        <v>2.62</v>
      </c>
      <c r="D42" s="23">
        <v>0.16</v>
      </c>
    </row>
    <row r="43" spans="1:4">
      <c r="A43" s="392">
        <v>243</v>
      </c>
      <c r="B43" s="396">
        <f>B42+D43</f>
        <v>2.77</v>
      </c>
      <c r="D43" s="23">
        <v>0.15</v>
      </c>
    </row>
    <row r="44" spans="1:4">
      <c r="A44" s="392">
        <v>244</v>
      </c>
      <c r="B44" s="396">
        <f>B43+D44</f>
        <v>2.91</v>
      </c>
      <c r="D44" s="23">
        <v>0.14000000000000001</v>
      </c>
    </row>
    <row r="45" spans="1:4">
      <c r="A45" s="392">
        <v>245</v>
      </c>
      <c r="B45" s="396">
        <f>B44+D45</f>
        <v>3.04</v>
      </c>
      <c r="D45" s="23">
        <v>0.13</v>
      </c>
    </row>
    <row r="46" spans="1:4">
      <c r="A46" s="392">
        <v>250</v>
      </c>
      <c r="B46" s="394">
        <f>F26</f>
        <v>2.66</v>
      </c>
      <c r="C46" s="394">
        <f>B48-B46</f>
        <v>6.0000000000000053E-2</v>
      </c>
      <c r="D46" s="394">
        <f>C46/2</f>
        <v>3.0000000000000027E-2</v>
      </c>
    </row>
    <row r="47" spans="1:4">
      <c r="A47" s="392">
        <v>255</v>
      </c>
      <c r="B47" s="396">
        <f>B46+D47</f>
        <v>2.77</v>
      </c>
      <c r="D47" s="23">
        <v>0.11</v>
      </c>
    </row>
    <row r="48" spans="1:4">
      <c r="A48" s="392">
        <v>260</v>
      </c>
      <c r="B48" s="394">
        <f>F27</f>
        <v>2.72</v>
      </c>
      <c r="C48" s="394">
        <f>B50-B48</f>
        <v>6.999999999999984E-2</v>
      </c>
      <c r="D48" s="394">
        <f>C48/2</f>
        <v>3.499999999999992E-2</v>
      </c>
    </row>
    <row r="49" spans="1:6">
      <c r="A49" s="392">
        <v>265</v>
      </c>
      <c r="B49" s="396">
        <f>B48+D49</f>
        <v>2.83</v>
      </c>
      <c r="D49" s="23">
        <v>0.11</v>
      </c>
    </row>
    <row r="50" spans="1:6">
      <c r="A50" s="392">
        <v>270</v>
      </c>
      <c r="B50" s="394">
        <f>F28</f>
        <v>2.79</v>
      </c>
      <c r="C50" s="394">
        <f>B56-B50</f>
        <v>6.0000000000000053E-2</v>
      </c>
      <c r="D50" s="397">
        <f>C50/6</f>
        <v>1.0000000000000009E-2</v>
      </c>
    </row>
    <row r="51" spans="1:6">
      <c r="A51" s="392">
        <v>275</v>
      </c>
      <c r="B51" s="396">
        <f>B50+D51</f>
        <v>2.86</v>
      </c>
      <c r="D51" s="23">
        <v>7.0000000000000007E-2</v>
      </c>
    </row>
    <row r="52" spans="1:6">
      <c r="A52" s="392">
        <v>280</v>
      </c>
      <c r="B52" s="396">
        <f>B51+D52</f>
        <v>2.9099999999999997</v>
      </c>
      <c r="D52" s="23">
        <v>0.05</v>
      </c>
    </row>
    <row r="53" spans="1:6">
      <c r="A53" s="392">
        <v>285</v>
      </c>
      <c r="B53" s="396">
        <f>B52+D53</f>
        <v>2.9499999999999997</v>
      </c>
      <c r="D53" s="23">
        <v>0.04</v>
      </c>
    </row>
    <row r="54" spans="1:6">
      <c r="A54" s="392">
        <v>290</v>
      </c>
      <c r="B54" s="396">
        <f>B53+D54</f>
        <v>2.9799999999999995</v>
      </c>
      <c r="D54" s="23">
        <v>0.03</v>
      </c>
    </row>
    <row r="55" spans="1:6">
      <c r="A55" s="392">
        <v>295</v>
      </c>
      <c r="B55" s="396">
        <f>B54+D55</f>
        <v>2.9999999999999996</v>
      </c>
      <c r="D55" s="23">
        <v>0.02</v>
      </c>
    </row>
    <row r="56" spans="1:6">
      <c r="A56" s="392">
        <v>300</v>
      </c>
      <c r="B56" s="394">
        <f>F29</f>
        <v>2.85</v>
      </c>
      <c r="C56" s="394">
        <f>B60-B56</f>
        <v>6.999999999999984E-2</v>
      </c>
      <c r="D56" s="394">
        <f>C56/4</f>
        <v>1.749999999999996E-2</v>
      </c>
    </row>
    <row r="57" spans="1:6">
      <c r="A57" s="392">
        <v>315</v>
      </c>
      <c r="B57" s="396">
        <f>B56+D57</f>
        <v>2.93</v>
      </c>
      <c r="D57" s="23">
        <v>0.08</v>
      </c>
    </row>
    <row r="58" spans="1:6">
      <c r="A58" s="392">
        <v>330</v>
      </c>
      <c r="B58" s="396">
        <f>B57+D58</f>
        <v>2.99</v>
      </c>
      <c r="D58" s="23">
        <v>0.06</v>
      </c>
    </row>
    <row r="59" spans="1:6">
      <c r="A59" s="392">
        <v>345</v>
      </c>
      <c r="B59" s="396">
        <f>B58+D59</f>
        <v>3.04</v>
      </c>
      <c r="D59" s="23">
        <v>0.05</v>
      </c>
    </row>
    <row r="60" spans="1:6">
      <c r="A60" s="393">
        <v>360</v>
      </c>
      <c r="B60" s="394">
        <f>F30</f>
        <v>2.92</v>
      </c>
      <c r="C60" s="394">
        <f>B66-B60</f>
        <v>0.43000000000000016</v>
      </c>
      <c r="D60" s="395">
        <f>C60/10</f>
        <v>4.3000000000000017E-2</v>
      </c>
    </row>
    <row r="61" spans="1:6">
      <c r="A61" s="392">
        <v>361</v>
      </c>
      <c r="B61" s="396">
        <f>B60+D61</f>
        <v>3.11</v>
      </c>
      <c r="D61" s="23">
        <v>0.19</v>
      </c>
    </row>
    <row r="62" spans="1:6">
      <c r="A62" s="392">
        <v>362</v>
      </c>
      <c r="B62" s="396">
        <f>B61+D62</f>
        <v>3.28</v>
      </c>
      <c r="D62" s="23">
        <v>0.17</v>
      </c>
    </row>
    <row r="63" spans="1:6">
      <c r="A63" s="392">
        <v>363</v>
      </c>
      <c r="B63" s="396">
        <f>B62+D63</f>
        <v>3.44</v>
      </c>
      <c r="D63" s="23">
        <v>0.16</v>
      </c>
      <c r="E63" s="23">
        <v>370</v>
      </c>
      <c r="F63" s="23">
        <f>StepTest!G42</f>
        <v>3.35</v>
      </c>
    </row>
    <row r="64" spans="1:6">
      <c r="A64" s="392">
        <v>364</v>
      </c>
      <c r="B64" s="396">
        <f>B63+D64</f>
        <v>3.59</v>
      </c>
      <c r="D64" s="23">
        <v>0.15</v>
      </c>
      <c r="E64" s="23">
        <v>380</v>
      </c>
      <c r="F64" s="23">
        <f>StepTest!G43</f>
        <v>3.42</v>
      </c>
    </row>
    <row r="65" spans="1:6">
      <c r="A65" s="392">
        <v>365</v>
      </c>
      <c r="B65" s="396">
        <f>B64+D65</f>
        <v>3.73</v>
      </c>
      <c r="D65" s="23">
        <v>0.14000000000000001</v>
      </c>
      <c r="E65" s="23">
        <v>390</v>
      </c>
      <c r="F65" s="23">
        <f>StepTest!G44</f>
        <v>3.49</v>
      </c>
    </row>
    <row r="66" spans="1:6">
      <c r="A66" s="392">
        <v>370</v>
      </c>
      <c r="B66" s="394">
        <f>F63</f>
        <v>3.35</v>
      </c>
      <c r="C66" s="398">
        <f>B68-B66</f>
        <v>6.999999999999984E-2</v>
      </c>
      <c r="D66" s="394">
        <f>C66/2</f>
        <v>3.499999999999992E-2</v>
      </c>
      <c r="E66" s="23">
        <v>420</v>
      </c>
      <c r="F66" s="23">
        <f>StepTest!G45</f>
        <v>3.56</v>
      </c>
    </row>
    <row r="67" spans="1:6">
      <c r="A67" s="392">
        <v>375</v>
      </c>
      <c r="B67" s="396">
        <f>B66+D67</f>
        <v>3.47</v>
      </c>
      <c r="D67" s="23">
        <v>0.12</v>
      </c>
      <c r="E67" s="23">
        <v>480</v>
      </c>
      <c r="F67" s="23">
        <f>StepTest!G46</f>
        <v>3.64</v>
      </c>
    </row>
    <row r="68" spans="1:6">
      <c r="A68" s="392">
        <v>380</v>
      </c>
      <c r="B68" s="399">
        <f>F64</f>
        <v>3.42</v>
      </c>
      <c r="C68" s="394">
        <f>B70-B68</f>
        <v>7.0000000000000284E-2</v>
      </c>
      <c r="D68" s="394">
        <f>C68/2</f>
        <v>3.5000000000000142E-2</v>
      </c>
      <c r="E68" s="23">
        <v>490</v>
      </c>
      <c r="F68" s="23">
        <f>StepTest!G47</f>
        <v>4.07</v>
      </c>
    </row>
    <row r="69" spans="1:6">
      <c r="A69" s="392">
        <v>385</v>
      </c>
      <c r="B69" s="396">
        <f>B68+D69</f>
        <v>3.54</v>
      </c>
      <c r="D69" s="23">
        <v>0.12</v>
      </c>
      <c r="E69" s="23">
        <v>500</v>
      </c>
      <c r="F69" s="23">
        <f>StepTest!G48</f>
        <v>4.2300000000000004</v>
      </c>
    </row>
    <row r="70" spans="1:6">
      <c r="A70" s="392">
        <v>390</v>
      </c>
      <c r="B70" s="399">
        <f>F65</f>
        <v>3.49</v>
      </c>
      <c r="C70" s="394">
        <f>B76-B70</f>
        <v>6.999999999999984E-2</v>
      </c>
      <c r="D70" s="397">
        <f>C70/6</f>
        <v>1.1666666666666639E-2</v>
      </c>
      <c r="E70" s="23">
        <v>510</v>
      </c>
      <c r="F70" s="23">
        <f>StepTest!G49</f>
        <v>4.4000000000000004</v>
      </c>
    </row>
    <row r="71" spans="1:6">
      <c r="A71" s="392">
        <v>395</v>
      </c>
      <c r="B71" s="396">
        <f>B70+D71</f>
        <v>3.56</v>
      </c>
      <c r="D71" s="23">
        <v>7.0000000000000007E-2</v>
      </c>
      <c r="E71" s="23">
        <v>540</v>
      </c>
      <c r="F71" s="23">
        <f>StepTest!G50</f>
        <v>4.5599999999999996</v>
      </c>
    </row>
    <row r="72" spans="1:6">
      <c r="A72" s="392">
        <v>400</v>
      </c>
      <c r="B72" s="396">
        <f>B71+D72</f>
        <v>3.61</v>
      </c>
      <c r="D72" s="23">
        <v>0.05</v>
      </c>
      <c r="E72" s="23">
        <v>600</v>
      </c>
      <c r="F72" s="23">
        <f>StepTest!G51</f>
        <v>4.7300000000000004</v>
      </c>
    </row>
    <row r="73" spans="1:6">
      <c r="A73" s="392">
        <v>405</v>
      </c>
      <c r="B73" s="396">
        <f>B72+D73</f>
        <v>3.65</v>
      </c>
      <c r="D73" s="23">
        <v>0.04</v>
      </c>
    </row>
    <row r="74" spans="1:6">
      <c r="A74" s="392">
        <v>410</v>
      </c>
      <c r="B74" s="396">
        <f>B73+D74</f>
        <v>3.6799999999999997</v>
      </c>
      <c r="D74" s="23">
        <v>0.03</v>
      </c>
    </row>
    <row r="75" spans="1:6">
      <c r="A75" s="392">
        <v>415</v>
      </c>
      <c r="B75" s="396">
        <f>B74+D75</f>
        <v>3.7099999999999995</v>
      </c>
      <c r="D75" s="23">
        <v>0.03</v>
      </c>
    </row>
    <row r="76" spans="1:6">
      <c r="A76" s="392">
        <v>420</v>
      </c>
      <c r="B76" s="399">
        <f>F66</f>
        <v>3.56</v>
      </c>
      <c r="C76" s="394">
        <f>B80-B76</f>
        <v>8.0000000000000071E-2</v>
      </c>
      <c r="D76" s="394">
        <f>C76/4</f>
        <v>2.0000000000000018E-2</v>
      </c>
    </row>
    <row r="77" spans="1:6">
      <c r="A77" s="392">
        <v>435</v>
      </c>
      <c r="B77" s="396">
        <f>B76+D77</f>
        <v>3.65</v>
      </c>
      <c r="D77" s="23">
        <v>0.09</v>
      </c>
    </row>
    <row r="78" spans="1:6">
      <c r="A78" s="392">
        <v>450</v>
      </c>
      <c r="B78" s="396">
        <f>B77+D78</f>
        <v>3.7199999999999998</v>
      </c>
      <c r="D78" s="23">
        <v>7.0000000000000007E-2</v>
      </c>
    </row>
    <row r="79" spans="1:6">
      <c r="A79" s="392">
        <v>465</v>
      </c>
      <c r="B79" s="396">
        <f>B78+D79</f>
        <v>3.7699999999999996</v>
      </c>
      <c r="D79" s="23">
        <v>0.05</v>
      </c>
    </row>
    <row r="80" spans="1:6">
      <c r="A80" s="393">
        <v>480</v>
      </c>
      <c r="B80" s="399">
        <f>F67</f>
        <v>3.64</v>
      </c>
      <c r="C80" s="394">
        <f>B86-B80</f>
        <v>0.43000000000000016</v>
      </c>
      <c r="D80" s="395">
        <f>C80/10</f>
        <v>4.3000000000000017E-2</v>
      </c>
    </row>
    <row r="81" spans="1:4">
      <c r="A81" s="392">
        <v>481</v>
      </c>
      <c r="B81" s="396">
        <f>B80+D81</f>
        <v>3.85</v>
      </c>
      <c r="D81" s="23">
        <v>0.21</v>
      </c>
    </row>
    <row r="82" spans="1:4">
      <c r="A82" s="392">
        <v>482</v>
      </c>
      <c r="B82" s="396">
        <f>B81+D82</f>
        <v>4.04</v>
      </c>
      <c r="D82" s="23">
        <v>0.19</v>
      </c>
    </row>
    <row r="83" spans="1:4">
      <c r="A83" s="392">
        <v>483</v>
      </c>
      <c r="B83" s="396">
        <f>B82+D83</f>
        <v>4.21</v>
      </c>
      <c r="D83" s="23">
        <v>0.17</v>
      </c>
    </row>
    <row r="84" spans="1:4">
      <c r="A84" s="392">
        <v>484</v>
      </c>
      <c r="B84" s="396">
        <f>B83+D84</f>
        <v>4.37</v>
      </c>
      <c r="D84" s="23">
        <v>0.16</v>
      </c>
    </row>
    <row r="85" spans="1:4">
      <c r="A85" s="392">
        <v>485</v>
      </c>
      <c r="B85" s="396">
        <f>B84+D85</f>
        <v>4.51</v>
      </c>
      <c r="D85" s="23">
        <v>0.14000000000000001</v>
      </c>
    </row>
    <row r="86" spans="1:4">
      <c r="A86" s="392">
        <v>490</v>
      </c>
      <c r="B86" s="399">
        <f>F68</f>
        <v>4.07</v>
      </c>
      <c r="C86" s="394">
        <f>B88-B86</f>
        <v>0.16000000000000014</v>
      </c>
      <c r="D86" s="394">
        <f>C86/2</f>
        <v>8.0000000000000071E-2</v>
      </c>
    </row>
    <row r="87" spans="1:4">
      <c r="A87" s="392">
        <v>495</v>
      </c>
      <c r="B87" s="396">
        <f>B86+D87</f>
        <v>4.38</v>
      </c>
      <c r="D87" s="23">
        <v>0.31</v>
      </c>
    </row>
    <row r="88" spans="1:4">
      <c r="A88" s="392">
        <v>500</v>
      </c>
      <c r="B88" s="399">
        <f>F69</f>
        <v>4.2300000000000004</v>
      </c>
      <c r="C88" s="394">
        <f>B90-B88</f>
        <v>0.16999999999999993</v>
      </c>
      <c r="D88" s="394">
        <f>C88/2</f>
        <v>8.4999999999999964E-2</v>
      </c>
    </row>
    <row r="89" spans="1:4">
      <c r="A89" s="392">
        <v>505</v>
      </c>
      <c r="B89" s="396">
        <f>B88+D89</f>
        <v>4.53</v>
      </c>
      <c r="D89" s="23">
        <v>0.3</v>
      </c>
    </row>
    <row r="90" spans="1:4">
      <c r="A90" s="392">
        <v>510</v>
      </c>
      <c r="B90" s="399">
        <f>F70</f>
        <v>4.4000000000000004</v>
      </c>
      <c r="C90" s="394">
        <f>B96-B90</f>
        <v>0.15999999999999925</v>
      </c>
      <c r="D90" s="397">
        <f>C90/6</f>
        <v>2.6666666666666543E-2</v>
      </c>
    </row>
    <row r="91" spans="1:4">
      <c r="A91" s="392">
        <v>515</v>
      </c>
      <c r="B91" s="396">
        <f>B90+D91</f>
        <v>4.5500000000000007</v>
      </c>
      <c r="D91" s="23">
        <v>0.15</v>
      </c>
    </row>
    <row r="92" spans="1:4">
      <c r="A92" s="392">
        <v>520</v>
      </c>
      <c r="B92" s="396">
        <f>B91+D92</f>
        <v>4.6800000000000006</v>
      </c>
      <c r="D92" s="23">
        <v>0.13</v>
      </c>
    </row>
    <row r="93" spans="1:4">
      <c r="A93" s="392">
        <v>525</v>
      </c>
      <c r="B93" s="396">
        <f>B92+D93</f>
        <v>4.7900000000000009</v>
      </c>
      <c r="D93" s="23">
        <v>0.11</v>
      </c>
    </row>
    <row r="94" spans="1:4">
      <c r="A94" s="392">
        <v>530</v>
      </c>
      <c r="B94" s="396">
        <f>B93+D94</f>
        <v>4.870000000000001</v>
      </c>
      <c r="D94" s="23">
        <v>0.08</v>
      </c>
    </row>
    <row r="95" spans="1:4">
      <c r="A95" s="392">
        <v>535</v>
      </c>
      <c r="B95" s="396">
        <f>B94+D95</f>
        <v>4.9400000000000013</v>
      </c>
      <c r="D95" s="23">
        <v>7.0000000000000007E-2</v>
      </c>
    </row>
    <row r="96" spans="1:4">
      <c r="A96" s="392">
        <v>540</v>
      </c>
      <c r="B96" s="399">
        <f>F71</f>
        <v>4.5599999999999996</v>
      </c>
      <c r="C96" s="394">
        <f>B100-B96</f>
        <v>0.17000000000000082</v>
      </c>
      <c r="D96" s="394">
        <f>C96/4</f>
        <v>4.2500000000000204E-2</v>
      </c>
    </row>
    <row r="97" spans="1:4">
      <c r="A97" s="392">
        <v>555</v>
      </c>
      <c r="B97" s="396">
        <f>B96+D97</f>
        <v>4.75</v>
      </c>
      <c r="D97" s="23">
        <v>0.19</v>
      </c>
    </row>
    <row r="98" spans="1:4">
      <c r="A98" s="392">
        <v>570</v>
      </c>
      <c r="B98" s="396">
        <f>B97+D98</f>
        <v>4.91</v>
      </c>
      <c r="D98" s="23">
        <v>0.16</v>
      </c>
    </row>
    <row r="99" spans="1:4">
      <c r="A99" s="392">
        <v>585</v>
      </c>
      <c r="B99" s="396">
        <f>B98+D99</f>
        <v>5.05</v>
      </c>
      <c r="D99" s="23">
        <v>0.14000000000000001</v>
      </c>
    </row>
    <row r="100" spans="1:4">
      <c r="A100" s="393">
        <v>600</v>
      </c>
      <c r="B100" s="270">
        <f>F72</f>
        <v>4.7300000000000004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opLeftCell="A19" zoomScaleNormal="100" workbookViewId="0">
      <selection activeCell="J48" sqref="J48:K48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37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37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375" style="3" bestFit="1" customWidth="1"/>
    <col min="22" max="16384" width="9" style="3"/>
  </cols>
  <sheetData>
    <row r="1" spans="1:19">
      <c r="E1" s="2">
        <f>SUM(E3:E6)</f>
        <v>35.287500000000001</v>
      </c>
      <c r="F1" s="2"/>
      <c r="G1" s="2">
        <f>E1/E2</f>
        <v>0.88218750000000001</v>
      </c>
    </row>
    <row r="2" spans="1:19">
      <c r="A2" s="4" t="s">
        <v>0</v>
      </c>
      <c r="B2" s="4" t="s">
        <v>1</v>
      </c>
      <c r="D2" s="5">
        <f>D19</f>
        <v>67</v>
      </c>
      <c r="E2" s="2">
        <f>M51/3</f>
        <v>40</v>
      </c>
      <c r="F2" s="6" t="s">
        <v>2</v>
      </c>
      <c r="G2" s="7" t="s">
        <v>3</v>
      </c>
    </row>
    <row r="3" spans="1:19">
      <c r="A3" s="8">
        <f>B3+$M$48</f>
        <v>8.51</v>
      </c>
      <c r="B3" s="9">
        <f>B20</f>
        <v>1.71</v>
      </c>
      <c r="C3" s="10"/>
      <c r="D3" s="11">
        <f t="shared" ref="D3:D7" si="0">D20</f>
        <v>75</v>
      </c>
      <c r="E3" s="1">
        <f>D3/12</f>
        <v>6.25</v>
      </c>
      <c r="F3" s="12">
        <f>INT(B3/D3*1000)/1000</f>
        <v>2.1999999999999999E-2</v>
      </c>
      <c r="G3" s="12">
        <f>1/F3</f>
        <v>45.45454545454546</v>
      </c>
    </row>
    <row r="4" spans="1:19">
      <c r="A4" s="8">
        <f>B4+$M$48</f>
        <v>9.08</v>
      </c>
      <c r="B4" s="10">
        <f>B21</f>
        <v>2.2799999999999998</v>
      </c>
      <c r="C4" s="10"/>
      <c r="D4" s="5">
        <f t="shared" si="0"/>
        <v>95</v>
      </c>
      <c r="E4" s="1">
        <f>D4/12</f>
        <v>7.916666666666667</v>
      </c>
      <c r="F4" s="12">
        <f>INT(B4/D4*1000)/1000</f>
        <v>2.4E-2</v>
      </c>
      <c r="G4" s="12">
        <f t="shared" ref="G4:G7" si="1">1/F4</f>
        <v>41.666666666666664</v>
      </c>
    </row>
    <row r="5" spans="1:19">
      <c r="A5" s="8">
        <f>B5+$M$48</f>
        <v>9.7199999999999989</v>
      </c>
      <c r="B5" s="10">
        <f>B22</f>
        <v>2.92</v>
      </c>
      <c r="C5" s="10"/>
      <c r="D5" s="5">
        <f t="shared" si="0"/>
        <v>116.45</v>
      </c>
      <c r="E5" s="1">
        <f>D5/12</f>
        <v>9.7041666666666675</v>
      </c>
      <c r="F5" s="12">
        <f>INT(B5/D5*1000)/1000</f>
        <v>2.5000000000000001E-2</v>
      </c>
      <c r="G5" s="12">
        <f t="shared" si="1"/>
        <v>40</v>
      </c>
    </row>
    <row r="6" spans="1:19">
      <c r="A6" s="8">
        <f>B6+$M$48</f>
        <v>10.44</v>
      </c>
      <c r="B6" s="9">
        <f>B23</f>
        <v>3.64</v>
      </c>
      <c r="C6" s="10"/>
      <c r="D6" s="5">
        <f>D23</f>
        <v>137</v>
      </c>
      <c r="E6" s="1">
        <f>D6/12</f>
        <v>11.416666666666666</v>
      </c>
      <c r="F6" s="12">
        <f>INT(B6/D6*1000)/1000</f>
        <v>2.5999999999999999E-2</v>
      </c>
      <c r="G6" s="12">
        <f t="shared" si="1"/>
        <v>38.46153846153846</v>
      </c>
    </row>
    <row r="7" spans="1:19">
      <c r="A7" s="8">
        <f>B7+$M$48</f>
        <v>11.530000000000001</v>
      </c>
      <c r="B7" s="10">
        <f>B24</f>
        <v>4.7300000000000004</v>
      </c>
      <c r="C7" s="10"/>
      <c r="D7" s="5">
        <f t="shared" si="0"/>
        <v>157.54999999999998</v>
      </c>
      <c r="E7" s="1">
        <f>D7/12</f>
        <v>13.129166666666665</v>
      </c>
      <c r="F7" s="12">
        <f>INT(B7/D7*1000)/1000</f>
        <v>0.03</v>
      </c>
      <c r="G7" s="12">
        <f t="shared" si="1"/>
        <v>33.333333333333336</v>
      </c>
    </row>
    <row r="8" spans="1:19">
      <c r="B8" s="1" t="s">
        <v>4</v>
      </c>
      <c r="E8" s="460" t="s">
        <v>5</v>
      </c>
      <c r="F8" s="460"/>
      <c r="G8" s="460"/>
    </row>
    <row r="9" spans="1:19">
      <c r="A9" s="13" t="s">
        <v>6</v>
      </c>
      <c r="B9" s="13" t="s">
        <v>2</v>
      </c>
      <c r="E9" s="14">
        <v>0.98</v>
      </c>
      <c r="F9" s="459" t="s">
        <v>7</v>
      </c>
      <c r="G9" s="459"/>
    </row>
    <row r="10" spans="1:19">
      <c r="A10" s="15">
        <f>D20/B20</f>
        <v>43.859649122807021</v>
      </c>
      <c r="B10" s="15">
        <f>B20/D20</f>
        <v>2.2800000000000001E-2</v>
      </c>
      <c r="E10" s="14">
        <v>0.98</v>
      </c>
      <c r="F10" s="459" t="s">
        <v>8</v>
      </c>
      <c r="G10" s="459"/>
    </row>
    <row r="11" spans="1:19">
      <c r="A11" s="15">
        <f t="shared" ref="A11:A14" si="2">D21/B21</f>
        <v>41.666666666666671</v>
      </c>
      <c r="B11" s="15">
        <f t="shared" ref="B11:B14" si="3">B21/D21</f>
        <v>2.3999999999999997E-2</v>
      </c>
      <c r="D11" s="1" t="s">
        <v>4</v>
      </c>
      <c r="E11" s="14">
        <v>0.98</v>
      </c>
      <c r="F11" s="459" t="s">
        <v>9</v>
      </c>
      <c r="G11" s="459"/>
    </row>
    <row r="12" spans="1:19">
      <c r="A12" s="15">
        <f t="shared" si="2"/>
        <v>39.880136986301373</v>
      </c>
      <c r="B12" s="15">
        <f t="shared" si="3"/>
        <v>2.5075139544869042E-2</v>
      </c>
      <c r="E12" s="14">
        <v>1</v>
      </c>
      <c r="F12" s="459" t="s">
        <v>10</v>
      </c>
      <c r="G12" s="459"/>
    </row>
    <row r="13" spans="1:19">
      <c r="A13" s="15">
        <f t="shared" si="2"/>
        <v>37.637362637362635</v>
      </c>
      <c r="B13" s="15">
        <f t="shared" si="3"/>
        <v>2.6569343065693432E-2</v>
      </c>
      <c r="D13" s="1" t="s">
        <v>4</v>
      </c>
      <c r="E13" s="460" t="s">
        <v>11</v>
      </c>
      <c r="F13" s="460"/>
      <c r="G13" s="460"/>
    </row>
    <row r="14" spans="1:19">
      <c r="A14" s="15">
        <f t="shared" si="2"/>
        <v>33.308668076109932</v>
      </c>
      <c r="B14" s="15">
        <f t="shared" si="3"/>
        <v>3.0022215169787377E-2</v>
      </c>
      <c r="E14" s="16">
        <v>1</v>
      </c>
      <c r="F14" s="459" t="s">
        <v>7</v>
      </c>
      <c r="G14" s="459"/>
    </row>
    <row r="15" spans="1:19">
      <c r="E15" s="16">
        <v>1</v>
      </c>
      <c r="F15" s="459" t="s">
        <v>8</v>
      </c>
      <c r="G15" s="459"/>
    </row>
    <row r="16" spans="1:19">
      <c r="B16" s="17" t="s">
        <v>12</v>
      </c>
      <c r="D16" s="18" t="s">
        <v>13</v>
      </c>
      <c r="E16" s="16">
        <v>1</v>
      </c>
      <c r="F16" s="459" t="s">
        <v>9</v>
      </c>
      <c r="G16" s="459"/>
      <c r="R16" s="3">
        <v>0.128</v>
      </c>
      <c r="S16" s="3">
        <f>ROUNDDOWN(R16,1)</f>
        <v>0.1</v>
      </c>
    </row>
    <row r="17" spans="1:21">
      <c r="B17" s="19">
        <f>M52</f>
        <v>3.64</v>
      </c>
      <c r="D17" s="20">
        <f>M47</f>
        <v>137</v>
      </c>
      <c r="E17" s="16">
        <v>1</v>
      </c>
      <c r="F17" s="459" t="s">
        <v>10</v>
      </c>
      <c r="G17" s="459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67</v>
      </c>
      <c r="F19" s="10"/>
      <c r="G19" s="10"/>
    </row>
    <row r="20" spans="1:21">
      <c r="A20" s="27" t="s">
        <v>14</v>
      </c>
      <c r="B20" s="28">
        <f>INT(B$17*C20*100)/100</f>
        <v>1.71</v>
      </c>
      <c r="C20" s="1">
        <f>0.48*E9</f>
        <v>0.47039999999999998</v>
      </c>
      <c r="D20" s="29">
        <f>INT(D$17*E20)</f>
        <v>75</v>
      </c>
      <c r="E20" s="30">
        <f>0.55*E14</f>
        <v>0.55000000000000004</v>
      </c>
      <c r="F20" s="12">
        <f>B20/D20</f>
        <v>2.2800000000000001E-2</v>
      </c>
      <c r="G20" s="1">
        <f>F20-F19</f>
        <v>2.2800000000000001E-2</v>
      </c>
    </row>
    <row r="21" spans="1:21">
      <c r="A21" s="10">
        <f>B21-B20</f>
        <v>0.56999999999999984</v>
      </c>
      <c r="B21" s="28">
        <f>INT(B$17*C21*100)/100</f>
        <v>2.2799999999999998</v>
      </c>
      <c r="C21" s="1">
        <f>0.64*E10</f>
        <v>0.62719999999999998</v>
      </c>
      <c r="D21" s="29">
        <f>INT(D$17*E21)</f>
        <v>95</v>
      </c>
      <c r="E21" s="30">
        <f>0.7*E15</f>
        <v>0.7</v>
      </c>
      <c r="F21" s="12">
        <f>B21/D21</f>
        <v>2.3999999999999997E-2</v>
      </c>
      <c r="G21" s="1">
        <f>F21-F20</f>
        <v>1.1999999999999962E-3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0.64000000000000012</v>
      </c>
      <c r="B22" s="28">
        <f>INT(B$17*C22*100)/100</f>
        <v>2.92</v>
      </c>
      <c r="C22" s="1">
        <f>0.82*E11</f>
        <v>0.80359999999999998</v>
      </c>
      <c r="D22" s="33">
        <f>(D$17*E22)</f>
        <v>116.45</v>
      </c>
      <c r="E22" s="30">
        <f>0.85*E16</f>
        <v>0.85</v>
      </c>
      <c r="F22" s="12">
        <f>B22/D22</f>
        <v>2.5075139544869042E-2</v>
      </c>
      <c r="G22" s="1">
        <f>F22-F21</f>
        <v>1.075139544869045E-3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0.7200000000000002</v>
      </c>
      <c r="B23" s="28">
        <f>INT(B$17*C23*100)/100</f>
        <v>3.64</v>
      </c>
      <c r="C23" s="1">
        <v>1</v>
      </c>
      <c r="D23" s="29">
        <f>D$17*E23</f>
        <v>137</v>
      </c>
      <c r="E23" s="30">
        <v>1</v>
      </c>
      <c r="F23" s="12">
        <f>B23/D23</f>
        <v>2.6569343065693432E-2</v>
      </c>
      <c r="G23" s="1">
        <f>F23-F22</f>
        <v>1.4942035208243901E-3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1.0900000000000003</v>
      </c>
      <c r="B24" s="28">
        <f>INT(B$17*C24*100)/100</f>
        <v>4.7300000000000004</v>
      </c>
      <c r="C24" s="1">
        <f>1.3*E12</f>
        <v>1.3</v>
      </c>
      <c r="D24" s="29">
        <f>D$17*E24</f>
        <v>157.54999999999998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3.0022215169787377E-2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120</v>
      </c>
      <c r="F26" s="41">
        <f>M50/M51</f>
        <v>3.4166666666666672E-2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124.10752425577586</v>
      </c>
      <c r="D27" s="10">
        <f>(C27/D6)*100</f>
        <v>90.58943376334004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5.9700000000000001E-5</v>
      </c>
      <c r="B31" s="45">
        <v>1.8294100000000001E-2</v>
      </c>
      <c r="D31" s="5">
        <f t="shared" ref="D31:D36" si="4">D19</f>
        <v>67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5.9700000000000001E-5</v>
      </c>
      <c r="B32" s="1">
        <f t="shared" si="5"/>
        <v>1.8294100000000001E-2</v>
      </c>
      <c r="D32" s="5">
        <f t="shared" si="4"/>
        <v>75</v>
      </c>
      <c r="F32" s="44">
        <f>B32*D32/(B32*D32+A32*D32*D32)*100</f>
        <v>80.337350032496616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5.9700000000000001E-5</v>
      </c>
      <c r="B33" s="1">
        <f t="shared" si="5"/>
        <v>1.8294100000000001E-2</v>
      </c>
      <c r="D33" s="5">
        <f t="shared" si="4"/>
        <v>95</v>
      </c>
      <c r="F33" s="44">
        <f>B33*D33/(B33*D33+A33*D33*D33)*100</f>
        <v>76.334829922889469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5.9700000000000001E-5</v>
      </c>
      <c r="B34" s="1">
        <f t="shared" si="5"/>
        <v>1.8294100000000001E-2</v>
      </c>
      <c r="D34" s="5">
        <f t="shared" si="4"/>
        <v>116.45</v>
      </c>
      <c r="F34" s="44">
        <f>B34*D34/(B34*D34+A34*D34*D34)*100</f>
        <v>72.4628869374814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5.9700000000000001E-5</v>
      </c>
      <c r="B35" s="1">
        <f>B34</f>
        <v>1.8294100000000001E-2</v>
      </c>
      <c r="D35" s="5">
        <f t="shared" si="4"/>
        <v>137</v>
      </c>
      <c r="F35" s="44">
        <f>B35*D35/(B35*D35+A35*D35*D35)*100</f>
        <v>69.104748234049779</v>
      </c>
      <c r="G35" s="44"/>
    </row>
    <row r="36" spans="1:21">
      <c r="D36" s="5">
        <f t="shared" si="4"/>
        <v>157.54999999999998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74.55995378172932</v>
      </c>
      <c r="P37" s="3">
        <v>5.9700000000000001E-5</v>
      </c>
      <c r="Q37" s="3">
        <v>0.18099999999999999</v>
      </c>
    </row>
    <row r="38" spans="1:21">
      <c r="A38" s="54">
        <v>72.007000000000005</v>
      </c>
      <c r="B38" s="4">
        <v>0.18099999999999999</v>
      </c>
      <c r="C38" s="4">
        <v>93.727000000000004</v>
      </c>
      <c r="E38" s="1" t="s">
        <v>30</v>
      </c>
      <c r="P38" s="3">
        <v>1.8294100000000001E-2</v>
      </c>
      <c r="Q38" s="3">
        <v>93.727000000000004</v>
      </c>
    </row>
    <row r="39" spans="1:21">
      <c r="A39" s="55"/>
      <c r="B39" s="56" t="s">
        <v>31</v>
      </c>
      <c r="C39" s="10">
        <f>(C38-A38)/B38</f>
        <v>120</v>
      </c>
      <c r="D39" s="1">
        <f>C38-B38*M51</f>
        <v>72.007000000000005</v>
      </c>
    </row>
    <row r="40" spans="1:21">
      <c r="A40" s="55" t="s">
        <v>32</v>
      </c>
      <c r="B40" s="56" t="s">
        <v>31</v>
      </c>
      <c r="C40" s="1">
        <f>INT(C39)</f>
        <v>120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1.204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239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140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1.8294100000000001E-2</v>
      </c>
      <c r="B46" s="43" t="s">
        <v>44</v>
      </c>
      <c r="C46" s="450" t="s">
        <v>45</v>
      </c>
      <c r="D46" s="450"/>
      <c r="H46" s="63" t="s">
        <v>46</v>
      </c>
      <c r="I46" s="402" t="s">
        <v>240</v>
      </c>
      <c r="J46" s="69"/>
      <c r="K46" s="402"/>
      <c r="L46" s="64" t="s">
        <v>47</v>
      </c>
      <c r="M46" s="71">
        <f>IF(I52&gt;M48, M45-I52,M45-M48)</f>
        <v>128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137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51" t="s">
        <v>247</v>
      </c>
      <c r="K48" s="451"/>
      <c r="L48" s="75" t="s">
        <v>53</v>
      </c>
      <c r="M48" s="76">
        <v>6.8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1.2050000000000001</v>
      </c>
      <c r="C49" s="43" t="s">
        <v>55</v>
      </c>
      <c r="D49" s="77" t="s">
        <v>30</v>
      </c>
      <c r="H49" s="452" t="s">
        <v>56</v>
      </c>
      <c r="I49" s="455" t="str">
        <f>I45</f>
        <v xml:space="preserve">산수개발(주) </v>
      </c>
      <c r="J49" s="455"/>
      <c r="K49" s="455"/>
      <c r="L49" s="64" t="s">
        <v>57</v>
      </c>
      <c r="M49" s="76">
        <v>10.9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4.1000000000000005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120</v>
      </c>
      <c r="N51" s="72"/>
    </row>
    <row r="52" spans="1:21" ht="16.5">
      <c r="A52" s="81" t="s">
        <v>63</v>
      </c>
      <c r="B52" s="1">
        <f>INT(10^((INT(5.46*A44*A46*1000))/1000)*1000)/1000</f>
        <v>10375.284</v>
      </c>
      <c r="C52" s="1">
        <f>INT(B52*B51*1000)/1000</f>
        <v>5.1870000000000003</v>
      </c>
      <c r="H52" s="82" t="s">
        <v>64</v>
      </c>
      <c r="I52" s="74">
        <v>12</v>
      </c>
      <c r="J52" s="82" t="s">
        <v>65</v>
      </c>
      <c r="K52" s="83">
        <v>0</v>
      </c>
      <c r="L52" s="84" t="s">
        <v>66</v>
      </c>
      <c r="M52" s="71">
        <f>INT(M50*0.89*100)/100</f>
        <v>3.64</v>
      </c>
      <c r="N52" s="85"/>
    </row>
    <row r="53" spans="1:21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1.4530000000000001</v>
      </c>
      <c r="H54" s="87" t="s">
        <v>69</v>
      </c>
      <c r="I54" s="88" t="s">
        <v>248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4.1000000000000005</v>
      </c>
      <c r="J57" s="91" t="s">
        <v>75</v>
      </c>
      <c r="K57" s="89" t="s">
        <v>76</v>
      </c>
      <c r="L57" s="436" t="s">
        <v>77</v>
      </c>
      <c r="M57" s="436"/>
    </row>
    <row r="58" spans="1:21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0.35484375000000001</v>
      </c>
      <c r="J58" s="94" t="s">
        <v>80</v>
      </c>
      <c r="K58" s="95">
        <f>INT((6*I57*I58*I60/I59)^0.5)</f>
        <v>5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6</v>
      </c>
      <c r="L59" s="95"/>
      <c r="M59" s="95"/>
    </row>
    <row r="60" spans="1:21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9.7803041705294245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241</v>
      </c>
      <c r="R64" s="431" t="s">
        <v>242</v>
      </c>
      <c r="S64" s="431" t="s">
        <v>243</v>
      </c>
      <c r="T64" s="431" t="s">
        <v>244</v>
      </c>
      <c r="U64" s="431" t="s">
        <v>245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37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- 4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2.6572570388731762</v>
      </c>
      <c r="C4" s="119">
        <f>LongTest!B10</f>
        <v>120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1.8294100000000001E-2</v>
      </c>
      <c r="I4" s="123">
        <f>Input!M48</f>
        <v>6.8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31.861499999999999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4.4330068914444052</v>
      </c>
      <c r="D6" s="132"/>
      <c r="E6" s="131">
        <f>1.15*LOG((2.25*D5*(1/1440))/(F4*E4^2))</f>
        <v>4.597833675624404</v>
      </c>
      <c r="F6" s="133" t="s">
        <v>133</v>
      </c>
      <c r="G6" s="134">
        <f>C6-E6</f>
        <v>-0.16482678417999885</v>
      </c>
      <c r="H6" s="406"/>
      <c r="I6" s="420">
        <f>Input!M49</f>
        <v>10.9</v>
      </c>
      <c r="J6" s="425">
        <f>MAX(C13,C18,C23)</f>
        <v>297.8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7.6605179997754657E-4</v>
      </c>
      <c r="G7" s="141" t="s">
        <v>136</v>
      </c>
      <c r="H7" s="406">
        <f>F4*EXP(4*G4*D4*H4)</f>
        <v>7.6590249141838965E-4</v>
      </c>
      <c r="I7" s="421" t="s">
        <v>137</v>
      </c>
      <c r="J7" s="426">
        <f>ROUND((C13+C18+C23)/3,1)</f>
        <v>163.80000000000001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0.11799999999999999</v>
      </c>
      <c r="D8" s="407"/>
      <c r="E8" s="407"/>
      <c r="F8" s="143"/>
      <c r="G8" s="407"/>
      <c r="H8" s="408"/>
      <c r="I8" s="144">
        <f>Input!M45</f>
        <v>140</v>
      </c>
      <c r="J8" s="422" t="s">
        <v>139</v>
      </c>
      <c r="K8" s="427">
        <f>ROUND(SQRT(C7/F7),4)</f>
        <v>21.308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21.310099999999998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8.1260404475662167</v>
      </c>
      <c r="D10" s="147" t="s">
        <v>143</v>
      </c>
      <c r="E10" s="148">
        <v>6.3030000000000003E-2</v>
      </c>
      <c r="H10" s="410" t="s">
        <v>234</v>
      </c>
      <c r="I10" s="150">
        <f>Input!I52</f>
        <v>12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2.7739595524337837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87</v>
      </c>
      <c r="D13" s="152"/>
      <c r="E13" s="153" t="s">
        <v>147</v>
      </c>
      <c r="F13" s="154">
        <f>D5</f>
        <v>31.861499999999999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4.1000000000000005</v>
      </c>
      <c r="C16" s="164">
        <f>I8-IF(I4&gt;I10,I4,I10)</f>
        <v>128</v>
      </c>
      <c r="D16" s="165">
        <f>(F13+H13)/2</f>
        <v>17.65775</v>
      </c>
      <c r="E16" s="166">
        <f>INT(D16/C16*100000)/100000</f>
        <v>0.13794999999999999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106.6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4.1000000000000005</v>
      </c>
      <c r="C21" s="183">
        <f t="shared" si="0"/>
        <v>128</v>
      </c>
      <c r="D21" s="184">
        <f t="shared" si="0"/>
        <v>17.65775</v>
      </c>
      <c r="E21" s="169">
        <f t="shared" si="0"/>
        <v>0.13794999999999999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297.8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4.1000000000000005</v>
      </c>
      <c r="C26" s="167">
        <f t="shared" si="1"/>
        <v>128</v>
      </c>
      <c r="D26" s="192">
        <f t="shared" si="1"/>
        <v>17.65775</v>
      </c>
      <c r="E26" s="166">
        <f t="shared" si="1"/>
        <v>0.13794999999999999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17.65775</v>
      </c>
      <c r="D27" s="196">
        <f>(C27/C16)*(100/86400)</f>
        <v>1.596657081886574E-4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1.5966570818865743E-4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163.79999999999998</v>
      </c>
      <c r="D29" s="110"/>
      <c r="E29" s="198">
        <f>(C13+C18)/2</f>
        <v>96.8</v>
      </c>
      <c r="F29" s="199">
        <f>MAX(C13,C18)</f>
        <v>106.6</v>
      </c>
      <c r="G29" s="149">
        <f>ROUND(C4/(G4*F29^2*I16),3)</f>
        <v>10.593999999999999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6.5"/>
  <cols>
    <col min="1" max="1" width="20.75" style="201" bestFit="1" customWidth="1"/>
    <col min="2" max="2" width="8.37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75</v>
      </c>
    </row>
    <row r="3" spans="1:2" ht="20.100000000000001" customHeight="1">
      <c r="A3" s="204" t="s">
        <v>165</v>
      </c>
      <c r="B3" s="205">
        <f>StepTest!G31</f>
        <v>1.71</v>
      </c>
    </row>
    <row r="4" spans="1:2" ht="20.100000000000001" customHeight="1">
      <c r="A4" s="204" t="s">
        <v>166</v>
      </c>
      <c r="B4" s="206">
        <f>StepTest!G46</f>
        <v>3.64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124.10752425577586</v>
      </c>
    </row>
    <row r="8" spans="1:2" ht="20.100000000000001" customHeight="1">
      <c r="A8" s="204" t="s">
        <v>169</v>
      </c>
      <c r="B8" s="206">
        <f>INT(B7)</f>
        <v>124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0.9051094890510949</v>
      </c>
    </row>
    <row r="12" spans="1:2" ht="17.25" thickBot="1"/>
    <row r="13" spans="1:2" ht="24.95" customHeight="1">
      <c r="A13" s="209" t="s">
        <v>170</v>
      </c>
      <c r="B13" s="210">
        <f>Input!$D$6</f>
        <v>137</v>
      </c>
    </row>
    <row r="14" spans="1:2" ht="24.95" customHeight="1">
      <c r="A14" s="211" t="s">
        <v>62</v>
      </c>
      <c r="B14" s="212">
        <f>B8</f>
        <v>124</v>
      </c>
    </row>
    <row r="15" spans="1:2" ht="24.95" customHeight="1" thickBot="1">
      <c r="A15" s="213" t="s">
        <v>171</v>
      </c>
      <c r="B15" s="214">
        <f>Input!$M$51</f>
        <v>120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216" customWidth="1"/>
    <col min="2" max="2" width="17" style="216" customWidth="1"/>
    <col min="3" max="3" width="12.375" style="216" customWidth="1"/>
    <col min="4" max="4" width="8.75" style="216" customWidth="1"/>
    <col min="5" max="5" width="5.75" style="216" customWidth="1"/>
    <col min="6" max="6" width="13.625" style="216" customWidth="1"/>
    <col min="7" max="7" width="7.875" style="216" customWidth="1"/>
    <col min="8" max="8" width="8.125" style="216" customWidth="1"/>
    <col min="9" max="9" width="10.3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375" style="216" bestFit="1" customWidth="1"/>
    <col min="21" max="21" width="7.375" style="219" bestFit="1" customWidth="1"/>
    <col min="22" max="23" width="8.75" style="216" customWidth="1"/>
    <col min="24" max="24" width="9.125" style="216" customWidth="1"/>
    <col min="25" max="25" width="7.375" style="216" customWidth="1"/>
    <col min="26" max="26" width="9" style="23" bestFit="1" customWidth="1"/>
    <col min="27" max="27" width="6.375" style="23" bestFit="1" customWidth="1"/>
    <col min="28" max="28" width="7.25" style="23" customWidth="1"/>
    <col min="29" max="29" width="6.625" style="23" customWidth="1"/>
    <col min="30" max="30" width="6.75" style="23" bestFit="1" customWidth="1"/>
    <col min="31" max="31" width="7.125" style="23" customWidth="1"/>
    <col min="32" max="32" width="6.875" style="23" customWidth="1"/>
    <col min="33" max="33" width="6.25" style="23" customWidth="1"/>
    <col min="34" max="34" width="5.37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/>
      <c r="R4" s="236">
        <f>B12</f>
        <v>75</v>
      </c>
      <c r="S4" s="221">
        <f>$R$4</f>
        <v>75</v>
      </c>
      <c r="T4" s="237">
        <v>40.223504477813343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1.398982244849007</v>
      </c>
      <c r="Z4" s="241">
        <f>Z22</f>
        <v>0.39854641715319561</v>
      </c>
      <c r="AA4" s="240">
        <f>$Z$4</f>
        <v>0.39854641715319561</v>
      </c>
      <c r="AB4" s="240">
        <f>X4</f>
        <v>1</v>
      </c>
      <c r="AC4" s="240">
        <f>Y4-AA4</f>
        <v>1.0004358276958114</v>
      </c>
      <c r="AD4" s="242">
        <f>INT((AC4-AE4)*100)/100</f>
        <v>1</v>
      </c>
      <c r="AE4" s="243">
        <f>Q4</f>
        <v>0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- 4</v>
      </c>
      <c r="I5" s="247"/>
      <c r="P5" s="221">
        <v>2</v>
      </c>
      <c r="Q5" s="235"/>
      <c r="S5" s="221">
        <f t="shared" ref="S5:S23" si="3">$R$4</f>
        <v>75</v>
      </c>
      <c r="T5" s="221">
        <f>$T4</f>
        <v>40.223504477813343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1.5017150393651584</v>
      </c>
      <c r="AA5" s="240">
        <f t="shared" ref="AA5:AA23" si="5">$Z$4</f>
        <v>0.39854641715319561</v>
      </c>
      <c r="AB5" s="240">
        <f t="shared" ref="AB5:AB43" si="6">X5</f>
        <v>2</v>
      </c>
      <c r="AC5" s="240">
        <f t="shared" ref="AC5:AC43" si="7">Y5-AA5</f>
        <v>1.1031686222119628</v>
      </c>
      <c r="AD5" s="242">
        <f t="shared" ref="AD5:AD16" si="8">INT((AC5-AE5)*100)/100</f>
        <v>1.1000000000000001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75</v>
      </c>
      <c r="T6" s="221">
        <f t="shared" ref="T6:T51" si="10">$T5</f>
        <v>40.223504477813343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1.5618098717513991</v>
      </c>
      <c r="AA6" s="240">
        <f t="shared" si="5"/>
        <v>0.39854641715319561</v>
      </c>
      <c r="AB6" s="240">
        <f t="shared" si="6"/>
        <v>3</v>
      </c>
      <c r="AC6" s="240">
        <f t="shared" si="7"/>
        <v>1.1632634545982035</v>
      </c>
      <c r="AD6" s="242">
        <f t="shared" si="8"/>
        <v>1.1599999999999999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75</v>
      </c>
      <c r="T7" s="221">
        <f t="shared" si="10"/>
        <v>40.223504477813343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1.6044478338813097</v>
      </c>
      <c r="AA7" s="240">
        <f t="shared" si="5"/>
        <v>0.39854641715319561</v>
      </c>
      <c r="AB7" s="240">
        <f t="shared" si="6"/>
        <v>4</v>
      </c>
      <c r="AC7" s="240">
        <f t="shared" si="7"/>
        <v>1.2059014167281141</v>
      </c>
      <c r="AD7" s="242">
        <f t="shared" si="8"/>
        <v>1.2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75</v>
      </c>
      <c r="T8" s="221">
        <f t="shared" si="10"/>
        <v>40.223504477813343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1.6375204067023492</v>
      </c>
      <c r="AA8" s="240">
        <f t="shared" si="5"/>
        <v>0.39854641715319561</v>
      </c>
      <c r="AB8" s="240">
        <f t="shared" si="6"/>
        <v>5</v>
      </c>
      <c r="AC8" s="240">
        <f t="shared" si="7"/>
        <v>1.2389739895491536</v>
      </c>
      <c r="AD8" s="242">
        <f t="shared" si="8"/>
        <v>1.23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140</v>
      </c>
      <c r="H9" s="468"/>
      <c r="I9" s="261"/>
      <c r="P9" s="221">
        <v>10</v>
      </c>
      <c r="Q9" s="235"/>
      <c r="S9" s="221">
        <f t="shared" si="3"/>
        <v>75</v>
      </c>
      <c r="T9" s="221">
        <f t="shared" si="10"/>
        <v>40.223504477813343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1.7402532012185006</v>
      </c>
      <c r="AA9" s="240">
        <f t="shared" si="5"/>
        <v>0.39854641715319561</v>
      </c>
      <c r="AB9" s="240">
        <f t="shared" si="6"/>
        <v>10</v>
      </c>
      <c r="AC9" s="240">
        <f t="shared" si="7"/>
        <v>1.341706784065305</v>
      </c>
      <c r="AD9" s="242">
        <f t="shared" si="8"/>
        <v>1.34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6.8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75</v>
      </c>
      <c r="T10" s="221">
        <f t="shared" si="10"/>
        <v>40.223504477813343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1.8003480336047413</v>
      </c>
      <c r="AA10" s="240">
        <f t="shared" si="5"/>
        <v>0.39854641715319561</v>
      </c>
      <c r="AB10" s="240">
        <f t="shared" si="6"/>
        <v>15</v>
      </c>
      <c r="AC10" s="240">
        <f t="shared" si="7"/>
        <v>1.4018016164515457</v>
      </c>
      <c r="AD10" s="242">
        <f t="shared" si="8"/>
        <v>1.4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0.89999999999999991</v>
      </c>
      <c r="P11" s="221">
        <v>20</v>
      </c>
      <c r="Q11" s="235"/>
      <c r="S11" s="221">
        <f t="shared" si="3"/>
        <v>75</v>
      </c>
      <c r="T11" s="221">
        <f t="shared" si="10"/>
        <v>40.223504477813343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1.8429859957346522</v>
      </c>
      <c r="AA11" s="240">
        <f t="shared" si="5"/>
        <v>0.39854641715319561</v>
      </c>
      <c r="AB11" s="240">
        <f t="shared" si="6"/>
        <v>20</v>
      </c>
      <c r="AC11" s="240">
        <f t="shared" si="7"/>
        <v>1.4444395785814566</v>
      </c>
      <c r="AD11" s="242">
        <f t="shared" si="8"/>
        <v>1.44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75</v>
      </c>
      <c r="C12" s="267">
        <v>44725.048611111117</v>
      </c>
      <c r="D12" s="461">
        <v>1</v>
      </c>
      <c r="E12" s="461"/>
      <c r="F12" s="268">
        <f>G12+$D$10</f>
        <v>7.8</v>
      </c>
      <c r="G12" s="462">
        <f>AD4</f>
        <v>1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75</v>
      </c>
      <c r="T12" s="221">
        <f t="shared" si="10"/>
        <v>40.223504477813343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1.8760585685556916</v>
      </c>
      <c r="AA12" s="240">
        <f t="shared" si="5"/>
        <v>0.39854641715319561</v>
      </c>
      <c r="AB12" s="240">
        <f t="shared" si="6"/>
        <v>25</v>
      </c>
      <c r="AC12" s="240">
        <f t="shared" si="7"/>
        <v>1.477512151402496</v>
      </c>
      <c r="AD12" s="242">
        <f t="shared" si="8"/>
        <v>1.47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7.9</v>
      </c>
      <c r="G13" s="462">
        <f t="shared" ref="G13:G51" si="14">AD5</f>
        <v>1.1000000000000001</v>
      </c>
      <c r="H13" s="462"/>
      <c r="I13" s="270"/>
      <c r="J13" s="269">
        <f>G13-G12</f>
        <v>0.10000000000000009</v>
      </c>
      <c r="P13" s="221">
        <v>30</v>
      </c>
      <c r="Q13" s="235"/>
      <c r="S13" s="221">
        <f t="shared" si="3"/>
        <v>75</v>
      </c>
      <c r="T13" s="221">
        <f t="shared" si="10"/>
        <v>40.223504477813343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1.9030808281208929</v>
      </c>
      <c r="AA13" s="240">
        <f t="shared" si="5"/>
        <v>0.39854641715319561</v>
      </c>
      <c r="AB13" s="240">
        <f t="shared" si="6"/>
        <v>30</v>
      </c>
      <c r="AC13" s="240">
        <f t="shared" si="7"/>
        <v>1.5045344109676972</v>
      </c>
      <c r="AD13" s="242">
        <f t="shared" si="8"/>
        <v>1.5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7.96</v>
      </c>
      <c r="G14" s="462">
        <f t="shared" si="14"/>
        <v>1.1599999999999999</v>
      </c>
      <c r="H14" s="462"/>
      <c r="I14" s="270"/>
      <c r="J14" s="269">
        <f t="shared" ref="J14:J51" si="15">G14-G13</f>
        <v>5.9999999999999831E-2</v>
      </c>
      <c r="Q14" s="235"/>
      <c r="S14" s="221">
        <f t="shared" si="3"/>
        <v>75</v>
      </c>
      <c r="T14" s="221">
        <f t="shared" si="10"/>
        <v>40.223504477813343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1.9259278230439993</v>
      </c>
      <c r="AA14" s="240">
        <f t="shared" si="5"/>
        <v>0.39854641715319561</v>
      </c>
      <c r="AB14" s="240">
        <f t="shared" si="6"/>
        <v>35</v>
      </c>
      <c r="AC14" s="240">
        <f t="shared" si="7"/>
        <v>1.5273814058908037</v>
      </c>
      <c r="AD14" s="242">
        <f t="shared" si="8"/>
        <v>1.52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8</v>
      </c>
      <c r="G15" s="462">
        <f t="shared" si="14"/>
        <v>1.2</v>
      </c>
      <c r="H15" s="462"/>
      <c r="I15" s="270"/>
      <c r="J15" s="269">
        <f t="shared" si="15"/>
        <v>4.0000000000000036E-2</v>
      </c>
      <c r="Q15" s="235"/>
      <c r="S15" s="221">
        <f t="shared" si="3"/>
        <v>75</v>
      </c>
      <c r="T15" s="221">
        <f t="shared" si="10"/>
        <v>40.223504477813343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1.9457187902508035</v>
      </c>
      <c r="AA15" s="240">
        <f t="shared" si="5"/>
        <v>0.39854641715319561</v>
      </c>
      <c r="AB15" s="240">
        <f t="shared" si="6"/>
        <v>40</v>
      </c>
      <c r="AC15" s="240">
        <f t="shared" si="7"/>
        <v>1.5471723730976079</v>
      </c>
      <c r="AD15" s="242">
        <f t="shared" si="8"/>
        <v>1.54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8.0299999999999994</v>
      </c>
      <c r="G16" s="462">
        <f t="shared" si="14"/>
        <v>1.23</v>
      </c>
      <c r="H16" s="462"/>
      <c r="I16" s="270"/>
      <c r="J16" s="269">
        <f t="shared" si="15"/>
        <v>3.0000000000000027E-2</v>
      </c>
      <c r="L16" s="229" t="s">
        <v>197</v>
      </c>
      <c r="M16" s="229" t="s">
        <v>198</v>
      </c>
      <c r="S16" s="221">
        <f t="shared" si="3"/>
        <v>75</v>
      </c>
      <c r="T16" s="221">
        <f t="shared" si="10"/>
        <v>40.223504477813343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1.9631756605071333</v>
      </c>
      <c r="AA16" s="240">
        <f t="shared" si="5"/>
        <v>0.39854641715319561</v>
      </c>
      <c r="AB16" s="240">
        <f t="shared" si="6"/>
        <v>45</v>
      </c>
      <c r="AC16" s="240">
        <f t="shared" si="7"/>
        <v>1.5646292433539377</v>
      </c>
      <c r="AD16" s="242">
        <f t="shared" si="8"/>
        <v>1.56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8.14</v>
      </c>
      <c r="G17" s="462">
        <f t="shared" si="14"/>
        <v>1.34</v>
      </c>
      <c r="H17" s="462"/>
      <c r="I17" s="270"/>
      <c r="J17" s="269">
        <f t="shared" si="15"/>
        <v>0.1100000000000001</v>
      </c>
      <c r="K17" s="228">
        <f>D12</f>
        <v>1</v>
      </c>
      <c r="L17" s="221">
        <f>INT(B12/1440*10000)/10000</f>
        <v>5.1999999999999998E-2</v>
      </c>
      <c r="M17" s="221">
        <f>K17*L17</f>
        <v>5.1999999999999998E-2</v>
      </c>
      <c r="N17" s="221">
        <f>INT((8*2.54/2/100)^2*3.14159*100000)/100000</f>
        <v>3.2419999999999997E-2</v>
      </c>
      <c r="O17" s="221">
        <f>INT(M17/N17*100)/100</f>
        <v>1.6</v>
      </c>
      <c r="P17" s="241">
        <f>INT((G12-O17)*100)/100</f>
        <v>-0.6</v>
      </c>
      <c r="S17" s="221">
        <f t="shared" si="3"/>
        <v>75</v>
      </c>
      <c r="T17" s="221">
        <f t="shared" si="10"/>
        <v>40.223504477813343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1.978791363071843</v>
      </c>
      <c r="AA17" s="240">
        <f t="shared" si="5"/>
        <v>0.39854641715319561</v>
      </c>
      <c r="AB17" s="240">
        <f t="shared" si="6"/>
        <v>50</v>
      </c>
      <c r="AC17" s="240">
        <f t="shared" si="7"/>
        <v>1.5802449459186474</v>
      </c>
      <c r="AD17" s="242">
        <f t="shared" ref="AD17:AD22" si="16">INT(AC17*100)/100</f>
        <v>1.58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8.1999999999999993</v>
      </c>
      <c r="G18" s="462">
        <f t="shared" si="14"/>
        <v>1.4</v>
      </c>
      <c r="H18" s="462"/>
      <c r="I18" s="270"/>
      <c r="J18" s="269">
        <f t="shared" si="15"/>
        <v>5.9999999999999831E-2</v>
      </c>
      <c r="K18" s="228">
        <f>D13</f>
        <v>2</v>
      </c>
      <c r="L18" s="221">
        <f>L17</f>
        <v>5.1999999999999998E-2</v>
      </c>
      <c r="M18" s="221">
        <f t="shared" ref="M18:M32" si="17">K18*L18</f>
        <v>0.104</v>
      </c>
      <c r="N18" s="221">
        <f>N17</f>
        <v>3.2419999999999997E-2</v>
      </c>
      <c r="O18" s="221">
        <f>INT(M18/N18*100)/100</f>
        <v>3.2</v>
      </c>
      <c r="P18" s="241">
        <f>INT((G13-O18)*100*0.98)/100</f>
        <v>-2.06</v>
      </c>
      <c r="S18" s="221">
        <f t="shared" si="3"/>
        <v>75</v>
      </c>
      <c r="T18" s="221">
        <f t="shared" si="10"/>
        <v>40.223504477813343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1.9929174843224919</v>
      </c>
      <c r="AA18" s="240">
        <f t="shared" si="5"/>
        <v>0.39854641715319561</v>
      </c>
      <c r="AB18" s="240">
        <f t="shared" si="6"/>
        <v>55</v>
      </c>
      <c r="AC18" s="240">
        <f t="shared" si="7"/>
        <v>1.5943710671692963</v>
      </c>
      <c r="AD18" s="242">
        <f t="shared" si="16"/>
        <v>1.59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8.24</v>
      </c>
      <c r="G19" s="462">
        <f t="shared" si="14"/>
        <v>1.44</v>
      </c>
      <c r="H19" s="462"/>
      <c r="I19" s="270"/>
      <c r="J19" s="269">
        <f t="shared" si="15"/>
        <v>4.0000000000000036E-2</v>
      </c>
      <c r="K19" s="228">
        <f t="shared" ref="K19:K32" si="18">D14</f>
        <v>3</v>
      </c>
      <c r="L19" s="221">
        <f>L18</f>
        <v>5.1999999999999998E-2</v>
      </c>
      <c r="M19" s="221">
        <f t="shared" si="17"/>
        <v>0.156</v>
      </c>
      <c r="N19" s="221">
        <f t="shared" ref="N19:N32" si="19">N18</f>
        <v>3.2419999999999997E-2</v>
      </c>
      <c r="O19" s="221">
        <f>INT(M19/N19*100)/100</f>
        <v>4.8099999999999996</v>
      </c>
      <c r="P19" s="241">
        <f>INT((G14-O19)*100*0.95)/100</f>
        <v>-3.47</v>
      </c>
      <c r="S19" s="221">
        <f t="shared" si="3"/>
        <v>75</v>
      </c>
      <c r="T19" s="221">
        <f t="shared" si="10"/>
        <v>40.223504477813343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2.005813622637044</v>
      </c>
      <c r="AA19" s="240">
        <f t="shared" si="5"/>
        <v>0.39854641715319561</v>
      </c>
      <c r="AB19" s="240">
        <f t="shared" si="6"/>
        <v>60</v>
      </c>
      <c r="AC19" s="240">
        <f t="shared" si="7"/>
        <v>1.6072672054838484</v>
      </c>
      <c r="AD19" s="242">
        <f t="shared" si="16"/>
        <v>1.6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8.27</v>
      </c>
      <c r="G20" s="462">
        <f t="shared" si="14"/>
        <v>1.47</v>
      </c>
      <c r="H20" s="462"/>
      <c r="I20" s="270"/>
      <c r="J20" s="269">
        <f t="shared" si="15"/>
        <v>3.0000000000000027E-2</v>
      </c>
      <c r="K20" s="228">
        <f t="shared" si="18"/>
        <v>4</v>
      </c>
      <c r="L20" s="221">
        <f>L19</f>
        <v>5.1999999999999998E-2</v>
      </c>
      <c r="M20" s="221">
        <f t="shared" si="17"/>
        <v>0.20799999999999999</v>
      </c>
      <c r="N20" s="221">
        <f t="shared" si="19"/>
        <v>3.2419999999999997E-2</v>
      </c>
      <c r="O20" s="221">
        <f>INT(M20/N20*100)/100</f>
        <v>6.41</v>
      </c>
      <c r="P20" s="241">
        <f>INT((G15-O20)*100*0.91)/100</f>
        <v>-4.75</v>
      </c>
      <c r="S20" s="221">
        <f t="shared" si="3"/>
        <v>75</v>
      </c>
      <c r="T20" s="221">
        <f t="shared" si="10"/>
        <v>40.223504477813343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2.0388861954580837</v>
      </c>
      <c r="AA20" s="240">
        <f t="shared" si="5"/>
        <v>0.39854641715319561</v>
      </c>
      <c r="AB20" s="240">
        <f t="shared" si="6"/>
        <v>75</v>
      </c>
      <c r="AC20" s="240">
        <f t="shared" si="7"/>
        <v>1.6403397783048881</v>
      </c>
      <c r="AD20" s="242">
        <f t="shared" si="16"/>
        <v>1.64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8.3000000000000007</v>
      </c>
      <c r="G21" s="462">
        <f t="shared" si="14"/>
        <v>1.5</v>
      </c>
      <c r="H21" s="462"/>
      <c r="I21" s="270"/>
      <c r="J21" s="269">
        <f t="shared" si="15"/>
        <v>3.0000000000000027E-2</v>
      </c>
      <c r="K21" s="228">
        <f t="shared" si="18"/>
        <v>5</v>
      </c>
      <c r="L21" s="228">
        <f>L20</f>
        <v>5.1999999999999998E-2</v>
      </c>
      <c r="M21" s="221">
        <f t="shared" si="17"/>
        <v>0.26</v>
      </c>
      <c r="N21" s="221">
        <f t="shared" si="19"/>
        <v>3.2419999999999997E-2</v>
      </c>
      <c r="O21" s="228">
        <f>INT(M21/N21*100)/100</f>
        <v>8.01</v>
      </c>
      <c r="P21" s="241">
        <f>INT((G16-O21)*100*0.86)/100</f>
        <v>-5.84</v>
      </c>
      <c r="S21" s="221">
        <f t="shared" si="3"/>
        <v>75</v>
      </c>
      <c r="T21" s="221">
        <f t="shared" si="10"/>
        <v>40.223504477813343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2.0659084550232847</v>
      </c>
      <c r="AA21" s="240">
        <f t="shared" si="5"/>
        <v>0.39854641715319561</v>
      </c>
      <c r="AB21" s="240">
        <f t="shared" si="6"/>
        <v>90</v>
      </c>
      <c r="AC21" s="240">
        <f t="shared" si="7"/>
        <v>1.6673620378700891</v>
      </c>
      <c r="AD21" s="242">
        <f t="shared" si="16"/>
        <v>1.66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8.32</v>
      </c>
      <c r="G22" s="462">
        <f t="shared" si="14"/>
        <v>1.52</v>
      </c>
      <c r="H22" s="462"/>
      <c r="I22" s="261"/>
      <c r="J22" s="269">
        <f t="shared" si="15"/>
        <v>2.0000000000000018E-2</v>
      </c>
      <c r="K22" s="228">
        <f t="shared" si="18"/>
        <v>10</v>
      </c>
      <c r="L22" s="228">
        <f t="shared" ref="L22:L32" si="20">L21</f>
        <v>5.1999999999999998E-2</v>
      </c>
      <c r="M22" s="221">
        <f t="shared" si="17"/>
        <v>0.52</v>
      </c>
      <c r="N22" s="221">
        <f t="shared" si="19"/>
        <v>3.2419999999999997E-2</v>
      </c>
      <c r="O22" s="228">
        <f t="shared" ref="O22:O30" si="21">INT(M22/N22*100)/100</f>
        <v>16.03</v>
      </c>
      <c r="P22" s="241">
        <f>INT((G17-O22)*100*0.8)/100</f>
        <v>-11.76</v>
      </c>
      <c r="S22" s="221">
        <f t="shared" si="3"/>
        <v>75</v>
      </c>
      <c r="T22" s="221">
        <f t="shared" si="10"/>
        <v>40.223504477813343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2.0887554499463916</v>
      </c>
      <c r="Z22" s="240">
        <f>Y23-Z23</f>
        <v>0.39854641715319561</v>
      </c>
      <c r="AA22" s="240">
        <f t="shared" si="5"/>
        <v>0.39854641715319561</v>
      </c>
      <c r="AB22" s="240">
        <f t="shared" si="6"/>
        <v>105</v>
      </c>
      <c r="AC22" s="240">
        <f t="shared" si="7"/>
        <v>1.690209032793196</v>
      </c>
      <c r="AD22" s="242">
        <f t="shared" si="16"/>
        <v>1.69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8.34</v>
      </c>
      <c r="G23" s="462">
        <f t="shared" si="14"/>
        <v>1.54</v>
      </c>
      <c r="H23" s="462"/>
      <c r="I23" s="261"/>
      <c r="J23" s="269">
        <f t="shared" si="15"/>
        <v>2.0000000000000018E-2</v>
      </c>
      <c r="K23" s="228">
        <f t="shared" si="18"/>
        <v>15</v>
      </c>
      <c r="L23" s="228">
        <f t="shared" si="20"/>
        <v>5.1999999999999998E-2</v>
      </c>
      <c r="M23" s="221">
        <f t="shared" si="17"/>
        <v>0.77999999999999992</v>
      </c>
      <c r="N23" s="221">
        <f t="shared" si="19"/>
        <v>3.2419999999999997E-2</v>
      </c>
      <c r="O23" s="228">
        <f t="shared" si="21"/>
        <v>24.05</v>
      </c>
      <c r="P23" s="241">
        <f t="shared" ref="P23:P32" si="22">INT((G18-O23)*100)/100</f>
        <v>-22.65</v>
      </c>
      <c r="S23" s="221">
        <f t="shared" si="3"/>
        <v>75</v>
      </c>
      <c r="T23" s="221">
        <f t="shared" si="10"/>
        <v>40.223504477813343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2.1085464171531956</v>
      </c>
      <c r="Z23" s="240">
        <f>Input!B20</f>
        <v>1.71</v>
      </c>
      <c r="AA23" s="240">
        <f t="shared" si="5"/>
        <v>0.39854641715319561</v>
      </c>
      <c r="AB23" s="240">
        <f t="shared" si="6"/>
        <v>120</v>
      </c>
      <c r="AC23" s="240">
        <f t="shared" si="7"/>
        <v>1.71</v>
      </c>
      <c r="AD23" s="242">
        <f>INT((AC$3+AE23)*100)/100</f>
        <v>1.71</v>
      </c>
      <c r="AE23" s="240">
        <f>AG$23*AF23</f>
        <v>1.71</v>
      </c>
      <c r="AF23" s="240">
        <v>1</v>
      </c>
      <c r="AG23" s="240">
        <f>AC23-AC3</f>
        <v>1.71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8.36</v>
      </c>
      <c r="G24" s="462">
        <f t="shared" si="14"/>
        <v>1.56</v>
      </c>
      <c r="H24" s="462"/>
      <c r="I24" s="261"/>
      <c r="J24" s="269">
        <f t="shared" si="15"/>
        <v>2.0000000000000018E-2</v>
      </c>
      <c r="K24" s="228">
        <f t="shared" si="18"/>
        <v>20</v>
      </c>
      <c r="L24" s="228">
        <f t="shared" si="20"/>
        <v>5.1999999999999998E-2</v>
      </c>
      <c r="M24" s="221">
        <f t="shared" si="17"/>
        <v>1.04</v>
      </c>
      <c r="N24" s="221">
        <f t="shared" si="19"/>
        <v>3.2419999999999997E-2</v>
      </c>
      <c r="O24" s="228">
        <f t="shared" si="21"/>
        <v>32.07</v>
      </c>
      <c r="P24" s="241">
        <f t="shared" si="22"/>
        <v>-30.63</v>
      </c>
      <c r="R24" s="236">
        <f>B32</f>
        <v>95</v>
      </c>
      <c r="S24" s="221">
        <f>$R$24</f>
        <v>95</v>
      </c>
      <c r="T24" s="221">
        <f t="shared" si="10"/>
        <v>40.223504477813343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2.685852304908813</v>
      </c>
      <c r="Z24" s="240">
        <f>Z27</f>
        <v>0.52095366811450639</v>
      </c>
      <c r="AA24" s="240">
        <f>$Z$24</f>
        <v>0.52095366811450639</v>
      </c>
      <c r="AB24" s="240">
        <f t="shared" si="6"/>
        <v>130</v>
      </c>
      <c r="AC24" s="240">
        <f t="shared" si="7"/>
        <v>2.1648986367943066</v>
      </c>
      <c r="AD24" s="242">
        <f>INT((AC$23+AE24)*100)/100</f>
        <v>2.0499999999999998</v>
      </c>
      <c r="AE24" s="240">
        <f>AF24*AG$28</f>
        <v>0.34199999999999992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8.379999999999999</v>
      </c>
      <c r="G25" s="462">
        <f t="shared" si="14"/>
        <v>1.58</v>
      </c>
      <c r="H25" s="462"/>
      <c r="I25" s="261"/>
      <c r="J25" s="269">
        <f t="shared" si="15"/>
        <v>2.0000000000000018E-2</v>
      </c>
      <c r="K25" s="228">
        <f t="shared" si="18"/>
        <v>25</v>
      </c>
      <c r="L25" s="228">
        <f t="shared" si="20"/>
        <v>5.1999999999999998E-2</v>
      </c>
      <c r="M25" s="221">
        <f t="shared" si="17"/>
        <v>1.3</v>
      </c>
      <c r="N25" s="221">
        <f t="shared" si="19"/>
        <v>3.2419999999999997E-2</v>
      </c>
      <c r="O25" s="228">
        <f t="shared" si="21"/>
        <v>40.090000000000003</v>
      </c>
      <c r="P25" s="241">
        <f t="shared" si="22"/>
        <v>-38.619999999999997</v>
      </c>
      <c r="S25" s="221">
        <f>$R$24</f>
        <v>95</v>
      </c>
      <c r="T25" s="221">
        <f t="shared" si="10"/>
        <v>40.223504477813343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2.6997649886299824</v>
      </c>
      <c r="AA25" s="240">
        <f>$Z$24</f>
        <v>0.52095366811450639</v>
      </c>
      <c r="AB25" s="240">
        <f t="shared" si="6"/>
        <v>140</v>
      </c>
      <c r="AC25" s="240">
        <f t="shared" si="7"/>
        <v>2.178811320515476</v>
      </c>
      <c r="AD25" s="242">
        <f>INT((AC$23+AE25)*100)/100</f>
        <v>2.1</v>
      </c>
      <c r="AE25" s="240">
        <f>AF25*AG$28</f>
        <v>0.39899999999999985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8.39</v>
      </c>
      <c r="G26" s="462">
        <f t="shared" si="14"/>
        <v>1.59</v>
      </c>
      <c r="H26" s="462"/>
      <c r="I26" s="261"/>
      <c r="J26" s="269">
        <f t="shared" si="15"/>
        <v>1.0000000000000009E-2</v>
      </c>
      <c r="K26" s="228">
        <f t="shared" si="18"/>
        <v>30</v>
      </c>
      <c r="L26" s="228">
        <f t="shared" si="20"/>
        <v>5.1999999999999998E-2</v>
      </c>
      <c r="M26" s="221">
        <f t="shared" si="17"/>
        <v>1.5599999999999998</v>
      </c>
      <c r="N26" s="221">
        <f t="shared" si="19"/>
        <v>3.2419999999999997E-2</v>
      </c>
      <c r="O26" s="221">
        <f t="shared" si="21"/>
        <v>48.11</v>
      </c>
      <c r="P26" s="241">
        <f t="shared" si="22"/>
        <v>-46.61</v>
      </c>
      <c r="S26" s="221">
        <f>$R$24</f>
        <v>95</v>
      </c>
      <c r="T26" s="221">
        <f t="shared" si="10"/>
        <v>40.223504477813343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2.7127173873006973</v>
      </c>
      <c r="AA26" s="240">
        <f>$Z$24</f>
        <v>0.52095366811450639</v>
      </c>
      <c r="AB26" s="240">
        <f t="shared" si="6"/>
        <v>150</v>
      </c>
      <c r="AC26" s="240">
        <f t="shared" si="7"/>
        <v>2.191763719186191</v>
      </c>
      <c r="AD26" s="242">
        <f>INT((AC$23+AE26)*100)/100</f>
        <v>2.16</v>
      </c>
      <c r="AE26" s="240">
        <f>AF26*AG$28</f>
        <v>0.45599999999999991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8.4</v>
      </c>
      <c r="G27" s="462">
        <f t="shared" si="14"/>
        <v>1.6</v>
      </c>
      <c r="H27" s="462"/>
      <c r="I27" s="261"/>
      <c r="J27" s="269">
        <f t="shared" si="15"/>
        <v>1.0000000000000009E-2</v>
      </c>
      <c r="K27" s="228">
        <f t="shared" si="18"/>
        <v>35</v>
      </c>
      <c r="L27" s="228">
        <f t="shared" si="20"/>
        <v>5.1999999999999998E-2</v>
      </c>
      <c r="M27" s="221">
        <f t="shared" si="17"/>
        <v>1.8199999999999998</v>
      </c>
      <c r="N27" s="221">
        <f t="shared" si="19"/>
        <v>3.2419999999999997E-2</v>
      </c>
      <c r="O27" s="221">
        <f t="shared" si="21"/>
        <v>56.13</v>
      </c>
      <c r="P27" s="241">
        <f t="shared" si="22"/>
        <v>-54.61</v>
      </c>
      <c r="S27" s="221">
        <f>$R$24</f>
        <v>95</v>
      </c>
      <c r="T27" s="221">
        <f t="shared" si="10"/>
        <v>40.223504477813343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2.7469455827499525</v>
      </c>
      <c r="Z27" s="240">
        <f>Y28-Z28</f>
        <v>0.52095366811450639</v>
      </c>
      <c r="AA27" s="240">
        <f>$Z$24</f>
        <v>0.52095366811450639</v>
      </c>
      <c r="AB27" s="240">
        <f t="shared" si="6"/>
        <v>180</v>
      </c>
      <c r="AC27" s="240">
        <f t="shared" si="7"/>
        <v>2.2259919146354461</v>
      </c>
      <c r="AD27" s="242">
        <f>INT((AC$23+AE27)*100)/100</f>
        <v>2.2200000000000002</v>
      </c>
      <c r="AE27" s="240">
        <f>AF27*AG$28</f>
        <v>0.5129999999999999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8.44</v>
      </c>
      <c r="G28" s="462">
        <f t="shared" si="14"/>
        <v>1.64</v>
      </c>
      <c r="H28" s="462"/>
      <c r="I28" s="261"/>
      <c r="J28" s="269">
        <f t="shared" si="15"/>
        <v>3.9999999999999813E-2</v>
      </c>
      <c r="K28" s="228">
        <f t="shared" si="18"/>
        <v>40</v>
      </c>
      <c r="L28" s="228">
        <f t="shared" si="20"/>
        <v>5.1999999999999998E-2</v>
      </c>
      <c r="M28" s="221">
        <f t="shared" si="17"/>
        <v>2.08</v>
      </c>
      <c r="N28" s="221">
        <f t="shared" si="19"/>
        <v>3.2419999999999997E-2</v>
      </c>
      <c r="O28" s="221">
        <f t="shared" si="21"/>
        <v>64.150000000000006</v>
      </c>
      <c r="P28" s="241">
        <f t="shared" si="22"/>
        <v>-62.61</v>
      </c>
      <c r="S28" s="221">
        <f>$R$24</f>
        <v>95</v>
      </c>
      <c r="T28" s="221">
        <f t="shared" si="10"/>
        <v>40.223504477813343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2.8009536681145062</v>
      </c>
      <c r="Z28" s="240">
        <f>Input!B21</f>
        <v>2.2799999999999998</v>
      </c>
      <c r="AA28" s="240">
        <f>$Z$24</f>
        <v>0.52095366811450639</v>
      </c>
      <c r="AB28" s="240">
        <f t="shared" si="6"/>
        <v>240</v>
      </c>
      <c r="AC28" s="240">
        <f t="shared" si="7"/>
        <v>2.2799999999999998</v>
      </c>
      <c r="AD28" s="242">
        <f>INT((AC$23+AE28)*100)/100</f>
        <v>2.2799999999999998</v>
      </c>
      <c r="AE28" s="240">
        <f>AF28*AG$28</f>
        <v>0.56999999999999984</v>
      </c>
      <c r="AF28" s="240">
        <v>1</v>
      </c>
      <c r="AG28" s="240">
        <f>AC28-AC23</f>
        <v>0.56999999999999984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8.4599999999999991</v>
      </c>
      <c r="G29" s="462">
        <f t="shared" si="14"/>
        <v>1.66</v>
      </c>
      <c r="H29" s="462"/>
      <c r="I29" s="261"/>
      <c r="J29" s="269">
        <f t="shared" si="15"/>
        <v>2.0000000000000018E-2</v>
      </c>
      <c r="K29" s="228">
        <f t="shared" si="18"/>
        <v>45</v>
      </c>
      <c r="L29" s="228">
        <f t="shared" si="20"/>
        <v>5.1999999999999998E-2</v>
      </c>
      <c r="M29" s="221">
        <f t="shared" si="17"/>
        <v>2.34</v>
      </c>
      <c r="N29" s="221">
        <f t="shared" si="19"/>
        <v>3.2419999999999997E-2</v>
      </c>
      <c r="O29" s="221">
        <f t="shared" si="21"/>
        <v>72.17</v>
      </c>
      <c r="P29" s="241">
        <f t="shared" si="22"/>
        <v>-70.61</v>
      </c>
      <c r="R29" s="236">
        <f>B37</f>
        <v>116.45</v>
      </c>
      <c r="S29" s="221">
        <f>$R$29</f>
        <v>116.45</v>
      </c>
      <c r="T29" s="221">
        <f t="shared" si="10"/>
        <v>40.223504477813343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3.4427736423671704</v>
      </c>
      <c r="Z29" s="240">
        <f>Z32</f>
        <v>0.60668676573697544</v>
      </c>
      <c r="AA29" s="240">
        <f>$Z$29</f>
        <v>0.60668676573697544</v>
      </c>
      <c r="AB29" s="240">
        <f t="shared" si="6"/>
        <v>250</v>
      </c>
      <c r="AC29" s="240">
        <f t="shared" si="7"/>
        <v>2.836086876630195</v>
      </c>
      <c r="AD29" s="242">
        <f>INT((AC$28+AE29)*100)/100</f>
        <v>2.66</v>
      </c>
      <c r="AE29" s="240">
        <f>AF29*AG$33</f>
        <v>0.38400000000000006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8.49</v>
      </c>
      <c r="G30" s="462">
        <f t="shared" si="14"/>
        <v>1.69</v>
      </c>
      <c r="H30" s="462"/>
      <c r="I30" s="261"/>
      <c r="J30" s="269">
        <f t="shared" si="15"/>
        <v>3.0000000000000027E-2</v>
      </c>
      <c r="K30" s="228">
        <f t="shared" si="18"/>
        <v>50</v>
      </c>
      <c r="L30" s="228">
        <f t="shared" si="20"/>
        <v>5.1999999999999998E-2</v>
      </c>
      <c r="M30" s="221">
        <f t="shared" si="17"/>
        <v>2.6</v>
      </c>
      <c r="N30" s="221">
        <f t="shared" si="19"/>
        <v>3.2419999999999997E-2</v>
      </c>
      <c r="O30" s="221">
        <f t="shared" si="21"/>
        <v>80.19</v>
      </c>
      <c r="P30" s="241">
        <f t="shared" si="22"/>
        <v>-78.61</v>
      </c>
      <c r="R30" s="221" t="s">
        <v>30</v>
      </c>
      <c r="S30" s="221">
        <f>$R$29</f>
        <v>116.45</v>
      </c>
      <c r="T30" s="221">
        <f t="shared" si="10"/>
        <v>40.223504477813343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3.4517992688464423</v>
      </c>
      <c r="AA30" s="240">
        <f>$Z$29</f>
        <v>0.60668676573697544</v>
      </c>
      <c r="AB30" s="240">
        <f t="shared" si="6"/>
        <v>260</v>
      </c>
      <c r="AC30" s="240">
        <f t="shared" si="7"/>
        <v>2.8451125031094668</v>
      </c>
      <c r="AD30" s="242">
        <f>INT((AC$28+AE30)*100)/100</f>
        <v>2.72</v>
      </c>
      <c r="AE30" s="240">
        <f>AF30*AG$33</f>
        <v>0.44800000000000006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8.51</v>
      </c>
      <c r="G31" s="462">
        <f t="shared" si="14"/>
        <v>1.71</v>
      </c>
      <c r="H31" s="462"/>
      <c r="I31" s="261"/>
      <c r="J31" s="269">
        <f t="shared" si="15"/>
        <v>2.0000000000000018E-2</v>
      </c>
      <c r="K31" s="228">
        <f t="shared" si="18"/>
        <v>55</v>
      </c>
      <c r="L31" s="228">
        <f t="shared" si="20"/>
        <v>5.1999999999999998E-2</v>
      </c>
      <c r="M31" s="221">
        <f t="shared" si="17"/>
        <v>2.86</v>
      </c>
      <c r="N31" s="221">
        <f t="shared" si="19"/>
        <v>3.2419999999999997E-2</v>
      </c>
      <c r="O31" s="221">
        <f>INT(M31/N31*100)/100</f>
        <v>88.21</v>
      </c>
      <c r="P31" s="241">
        <f t="shared" si="22"/>
        <v>-86.62</v>
      </c>
      <c r="S31" s="221">
        <f>$R$29</f>
        <v>116.45</v>
      </c>
      <c r="T31" s="221">
        <f t="shared" si="10"/>
        <v>40.223504477813343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3.4604842232032671</v>
      </c>
      <c r="AA31" s="240">
        <f>$Z$29</f>
        <v>0.60668676573697544</v>
      </c>
      <c r="AB31" s="240">
        <f t="shared" si="6"/>
        <v>270</v>
      </c>
      <c r="AC31" s="240">
        <f t="shared" si="7"/>
        <v>2.8537974574662917</v>
      </c>
      <c r="AD31" s="242">
        <f>INT((AC$28+AE31)*100)/100</f>
        <v>2.79</v>
      </c>
      <c r="AE31" s="240">
        <f>AF31*AG$33</f>
        <v>0.51200000000000012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95</v>
      </c>
      <c r="C32" s="267">
        <f>$C$12+D32/1440</f>
        <v>44725.138888888898</v>
      </c>
      <c r="D32" s="461">
        <v>130</v>
      </c>
      <c r="E32" s="461"/>
      <c r="F32" s="268">
        <f t="shared" si="13"/>
        <v>8.85</v>
      </c>
      <c r="G32" s="462">
        <f t="shared" si="14"/>
        <v>2.0499999999999998</v>
      </c>
      <c r="H32" s="462"/>
      <c r="I32" s="261"/>
      <c r="J32" s="269">
        <f t="shared" si="15"/>
        <v>0.33999999999999986</v>
      </c>
      <c r="K32" s="228">
        <f t="shared" si="18"/>
        <v>60</v>
      </c>
      <c r="L32" s="228">
        <f t="shared" si="20"/>
        <v>5.1999999999999998E-2</v>
      </c>
      <c r="M32" s="221">
        <f t="shared" si="17"/>
        <v>3.1199999999999997</v>
      </c>
      <c r="N32" s="221">
        <f t="shared" si="19"/>
        <v>3.2419999999999997E-2</v>
      </c>
      <c r="O32" s="221">
        <f>INT(M32/N32*100)/100</f>
        <v>96.23</v>
      </c>
      <c r="P32" s="241">
        <f t="shared" si="22"/>
        <v>-94.63</v>
      </c>
      <c r="S32" s="221">
        <f>$R$29</f>
        <v>116.45</v>
      </c>
      <c r="T32" s="221">
        <f t="shared" si="10"/>
        <v>40.223504477813343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3.4847302040520729</v>
      </c>
      <c r="Z32" s="240">
        <f>Y33-Z33</f>
        <v>0.60668676573697544</v>
      </c>
      <c r="AA32" s="240">
        <f>$Z$29</f>
        <v>0.60668676573697544</v>
      </c>
      <c r="AB32" s="240">
        <f t="shared" si="6"/>
        <v>300</v>
      </c>
      <c r="AC32" s="240">
        <f t="shared" si="7"/>
        <v>2.8780434383150975</v>
      </c>
      <c r="AD32" s="242">
        <f>INT((AC$28+AE32)*100)/100</f>
        <v>2.85</v>
      </c>
      <c r="AE32" s="240">
        <f>AF32*AG$33</f>
        <v>0.57600000000000018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8.9</v>
      </c>
      <c r="G33" s="462">
        <f t="shared" si="14"/>
        <v>2.1</v>
      </c>
      <c r="H33" s="462"/>
      <c r="I33" s="261"/>
      <c r="J33" s="269">
        <f t="shared" si="15"/>
        <v>5.0000000000000266E-2</v>
      </c>
      <c r="L33" s="271" t="s">
        <v>30</v>
      </c>
      <c r="P33" s="241"/>
      <c r="S33" s="221">
        <f>$R$29</f>
        <v>116.45</v>
      </c>
      <c r="T33" s="221">
        <f t="shared" si="10"/>
        <v>40.223504477813343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3.5266867657369754</v>
      </c>
      <c r="Z33" s="240">
        <f>Input!B22</f>
        <v>2.92</v>
      </c>
      <c r="AA33" s="240">
        <f>$Z$29</f>
        <v>0.60668676573697544</v>
      </c>
      <c r="AB33" s="240">
        <f t="shared" si="6"/>
        <v>360</v>
      </c>
      <c r="AC33" s="240">
        <f t="shared" si="7"/>
        <v>2.92</v>
      </c>
      <c r="AD33" s="242">
        <f>INT((AC$28+AE33)*100)/100</f>
        <v>2.92</v>
      </c>
      <c r="AE33" s="240">
        <f>AF33*AG$33</f>
        <v>0.64000000000000012</v>
      </c>
      <c r="AF33" s="240">
        <v>1</v>
      </c>
      <c r="AG33" s="240">
        <f>AC33-AC28</f>
        <v>0.64000000000000012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8.9600000000000009</v>
      </c>
      <c r="G34" s="462">
        <f t="shared" si="14"/>
        <v>2.16</v>
      </c>
      <c r="H34" s="462"/>
      <c r="I34" s="261"/>
      <c r="J34" s="269">
        <f t="shared" si="15"/>
        <v>6.0000000000000053E-2</v>
      </c>
      <c r="L34" s="271" t="s">
        <v>30</v>
      </c>
      <c r="R34" s="221">
        <f>B42</f>
        <v>137</v>
      </c>
      <c r="S34" s="221">
        <f>$R$34</f>
        <v>137</v>
      </c>
      <c r="T34" s="221">
        <f t="shared" si="10"/>
        <v>40.223504477813343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4.1564610901579355</v>
      </c>
      <c r="Z34" s="240">
        <f>Z37</f>
        <v>0.58692859796550989</v>
      </c>
      <c r="AA34" s="240">
        <f>$Z$34</f>
        <v>0.58692859796550989</v>
      </c>
      <c r="AB34" s="240">
        <f t="shared" si="6"/>
        <v>370</v>
      </c>
      <c r="AC34" s="240">
        <f t="shared" si="7"/>
        <v>3.5695324921924256</v>
      </c>
      <c r="AD34" s="242">
        <f>INT((AC$33+AE34)*100)/100</f>
        <v>3.35</v>
      </c>
      <c r="AE34" s="240">
        <f>AG$38*AF34</f>
        <v>0.43200000000000011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9.02</v>
      </c>
      <c r="G35" s="462">
        <f t="shared" si="14"/>
        <v>2.2200000000000002</v>
      </c>
      <c r="H35" s="462"/>
      <c r="I35" s="261"/>
      <c r="J35" s="269">
        <f t="shared" si="15"/>
        <v>6.0000000000000053E-2</v>
      </c>
      <c r="L35" s="271" t="s">
        <v>30</v>
      </c>
      <c r="S35" s="221">
        <f>$R$34</f>
        <v>137</v>
      </c>
      <c r="T35" s="221">
        <f t="shared" si="10"/>
        <v>40.223504477813343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4.1636810937694371</v>
      </c>
      <c r="AA35" s="240">
        <f>$Z$34</f>
        <v>0.58692859796550989</v>
      </c>
      <c r="AB35" s="240">
        <f t="shared" si="6"/>
        <v>380</v>
      </c>
      <c r="AC35" s="240">
        <f t="shared" si="7"/>
        <v>3.5767524958039272</v>
      </c>
      <c r="AD35" s="242">
        <f>INT((AC$33+AE35)*100)/100</f>
        <v>3.42</v>
      </c>
      <c r="AE35" s="240">
        <f>AG$38*AF35</f>
        <v>0.50400000000000011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9.08</v>
      </c>
      <c r="G36" s="462">
        <f t="shared" si="14"/>
        <v>2.2799999999999998</v>
      </c>
      <c r="H36" s="462"/>
      <c r="I36" s="261"/>
      <c r="J36" s="269">
        <f t="shared" si="15"/>
        <v>5.9999999999999609E-2</v>
      </c>
      <c r="L36" s="271" t="s">
        <v>30</v>
      </c>
      <c r="S36" s="221">
        <f>$R$34</f>
        <v>137</v>
      </c>
      <c r="T36" s="221">
        <f t="shared" si="10"/>
        <v>40.223504477813343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4.1707135434487981</v>
      </c>
      <c r="AA36" s="240">
        <f>$Z$34</f>
        <v>0.58692859796550989</v>
      </c>
      <c r="AB36" s="240">
        <f t="shared" si="6"/>
        <v>390</v>
      </c>
      <c r="AC36" s="240">
        <f t="shared" si="7"/>
        <v>3.5837849454832882</v>
      </c>
      <c r="AD36" s="242">
        <f>INT((AC$33+AE36)*100)/100</f>
        <v>3.49</v>
      </c>
      <c r="AE36" s="240">
        <f>AG$38*AF36</f>
        <v>0.57600000000000018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116.45</v>
      </c>
      <c r="C37" s="267">
        <f>$C$12+D37/1440</f>
        <v>44725.222222222226</v>
      </c>
      <c r="D37" s="461">
        <v>250</v>
      </c>
      <c r="E37" s="461"/>
      <c r="F37" s="268">
        <f t="shared" si="13"/>
        <v>9.4600000000000009</v>
      </c>
      <c r="G37" s="462">
        <f t="shared" si="14"/>
        <v>2.66</v>
      </c>
      <c r="H37" s="462"/>
      <c r="I37" s="261"/>
      <c r="J37" s="269">
        <f t="shared" si="15"/>
        <v>0.38000000000000034</v>
      </c>
      <c r="L37" s="271" t="s">
        <v>30</v>
      </c>
      <c r="S37" s="221">
        <f>$R$34</f>
        <v>137</v>
      </c>
      <c r="T37" s="221">
        <f t="shared" si="10"/>
        <v>40.223504477813343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4.1907770978677474</v>
      </c>
      <c r="Z37" s="240">
        <f>Y38-Z38</f>
        <v>0.58692859796550989</v>
      </c>
      <c r="AA37" s="240">
        <f>$Z$34</f>
        <v>0.58692859796550989</v>
      </c>
      <c r="AB37" s="240">
        <f t="shared" si="6"/>
        <v>420</v>
      </c>
      <c r="AC37" s="240">
        <f t="shared" si="7"/>
        <v>3.6038484999022375</v>
      </c>
      <c r="AD37" s="242">
        <f>INT((AC$33+AE37)*100)/100</f>
        <v>3.56</v>
      </c>
      <c r="AE37" s="240">
        <f>AG$38*AF37</f>
        <v>0.64800000000000024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9.52</v>
      </c>
      <c r="G38" s="462">
        <f t="shared" si="14"/>
        <v>2.72</v>
      </c>
      <c r="H38" s="462"/>
      <c r="I38" s="261"/>
      <c r="J38" s="269">
        <f t="shared" si="15"/>
        <v>6.0000000000000053E-2</v>
      </c>
      <c r="L38" s="271" t="s">
        <v>30</v>
      </c>
      <c r="S38" s="221">
        <f>$R$34</f>
        <v>137</v>
      </c>
      <c r="T38" s="221">
        <f t="shared" si="10"/>
        <v>40.223504477813343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4.22692859796551</v>
      </c>
      <c r="Z38" s="240">
        <f>Input!B23</f>
        <v>3.64</v>
      </c>
      <c r="AA38" s="240">
        <f>$Z$34</f>
        <v>0.58692859796550989</v>
      </c>
      <c r="AB38" s="240">
        <f t="shared" si="6"/>
        <v>480</v>
      </c>
      <c r="AC38" s="240">
        <f t="shared" si="7"/>
        <v>3.64</v>
      </c>
      <c r="AD38" s="242">
        <f>INT((AC$33+AE38)*100)/100</f>
        <v>3.64</v>
      </c>
      <c r="AE38" s="240">
        <f>AG$38*AF38</f>
        <v>0.7200000000000002</v>
      </c>
      <c r="AF38" s="240">
        <v>1</v>
      </c>
      <c r="AG38" s="240">
        <f>AC38-AC33</f>
        <v>0.7200000000000002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9.59</v>
      </c>
      <c r="G39" s="462">
        <f t="shared" si="14"/>
        <v>2.79</v>
      </c>
      <c r="H39" s="462"/>
      <c r="I39" s="261"/>
      <c r="J39" s="269">
        <f t="shared" si="15"/>
        <v>6.999999999999984E-2</v>
      </c>
      <c r="K39" s="243" t="s">
        <v>30</v>
      </c>
      <c r="L39" s="271" t="s">
        <v>30</v>
      </c>
      <c r="R39" s="236">
        <f>B47</f>
        <v>157.54999999999998</v>
      </c>
      <c r="S39" s="221">
        <f>$R$39</f>
        <v>157.54999999999998</v>
      </c>
      <c r="T39" s="221">
        <f t="shared" si="10"/>
        <v>40.223504477813343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4.8673875832163827</v>
      </c>
      <c r="Z39" s="240">
        <f>Z42</f>
        <v>0.20044233896639962</v>
      </c>
      <c r="AA39" s="240">
        <f>$Z$39</f>
        <v>0.20044233896639962</v>
      </c>
      <c r="AB39" s="240">
        <f t="shared" si="6"/>
        <v>490</v>
      </c>
      <c r="AC39" s="240">
        <f t="shared" si="7"/>
        <v>4.666945244249983</v>
      </c>
      <c r="AD39" s="242">
        <f>INT((AC$38+AE39)*100)/100</f>
        <v>4.07</v>
      </c>
      <c r="AE39" s="240">
        <f>AG$43*AF39</f>
        <v>0.43600000000000017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9.65</v>
      </c>
      <c r="G40" s="462">
        <f t="shared" si="14"/>
        <v>2.85</v>
      </c>
      <c r="H40" s="462"/>
      <c r="I40" s="261"/>
      <c r="J40" s="269">
        <f t="shared" si="15"/>
        <v>6.0000000000000053E-2</v>
      </c>
      <c r="K40" s="243" t="s">
        <v>30</v>
      </c>
      <c r="L40" s="271" t="s">
        <v>30</v>
      </c>
      <c r="S40" s="221">
        <f>$R$39</f>
        <v>157.54999999999998</v>
      </c>
      <c r="T40" s="221">
        <f t="shared" si="10"/>
        <v>40.223504477813343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4.8736775790397671</v>
      </c>
      <c r="AA40" s="240">
        <f>$Z$39</f>
        <v>0.20044233896639962</v>
      </c>
      <c r="AB40" s="240">
        <f t="shared" si="6"/>
        <v>500</v>
      </c>
      <c r="AC40" s="240">
        <f t="shared" si="7"/>
        <v>4.6732352400733674</v>
      </c>
      <c r="AD40" s="242">
        <f>INT((AC$38+AE40)*100)/100</f>
        <v>4.2300000000000004</v>
      </c>
      <c r="AE40" s="240">
        <f>AG$43*AF40</f>
        <v>0.59950000000000025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9.7199999999999989</v>
      </c>
      <c r="G41" s="462">
        <f t="shared" si="14"/>
        <v>2.92</v>
      </c>
      <c r="H41" s="462"/>
      <c r="I41" s="261"/>
      <c r="J41" s="269">
        <f t="shared" si="15"/>
        <v>6.999999999999984E-2</v>
      </c>
      <c r="K41" s="243" t="s">
        <v>30</v>
      </c>
      <c r="L41" s="271" t="s">
        <v>30</v>
      </c>
      <c r="S41" s="221">
        <f>$R$39</f>
        <v>157.54999999999998</v>
      </c>
      <c r="T41" s="221">
        <f t="shared" si="10"/>
        <v>40.223504477813343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4.8798430122674716</v>
      </c>
      <c r="AA41" s="240">
        <f>$Z$39</f>
        <v>0.20044233896639962</v>
      </c>
      <c r="AB41" s="240">
        <f t="shared" si="6"/>
        <v>510</v>
      </c>
      <c r="AC41" s="240">
        <f t="shared" si="7"/>
        <v>4.679400673301072</v>
      </c>
      <c r="AD41" s="242">
        <f>INT((AC$38+AE41)*100)/100</f>
        <v>4.4000000000000004</v>
      </c>
      <c r="AE41" s="240">
        <f>AG$43*AF41</f>
        <v>0.76300000000000012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137</v>
      </c>
      <c r="C42" s="267">
        <f>$C$12+D42/1440</f>
        <v>44725.305555555562</v>
      </c>
      <c r="D42" s="461">
        <v>370</v>
      </c>
      <c r="E42" s="461"/>
      <c r="F42" s="268">
        <f t="shared" si="13"/>
        <v>10.15</v>
      </c>
      <c r="G42" s="462">
        <f t="shared" si="14"/>
        <v>3.35</v>
      </c>
      <c r="H42" s="462"/>
      <c r="I42" s="261"/>
      <c r="J42" s="269">
        <f t="shared" si="15"/>
        <v>0.43000000000000016</v>
      </c>
      <c r="K42" s="243" t="s">
        <v>30</v>
      </c>
      <c r="L42" s="271" t="s">
        <v>30</v>
      </c>
      <c r="S42" s="221">
        <f>$R$39</f>
        <v>157.54999999999998</v>
      </c>
      <c r="T42" s="221">
        <f t="shared" si="10"/>
        <v>40.223504477813343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4.8976389531121329</v>
      </c>
      <c r="Z42" s="240">
        <f>Y43-Z43</f>
        <v>0.20044233896639962</v>
      </c>
      <c r="AA42" s="240">
        <f>$Z$39</f>
        <v>0.20044233896639962</v>
      </c>
      <c r="AB42" s="240">
        <f t="shared" si="6"/>
        <v>540</v>
      </c>
      <c r="AC42" s="240">
        <f t="shared" si="7"/>
        <v>4.6971966141457333</v>
      </c>
      <c r="AD42" s="242">
        <f>INT((AC$38+AE42)*100)/100</f>
        <v>4.5599999999999996</v>
      </c>
      <c r="AE42" s="240">
        <f>AG$43*AF42</f>
        <v>0.92650000000000021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10.219999999999999</v>
      </c>
      <c r="G43" s="462">
        <f t="shared" si="14"/>
        <v>3.42</v>
      </c>
      <c r="H43" s="462"/>
      <c r="I43" s="261"/>
      <c r="J43" s="269">
        <f t="shared" si="15"/>
        <v>6.999999999999984E-2</v>
      </c>
      <c r="K43" s="243" t="s">
        <v>30</v>
      </c>
      <c r="L43" s="271" t="s">
        <v>30</v>
      </c>
      <c r="S43" s="221">
        <f>$R$39</f>
        <v>157.54999999999998</v>
      </c>
      <c r="T43" s="221">
        <f t="shared" si="10"/>
        <v>40.223504477813343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4.9304423389664001</v>
      </c>
      <c r="Z43" s="240">
        <f>Input!B24</f>
        <v>4.7300000000000004</v>
      </c>
      <c r="AA43" s="240">
        <f>$Z$39</f>
        <v>0.20044233896639962</v>
      </c>
      <c r="AB43" s="240">
        <f t="shared" si="6"/>
        <v>600</v>
      </c>
      <c r="AC43" s="240">
        <f t="shared" si="7"/>
        <v>4.7300000000000004</v>
      </c>
      <c r="AD43" s="242">
        <f>INT((AC$38+AE43)*100)/100</f>
        <v>4.7300000000000004</v>
      </c>
      <c r="AE43" s="240">
        <f>AG$43*AF43</f>
        <v>1.0900000000000003</v>
      </c>
      <c r="AF43" s="240">
        <v>1</v>
      </c>
      <c r="AG43" s="240">
        <f>AC43-AC38</f>
        <v>1.0900000000000003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10.29</v>
      </c>
      <c r="G44" s="462">
        <f t="shared" si="14"/>
        <v>3.49</v>
      </c>
      <c r="H44" s="462"/>
      <c r="I44" s="261"/>
      <c r="J44" s="269">
        <f t="shared" si="15"/>
        <v>7.0000000000000284E-2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10.36</v>
      </c>
      <c r="G45" s="462">
        <f t="shared" si="14"/>
        <v>3.56</v>
      </c>
      <c r="H45" s="462"/>
      <c r="I45" s="261"/>
      <c r="J45" s="269">
        <f t="shared" si="15"/>
        <v>6.999999999999984E-2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10.44</v>
      </c>
      <c r="G46" s="462">
        <f t="shared" si="14"/>
        <v>3.64</v>
      </c>
      <c r="H46" s="462"/>
      <c r="I46" s="261"/>
      <c r="J46" s="269">
        <f t="shared" si="15"/>
        <v>8.0000000000000071E-2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157.54999999999998</v>
      </c>
      <c r="C47" s="267">
        <f>$C$12+D47/1440</f>
        <v>44725.388888888898</v>
      </c>
      <c r="D47" s="461">
        <v>490</v>
      </c>
      <c r="E47" s="461"/>
      <c r="F47" s="268">
        <f t="shared" si="13"/>
        <v>10.870000000000001</v>
      </c>
      <c r="G47" s="462">
        <f t="shared" si="14"/>
        <v>4.07</v>
      </c>
      <c r="H47" s="462"/>
      <c r="I47" s="261"/>
      <c r="J47" s="269">
        <f t="shared" si="15"/>
        <v>0.43000000000000016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11.030000000000001</v>
      </c>
      <c r="G48" s="462">
        <f t="shared" si="14"/>
        <v>4.2300000000000004</v>
      </c>
      <c r="H48" s="462"/>
      <c r="I48" s="261"/>
      <c r="J48" s="269">
        <f t="shared" si="15"/>
        <v>0.16000000000000014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11.2</v>
      </c>
      <c r="G49" s="462">
        <f t="shared" si="14"/>
        <v>4.4000000000000004</v>
      </c>
      <c r="H49" s="462"/>
      <c r="I49" s="261"/>
      <c r="J49" s="269">
        <f t="shared" si="15"/>
        <v>0.16999999999999993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11.36</v>
      </c>
      <c r="G50" s="462">
        <f t="shared" si="14"/>
        <v>4.5599999999999996</v>
      </c>
      <c r="H50" s="462"/>
      <c r="I50" s="261"/>
      <c r="J50" s="269">
        <f t="shared" si="15"/>
        <v>0.15999999999999925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11.530000000000001</v>
      </c>
      <c r="G51" s="462">
        <f t="shared" si="14"/>
        <v>4.7300000000000004</v>
      </c>
      <c r="H51" s="462"/>
      <c r="I51" s="261" t="s">
        <v>199</v>
      </c>
      <c r="J51" s="269">
        <f t="shared" si="15"/>
        <v>0.17000000000000082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15" sqref="N15"/>
    </sheetView>
  </sheetViews>
  <sheetFormatPr defaultColWidth="9" defaultRowHeight="12"/>
  <cols>
    <col min="1" max="1" width="5.25" style="216" customWidth="1"/>
    <col min="2" max="2" width="13.875" style="216" customWidth="1"/>
    <col min="3" max="3" width="10.875" style="216" customWidth="1"/>
    <col min="4" max="4" width="11.25" style="216" customWidth="1"/>
    <col min="5" max="5" width="0.125" style="216" customWidth="1"/>
    <col min="6" max="6" width="11.125" style="216" customWidth="1"/>
    <col min="7" max="7" width="13.125" style="216" customWidth="1"/>
    <col min="8" max="8" width="8.25" style="216" customWidth="1"/>
    <col min="9" max="9" width="8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9.75" style="216" customWidth="1"/>
    <col min="18" max="20" width="9" style="216"/>
    <col min="21" max="21" width="10.125" style="216" customWidth="1"/>
    <col min="22" max="22" width="8.25" style="216" customWidth="1"/>
    <col min="23" max="23" width="5.625" style="216" bestFit="1" customWidth="1"/>
    <col min="24" max="24" width="5.375" style="216" customWidth="1"/>
    <col min="25" max="25" width="6.875" style="216" bestFit="1" customWidth="1"/>
    <col min="26" max="26" width="7.375" style="216" bestFit="1" customWidth="1"/>
    <col min="27" max="27" width="10.625" style="216" customWidth="1"/>
    <col min="28" max="28" width="6.375" style="355" customWidth="1"/>
    <col min="29" max="29" width="6.75" style="216" bestFit="1" customWidth="1"/>
    <col min="30" max="30" width="6.37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-0.96310535002748265</v>
      </c>
      <c r="N1" s="475" t="s">
        <v>202</v>
      </c>
      <c r="O1" s="475"/>
      <c r="P1" s="276">
        <f>StepTest!G41</f>
        <v>2.92</v>
      </c>
      <c r="Q1" s="277" t="s">
        <v>203</v>
      </c>
      <c r="R1" s="278">
        <f>G35</f>
        <v>3.8831053500274826</v>
      </c>
      <c r="S1" s="279">
        <f>D7/2000</f>
        <v>0.1</v>
      </c>
      <c r="T1" s="280">
        <v>31.861548310662993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10.9</v>
      </c>
      <c r="T2" s="221">
        <v>0</v>
      </c>
      <c r="U2" s="236">
        <f>B10</f>
        <v>120</v>
      </c>
      <c r="V2" s="236">
        <f>U2</f>
        <v>120</v>
      </c>
      <c r="W2" s="221">
        <f>T1</f>
        <v>31.861548310662993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1.9172554288710069</v>
      </c>
      <c r="AC2" s="240">
        <f>1.6*V2/(4*PI()*W2)*LOG10((2.25*W2*Z2)/(X2*X2*Y2))</f>
        <v>1.9172554288710069</v>
      </c>
      <c r="AD2" s="281">
        <v>0</v>
      </c>
      <c r="AE2" s="239">
        <f>AA2</f>
        <v>1</v>
      </c>
      <c r="AF2" s="240">
        <f>AC2-$P$3-O3</f>
        <v>2.6572570388731762</v>
      </c>
      <c r="AG2" s="240">
        <f>AC2</f>
        <v>1.9172554288710069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- 4</v>
      </c>
      <c r="I3" s="292"/>
      <c r="J3" s="293"/>
      <c r="L3" s="294" t="s">
        <v>57</v>
      </c>
      <c r="M3" s="241">
        <f t="shared" ref="M3:M10" si="1">Q17</f>
        <v>0</v>
      </c>
      <c r="N3" s="295"/>
      <c r="O3" s="296"/>
      <c r="P3" s="297">
        <v>-0.74000161000216913</v>
      </c>
      <c r="V3" s="236">
        <f>V2</f>
        <v>120</v>
      </c>
      <c r="W3" s="221">
        <f>W$2</f>
        <v>31.861548310662993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2.0616112364018906</v>
      </c>
      <c r="AC3" s="240">
        <f t="shared" ref="AC3:AC38" si="4">1.6*V3/(4*PI()*W3)*LOG10((2.25*W3*Z3)/(X3*X3*Y3))</f>
        <v>2.0616112364018906</v>
      </c>
      <c r="AD3" s="240">
        <f>AB69</f>
        <v>3.3599983899978314</v>
      </c>
      <c r="AE3" s="239">
        <f t="shared" ref="AE3:AE66" si="5">AA3</f>
        <v>2</v>
      </c>
      <c r="AF3" s="240">
        <f t="shared" ref="AF3:AF16" si="6">AC3-$P$3-O4</f>
        <v>2.8016128464040597</v>
      </c>
      <c r="AG3" s="240">
        <f t="shared" ref="AG3:AG16" si="7">AC3</f>
        <v>2.0616112364018906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-2.5</v>
      </c>
      <c r="N4" s="295"/>
      <c r="O4" s="228"/>
      <c r="P4" s="228"/>
      <c r="V4" s="236">
        <f t="shared" ref="V4:V67" si="8">V3</f>
        <v>120</v>
      </c>
      <c r="W4" s="221">
        <f t="shared" ref="W4:W67" si="9">W$2</f>
        <v>31.861548310662993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2.1460539705687784</v>
      </c>
      <c r="AC4" s="240">
        <f t="shared" si="4"/>
        <v>2.1460539705687784</v>
      </c>
      <c r="AD4" s="240">
        <f>AC69</f>
        <v>3.3599983899978314</v>
      </c>
      <c r="AE4" s="239">
        <f t="shared" si="5"/>
        <v>3</v>
      </c>
      <c r="AF4" s="240">
        <f t="shared" si="6"/>
        <v>2.8860555805709476</v>
      </c>
      <c r="AG4" s="240">
        <f t="shared" si="7"/>
        <v>2.1460539705687784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-5.07</v>
      </c>
      <c r="N5" s="295"/>
      <c r="O5" s="228"/>
      <c r="P5" s="228"/>
      <c r="V5" s="236">
        <f t="shared" si="8"/>
        <v>120</v>
      </c>
      <c r="W5" s="221">
        <f t="shared" si="9"/>
        <v>31.861548310662993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2.2059670439327745</v>
      </c>
      <c r="AC5" s="240">
        <f t="shared" si="4"/>
        <v>2.2059670439327745</v>
      </c>
      <c r="AD5" s="240">
        <f>AF69</f>
        <v>4.1000000000000005</v>
      </c>
      <c r="AE5" s="239">
        <f t="shared" si="5"/>
        <v>4</v>
      </c>
      <c r="AF5" s="240">
        <f t="shared" si="6"/>
        <v>2.9459686539349437</v>
      </c>
      <c r="AG5" s="240">
        <f t="shared" si="7"/>
        <v>2.2059670439327745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-7.66</v>
      </c>
      <c r="N6" s="295"/>
      <c r="O6" s="228"/>
      <c r="P6" s="228"/>
      <c r="V6" s="236">
        <f t="shared" si="8"/>
        <v>120</v>
      </c>
      <c r="W6" s="221">
        <f t="shared" si="9"/>
        <v>31.861548310662993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2.2524392340371189</v>
      </c>
      <c r="AC6" s="240">
        <f t="shared" si="4"/>
        <v>2.2524392340371189</v>
      </c>
      <c r="AE6" s="239">
        <f t="shared" si="5"/>
        <v>5</v>
      </c>
      <c r="AF6" s="240">
        <f t="shared" si="6"/>
        <v>2.992440844039288</v>
      </c>
      <c r="AG6" s="240">
        <f t="shared" si="7"/>
        <v>2.2524392340371189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140</v>
      </c>
      <c r="H7" s="287"/>
      <c r="I7" s="287"/>
      <c r="J7" s="288"/>
      <c r="M7" s="241">
        <f t="shared" si="1"/>
        <v>-10.27</v>
      </c>
      <c r="N7" s="295"/>
      <c r="O7" s="228"/>
      <c r="P7" s="228"/>
      <c r="V7" s="236">
        <f t="shared" si="8"/>
        <v>120</v>
      </c>
      <c r="W7" s="221">
        <f t="shared" si="9"/>
        <v>31.861548310662993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2.3967950415680024</v>
      </c>
      <c r="AC7" s="240">
        <f t="shared" si="4"/>
        <v>2.3967950415680024</v>
      </c>
      <c r="AE7" s="239">
        <f t="shared" si="5"/>
        <v>10</v>
      </c>
      <c r="AF7" s="240">
        <f t="shared" si="6"/>
        <v>3.1367966515701715</v>
      </c>
      <c r="AG7" s="240">
        <f t="shared" si="7"/>
        <v>2.3967950415680024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6.8</v>
      </c>
      <c r="E8" s="306"/>
      <c r="F8" s="307" t="s">
        <v>208</v>
      </c>
      <c r="G8" s="311">
        <f>F77</f>
        <v>10.9</v>
      </c>
      <c r="H8" s="302">
        <f>Input!C40</f>
        <v>120</v>
      </c>
      <c r="I8" s="302"/>
      <c r="J8" s="284"/>
      <c r="K8" s="312">
        <f>Input!M50</f>
        <v>4.1000000000000005</v>
      </c>
      <c r="L8" s="428">
        <f>K10+Q17</f>
        <v>0</v>
      </c>
      <c r="M8" s="241">
        <f t="shared" si="1"/>
        <v>-23.39</v>
      </c>
      <c r="N8" s="295"/>
      <c r="O8" s="228"/>
      <c r="P8" s="228"/>
      <c r="V8" s="236">
        <f t="shared" si="8"/>
        <v>120</v>
      </c>
      <c r="W8" s="221">
        <f t="shared" si="9"/>
        <v>31.861548310662993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2.4812377757348902</v>
      </c>
      <c r="AC8" s="240">
        <f t="shared" si="4"/>
        <v>2.4812377757348902</v>
      </c>
      <c r="AE8" s="239">
        <f t="shared" si="5"/>
        <v>15</v>
      </c>
      <c r="AF8" s="240">
        <f t="shared" si="6"/>
        <v>3.2212393857370594</v>
      </c>
      <c r="AG8" s="240">
        <f t="shared" si="7"/>
        <v>2.4812377757348902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4.1000000000000005</v>
      </c>
      <c r="M9" s="241">
        <f t="shared" si="1"/>
        <v>-36.56</v>
      </c>
      <c r="N9" s="295"/>
      <c r="O9" s="228"/>
      <c r="P9" s="228"/>
      <c r="V9" s="236">
        <f t="shared" si="8"/>
        <v>120</v>
      </c>
      <c r="W9" s="221">
        <f t="shared" si="9"/>
        <v>31.861548310662993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2.5411508490988863</v>
      </c>
      <c r="AC9" s="240">
        <f t="shared" si="4"/>
        <v>2.5411508490988863</v>
      </c>
      <c r="AE9" s="239">
        <f t="shared" si="5"/>
        <v>20</v>
      </c>
      <c r="AF9" s="240">
        <f t="shared" si="6"/>
        <v>3.2811524591010555</v>
      </c>
      <c r="AG9" s="240">
        <f t="shared" si="7"/>
        <v>2.5411508490988863</v>
      </c>
    </row>
    <row r="10" spans="1:38" s="221" customFormat="1" ht="21" customHeight="1">
      <c r="A10" s="315">
        <v>1</v>
      </c>
      <c r="B10" s="316">
        <f>Input!C26</f>
        <v>120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9.4572570388731769</v>
      </c>
      <c r="G10" s="321">
        <f>AF2</f>
        <v>2.6572570388731762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-49.76</v>
      </c>
      <c r="N10" s="295"/>
      <c r="O10" s="228"/>
      <c r="P10" s="228"/>
      <c r="V10" s="236">
        <f t="shared" si="8"/>
        <v>120</v>
      </c>
      <c r="W10" s="221">
        <f t="shared" si="9"/>
        <v>31.861548310662993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2.5876230392032307</v>
      </c>
      <c r="AC10" s="240">
        <f t="shared" si="4"/>
        <v>2.5876230392032307</v>
      </c>
      <c r="AE10" s="239">
        <f t="shared" si="5"/>
        <v>25</v>
      </c>
      <c r="AF10" s="240">
        <f t="shared" si="6"/>
        <v>3.3276246492053998</v>
      </c>
      <c r="AG10" s="240">
        <f t="shared" si="7"/>
        <v>2.5876230392032307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9.6016128464040591</v>
      </c>
      <c r="G11" s="320">
        <f>AF3</f>
        <v>2.8016128464040597</v>
      </c>
      <c r="H11" s="322"/>
      <c r="I11" s="322"/>
      <c r="J11" s="322"/>
      <c r="K11" s="324">
        <f>G11-G10</f>
        <v>0.14435580753088351</v>
      </c>
      <c r="L11" s="289" t="s">
        <v>30</v>
      </c>
      <c r="N11" s="295"/>
      <c r="O11" s="228"/>
      <c r="V11" s="236">
        <f t="shared" si="8"/>
        <v>120</v>
      </c>
      <c r="W11" s="221">
        <f t="shared" si="9"/>
        <v>31.861548310662993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2.6255935832657742</v>
      </c>
      <c r="AC11" s="240">
        <f t="shared" si="4"/>
        <v>2.6255935832657742</v>
      </c>
      <c r="AE11" s="239">
        <f t="shared" si="5"/>
        <v>30</v>
      </c>
      <c r="AF11" s="240">
        <f t="shared" si="6"/>
        <v>3.3655951932679433</v>
      </c>
      <c r="AG11" s="240">
        <f t="shared" si="7"/>
        <v>2.6255935832657742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9.6860555805709474</v>
      </c>
      <c r="G12" s="320">
        <f t="shared" ref="G12:G74" si="14">AF4</f>
        <v>2.8860555805709476</v>
      </c>
      <c r="H12" s="322"/>
      <c r="I12" s="322"/>
      <c r="J12" s="322"/>
      <c r="K12" s="324">
        <f t="shared" ref="K12:K47" si="15">G12-G11</f>
        <v>8.4442734166887856E-2</v>
      </c>
      <c r="L12" s="289" t="s">
        <v>30</v>
      </c>
      <c r="N12" s="295"/>
      <c r="O12" s="228"/>
      <c r="V12" s="236">
        <f t="shared" si="8"/>
        <v>120</v>
      </c>
      <c r="W12" s="221">
        <f t="shared" si="9"/>
        <v>31.861548310662993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2.6576972208365457</v>
      </c>
      <c r="AC12" s="240">
        <f t="shared" si="4"/>
        <v>2.6576972208365457</v>
      </c>
      <c r="AE12" s="239">
        <f t="shared" si="5"/>
        <v>35</v>
      </c>
      <c r="AF12" s="240">
        <f t="shared" si="6"/>
        <v>3.3976988308387148</v>
      </c>
      <c r="AG12" s="240">
        <f t="shared" si="7"/>
        <v>2.6576972208365457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9.745968653934943</v>
      </c>
      <c r="G13" s="320">
        <f t="shared" si="14"/>
        <v>2.9459686539349437</v>
      </c>
      <c r="H13" s="322"/>
      <c r="I13" s="322"/>
      <c r="J13" s="322"/>
      <c r="K13" s="324">
        <f t="shared" si="15"/>
        <v>5.9913073363996094E-2</v>
      </c>
      <c r="L13" s="289" t="s">
        <v>30</v>
      </c>
      <c r="N13" s="295"/>
      <c r="O13" s="228"/>
      <c r="V13" s="236">
        <f t="shared" si="8"/>
        <v>120</v>
      </c>
      <c r="W13" s="221">
        <f t="shared" si="9"/>
        <v>31.861548310662993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2.6855066566297703</v>
      </c>
      <c r="AC13" s="240">
        <f t="shared" si="4"/>
        <v>2.6855066566297703</v>
      </c>
      <c r="AE13" s="239">
        <f t="shared" si="5"/>
        <v>40</v>
      </c>
      <c r="AF13" s="240">
        <f t="shared" si="6"/>
        <v>3.4255082666319394</v>
      </c>
      <c r="AG13" s="240">
        <f t="shared" si="7"/>
        <v>2.6855066566297703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9.7924408440392874</v>
      </c>
      <c r="G14" s="320">
        <f t="shared" si="14"/>
        <v>2.992440844039288</v>
      </c>
      <c r="H14" s="322"/>
      <c r="I14" s="322"/>
      <c r="J14" s="322"/>
      <c r="K14" s="324">
        <f t="shared" si="15"/>
        <v>4.6472190104344335E-2</v>
      </c>
      <c r="L14" s="289" t="s">
        <v>30</v>
      </c>
      <c r="N14" s="295"/>
      <c r="O14" s="228"/>
      <c r="V14" s="236">
        <f t="shared" si="8"/>
        <v>120</v>
      </c>
      <c r="W14" s="221">
        <f t="shared" si="9"/>
        <v>31.861548310662993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2.7100363174326616</v>
      </c>
      <c r="AC14" s="240">
        <f t="shared" si="4"/>
        <v>2.7100363174326616</v>
      </c>
      <c r="AE14" s="239">
        <f t="shared" si="5"/>
        <v>45</v>
      </c>
      <c r="AF14" s="240">
        <f t="shared" si="6"/>
        <v>3.4500379274348307</v>
      </c>
      <c r="AG14" s="240">
        <f t="shared" si="7"/>
        <v>2.7100363174326616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9.9367966515701713</v>
      </c>
      <c r="G15" s="320">
        <f t="shared" si="14"/>
        <v>3.1367966515701715</v>
      </c>
      <c r="H15" s="322"/>
      <c r="I15" s="322"/>
      <c r="J15" s="322"/>
      <c r="K15" s="324">
        <f t="shared" si="15"/>
        <v>0.14435580753088351</v>
      </c>
      <c r="L15" s="289" t="s">
        <v>30</v>
      </c>
      <c r="N15" s="325"/>
      <c r="O15" s="229"/>
      <c r="V15" s="236">
        <f t="shared" si="8"/>
        <v>120</v>
      </c>
      <c r="W15" s="221">
        <f t="shared" si="9"/>
        <v>31.861548310662993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2.7319788467341146</v>
      </c>
      <c r="AC15" s="240">
        <f t="shared" si="4"/>
        <v>2.7319788467341146</v>
      </c>
      <c r="AE15" s="239">
        <f t="shared" si="5"/>
        <v>50</v>
      </c>
      <c r="AF15" s="240">
        <f t="shared" si="6"/>
        <v>3.4719804567362837</v>
      </c>
      <c r="AG15" s="240">
        <f t="shared" si="7"/>
        <v>2.7319788467341146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10.02123938573706</v>
      </c>
      <c r="G16" s="320">
        <f t="shared" si="14"/>
        <v>3.2212393857370594</v>
      </c>
      <c r="H16" s="322"/>
      <c r="I16" s="322"/>
      <c r="J16" s="322"/>
      <c r="K16" s="324">
        <f t="shared" si="15"/>
        <v>8.4442734166887856E-2</v>
      </c>
      <c r="L16" s="326"/>
      <c r="N16" s="327"/>
      <c r="O16" s="281"/>
      <c r="Q16" s="241"/>
      <c r="V16" s="236">
        <f t="shared" si="8"/>
        <v>120</v>
      </c>
      <c r="W16" s="221">
        <f t="shared" si="9"/>
        <v>31.861548310662993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2.7518282789433783</v>
      </c>
      <c r="AC16" s="240">
        <f t="shared" si="4"/>
        <v>2.7518282789433783</v>
      </c>
      <c r="AE16" s="239">
        <f t="shared" si="5"/>
        <v>55</v>
      </c>
      <c r="AF16" s="240">
        <f t="shared" si="6"/>
        <v>3.4604198889455473</v>
      </c>
      <c r="AG16" s="240">
        <f t="shared" si="7"/>
        <v>2.7518282789433783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10.081152459101055</v>
      </c>
      <c r="G17" s="320">
        <f t="shared" si="14"/>
        <v>3.2811524591010555</v>
      </c>
      <c r="H17" s="322"/>
      <c r="I17" s="322"/>
      <c r="J17" s="322"/>
      <c r="K17" s="324">
        <f t="shared" si="15"/>
        <v>5.9913073363996094E-2</v>
      </c>
      <c r="L17" s="228">
        <f>D10</f>
        <v>1</v>
      </c>
      <c r="M17" s="221">
        <f>INT(B10/1440*10000)/10000</f>
        <v>8.3299999999999999E-2</v>
      </c>
      <c r="N17" s="221">
        <f>L17*M17</f>
        <v>8.3299999999999999E-2</v>
      </c>
      <c r="O17" s="221">
        <f>INT((D7/2/1000)^2*PI()*100000)/100000</f>
        <v>3.141E-2</v>
      </c>
      <c r="P17" s="221">
        <f>INT(N17/O17*100)/100</f>
        <v>2.65</v>
      </c>
      <c r="Q17" s="241">
        <f>INT((G10-P17)*100)/100</f>
        <v>0</v>
      </c>
      <c r="V17" s="236">
        <f t="shared" si="8"/>
        <v>120</v>
      </c>
      <c r="W17" s="221">
        <f t="shared" si="9"/>
        <v>31.861548310662993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2.7699493907966581</v>
      </c>
      <c r="AC17" s="240">
        <f t="shared" si="4"/>
        <v>2.7699493907966581</v>
      </c>
      <c r="AE17" s="239">
        <f t="shared" si="5"/>
        <v>60</v>
      </c>
      <c r="AF17" s="240">
        <f t="shared" ref="AF17:AF69" si="16">AC17-$P$3</f>
        <v>3.5099510007988273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10.1276246492054</v>
      </c>
      <c r="G18" s="320">
        <f t="shared" si="14"/>
        <v>3.3276246492053998</v>
      </c>
      <c r="H18" s="322"/>
      <c r="I18" s="322"/>
      <c r="J18" s="322"/>
      <c r="K18" s="324">
        <f t="shared" si="15"/>
        <v>4.6472190104344335E-2</v>
      </c>
      <c r="L18" s="228">
        <f t="shared" ref="L18:L31" si="17">D11</f>
        <v>2</v>
      </c>
      <c r="M18" s="221">
        <f>M17</f>
        <v>8.3299999999999999E-2</v>
      </c>
      <c r="N18" s="221">
        <f>L18*M18</f>
        <v>0.1666</v>
      </c>
      <c r="O18" s="221">
        <f>O17</f>
        <v>3.141E-2</v>
      </c>
      <c r="P18" s="221">
        <f>INT(N18/O18*100)/100</f>
        <v>5.3</v>
      </c>
      <c r="Q18" s="241">
        <f t="shared" ref="Q18:Q27" si="18">INT((G11-P18)*100)/100</f>
        <v>-2.5</v>
      </c>
      <c r="V18" s="236">
        <f t="shared" si="8"/>
        <v>120</v>
      </c>
      <c r="W18" s="221">
        <f t="shared" si="9"/>
        <v>31.861548310662993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2.8164215809010025</v>
      </c>
      <c r="AC18" s="240">
        <f t="shared" si="4"/>
        <v>2.8164215809010025</v>
      </c>
      <c r="AE18" s="239">
        <f t="shared" si="5"/>
        <v>75</v>
      </c>
      <c r="AF18" s="240">
        <f t="shared" si="16"/>
        <v>3.5564231909031716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10.165595193267944</v>
      </c>
      <c r="G19" s="320">
        <f t="shared" si="14"/>
        <v>3.3655951932679433</v>
      </c>
      <c r="H19" s="322"/>
      <c r="I19" s="322"/>
      <c r="J19" s="322"/>
      <c r="K19" s="324">
        <f t="shared" si="15"/>
        <v>3.7970544062543521E-2</v>
      </c>
      <c r="L19" s="228">
        <f t="shared" si="17"/>
        <v>3</v>
      </c>
      <c r="M19" s="221">
        <f>M18</f>
        <v>8.3299999999999999E-2</v>
      </c>
      <c r="N19" s="221">
        <f t="shared" ref="N19:N27" si="19">L19*M19</f>
        <v>0.24990000000000001</v>
      </c>
      <c r="O19" s="221">
        <f t="shared" ref="O19:O31" si="20">O18</f>
        <v>3.141E-2</v>
      </c>
      <c r="P19" s="221">
        <f>INT(N19/O19*100)/100</f>
        <v>7.95</v>
      </c>
      <c r="Q19" s="241">
        <f t="shared" si="18"/>
        <v>-5.07</v>
      </c>
      <c r="V19" s="236">
        <f t="shared" si="8"/>
        <v>120</v>
      </c>
      <c r="W19" s="221">
        <f t="shared" si="9"/>
        <v>31.861548310662993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2.8543921249635456</v>
      </c>
      <c r="AC19" s="240">
        <f t="shared" si="4"/>
        <v>2.8543921249635456</v>
      </c>
      <c r="AE19" s="239">
        <f t="shared" si="5"/>
        <v>90</v>
      </c>
      <c r="AF19" s="240">
        <f t="shared" si="16"/>
        <v>3.5943937349657147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10.197698830838714</v>
      </c>
      <c r="G20" s="320">
        <f t="shared" si="14"/>
        <v>3.3976988308387148</v>
      </c>
      <c r="H20" s="322"/>
      <c r="I20" s="322"/>
      <c r="J20" s="322"/>
      <c r="K20" s="324">
        <f t="shared" si="15"/>
        <v>3.2103637570771504E-2</v>
      </c>
      <c r="L20" s="228">
        <f t="shared" si="17"/>
        <v>4</v>
      </c>
      <c r="M20" s="221">
        <f>M19</f>
        <v>8.3299999999999999E-2</v>
      </c>
      <c r="N20" s="221">
        <f>L20*M20</f>
        <v>0.3332</v>
      </c>
      <c r="O20" s="221">
        <f>O19</f>
        <v>3.141E-2</v>
      </c>
      <c r="P20" s="221">
        <f>INT(N20/O20*100)/100</f>
        <v>10.6</v>
      </c>
      <c r="Q20" s="241">
        <f t="shared" si="18"/>
        <v>-7.66</v>
      </c>
      <c r="V20" s="236">
        <f t="shared" si="8"/>
        <v>120</v>
      </c>
      <c r="W20" s="221">
        <f t="shared" si="9"/>
        <v>31.861548310662993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2.8864957625343175</v>
      </c>
      <c r="AC20" s="240">
        <f t="shared" si="4"/>
        <v>2.8864957625343175</v>
      </c>
      <c r="AE20" s="239">
        <f t="shared" si="5"/>
        <v>105</v>
      </c>
      <c r="AF20" s="240">
        <f t="shared" si="16"/>
        <v>3.6264973725364866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10.225508266631939</v>
      </c>
      <c r="G21" s="320">
        <f t="shared" si="14"/>
        <v>3.4255082666319394</v>
      </c>
      <c r="H21" s="322"/>
      <c r="I21" s="322"/>
      <c r="J21" s="322"/>
      <c r="K21" s="324">
        <f t="shared" si="15"/>
        <v>2.7809435793224591E-2</v>
      </c>
      <c r="L21" s="228">
        <f t="shared" si="17"/>
        <v>5</v>
      </c>
      <c r="M21" s="221">
        <f>M20</f>
        <v>8.3299999999999999E-2</v>
      </c>
      <c r="N21" s="221">
        <f t="shared" si="19"/>
        <v>0.41649999999999998</v>
      </c>
      <c r="O21" s="221">
        <f t="shared" si="20"/>
        <v>3.141E-2</v>
      </c>
      <c r="P21" s="221">
        <f>INT(N21/O21*100)/100</f>
        <v>13.26</v>
      </c>
      <c r="Q21" s="241">
        <f t="shared" si="18"/>
        <v>-10.27</v>
      </c>
      <c r="V21" s="236">
        <f t="shared" si="8"/>
        <v>120</v>
      </c>
      <c r="W21" s="221">
        <f t="shared" si="9"/>
        <v>31.861548310662993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2.9143051983275416</v>
      </c>
      <c r="AC21" s="240">
        <f t="shared" si="4"/>
        <v>2.9143051983275416</v>
      </c>
      <c r="AE21" s="239">
        <f t="shared" si="5"/>
        <v>120</v>
      </c>
      <c r="AF21" s="240">
        <f t="shared" si="16"/>
        <v>3.6543068083297108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10.25003792743483</v>
      </c>
      <c r="G22" s="320">
        <f t="shared" si="14"/>
        <v>3.4500379274348307</v>
      </c>
      <c r="H22" s="322"/>
      <c r="I22" s="322"/>
      <c r="J22" s="322"/>
      <c r="K22" s="324">
        <f t="shared" si="15"/>
        <v>2.4529660802891318E-2</v>
      </c>
      <c r="L22" s="228">
        <f t="shared" si="17"/>
        <v>10</v>
      </c>
      <c r="M22" s="221">
        <f t="shared" ref="M22:M31" si="21">M21</f>
        <v>8.3299999999999999E-2</v>
      </c>
      <c r="N22" s="221">
        <f>L22*M22</f>
        <v>0.83299999999999996</v>
      </c>
      <c r="O22" s="221">
        <f t="shared" si="20"/>
        <v>3.141E-2</v>
      </c>
      <c r="P22" s="221">
        <f t="shared" ref="P22:P27" si="22">INT(N22/O22*100)/100</f>
        <v>26.52</v>
      </c>
      <c r="Q22" s="241">
        <f t="shared" si="18"/>
        <v>-23.39</v>
      </c>
      <c r="V22" s="236">
        <f t="shared" si="8"/>
        <v>120</v>
      </c>
      <c r="W22" s="221">
        <f t="shared" si="9"/>
        <v>31.861548310662993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2.9464088358983136</v>
      </c>
      <c r="AC22" s="240">
        <f t="shared" si="4"/>
        <v>2.9464088358983136</v>
      </c>
      <c r="AE22" s="239">
        <f t="shared" si="5"/>
        <v>140</v>
      </c>
      <c r="AF22" s="240">
        <f t="shared" si="16"/>
        <v>3.6864104459004827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10.271980456736284</v>
      </c>
      <c r="G23" s="320">
        <f t="shared" si="14"/>
        <v>3.4719804567362837</v>
      </c>
      <c r="H23" s="322"/>
      <c r="I23" s="322"/>
      <c r="J23" s="322"/>
      <c r="K23" s="324">
        <f t="shared" si="15"/>
        <v>2.1942529301453018E-2</v>
      </c>
      <c r="L23" s="228">
        <f t="shared" si="17"/>
        <v>15</v>
      </c>
      <c r="M23" s="221">
        <f t="shared" si="21"/>
        <v>8.3299999999999999E-2</v>
      </c>
      <c r="N23" s="221">
        <f t="shared" si="19"/>
        <v>1.2495000000000001</v>
      </c>
      <c r="O23" s="221">
        <f t="shared" si="20"/>
        <v>3.141E-2</v>
      </c>
      <c r="P23" s="221">
        <f t="shared" si="22"/>
        <v>39.78</v>
      </c>
      <c r="Q23" s="241">
        <f t="shared" si="18"/>
        <v>-36.56</v>
      </c>
      <c r="V23" s="236">
        <f t="shared" si="8"/>
        <v>120</v>
      </c>
      <c r="W23" s="221">
        <f t="shared" si="9"/>
        <v>31.861548310662993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2.9742182716915377</v>
      </c>
      <c r="AC23" s="240">
        <f t="shared" si="4"/>
        <v>2.9742182716915377</v>
      </c>
      <c r="AE23" s="239">
        <f t="shared" si="5"/>
        <v>160</v>
      </c>
      <c r="AF23" s="240">
        <f t="shared" si="16"/>
        <v>3.7142198816937069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10.260419888945547</v>
      </c>
      <c r="G24" s="320">
        <f t="shared" si="14"/>
        <v>3.4604198889455473</v>
      </c>
      <c r="H24" s="322"/>
      <c r="I24" s="322"/>
      <c r="J24" s="322"/>
      <c r="K24" s="324">
        <f t="shared" si="15"/>
        <v>-1.1560567790736442E-2</v>
      </c>
      <c r="L24" s="228">
        <f t="shared" si="17"/>
        <v>20</v>
      </c>
      <c r="M24" s="221">
        <f t="shared" si="21"/>
        <v>8.3299999999999999E-2</v>
      </c>
      <c r="N24" s="221">
        <f t="shared" si="19"/>
        <v>1.6659999999999999</v>
      </c>
      <c r="O24" s="221">
        <f t="shared" si="20"/>
        <v>3.141E-2</v>
      </c>
      <c r="P24" s="221">
        <f t="shared" si="22"/>
        <v>53.04</v>
      </c>
      <c r="Q24" s="241">
        <f t="shared" si="18"/>
        <v>-49.76</v>
      </c>
      <c r="V24" s="236">
        <f t="shared" si="8"/>
        <v>120</v>
      </c>
      <c r="W24" s="221">
        <f t="shared" si="9"/>
        <v>31.861548310662993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2.9987479324944295</v>
      </c>
      <c r="AC24" s="240">
        <f t="shared" si="4"/>
        <v>2.9987479324944295</v>
      </c>
      <c r="AE24" s="239">
        <f t="shared" si="5"/>
        <v>180</v>
      </c>
      <c r="AF24" s="240">
        <f t="shared" si="16"/>
        <v>3.7387495424965986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10.309951000798828</v>
      </c>
      <c r="G25" s="320">
        <f t="shared" si="14"/>
        <v>3.5099510007988273</v>
      </c>
      <c r="H25" s="322"/>
      <c r="I25" s="322"/>
      <c r="J25" s="322"/>
      <c r="K25" s="324">
        <f t="shared" si="15"/>
        <v>4.9531111853279963E-2</v>
      </c>
      <c r="L25" s="228">
        <f t="shared" si="17"/>
        <v>25</v>
      </c>
      <c r="M25" s="221">
        <f t="shared" si="21"/>
        <v>8.3299999999999999E-2</v>
      </c>
      <c r="N25" s="221">
        <f t="shared" si="19"/>
        <v>2.0825</v>
      </c>
      <c r="O25" s="221">
        <f t="shared" si="20"/>
        <v>3.141E-2</v>
      </c>
      <c r="P25" s="221">
        <f t="shared" si="22"/>
        <v>66.3</v>
      </c>
      <c r="Q25" s="241">
        <f t="shared" si="18"/>
        <v>-62.98</v>
      </c>
      <c r="V25" s="236">
        <f t="shared" si="8"/>
        <v>120</v>
      </c>
      <c r="W25" s="221">
        <f t="shared" si="9"/>
        <v>31.861548310662993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3.0586610058584256</v>
      </c>
      <c r="AC25" s="240">
        <f t="shared" si="4"/>
        <v>3.0586610058584256</v>
      </c>
      <c r="AE25" s="239">
        <f t="shared" si="5"/>
        <v>240</v>
      </c>
      <c r="AF25" s="240">
        <f t="shared" si="16"/>
        <v>3.7986626158605947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10.356423190903172</v>
      </c>
      <c r="G26" s="320">
        <f t="shared" si="14"/>
        <v>3.5564231909031716</v>
      </c>
      <c r="H26" s="322"/>
      <c r="I26" s="322"/>
      <c r="J26" s="322"/>
      <c r="K26" s="324">
        <f t="shared" si="15"/>
        <v>4.6472190104344335E-2</v>
      </c>
      <c r="L26" s="228">
        <f t="shared" si="17"/>
        <v>30</v>
      </c>
      <c r="M26" s="221">
        <f t="shared" si="21"/>
        <v>8.3299999999999999E-2</v>
      </c>
      <c r="N26" s="221">
        <f t="shared" si="19"/>
        <v>2.4990000000000001</v>
      </c>
      <c r="O26" s="221">
        <f t="shared" si="20"/>
        <v>3.141E-2</v>
      </c>
      <c r="P26" s="221">
        <f t="shared" si="22"/>
        <v>79.56</v>
      </c>
      <c r="Q26" s="241">
        <f t="shared" si="18"/>
        <v>-76.2</v>
      </c>
      <c r="V26" s="236">
        <f t="shared" si="8"/>
        <v>120</v>
      </c>
      <c r="W26" s="221">
        <f t="shared" si="9"/>
        <v>31.861548310662993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3.1051331959627699</v>
      </c>
      <c r="AC26" s="240">
        <f t="shared" si="4"/>
        <v>3.1051331959627699</v>
      </c>
      <c r="AE26" s="239">
        <f t="shared" si="5"/>
        <v>300</v>
      </c>
      <c r="AF26" s="240">
        <f t="shared" si="16"/>
        <v>3.8451348059649391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10.394393734965714</v>
      </c>
      <c r="G27" s="320">
        <f t="shared" si="14"/>
        <v>3.5943937349657147</v>
      </c>
      <c r="H27" s="322"/>
      <c r="I27" s="322"/>
      <c r="J27" s="322"/>
      <c r="K27" s="324">
        <f t="shared" si="15"/>
        <v>3.7970544062543077E-2</v>
      </c>
      <c r="L27" s="228">
        <f t="shared" si="17"/>
        <v>35</v>
      </c>
      <c r="M27" s="221">
        <f t="shared" si="21"/>
        <v>8.3299999999999999E-2</v>
      </c>
      <c r="N27" s="221">
        <f t="shared" si="19"/>
        <v>2.9154999999999998</v>
      </c>
      <c r="O27" s="221">
        <f t="shared" si="20"/>
        <v>3.141E-2</v>
      </c>
      <c r="P27" s="221">
        <f t="shared" si="22"/>
        <v>92.82</v>
      </c>
      <c r="Q27" s="241">
        <f t="shared" si="18"/>
        <v>-89.43</v>
      </c>
      <c r="V27" s="236">
        <f t="shared" si="8"/>
        <v>120</v>
      </c>
      <c r="W27" s="221">
        <f t="shared" si="9"/>
        <v>31.861548310662993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3.1431037400253135</v>
      </c>
      <c r="AC27" s="240">
        <f t="shared" si="4"/>
        <v>3.1431037400253135</v>
      </c>
      <c r="AE27" s="239">
        <f t="shared" si="5"/>
        <v>360</v>
      </c>
      <c r="AF27" s="240">
        <f t="shared" si="16"/>
        <v>3.8831053500274826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10.426497372536486</v>
      </c>
      <c r="G28" s="320">
        <f t="shared" si="14"/>
        <v>3.6264973725364866</v>
      </c>
      <c r="H28" s="322"/>
      <c r="I28" s="322"/>
      <c r="J28" s="322"/>
      <c r="K28" s="324">
        <f t="shared" si="15"/>
        <v>3.2103637570771948E-2</v>
      </c>
      <c r="L28" s="228">
        <f t="shared" si="17"/>
        <v>40</v>
      </c>
      <c r="M28" s="221">
        <f t="shared" si="21"/>
        <v>8.3299999999999999E-2</v>
      </c>
      <c r="N28" s="221">
        <f>L28*M28</f>
        <v>3.3319999999999999</v>
      </c>
      <c r="O28" s="221">
        <f t="shared" si="20"/>
        <v>3.141E-2</v>
      </c>
      <c r="P28" s="221">
        <f>INT(N28/O28*100)/100</f>
        <v>106.08</v>
      </c>
      <c r="Q28" s="241">
        <f>INT((G21-P28)*100)/100</f>
        <v>-102.66</v>
      </c>
      <c r="V28" s="236">
        <f t="shared" si="8"/>
        <v>120</v>
      </c>
      <c r="W28" s="221">
        <f t="shared" si="9"/>
        <v>31.861548310662993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3.175207377596085</v>
      </c>
      <c r="AC28" s="240">
        <f t="shared" si="4"/>
        <v>3.175207377596085</v>
      </c>
      <c r="AE28" s="239">
        <f t="shared" si="5"/>
        <v>420</v>
      </c>
      <c r="AF28" s="240">
        <f t="shared" si="16"/>
        <v>3.9152089875982541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10.454306808329711</v>
      </c>
      <c r="G29" s="320">
        <f t="shared" si="14"/>
        <v>3.6543068083297108</v>
      </c>
      <c r="H29" s="322"/>
      <c r="I29" s="322"/>
      <c r="J29" s="322"/>
      <c r="K29" s="324">
        <f t="shared" si="15"/>
        <v>2.7809435793224146E-2</v>
      </c>
      <c r="L29" s="228">
        <f t="shared" si="17"/>
        <v>45</v>
      </c>
      <c r="M29" s="221">
        <f t="shared" si="21"/>
        <v>8.3299999999999999E-2</v>
      </c>
      <c r="N29" s="221">
        <f>L29*M29</f>
        <v>3.7484999999999999</v>
      </c>
      <c r="O29" s="221">
        <f t="shared" si="20"/>
        <v>3.141E-2</v>
      </c>
      <c r="P29" s="221">
        <f>INT(N29/O29*100)/100</f>
        <v>119.34</v>
      </c>
      <c r="Q29" s="241">
        <f>INT((G22-P29)*100)/100</f>
        <v>-115.89</v>
      </c>
      <c r="V29" s="236">
        <f t="shared" si="8"/>
        <v>120</v>
      </c>
      <c r="W29" s="221">
        <f t="shared" si="9"/>
        <v>31.861548310662993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3.2030168133893095</v>
      </c>
      <c r="AC29" s="240">
        <f t="shared" si="4"/>
        <v>3.2030168133893095</v>
      </c>
      <c r="AE29" s="239">
        <f t="shared" si="5"/>
        <v>480</v>
      </c>
      <c r="AF29" s="240">
        <f t="shared" si="16"/>
        <v>3.9430184233914787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10.486410445900482</v>
      </c>
      <c r="G30" s="320">
        <f t="shared" si="14"/>
        <v>3.6864104459004827</v>
      </c>
      <c r="H30" s="322"/>
      <c r="I30" s="322"/>
      <c r="J30" s="322"/>
      <c r="K30" s="324">
        <f t="shared" si="15"/>
        <v>3.2103637570771948E-2</v>
      </c>
      <c r="L30" s="228">
        <f t="shared" si="17"/>
        <v>50</v>
      </c>
      <c r="M30" s="221">
        <f t="shared" si="21"/>
        <v>8.3299999999999999E-2</v>
      </c>
      <c r="N30" s="221">
        <f>L30*M30</f>
        <v>4.165</v>
      </c>
      <c r="O30" s="221">
        <f t="shared" si="20"/>
        <v>3.141E-2</v>
      </c>
      <c r="P30" s="221">
        <f>INT(N30/O30*100)/100</f>
        <v>132.6</v>
      </c>
      <c r="Q30" s="241">
        <f>INT((G23-P30)*100)/100</f>
        <v>-129.13</v>
      </c>
      <c r="V30" s="236">
        <f t="shared" si="8"/>
        <v>120</v>
      </c>
      <c r="W30" s="221">
        <f t="shared" si="9"/>
        <v>31.861548310662993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3.2275464741922009</v>
      </c>
      <c r="AC30" s="240">
        <f t="shared" si="4"/>
        <v>3.2275464741922009</v>
      </c>
      <c r="AE30" s="239">
        <f t="shared" si="5"/>
        <v>540</v>
      </c>
      <c r="AF30" s="240">
        <f t="shared" si="16"/>
        <v>3.96754808419437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10.514219881693707</v>
      </c>
      <c r="G31" s="320">
        <f t="shared" si="14"/>
        <v>3.7142198816937069</v>
      </c>
      <c r="H31" s="322"/>
      <c r="I31" s="322"/>
      <c r="J31" s="322"/>
      <c r="K31" s="324">
        <f t="shared" si="15"/>
        <v>2.7809435793224146E-2</v>
      </c>
      <c r="L31" s="228">
        <f t="shared" si="17"/>
        <v>55</v>
      </c>
      <c r="M31" s="221">
        <f t="shared" si="21"/>
        <v>8.3299999999999999E-2</v>
      </c>
      <c r="N31" s="221">
        <f>L31*M31</f>
        <v>4.5815000000000001</v>
      </c>
      <c r="O31" s="221">
        <f t="shared" si="20"/>
        <v>3.141E-2</v>
      </c>
      <c r="P31" s="221">
        <f>INT(N31/O31*100)/100</f>
        <v>145.86000000000001</v>
      </c>
      <c r="Q31" s="241">
        <f>INT((G24-P31)*100)/100</f>
        <v>-142.4</v>
      </c>
      <c r="V31" s="236">
        <f t="shared" si="8"/>
        <v>120</v>
      </c>
      <c r="W31" s="221">
        <f t="shared" si="9"/>
        <v>31.861548310662993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3.2494890034936539</v>
      </c>
      <c r="AC31" s="240">
        <f t="shared" si="4"/>
        <v>3.2494890034936539</v>
      </c>
      <c r="AE31" s="239">
        <f t="shared" si="5"/>
        <v>600</v>
      </c>
      <c r="AF31" s="240">
        <f t="shared" si="16"/>
        <v>3.989490613495823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10.538749542496598</v>
      </c>
      <c r="G32" s="320">
        <f t="shared" si="14"/>
        <v>3.7387495424965986</v>
      </c>
      <c r="H32" s="322"/>
      <c r="I32" s="322"/>
      <c r="J32" s="322"/>
      <c r="K32" s="324">
        <f t="shared" si="15"/>
        <v>2.4529660802891762E-2</v>
      </c>
      <c r="L32" s="326" t="s">
        <v>30</v>
      </c>
      <c r="O32" s="329"/>
      <c r="V32" s="236">
        <f t="shared" si="8"/>
        <v>120</v>
      </c>
      <c r="W32" s="221">
        <f t="shared" si="9"/>
        <v>31.861548310662993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3.2693384357029176</v>
      </c>
      <c r="AC32" s="240">
        <f t="shared" si="4"/>
        <v>3.2693384357029176</v>
      </c>
      <c r="AE32" s="239">
        <f t="shared" si="5"/>
        <v>660</v>
      </c>
      <c r="AF32" s="240">
        <f t="shared" si="16"/>
        <v>4.0093400457050867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10.598662615860594</v>
      </c>
      <c r="G33" s="320">
        <f t="shared" si="14"/>
        <v>3.7986626158605947</v>
      </c>
      <c r="H33" s="322"/>
      <c r="I33" s="322"/>
      <c r="J33" s="322"/>
      <c r="K33" s="324">
        <f t="shared" si="15"/>
        <v>5.9913073363996094E-2</v>
      </c>
      <c r="L33" s="289" t="s">
        <v>30</v>
      </c>
      <c r="O33" s="329"/>
      <c r="V33" s="236">
        <f t="shared" si="8"/>
        <v>120</v>
      </c>
      <c r="W33" s="221">
        <f t="shared" si="9"/>
        <v>31.861548310662993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3.2874595475561974</v>
      </c>
      <c r="AC33" s="240">
        <f t="shared" si="4"/>
        <v>3.2874595475561974</v>
      </c>
      <c r="AE33" s="239">
        <f t="shared" si="5"/>
        <v>720</v>
      </c>
      <c r="AF33" s="240">
        <f t="shared" si="16"/>
        <v>4.027461157558367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10.64513480596494</v>
      </c>
      <c r="G34" s="320">
        <f t="shared" si="14"/>
        <v>3.8451348059649391</v>
      </c>
      <c r="H34" s="322"/>
      <c r="I34" s="322"/>
      <c r="J34" s="322"/>
      <c r="K34" s="324">
        <f t="shared" si="15"/>
        <v>4.6472190104344335E-2</v>
      </c>
      <c r="L34" s="289" t="s">
        <v>30</v>
      </c>
      <c r="P34" s="329"/>
      <c r="V34" s="236">
        <f t="shared" si="8"/>
        <v>120</v>
      </c>
      <c r="W34" s="221">
        <f t="shared" si="9"/>
        <v>31.861548310662993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3.3041293545282713</v>
      </c>
      <c r="AC34" s="240">
        <f t="shared" si="4"/>
        <v>3.3041293545282713</v>
      </c>
      <c r="AE34" s="239">
        <f t="shared" si="5"/>
        <v>780</v>
      </c>
      <c r="AF34" s="240">
        <f t="shared" si="16"/>
        <v>4.0441309645304404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10.683105350027482</v>
      </c>
      <c r="G35" s="320">
        <f t="shared" si="14"/>
        <v>3.8831053500274826</v>
      </c>
      <c r="H35" s="322"/>
      <c r="I35" s="322"/>
      <c r="J35" s="322"/>
      <c r="K35" s="324">
        <f t="shared" si="15"/>
        <v>3.7970544062543521E-2</v>
      </c>
      <c r="L35" s="289" t="s">
        <v>30</v>
      </c>
      <c r="O35" s="329"/>
      <c r="V35" s="236">
        <f t="shared" si="8"/>
        <v>120</v>
      </c>
      <c r="W35" s="221">
        <f t="shared" si="9"/>
        <v>31.861548310662993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3.3195631851269685</v>
      </c>
      <c r="AC35" s="240">
        <f t="shared" si="4"/>
        <v>3.3195631851269685</v>
      </c>
      <c r="AE35" s="239">
        <f t="shared" si="5"/>
        <v>840</v>
      </c>
      <c r="AF35" s="240">
        <f t="shared" si="16"/>
        <v>4.0595647951291376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10.715208987598254</v>
      </c>
      <c r="G36" s="320">
        <f t="shared" si="14"/>
        <v>3.9152089875982541</v>
      </c>
      <c r="H36" s="322"/>
      <c r="I36" s="322"/>
      <c r="J36" s="322"/>
      <c r="K36" s="324">
        <f t="shared" si="15"/>
        <v>3.2103637570771504E-2</v>
      </c>
      <c r="L36" s="289" t="s">
        <v>30</v>
      </c>
      <c r="V36" s="236">
        <f t="shared" si="8"/>
        <v>120</v>
      </c>
      <c r="W36" s="221">
        <f t="shared" si="9"/>
        <v>31.861548310662993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3.3339317376605413</v>
      </c>
      <c r="AC36" s="240">
        <f t="shared" si="4"/>
        <v>3.3339317376605413</v>
      </c>
      <c r="AE36" s="239">
        <f t="shared" si="5"/>
        <v>900</v>
      </c>
      <c r="AF36" s="240">
        <f t="shared" si="16"/>
        <v>4.0739333476627104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10.743018423391479</v>
      </c>
      <c r="G37" s="320">
        <f t="shared" si="14"/>
        <v>3.9430184233914787</v>
      </c>
      <c r="H37" s="322"/>
      <c r="I37" s="322"/>
      <c r="J37" s="322"/>
      <c r="K37" s="324">
        <f t="shared" si="15"/>
        <v>2.7809435793224591E-2</v>
      </c>
      <c r="L37" s="289" t="s">
        <v>30</v>
      </c>
      <c r="V37" s="236">
        <f t="shared" si="8"/>
        <v>120</v>
      </c>
      <c r="W37" s="221">
        <f t="shared" si="9"/>
        <v>31.861548310662993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3.3473726209201935</v>
      </c>
      <c r="AC37" s="240">
        <f t="shared" si="4"/>
        <v>3.3473726209201935</v>
      </c>
      <c r="AD37" s="221">
        <v>37</v>
      </c>
      <c r="AE37" s="239">
        <f t="shared" si="5"/>
        <v>960</v>
      </c>
      <c r="AF37" s="240">
        <f t="shared" si="16"/>
        <v>4.0873742309223626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10.76754808419437</v>
      </c>
      <c r="G38" s="320">
        <f t="shared" si="14"/>
        <v>3.96754808419437</v>
      </c>
      <c r="H38" s="322"/>
      <c r="I38" s="322"/>
      <c r="J38" s="322"/>
      <c r="K38" s="324">
        <f t="shared" si="15"/>
        <v>2.4529660802891318E-2</v>
      </c>
      <c r="L38" s="289" t="s">
        <v>30</v>
      </c>
      <c r="V38" s="236">
        <f t="shared" si="8"/>
        <v>120</v>
      </c>
      <c r="W38" s="221">
        <f t="shared" si="9"/>
        <v>31.861548310662993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3.3599983899978314</v>
      </c>
      <c r="AC38" s="240">
        <f t="shared" si="4"/>
        <v>3.3599983899978314</v>
      </c>
      <c r="AD38" s="228" t="s">
        <v>49</v>
      </c>
      <c r="AE38" s="239">
        <f t="shared" si="5"/>
        <v>1020</v>
      </c>
      <c r="AF38" s="240">
        <f t="shared" si="16"/>
        <v>4.1000000000000005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10.789490613495822</v>
      </c>
      <c r="G39" s="320">
        <f t="shared" si="14"/>
        <v>3.989490613495823</v>
      </c>
      <c r="H39" s="322"/>
      <c r="I39" s="322"/>
      <c r="J39" s="322"/>
      <c r="K39" s="324">
        <f t="shared" si="15"/>
        <v>2.1942529301453018E-2</v>
      </c>
      <c r="L39" s="289" t="s">
        <v>30</v>
      </c>
      <c r="V39" s="236">
        <f t="shared" si="8"/>
        <v>120</v>
      </c>
      <c r="W39" s="221">
        <f t="shared" si="9"/>
        <v>31.861548310662993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3.3599983899978314</v>
      </c>
      <c r="AC39" s="240">
        <f t="shared" ref="AC39:AC46" si="24">AC38</f>
        <v>3.3599983899978314</v>
      </c>
      <c r="AD39" s="330">
        <v>39</v>
      </c>
      <c r="AE39" s="239">
        <f t="shared" si="5"/>
        <v>1080</v>
      </c>
      <c r="AF39" s="240">
        <f t="shared" si="16"/>
        <v>4.1000000000000005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10.809340045705087</v>
      </c>
      <c r="G40" s="320">
        <f t="shared" si="14"/>
        <v>4.0093400457050867</v>
      </c>
      <c r="H40" s="322"/>
      <c r="I40" s="322"/>
      <c r="J40" s="322"/>
      <c r="K40" s="324">
        <f t="shared" si="15"/>
        <v>1.9849432209263718E-2</v>
      </c>
      <c r="L40" s="289" t="s">
        <v>30</v>
      </c>
      <c r="V40" s="236">
        <f t="shared" si="8"/>
        <v>120</v>
      </c>
      <c r="W40" s="221">
        <f t="shared" si="9"/>
        <v>31.861548310662993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3.3599983899978314</v>
      </c>
      <c r="AC40" s="240">
        <f t="shared" si="24"/>
        <v>3.3599983899978314</v>
      </c>
      <c r="AD40" s="330">
        <v>40</v>
      </c>
      <c r="AE40" s="239">
        <f t="shared" si="5"/>
        <v>1140</v>
      </c>
      <c r="AF40" s="240">
        <f t="shared" si="16"/>
        <v>4.1000000000000005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10.827461157558368</v>
      </c>
      <c r="G41" s="320">
        <f t="shared" si="14"/>
        <v>4.027461157558367</v>
      </c>
      <c r="H41" s="322"/>
      <c r="I41" s="322"/>
      <c r="J41" s="322"/>
      <c r="K41" s="324">
        <f t="shared" si="15"/>
        <v>1.8121111853280247E-2</v>
      </c>
      <c r="L41" s="289" t="s">
        <v>30</v>
      </c>
      <c r="V41" s="331">
        <f t="shared" si="8"/>
        <v>120</v>
      </c>
      <c r="W41" s="332">
        <f t="shared" si="9"/>
        <v>31.861548310662993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3.3599983899978314</v>
      </c>
      <c r="AC41" s="240">
        <f t="shared" si="24"/>
        <v>3.3599983899978314</v>
      </c>
      <c r="AD41" s="335">
        <v>41</v>
      </c>
      <c r="AE41" s="239">
        <f t="shared" si="5"/>
        <v>1200</v>
      </c>
      <c r="AF41" s="240">
        <f t="shared" si="16"/>
        <v>4.1000000000000005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10.844130964530439</v>
      </c>
      <c r="G42" s="320">
        <f t="shared" si="14"/>
        <v>4.0441309645304404</v>
      </c>
      <c r="H42" s="322"/>
      <c r="I42" s="322"/>
      <c r="J42" s="322"/>
      <c r="K42" s="324">
        <f t="shared" si="15"/>
        <v>1.6669806972073431E-2</v>
      </c>
      <c r="L42" s="289" t="s">
        <v>30</v>
      </c>
      <c r="V42" s="236">
        <f t="shared" si="8"/>
        <v>120</v>
      </c>
      <c r="W42" s="221">
        <f t="shared" si="9"/>
        <v>31.861548310662993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3.3599983899978314</v>
      </c>
      <c r="AC42" s="240">
        <f t="shared" si="24"/>
        <v>3.3599983899978314</v>
      </c>
      <c r="AD42" s="330">
        <v>42</v>
      </c>
      <c r="AE42" s="239">
        <f t="shared" si="5"/>
        <v>1260</v>
      </c>
      <c r="AF42" s="240">
        <f t="shared" si="16"/>
        <v>4.1000000000000005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10.859564795129138</v>
      </c>
      <c r="G43" s="320">
        <f t="shared" si="14"/>
        <v>4.0595647951291376</v>
      </c>
      <c r="H43" s="322"/>
      <c r="I43" s="322"/>
      <c r="J43" s="322"/>
      <c r="K43" s="324">
        <f t="shared" si="15"/>
        <v>1.5433830598697185E-2</v>
      </c>
      <c r="L43" s="289" t="s">
        <v>30</v>
      </c>
      <c r="V43" s="331">
        <f t="shared" si="8"/>
        <v>120</v>
      </c>
      <c r="W43" s="332">
        <f t="shared" si="9"/>
        <v>31.861548310662993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3.3599983899978314</v>
      </c>
      <c r="AC43" s="240">
        <f t="shared" si="24"/>
        <v>3.3599983899978314</v>
      </c>
      <c r="AD43" s="335">
        <v>43</v>
      </c>
      <c r="AE43" s="239">
        <f t="shared" si="5"/>
        <v>1320</v>
      </c>
      <c r="AF43" s="240">
        <f t="shared" si="16"/>
        <v>4.1000000000000005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10.87393334766271</v>
      </c>
      <c r="G44" s="320">
        <f t="shared" si="14"/>
        <v>4.0739333476627104</v>
      </c>
      <c r="H44" s="322"/>
      <c r="I44" s="322"/>
      <c r="J44" s="322"/>
      <c r="K44" s="324">
        <f t="shared" si="15"/>
        <v>1.4368552533572831E-2</v>
      </c>
      <c r="L44" s="289" t="s">
        <v>30</v>
      </c>
      <c r="V44" s="236">
        <f t="shared" si="8"/>
        <v>120</v>
      </c>
      <c r="W44" s="221">
        <f t="shared" si="9"/>
        <v>31.861548310662993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3.3599983899978314</v>
      </c>
      <c r="AC44" s="240">
        <f t="shared" si="24"/>
        <v>3.3599983899978314</v>
      </c>
      <c r="AD44" s="330">
        <v>44</v>
      </c>
      <c r="AE44" s="239">
        <f t="shared" si="5"/>
        <v>1380</v>
      </c>
      <c r="AF44" s="240">
        <f t="shared" si="16"/>
        <v>4.1000000000000005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10.887374230922362</v>
      </c>
      <c r="G45" s="320">
        <f t="shared" si="14"/>
        <v>4.0873742309223626</v>
      </c>
      <c r="H45" s="322"/>
      <c r="I45" s="322"/>
      <c r="J45" s="322"/>
      <c r="K45" s="324">
        <f t="shared" si="15"/>
        <v>1.3440883259652203E-2</v>
      </c>
      <c r="L45" s="289" t="s">
        <v>30</v>
      </c>
      <c r="V45" s="331">
        <f t="shared" si="8"/>
        <v>120</v>
      </c>
      <c r="W45" s="332">
        <f t="shared" si="9"/>
        <v>31.861548310662993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3.3599983899978314</v>
      </c>
      <c r="AC45" s="240">
        <f t="shared" si="24"/>
        <v>3.3599983899978314</v>
      </c>
      <c r="AD45" s="335">
        <v>45</v>
      </c>
      <c r="AE45" s="239">
        <f t="shared" si="5"/>
        <v>1440</v>
      </c>
      <c r="AF45" s="240">
        <f t="shared" si="16"/>
        <v>4.1000000000000005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10.9</v>
      </c>
      <c r="G46" s="320">
        <f t="shared" si="14"/>
        <v>4.1000000000000005</v>
      </c>
      <c r="H46" s="322"/>
      <c r="I46" s="322"/>
      <c r="J46" s="322"/>
      <c r="K46" s="324">
        <f t="shared" si="15"/>
        <v>1.2625769077637905E-2</v>
      </c>
      <c r="L46" s="289" t="s">
        <v>30</v>
      </c>
      <c r="V46" s="236">
        <f t="shared" si="8"/>
        <v>120</v>
      </c>
      <c r="W46" s="221">
        <f t="shared" si="9"/>
        <v>31.861548310662993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3.3599983899978314</v>
      </c>
      <c r="AC46" s="240">
        <f t="shared" si="24"/>
        <v>3.3599983899978314</v>
      </c>
      <c r="AD46" s="330">
        <v>46</v>
      </c>
      <c r="AE46" s="337">
        <f t="shared" si="5"/>
        <v>1500</v>
      </c>
      <c r="AF46" s="339">
        <f t="shared" si="16"/>
        <v>4.1000000000000005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10.9</v>
      </c>
      <c r="G47" s="320">
        <f t="shared" si="14"/>
        <v>4.1000000000000005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120</v>
      </c>
      <c r="W47" s="221">
        <f t="shared" si="9"/>
        <v>31.861548310662993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3.3599983899978314</v>
      </c>
      <c r="AC47" s="240">
        <f t="shared" ref="AC47:AC69" si="25">AC46</f>
        <v>3.3599983899978314</v>
      </c>
      <c r="AE47" s="239">
        <f t="shared" si="5"/>
        <v>1560</v>
      </c>
      <c r="AF47" s="240">
        <f t="shared" si="16"/>
        <v>4.1000000000000005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10.9</v>
      </c>
      <c r="G48" s="320">
        <f t="shared" si="14"/>
        <v>4.1000000000000005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120</v>
      </c>
      <c r="W48" s="221">
        <f t="shared" si="9"/>
        <v>31.861548310662993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3.3599983899978314</v>
      </c>
      <c r="AC48" s="240">
        <f t="shared" si="25"/>
        <v>3.3599983899978314</v>
      </c>
      <c r="AE48" s="239">
        <f t="shared" si="5"/>
        <v>1620</v>
      </c>
      <c r="AF48" s="240">
        <f t="shared" si="16"/>
        <v>4.1000000000000005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10.9</v>
      </c>
      <c r="G49" s="320">
        <f t="shared" si="14"/>
        <v>4.1000000000000005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120</v>
      </c>
      <c r="W49" s="221">
        <f t="shared" si="9"/>
        <v>31.861548310662993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3.3599983899978314</v>
      </c>
      <c r="AC49" s="240">
        <f t="shared" si="25"/>
        <v>3.3599983899978314</v>
      </c>
      <c r="AE49" s="239">
        <f t="shared" si="5"/>
        <v>1680</v>
      </c>
      <c r="AF49" s="240">
        <f t="shared" si="16"/>
        <v>4.1000000000000005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10.9</v>
      </c>
      <c r="G50" s="320">
        <f t="shared" si="14"/>
        <v>4.1000000000000005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120</v>
      </c>
      <c r="W50" s="221">
        <f t="shared" si="9"/>
        <v>31.861548310662993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3.3599983899978314</v>
      </c>
      <c r="AC50" s="240">
        <f t="shared" si="25"/>
        <v>3.3599983899978314</v>
      </c>
      <c r="AE50" s="239">
        <f t="shared" si="5"/>
        <v>1740</v>
      </c>
      <c r="AF50" s="240">
        <f t="shared" si="16"/>
        <v>4.1000000000000005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10.9</v>
      </c>
      <c r="G51" s="320">
        <f t="shared" si="14"/>
        <v>4.1000000000000005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120</v>
      </c>
      <c r="W51" s="221">
        <f t="shared" si="9"/>
        <v>31.861548310662993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3.3599983899978314</v>
      </c>
      <c r="AC51" s="240">
        <f t="shared" si="25"/>
        <v>3.3599983899978314</v>
      </c>
      <c r="AE51" s="239">
        <f t="shared" si="5"/>
        <v>1800</v>
      </c>
      <c r="AF51" s="240">
        <f t="shared" si="16"/>
        <v>4.1000000000000005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10.9</v>
      </c>
      <c r="G52" s="320">
        <f t="shared" si="14"/>
        <v>4.1000000000000005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120</v>
      </c>
      <c r="W52" s="221">
        <f t="shared" si="9"/>
        <v>31.861548310662993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3.3599983899978314</v>
      </c>
      <c r="AC52" s="240">
        <f t="shared" si="25"/>
        <v>3.3599983899978314</v>
      </c>
      <c r="AE52" s="239">
        <f t="shared" si="5"/>
        <v>1860</v>
      </c>
      <c r="AF52" s="240">
        <f t="shared" si="16"/>
        <v>4.1000000000000005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10.9</v>
      </c>
      <c r="G53" s="320">
        <f t="shared" si="14"/>
        <v>4.1000000000000005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120</v>
      </c>
      <c r="W53" s="221">
        <f t="shared" si="9"/>
        <v>31.861548310662993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3.3599983899978314</v>
      </c>
      <c r="AC53" s="240">
        <f t="shared" si="25"/>
        <v>3.3599983899978314</v>
      </c>
      <c r="AE53" s="239">
        <f t="shared" si="5"/>
        <v>1920</v>
      </c>
      <c r="AF53" s="240">
        <f t="shared" si="16"/>
        <v>4.1000000000000005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10.9</v>
      </c>
      <c r="G54" s="320">
        <f t="shared" si="14"/>
        <v>4.1000000000000005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120</v>
      </c>
      <c r="W54" s="221">
        <f t="shared" si="9"/>
        <v>31.861548310662993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3.3599983899978314</v>
      </c>
      <c r="AC54" s="240">
        <f t="shared" si="25"/>
        <v>3.3599983899978314</v>
      </c>
      <c r="AE54" s="239">
        <f t="shared" si="5"/>
        <v>1980</v>
      </c>
      <c r="AF54" s="240">
        <f t="shared" si="16"/>
        <v>4.1000000000000005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10.9</v>
      </c>
      <c r="G55" s="320">
        <f t="shared" si="14"/>
        <v>4.1000000000000005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120</v>
      </c>
      <c r="W55" s="221">
        <f t="shared" si="9"/>
        <v>31.861548310662993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3.3599983899978314</v>
      </c>
      <c r="AC55" s="240">
        <f t="shared" si="25"/>
        <v>3.3599983899978314</v>
      </c>
      <c r="AE55" s="239">
        <f t="shared" si="5"/>
        <v>2040</v>
      </c>
      <c r="AF55" s="240">
        <f t="shared" si="16"/>
        <v>4.1000000000000005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10.9</v>
      </c>
      <c r="G56" s="320">
        <f t="shared" si="14"/>
        <v>4.1000000000000005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120</v>
      </c>
      <c r="W56" s="221">
        <f t="shared" si="9"/>
        <v>31.861548310662993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3.3599983899978314</v>
      </c>
      <c r="AC56" s="240">
        <f t="shared" si="25"/>
        <v>3.3599983899978314</v>
      </c>
      <c r="AE56" s="239">
        <f t="shared" si="5"/>
        <v>2100</v>
      </c>
      <c r="AF56" s="240">
        <f t="shared" si="16"/>
        <v>4.1000000000000005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10.9</v>
      </c>
      <c r="G57" s="320">
        <f t="shared" si="14"/>
        <v>4.1000000000000005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120</v>
      </c>
      <c r="W57" s="221">
        <f t="shared" si="9"/>
        <v>31.861548310662993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3.3599983899978314</v>
      </c>
      <c r="AC57" s="240">
        <f t="shared" si="25"/>
        <v>3.3599983899978314</v>
      </c>
      <c r="AE57" s="239">
        <f t="shared" si="5"/>
        <v>2160</v>
      </c>
      <c r="AF57" s="240">
        <f t="shared" si="16"/>
        <v>4.1000000000000005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10.9</v>
      </c>
      <c r="G58" s="320">
        <f t="shared" si="14"/>
        <v>4.1000000000000005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120</v>
      </c>
      <c r="W58" s="221">
        <f t="shared" si="9"/>
        <v>31.861548310662993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3.3599983899978314</v>
      </c>
      <c r="AC58" s="240">
        <f t="shared" si="25"/>
        <v>3.3599983899978314</v>
      </c>
      <c r="AE58" s="239">
        <f t="shared" si="5"/>
        <v>2220</v>
      </c>
      <c r="AF58" s="240">
        <f t="shared" si="16"/>
        <v>4.1000000000000005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10.9</v>
      </c>
      <c r="G59" s="320">
        <f t="shared" si="14"/>
        <v>4.1000000000000005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120</v>
      </c>
      <c r="W59" s="221">
        <f t="shared" si="9"/>
        <v>31.861548310662993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3.3599983899978314</v>
      </c>
      <c r="AC59" s="240">
        <f t="shared" si="25"/>
        <v>3.3599983899978314</v>
      </c>
      <c r="AE59" s="239">
        <f t="shared" si="5"/>
        <v>2280</v>
      </c>
      <c r="AF59" s="240">
        <f t="shared" si="16"/>
        <v>4.1000000000000005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10.9</v>
      </c>
      <c r="G60" s="320">
        <f t="shared" si="14"/>
        <v>4.1000000000000005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120</v>
      </c>
      <c r="W60" s="221">
        <f t="shared" si="9"/>
        <v>31.861548310662993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3.3599983899978314</v>
      </c>
      <c r="AC60" s="240">
        <f t="shared" si="25"/>
        <v>3.3599983899978314</v>
      </c>
      <c r="AE60" s="239">
        <f t="shared" si="5"/>
        <v>2340</v>
      </c>
      <c r="AF60" s="240">
        <f t="shared" si="16"/>
        <v>4.1000000000000005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10.9</v>
      </c>
      <c r="G61" s="320">
        <f t="shared" si="14"/>
        <v>4.1000000000000005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120</v>
      </c>
      <c r="W61" s="221">
        <f t="shared" si="9"/>
        <v>31.861548310662993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3.3599983899978314</v>
      </c>
      <c r="AC61" s="240">
        <f t="shared" si="25"/>
        <v>3.3599983899978314</v>
      </c>
      <c r="AE61" s="239">
        <f t="shared" si="5"/>
        <v>2400</v>
      </c>
      <c r="AF61" s="240">
        <f t="shared" si="16"/>
        <v>4.1000000000000005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10.9</v>
      </c>
      <c r="G62" s="320">
        <f t="shared" si="14"/>
        <v>4.1000000000000005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120</v>
      </c>
      <c r="W62" s="221">
        <f t="shared" si="9"/>
        <v>31.861548310662993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3.3599983899978314</v>
      </c>
      <c r="AC62" s="240">
        <f t="shared" si="25"/>
        <v>3.3599983899978314</v>
      </c>
      <c r="AE62" s="239">
        <f t="shared" si="5"/>
        <v>2460</v>
      </c>
      <c r="AF62" s="240">
        <f t="shared" si="16"/>
        <v>4.1000000000000005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10.9</v>
      </c>
      <c r="G63" s="320">
        <f t="shared" si="14"/>
        <v>4.1000000000000005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120</v>
      </c>
      <c r="W63" s="221">
        <f t="shared" si="9"/>
        <v>31.861548310662993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3.3599983899978314</v>
      </c>
      <c r="AC63" s="240">
        <f t="shared" si="25"/>
        <v>3.3599983899978314</v>
      </c>
      <c r="AE63" s="239">
        <f t="shared" si="5"/>
        <v>2520</v>
      </c>
      <c r="AF63" s="240">
        <f t="shared" si="16"/>
        <v>4.1000000000000005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10.9</v>
      </c>
      <c r="G64" s="320">
        <f t="shared" si="14"/>
        <v>4.1000000000000005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120</v>
      </c>
      <c r="W64" s="221">
        <f t="shared" si="9"/>
        <v>31.861548310662993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3.3599983899978314</v>
      </c>
      <c r="AC64" s="240">
        <f t="shared" si="25"/>
        <v>3.3599983899978314</v>
      </c>
      <c r="AE64" s="239">
        <f t="shared" si="5"/>
        <v>2580</v>
      </c>
      <c r="AF64" s="240">
        <f t="shared" si="16"/>
        <v>4.1000000000000005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10.9</v>
      </c>
      <c r="G65" s="320">
        <f t="shared" si="14"/>
        <v>4.1000000000000005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120</v>
      </c>
      <c r="W65" s="221">
        <f t="shared" si="9"/>
        <v>31.861548310662993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3.3599983899978314</v>
      </c>
      <c r="AC65" s="240">
        <f t="shared" si="25"/>
        <v>3.3599983899978314</v>
      </c>
      <c r="AE65" s="239">
        <f t="shared" si="5"/>
        <v>2640</v>
      </c>
      <c r="AF65" s="240">
        <f t="shared" si="16"/>
        <v>4.1000000000000005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10.9</v>
      </c>
      <c r="G66" s="320">
        <f t="shared" si="14"/>
        <v>4.1000000000000005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120</v>
      </c>
      <c r="W66" s="221">
        <f t="shared" si="9"/>
        <v>31.861548310662993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3.3599983899978314</v>
      </c>
      <c r="AC66" s="240">
        <f t="shared" si="25"/>
        <v>3.3599983899978314</v>
      </c>
      <c r="AE66" s="239">
        <f t="shared" si="5"/>
        <v>2700</v>
      </c>
      <c r="AF66" s="240">
        <f t="shared" si="16"/>
        <v>4.1000000000000005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10.9</v>
      </c>
      <c r="G67" s="320">
        <f t="shared" si="14"/>
        <v>4.1000000000000005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120</v>
      </c>
      <c r="W67" s="221">
        <f t="shared" si="9"/>
        <v>31.861548310662993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3.3599983899978314</v>
      </c>
      <c r="AC67" s="240">
        <f t="shared" si="25"/>
        <v>3.3599983899978314</v>
      </c>
      <c r="AE67" s="239">
        <f>AA67</f>
        <v>2760</v>
      </c>
      <c r="AF67" s="240">
        <f t="shared" si="16"/>
        <v>4.1000000000000005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10.9</v>
      </c>
      <c r="G68" s="320">
        <f t="shared" si="14"/>
        <v>4.1000000000000005</v>
      </c>
      <c r="H68" s="322"/>
      <c r="I68" s="322"/>
      <c r="J68" s="322"/>
      <c r="K68" s="221" t="s">
        <v>30</v>
      </c>
      <c r="L68" s="289" t="s">
        <v>30</v>
      </c>
      <c r="V68" s="236">
        <f>V67</f>
        <v>120</v>
      </c>
      <c r="W68" s="221">
        <f t="shared" ref="W68:W83" si="29">W$2</f>
        <v>31.861548310662993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3.3599983899978314</v>
      </c>
      <c r="AC68" s="240">
        <f t="shared" si="25"/>
        <v>3.3599983899978314</v>
      </c>
      <c r="AE68" s="239">
        <f>AA68</f>
        <v>2820</v>
      </c>
      <c r="AF68" s="240">
        <f t="shared" si="16"/>
        <v>4.1000000000000005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10.9</v>
      </c>
      <c r="G69" s="320">
        <f t="shared" si="14"/>
        <v>4.1000000000000005</v>
      </c>
      <c r="H69" s="322"/>
      <c r="I69" s="322"/>
      <c r="J69" s="322"/>
      <c r="K69" s="221" t="s">
        <v>30</v>
      </c>
      <c r="L69" s="289" t="s">
        <v>30</v>
      </c>
      <c r="V69" s="236">
        <f>V68</f>
        <v>120</v>
      </c>
      <c r="W69" s="221">
        <f t="shared" si="29"/>
        <v>31.861548310662993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3.3599983899978314</v>
      </c>
      <c r="AC69" s="240">
        <f t="shared" si="25"/>
        <v>3.3599983899978314</v>
      </c>
      <c r="AE69" s="239">
        <f>AA69</f>
        <v>2880</v>
      </c>
      <c r="AF69" s="240">
        <f t="shared" si="16"/>
        <v>4.1000000000000005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10.9</v>
      </c>
      <c r="G70" s="320">
        <f t="shared" si="14"/>
        <v>4.1000000000000005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31.861548310662993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10.9</v>
      </c>
      <c r="G71" s="320">
        <f t="shared" si="14"/>
        <v>4.1000000000000005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31.861548310662993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10.9</v>
      </c>
      <c r="G72" s="320">
        <f t="shared" si="14"/>
        <v>4.1000000000000005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31.861548310662993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10.9</v>
      </c>
      <c r="G73" s="320">
        <f t="shared" si="14"/>
        <v>4.1000000000000005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31.861548310662993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10.9</v>
      </c>
      <c r="G74" s="320">
        <f t="shared" si="14"/>
        <v>4.1000000000000005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31.861548310662993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10.9</v>
      </c>
      <c r="G75" s="320">
        <f>AF67</f>
        <v>4.1000000000000005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31.861548310662993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10.9</v>
      </c>
      <c r="G76" s="320">
        <f>AF68</f>
        <v>4.1000000000000005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31.861548310662993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10.9</v>
      </c>
      <c r="G77" s="320">
        <f>AF69</f>
        <v>4.1000000000000005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31.861548310662993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10.165070108130086</v>
      </c>
      <c r="G78" s="320">
        <f>H114</f>
        <v>3.365070108130086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31.861548310662993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10.025600673262332</v>
      </c>
      <c r="G79" s="320">
        <f>H115</f>
        <v>3.225600673262333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31.861548310662993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9.8919117192277533</v>
      </c>
      <c r="G80" s="320">
        <f>H116</f>
        <v>3.0919117192277539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31.861548310662993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9.7637636669480035</v>
      </c>
      <c r="G81" s="320">
        <f>H117</f>
        <v>2.9637636669480036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31.861548310662993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9.6409268669918475</v>
      </c>
      <c r="G82" s="320">
        <f>H118</f>
        <v>2.8409268669918473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31.861548310662993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9.3021279076784591</v>
      </c>
      <c r="G83" s="320">
        <f>H121</f>
        <v>2.5021279076784597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31.861548310662993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9.2325054934655455</v>
      </c>
      <c r="G84" s="320">
        <f>H124</f>
        <v>2.4325054934655461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9.0350477109409635</v>
      </c>
      <c r="G85" s="320">
        <f>H126</f>
        <v>2.2350477109409637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8.9424134325661164</v>
      </c>
      <c r="G86" s="320">
        <f t="shared" ref="G86:G92" si="34">H127</f>
        <v>2.1424134325661162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8.8536184948406973</v>
      </c>
      <c r="G87" s="320">
        <f t="shared" si="34"/>
        <v>2.0536184948406975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8.8248456731316587</v>
      </c>
      <c r="G88" s="320">
        <f t="shared" si="34"/>
        <v>2.0248456731316589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8.7964759814446669</v>
      </c>
      <c r="G89" s="320">
        <f t="shared" si="34"/>
        <v>1.9964759814446669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8.7685037716088079</v>
      </c>
      <c r="G90" s="320">
        <f t="shared" si="34"/>
        <v>1.9685037716088074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8.7409234745885165</v>
      </c>
      <c r="G91" s="320">
        <f t="shared" si="34"/>
        <v>1.9409234745885162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8.7137295993748261</v>
      </c>
      <c r="G92" s="320">
        <f t="shared" si="34"/>
        <v>1.9137295993748265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8.6869167318921576</v>
      </c>
      <c r="G93" s="320">
        <f>H134</f>
        <v>1.8869167318921576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8.6604795339204159</v>
      </c>
      <c r="G94" s="320">
        <f>H135</f>
        <v>1.8604795339204154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8.6344127420321968</v>
      </c>
      <c r="G95" s="320">
        <f>H136</f>
        <v>1.8344127420321976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8.6087111665448894</v>
      </c>
      <c r="G96" s="320">
        <f>H137</f>
        <v>1.8087111665448892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8.5337469262375194</v>
      </c>
      <c r="G97" s="320">
        <f>H138</f>
        <v>1.7337469262375198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8.5094557585632167</v>
      </c>
      <c r="G98" s="320">
        <f>H140</f>
        <v>1.7094557585632162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8.3706912853414615</v>
      </c>
      <c r="G99" s="320">
        <f>H142</f>
        <v>1.5706912853414619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8.2431909696926979</v>
      </c>
      <c r="G100" s="320">
        <f>H144</f>
        <v>1.4431909696926974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8.1260404475662167</v>
      </c>
      <c r="G101" s="341">
        <f>H146</f>
        <v>1.3260404475662166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4.1000000000000005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4.1000000000000005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3.820715180131566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4.1000000000000005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3.6623609795233341</v>
      </c>
      <c r="I112" s="240"/>
      <c r="J112" s="241">
        <f>H111-H112</f>
        <v>0.15835420060823191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4.1000000000000005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3.5105699618973545</v>
      </c>
      <c r="I113" s="240"/>
      <c r="J113" s="241">
        <f t="shared" ref="J113:J146" si="40">H112-H113</f>
        <v>0.15179101762597957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4.1000000000000005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3.365070108130086</v>
      </c>
      <c r="I114" s="352"/>
      <c r="J114" s="241">
        <f t="shared" si="40"/>
        <v>0.14549985376726848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4.1000000000000005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3.225600673262333</v>
      </c>
      <c r="I115" s="352"/>
      <c r="J115" s="241">
        <f t="shared" si="40"/>
        <v>0.13946943486775298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4.1000000000000005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3.0919117192277539</v>
      </c>
      <c r="I116" s="352"/>
      <c r="J116" s="241">
        <f t="shared" si="40"/>
        <v>0.13368895403457914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4.1000000000000005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2.9637636669480036</v>
      </c>
      <c r="I117" s="352"/>
      <c r="J117" s="241">
        <f t="shared" si="40"/>
        <v>0.12814805227975024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4.1000000000000005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2.8409268669918473</v>
      </c>
      <c r="I118" s="352"/>
      <c r="J118" s="241">
        <f t="shared" si="40"/>
        <v>0.12283679995615637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4.1000000000000005</v>
      </c>
      <c r="E119" s="281">
        <f t="shared" si="38"/>
        <v>0.71</v>
      </c>
      <c r="F119" s="315"/>
      <c r="G119" s="221">
        <v>9</v>
      </c>
      <c r="H119" s="353">
        <f t="shared" si="36"/>
        <v>2.7231811880288181</v>
      </c>
      <c r="I119" s="354"/>
      <c r="J119" s="241">
        <f t="shared" si="40"/>
        <v>0.11774567896302912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4.1000000000000005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2.6103156223399289</v>
      </c>
      <c r="I120" s="240"/>
      <c r="J120" s="241">
        <f t="shared" si="40"/>
        <v>0.11286556568888928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4.1000000000000005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2.5021279076784597</v>
      </c>
      <c r="I121" s="352"/>
      <c r="J121" s="241">
        <f t="shared" si="40"/>
        <v>0.10818771466146915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4.1000000000000005</v>
      </c>
      <c r="E122" s="281">
        <f t="shared" si="38"/>
        <v>0.62</v>
      </c>
      <c r="F122" s="315"/>
      <c r="G122" s="221">
        <v>14</v>
      </c>
      <c r="H122" s="348">
        <f t="shared" si="36"/>
        <v>2.398424164803199</v>
      </c>
      <c r="I122" s="240"/>
      <c r="J122" s="241">
        <f t="shared" si="40"/>
        <v>0.10370374287526074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4.1000000000000005</v>
      </c>
      <c r="E123" s="281">
        <f t="shared" si="38"/>
        <v>0.37</v>
      </c>
      <c r="F123" s="315"/>
      <c r="G123" s="221">
        <v>15</v>
      </c>
      <c r="H123" s="348">
        <f t="shared" si="36"/>
        <v>1.6855049293881781</v>
      </c>
      <c r="I123" s="240"/>
      <c r="J123" s="241">
        <f t="shared" si="40"/>
        <v>0.71291923541502089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4.1000000000000005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2.4325054934655461</v>
      </c>
      <c r="I124" s="352"/>
      <c r="J124" s="241">
        <f t="shared" si="40"/>
        <v>-0.74700056407736803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4.1000000000000005</v>
      </c>
      <c r="E125" s="281">
        <f t="shared" si="38"/>
        <v>0.6</v>
      </c>
      <c r="F125" s="315"/>
      <c r="G125" s="221">
        <v>18</v>
      </c>
      <c r="H125" s="348">
        <f t="shared" si="36"/>
        <v>2.3316873364629078</v>
      </c>
      <c r="I125" s="240"/>
      <c r="J125" s="241">
        <f t="shared" si="40"/>
        <v>0.1008181570026383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4.1000000000000005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2.2350477109409637</v>
      </c>
      <c r="I126" s="352"/>
      <c r="J126" s="241">
        <f t="shared" si="40"/>
        <v>9.6639625521944161E-2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4.1000000000000005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2.1424134325661162</v>
      </c>
      <c r="I127" s="352"/>
      <c r="J127" s="241">
        <f t="shared" si="40"/>
        <v>9.2634278374847501E-2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4.1000000000000005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2.0536184948406975</v>
      </c>
      <c r="I128" s="352"/>
      <c r="J128" s="241">
        <f t="shared" si="40"/>
        <v>8.8794937725418688E-2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4.1000000000000005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2.0248456731316589</v>
      </c>
      <c r="I129" s="352"/>
      <c r="J129" s="241">
        <f t="shared" si="40"/>
        <v>2.877282170903861E-2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4.1000000000000005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1.9964759814446669</v>
      </c>
      <c r="I130" s="352"/>
      <c r="J130" s="241">
        <f t="shared" si="40"/>
        <v>2.8369691686991994E-2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4.1000000000000005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1.9685037716088074</v>
      </c>
      <c r="I131" s="352"/>
      <c r="J131" s="241">
        <f t="shared" si="40"/>
        <v>2.7972209835859463E-2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4.1000000000000005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1.9409234745885162</v>
      </c>
      <c r="I132" s="352"/>
      <c r="J132" s="241">
        <f t="shared" si="40"/>
        <v>2.7580297020291189E-2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4.1000000000000005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1.9137295993748265</v>
      </c>
      <c r="I133" s="352"/>
      <c r="J133" s="241">
        <f t="shared" si="40"/>
        <v>2.7193875213689767E-2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4.1000000000000005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1.8869167318921576</v>
      </c>
      <c r="I134" s="352"/>
      <c r="J134" s="241">
        <f t="shared" si="40"/>
        <v>2.6812867482668867E-2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4.1000000000000005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1.8604795339204154</v>
      </c>
      <c r="I135" s="352"/>
      <c r="J135" s="241">
        <f t="shared" si="40"/>
        <v>2.6437197971742155E-2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4.1000000000000005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1.8344127420321976</v>
      </c>
      <c r="I136" s="352"/>
      <c r="J136" s="241">
        <f t="shared" si="40"/>
        <v>2.6066791888217811E-2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4.1000000000000005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1.8087111665448892</v>
      </c>
      <c r="I137" s="352"/>
      <c r="J137" s="241">
        <f t="shared" si="40"/>
        <v>2.5701575487308448E-2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4.1000000000000005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1.7337469262375198</v>
      </c>
      <c r="I138" s="352"/>
      <c r="J138" s="241">
        <f t="shared" si="40"/>
        <v>7.4964240307369367E-2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4.1000000000000005</v>
      </c>
      <c r="E139" s="281">
        <f t="shared" si="38"/>
        <v>0.36</v>
      </c>
      <c r="F139" s="315"/>
      <c r="G139" s="221">
        <v>150</v>
      </c>
      <c r="H139" s="348">
        <f t="shared" si="36"/>
        <v>1.6618896703004604</v>
      </c>
      <c r="I139" s="240"/>
      <c r="J139" s="241">
        <f t="shared" si="40"/>
        <v>7.1857255937059383E-2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4.1000000000000005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1.7094557585632162</v>
      </c>
      <c r="I140" s="352"/>
      <c r="J140" s="241">
        <f t="shared" si="40"/>
        <v>-4.7566088262755768E-2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4.1000000000000005</v>
      </c>
      <c r="E141" s="281">
        <f t="shared" si="38"/>
        <v>0.35</v>
      </c>
      <c r="F141" s="315"/>
      <c r="G141" s="221">
        <v>210</v>
      </c>
      <c r="H141" s="348">
        <f t="shared" si="36"/>
        <v>1.6386052796973474</v>
      </c>
      <c r="I141" s="240"/>
      <c r="J141" s="241">
        <f t="shared" si="40"/>
        <v>7.0850478865868816E-2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4.1000000000000005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1.5706912853414619</v>
      </c>
      <c r="I142" s="352"/>
      <c r="J142" s="241">
        <f t="shared" si="40"/>
        <v>6.7913994355885521E-2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4.1000000000000005</v>
      </c>
      <c r="E143" s="281">
        <f>C143/100</f>
        <v>0.28999999999999998</v>
      </c>
      <c r="F143" s="315"/>
      <c r="G143" s="221">
        <v>270</v>
      </c>
      <c r="H143" s="348">
        <f t="shared" si="36"/>
        <v>1.5055920693135354</v>
      </c>
      <c r="I143" s="240"/>
      <c r="J143" s="241">
        <f t="shared" si="40"/>
        <v>6.5099216027926454E-2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4.1000000000000005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1.4431909696926974</v>
      </c>
      <c r="I144" s="352"/>
      <c r="J144" s="241">
        <f t="shared" si="40"/>
        <v>6.2401099620837952E-2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4.1000000000000005</v>
      </c>
      <c r="E145" s="281">
        <f>C145/100</f>
        <v>0.23</v>
      </c>
      <c r="F145" s="315"/>
      <c r="G145" s="221">
        <v>330</v>
      </c>
      <c r="H145" s="348">
        <f t="shared" si="36"/>
        <v>1.3833761597536753</v>
      </c>
      <c r="I145" s="240"/>
      <c r="J145" s="241">
        <f t="shared" si="40"/>
        <v>5.9814809939022107E-2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4.1000000000000005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1.3260404475662166</v>
      </c>
      <c r="I146" s="352"/>
      <c r="J146" s="241">
        <f t="shared" si="40"/>
        <v>5.7335712187458698E-2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128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W-4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75</v>
      </c>
    </row>
    <row r="25" spans="1:2">
      <c r="A25" s="358">
        <f>StepTest!D31</f>
        <v>120</v>
      </c>
      <c r="B25" s="358">
        <f>Input!D4</f>
        <v>95</v>
      </c>
    </row>
    <row r="26" spans="1:2">
      <c r="A26" s="358">
        <f>StepTest!D36</f>
        <v>240</v>
      </c>
      <c r="B26" s="358">
        <f>Input!D5</f>
        <v>116.45</v>
      </c>
    </row>
    <row r="27" spans="1:2">
      <c r="A27" s="358">
        <f>StepTest!D41</f>
        <v>360</v>
      </c>
      <c r="B27" s="358">
        <f>Input!D6</f>
        <v>137</v>
      </c>
    </row>
    <row r="28" spans="1:2">
      <c r="A28" s="358">
        <f>StepTest!D46</f>
        <v>480</v>
      </c>
      <c r="B28" s="358">
        <f>Input!D7</f>
        <v>157.54999999999998</v>
      </c>
    </row>
    <row r="29" spans="1:2">
      <c r="A29" s="356" t="s">
        <v>219</v>
      </c>
      <c r="B29" s="356"/>
    </row>
    <row r="30" spans="1:2">
      <c r="A30" s="356" t="str">
        <f>A15</f>
        <v>W-4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</v>
      </c>
      <c r="C35" s="358">
        <v>1</v>
      </c>
    </row>
    <row r="36" spans="1:3">
      <c r="A36" s="356">
        <f>Sheet1!A2</f>
        <v>2</v>
      </c>
      <c r="B36" s="357">
        <f>Sheet1!B2</f>
        <v>1.1000000000000001</v>
      </c>
      <c r="C36" s="358">
        <v>1</v>
      </c>
    </row>
    <row r="37" spans="1:3">
      <c r="A37" s="356">
        <f>Sheet1!A3</f>
        <v>3</v>
      </c>
      <c r="B37" s="357">
        <f>Sheet1!B3</f>
        <v>1.1599999999999999</v>
      </c>
      <c r="C37" s="358">
        <v>1</v>
      </c>
    </row>
    <row r="38" spans="1:3">
      <c r="A38" s="356">
        <f>Sheet1!A4</f>
        <v>4</v>
      </c>
      <c r="B38" s="357">
        <f>Sheet1!B4</f>
        <v>1.2</v>
      </c>
      <c r="C38" s="358">
        <v>1</v>
      </c>
    </row>
    <row r="39" spans="1:3">
      <c r="A39" s="356">
        <f>Sheet1!A5</f>
        <v>5</v>
      </c>
      <c r="B39" s="357">
        <f>Sheet1!B5</f>
        <v>1.23</v>
      </c>
      <c r="C39" s="358">
        <v>1</v>
      </c>
    </row>
    <row r="40" spans="1:3">
      <c r="A40" s="356">
        <f>Sheet1!A6</f>
        <v>10</v>
      </c>
      <c r="B40" s="357">
        <f>Sheet1!B6</f>
        <v>1.34</v>
      </c>
      <c r="C40" s="358">
        <v>1</v>
      </c>
    </row>
    <row r="41" spans="1:3">
      <c r="A41" s="356">
        <f>Sheet1!A7</f>
        <v>15</v>
      </c>
      <c r="B41" s="357">
        <f>Sheet1!B7</f>
        <v>1.4</v>
      </c>
      <c r="C41" s="358">
        <v>1</v>
      </c>
    </row>
    <row r="42" spans="1:3">
      <c r="A42" s="356">
        <f>Sheet1!A8</f>
        <v>20</v>
      </c>
      <c r="B42" s="357">
        <f>Sheet1!B8</f>
        <v>1.44</v>
      </c>
      <c r="C42" s="358">
        <v>1</v>
      </c>
    </row>
    <row r="43" spans="1:3">
      <c r="A43" s="356">
        <f>Sheet1!A9</f>
        <v>25</v>
      </c>
      <c r="B43" s="357">
        <f>Sheet1!B9</f>
        <v>1.47</v>
      </c>
      <c r="C43" s="358">
        <v>1</v>
      </c>
    </row>
    <row r="44" spans="1:3">
      <c r="A44" s="356">
        <f>Sheet1!A10</f>
        <v>30</v>
      </c>
      <c r="B44" s="357">
        <f>Sheet1!B10</f>
        <v>1.5</v>
      </c>
      <c r="C44" s="358">
        <v>1</v>
      </c>
    </row>
    <row r="45" spans="1:3">
      <c r="A45" s="356">
        <f>Sheet1!A11</f>
        <v>35</v>
      </c>
      <c r="B45" s="357">
        <f>Sheet1!B11</f>
        <v>1.52</v>
      </c>
      <c r="C45" s="358">
        <v>1</v>
      </c>
    </row>
    <row r="46" spans="1:3">
      <c r="A46" s="356">
        <f>Sheet1!A12</f>
        <v>40</v>
      </c>
      <c r="B46" s="357">
        <f>Sheet1!B12</f>
        <v>1.54</v>
      </c>
      <c r="C46" s="358">
        <v>1</v>
      </c>
    </row>
    <row r="47" spans="1:3">
      <c r="A47" s="356">
        <f>Sheet1!A13</f>
        <v>45</v>
      </c>
      <c r="B47" s="357">
        <f>Sheet1!B13</f>
        <v>1.56</v>
      </c>
      <c r="C47" s="358">
        <v>1</v>
      </c>
    </row>
    <row r="48" spans="1:3">
      <c r="A48" s="356">
        <f>Sheet1!A14</f>
        <v>50</v>
      </c>
      <c r="B48" s="357">
        <f>Sheet1!B14</f>
        <v>1.58</v>
      </c>
      <c r="C48" s="358">
        <v>1</v>
      </c>
    </row>
    <row r="49" spans="1:3">
      <c r="A49" s="356">
        <f>Sheet1!A15</f>
        <v>55</v>
      </c>
      <c r="B49" s="357">
        <f>Sheet1!B15</f>
        <v>1.59</v>
      </c>
      <c r="C49" s="358">
        <v>1</v>
      </c>
    </row>
    <row r="50" spans="1:3">
      <c r="A50" s="356">
        <f>Sheet1!A16</f>
        <v>60</v>
      </c>
      <c r="B50" s="357">
        <f>Sheet1!B16</f>
        <v>1.6</v>
      </c>
      <c r="C50" s="358">
        <v>1</v>
      </c>
    </row>
    <row r="51" spans="1:3">
      <c r="A51" s="356">
        <f>Sheet1!A17</f>
        <v>75</v>
      </c>
      <c r="B51" s="357">
        <f>Sheet1!B17</f>
        <v>1.64</v>
      </c>
      <c r="C51" s="358">
        <v>1</v>
      </c>
    </row>
    <row r="52" spans="1:3">
      <c r="A52" s="356">
        <f>Sheet1!A18</f>
        <v>90</v>
      </c>
      <c r="B52" s="357">
        <f>Sheet1!B18</f>
        <v>1.66</v>
      </c>
      <c r="C52" s="358">
        <v>1</v>
      </c>
    </row>
    <row r="53" spans="1:3">
      <c r="A53" s="356">
        <f>Sheet1!A19</f>
        <v>105</v>
      </c>
      <c r="B53" s="357">
        <f>Sheet1!B19</f>
        <v>1.69</v>
      </c>
      <c r="C53" s="358">
        <v>1</v>
      </c>
    </row>
    <row r="54" spans="1:3">
      <c r="A54" s="356">
        <f>Sheet1!A20</f>
        <v>120</v>
      </c>
      <c r="B54" s="357">
        <f>Sheet1!B20</f>
        <v>1.71</v>
      </c>
      <c r="C54" s="358">
        <v>1</v>
      </c>
    </row>
    <row r="55" spans="1:3">
      <c r="A55" s="356">
        <f>Sheet1!A21</f>
        <v>121</v>
      </c>
      <c r="B55" s="357">
        <f>Sheet1!B21</f>
        <v>1.8699999999999999</v>
      </c>
      <c r="C55" s="358">
        <v>1</v>
      </c>
    </row>
    <row r="56" spans="1:3">
      <c r="A56" s="356">
        <f>Sheet1!A22</f>
        <v>122</v>
      </c>
      <c r="B56" s="357">
        <f>Sheet1!B22</f>
        <v>2.02</v>
      </c>
      <c r="C56" s="358">
        <v>1</v>
      </c>
    </row>
    <row r="57" spans="1:3">
      <c r="A57" s="356">
        <f>Sheet1!A23</f>
        <v>123</v>
      </c>
      <c r="B57" s="357">
        <f>Sheet1!B23</f>
        <v>2.16</v>
      </c>
      <c r="C57" s="358">
        <v>1</v>
      </c>
    </row>
    <row r="58" spans="1:3">
      <c r="A58" s="356">
        <f>Sheet1!A24</f>
        <v>124</v>
      </c>
      <c r="B58" s="357">
        <f>Sheet1!B24</f>
        <v>2.29</v>
      </c>
      <c r="C58" s="358">
        <v>1</v>
      </c>
    </row>
    <row r="59" spans="1:3">
      <c r="A59" s="356">
        <f>Sheet1!A25</f>
        <v>125</v>
      </c>
      <c r="B59" s="357">
        <f>Sheet1!B25</f>
        <v>2.42</v>
      </c>
      <c r="C59" s="358">
        <v>1</v>
      </c>
    </row>
    <row r="60" spans="1:3">
      <c r="A60" s="356">
        <f>Sheet1!A26</f>
        <v>130</v>
      </c>
      <c r="B60" s="357">
        <f>Sheet1!B26</f>
        <v>2.0499999999999998</v>
      </c>
      <c r="C60" s="358">
        <v>1</v>
      </c>
    </row>
    <row r="61" spans="1:3">
      <c r="A61" s="356">
        <f>Sheet1!A27</f>
        <v>135</v>
      </c>
      <c r="B61" s="357">
        <f>Sheet1!B27</f>
        <v>2.1599999999999997</v>
      </c>
      <c r="C61" s="358">
        <v>1</v>
      </c>
    </row>
    <row r="62" spans="1:3">
      <c r="A62" s="356">
        <f>Sheet1!A28</f>
        <v>140</v>
      </c>
      <c r="B62" s="357">
        <f>Sheet1!B28</f>
        <v>2.1</v>
      </c>
      <c r="C62" s="358">
        <v>1</v>
      </c>
    </row>
    <row r="63" spans="1:3">
      <c r="A63" s="356">
        <f>Sheet1!A29</f>
        <v>145</v>
      </c>
      <c r="B63" s="357">
        <f>Sheet1!B29</f>
        <v>2.2000000000000002</v>
      </c>
      <c r="C63" s="358">
        <v>1</v>
      </c>
    </row>
    <row r="64" spans="1:3">
      <c r="A64" s="356">
        <f>Sheet1!A30</f>
        <v>150</v>
      </c>
      <c r="B64" s="357">
        <f>Sheet1!B30</f>
        <v>2.16</v>
      </c>
      <c r="C64" s="358">
        <v>1</v>
      </c>
    </row>
    <row r="65" spans="1:3">
      <c r="A65" s="356">
        <f>Sheet1!A31</f>
        <v>155</v>
      </c>
      <c r="B65" s="357">
        <f>Sheet1!B31</f>
        <v>2.2200000000000002</v>
      </c>
      <c r="C65" s="358">
        <v>1</v>
      </c>
    </row>
    <row r="66" spans="1:3">
      <c r="A66" s="356">
        <f>Sheet1!A32</f>
        <v>160</v>
      </c>
      <c r="B66" s="357">
        <f>Sheet1!B32</f>
        <v>2.27</v>
      </c>
      <c r="C66" s="358">
        <v>1</v>
      </c>
    </row>
    <row r="67" spans="1:3">
      <c r="A67" s="356">
        <f>Sheet1!A33</f>
        <v>165</v>
      </c>
      <c r="B67" s="357">
        <f>Sheet1!B33</f>
        <v>2.31</v>
      </c>
      <c r="C67" s="358">
        <v>1</v>
      </c>
    </row>
    <row r="68" spans="1:3">
      <c r="A68" s="356">
        <f>Sheet1!A34</f>
        <v>170</v>
      </c>
      <c r="B68" s="357">
        <f>Sheet1!B34</f>
        <v>2.34</v>
      </c>
      <c r="C68" s="358">
        <v>1</v>
      </c>
    </row>
    <row r="69" spans="1:3">
      <c r="A69" s="356">
        <f>Sheet1!A35</f>
        <v>175</v>
      </c>
      <c r="B69" s="357">
        <f>Sheet1!B35</f>
        <v>2.36</v>
      </c>
      <c r="C69" s="358">
        <v>1</v>
      </c>
    </row>
    <row r="70" spans="1:3">
      <c r="A70" s="356">
        <f>Sheet1!A36</f>
        <v>180</v>
      </c>
      <c r="B70" s="357">
        <f>Sheet1!B36</f>
        <v>2.2200000000000002</v>
      </c>
      <c r="C70" s="358">
        <v>1</v>
      </c>
    </row>
    <row r="71" spans="1:3">
      <c r="A71" s="356">
        <f>Sheet1!A37</f>
        <v>195</v>
      </c>
      <c r="B71" s="357">
        <f>Sheet1!B37</f>
        <v>2.29</v>
      </c>
      <c r="C71" s="358">
        <v>1</v>
      </c>
    </row>
    <row r="72" spans="1:3">
      <c r="A72" s="356">
        <f>Sheet1!A38</f>
        <v>210</v>
      </c>
      <c r="B72" s="357">
        <f>Sheet1!B38</f>
        <v>2.35</v>
      </c>
      <c r="C72" s="358">
        <v>1</v>
      </c>
    </row>
    <row r="73" spans="1:3">
      <c r="A73" s="356">
        <f>Sheet1!A39</f>
        <v>225</v>
      </c>
      <c r="B73" s="357">
        <f>Sheet1!B39</f>
        <v>2.4</v>
      </c>
      <c r="C73" s="358">
        <v>1</v>
      </c>
    </row>
    <row r="74" spans="1:3">
      <c r="A74" s="356">
        <f>Sheet1!A40</f>
        <v>240</v>
      </c>
      <c r="B74" s="357">
        <f>Sheet1!B40</f>
        <v>2.2799999999999998</v>
      </c>
      <c r="C74" s="358">
        <v>1</v>
      </c>
    </row>
    <row r="75" spans="1:3">
      <c r="A75" s="356">
        <f>Sheet1!A41</f>
        <v>241</v>
      </c>
      <c r="B75" s="357">
        <f>Sheet1!B41</f>
        <v>2.46</v>
      </c>
      <c r="C75" s="358">
        <v>1</v>
      </c>
    </row>
    <row r="76" spans="1:3">
      <c r="A76" s="356">
        <f>Sheet1!A42</f>
        <v>242</v>
      </c>
      <c r="B76" s="357">
        <f>Sheet1!B42</f>
        <v>2.62</v>
      </c>
      <c r="C76" s="358">
        <v>1</v>
      </c>
    </row>
    <row r="77" spans="1:3">
      <c r="A77" s="356">
        <f>Sheet1!A43</f>
        <v>243</v>
      </c>
      <c r="B77" s="357">
        <f>Sheet1!B43</f>
        <v>2.77</v>
      </c>
      <c r="C77" s="358">
        <v>1</v>
      </c>
    </row>
    <row r="78" spans="1:3">
      <c r="A78" s="356">
        <f>Sheet1!A44</f>
        <v>244</v>
      </c>
      <c r="B78" s="357">
        <f>Sheet1!B44</f>
        <v>2.91</v>
      </c>
      <c r="C78" s="358">
        <v>1</v>
      </c>
    </row>
    <row r="79" spans="1:3">
      <c r="A79" s="356">
        <f>Sheet1!A45</f>
        <v>245</v>
      </c>
      <c r="B79" s="357">
        <f>Sheet1!B45</f>
        <v>3.04</v>
      </c>
      <c r="C79" s="358">
        <v>1</v>
      </c>
    </row>
    <row r="80" spans="1:3">
      <c r="A80" s="356">
        <f>Sheet1!A46</f>
        <v>250</v>
      </c>
      <c r="B80" s="357">
        <f>Sheet1!B46</f>
        <v>2.66</v>
      </c>
      <c r="C80" s="358">
        <v>1</v>
      </c>
    </row>
    <row r="81" spans="1:3">
      <c r="A81" s="356">
        <f>Sheet1!A47</f>
        <v>255</v>
      </c>
      <c r="B81" s="357">
        <f>Sheet1!B47</f>
        <v>2.77</v>
      </c>
      <c r="C81" s="358">
        <v>1</v>
      </c>
    </row>
    <row r="82" spans="1:3">
      <c r="A82" s="356">
        <f>Sheet1!A48</f>
        <v>260</v>
      </c>
      <c r="B82" s="357">
        <f>Sheet1!B48</f>
        <v>2.72</v>
      </c>
      <c r="C82" s="358">
        <v>1</v>
      </c>
    </row>
    <row r="83" spans="1:3">
      <c r="A83" s="356">
        <f>Sheet1!A49</f>
        <v>265</v>
      </c>
      <c r="B83" s="357">
        <f>Sheet1!B49</f>
        <v>2.83</v>
      </c>
      <c r="C83" s="358">
        <v>1</v>
      </c>
    </row>
    <row r="84" spans="1:3">
      <c r="A84" s="356">
        <f>Sheet1!A50</f>
        <v>270</v>
      </c>
      <c r="B84" s="357">
        <f>Sheet1!B50</f>
        <v>2.79</v>
      </c>
      <c r="C84" s="358">
        <v>1</v>
      </c>
    </row>
    <row r="85" spans="1:3">
      <c r="A85" s="356">
        <f>Sheet1!A51</f>
        <v>275</v>
      </c>
      <c r="B85" s="357">
        <f>Sheet1!B51</f>
        <v>2.86</v>
      </c>
      <c r="C85" s="358">
        <v>1</v>
      </c>
    </row>
    <row r="86" spans="1:3">
      <c r="A86" s="356">
        <f>Sheet1!A52</f>
        <v>280</v>
      </c>
      <c r="B86" s="357">
        <f>Sheet1!B52</f>
        <v>2.9099999999999997</v>
      </c>
      <c r="C86" s="358">
        <v>1</v>
      </c>
    </row>
    <row r="87" spans="1:3">
      <c r="A87" s="356">
        <f>Sheet1!A53</f>
        <v>285</v>
      </c>
      <c r="B87" s="357">
        <f>Sheet1!B53</f>
        <v>2.9499999999999997</v>
      </c>
      <c r="C87" s="358">
        <v>1</v>
      </c>
    </row>
    <row r="88" spans="1:3">
      <c r="A88" s="356">
        <f>Sheet1!A54</f>
        <v>290</v>
      </c>
      <c r="B88" s="357">
        <f>Sheet1!B54</f>
        <v>2.9799999999999995</v>
      </c>
      <c r="C88" s="358">
        <v>1</v>
      </c>
    </row>
    <row r="89" spans="1:3">
      <c r="A89" s="356">
        <f>Sheet1!A55</f>
        <v>295</v>
      </c>
      <c r="B89" s="357">
        <f>Sheet1!B55</f>
        <v>2.9999999999999996</v>
      </c>
      <c r="C89" s="358">
        <v>1</v>
      </c>
    </row>
    <row r="90" spans="1:3">
      <c r="A90" s="356">
        <f>Sheet1!A56</f>
        <v>300</v>
      </c>
      <c r="B90" s="357">
        <f>Sheet1!B56</f>
        <v>2.85</v>
      </c>
      <c r="C90" s="358">
        <v>1</v>
      </c>
    </row>
    <row r="91" spans="1:3">
      <c r="A91" s="356">
        <f>Sheet1!A57</f>
        <v>315</v>
      </c>
      <c r="B91" s="357">
        <f>Sheet1!B57</f>
        <v>2.93</v>
      </c>
      <c r="C91" s="358">
        <v>1</v>
      </c>
    </row>
    <row r="92" spans="1:3">
      <c r="A92" s="356">
        <f>Sheet1!A58</f>
        <v>330</v>
      </c>
      <c r="B92" s="357">
        <f>Sheet1!B58</f>
        <v>2.99</v>
      </c>
      <c r="C92" s="358">
        <v>1</v>
      </c>
    </row>
    <row r="93" spans="1:3">
      <c r="A93" s="356">
        <f>Sheet1!A59</f>
        <v>345</v>
      </c>
      <c r="B93" s="357">
        <f>Sheet1!B59</f>
        <v>3.04</v>
      </c>
      <c r="C93" s="358">
        <v>1</v>
      </c>
    </row>
    <row r="94" spans="1:3">
      <c r="A94" s="356">
        <f>Sheet1!A60</f>
        <v>360</v>
      </c>
      <c r="B94" s="357">
        <f>Sheet1!B60</f>
        <v>2.92</v>
      </c>
      <c r="C94" s="358">
        <v>1</v>
      </c>
    </row>
    <row r="95" spans="1:3">
      <c r="A95" s="356">
        <f>Sheet1!A61</f>
        <v>361</v>
      </c>
      <c r="B95" s="357">
        <f>Sheet1!B61</f>
        <v>3.11</v>
      </c>
      <c r="C95" s="358">
        <v>1</v>
      </c>
    </row>
    <row r="96" spans="1:3">
      <c r="A96" s="356">
        <f>Sheet1!A62</f>
        <v>362</v>
      </c>
      <c r="B96" s="357">
        <f>Sheet1!B62</f>
        <v>3.28</v>
      </c>
      <c r="C96" s="358">
        <v>1</v>
      </c>
    </row>
    <row r="97" spans="1:3">
      <c r="A97" s="356">
        <f>Sheet1!A63</f>
        <v>363</v>
      </c>
      <c r="B97" s="357">
        <f>Sheet1!B63</f>
        <v>3.44</v>
      </c>
      <c r="C97" s="358">
        <v>1</v>
      </c>
    </row>
    <row r="98" spans="1:3">
      <c r="A98" s="356">
        <f>Sheet1!A64</f>
        <v>364</v>
      </c>
      <c r="B98" s="357">
        <f>Sheet1!B64</f>
        <v>3.59</v>
      </c>
      <c r="C98" s="358">
        <v>1</v>
      </c>
    </row>
    <row r="99" spans="1:3">
      <c r="A99" s="356">
        <f>Sheet1!A65</f>
        <v>365</v>
      </c>
      <c r="B99" s="357">
        <f>Sheet1!B65</f>
        <v>3.73</v>
      </c>
      <c r="C99" s="358">
        <v>1</v>
      </c>
    </row>
    <row r="100" spans="1:3">
      <c r="A100" s="356">
        <f>Sheet1!A66</f>
        <v>370</v>
      </c>
      <c r="B100" s="357">
        <f>Sheet1!B66</f>
        <v>3.35</v>
      </c>
      <c r="C100" s="358">
        <v>1</v>
      </c>
    </row>
    <row r="101" spans="1:3">
      <c r="A101" s="356">
        <f>Sheet1!A67</f>
        <v>375</v>
      </c>
      <c r="B101" s="357">
        <f>Sheet1!B67</f>
        <v>3.47</v>
      </c>
      <c r="C101" s="358">
        <v>1</v>
      </c>
    </row>
    <row r="102" spans="1:3">
      <c r="A102" s="356">
        <f>Sheet1!A68</f>
        <v>380</v>
      </c>
      <c r="B102" s="357">
        <f>Sheet1!B68</f>
        <v>3.42</v>
      </c>
      <c r="C102" s="358">
        <v>1</v>
      </c>
    </row>
    <row r="103" spans="1:3">
      <c r="A103" s="356">
        <f>Sheet1!A69</f>
        <v>385</v>
      </c>
      <c r="B103" s="357">
        <f>Sheet1!B69</f>
        <v>3.54</v>
      </c>
      <c r="C103" s="358">
        <v>1</v>
      </c>
    </row>
    <row r="104" spans="1:3">
      <c r="A104" s="356">
        <f>Sheet1!A70</f>
        <v>390</v>
      </c>
      <c r="B104" s="357">
        <f>Sheet1!B70</f>
        <v>3.49</v>
      </c>
      <c r="C104" s="358">
        <v>1</v>
      </c>
    </row>
    <row r="105" spans="1:3">
      <c r="A105" s="356">
        <f>Sheet1!A71</f>
        <v>395</v>
      </c>
      <c r="B105" s="357">
        <f>Sheet1!B71</f>
        <v>3.56</v>
      </c>
      <c r="C105" s="358">
        <v>1</v>
      </c>
    </row>
    <row r="106" spans="1:3">
      <c r="A106" s="356">
        <f>Sheet1!A72</f>
        <v>400</v>
      </c>
      <c r="B106" s="357">
        <f>Sheet1!B72</f>
        <v>3.61</v>
      </c>
      <c r="C106" s="358">
        <v>1</v>
      </c>
    </row>
    <row r="107" spans="1:3">
      <c r="A107" s="356">
        <f>Sheet1!A73</f>
        <v>405</v>
      </c>
      <c r="B107" s="357">
        <f>Sheet1!B73</f>
        <v>3.65</v>
      </c>
      <c r="C107" s="358">
        <v>1</v>
      </c>
    </row>
    <row r="108" spans="1:3">
      <c r="A108" s="356">
        <f>Sheet1!A74</f>
        <v>410</v>
      </c>
      <c r="B108" s="357">
        <f>Sheet1!B74</f>
        <v>3.6799999999999997</v>
      </c>
      <c r="C108" s="358">
        <v>1</v>
      </c>
    </row>
    <row r="109" spans="1:3">
      <c r="A109" s="356">
        <f>Sheet1!A75</f>
        <v>415</v>
      </c>
      <c r="B109" s="357">
        <f>Sheet1!B75</f>
        <v>3.7099999999999995</v>
      </c>
      <c r="C109" s="358">
        <v>1</v>
      </c>
    </row>
    <row r="110" spans="1:3">
      <c r="A110" s="356">
        <f>Sheet1!A76</f>
        <v>420</v>
      </c>
      <c r="B110" s="357">
        <f>Sheet1!B76</f>
        <v>3.56</v>
      </c>
      <c r="C110" s="358">
        <v>1</v>
      </c>
    </row>
    <row r="111" spans="1:3">
      <c r="A111" s="356">
        <f>Sheet1!A77</f>
        <v>435</v>
      </c>
      <c r="B111" s="357">
        <f>Sheet1!B77</f>
        <v>3.65</v>
      </c>
      <c r="C111" s="358">
        <v>1</v>
      </c>
    </row>
    <row r="112" spans="1:3">
      <c r="A112" s="356">
        <f>Sheet1!A78</f>
        <v>450</v>
      </c>
      <c r="B112" s="357">
        <f>Sheet1!B78</f>
        <v>3.7199999999999998</v>
      </c>
      <c r="C112" s="358">
        <v>1</v>
      </c>
    </row>
    <row r="113" spans="1:3">
      <c r="A113" s="356">
        <f>Sheet1!A79</f>
        <v>465</v>
      </c>
      <c r="B113" s="357">
        <f>Sheet1!B79</f>
        <v>3.7699999999999996</v>
      </c>
      <c r="C113" s="358">
        <v>1</v>
      </c>
    </row>
    <row r="114" spans="1:3">
      <c r="A114" s="356">
        <f>Sheet1!A80</f>
        <v>480</v>
      </c>
      <c r="B114" s="357">
        <f>Sheet1!B80</f>
        <v>3.64</v>
      </c>
      <c r="C114" s="358">
        <v>1</v>
      </c>
    </row>
    <row r="115" spans="1:3">
      <c r="A115" s="356">
        <f>Sheet1!A81</f>
        <v>481</v>
      </c>
      <c r="B115" s="357">
        <f>Sheet1!B81</f>
        <v>3.85</v>
      </c>
      <c r="C115" s="358">
        <v>1</v>
      </c>
    </row>
    <row r="116" spans="1:3">
      <c r="A116" s="356">
        <f>Sheet1!A82</f>
        <v>482</v>
      </c>
      <c r="B116" s="357">
        <f>Sheet1!B82</f>
        <v>4.04</v>
      </c>
      <c r="C116" s="358">
        <v>1</v>
      </c>
    </row>
    <row r="117" spans="1:3">
      <c r="A117" s="356">
        <f>Sheet1!A83</f>
        <v>483</v>
      </c>
      <c r="B117" s="357">
        <f>Sheet1!B83</f>
        <v>4.21</v>
      </c>
      <c r="C117" s="358">
        <v>1</v>
      </c>
    </row>
    <row r="118" spans="1:3">
      <c r="A118" s="356">
        <f>Sheet1!A84</f>
        <v>484</v>
      </c>
      <c r="B118" s="357">
        <f>Sheet1!B84</f>
        <v>4.37</v>
      </c>
      <c r="C118" s="358">
        <v>1</v>
      </c>
    </row>
    <row r="119" spans="1:3">
      <c r="A119" s="356">
        <f>Sheet1!A85</f>
        <v>485</v>
      </c>
      <c r="B119" s="357">
        <f>Sheet1!B85</f>
        <v>4.51</v>
      </c>
      <c r="C119" s="358">
        <v>1</v>
      </c>
    </row>
    <row r="120" spans="1:3">
      <c r="A120" s="356">
        <f>Sheet1!A86</f>
        <v>490</v>
      </c>
      <c r="B120" s="357">
        <f>Sheet1!B86</f>
        <v>4.07</v>
      </c>
      <c r="C120" s="358">
        <v>1</v>
      </c>
    </row>
    <row r="121" spans="1:3">
      <c r="A121" s="356">
        <f>Sheet1!A87</f>
        <v>495</v>
      </c>
      <c r="B121" s="357">
        <f>Sheet1!B87</f>
        <v>4.38</v>
      </c>
      <c r="C121" s="358">
        <v>1</v>
      </c>
    </row>
    <row r="122" spans="1:3">
      <c r="A122" s="356">
        <f>Sheet1!A88</f>
        <v>500</v>
      </c>
      <c r="B122" s="357">
        <f>Sheet1!B88</f>
        <v>4.2300000000000004</v>
      </c>
      <c r="C122" s="358">
        <v>1</v>
      </c>
    </row>
    <row r="123" spans="1:3">
      <c r="A123" s="356">
        <f>Sheet1!A89</f>
        <v>505</v>
      </c>
      <c r="B123" s="357">
        <f>Sheet1!B89</f>
        <v>4.53</v>
      </c>
      <c r="C123" s="358">
        <v>1</v>
      </c>
    </row>
    <row r="124" spans="1:3">
      <c r="A124" s="356">
        <f>Sheet1!A90</f>
        <v>510</v>
      </c>
      <c r="B124" s="357">
        <f>Sheet1!B90</f>
        <v>4.4000000000000004</v>
      </c>
      <c r="C124" s="358">
        <v>1</v>
      </c>
    </row>
    <row r="125" spans="1:3">
      <c r="A125" s="356">
        <f>Sheet1!A91</f>
        <v>515</v>
      </c>
      <c r="B125" s="357">
        <f>Sheet1!B91</f>
        <v>4.5500000000000007</v>
      </c>
      <c r="C125" s="358">
        <v>1</v>
      </c>
    </row>
    <row r="126" spans="1:3">
      <c r="A126" s="356">
        <f>Sheet1!A92</f>
        <v>520</v>
      </c>
      <c r="B126" s="357">
        <f>Sheet1!B92</f>
        <v>4.6800000000000006</v>
      </c>
      <c r="C126" s="358">
        <v>1</v>
      </c>
    </row>
    <row r="127" spans="1:3">
      <c r="A127" s="356">
        <f>Sheet1!A93</f>
        <v>525</v>
      </c>
      <c r="B127" s="357">
        <f>Sheet1!B93</f>
        <v>4.7900000000000009</v>
      </c>
      <c r="C127" s="358">
        <v>1</v>
      </c>
    </row>
    <row r="128" spans="1:3">
      <c r="A128" s="356">
        <f>Sheet1!A94</f>
        <v>530</v>
      </c>
      <c r="B128" s="357">
        <f>Sheet1!B94</f>
        <v>4.870000000000001</v>
      </c>
      <c r="C128" s="358">
        <v>1</v>
      </c>
    </row>
    <row r="129" spans="1:3">
      <c r="A129" s="356">
        <f>Sheet1!A95</f>
        <v>535</v>
      </c>
      <c r="B129" s="357">
        <f>Sheet1!B95</f>
        <v>4.9400000000000013</v>
      </c>
      <c r="C129" s="358">
        <v>1</v>
      </c>
    </row>
    <row r="130" spans="1:3">
      <c r="A130" s="356">
        <f>Sheet1!A96</f>
        <v>540</v>
      </c>
      <c r="B130" s="357">
        <f>Sheet1!B96</f>
        <v>4.5599999999999996</v>
      </c>
      <c r="C130" s="358">
        <v>1</v>
      </c>
    </row>
    <row r="131" spans="1:3">
      <c r="A131" s="356">
        <f>Sheet1!A97</f>
        <v>555</v>
      </c>
      <c r="B131" s="357">
        <f>Sheet1!B97</f>
        <v>4.75</v>
      </c>
      <c r="C131" s="358">
        <v>1</v>
      </c>
    </row>
    <row r="132" spans="1:3">
      <c r="A132" s="356">
        <f>Sheet1!A98</f>
        <v>570</v>
      </c>
      <c r="B132" s="357">
        <f>Sheet1!B98</f>
        <v>4.91</v>
      </c>
      <c r="C132" s="358">
        <v>1</v>
      </c>
    </row>
    <row r="133" spans="1:3">
      <c r="A133" s="356">
        <f>Sheet1!A99</f>
        <v>585</v>
      </c>
      <c r="B133" s="357">
        <f>Sheet1!B99</f>
        <v>5.05</v>
      </c>
      <c r="C133" s="358">
        <v>1</v>
      </c>
    </row>
    <row r="134" spans="1:3">
      <c r="A134" s="356">
        <f>Sheet1!A100</f>
        <v>600</v>
      </c>
      <c r="B134" s="357">
        <f>Sheet1!B100</f>
        <v>4.7300000000000004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128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W-4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120</v>
      </c>
    </row>
    <row r="25" spans="1:3">
      <c r="A25" s="356" t="s">
        <v>219</v>
      </c>
      <c r="B25" s="356"/>
    </row>
    <row r="26" spans="1:3">
      <c r="A26" s="356" t="str">
        <f>A15</f>
        <v>W-4</v>
      </c>
      <c r="B26" s="356"/>
    </row>
    <row r="27" spans="1:3">
      <c r="A27" s="359">
        <f>SkinFactor!C8</f>
        <v>0.11799999999999999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2.6572570388731762</v>
      </c>
      <c r="C31" s="358">
        <v>1</v>
      </c>
    </row>
    <row r="32" spans="1:3">
      <c r="A32" s="356">
        <f>LongTest!D11</f>
        <v>2</v>
      </c>
      <c r="B32" s="360">
        <f>LongTest!G11</f>
        <v>2.8016128464040597</v>
      </c>
      <c r="C32" s="358">
        <v>1</v>
      </c>
    </row>
    <row r="33" spans="1:3">
      <c r="A33" s="356">
        <f>LongTest!D12</f>
        <v>3</v>
      </c>
      <c r="B33" s="360">
        <f>LongTest!G12</f>
        <v>2.8860555805709476</v>
      </c>
      <c r="C33" s="358">
        <v>1</v>
      </c>
    </row>
    <row r="34" spans="1:3">
      <c r="A34" s="356">
        <f>LongTest!D13</f>
        <v>4</v>
      </c>
      <c r="B34" s="360">
        <f>LongTest!G13</f>
        <v>2.9459686539349437</v>
      </c>
      <c r="C34" s="358">
        <v>1</v>
      </c>
    </row>
    <row r="35" spans="1:3">
      <c r="A35" s="356">
        <f>LongTest!D14</f>
        <v>5</v>
      </c>
      <c r="B35" s="360">
        <f>LongTest!G14</f>
        <v>2.992440844039288</v>
      </c>
      <c r="C35" s="358">
        <v>1</v>
      </c>
    </row>
    <row r="36" spans="1:3">
      <c r="A36" s="356">
        <f>LongTest!D15</f>
        <v>10</v>
      </c>
      <c r="B36" s="360">
        <f>LongTest!G15</f>
        <v>3.1367966515701715</v>
      </c>
      <c r="C36" s="358">
        <v>1</v>
      </c>
    </row>
    <row r="37" spans="1:3">
      <c r="A37" s="356">
        <f>LongTest!D16</f>
        <v>15</v>
      </c>
      <c r="B37" s="360">
        <f>LongTest!G16</f>
        <v>3.2212393857370594</v>
      </c>
      <c r="C37" s="358">
        <v>1</v>
      </c>
    </row>
    <row r="38" spans="1:3">
      <c r="A38" s="356">
        <f>LongTest!D17</f>
        <v>20</v>
      </c>
      <c r="B38" s="360">
        <f>LongTest!G17</f>
        <v>3.2811524591010555</v>
      </c>
      <c r="C38" s="358">
        <v>1</v>
      </c>
    </row>
    <row r="39" spans="1:3">
      <c r="A39" s="356">
        <f>LongTest!D18</f>
        <v>25</v>
      </c>
      <c r="B39" s="360">
        <f>LongTest!G18</f>
        <v>3.3276246492053998</v>
      </c>
      <c r="C39" s="358">
        <v>1</v>
      </c>
    </row>
    <row r="40" spans="1:3">
      <c r="A40" s="356">
        <f>LongTest!D19</f>
        <v>30</v>
      </c>
      <c r="B40" s="360">
        <f>LongTest!G19</f>
        <v>3.3655951932679433</v>
      </c>
      <c r="C40" s="358">
        <v>1</v>
      </c>
    </row>
    <row r="41" spans="1:3">
      <c r="A41" s="356">
        <f>LongTest!D20</f>
        <v>35</v>
      </c>
      <c r="B41" s="360">
        <f>LongTest!G20</f>
        <v>3.3976988308387148</v>
      </c>
      <c r="C41" s="358">
        <v>1</v>
      </c>
    </row>
    <row r="42" spans="1:3">
      <c r="A42" s="356">
        <f>LongTest!D21</f>
        <v>40</v>
      </c>
      <c r="B42" s="360">
        <f>LongTest!G21</f>
        <v>3.4255082666319394</v>
      </c>
      <c r="C42" s="358">
        <v>1</v>
      </c>
    </row>
    <row r="43" spans="1:3">
      <c r="A43" s="356">
        <f>LongTest!D22</f>
        <v>45</v>
      </c>
      <c r="B43" s="360">
        <f>LongTest!G22</f>
        <v>3.4500379274348307</v>
      </c>
      <c r="C43" s="358">
        <v>1</v>
      </c>
    </row>
    <row r="44" spans="1:3">
      <c r="A44" s="356">
        <f>LongTest!D23</f>
        <v>50</v>
      </c>
      <c r="B44" s="360">
        <f>LongTest!G23</f>
        <v>3.4719804567362837</v>
      </c>
      <c r="C44" s="358">
        <v>1</v>
      </c>
    </row>
    <row r="45" spans="1:3">
      <c r="A45" s="356">
        <f>LongTest!D24</f>
        <v>55</v>
      </c>
      <c r="B45" s="360">
        <f>LongTest!G24</f>
        <v>3.4604198889455473</v>
      </c>
      <c r="C45" s="358">
        <v>1</v>
      </c>
    </row>
    <row r="46" spans="1:3">
      <c r="A46" s="356">
        <f>LongTest!D25</f>
        <v>60</v>
      </c>
      <c r="B46" s="360">
        <f>LongTest!G25</f>
        <v>3.5099510007988273</v>
      </c>
      <c r="C46" s="358">
        <v>1</v>
      </c>
    </row>
    <row r="47" spans="1:3">
      <c r="A47" s="356">
        <f>LongTest!D26</f>
        <v>75</v>
      </c>
      <c r="B47" s="360">
        <f>LongTest!G26</f>
        <v>3.5564231909031716</v>
      </c>
      <c r="C47" s="358">
        <v>1</v>
      </c>
    </row>
    <row r="48" spans="1:3">
      <c r="A48" s="356">
        <f>LongTest!D27</f>
        <v>90</v>
      </c>
      <c r="B48" s="360">
        <f>LongTest!G27</f>
        <v>3.5943937349657147</v>
      </c>
      <c r="C48" s="358">
        <v>1</v>
      </c>
    </row>
    <row r="49" spans="1:3">
      <c r="A49" s="356">
        <f>LongTest!D28</f>
        <v>105</v>
      </c>
      <c r="B49" s="360">
        <f>LongTest!G28</f>
        <v>3.6264973725364866</v>
      </c>
      <c r="C49" s="358">
        <v>1</v>
      </c>
    </row>
    <row r="50" spans="1:3">
      <c r="A50" s="356">
        <f>LongTest!D29</f>
        <v>120</v>
      </c>
      <c r="B50" s="360">
        <f>LongTest!G29</f>
        <v>3.6543068083297108</v>
      </c>
      <c r="C50" s="358">
        <v>1</v>
      </c>
    </row>
    <row r="51" spans="1:3">
      <c r="A51" s="356">
        <f>LongTest!D30</f>
        <v>140</v>
      </c>
      <c r="B51" s="360">
        <f>LongTest!G30</f>
        <v>3.6864104459004827</v>
      </c>
      <c r="C51" s="358">
        <v>1</v>
      </c>
    </row>
    <row r="52" spans="1:3">
      <c r="A52" s="356">
        <f>LongTest!D31</f>
        <v>160</v>
      </c>
      <c r="B52" s="360">
        <f>LongTest!G31</f>
        <v>3.7142198816937069</v>
      </c>
      <c r="C52" s="358">
        <v>1</v>
      </c>
    </row>
    <row r="53" spans="1:3">
      <c r="A53" s="356">
        <f>LongTest!D32</f>
        <v>180</v>
      </c>
      <c r="B53" s="360">
        <f>LongTest!G32</f>
        <v>3.7387495424965986</v>
      </c>
      <c r="C53" s="358">
        <v>1</v>
      </c>
    </row>
    <row r="54" spans="1:3">
      <c r="A54" s="356">
        <f>LongTest!D33</f>
        <v>240</v>
      </c>
      <c r="B54" s="360">
        <f>LongTest!G33</f>
        <v>3.7986626158605947</v>
      </c>
      <c r="C54" s="358">
        <v>1</v>
      </c>
    </row>
    <row r="55" spans="1:3">
      <c r="A55" s="356">
        <f>LongTest!D34</f>
        <v>300</v>
      </c>
      <c r="B55" s="360">
        <f>LongTest!G34</f>
        <v>3.8451348059649391</v>
      </c>
      <c r="C55" s="358">
        <v>1</v>
      </c>
    </row>
    <row r="56" spans="1:3">
      <c r="A56" s="356">
        <f>LongTest!D35</f>
        <v>360</v>
      </c>
      <c r="B56" s="360">
        <f>LongTest!G35</f>
        <v>3.8831053500274826</v>
      </c>
      <c r="C56" s="358">
        <v>1</v>
      </c>
    </row>
    <row r="57" spans="1:3">
      <c r="A57" s="356">
        <f>LongTest!D36</f>
        <v>420</v>
      </c>
      <c r="B57" s="360">
        <f>LongTest!G36</f>
        <v>3.9152089875982541</v>
      </c>
      <c r="C57" s="358">
        <v>1</v>
      </c>
    </row>
    <row r="58" spans="1:3">
      <c r="A58" s="356">
        <f>LongTest!D37</f>
        <v>480</v>
      </c>
      <c r="B58" s="360">
        <f>LongTest!G37</f>
        <v>3.9430184233914787</v>
      </c>
      <c r="C58" s="358">
        <v>1</v>
      </c>
    </row>
    <row r="59" spans="1:3">
      <c r="A59" s="356">
        <f>LongTest!D38</f>
        <v>540</v>
      </c>
      <c r="B59" s="360">
        <f>LongTest!G38</f>
        <v>3.96754808419437</v>
      </c>
      <c r="C59" s="358">
        <v>1</v>
      </c>
    </row>
    <row r="60" spans="1:3">
      <c r="A60" s="356">
        <f>LongTest!D39</f>
        <v>600</v>
      </c>
      <c r="B60" s="360">
        <f>LongTest!G39</f>
        <v>3.989490613495823</v>
      </c>
      <c r="C60" s="358">
        <v>1</v>
      </c>
    </row>
    <row r="61" spans="1:3">
      <c r="A61" s="356">
        <f>LongTest!D40</f>
        <v>660</v>
      </c>
      <c r="B61" s="360">
        <f>LongTest!G40</f>
        <v>4.0093400457050867</v>
      </c>
      <c r="C61" s="358">
        <v>1</v>
      </c>
    </row>
    <row r="62" spans="1:3">
      <c r="A62" s="356">
        <f>LongTest!D41</f>
        <v>720</v>
      </c>
      <c r="B62" s="360">
        <f>LongTest!G41</f>
        <v>4.027461157558367</v>
      </c>
      <c r="C62" s="358">
        <v>1</v>
      </c>
    </row>
    <row r="63" spans="1:3">
      <c r="A63" s="356">
        <f>LongTest!D42</f>
        <v>780</v>
      </c>
      <c r="B63" s="360">
        <f>LongTest!G42</f>
        <v>4.0441309645304404</v>
      </c>
      <c r="C63" s="358">
        <v>1</v>
      </c>
    </row>
    <row r="64" spans="1:3">
      <c r="A64" s="356">
        <f>LongTest!D43</f>
        <v>840</v>
      </c>
      <c r="B64" s="360">
        <f>LongTest!G43</f>
        <v>4.0595647951291376</v>
      </c>
      <c r="C64" s="358">
        <v>1</v>
      </c>
    </row>
    <row r="65" spans="1:3">
      <c r="A65" s="356">
        <f>LongTest!D44</f>
        <v>900</v>
      </c>
      <c r="B65" s="360">
        <f>LongTest!G44</f>
        <v>4.0739333476627104</v>
      </c>
      <c r="C65" s="358">
        <v>1</v>
      </c>
    </row>
    <row r="66" spans="1:3">
      <c r="A66" s="356">
        <f>LongTest!D45</f>
        <v>960</v>
      </c>
      <c r="B66" s="360">
        <f>LongTest!G45</f>
        <v>4.0873742309223626</v>
      </c>
      <c r="C66" s="358">
        <v>1</v>
      </c>
    </row>
    <row r="67" spans="1:3">
      <c r="A67" s="356">
        <f>LongTest!D46</f>
        <v>1020</v>
      </c>
      <c r="B67" s="360">
        <f>LongTest!G46</f>
        <v>4.1000000000000005</v>
      </c>
      <c r="C67" s="358">
        <v>1</v>
      </c>
    </row>
    <row r="68" spans="1:3">
      <c r="A68" s="356">
        <f>LongTest!D47</f>
        <v>1080</v>
      </c>
      <c r="B68" s="360">
        <f>LongTest!G47</f>
        <v>4.1000000000000005</v>
      </c>
      <c r="C68" s="358">
        <v>1</v>
      </c>
    </row>
    <row r="69" spans="1:3">
      <c r="A69" s="356">
        <f>LongTest!D48</f>
        <v>1140</v>
      </c>
      <c r="B69" s="360">
        <f>LongTest!G48</f>
        <v>4.1000000000000005</v>
      </c>
      <c r="C69" s="358">
        <v>1</v>
      </c>
    </row>
    <row r="70" spans="1:3">
      <c r="A70" s="356">
        <f>LongTest!D49</f>
        <v>1200</v>
      </c>
      <c r="B70" s="360">
        <f>LongTest!G49</f>
        <v>4.1000000000000005</v>
      </c>
      <c r="C70" s="358">
        <v>1</v>
      </c>
    </row>
    <row r="71" spans="1:3">
      <c r="A71" s="356">
        <f>LongTest!D50</f>
        <v>1260</v>
      </c>
      <c r="B71" s="360">
        <f>LongTest!G50</f>
        <v>4.1000000000000005</v>
      </c>
      <c r="C71" s="358">
        <v>1</v>
      </c>
    </row>
    <row r="72" spans="1:3">
      <c r="A72" s="356">
        <f>LongTest!D51</f>
        <v>1320</v>
      </c>
      <c r="B72" s="360">
        <f>LongTest!G51</f>
        <v>4.1000000000000005</v>
      </c>
      <c r="C72" s="358">
        <v>1</v>
      </c>
    </row>
    <row r="73" spans="1:3">
      <c r="A73" s="356">
        <f>LongTest!D52</f>
        <v>1380</v>
      </c>
      <c r="B73" s="360">
        <f>LongTest!G52</f>
        <v>4.1000000000000005</v>
      </c>
      <c r="C73" s="358">
        <v>1</v>
      </c>
    </row>
    <row r="74" spans="1:3">
      <c r="A74" s="356">
        <f>LongTest!D53</f>
        <v>1440</v>
      </c>
      <c r="B74" s="360">
        <f>LongTest!G53</f>
        <v>4.1000000000000005</v>
      </c>
      <c r="C74" s="358">
        <v>1</v>
      </c>
    </row>
    <row r="75" spans="1:3">
      <c r="A75" s="356">
        <f>LongTest!D54</f>
        <v>1500</v>
      </c>
      <c r="B75" s="360">
        <f>LongTest!G54</f>
        <v>4.1000000000000005</v>
      </c>
      <c r="C75" s="358">
        <v>1</v>
      </c>
    </row>
    <row r="76" spans="1:3">
      <c r="A76" s="356">
        <f>LongTest!D55</f>
        <v>1560</v>
      </c>
      <c r="B76" s="360">
        <f>LongTest!G55</f>
        <v>4.1000000000000005</v>
      </c>
      <c r="C76" s="358">
        <v>1</v>
      </c>
    </row>
    <row r="77" spans="1:3">
      <c r="A77" s="356">
        <f>LongTest!D56</f>
        <v>1620</v>
      </c>
      <c r="B77" s="360">
        <f>LongTest!G56</f>
        <v>4.1000000000000005</v>
      </c>
      <c r="C77" s="358">
        <v>1</v>
      </c>
    </row>
    <row r="78" spans="1:3">
      <c r="A78" s="356">
        <f>LongTest!D57</f>
        <v>1680</v>
      </c>
      <c r="B78" s="360">
        <f>LongTest!G57</f>
        <v>4.1000000000000005</v>
      </c>
      <c r="C78" s="358">
        <v>1</v>
      </c>
    </row>
    <row r="79" spans="1:3">
      <c r="A79" s="356">
        <f>LongTest!D58</f>
        <v>1740</v>
      </c>
      <c r="B79" s="360">
        <f>LongTest!G58</f>
        <v>4.1000000000000005</v>
      </c>
      <c r="C79" s="358">
        <v>1</v>
      </c>
    </row>
    <row r="80" spans="1:3">
      <c r="A80" s="356">
        <f>LongTest!D59</f>
        <v>1800</v>
      </c>
      <c r="B80" s="360">
        <f>LongTest!G59</f>
        <v>4.1000000000000005</v>
      </c>
      <c r="C80" s="358">
        <v>1</v>
      </c>
    </row>
    <row r="81" spans="1:3">
      <c r="A81" s="356">
        <f>LongTest!D60</f>
        <v>1860</v>
      </c>
      <c r="B81" s="360">
        <f>LongTest!G60</f>
        <v>4.1000000000000005</v>
      </c>
      <c r="C81" s="358">
        <v>1</v>
      </c>
    </row>
    <row r="82" spans="1:3">
      <c r="A82" s="356">
        <f>LongTest!D61</f>
        <v>1920</v>
      </c>
      <c r="B82" s="360">
        <f>LongTest!G61</f>
        <v>4.1000000000000005</v>
      </c>
      <c r="C82" s="358">
        <v>1</v>
      </c>
    </row>
    <row r="83" spans="1:3">
      <c r="A83" s="356">
        <f>LongTest!D62</f>
        <v>1980</v>
      </c>
      <c r="B83" s="360">
        <f>LongTest!G62</f>
        <v>4.1000000000000005</v>
      </c>
      <c r="C83" s="358">
        <v>1</v>
      </c>
    </row>
    <row r="84" spans="1:3">
      <c r="A84" s="356">
        <f>LongTest!D63</f>
        <v>2040</v>
      </c>
      <c r="B84" s="360">
        <f>LongTest!G63</f>
        <v>4.1000000000000005</v>
      </c>
      <c r="C84" s="358">
        <v>1</v>
      </c>
    </row>
    <row r="85" spans="1:3">
      <c r="A85" s="356">
        <f>LongTest!D64</f>
        <v>2100</v>
      </c>
      <c r="B85" s="360">
        <f>LongTest!G64</f>
        <v>4.1000000000000005</v>
      </c>
      <c r="C85" s="358">
        <v>1</v>
      </c>
    </row>
    <row r="86" spans="1:3">
      <c r="A86" s="356">
        <f>LongTest!D65</f>
        <v>2160</v>
      </c>
      <c r="B86" s="360">
        <f>LongTest!G65</f>
        <v>4.1000000000000005</v>
      </c>
      <c r="C86" s="358">
        <v>1</v>
      </c>
    </row>
    <row r="87" spans="1:3">
      <c r="A87" s="356">
        <f>LongTest!D66</f>
        <v>2220</v>
      </c>
      <c r="B87" s="360">
        <f>LongTest!G66</f>
        <v>4.1000000000000005</v>
      </c>
      <c r="C87" s="358">
        <v>1</v>
      </c>
    </row>
    <row r="88" spans="1:3">
      <c r="A88" s="356">
        <f>LongTest!D67</f>
        <v>2280</v>
      </c>
      <c r="B88" s="360">
        <f>LongTest!G67</f>
        <v>4.1000000000000005</v>
      </c>
      <c r="C88" s="358">
        <v>1</v>
      </c>
    </row>
    <row r="89" spans="1:3">
      <c r="A89" s="356">
        <f>LongTest!D68</f>
        <v>2340</v>
      </c>
      <c r="B89" s="360">
        <f>LongTest!G68</f>
        <v>4.1000000000000005</v>
      </c>
      <c r="C89" s="358">
        <v>1</v>
      </c>
    </row>
    <row r="90" spans="1:3">
      <c r="A90" s="356">
        <f>LongTest!D69</f>
        <v>2400</v>
      </c>
      <c r="B90" s="360">
        <f>LongTest!G69</f>
        <v>4.1000000000000005</v>
      </c>
      <c r="C90" s="358">
        <v>1</v>
      </c>
    </row>
    <row r="91" spans="1:3">
      <c r="A91" s="356">
        <f>LongTest!D70</f>
        <v>2460</v>
      </c>
      <c r="B91" s="360">
        <f>LongTest!G70</f>
        <v>4.1000000000000005</v>
      </c>
      <c r="C91" s="358">
        <v>1</v>
      </c>
    </row>
    <row r="92" spans="1:3">
      <c r="A92" s="356">
        <f>LongTest!D71</f>
        <v>2520</v>
      </c>
      <c r="B92" s="360">
        <f>LongTest!G71</f>
        <v>4.1000000000000005</v>
      </c>
      <c r="C92" s="358">
        <v>1</v>
      </c>
    </row>
    <row r="93" spans="1:3">
      <c r="A93" s="356">
        <f>LongTest!D72</f>
        <v>2580</v>
      </c>
      <c r="B93" s="360">
        <f>LongTest!G72</f>
        <v>4.1000000000000005</v>
      </c>
      <c r="C93" s="358">
        <v>1</v>
      </c>
    </row>
    <row r="94" spans="1:3">
      <c r="A94" s="356">
        <f>LongTest!D73</f>
        <v>2640</v>
      </c>
      <c r="B94" s="360">
        <f>LongTest!G73</f>
        <v>4.1000000000000005</v>
      </c>
      <c r="C94" s="358">
        <v>1</v>
      </c>
    </row>
    <row r="95" spans="1:3">
      <c r="A95" s="356">
        <f>LongTest!D74</f>
        <v>2700</v>
      </c>
      <c r="B95" s="360">
        <f>LongTest!G74</f>
        <v>4.1000000000000005</v>
      </c>
      <c r="C95" s="358">
        <v>1</v>
      </c>
    </row>
    <row r="96" spans="1:3">
      <c r="A96" s="356">
        <f>LongTest!D75</f>
        <v>2760</v>
      </c>
      <c r="B96" s="360">
        <f>LongTest!G75</f>
        <v>4.1000000000000005</v>
      </c>
      <c r="C96" s="358">
        <v>1</v>
      </c>
    </row>
    <row r="97" spans="1:3">
      <c r="A97" s="356">
        <f>LongTest!D76</f>
        <v>2820</v>
      </c>
      <c r="B97" s="360">
        <f>LongTest!G76</f>
        <v>4.1000000000000005</v>
      </c>
      <c r="C97" s="358">
        <v>1</v>
      </c>
    </row>
    <row r="98" spans="1:3">
      <c r="A98" s="356">
        <f>LongTest!D77</f>
        <v>2880</v>
      </c>
      <c r="B98" s="360">
        <f>LongTest!G77</f>
        <v>4.1000000000000005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128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W-4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120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W-4</v>
      </c>
      <c r="B27" s="356"/>
    </row>
    <row r="28" spans="1:3">
      <c r="A28" s="359">
        <f>SkinFactor!C8</f>
        <v>0.11799999999999999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4.1000000000000005</v>
      </c>
      <c r="C32" s="358">
        <v>1</v>
      </c>
    </row>
    <row r="33" spans="1:3">
      <c r="A33" s="356">
        <f>$A$32+LongTest!D78</f>
        <v>2881</v>
      </c>
      <c r="B33" s="357">
        <f>LongTest!G78</f>
        <v>3.365070108130086</v>
      </c>
      <c r="C33" s="358">
        <v>1</v>
      </c>
    </row>
    <row r="34" spans="1:3">
      <c r="A34" s="356">
        <f>$A$32+LongTest!D79</f>
        <v>2882</v>
      </c>
      <c r="B34" s="357">
        <f>LongTest!G79</f>
        <v>3.225600673262333</v>
      </c>
      <c r="C34" s="358">
        <v>1</v>
      </c>
    </row>
    <row r="35" spans="1:3">
      <c r="A35" s="356">
        <f>$A$32+LongTest!D80</f>
        <v>2883</v>
      </c>
      <c r="B35" s="357">
        <f>LongTest!G80</f>
        <v>3.0919117192277539</v>
      </c>
      <c r="C35" s="358">
        <v>1</v>
      </c>
    </row>
    <row r="36" spans="1:3">
      <c r="A36" s="356">
        <f>$A$32+LongTest!D81</f>
        <v>2884</v>
      </c>
      <c r="B36" s="357">
        <f>LongTest!G81</f>
        <v>2.9637636669480036</v>
      </c>
      <c r="C36" s="358">
        <v>1</v>
      </c>
    </row>
    <row r="37" spans="1:3">
      <c r="A37" s="356">
        <f>$A$32+LongTest!D82</f>
        <v>2885</v>
      </c>
      <c r="B37" s="357">
        <f>LongTest!G82</f>
        <v>2.8409268669918473</v>
      </c>
      <c r="C37" s="358">
        <v>1</v>
      </c>
    </row>
    <row r="38" spans="1:3">
      <c r="A38" s="356">
        <f>$A$32+LongTest!D83</f>
        <v>2890</v>
      </c>
      <c r="B38" s="357">
        <f>LongTest!G83</f>
        <v>2.5021279076784597</v>
      </c>
      <c r="C38" s="358">
        <v>1</v>
      </c>
    </row>
    <row r="39" spans="1:3">
      <c r="A39" s="356">
        <f>$A$32+LongTest!D84</f>
        <v>2895</v>
      </c>
      <c r="B39" s="357">
        <f>LongTest!G84</f>
        <v>2.4325054934655461</v>
      </c>
      <c r="C39" s="358">
        <v>1</v>
      </c>
    </row>
    <row r="40" spans="1:3">
      <c r="A40" s="356">
        <f>$A$32+LongTest!D85</f>
        <v>2900</v>
      </c>
      <c r="B40" s="357">
        <f>LongTest!G85</f>
        <v>2.2350477109409637</v>
      </c>
      <c r="C40" s="358">
        <v>1</v>
      </c>
    </row>
    <row r="41" spans="1:3">
      <c r="A41" s="356">
        <f>$A$32+LongTest!D86</f>
        <v>2905</v>
      </c>
      <c r="B41" s="357">
        <f>LongTest!G86</f>
        <v>2.1424134325661162</v>
      </c>
      <c r="C41" s="358">
        <v>1</v>
      </c>
    </row>
    <row r="42" spans="1:3">
      <c r="A42" s="356">
        <f>$A$32+LongTest!D87</f>
        <v>2910</v>
      </c>
      <c r="B42" s="357">
        <f>LongTest!G87</f>
        <v>2.0536184948406975</v>
      </c>
      <c r="C42" s="358">
        <v>1</v>
      </c>
    </row>
    <row r="43" spans="1:3">
      <c r="A43" s="356">
        <f>$A$32+LongTest!D88</f>
        <v>2915</v>
      </c>
      <c r="B43" s="357">
        <f>LongTest!G88</f>
        <v>2.0248456731316589</v>
      </c>
      <c r="C43" s="358">
        <v>1</v>
      </c>
    </row>
    <row r="44" spans="1:3">
      <c r="A44" s="356">
        <f>$A$32+LongTest!D89</f>
        <v>2920</v>
      </c>
      <c r="B44" s="357">
        <f>LongTest!G89</f>
        <v>1.9964759814446669</v>
      </c>
      <c r="C44" s="358">
        <v>1</v>
      </c>
    </row>
    <row r="45" spans="1:3">
      <c r="A45" s="356">
        <f>$A$32+LongTest!D90</f>
        <v>2925</v>
      </c>
      <c r="B45" s="357">
        <f>LongTest!G90</f>
        <v>1.9685037716088074</v>
      </c>
      <c r="C45" s="358">
        <v>1</v>
      </c>
    </row>
    <row r="46" spans="1:3">
      <c r="A46" s="356">
        <f>$A$32+LongTest!D91</f>
        <v>2930</v>
      </c>
      <c r="B46" s="357">
        <f>LongTest!G91</f>
        <v>1.9409234745885162</v>
      </c>
      <c r="C46" s="358">
        <v>1</v>
      </c>
    </row>
    <row r="47" spans="1:3">
      <c r="A47" s="356">
        <f>$A$32+LongTest!D92</f>
        <v>2935</v>
      </c>
      <c r="B47" s="357">
        <f>LongTest!G92</f>
        <v>1.9137295993748265</v>
      </c>
      <c r="C47" s="358">
        <v>1</v>
      </c>
    </row>
    <row r="48" spans="1:3">
      <c r="A48" s="356">
        <f>$A$32+LongTest!D93</f>
        <v>2940</v>
      </c>
      <c r="B48" s="357">
        <f>LongTest!G93</f>
        <v>1.8869167318921576</v>
      </c>
      <c r="C48" s="358">
        <v>1</v>
      </c>
    </row>
    <row r="49" spans="1:3">
      <c r="A49" s="356">
        <f>$A$32+LongTest!D94</f>
        <v>2955</v>
      </c>
      <c r="B49" s="357">
        <f>LongTest!G94</f>
        <v>1.8604795339204154</v>
      </c>
      <c r="C49" s="358">
        <v>1</v>
      </c>
    </row>
    <row r="50" spans="1:3">
      <c r="A50" s="356">
        <f>$A$32+LongTest!D95</f>
        <v>2970</v>
      </c>
      <c r="B50" s="357">
        <f>LongTest!G95</f>
        <v>1.8344127420321976</v>
      </c>
      <c r="C50" s="358">
        <v>1</v>
      </c>
    </row>
    <row r="51" spans="1:3">
      <c r="A51" s="356">
        <f>$A$32+LongTest!D96</f>
        <v>2985</v>
      </c>
      <c r="B51" s="357">
        <f>LongTest!G96</f>
        <v>1.8087111665448892</v>
      </c>
      <c r="C51" s="358">
        <v>1</v>
      </c>
    </row>
    <row r="52" spans="1:3">
      <c r="A52" s="356">
        <f>$A$32+LongTest!D97</f>
        <v>3000</v>
      </c>
      <c r="B52" s="357">
        <f>LongTest!G97</f>
        <v>1.7337469262375198</v>
      </c>
      <c r="C52" s="358">
        <v>1</v>
      </c>
    </row>
    <row r="53" spans="1:3">
      <c r="A53" s="356">
        <f>$A$32+LongTest!D98</f>
        <v>3060</v>
      </c>
      <c r="B53" s="357">
        <f>LongTest!G98</f>
        <v>1.7094557585632162</v>
      </c>
      <c r="C53" s="358">
        <v>1</v>
      </c>
    </row>
    <row r="54" spans="1:3">
      <c r="A54" s="356">
        <f>$A$32+LongTest!D99</f>
        <v>3120</v>
      </c>
      <c r="B54" s="357">
        <f>LongTest!G99</f>
        <v>1.5706912853414619</v>
      </c>
      <c r="C54" s="358">
        <v>1</v>
      </c>
    </row>
    <row r="55" spans="1:3">
      <c r="A55" s="356">
        <f>$A$32+LongTest!D100</f>
        <v>3180</v>
      </c>
      <c r="B55" s="357">
        <f>LongTest!G100</f>
        <v>1.4431909696926974</v>
      </c>
      <c r="C55" s="358">
        <v>1</v>
      </c>
    </row>
    <row r="56" spans="1:3">
      <c r="A56" s="356">
        <f>$A$32+LongTest!D101</f>
        <v>3240</v>
      </c>
      <c r="B56" s="357">
        <f>LongTest!G101</f>
        <v>1.3260404475662166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workbookViewId="0">
      <selection activeCell="G8" sqref="G8"/>
    </sheetView>
  </sheetViews>
  <sheetFormatPr defaultColWidth="10" defaultRowHeight="16.5"/>
  <cols>
    <col min="1" max="1" width="10" style="72"/>
    <col min="2" max="2" width="18.75" style="72" customWidth="1"/>
    <col min="3" max="4" width="16.375" style="72" customWidth="1"/>
    <col min="5" max="5" width="13.37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37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246</v>
      </c>
      <c r="C4" s="363" t="str">
        <f>Input!$I$54</f>
        <v>W-4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240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6.5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W-4</v>
      </c>
      <c r="E12" s="484"/>
      <c r="F12" s="482"/>
      <c r="H12" s="481" t="str">
        <f>C4</f>
        <v>W-4</v>
      </c>
      <c r="I12" s="484"/>
      <c r="J12" s="482"/>
      <c r="L12" s="485" t="str">
        <f>C4</f>
        <v>W-4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14.9</v>
      </c>
      <c r="E14" s="378">
        <f>$C$8+I14</f>
        <v>241</v>
      </c>
      <c r="F14" s="379">
        <f>$C$9+J14</f>
        <v>6.57</v>
      </c>
      <c r="H14" s="380">
        <v>0.1</v>
      </c>
      <c r="I14" s="381">
        <v>1</v>
      </c>
      <c r="J14" s="382">
        <v>7.0000000000000007E-2</v>
      </c>
      <c r="L14" s="372" cm="1">
        <f t="array" aca="1" ref="L14" ca="1">ROUND(myRandBetween(0,1,10), 1)</f>
        <v>-0.1</v>
      </c>
      <c r="M14" s="373" cm="1">
        <f t="array" aca="1" ref="M14" ca="1">myRandBetween(1,3,1)</f>
        <v>3</v>
      </c>
      <c r="N14" s="374" cm="1">
        <f t="array" aca="1" ref="N14" ca="1">ROUND(myRandBetween(7,12,100), 2)</f>
        <v>-0.08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238</v>
      </c>
      <c r="F15" s="386">
        <f t="shared" ref="F15:F20" si="3">$C$9+J15</f>
        <v>6.58</v>
      </c>
      <c r="H15" s="380">
        <v>0</v>
      </c>
      <c r="I15" s="381">
        <v>-2</v>
      </c>
      <c r="J15" s="382">
        <v>0.08</v>
      </c>
      <c r="L15" s="372" cm="1">
        <f t="array" aca="1" ref="L15" ca="1">ROUND(myRandBetween(0,1,10), 1)</f>
        <v>0</v>
      </c>
      <c r="M15" s="373" cm="1">
        <f t="array" aca="1" ref="M15" ca="1">myRandBetween(1,3,1)</f>
        <v>-3</v>
      </c>
      <c r="N15" s="374" cm="1">
        <f t="array" aca="1" ref="N15" ca="1">ROUND(myRandBetween(7,12,100), 2)</f>
        <v>0.09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14.9</v>
      </c>
      <c r="E16" s="385">
        <f t="shared" si="2"/>
        <v>243</v>
      </c>
      <c r="F16" s="386">
        <f t="shared" si="3"/>
        <v>6.42</v>
      </c>
      <c r="H16" s="380">
        <v>0.1</v>
      </c>
      <c r="I16" s="381">
        <v>3</v>
      </c>
      <c r="J16" s="382">
        <v>-0.08</v>
      </c>
      <c r="L16" s="372" cm="1">
        <f t="array" aca="1" ref="L16" ca="1">ROUND(myRandBetween(0,1,10), 1)</f>
        <v>0.1</v>
      </c>
      <c r="M16" s="373" cm="1">
        <f t="array" aca="1" ref="M16" ca="1">myRandBetween(1,3,1)</f>
        <v>-2</v>
      </c>
      <c r="N16" s="374" cm="1">
        <f t="array" aca="1" ref="N16" ca="1">ROUND(myRandBetween(7,12,100), 2)</f>
        <v>7.0000000000000007E-2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243</v>
      </c>
      <c r="F17" s="386">
        <f t="shared" si="3"/>
        <v>6.6</v>
      </c>
      <c r="H17" s="380">
        <v>-0.1</v>
      </c>
      <c r="I17" s="381">
        <v>3</v>
      </c>
      <c r="J17" s="382">
        <v>0.1</v>
      </c>
      <c r="L17" s="372" cm="1">
        <f t="array" aca="1" ref="L17" ca="1">ROUND(myRandBetween(0,1,10), 1)</f>
        <v>0</v>
      </c>
      <c r="M17" s="373" cm="1">
        <f t="array" aca="1" ref="M17" ca="1">myRandBetween(1,3,1)</f>
        <v>3</v>
      </c>
      <c r="N17" s="374" cm="1">
        <f t="array" aca="1" ref="N17" ca="1">ROUND(myRandBetween(7,12,100), 2)</f>
        <v>-0.12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14.9</v>
      </c>
      <c r="E18" s="385">
        <f t="shared" si="2"/>
        <v>242</v>
      </c>
      <c r="F18" s="386">
        <f t="shared" si="3"/>
        <v>6.62</v>
      </c>
      <c r="H18" s="380">
        <v>0.1</v>
      </c>
      <c r="I18" s="381">
        <v>2</v>
      </c>
      <c r="J18" s="382">
        <v>0.12</v>
      </c>
      <c r="L18" s="372" cm="1">
        <f t="array" aca="1" ref="L18" ca="1">ROUND(myRandBetween(0,1,10), 1)</f>
        <v>0</v>
      </c>
      <c r="M18" s="373" cm="1">
        <f t="array" aca="1" ref="M18" ca="1">myRandBetween(1,3,1)</f>
        <v>-3</v>
      </c>
      <c r="N18" s="374" cm="1">
        <f t="array" aca="1" ref="N18" ca="1">ROUND(myRandBetween(7,12,100), 2)</f>
        <v>0.09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14.9</v>
      </c>
      <c r="E19" s="385">
        <f t="shared" si="2"/>
        <v>243</v>
      </c>
      <c r="F19" s="386">
        <f t="shared" si="3"/>
        <v>6.42</v>
      </c>
      <c r="H19" s="380">
        <v>0.1</v>
      </c>
      <c r="I19" s="381">
        <v>3</v>
      </c>
      <c r="J19" s="382">
        <v>-0.08</v>
      </c>
      <c r="L19" s="372" cm="1">
        <f t="array" aca="1" ref="L19" ca="1">ROUND(myRandBetween(0,1,10), 1)</f>
        <v>0.1</v>
      </c>
      <c r="M19" s="373" cm="1">
        <f t="array" aca="1" ref="M19" ca="1">myRandBetween(1,3,1)</f>
        <v>2</v>
      </c>
      <c r="N19" s="374" cm="1">
        <f t="array" aca="1" ref="N19" ca="1">ROUND(myRandBetween(7,12,100), 2)</f>
        <v>-7.0000000000000007E-2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14.700000000000001</v>
      </c>
      <c r="E20" s="385">
        <f t="shared" si="2"/>
        <v>239</v>
      </c>
      <c r="F20" s="386">
        <f t="shared" si="3"/>
        <v>6.57</v>
      </c>
      <c r="H20" s="380">
        <v>-0.1</v>
      </c>
      <c r="I20" s="381">
        <v>-1</v>
      </c>
      <c r="J20" s="382">
        <v>7.0000000000000007E-2</v>
      </c>
      <c r="L20" s="372" cm="1">
        <f t="array" aca="1" ref="L20" ca="1">ROUND(myRandBetween(0,1,10), 1)</f>
        <v>-0.1</v>
      </c>
      <c r="M20" s="373" cm="1">
        <f t="array" aca="1" ref="M20" ca="1">myRandBetween(1,3,1)</f>
        <v>2</v>
      </c>
      <c r="N20" s="374" cm="1">
        <f t="array" aca="1" ref="N20" ca="1">ROUND(myRandBetween(7,12,100), 2)</f>
        <v>0.1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14.700000000000001</v>
      </c>
      <c r="E21" s="385">
        <f>$E$20</f>
        <v>239</v>
      </c>
      <c r="F21" s="386">
        <f>$F$20</f>
        <v>6.57</v>
      </c>
      <c r="H21" s="380">
        <v>-0.1</v>
      </c>
      <c r="I21" s="381">
        <v>3</v>
      </c>
      <c r="J21" s="382">
        <v>-0.11</v>
      </c>
      <c r="L21" s="372" cm="1">
        <f t="array" aca="1" ref="L21" ca="1">ROUND(myRandBetween(0,1,10), 1)</f>
        <v>0</v>
      </c>
      <c r="M21" s="373" cm="1">
        <f t="array" aca="1" ref="M21" ca="1">myRandBetween(1,3,1)</f>
        <v>-3</v>
      </c>
      <c r="N21" s="374" cm="1">
        <f t="array" aca="1" ref="N21" ca="1">ROUND(myRandBetween(7,12,100), 2)</f>
        <v>0.11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14.700000000000001</v>
      </c>
      <c r="E22" s="385">
        <f t="shared" ref="E22:E23" si="5">$E$20</f>
        <v>239</v>
      </c>
      <c r="F22" s="386">
        <f t="shared" ref="F22:F23" si="6">$F$20</f>
        <v>6.57</v>
      </c>
      <c r="H22" s="380">
        <v>0</v>
      </c>
      <c r="I22" s="381">
        <v>-3</v>
      </c>
      <c r="J22" s="382">
        <v>0.1</v>
      </c>
      <c r="L22" s="372" cm="1">
        <f t="array" aca="1" ref="L22" ca="1">ROUND(myRandBetween(0,1,10), 1)</f>
        <v>-0.1</v>
      </c>
      <c r="M22" s="373" cm="1">
        <f t="array" aca="1" ref="M22" ca="1">myRandBetween(1,3,1)</f>
        <v>3</v>
      </c>
      <c r="N22" s="374" cm="1">
        <f t="array" aca="1" ref="N22" ca="1">ROUND(myRandBetween(7,12,100), 2)</f>
        <v>-0.09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14.700000000000001</v>
      </c>
      <c r="E23" s="385">
        <f t="shared" si="5"/>
        <v>239</v>
      </c>
      <c r="F23" s="386">
        <f t="shared" si="6"/>
        <v>6.57</v>
      </c>
      <c r="H23" s="387">
        <v>0</v>
      </c>
      <c r="I23" s="388">
        <v>-3</v>
      </c>
      <c r="J23" s="389">
        <v>0.12</v>
      </c>
      <c r="L23" s="372" cm="1">
        <f t="array" aca="1" ref="L23" ca="1">ROUND(myRandBetween(0,1,10), 1)</f>
        <v>0.1</v>
      </c>
      <c r="M23" s="373" cm="1">
        <f t="array" aca="1" ref="M23" ca="1">myRandBetween(1,3,1)</f>
        <v>3</v>
      </c>
      <c r="N23" s="390" cm="1">
        <f t="array" aca="1" ref="N23" ca="1">ROUND(myRandBetween(7,12,100), 2)</f>
        <v>-0.1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14.9</v>
      </c>
      <c r="E24" s="416">
        <f t="shared" ref="E24:F24" si="7">MAX(E14:E23)</f>
        <v>243</v>
      </c>
      <c r="F24" s="414">
        <f t="shared" si="7"/>
        <v>6.62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238</v>
      </c>
      <c r="F25" s="414">
        <f t="shared" si="8"/>
        <v>6.42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0.19999999999999929</v>
      </c>
      <c r="E26" s="418">
        <f t="shared" ref="E26:F26" si="9">E24-E25</f>
        <v>5</v>
      </c>
      <c r="F26" s="419">
        <f t="shared" si="9"/>
        <v>0.20000000000000018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981075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981075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2023-03-15T07:39:38Z</dcterms:modified>
</cp:coreProperties>
</file>