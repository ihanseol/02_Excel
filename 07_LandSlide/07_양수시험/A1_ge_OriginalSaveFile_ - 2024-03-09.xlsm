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D770ABD3-0DBF-484B-A574-D1435993F625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M14" i="11"/>
  <c r="N21" i="11"/>
  <c r="L20" i="11"/>
  <c r="L23" i="11"/>
  <c r="M20" i="11"/>
  <c r="L22" i="11"/>
  <c r="N16" i="11"/>
  <c r="M16" i="11"/>
  <c r="N19" i="11"/>
  <c r="L19" i="11"/>
  <c r="N23" i="11"/>
  <c r="M18" i="11"/>
  <c r="N22" i="11"/>
  <c r="M21" i="11"/>
  <c r="N15" i="11"/>
  <c r="L16" i="11"/>
  <c r="M15" i="11"/>
  <c r="L21" i="11"/>
  <c r="M19" i="11"/>
  <c r="N18" i="11"/>
  <c r="L15" i="11"/>
  <c r="N17" i="11"/>
  <c r="M23" i="11"/>
  <c r="N20" i="11"/>
  <c r="M17" i="11"/>
  <c r="M22" i="11"/>
  <c r="L18" i="11"/>
  <c r="N14" i="11"/>
  <c r="L17" i="11"/>
  <c r="L14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4" i="6" l="1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<sst xmlns="http://schemas.openxmlformats.org/spreadsheetml/2006/main" count="1149" uniqueCount="303">
  <si>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</si>
  <si>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</si>
  <si>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</si>
  <si>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</si>
  <si>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</si>
  <si>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</si>
  <si>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</si>
  <si>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</si>
  <si>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</si>
  <si>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</si>
  <si>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</si>
  <si>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</si>
  <si>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</si>
  <si>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</si>
  <si>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</si>
  <si>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</si>
  <si>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</si>
  <si>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</si>
  <si>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</si>
  <si>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</si>
  <si>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</si>
  <si>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</si>
  <si>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</si>
  <si>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</si>
  <si>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</si>
  <si>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</si>
  <si>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</si>
  <si>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</si>
  <si>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</si>
  <si>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</si>
  <si>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</si>
  <si>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</si>
  <si>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</si>
  <si>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</si>
  <si>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</si>
  <si>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</si>
  <si>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</si>
  <si>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</si>
  <si>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</si>
  <si>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</si>
  <si>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</si>
  <si>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</si>
  <si>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</si>
  <si>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</si>
  <si>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</si>
  <si>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</si>
  <si>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</si>
  <si>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</si>
  <si>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</si>
  <si>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</si>
  <si>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</si>
  <si>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</si>
  <si>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</si>
  <si>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</si>
  <si>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</si>
  <si>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</si>
  <si>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</si>
  <si>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</si>
  <si>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</si>
  <si>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</si>
  <si>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</si>
  <si>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</si>
  <si>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</si>
  <si>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</si>
  <si>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</si>
  <si>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</si>
  <si>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</si>
  <si>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</si>
  <si>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</si>
  <si>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</si>
  <si>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</si>
  <si>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</si>
  <si>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</si>
  <si>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</si>
  <si>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</si>
  <si>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</si>
  <si>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</si>
  <si>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</si>
  <si>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</si>
  <si>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</si>
  <si>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</si>
  <si>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</si>
  <si>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</si>
  <si>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</si>
  <si>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</si>
  <si>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</si>
  <si>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</si>
  <si>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</si>
  <si>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</si>
  <si>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</si>
  <si>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</si>
  <si>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</si>
  <si>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</si>
  <si>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</si>
  <si>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</si>
  <si>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</si>
  <si>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</si>
  <si>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</si>
  <si>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</si>
  <si>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</si>
  <si>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</si>
  <si>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</si>
  <si>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</si>
  <si>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</si>
  <si>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</si>
  <si>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</si>
  <si>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</si>
  <si>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</si>
  <si>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</si>
  <si>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</si>
  <si>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</si>
  <si>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</si>
  <si>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</si>
  <si>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</si>
  <si>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</si>
  <si>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</si>
  <si>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</si>
  <si>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</si>
  <si>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</si>
  <si>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</si>
  <si>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</si>
  <si>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</si>
  <si>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</si>
  <si>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</si>
  <si>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</si>
  <si>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</si>
  <si>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</si>
  <si>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</si>
  <si>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</si>
  <si>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</si>
  <si>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</si>
  <si>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</si>
  <si>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</si>
  <si>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</si>
  <si>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</si>
  <si>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</si>
  <si>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</si>
  <si>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</si>
  <si>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</si>
  <si>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</si>
  <si>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</si>
  <si>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</si>
  <si>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</si>
  <si>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</si>
  <si>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</si>
  <si>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</si>
  <si>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</si>
  <si>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</si>
  <si>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</si>
  <si>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</si>
  <si>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</si>
  <si>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</si>
  <si>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</si>
  <si>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</si>
  <si>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</si>
  <si>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</si>
  <si>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</si>
  <si>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</si>
  <si>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</si>
  <si>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</si>
  <si>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</si>
  <si>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</si>
  <si>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</si>
  <si>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</si>
  <si>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</si>
  <si>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</si>
  <si>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</si>
  <si>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</si>
  <si>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</si>
  <si>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</si>
  <si>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</si>
  <si>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</si>
  <si>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</si>
  <si>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</si>
  <si>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</si>
  <si>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</si>
  <si>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</si>
  <si>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</si>
  <si>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</si>
  <si>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</si>
  <si>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</si>
  <si>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</si>
  <si>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</si>
  <si>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</si>
  <si>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</si>
  <si>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</si>
  <si>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</si>
  <si>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</si>
  <si>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</si>
  <si>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</si>
  <si>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</si>
  <si>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</si>
  <si>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</si>
  <si>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</si>
  <si>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</si>
  <si>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</si>
  <si>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</si>
  <si>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</si>
  <si>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</si>
  <si>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</si>
  <si>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</si>
  <si>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</si>
  <si>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</si>
  <si>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</si>
  <si>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</si>
  <si>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</si>
  <si>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</si>
  <si>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</si>
  <si>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</si>
  <si>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</si>
  <si>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</si>
  <si>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</si>
  <si>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</si>
  <si>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</si>
  <si>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</si>
  <si>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</si>
  <si>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</si>
  <si>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</si>
  <si>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</si>
  <si>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</si>
  <si>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</si>
  <si>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</si>
  <si>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</si>
  <si>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</si>
  <si>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</si>
  <si>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</si>
  <si>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</si>
  <si>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</si>
  <si>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</si>
  <si>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</si>
  <si>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</si>
  <si>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</si>
  <si>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</si>
  <si>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</si>
  <si>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</si>
  <si>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</si>
  <si>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</si>
  <si>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</si>
  <si>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</si>
  <si>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</si>
  <si>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</si>
  <si>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</si>
  <si>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</si>
  <si>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</si>
  <si>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</si>
  <si>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</si>
  <si>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</si>
  <si>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</si>
  <si>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</si>
  <si>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</si>
  <si>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</si>
  <si>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</si>
  <si>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</si>
  <si>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</si>
  <si>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</si>
  <si>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</si>
  <si>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</si>
  <si>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</si>
  <si>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</si>
  <si>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</si>
  <si>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</si>
  <si>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</si>
  <si>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</si>
  <si>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</si>
  <si>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</si>
  <si>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</si>
  <si>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</si>
  <si>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</si>
  <si>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</si>
  <si>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</si>
  <si>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</si>
  <si>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</si>
  <si>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</si>
  <si>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</si>
  <si>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</si>
  <si>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</si>
  <si>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</si>
  <si>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</si>
  <si>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</si>
  <si>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</si>
  <si>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</si>
  <si>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</si>
  <si>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</si>
  <si>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</si>
  <si>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</si>
  <si>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</si>
  <si>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</si>
  <si>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</si>
  <si>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</si>
  <si>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</si>
  <si>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</si>
  <si>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</si>
  <si>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</si>
  <si>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</si>
  <si>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</si>
  <si>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</si>
  <si>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</si>
  <si>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</si>
  <si>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</si>
  <si>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</si>
  <si>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</si>
  <si>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</si>
  <si>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W-32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</si>
</sst>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(㎥/day)(W-32)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(Q)(W-32)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(㎥/day)(W-32)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260</v>
      </c>
    </row>
    <row r="18" spans="4:10" ht="18" customHeight="1">
      <c r="D18" s="13" t="s">
        <v>114</v>
      </c>
      <c r="E18" s="11" t="s">
        <v>115</v>
      </c>
      <c r="J18" s="11" t="s">
        <v>264</v>
      </c>
    </row>
    <row r="19" spans="4:10" ht="18" customHeight="1">
      <c r="D19" s="13" t="s">
        <v>265</v>
      </c>
      <c r="E19" s="11" t="s">
        <v>283</v>
      </c>
      <c r="J19" s="11" t="s">
        <v>301</v>
      </c>
    </row>
    <row r="20" spans="4:10" ht="18" customHeight="1">
      <c r="D20" s="11" t="s">
        <v>266</v>
      </c>
      <c r="E20" s="11" t="s">
        <v>284</v>
      </c>
    </row>
    <row r="21" spans="4:10" ht="18" customHeight="1">
      <c r="D21" s="11" t="s">
        <v>267</v>
      </c>
      <c r="E21" s="11" t="s">
        <v>285</v>
      </c>
    </row>
    <row r="22" spans="4:10" ht="18" customHeight="1">
      <c r="D22" s="11" t="s">
        <v>268</v>
      </c>
      <c r="E22" s="11" t="s">
        <v>286</v>
      </c>
    </row>
    <row r="23" spans="4:10" ht="18" customHeight="1">
      <c r="D23" s="11" t="s">
        <v>269</v>
      </c>
      <c r="E23" s="11" t="s">
        <v>287</v>
      </c>
    </row>
    <row r="24" spans="4:10" ht="18" customHeight="1">
      <c r="D24" s="11" t="s">
        <v>270</v>
      </c>
      <c r="E24" s="11" t="s">
        <v>288</v>
      </c>
    </row>
    <row r="25" spans="4:10" ht="18" customHeight="1">
      <c r="D25" s="11" t="s">
        <v>271</v>
      </c>
      <c r="E25" s="11" t="s">
        <v>289</v>
      </c>
    </row>
    <row r="26" spans="4:10" ht="18" customHeight="1">
      <c r="D26" s="11" t="s">
        <v>272</v>
      </c>
      <c r="E26" s="11" t="s">
        <v>290</v>
      </c>
    </row>
    <row r="27" spans="4:10" ht="18" customHeight="1">
      <c r="D27" s="11" t="s">
        <v>273</v>
      </c>
      <c r="E27" s="11" t="s">
        <v>291</v>
      </c>
    </row>
    <row r="28" spans="4:10" ht="18" customHeight="1">
      <c r="D28" s="11" t="s">
        <v>274</v>
      </c>
      <c r="E28" s="11" t="s">
        <v>292</v>
      </c>
    </row>
    <row r="29" spans="4:10" ht="18" customHeight="1">
      <c r="D29" s="11" t="s">
        <v>275</v>
      </c>
      <c r="E29" s="11" t="s">
        <v>293</v>
      </c>
    </row>
    <row r="30" spans="4:10" ht="18" customHeight="1">
      <c r="D30" s="11" t="s">
        <v>276</v>
      </c>
      <c r="E30" s="11" t="s">
        <v>294</v>
      </c>
    </row>
    <row r="31" spans="4:10" ht="18" customHeight="1">
      <c r="D31" s="11" t="s">
        <v>277</v>
      </c>
      <c r="E31" s="11" t="s">
        <v>295</v>
      </c>
    </row>
    <row r="32" spans="4:10" ht="18" customHeight="1">
      <c r="D32" s="11" t="s">
        <v>278</v>
      </c>
      <c r="E32" s="11" t="s">
        <v>296</v>
      </c>
    </row>
    <row r="33" spans="4:5" ht="18" customHeight="1">
      <c r="D33" s="11" t="s">
        <v>279</v>
      </c>
      <c r="E33" s="11" t="s">
        <v>297</v>
      </c>
    </row>
    <row r="34" spans="4:5" ht="18" customHeight="1">
      <c r="D34" s="11" t="s">
        <v>280</v>
      </c>
      <c r="E34" s="11" t="s">
        <v>298</v>
      </c>
    </row>
    <row r="35" spans="4:5" ht="18" customHeight="1">
      <c r="D35" s="11" t="s">
        <v>281</v>
      </c>
      <c r="E35" s="11" t="s">
        <v>299</v>
      </c>
    </row>
    <row r="36" spans="4:5" ht="18" customHeight="1">
      <c r="D36" s="11" t="s">
        <v>282</v>
      </c>
      <c r="E36" s="11" t="s">
        <v>300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R29" sqref="R29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261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262</v>
      </c>
      <c r="J45" s="447"/>
      <c r="K45" s="448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263</v>
      </c>
      <c r="J46" s="438"/>
      <c r="K46" s="439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259</v>
      </c>
      <c r="J47" s="450"/>
      <c r="K47" s="451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41" t="s">
        <v>281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주포지구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302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주포지구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- 32</v>
      </c>
      <c r="C2" s="18" t="str">
        <f>Input!I46</f>
        <v>충청남도 보령시 주포면 봉당리 647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240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236</v>
      </c>
      <c r="E10" s="301">
        <v>0.32969999999999999</v>
      </c>
      <c r="H10" s="255" t="s">
        <v>214</v>
      </c>
      <c r="I10" s="261">
        <f>Input!I52</f>
        <v>12</v>
      </c>
      <c r="J10" s="305" t="s">
        <v>242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251</v>
      </c>
      <c r="F13" s="331">
        <f>D5</f>
        <v>16.829999999999998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2024년 지하수 영향조사 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주포지구</v>
      </c>
      <c r="D5" s="347"/>
      <c r="E5" s="347"/>
      <c r="F5" s="351"/>
      <c r="G5" s="347"/>
      <c r="H5" s="352" t="str">
        <f>Input!J48</f>
        <v>공  번 : W - 32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주포면 봉당리 647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(주)우경엔지니어링</v>
      </c>
      <c r="D7" s="356"/>
      <c r="E7" s="347"/>
      <c r="F7" s="357"/>
      <c r="G7" s="358" t="str">
        <f>Input!I49</f>
        <v>주포지구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주포지구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2024년 지하수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주포지구</v>
      </c>
      <c r="D3" s="165"/>
      <c r="E3" s="165"/>
      <c r="F3" s="167"/>
      <c r="G3" s="165"/>
      <c r="H3" s="168" t="str">
        <f>StepTest!H5</f>
        <v>공  번 : W - 32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주포면 봉당리 647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(주)우경엔지니어링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W-32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W-32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W-32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16" sqref="I1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W-32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W-32</v>
      </c>
      <c r="E12" s="492"/>
      <c r="F12" s="490"/>
      <c r="H12" s="489" t="str">
        <f>C4</f>
        <v>W-32</v>
      </c>
      <c r="I12" s="492"/>
      <c r="J12" s="490"/>
      <c r="L12" s="493" t="str">
        <f>C4</f>
        <v>W-32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0.1</v>
      </c>
      <c r="M14" s="105">
        <f ca="1">myRandBetween(1,20,1)</f>
        <v>4</v>
      </c>
      <c r="N14" s="106">
        <f ca="1">ROUND(myRandBetween(8,12,100), 2)</f>
        <v>-0.11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0.3</v>
      </c>
      <c r="M15" s="105">
        <f t="shared" ref="M15:M23" ca="1" si="6">myRandBetween(1,20,1)</f>
        <v>-3</v>
      </c>
      <c r="N15" s="106">
        <f t="shared" ref="N15:N23" ca="1" si="7">ROUND(myRandBetween(8,12,100), 2)</f>
        <v>-0.1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0.1</v>
      </c>
      <c r="M16" s="105">
        <f t="shared" ca="1" si="6"/>
        <v>-20</v>
      </c>
      <c r="N16" s="106">
        <f t="shared" ca="1" si="7"/>
        <v>0.1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0.1</v>
      </c>
      <c r="M17" s="105">
        <f t="shared" ca="1" si="6"/>
        <v>2</v>
      </c>
      <c r="N17" s="106">
        <f t="shared" ca="1" si="7"/>
        <v>0.08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-0.2</v>
      </c>
      <c r="M18" s="105">
        <f t="shared" ca="1" si="6"/>
        <v>-4</v>
      </c>
      <c r="N18" s="106">
        <f t="shared" ca="1" si="7"/>
        <v>0.08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0.3</v>
      </c>
      <c r="M19" s="105">
        <f t="shared" ca="1" si="6"/>
        <v>13</v>
      </c>
      <c r="N19" s="106">
        <f t="shared" ca="1" si="7"/>
        <v>0.11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0.1</v>
      </c>
      <c r="M20" s="105">
        <f t="shared" ca="1" si="6"/>
        <v>-1</v>
      </c>
      <c r="N20" s="106">
        <f t="shared" ca="1" si="7"/>
        <v>0.1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-0.3</v>
      </c>
      <c r="M21" s="105">
        <f t="shared" ca="1" si="6"/>
        <v>15</v>
      </c>
      <c r="N21" s="106">
        <f t="shared" ca="1" si="7"/>
        <v>-0.08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-0.3</v>
      </c>
      <c r="M22" s="105">
        <f t="shared" ca="1" si="6"/>
        <v>18</v>
      </c>
      <c r="N22" s="106">
        <f t="shared" ca="1" si="7"/>
        <v>-0.08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-0.1</v>
      </c>
      <c r="M23" s="145">
        <f t="shared" ca="1" si="6"/>
        <v>-13</v>
      </c>
      <c r="N23" s="122">
        <f t="shared" ca="1" si="7"/>
        <v>-0.1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2024-03-10T22:23:46Z</dcterms:modified>
</cp:coreProperties>
</file>