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199E562-43F8-429D-BD4E-36675E22AA88}" xr6:coauthVersionLast="47" xr6:coauthVersionMax="47" xr10:uidLastSave="{00000000-0000-0000-0000-000000000000}"/>
  <bookViews>
    <workbookView xWindow="-120" yWindow="-120" windowWidth="38640" windowHeight="212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" l="1"/>
  <c r="D22" i="2"/>
  <c r="E21" i="2"/>
  <c r="C21" i="2"/>
  <c r="A3" i="2"/>
  <c r="A4" i="2"/>
  <c r="A5" i="2"/>
  <c r="A6" i="2"/>
  <c r="A27" i="9"/>
  <c r="A28" i="10"/>
  <c r="A44" i="2"/>
  <c r="O52" i="2"/>
  <c r="O51" i="2"/>
  <c r="C29" i="4"/>
  <c r="C59" i="2"/>
  <c r="F59" i="2"/>
  <c r="F62" i="2" s="1"/>
  <c r="I59" i="2" s="1"/>
  <c r="C61" i="2"/>
  <c r="E20" i="2"/>
  <c r="C62" i="2" l="1"/>
  <c r="I61" i="2" s="1"/>
  <c r="P51" i="2"/>
  <c r="P14" i="11"/>
  <c r="P15" i="11"/>
  <c r="P16" i="11"/>
  <c r="P17" i="11"/>
  <c r="P18" i="11"/>
  <c r="P19" i="11"/>
  <c r="P20" i="11"/>
  <c r="P21" i="11"/>
  <c r="P22" i="11"/>
  <c r="P23" i="11"/>
  <c r="P13" i="11"/>
  <c r="L14" i="11"/>
  <c r="L20" i="11"/>
  <c r="L17" i="11"/>
  <c r="L23" i="11"/>
  <c r="M18" i="11"/>
  <c r="M17" i="11"/>
  <c r="N19" i="11"/>
  <c r="N16" i="11"/>
  <c r="N22" i="11"/>
  <c r="L15" i="11"/>
  <c r="N21" i="11"/>
  <c r="M22" i="11"/>
  <c r="M20" i="11"/>
  <c r="L22" i="11"/>
  <c r="L16" i="11"/>
  <c r="M15" i="11"/>
  <c r="M19" i="11"/>
  <c r="M14" i="11"/>
  <c r="M21" i="11"/>
  <c r="N15" i="11"/>
  <c r="M23" i="11"/>
  <c r="N18" i="11"/>
  <c r="M16" i="11"/>
  <c r="L21" i="11"/>
  <c r="N20" i="11"/>
  <c r="N23" i="11"/>
  <c r="N17" i="11"/>
  <c r="L19" i="11"/>
  <c r="N14" i="11"/>
  <c r="L18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D21" i="2" s="1"/>
  <c r="A47" i="2"/>
  <c r="M46" i="2"/>
  <c r="N45" i="2"/>
  <c r="A18" i="8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C20" i="2"/>
  <c r="E2" i="2"/>
  <c r="AB26" i="6" l="1"/>
  <c r="AB40" i="6"/>
  <c r="AB23" i="6"/>
  <c r="W34" i="6"/>
  <c r="E112" i="7"/>
  <c r="AB5" i="6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10" s="1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B32" i="6"/>
  <c r="R24" i="6" s="1"/>
  <c r="S26" i="6" s="1"/>
  <c r="D23" i="2"/>
  <c r="B42" i="6" s="1"/>
  <c r="R34" i="6" s="1"/>
  <c r="S35" i="6" s="1"/>
  <c r="D24" i="2"/>
  <c r="B47" i="6" s="1"/>
  <c r="R39" i="6" s="1"/>
  <c r="S40" i="6" s="1"/>
  <c r="B37" i="6"/>
  <c r="R29" i="6" s="1"/>
  <c r="S33" i="6" s="1"/>
  <c r="D20" i="2"/>
  <c r="B12" i="6" s="1"/>
  <c r="B34" i="2"/>
  <c r="M52" i="2"/>
  <c r="B17" i="2" s="1"/>
  <c r="B21" i="2" s="1"/>
  <c r="F25" i="11" l="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35" i="2"/>
  <c r="D6" i="2"/>
  <c r="H4" i="4" l="1"/>
  <c r="B43" i="2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F5" i="2"/>
  <c r="G5" i="2" s="1"/>
  <c r="F6" i="2"/>
  <c r="G6" i="2" s="1"/>
  <c r="F4" i="2"/>
  <c r="G4" i="2" s="1"/>
  <c r="G23" i="2"/>
  <c r="A7" i="2"/>
  <c r="F7" i="2"/>
  <c r="G7" i="2" s="1"/>
  <c r="G21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B16" authorId="0" shapeId="0" xr:uid="{FEF7E9A2-DB83-4E48-BCFC-FCB456DB52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B43" authorId="0" shapeId="0" xr:uid="{C0B7684F-DA54-4B97-B95E-3B0D9F998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=INT(SQRT((2.25*A44*A47)/(A45*10^(5.46*A44*A46)))*1000)/1000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B44" authorId="0" shapeId="0" xr:uid="{FCB29100-47E3-4321-8774-FB219FB537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CEA5A2BE-111B-4C8B-B5FC-71F848FEF5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46" authorId="0" shapeId="0" xr:uid="{57B8C077-400D-41FF-A2C4-51017D7B0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Y = C*X + B
C : </t>
        </r>
        <r>
          <rPr>
            <sz val="9"/>
            <color indexed="81"/>
            <rFont val="돋움"/>
            <family val="3"/>
            <charset val="129"/>
          </rPr>
          <t xml:space="preserve">우물손실계수
</t>
        </r>
        <r>
          <rPr>
            <sz val="9"/>
            <color indexed="81"/>
            <rFont val="Tahoma"/>
            <family val="2"/>
          </rPr>
          <t xml:space="preserve">
B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손실계수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721BDC72-9E80-4093-819F-B9D765A233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t*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M47" authorId="0" shapeId="0" xr:uid="{51B5D73B-05FC-46BB-860E-48F935B7B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적정양수량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차등적용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M52" authorId="0" shapeId="0" xr:uid="{CE5E65C2-A6E6-4337-93AE-6F572E558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89%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CB197D96-6FD8-4389-A957-5BB2469CF3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2.25*Tt'
</t>
        </r>
        <r>
          <rPr>
            <sz val="9"/>
            <color indexed="81"/>
            <rFont val="돋움"/>
            <family val="3"/>
            <charset val="129"/>
          </rPr>
          <t>이것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여기에서의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단계양수시험의
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1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2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e = </t>
        </r>
        <r>
          <rPr>
            <sz val="12"/>
            <color indexed="81"/>
            <rFont val="Tahoma"/>
            <family val="2"/>
          </rPr>
          <t xml:space="preserve">S*e^(4pi*T*B)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<sst xmlns="http://schemas.openxmlformats.org/spreadsheetml/2006/main" count="1109" uniqueCount="262">
  <si>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</si>
  <si>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</si>
  <si>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</si>
  <si>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</si>
  <si>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</si>
  <si>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</si>
  <si>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</si>
  <si>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</si>
  <si>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</si>
  <si>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</si>
  <si>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</si>
  <si>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</si>
  <si>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</si>
  <si>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</si>
  <si>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</si>
  <si>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</si>
  <si>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</si>
  <si>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</si>
  <si>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</si>
  <si>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</si>
  <si>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</si>
  <si>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</si>
  <si>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</si>
  <si>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</si>
  <si>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</si>
  <si>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</si>
  <si>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</si>
  <si>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</si>
  <si>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</si>
  <si>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</si>
  <si>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</si>
  <si>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</si>
  <si>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</si>
  <si>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</si>
  <si>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</si>
  <si>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</si>
  <si>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</si>
  <si>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</si>
  <si>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</si>
  <si>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</si>
  <si>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</si>
  <si>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</si>
  <si>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</si>
  <si>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</si>
  <si>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</si>
  <si>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</si>
  <si>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</si>
  <si>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</si>
  <si>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</si>
  <si>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</si>
  <si>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</si>
  <si>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</si>
  <si>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</si>
  <si>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</si>
  <si>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</si>
  <si>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</si>
  <si>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</si>
  <si>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</si>
  <si>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</si>
  <si>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</si>
  <si>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</si>
  <si>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</si>
  <si>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</si>
  <si>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</si>
  <si>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</si>
  <si>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</si>
  <si>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</si>
  <si>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</si>
  <si>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</si>
  <si>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</si>
  <si>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</si>
  <si>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</si>
  <si>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</si>
  <si>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</si>
  <si>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</si>
  <si>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</si>
  <si>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</si>
  <si>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</si>
  <si>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</si>
  <si>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</si>
  <si>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</si>
  <si>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</si>
  <si>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</si>
  <si>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</si>
  <si>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</si>
  <si>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</si>
  <si>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</si>
  <si>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</si>
  <si>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</si>
  <si>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</si>
  <si>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</si>
  <si>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</si>
  <si>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</si>
  <si>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</si>
  <si>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</si>
  <si>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</si>
  <si>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</si>
  <si>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</si>
  <si>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</si>
  <si>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</si>
  <si>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</si>
  <si>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</si>
  <si>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</si>
  <si>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</si>
  <si>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</si>
  <si>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</si>
  <si>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</si>
  <si>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</si>
  <si>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</si>
  <si>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</si>
  <si>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</si>
  <si>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</si>
  <si>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</si>
  <si>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</si>
  <si>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</si>
  <si>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</si>
  <si>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</si>
  <si>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</si>
  <si>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</si>
  <si>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</si>
  <si>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</si>
  <si>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</si>
  <si>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</si>
  <si>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</si>
  <si>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</si>
  <si>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</si>
  <si>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</si>
  <si>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</si>
  <si>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</si>
  <si>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</si>
  <si>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</si>
  <si>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</si>
  <si>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</si>
  <si>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</si>
  <si>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</si>
  <si>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</si>
  <si>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</si>
  <si>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</si>
  <si>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</si>
  <si>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</si>
  <si>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</si>
  <si>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</si>
  <si>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</si>
  <si>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</si>
  <si>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</si>
  <si>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</si>
  <si>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</si>
  <si>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</si>
  <si>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</si>
  <si>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</si>
  <si>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</si>
  <si>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</si>
  <si>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</si>
  <si>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</si>
  <si>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</si>
  <si>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</si>
  <si>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</si>
  <si>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</si>
  <si>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</si>
  <si>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</si>
  <si>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</si>
  <si>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</si>
  <si>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</si>
  <si>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</si>
  <si>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</si>
  <si>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</si>
  <si>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</si>
  <si>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</si>
  <si>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</si>
  <si>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</si>
  <si>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</si>
  <si>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</si>
  <si>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</si>
  <si>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</si>
  <si>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</si>
  <si>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</si>
  <si>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</si>
  <si>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</si>
  <si>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</si>
  <si>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</si>
  <si>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</si>
  <si>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</si>
  <si>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</si>
  <si>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</si>
  <si>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</si>
  <si>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</si>
  <si>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</si>
  <si>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</si>
  <si>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</si>
  <si>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</si>
  <si>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</si>
  <si>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</si>
  <si>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</si>
  <si>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</si>
  <si>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</si>
  <si>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</si>
  <si>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</si>
  <si>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</si>
  <si>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</si>
  <si>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</si>
  <si>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</si>
  <si>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</si>
  <si>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</si>
  <si>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</si>
  <si>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</si>
  <si>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</si>
  <si>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</si>
  <si>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</si>
  <si>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</si>
  <si>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</si>
  <si>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</si>
  <si>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</si>
  <si>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</si>
  <si>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</si>
  <si>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</si>
  <si>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</si>
  <si>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</si>
  <si>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</si>
  <si>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</si>
  <si>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</si>
  <si>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</si>
  <si>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</si>
  <si>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</si>
  <si>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</si>
  <si>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</si>
  <si>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</si>
  <si>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</si>
  <si>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</si>
  <si>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</si>
  <si>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</si>
  <si>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</si>
  <si>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</si>
  <si>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</si>
  <si>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</si>
  <si>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</si>
  <si>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</si>
  <si>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</si>
  <si>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</si>
  <si>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</si>
  <si>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</si>
  <si>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</si>
  <si>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</si>
  <si>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</si>
  <si>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</si>
  <si>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</si>
  <si>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</si>
  <si>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</si>
  <si>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</si>
  <si>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</si>
  <si>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</si>
  <si>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</si>
  <si>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</si>
  <si>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</si>
  <si>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</si>
  <si>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</si>
  <si>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</si>
  <si>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</si>
  <si>
    <t>100
128
156
183
210</t>
  </si>
  <si>
    <t>24.07
28.66
33.82
39.58
48.36</t>
  </si>
  <si>
    <t>13.77
18.36
23.52
29.28
38.06</t>
  </si>
  <si>
    <t>7.299
6.993
6.623
6.250
5.556</t>
  </si>
  <si>
    <t>0.137
0.143
0.151
0.160
0.180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</si>
</sst>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0"/>
      <color indexed="8"/>
      <name val="굴림체"/>
      <family val="3"/>
      <charset val="129"/>
    </font>
    <font>
      <sz val="10"/>
      <name val="굴림체"/>
      <family val="3"/>
      <charset val="129"/>
    </font>
    <font>
      <b/>
      <i/>
      <sz val="11"/>
      <color indexed="10"/>
      <name val="맑은 고딕"/>
      <family val="3"/>
      <charset val="129"/>
    </font>
    <font>
      <sz val="10"/>
      <color indexed="81"/>
      <name val="Tahoma"/>
      <family val="2"/>
    </font>
    <font>
      <sz val="10"/>
      <color indexed="81"/>
      <name val="돋움"/>
      <family val="3"/>
      <charset val="129"/>
    </font>
    <font>
      <sz val="11"/>
      <color indexed="81"/>
      <name val="돋움"/>
      <family val="3"/>
      <charset val="129"/>
    </font>
    <font>
      <b/>
      <sz val="9"/>
      <color theme="1"/>
      <name val="굴림체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36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8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4" fillId="0" borderId="0" xfId="6" applyFont="1" applyAlignment="1">
      <alignment horizontal="right" vertical="center"/>
    </xf>
    <xf numFmtId="0" fontId="15" fillId="0" borderId="21" xfId="6" applyFont="1" applyBorder="1">
      <alignment vertical="center"/>
    </xf>
    <xf numFmtId="0" fontId="15" fillId="0" borderId="25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5" xfId="6" applyFont="1" applyBorder="1" applyAlignment="1">
      <alignment horizontal="center" vertical="center"/>
    </xf>
    <xf numFmtId="178" fontId="15" fillId="0" borderId="28" xfId="6" applyNumberFormat="1" applyFont="1" applyBorder="1" applyAlignment="1">
      <alignment horizontal="center" vertical="center"/>
    </xf>
    <xf numFmtId="0" fontId="15" fillId="0" borderId="28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2" xfId="6" applyFont="1" applyBorder="1">
      <alignment vertical="center"/>
    </xf>
    <xf numFmtId="0" fontId="15" fillId="0" borderId="22" xfId="6" applyFont="1" applyBorder="1" applyAlignment="1">
      <alignment horizontal="center" vertical="center"/>
    </xf>
    <xf numFmtId="0" fontId="15" fillId="0" borderId="26" xfId="6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5" fillId="16" borderId="11" xfId="3" applyFont="1" applyFill="1" applyBorder="1" applyAlignment="1">
      <alignment horizontal="right" vertical="center"/>
    </xf>
    <xf numFmtId="0" fontId="35" fillId="16" borderId="13" xfId="3" applyFont="1" applyFill="1" applyBorder="1" applyAlignment="1">
      <alignment horizontal="right" vertical="center"/>
    </xf>
    <xf numFmtId="0" fontId="35" fillId="16" borderId="33" xfId="3" applyFont="1" applyFill="1" applyBorder="1" applyAlignment="1">
      <alignment horizontal="right" vertical="center"/>
    </xf>
    <xf numFmtId="0" fontId="36" fillId="0" borderId="0" xfId="3" applyFont="1"/>
    <xf numFmtId="0" fontId="36" fillId="0" borderId="0" xfId="3" applyFont="1" applyAlignment="1">
      <alignment horizontal="center"/>
    </xf>
    <xf numFmtId="0" fontId="36" fillId="0" borderId="0" xfId="3" applyFont="1" applyAlignment="1">
      <alignment vertical="top"/>
    </xf>
    <xf numFmtId="181" fontId="36" fillId="0" borderId="0" xfId="3" applyNumberFormat="1" applyFont="1"/>
    <xf numFmtId="0" fontId="36" fillId="0" borderId="0" xfId="3" applyFont="1" applyAlignment="1">
      <alignment vertical="center"/>
    </xf>
    <xf numFmtId="0" fontId="36" fillId="4" borderId="0" xfId="3" applyFont="1" applyFill="1" applyAlignment="1">
      <alignment vertical="center"/>
    </xf>
    <xf numFmtId="0" fontId="36" fillId="0" borderId="0" xfId="3" applyFont="1" applyAlignment="1">
      <alignment horizontal="center" vertical="center"/>
    </xf>
    <xf numFmtId="181" fontId="36" fillId="0" borderId="0" xfId="3" applyNumberFormat="1" applyFont="1" applyAlignment="1">
      <alignment horizontal="center" vertical="center"/>
    </xf>
    <xf numFmtId="1" fontId="36" fillId="0" borderId="0" xfId="3" applyNumberFormat="1" applyFont="1" applyAlignment="1">
      <alignment vertical="center"/>
    </xf>
    <xf numFmtId="200" fontId="36" fillId="0" borderId="0" xfId="3" applyNumberFormat="1" applyFont="1" applyAlignment="1">
      <alignment vertical="center"/>
    </xf>
    <xf numFmtId="2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/>
    </xf>
    <xf numFmtId="177" fontId="36" fillId="17" borderId="0" xfId="3" applyNumberFormat="1" applyFont="1" applyFill="1" applyAlignment="1">
      <alignment vertical="center"/>
    </xf>
    <xf numFmtId="182" fontId="36" fillId="0" borderId="0" xfId="3" applyNumberFormat="1" applyFont="1" applyAlignment="1">
      <alignment vertical="center"/>
    </xf>
    <xf numFmtId="181" fontId="36" fillId="0" borderId="0" xfId="3" applyNumberFormat="1" applyFont="1" applyAlignment="1">
      <alignment vertical="center"/>
    </xf>
    <xf numFmtId="0" fontId="38" fillId="0" borderId="0" xfId="3" applyFont="1" applyAlignment="1">
      <alignment vertical="center"/>
    </xf>
    <xf numFmtId="193" fontId="38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7" fillId="0" borderId="1" xfId="3" applyNumberFormat="1" applyFont="1" applyBorder="1" applyAlignment="1">
      <alignment horizontal="center" vertical="center"/>
    </xf>
    <xf numFmtId="186" fontId="36" fillId="0" borderId="0" xfId="3" applyNumberFormat="1" applyFont="1" applyAlignment="1">
      <alignment vertical="center"/>
    </xf>
    <xf numFmtId="0" fontId="39" fillId="19" borderId="0" xfId="3" applyFont="1" applyFill="1" applyAlignment="1">
      <alignment horizontal="center" vertical="center" wrapText="1"/>
    </xf>
    <xf numFmtId="209" fontId="36" fillId="9" borderId="0" xfId="3" applyNumberFormat="1" applyFont="1" applyFill="1" applyAlignment="1">
      <alignment horizontal="center" vertical="center"/>
    </xf>
    <xf numFmtId="0" fontId="36" fillId="9" borderId="0" xfId="3" applyFont="1" applyFill="1" applyAlignment="1">
      <alignment horizontal="center" vertical="center"/>
    </xf>
    <xf numFmtId="0" fontId="36" fillId="9" borderId="0" xfId="3" applyFont="1" applyFill="1" applyAlignment="1">
      <alignment horizontal="right" vertical="center" wrapText="1"/>
    </xf>
    <xf numFmtId="196" fontId="36" fillId="9" borderId="0" xfId="3" applyNumberFormat="1" applyFont="1" applyFill="1" applyAlignment="1">
      <alignment vertical="center"/>
    </xf>
    <xf numFmtId="0" fontId="36" fillId="0" borderId="0" xfId="3" applyFont="1" applyAlignment="1">
      <alignment horizontal="right" vertical="center"/>
    </xf>
    <xf numFmtId="205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 shrinkToFit="1"/>
    </xf>
    <xf numFmtId="0" fontId="41" fillId="7" borderId="0" xfId="3" applyFont="1" applyFill="1" applyAlignment="1">
      <alignment horizontal="center" vertical="center"/>
    </xf>
    <xf numFmtId="210" fontId="36" fillId="0" borderId="0" xfId="3" applyNumberFormat="1" applyFont="1" applyAlignment="1">
      <alignment vertical="center"/>
    </xf>
    <xf numFmtId="176" fontId="36" fillId="13" borderId="0" xfId="3" applyNumberFormat="1" applyFont="1" applyFill="1" applyAlignment="1">
      <alignment vertical="center"/>
    </xf>
    <xf numFmtId="196" fontId="36" fillId="0" borderId="0" xfId="3" applyNumberFormat="1" applyFont="1" applyAlignment="1">
      <alignment vertical="center"/>
    </xf>
    <xf numFmtId="210" fontId="36" fillId="0" borderId="0" xfId="3" applyNumberFormat="1" applyFont="1" applyAlignment="1">
      <alignment horizontal="right" vertical="center"/>
    </xf>
    <xf numFmtId="210" fontId="36" fillId="0" borderId="0" xfId="3" applyNumberFormat="1" applyFont="1" applyAlignment="1">
      <alignment horizontal="right"/>
    </xf>
    <xf numFmtId="200" fontId="42" fillId="0" borderId="0" xfId="3" applyNumberFormat="1" applyFont="1" applyAlignment="1">
      <alignment vertical="center"/>
    </xf>
    <xf numFmtId="214" fontId="36" fillId="0" borderId="0" xfId="3" applyNumberFormat="1" applyFont="1" applyAlignment="1">
      <alignment vertical="center"/>
    </xf>
    <xf numFmtId="0" fontId="43" fillId="0" borderId="0" xfId="3" applyFont="1" applyAlignment="1">
      <alignment vertical="center"/>
    </xf>
    <xf numFmtId="1" fontId="36" fillId="6" borderId="0" xfId="3" applyNumberFormat="1" applyFont="1" applyFill="1" applyAlignment="1">
      <alignment vertical="center"/>
    </xf>
    <xf numFmtId="0" fontId="36" fillId="6" borderId="0" xfId="3" applyFont="1" applyFill="1" applyAlignment="1">
      <alignment vertical="center"/>
    </xf>
    <xf numFmtId="200" fontId="36" fillId="6" borderId="0" xfId="3" applyNumberFormat="1" applyFont="1" applyFill="1" applyAlignment="1">
      <alignment vertical="center"/>
    </xf>
    <xf numFmtId="176" fontId="36" fillId="6" borderId="0" xfId="3" applyNumberFormat="1" applyFont="1" applyFill="1" applyAlignment="1">
      <alignment vertical="center" shrinkToFit="1"/>
    </xf>
    <xf numFmtId="0" fontId="43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3" applyFont="1" applyAlignment="1">
      <alignment vertical="center" shrinkToFit="1"/>
    </xf>
    <xf numFmtId="200" fontId="36" fillId="0" borderId="0" xfId="3" applyNumberFormat="1" applyFont="1" applyAlignment="1">
      <alignment horizontal="right"/>
    </xf>
    <xf numFmtId="0" fontId="36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5" fillId="0" borderId="0" xfId="3" applyFont="1" applyAlignment="1">
      <alignment horizontal="center" vertical="center"/>
    </xf>
    <xf numFmtId="0" fontId="46" fillId="0" borderId="0" xfId="3" applyFont="1" applyAlignment="1">
      <alignment horizontal="center" vertical="center"/>
    </xf>
    <xf numFmtId="0" fontId="46" fillId="0" borderId="0" xfId="3" applyFont="1" applyAlignment="1">
      <alignment vertical="center"/>
    </xf>
    <xf numFmtId="0" fontId="2" fillId="3" borderId="39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0" xfId="2" applyBorder="1" applyAlignment="1">
      <alignment horizontal="center" vertical="center"/>
    </xf>
    <xf numFmtId="217" fontId="15" fillId="0" borderId="42" xfId="3" applyNumberFormat="1" applyFont="1" applyBorder="1" applyAlignment="1">
      <alignment horizontal="center" vertical="center"/>
    </xf>
    <xf numFmtId="0" fontId="15" fillId="0" borderId="43" xfId="3" applyFont="1" applyBorder="1" applyAlignment="1">
      <alignment horizontal="center" vertical="center"/>
    </xf>
    <xf numFmtId="182" fontId="15" fillId="0" borderId="44" xfId="3" applyNumberFormat="1" applyFont="1" applyBorder="1" applyAlignment="1">
      <alignment horizontal="center" vertical="center"/>
    </xf>
    <xf numFmtId="38" fontId="15" fillId="0" borderId="45" xfId="3" applyNumberFormat="1" applyFont="1" applyBorder="1" applyAlignment="1">
      <alignment horizontal="center" vertical="center"/>
    </xf>
    <xf numFmtId="218" fontId="15" fillId="0" borderId="43" xfId="3" applyNumberFormat="1" applyFont="1" applyBorder="1" applyAlignment="1">
      <alignment horizontal="center" vertical="center"/>
    </xf>
    <xf numFmtId="0" fontId="15" fillId="0" borderId="39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217" fontId="15" fillId="0" borderId="39" xfId="3" applyNumberFormat="1" applyFont="1" applyBorder="1" applyAlignment="1">
      <alignment horizontal="center" vertical="center"/>
    </xf>
    <xf numFmtId="182" fontId="15" fillId="0" borderId="41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0" xfId="3" applyNumberFormat="1" applyFont="1" applyBorder="1" applyAlignment="1">
      <alignment horizontal="center" vertical="center"/>
    </xf>
    <xf numFmtId="0" fontId="15" fillId="0" borderId="46" xfId="3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7" fillId="0" borderId="1" xfId="3" applyNumberFormat="1" applyFont="1" applyBorder="1" applyAlignment="1">
      <alignment horizontal="center" vertical="center"/>
    </xf>
    <xf numFmtId="207" fontId="37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7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7" fillId="20" borderId="1" xfId="3" applyNumberFormat="1" applyFont="1" applyFill="1" applyBorder="1" applyAlignment="1">
      <alignment horizontal="center" vertical="center"/>
    </xf>
    <xf numFmtId="0" fontId="15" fillId="0" borderId="32" xfId="6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5" fillId="21" borderId="47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4" xfId="6" applyFont="1" applyBorder="1" applyAlignment="1">
      <alignment horizontal="center" vertical="center"/>
    </xf>
    <xf numFmtId="0" fontId="2" fillId="3" borderId="46" xfId="2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15" fillId="21" borderId="11" xfId="3" applyFont="1" applyFill="1" applyBorder="1" applyAlignment="1">
      <alignment horizontal="center" vertical="center"/>
    </xf>
    <xf numFmtId="215" fontId="15" fillId="21" borderId="31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3" xfId="3" applyFont="1" applyFill="1" applyBorder="1" applyAlignment="1">
      <alignment horizontal="center" vertical="center"/>
    </xf>
    <xf numFmtId="216" fontId="15" fillId="21" borderId="32" xfId="3" applyNumberFormat="1" applyFont="1" applyFill="1" applyBorder="1" applyAlignment="1">
      <alignment horizontal="center" vertical="center"/>
    </xf>
    <xf numFmtId="0" fontId="15" fillId="21" borderId="33" xfId="3" applyFont="1" applyFill="1" applyBorder="1" applyAlignment="1">
      <alignment horizontal="center" vertical="center"/>
    </xf>
    <xf numFmtId="40" fontId="15" fillId="21" borderId="34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0" fillId="0" borderId="0" xfId="3" applyFont="1" applyAlignment="1">
      <alignment horizontal="centerContinuous" vertical="center"/>
    </xf>
    <xf numFmtId="0" fontId="51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5" xfId="3" applyFont="1" applyBorder="1" applyAlignment="1">
      <alignment vertical="center"/>
    </xf>
    <xf numFmtId="0" fontId="17" fillId="0" borderId="6" xfId="3" applyFont="1" applyBorder="1" applyAlignment="1">
      <alignment horizontal="center" vertical="center"/>
    </xf>
    <xf numFmtId="0" fontId="17" fillId="0" borderId="5" xfId="3" applyFont="1" applyBorder="1" applyAlignment="1">
      <alignment horizontal="right" vertical="center"/>
    </xf>
    <xf numFmtId="0" fontId="17" fillId="0" borderId="5" xfId="3" applyFont="1" applyBorder="1" applyAlignment="1">
      <alignment horizontal="centerContinuous" vertical="center"/>
    </xf>
    <xf numFmtId="0" fontId="17" fillId="0" borderId="6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2" fillId="0" borderId="5" xfId="3" applyFont="1" applyBorder="1" applyAlignment="1">
      <alignment horizontal="center" vertical="center"/>
    </xf>
    <xf numFmtId="187" fontId="52" fillId="0" borderId="6" xfId="3" applyNumberFormat="1" applyFont="1" applyBorder="1" applyAlignment="1">
      <alignment horizontal="centerContinuous" vertical="center"/>
    </xf>
    <xf numFmtId="0" fontId="52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6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3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4" fillId="0" borderId="0" xfId="3" applyFont="1"/>
    <xf numFmtId="0" fontId="51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5" fillId="16" borderId="31" xfId="3" applyNumberFormat="1" applyFont="1" applyFill="1" applyBorder="1" applyAlignment="1">
      <alignment vertical="center"/>
    </xf>
    <xf numFmtId="0" fontId="55" fillId="16" borderId="32" xfId="3" applyFont="1" applyFill="1" applyBorder="1" applyAlignment="1">
      <alignment vertical="center"/>
    </xf>
    <xf numFmtId="0" fontId="55" fillId="16" borderId="34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3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5" xfId="6" applyFont="1" applyFill="1" applyBorder="1" applyAlignment="1">
      <alignment horizontal="right" vertical="center"/>
    </xf>
    <xf numFmtId="0" fontId="15" fillId="0" borderId="25" xfId="6" applyFont="1" applyBorder="1" applyAlignment="1">
      <alignment horizontal="right" vertical="center"/>
    </xf>
    <xf numFmtId="0" fontId="34" fillId="0" borderId="29" xfId="6" applyFont="1" applyBorder="1" applyAlignment="1">
      <alignment horizontal="right" vertical="center"/>
    </xf>
    <xf numFmtId="0" fontId="3" fillId="0" borderId="28" xfId="3" applyBorder="1"/>
    <xf numFmtId="0" fontId="15" fillId="0" borderId="28" xfId="6" applyFont="1" applyBorder="1">
      <alignment vertical="center"/>
    </xf>
    <xf numFmtId="0" fontId="3" fillId="0" borderId="30" xfId="3" applyBorder="1" applyAlignment="1">
      <alignment horizontal="center"/>
    </xf>
    <xf numFmtId="0" fontId="22" fillId="22" borderId="15" xfId="6" applyFont="1" applyFill="1" applyBorder="1" applyAlignment="1">
      <alignment horizontal="center" vertical="center"/>
    </xf>
    <xf numFmtId="197" fontId="15" fillId="15" borderId="28" xfId="6" applyNumberFormat="1" applyFont="1" applyFill="1" applyBorder="1" applyAlignment="1">
      <alignment horizontal="center" vertical="center"/>
    </xf>
    <xf numFmtId="197" fontId="59" fillId="15" borderId="28" xfId="6" applyNumberFormat="1" applyFont="1" applyFill="1" applyBorder="1" applyAlignment="1">
      <alignment horizontal="center" vertical="center"/>
    </xf>
    <xf numFmtId="189" fontId="59" fillId="15" borderId="28" xfId="6" applyNumberFormat="1" applyFont="1" applyFill="1" applyBorder="1" applyAlignment="1">
      <alignment horizontal="center" vertical="center"/>
    </xf>
    <xf numFmtId="193" fontId="59" fillId="15" borderId="29" xfId="6" applyNumberFormat="1" applyFont="1" applyFill="1" applyBorder="1" applyAlignment="1">
      <alignment horizontal="center" vertical="center"/>
    </xf>
    <xf numFmtId="0" fontId="15" fillId="15" borderId="28" xfId="6" applyFont="1" applyFill="1" applyBorder="1" applyAlignment="1">
      <alignment horizontal="center" vertical="center"/>
    </xf>
    <xf numFmtId="194" fontId="18" fillId="15" borderId="19" xfId="6" applyNumberFormat="1" applyFont="1" applyFill="1" applyBorder="1" applyAlignment="1">
      <alignment horizontal="center" vertical="center"/>
    </xf>
    <xf numFmtId="0" fontId="60" fillId="0" borderId="0" xfId="0" applyFont="1">
      <alignment vertical="center"/>
    </xf>
    <xf numFmtId="0" fontId="63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8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63" fillId="0" borderId="13" xfId="3" applyFont="1" applyBorder="1" applyAlignment="1">
      <alignment horizontal="center" vertical="center"/>
    </xf>
    <xf numFmtId="0" fontId="63" fillId="26" borderId="33" xfId="3" applyFont="1" applyFill="1" applyBorder="1" applyAlignment="1">
      <alignment horizontal="center" vertical="center"/>
    </xf>
    <xf numFmtId="0" fontId="63" fillId="21" borderId="11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7" xfId="3" applyFont="1" applyBorder="1" applyAlignment="1">
      <alignment horizontal="center" vertical="center" wrapText="1"/>
    </xf>
    <xf numFmtId="0" fontId="15" fillId="0" borderId="23" xfId="3" applyFont="1" applyBorder="1" applyAlignment="1">
      <alignment horizontal="center" vertical="center" wrapText="1"/>
    </xf>
    <xf numFmtId="0" fontId="15" fillId="0" borderId="58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31" xfId="3" applyFont="1" applyFill="1" applyBorder="1" applyAlignment="1">
      <alignment horizontal="center" vertical="center"/>
    </xf>
    <xf numFmtId="0" fontId="7" fillId="0" borderId="32" xfId="3" applyFont="1" applyBorder="1" applyAlignment="1">
      <alignment horizontal="center" vertical="center"/>
    </xf>
    <xf numFmtId="2" fontId="7" fillId="0" borderId="16" xfId="3" applyNumberFormat="1" applyFont="1" applyBorder="1" applyAlignment="1">
      <alignment horizontal="center" vertical="center"/>
    </xf>
    <xf numFmtId="177" fontId="7" fillId="0" borderId="16" xfId="3" applyNumberFormat="1" applyFont="1" applyBorder="1" applyAlignment="1">
      <alignment horizontal="center" vertical="center"/>
    </xf>
    <xf numFmtId="0" fontId="7" fillId="0" borderId="34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5" fillId="14" borderId="1" xfId="6" applyFont="1" applyFill="1" applyBorder="1" applyAlignment="1">
      <alignment horizontal="center" vertical="center"/>
    </xf>
    <xf numFmtId="189" fontId="55" fillId="14" borderId="22" xfId="6" applyNumberFormat="1" applyFont="1" applyFill="1" applyBorder="1" applyAlignment="1">
      <alignment horizontal="center" vertical="center"/>
    </xf>
    <xf numFmtId="179" fontId="55" fillId="14" borderId="30" xfId="6" applyNumberFormat="1" applyFont="1" applyFill="1" applyBorder="1" applyAlignment="1">
      <alignment horizontal="center" vertical="center"/>
    </xf>
    <xf numFmtId="0" fontId="34" fillId="21" borderId="13" xfId="6" applyFont="1" applyFill="1" applyBorder="1" applyAlignment="1">
      <alignment horizontal="right" vertical="center"/>
    </xf>
    <xf numFmtId="0" fontId="34" fillId="21" borderId="33" xfId="6" applyFont="1" applyFill="1" applyBorder="1" applyAlignment="1">
      <alignment horizontal="right" vertical="center"/>
    </xf>
    <xf numFmtId="0" fontId="58" fillId="21" borderId="31" xfId="6" applyFont="1" applyFill="1" applyBorder="1" applyAlignment="1">
      <alignment horizontal="center" vertical="center"/>
    </xf>
    <xf numFmtId="0" fontId="58" fillId="21" borderId="32" xfId="6" applyFont="1" applyFill="1" applyBorder="1" applyAlignment="1">
      <alignment horizontal="center" vertical="center"/>
    </xf>
    <xf numFmtId="182" fontId="65" fillId="15" borderId="11" xfId="6" applyNumberFormat="1" applyFont="1" applyFill="1" applyBorder="1" applyAlignment="1">
      <alignment horizontal="center" vertical="center"/>
    </xf>
    <xf numFmtId="182" fontId="65" fillId="15" borderId="13" xfId="6" applyNumberFormat="1" applyFont="1" applyFill="1" applyBorder="1" applyAlignment="1">
      <alignment horizontal="center" vertical="center"/>
    </xf>
    <xf numFmtId="178" fontId="67" fillId="15" borderId="32" xfId="6" applyNumberFormat="1" applyFont="1" applyFill="1" applyBorder="1" applyAlignment="1">
      <alignment horizontal="center" vertical="center"/>
    </xf>
    <xf numFmtId="0" fontId="67" fillId="15" borderId="32" xfId="6" applyFont="1" applyFill="1" applyBorder="1" applyAlignment="1">
      <alignment horizontal="center" vertical="center"/>
    </xf>
    <xf numFmtId="0" fontId="67" fillId="15" borderId="34" xfId="6" applyFont="1" applyFill="1" applyBorder="1" applyAlignment="1">
      <alignment horizontal="center" vertical="center"/>
    </xf>
    <xf numFmtId="0" fontId="14" fillId="29" borderId="14" xfId="6" applyFont="1" applyFill="1" applyBorder="1" applyAlignment="1">
      <alignment horizontal="center" vertical="center"/>
    </xf>
    <xf numFmtId="0" fontId="14" fillId="29" borderId="52" xfId="6" applyFont="1" applyFill="1" applyBorder="1" applyAlignment="1">
      <alignment horizontal="center" vertical="center"/>
    </xf>
    <xf numFmtId="193" fontId="18" fillId="15" borderId="53" xfId="6" applyNumberFormat="1" applyFont="1" applyFill="1" applyBorder="1" applyAlignment="1">
      <alignment horizontal="center" vertical="center"/>
    </xf>
    <xf numFmtId="0" fontId="15" fillId="0" borderId="17" xfId="6" applyFont="1" applyBorder="1">
      <alignment vertical="center"/>
    </xf>
    <xf numFmtId="189" fontId="55" fillId="14" borderId="18" xfId="6" applyNumberFormat="1" applyFont="1" applyFill="1" applyBorder="1" applyAlignment="1">
      <alignment horizontal="center" vertical="center"/>
    </xf>
    <xf numFmtId="0" fontId="34" fillId="0" borderId="18" xfId="6" applyFont="1" applyBorder="1">
      <alignment vertical="center"/>
    </xf>
    <xf numFmtId="0" fontId="15" fillId="0" borderId="59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4" fontId="18" fillId="15" borderId="53" xfId="6" applyNumberFormat="1" applyFont="1" applyFill="1" applyBorder="1" applyAlignment="1">
      <alignment horizontal="center" vertical="center"/>
    </xf>
    <xf numFmtId="0" fontId="18" fillId="29" borderId="11" xfId="6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31" xfId="6" applyFont="1" applyFill="1" applyBorder="1" applyAlignment="1">
      <alignment horizontal="center" vertical="center"/>
    </xf>
    <xf numFmtId="193" fontId="18" fillId="15" borderId="13" xfId="6" applyNumberFormat="1" applyFont="1" applyFill="1" applyBorder="1" applyAlignment="1">
      <alignment horizontal="center" vertical="center"/>
    </xf>
    <xf numFmtId="198" fontId="18" fillId="6" borderId="24" xfId="6" applyNumberFormat="1" applyFont="1" applyFill="1" applyBorder="1" applyAlignment="1">
      <alignment horizontal="center" vertical="center"/>
    </xf>
    <xf numFmtId="0" fontId="65" fillId="0" borderId="20" xfId="6" applyFont="1" applyBorder="1" applyAlignment="1">
      <alignment horizontal="right" vertical="center"/>
    </xf>
    <xf numFmtId="181" fontId="15" fillId="9" borderId="22" xfId="6" applyNumberFormat="1" applyFont="1" applyFill="1" applyBorder="1">
      <alignment vertical="center"/>
    </xf>
    <xf numFmtId="197" fontId="64" fillId="10" borderId="15" xfId="6" applyNumberFormat="1" applyFont="1" applyFill="1" applyBorder="1" applyAlignment="1">
      <alignment horizontal="center" vertical="center"/>
    </xf>
    <xf numFmtId="0" fontId="36" fillId="28" borderId="0" xfId="3" applyFont="1" applyFill="1" applyAlignment="1">
      <alignment vertical="center"/>
    </xf>
    <xf numFmtId="177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vertical="center"/>
    </xf>
    <xf numFmtId="177" fontId="36" fillId="13" borderId="1" xfId="3" applyNumberFormat="1" applyFont="1" applyFill="1" applyBorder="1" applyAlignment="1">
      <alignment vertical="center"/>
    </xf>
    <xf numFmtId="177" fontId="38" fillId="22" borderId="1" xfId="3" applyNumberFormat="1" applyFont="1" applyFill="1" applyBorder="1" applyAlignment="1">
      <alignment horizontal="center" vertical="center"/>
    </xf>
    <xf numFmtId="0" fontId="68" fillId="0" borderId="0" xfId="3" applyFont="1" applyAlignment="1">
      <alignment horizontal="center" vertical="center"/>
    </xf>
    <xf numFmtId="0" fontId="68" fillId="0" borderId="0" xfId="3" applyFont="1" applyAlignment="1">
      <alignment horizontal="center" vertical="center" shrinkToFit="1"/>
    </xf>
    <xf numFmtId="0" fontId="36" fillId="28" borderId="0" xfId="3" applyFont="1" applyFill="1" applyAlignment="1">
      <alignment horizontal="center"/>
    </xf>
    <xf numFmtId="0" fontId="36" fillId="28" borderId="0" xfId="3" applyFont="1" applyFill="1"/>
    <xf numFmtId="181" fontId="36" fillId="28" borderId="0" xfId="3" applyNumberFormat="1" applyFont="1" applyFill="1"/>
    <xf numFmtId="181" fontId="36" fillId="28" borderId="0" xfId="3" applyNumberFormat="1" applyFont="1" applyFill="1" applyAlignment="1">
      <alignment vertical="center"/>
    </xf>
    <xf numFmtId="0" fontId="36" fillId="12" borderId="0" xfId="3" applyFont="1" applyFill="1" applyAlignment="1">
      <alignment vertical="center"/>
    </xf>
    <xf numFmtId="0" fontId="69" fillId="0" borderId="1" xfId="3" applyFont="1" applyBorder="1" applyAlignment="1">
      <alignment horizontal="center" vertical="center"/>
    </xf>
    <xf numFmtId="0" fontId="69" fillId="0" borderId="2" xfId="3" applyFont="1" applyBorder="1" applyAlignment="1">
      <alignment horizontal="left" vertical="center"/>
    </xf>
    <xf numFmtId="0" fontId="69" fillId="0" borderId="5" xfId="3" applyFont="1" applyBorder="1" applyAlignment="1">
      <alignment vertical="center"/>
    </xf>
    <xf numFmtId="186" fontId="69" fillId="0" borderId="5" xfId="3" applyNumberFormat="1" applyFont="1" applyBorder="1"/>
    <xf numFmtId="0" fontId="69" fillId="0" borderId="6" xfId="3" applyFont="1" applyBorder="1" applyAlignment="1">
      <alignment horizontal="center" vertical="center"/>
    </xf>
    <xf numFmtId="194" fontId="69" fillId="0" borderId="2" xfId="3" applyNumberFormat="1" applyFont="1" applyBorder="1" applyAlignment="1">
      <alignment horizontal="left" vertical="center"/>
    </xf>
    <xf numFmtId="0" fontId="69" fillId="0" borderId="5" xfId="3" applyFont="1" applyBorder="1" applyAlignment="1">
      <alignment horizontal="right" vertical="center"/>
    </xf>
    <xf numFmtId="186" fontId="69" fillId="0" borderId="5" xfId="3" applyNumberFormat="1" applyFont="1" applyBorder="1" applyAlignment="1">
      <alignment horizontal="centerContinuous" vertical="center"/>
    </xf>
    <xf numFmtId="0" fontId="69" fillId="0" borderId="6" xfId="3" applyFont="1" applyBorder="1" applyAlignment="1">
      <alignment horizontal="centerContinuous" vertical="center"/>
    </xf>
    <xf numFmtId="0" fontId="69" fillId="0" borderId="2" xfId="3" applyFont="1" applyBorder="1" applyAlignment="1">
      <alignment vertical="center"/>
    </xf>
    <xf numFmtId="0" fontId="69" fillId="0" borderId="5" xfId="3" applyFont="1" applyBorder="1" applyAlignment="1">
      <alignment horizontal="left" vertical="center"/>
    </xf>
    <xf numFmtId="0" fontId="69" fillId="0" borderId="0" xfId="3" applyFont="1" applyAlignment="1">
      <alignment vertical="center"/>
    </xf>
    <xf numFmtId="0" fontId="70" fillId="0" borderId="5" xfId="3" applyFont="1" applyBorder="1" applyAlignment="1">
      <alignment horizontal="centerContinuous" vertical="center"/>
    </xf>
    <xf numFmtId="187" fontId="70" fillId="0" borderId="5" xfId="3" applyNumberFormat="1" applyFont="1" applyBorder="1" applyAlignment="1">
      <alignment horizontal="centerContinuous" vertical="center"/>
    </xf>
    <xf numFmtId="186" fontId="70" fillId="0" borderId="5" xfId="3" applyNumberFormat="1" applyFont="1" applyBorder="1" applyAlignment="1">
      <alignment horizontal="centerContinuous"/>
    </xf>
    <xf numFmtId="0" fontId="70" fillId="0" borderId="6" xfId="3" applyFont="1" applyBorder="1" applyAlignment="1">
      <alignment horizontal="centerContinuous" vertical="center"/>
    </xf>
    <xf numFmtId="0" fontId="69" fillId="0" borderId="1" xfId="3" applyFont="1" applyBorder="1" applyAlignment="1">
      <alignment horizontal="centerContinuous" vertical="center"/>
    </xf>
    <xf numFmtId="0" fontId="70" fillId="0" borderId="2" xfId="3" applyFont="1" applyBorder="1" applyAlignment="1">
      <alignment horizontal="centerContinuous" vertical="center"/>
    </xf>
    <xf numFmtId="186" fontId="70" fillId="0" borderId="6" xfId="3" applyNumberFormat="1" applyFont="1" applyBorder="1" applyAlignment="1">
      <alignment horizontal="centerContinuous"/>
    </xf>
    <xf numFmtId="202" fontId="69" fillId="0" borderId="1" xfId="3" applyNumberFormat="1" applyFont="1" applyBorder="1" applyAlignment="1">
      <alignment horizontal="center" vertical="center"/>
    </xf>
    <xf numFmtId="0" fontId="69" fillId="0" borderId="5" xfId="3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 wrapText="1"/>
    </xf>
    <xf numFmtId="0" fontId="69" fillId="0" borderId="1" xfId="3" applyFont="1" applyBorder="1" applyAlignment="1">
      <alignment vertical="center"/>
    </xf>
    <xf numFmtId="1" fontId="69" fillId="0" borderId="1" xfId="3" applyNumberFormat="1" applyFont="1" applyBorder="1" applyAlignment="1">
      <alignment vertical="center"/>
    </xf>
    <xf numFmtId="202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horizontal="center" vertical="center"/>
    </xf>
    <xf numFmtId="186" fontId="71" fillId="0" borderId="0" xfId="3" applyNumberFormat="1" applyFont="1"/>
    <xf numFmtId="0" fontId="17" fillId="0" borderId="0" xfId="3" applyFont="1" applyAlignment="1">
      <alignment vertical="center"/>
    </xf>
    <xf numFmtId="205" fontId="38" fillId="30" borderId="0" xfId="3" applyNumberFormat="1" applyFont="1" applyFill="1" applyAlignment="1">
      <alignment vertical="center"/>
    </xf>
    <xf numFmtId="0" fontId="68" fillId="0" borderId="0" xfId="3" applyFont="1" applyAlignment="1">
      <alignment vertical="center"/>
    </xf>
    <xf numFmtId="0" fontId="68" fillId="4" borderId="0" xfId="3" applyFont="1" applyFill="1" applyAlignment="1">
      <alignment vertical="center"/>
    </xf>
    <xf numFmtId="196" fontId="68" fillId="4" borderId="0" xfId="3" applyNumberFormat="1" applyFont="1" applyFill="1" applyAlignment="1">
      <alignment horizontal="center" vertical="center"/>
    </xf>
    <xf numFmtId="0" fontId="68" fillId="0" borderId="1" xfId="3" applyFont="1" applyBorder="1" applyAlignment="1">
      <alignment horizontal="center" vertical="center"/>
    </xf>
    <xf numFmtId="2" fontId="68" fillId="0" borderId="1" xfId="3" applyNumberFormat="1" applyFont="1" applyBorder="1" applyAlignment="1">
      <alignment horizontal="center" vertical="center"/>
    </xf>
    <xf numFmtId="2" fontId="68" fillId="0" borderId="0" xfId="3" applyNumberFormat="1" applyFont="1" applyAlignment="1">
      <alignment horizontal="center" vertical="center"/>
    </xf>
    <xf numFmtId="196" fontId="68" fillId="0" borderId="0" xfId="3" applyNumberFormat="1" applyFont="1" applyAlignment="1">
      <alignment horizontal="center" vertical="center"/>
    </xf>
    <xf numFmtId="0" fontId="68" fillId="0" borderId="0" xfId="3" applyFont="1" applyAlignment="1">
      <alignment horizontal="right" vertical="center"/>
    </xf>
    <xf numFmtId="0" fontId="68" fillId="0" borderId="1" xfId="3" applyFont="1" applyBorder="1" applyAlignment="1">
      <alignment vertical="center"/>
    </xf>
    <xf numFmtId="2" fontId="68" fillId="0" borderId="1" xfId="3" applyNumberFormat="1" applyFont="1" applyBorder="1" applyAlignment="1">
      <alignment vertical="center"/>
    </xf>
    <xf numFmtId="2" fontId="68" fillId="0" borderId="0" xfId="3" applyNumberFormat="1" applyFont="1" applyAlignment="1">
      <alignment vertical="center"/>
    </xf>
    <xf numFmtId="0" fontId="74" fillId="0" borderId="1" xfId="3" applyFont="1" applyBorder="1" applyAlignment="1">
      <alignment vertical="center"/>
    </xf>
    <xf numFmtId="176" fontId="68" fillId="0" borderId="0" xfId="3" applyNumberFormat="1" applyFont="1" applyAlignment="1">
      <alignment vertical="center"/>
    </xf>
    <xf numFmtId="0" fontId="74" fillId="0" borderId="0" xfId="3" applyFont="1" applyAlignment="1">
      <alignment vertical="center"/>
    </xf>
    <xf numFmtId="2" fontId="74" fillId="0" borderId="1" xfId="3" applyNumberFormat="1" applyFont="1" applyBorder="1" applyAlignment="1">
      <alignment vertical="center"/>
    </xf>
    <xf numFmtId="2" fontId="74" fillId="0" borderId="0" xfId="3" applyNumberFormat="1" applyFont="1" applyAlignment="1">
      <alignment vertical="center"/>
    </xf>
    <xf numFmtId="2" fontId="68" fillId="9" borderId="1" xfId="3" applyNumberFormat="1" applyFont="1" applyFill="1" applyBorder="1" applyAlignment="1">
      <alignment vertical="center"/>
    </xf>
    <xf numFmtId="2" fontId="68" fillId="9" borderId="0" xfId="3" applyNumberFormat="1" applyFont="1" applyFill="1" applyAlignment="1">
      <alignment vertical="center"/>
    </xf>
    <xf numFmtId="0" fontId="14" fillId="21" borderId="12" xfId="3" applyFont="1" applyFill="1" applyBorder="1" applyAlignment="1">
      <alignment horizontal="center" vertical="center"/>
    </xf>
    <xf numFmtId="2" fontId="14" fillId="21" borderId="12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horizontal="center" vertical="center"/>
    </xf>
    <xf numFmtId="182" fontId="14" fillId="0" borderId="32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6" xfId="3" applyFont="1" applyFill="1" applyBorder="1" applyAlignment="1">
      <alignment horizontal="center" vertical="center"/>
    </xf>
    <xf numFmtId="181" fontId="14" fillId="26" borderId="16" xfId="3" applyNumberFormat="1" applyFont="1" applyFill="1" applyBorder="1" applyAlignment="1">
      <alignment horizontal="center" vertical="center"/>
    </xf>
    <xf numFmtId="0" fontId="14" fillId="0" borderId="16" xfId="3" applyFont="1" applyBorder="1" applyAlignment="1">
      <alignment horizontal="center" vertical="center"/>
    </xf>
    <xf numFmtId="0" fontId="14" fillId="28" borderId="16" xfId="3" applyFont="1" applyFill="1" applyBorder="1" applyAlignment="1">
      <alignment horizontal="center" vertical="center"/>
    </xf>
    <xf numFmtId="182" fontId="14" fillId="28" borderId="16" xfId="3" applyNumberFormat="1" applyFont="1" applyFill="1" applyBorder="1" applyAlignment="1">
      <alignment horizontal="center"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34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3" xfId="3" applyNumberFormat="1" applyFont="1" applyBorder="1" applyAlignment="1">
      <alignment horizontal="right" vertical="center"/>
    </xf>
    <xf numFmtId="1" fontId="7" fillId="0" borderId="33" xfId="3" applyNumberFormat="1" applyFont="1" applyBorder="1" applyAlignment="1">
      <alignment horizontal="right" vertical="center"/>
    </xf>
    <xf numFmtId="177" fontId="38" fillId="18" borderId="0" xfId="3" applyNumberFormat="1" applyFont="1" applyFill="1" applyAlignment="1">
      <alignment horizontal="center" vertical="center"/>
    </xf>
    <xf numFmtId="2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horizontal="center" vertical="center"/>
    </xf>
    <xf numFmtId="0" fontId="36" fillId="0" borderId="1" xfId="3" applyFont="1" applyBorder="1" applyAlignment="1">
      <alignment horizontal="center" vertical="center"/>
    </xf>
    <xf numFmtId="197" fontId="75" fillId="10" borderId="1" xfId="3" applyNumberFormat="1" applyFont="1" applyFill="1" applyBorder="1" applyAlignment="1">
      <alignment horizontal="center" vertical="center"/>
    </xf>
    <xf numFmtId="197" fontId="64" fillId="10" borderId="1" xfId="6" applyNumberFormat="1" applyFont="1" applyFill="1" applyBorder="1" applyAlignment="1">
      <alignment horizontal="center" vertical="center"/>
    </xf>
    <xf numFmtId="0" fontId="64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6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6" fillId="15" borderId="28" xfId="6" applyNumberFormat="1" applyFont="1" applyFill="1" applyBorder="1" applyAlignment="1">
      <alignment horizontal="center" vertical="center"/>
    </xf>
    <xf numFmtId="189" fontId="76" fillId="15" borderId="4" xfId="6" applyNumberFormat="1" applyFont="1" applyFill="1" applyBorder="1" applyAlignment="1">
      <alignment horizontal="center" vertical="center"/>
    </xf>
    <xf numFmtId="0" fontId="18" fillId="0" borderId="26" xfId="6" applyFont="1" applyBorder="1" applyAlignment="1">
      <alignment horizontal="center" vertical="center"/>
    </xf>
    <xf numFmtId="0" fontId="18" fillId="0" borderId="22" xfId="6" applyFont="1" applyBorder="1" applyAlignment="1">
      <alignment horizontal="right" vertical="center"/>
    </xf>
    <xf numFmtId="0" fontId="73" fillId="23" borderId="11" xfId="3" applyFont="1" applyFill="1" applyBorder="1" applyAlignment="1">
      <alignment horizontal="center" vertical="center"/>
    </xf>
    <xf numFmtId="0" fontId="72" fillId="23" borderId="12" xfId="3" applyFont="1" applyFill="1" applyBorder="1" applyAlignment="1">
      <alignment horizontal="center" vertical="center"/>
    </xf>
    <xf numFmtId="0" fontId="72" fillId="23" borderId="31" xfId="3" applyFont="1" applyFill="1" applyBorder="1" applyAlignment="1">
      <alignment horizontal="center" vertical="center"/>
    </xf>
    <xf numFmtId="0" fontId="36" fillId="28" borderId="13" xfId="3" applyFont="1" applyFill="1" applyBorder="1" applyAlignment="1">
      <alignment horizontal="center" vertical="center"/>
    </xf>
    <xf numFmtId="176" fontId="36" fillId="0" borderId="32" xfId="3" applyNumberFormat="1" applyFont="1" applyBorder="1" applyAlignment="1">
      <alignment horizontal="center" vertical="center"/>
    </xf>
    <xf numFmtId="0" fontId="36" fillId="28" borderId="33" xfId="3" applyFont="1" applyFill="1" applyBorder="1" applyAlignment="1">
      <alignment horizontal="center" vertical="center"/>
    </xf>
    <xf numFmtId="0" fontId="36" fillId="0" borderId="16" xfId="3" applyFont="1" applyBorder="1" applyAlignment="1">
      <alignment horizontal="center" vertical="center"/>
    </xf>
    <xf numFmtId="176" fontId="36" fillId="0" borderId="34" xfId="3" applyNumberFormat="1" applyFont="1" applyBorder="1" applyAlignment="1">
      <alignment horizontal="center" vertical="center"/>
    </xf>
    <xf numFmtId="0" fontId="81" fillId="13" borderId="0" xfId="3" applyFont="1" applyFill="1" applyAlignment="1">
      <alignment horizontal="center" vertical="center"/>
    </xf>
    <xf numFmtId="0" fontId="81" fillId="4" borderId="0" xfId="3" applyFont="1" applyFill="1" applyAlignment="1">
      <alignment horizontal="center" vertical="center"/>
    </xf>
    <xf numFmtId="0" fontId="36" fillId="28" borderId="16" xfId="3" applyFont="1" applyFill="1" applyBorder="1" applyAlignment="1">
      <alignment horizontal="center" vertical="center"/>
    </xf>
    <xf numFmtId="0" fontId="34" fillId="28" borderId="1" xfId="3" applyFont="1" applyFill="1" applyBorder="1" applyAlignment="1">
      <alignment horizontal="center" vertical="center"/>
    </xf>
    <xf numFmtId="200" fontId="81" fillId="12" borderId="0" xfId="3" applyNumberFormat="1" applyFont="1" applyFill="1" applyAlignment="1">
      <alignment vertical="center"/>
    </xf>
    <xf numFmtId="0" fontId="83" fillId="0" borderId="0" xfId="6" applyFont="1" applyAlignment="1">
      <alignment horizontal="left" vertical="center"/>
    </xf>
    <xf numFmtId="0" fontId="66" fillId="0" borderId="0" xfId="6" applyFont="1">
      <alignment vertical="center"/>
    </xf>
    <xf numFmtId="0" fontId="66" fillId="0" borderId="0" xfId="6" applyFont="1" applyAlignment="1">
      <alignment horizontal="left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5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5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5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5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1" borderId="54" xfId="3" applyFont="1" applyFill="1" applyBorder="1" applyAlignment="1">
      <alignment horizontal="center" vertical="center"/>
    </xf>
    <xf numFmtId="0" fontId="14" fillId="21" borderId="52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6" xfId="3" applyFont="1" applyBorder="1" applyAlignment="1">
      <alignment horizontal="center" vertical="center"/>
    </xf>
    <xf numFmtId="181" fontId="14" fillId="0" borderId="7" xfId="3" applyNumberFormat="1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6" xfId="3" applyNumberFormat="1" applyFont="1" applyFill="1" applyBorder="1" applyAlignment="1">
      <alignment horizontal="center" vertical="center"/>
    </xf>
    <xf numFmtId="179" fontId="14" fillId="0" borderId="9" xfId="3" applyNumberFormat="1" applyFont="1" applyBorder="1" applyAlignment="1">
      <alignment horizontal="center" vertical="center"/>
    </xf>
    <xf numFmtId="179" fontId="14" fillId="0" borderId="50" xfId="3" applyNumberFormat="1" applyFont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0" fontId="14" fillId="26" borderId="56" xfId="3" applyFont="1" applyFill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179" fontId="14" fillId="26" borderId="56" xfId="3" applyNumberFormat="1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207" fontId="69" fillId="0" borderId="1" xfId="3" applyNumberFormat="1" applyFont="1" applyBorder="1" applyAlignment="1">
      <alignment horizontal="center" vertical="center"/>
    </xf>
    <xf numFmtId="208" fontId="69" fillId="0" borderId="1" xfId="3" applyNumberFormat="1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/>
    </xf>
    <xf numFmtId="201" fontId="69" fillId="0" borderId="2" xfId="3" applyNumberFormat="1" applyFont="1" applyBorder="1" applyAlignment="1">
      <alignment horizontal="center" vertical="center"/>
    </xf>
    <xf numFmtId="201" fontId="69" fillId="0" borderId="5" xfId="3" applyNumberFormat="1" applyFont="1" applyBorder="1" applyAlignment="1">
      <alignment horizontal="center" vertical="center"/>
    </xf>
    <xf numFmtId="201" fontId="69" fillId="0" borderId="6" xfId="3" applyNumberFormat="1" applyFont="1" applyBorder="1" applyAlignment="1">
      <alignment horizontal="center" vertical="center"/>
    </xf>
    <xf numFmtId="203" fontId="69" fillId="0" borderId="1" xfId="3" applyNumberFormat="1" applyFont="1" applyBorder="1" applyAlignment="1">
      <alignment horizontal="center" vertical="center"/>
    </xf>
    <xf numFmtId="204" fontId="69" fillId="0" borderId="1" xfId="3" applyNumberFormat="1" applyFont="1" applyBorder="1" applyAlignment="1">
      <alignment horizontal="center" vertical="center"/>
    </xf>
    <xf numFmtId="205" fontId="69" fillId="0" borderId="2" xfId="3" applyNumberFormat="1" applyFont="1" applyBorder="1" applyAlignment="1">
      <alignment horizontal="center" vertical="center"/>
    </xf>
    <xf numFmtId="205" fontId="69" fillId="0" borderId="5" xfId="3" applyNumberFormat="1" applyFont="1" applyBorder="1" applyAlignment="1">
      <alignment horizontal="center" vertical="center"/>
    </xf>
    <xf numFmtId="206" fontId="69" fillId="0" borderId="5" xfId="3" applyNumberFormat="1" applyFont="1" applyBorder="1" applyAlignment="1">
      <alignment horizontal="center" vertical="center"/>
    </xf>
    <xf numFmtId="202" fontId="69" fillId="0" borderId="1" xfId="3" applyNumberFormat="1" applyFont="1" applyBorder="1" applyAlignment="1">
      <alignment horizontal="center" vertical="center" wrapText="1"/>
    </xf>
    <xf numFmtId="0" fontId="69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0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6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8" fillId="21" borderId="35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49" fillId="3" borderId="35" xfId="2" applyFont="1" applyBorder="1" applyAlignment="1">
      <alignment horizontal="center" vertical="center"/>
    </xf>
    <xf numFmtId="0" fontId="49" fillId="3" borderId="38" xfId="2" applyFont="1" applyBorder="1" applyAlignment="1">
      <alignment horizontal="center" vertical="center"/>
    </xf>
    <xf numFmtId="0" fontId="49" fillId="3" borderId="36" xfId="2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16" fillId="0" borderId="0" xfId="3" applyFont="1" applyAlignment="1">
      <alignment horizontal="left" vertical="center"/>
    </xf>
    <xf numFmtId="0" fontId="9" fillId="0" borderId="0" xfId="3" applyFont="1" applyAlignment="1">
      <alignment horizontal="center" vertical="center"/>
    </xf>
    <xf numFmtId="0" fontId="4" fillId="0" borderId="0" xfId="3" applyFont="1" applyBorder="1" applyAlignment="1">
      <alignment horizontal="center" vertical="center"/>
    </xf>
    <xf numFmtId="1" fontId="4" fillId="0" borderId="11" xfId="3" applyNumberFormat="1" applyFont="1" applyBorder="1" applyAlignment="1">
      <alignment horizontal="center" vertical="center"/>
    </xf>
    <xf numFmtId="0" fontId="4" fillId="0" borderId="60" xfId="3" applyFont="1" applyBorder="1" applyAlignment="1">
      <alignment horizontal="center" vertical="center"/>
    </xf>
    <xf numFmtId="1" fontId="4" fillId="5" borderId="13" xfId="3" applyNumberFormat="1" applyFont="1" applyFill="1" applyBorder="1" applyAlignment="1">
      <alignment horizontal="center" vertical="center"/>
    </xf>
    <xf numFmtId="0" fontId="4" fillId="6" borderId="53" xfId="3" applyFont="1" applyFill="1" applyBorder="1" applyAlignment="1">
      <alignment horizontal="center" vertical="center"/>
    </xf>
    <xf numFmtId="1" fontId="10" fillId="5" borderId="13" xfId="3" applyNumberFormat="1" applyFont="1" applyFill="1" applyBorder="1" applyAlignment="1">
      <alignment horizontal="center" vertical="center"/>
    </xf>
    <xf numFmtId="0" fontId="4" fillId="6" borderId="32" xfId="3" applyFont="1" applyFill="1" applyBorder="1" applyAlignment="1">
      <alignment horizontal="center" vertical="center"/>
    </xf>
    <xf numFmtId="1" fontId="4" fillId="5" borderId="33" xfId="3" applyNumberFormat="1" applyFont="1" applyFill="1" applyBorder="1" applyAlignment="1">
      <alignment horizontal="center" vertical="center"/>
    </xf>
    <xf numFmtId="0" fontId="4" fillId="6" borderId="34" xfId="3" applyFont="1" applyFill="1" applyBorder="1" applyAlignment="1">
      <alignment horizontal="center" vertical="center"/>
    </xf>
    <xf numFmtId="0" fontId="4" fillId="28" borderId="6" xfId="3" applyFont="1" applyFill="1" applyBorder="1" applyAlignment="1">
      <alignment horizontal="center" vertical="center"/>
    </xf>
    <xf numFmtId="2" fontId="4" fillId="0" borderId="63" xfId="3" applyNumberFormat="1" applyFont="1" applyBorder="1" applyAlignment="1">
      <alignment horizontal="center" vertical="center"/>
    </xf>
    <xf numFmtId="2" fontId="4" fillId="5" borderId="32" xfId="3" applyNumberFormat="1" applyFont="1" applyFill="1" applyBorder="1" applyAlignment="1">
      <alignment horizontal="center" vertical="center"/>
    </xf>
    <xf numFmtId="2" fontId="4" fillId="0" borderId="64" xfId="3" applyNumberFormat="1" applyFont="1" applyBorder="1" applyAlignment="1">
      <alignment horizontal="center" vertical="center"/>
    </xf>
    <xf numFmtId="2" fontId="4" fillId="5" borderId="34" xfId="3" applyNumberFormat="1" applyFont="1" applyFill="1" applyBorder="1" applyAlignment="1">
      <alignment horizontal="center" vertical="center"/>
    </xf>
    <xf numFmtId="0" fontId="9" fillId="32" borderId="1" xfId="3" applyFont="1" applyFill="1" applyBorder="1" applyAlignment="1">
      <alignment horizontal="center" vertical="center"/>
    </xf>
    <xf numFmtId="0" fontId="9" fillId="32" borderId="62" xfId="3" applyFont="1" applyFill="1" applyBorder="1" applyAlignment="1">
      <alignment horizontal="center" vertical="center"/>
    </xf>
    <xf numFmtId="0" fontId="9" fillId="32" borderId="0" xfId="3" applyFont="1" applyFill="1" applyAlignment="1">
      <alignment horizontal="center" vertical="center"/>
    </xf>
    <xf numFmtId="0" fontId="87" fillId="32" borderId="0" xfId="3" applyFont="1" applyFill="1" applyAlignment="1">
      <alignment horizontal="center" vertical="center"/>
    </xf>
    <xf numFmtId="0" fontId="4" fillId="32" borderId="1" xfId="3" applyFont="1" applyFill="1" applyBorder="1" applyAlignment="1">
      <alignment horizontal="center" vertical="center"/>
    </xf>
    <xf numFmtId="2" fontId="10" fillId="15" borderId="1" xfId="3" applyNumberFormat="1" applyFont="1" applyFill="1" applyBorder="1" applyAlignment="1">
      <alignment horizontal="center" vertical="center"/>
    </xf>
    <xf numFmtId="1" fontId="10" fillId="15" borderId="1" xfId="3" applyNumberFormat="1" applyFont="1" applyFill="1" applyBorder="1" applyAlignment="1">
      <alignment horizontal="center" vertical="center"/>
    </xf>
    <xf numFmtId="2" fontId="9" fillId="5" borderId="32" xfId="3" applyNumberFormat="1" applyFont="1" applyFill="1" applyBorder="1" applyAlignment="1">
      <alignment horizontal="center" vertical="center"/>
    </xf>
    <xf numFmtId="2" fontId="9" fillId="5" borderId="31" xfId="3" applyNumberFormat="1" applyFont="1" applyFill="1" applyBorder="1" applyAlignment="1">
      <alignment horizontal="center" vertical="center"/>
    </xf>
    <xf numFmtId="0" fontId="9" fillId="32" borderId="11" xfId="3" applyFont="1" applyFill="1" applyBorder="1" applyAlignment="1">
      <alignment horizontal="center" vertical="center"/>
    </xf>
    <xf numFmtId="0" fontId="4" fillId="26" borderId="31" xfId="3" applyFont="1" applyFill="1" applyBorder="1" applyAlignment="1">
      <alignment horizontal="center" vertical="center"/>
    </xf>
    <xf numFmtId="0" fontId="9" fillId="32" borderId="13" xfId="3" applyFont="1" applyFill="1" applyBorder="1" applyAlignment="1">
      <alignment horizontal="center" vertical="center"/>
    </xf>
    <xf numFmtId="178" fontId="82" fillId="26" borderId="32" xfId="3" applyNumberFormat="1" applyFont="1" applyFill="1" applyBorder="1" applyAlignment="1">
      <alignment horizontal="center" vertical="center"/>
    </xf>
    <xf numFmtId="0" fontId="4" fillId="9" borderId="65" xfId="3" applyFont="1" applyFill="1" applyBorder="1" applyAlignment="1">
      <alignment horizontal="center" vertical="center"/>
    </xf>
    <xf numFmtId="0" fontId="14" fillId="0" borderId="66" xfId="3" applyFont="1" applyBorder="1" applyAlignment="1">
      <alignment horizontal="center" vertical="center"/>
    </xf>
    <xf numFmtId="0" fontId="4" fillId="28" borderId="13" xfId="3" applyFont="1" applyFill="1" applyBorder="1" applyAlignment="1">
      <alignment horizontal="center" vertical="center"/>
    </xf>
    <xf numFmtId="0" fontId="14" fillId="0" borderId="67" xfId="3" applyFont="1" applyBorder="1" applyAlignment="1">
      <alignment horizontal="center" vertical="center"/>
    </xf>
    <xf numFmtId="0" fontId="4" fillId="0" borderId="68" xfId="3" applyFont="1" applyBorder="1" applyAlignment="1">
      <alignment horizontal="center" vertical="center"/>
    </xf>
    <xf numFmtId="0" fontId="4" fillId="0" borderId="69" xfId="3" applyFont="1" applyBorder="1" applyAlignment="1">
      <alignment horizontal="center" vertical="center"/>
    </xf>
    <xf numFmtId="0" fontId="14" fillId="0" borderId="70" xfId="3" applyFont="1" applyBorder="1" applyAlignment="1">
      <alignment horizontal="center" vertical="center"/>
    </xf>
    <xf numFmtId="0" fontId="16" fillId="27" borderId="11" xfId="3" applyFont="1" applyFill="1" applyBorder="1" applyAlignment="1">
      <alignment horizontal="center" vertical="center"/>
    </xf>
    <xf numFmtId="0" fontId="14" fillId="28" borderId="54" xfId="3" applyFont="1" applyFill="1" applyBorder="1" applyAlignment="1">
      <alignment horizontal="left" vertical="center"/>
    </xf>
    <xf numFmtId="0" fontId="14" fillId="28" borderId="71" xfId="3" applyFont="1" applyFill="1" applyBorder="1" applyAlignment="1">
      <alignment horizontal="left" vertical="center"/>
    </xf>
    <xf numFmtId="0" fontId="14" fillId="28" borderId="55" xfId="3" applyFont="1" applyFill="1" applyBorder="1" applyAlignment="1">
      <alignment horizontal="left" vertical="center"/>
    </xf>
    <xf numFmtId="0" fontId="16" fillId="27" borderId="12" xfId="3" applyFont="1" applyFill="1" applyBorder="1" applyAlignment="1">
      <alignment horizontal="center" vertical="center"/>
    </xf>
    <xf numFmtId="0" fontId="15" fillId="28" borderId="31" xfId="3" applyFont="1" applyFill="1" applyBorder="1" applyAlignment="1">
      <alignment horizontal="center" vertical="center"/>
    </xf>
    <xf numFmtId="0" fontId="16" fillId="27" borderId="13" xfId="3" applyFont="1" applyFill="1" applyBorder="1" applyAlignment="1">
      <alignment horizontal="center" vertical="center"/>
    </xf>
    <xf numFmtId="0" fontId="18" fillId="28" borderId="32" xfId="3" applyFont="1" applyFill="1" applyBorder="1" applyAlignment="1">
      <alignment horizontal="center" vertical="center"/>
    </xf>
    <xf numFmtId="0" fontId="15" fillId="9" borderId="32" xfId="3" applyFont="1" applyFill="1" applyBorder="1" applyAlignment="1">
      <alignment horizontal="center" vertical="center"/>
    </xf>
    <xf numFmtId="1" fontId="15" fillId="9" borderId="32" xfId="3" applyNumberFormat="1" applyFont="1" applyFill="1" applyBorder="1" applyAlignment="1">
      <alignment horizontal="center" vertical="center"/>
    </xf>
    <xf numFmtId="2" fontId="18" fillId="28" borderId="32" xfId="3" applyNumberFormat="1" applyFont="1" applyFill="1" applyBorder="1" applyAlignment="1">
      <alignment horizontal="center" vertical="center"/>
    </xf>
    <xf numFmtId="2" fontId="15" fillId="9" borderId="32" xfId="3" applyNumberFormat="1" applyFont="1" applyFill="1" applyBorder="1" applyAlignment="1">
      <alignment horizontal="center" vertical="center"/>
    </xf>
    <xf numFmtId="0" fontId="22" fillId="11" borderId="32" xfId="3" applyFont="1" applyFill="1" applyBorder="1" applyAlignment="1">
      <alignment horizontal="center" vertical="center"/>
    </xf>
    <xf numFmtId="0" fontId="14" fillId="27" borderId="13" xfId="3" applyFont="1" applyFill="1" applyBorder="1" applyAlignment="1">
      <alignment horizontal="center" vertical="center"/>
    </xf>
    <xf numFmtId="0" fontId="15" fillId="0" borderId="64" xfId="3" applyFont="1" applyBorder="1" applyAlignment="1">
      <alignment horizontal="center" vertical="center"/>
    </xf>
    <xf numFmtId="0" fontId="20" fillId="9" borderId="72" xfId="3" applyFont="1" applyFill="1" applyBorder="1" applyAlignment="1">
      <alignment horizontal="right" vertical="center"/>
    </xf>
    <xf numFmtId="0" fontId="18" fillId="12" borderId="34" xfId="3" applyFont="1" applyFill="1" applyBorder="1" applyAlignment="1">
      <alignment horizontal="center" vertical="center"/>
    </xf>
    <xf numFmtId="0" fontId="16" fillId="27" borderId="61" xfId="3" applyFont="1" applyFill="1" applyBorder="1" applyAlignment="1">
      <alignment horizontal="center" vertical="center"/>
    </xf>
    <xf numFmtId="0" fontId="18" fillId="28" borderId="19" xfId="3" applyFont="1" applyFill="1" applyBorder="1" applyAlignment="1">
      <alignment horizontal="center" vertical="center"/>
    </xf>
    <xf numFmtId="0" fontId="63" fillId="27" borderId="27" xfId="3" applyFont="1" applyFill="1" applyBorder="1" applyAlignment="1">
      <alignment horizontal="center" vertical="center"/>
    </xf>
    <xf numFmtId="188" fontId="25" fillId="28" borderId="58" xfId="3" applyNumberFormat="1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 formatCode="\ 0.00\ ">
                  <c:v>13.93</c:v>
                </c:pt>
                <c:pt idx="21" formatCode="\ 0.00\ ">
                  <c:v>14.08</c:v>
                </c:pt>
                <c:pt idx="22" formatCode="\ 0.00\ ">
                  <c:v>14.22</c:v>
                </c:pt>
                <c:pt idx="23" formatCode="\ 0.00\ ">
                  <c:v>14.350000000000001</c:v>
                </c:pt>
                <c:pt idx="24" formatCode="\ 0.00\ ">
                  <c:v>14.480000000000002</c:v>
                </c:pt>
                <c:pt idx="25">
                  <c:v>16.52</c:v>
                </c:pt>
                <c:pt idx="26" formatCode="\ 0.00\ ">
                  <c:v>16.63</c:v>
                </c:pt>
                <c:pt idx="27">
                  <c:v>16.98</c:v>
                </c:pt>
                <c:pt idx="28" formatCode="\ 0.00\ ">
                  <c:v>17.080000000000002</c:v>
                </c:pt>
                <c:pt idx="29">
                  <c:v>17.440000000000001</c:v>
                </c:pt>
                <c:pt idx="30" formatCode="\ 0.00\ ">
                  <c:v>17.5</c:v>
                </c:pt>
                <c:pt idx="31" formatCode="\ 0.00\ ">
                  <c:v>17.55</c:v>
                </c:pt>
                <c:pt idx="32" formatCode="\ 0.00\ ">
                  <c:v>17.59</c:v>
                </c:pt>
                <c:pt idx="33" formatCode="\ 0.00\ ">
                  <c:v>17.62</c:v>
                </c:pt>
                <c:pt idx="34" formatCode="\ 0.00\ ">
                  <c:v>17.64</c:v>
                </c:pt>
                <c:pt idx="35">
                  <c:v>17.899999999999999</c:v>
                </c:pt>
                <c:pt idx="36" formatCode="\ 0.00\ ">
                  <c:v>17.97</c:v>
                </c:pt>
                <c:pt idx="37" formatCode="\ 0.00\ ">
                  <c:v>18.029999999999998</c:v>
                </c:pt>
                <c:pt idx="38" formatCode="\ 0.00\ ">
                  <c:v>18.079999999999998</c:v>
                </c:pt>
                <c:pt idx="39">
                  <c:v>18.36</c:v>
                </c:pt>
                <c:pt idx="40" formatCode="\ 0.00\ ">
                  <c:v>18.54</c:v>
                </c:pt>
                <c:pt idx="41" formatCode="\ 0.00\ ">
                  <c:v>18.7</c:v>
                </c:pt>
                <c:pt idx="42" formatCode="\ 0.00\ ">
                  <c:v>18.849999999999998</c:v>
                </c:pt>
                <c:pt idx="43" formatCode="\ 0.00\ ">
                  <c:v>18.989999999999998</c:v>
                </c:pt>
                <c:pt idx="44" formatCode="\ 0.00\ ">
                  <c:v>19.119999999999997</c:v>
                </c:pt>
                <c:pt idx="45">
                  <c:v>21.45</c:v>
                </c:pt>
                <c:pt idx="46" formatCode="\ 0.00\ ">
                  <c:v>21.56</c:v>
                </c:pt>
                <c:pt idx="47">
                  <c:v>21.97</c:v>
                </c:pt>
                <c:pt idx="48" formatCode="\ 0.00\ ">
                  <c:v>22.08</c:v>
                </c:pt>
                <c:pt idx="49">
                  <c:v>22.48</c:v>
                </c:pt>
                <c:pt idx="50" formatCode="\ 0.00\ ">
                  <c:v>22.55</c:v>
                </c:pt>
                <c:pt idx="51" formatCode="\ 0.00\ ">
                  <c:v>22.6</c:v>
                </c:pt>
                <c:pt idx="52" formatCode="\ 0.00\ ">
                  <c:v>22.64</c:v>
                </c:pt>
                <c:pt idx="53" formatCode="\ 0.00\ ">
                  <c:v>22.67</c:v>
                </c:pt>
                <c:pt idx="54" formatCode="\ 0.00\ ">
                  <c:v>22.69</c:v>
                </c:pt>
                <c:pt idx="55">
                  <c:v>23</c:v>
                </c:pt>
                <c:pt idx="56" formatCode="\ 0.00\ ">
                  <c:v>23.08</c:v>
                </c:pt>
                <c:pt idx="57" formatCode="\ 0.00\ ">
                  <c:v>23.139999999999997</c:v>
                </c:pt>
                <c:pt idx="58" formatCode="\ 0.00\ ">
                  <c:v>23.189999999999998</c:v>
                </c:pt>
                <c:pt idx="59">
                  <c:v>23.52</c:v>
                </c:pt>
                <c:pt idx="60" formatCode="\ 0.00\ ">
                  <c:v>23.71</c:v>
                </c:pt>
                <c:pt idx="61" formatCode="\ 0.00\ ">
                  <c:v>23.880000000000003</c:v>
                </c:pt>
                <c:pt idx="62" formatCode="\ 0.00\ ">
                  <c:v>24.040000000000003</c:v>
                </c:pt>
                <c:pt idx="63" formatCode="\ 0.00\ ">
                  <c:v>24.19</c:v>
                </c:pt>
                <c:pt idx="64" formatCode="\ 0.00\ ">
                  <c:v>24.330000000000002</c:v>
                </c:pt>
                <c:pt idx="65">
                  <c:v>26.97</c:v>
                </c:pt>
                <c:pt idx="66" formatCode="\ 0.00\ ">
                  <c:v>27.09</c:v>
                </c:pt>
                <c:pt idx="67" formatCode="\ 0.00\ ">
                  <c:v>27.55</c:v>
                </c:pt>
                <c:pt idx="68" formatCode="\ 0.00\ ">
                  <c:v>27.67</c:v>
                </c:pt>
                <c:pt idx="69" formatCode="\ 0.00\ ">
                  <c:v>28.12</c:v>
                </c:pt>
                <c:pt idx="70" formatCode="\ 0.00\ ">
                  <c:v>28.19</c:v>
                </c:pt>
                <c:pt idx="71" formatCode="\ 0.00\ ">
                  <c:v>28.240000000000002</c:v>
                </c:pt>
                <c:pt idx="72" formatCode="\ 0.00\ ">
                  <c:v>28.28</c:v>
                </c:pt>
                <c:pt idx="73" formatCode="\ 0.00\ ">
                  <c:v>28.310000000000002</c:v>
                </c:pt>
                <c:pt idx="74" formatCode="\ 0.00\ ">
                  <c:v>28.340000000000003</c:v>
                </c:pt>
                <c:pt idx="75" formatCode="\ 0.00\ ">
                  <c:v>28.7</c:v>
                </c:pt>
                <c:pt idx="76" formatCode="\ 0.00\ ">
                  <c:v>28.79</c:v>
                </c:pt>
                <c:pt idx="77" formatCode="\ 0.00\ ">
                  <c:v>28.86</c:v>
                </c:pt>
                <c:pt idx="78" formatCode="\ 0.00\ ">
                  <c:v>28.91</c:v>
                </c:pt>
                <c:pt idx="79" formatCode="\ 0.00\ ">
                  <c:v>29.28</c:v>
                </c:pt>
                <c:pt idx="80" formatCode="\ 0.00\ ">
                  <c:v>29.490000000000002</c:v>
                </c:pt>
                <c:pt idx="81" formatCode="\ 0.00\ ">
                  <c:v>29.680000000000003</c:v>
                </c:pt>
                <c:pt idx="82" formatCode="\ 0.00\ ">
                  <c:v>29.850000000000005</c:v>
                </c:pt>
                <c:pt idx="83" formatCode="\ 0.00\ ">
                  <c:v>30.010000000000005</c:v>
                </c:pt>
                <c:pt idx="84" formatCode="\ 0.00\ ">
                  <c:v>30.150000000000006</c:v>
                </c:pt>
                <c:pt idx="85" formatCode="\ 0.00\ ">
                  <c:v>32.79</c:v>
                </c:pt>
                <c:pt idx="86" formatCode="\ 0.00\ ">
                  <c:v>33.1</c:v>
                </c:pt>
                <c:pt idx="87" formatCode="\ 0.00\ ">
                  <c:v>34.1</c:v>
                </c:pt>
                <c:pt idx="88" formatCode="\ 0.00\ ">
                  <c:v>34.4</c:v>
                </c:pt>
                <c:pt idx="89" formatCode="\ 0.00\ ">
                  <c:v>35.42</c:v>
                </c:pt>
                <c:pt idx="90" formatCode="\ 0.00\ ">
                  <c:v>35.57</c:v>
                </c:pt>
                <c:pt idx="91" formatCode="\ 0.00\ ">
                  <c:v>35.700000000000003</c:v>
                </c:pt>
                <c:pt idx="92" formatCode="\ 0.00\ ">
                  <c:v>35.81</c:v>
                </c:pt>
                <c:pt idx="93" formatCode="\ 0.00\ ">
                  <c:v>35.89</c:v>
                </c:pt>
                <c:pt idx="94" formatCode="\ 0.00\ ">
                  <c:v>35.96</c:v>
                </c:pt>
                <c:pt idx="95" formatCode="\ 0.00\ ">
                  <c:v>36.74</c:v>
                </c:pt>
                <c:pt idx="96" formatCode="\ 0.00\ ">
                  <c:v>36.93</c:v>
                </c:pt>
                <c:pt idx="97" formatCode="\ 0.00\ ">
                  <c:v>37.089999999999996</c:v>
                </c:pt>
                <c:pt idx="98" formatCode="\ 0.00\ ">
                  <c:v>37.229999999999997</c:v>
                </c:pt>
                <c:pt idx="99" formatCode="\ 0.00\ ">
                  <c:v>38.06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0.14099999999999999</c:v>
                </c:pt>
                <c:pt idx="1">
                  <c:v>0.14899999999999999</c:v>
                </c:pt>
                <c:pt idx="2">
                  <c:v>0.156</c:v>
                </c:pt>
                <c:pt idx="3">
                  <c:v>0.16500000000000001</c:v>
                </c:pt>
                <c:pt idx="4">
                  <c:v>0.186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80.176127827109909</c:v>
                </c:pt>
                <c:pt idx="2">
                  <c:v>76.130828533807758</c:v>
                </c:pt>
                <c:pt idx="3">
                  <c:v>72.280517323054355</c:v>
                </c:pt>
                <c:pt idx="4">
                  <c:v>68.909680788539461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13.77</c:v>
                </c:pt>
                <c:pt idx="1">
                  <c:v>18.36</c:v>
                </c:pt>
                <c:pt idx="2">
                  <c:v>23.52</c:v>
                </c:pt>
                <c:pt idx="3">
                  <c:v>29.28</c:v>
                </c:pt>
                <c:pt idx="4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0.14195876288659792</c:v>
                </c:pt>
                <c:pt idx="2">
                  <c:v>0.14926829268292682</c:v>
                </c:pt>
                <c:pt idx="3">
                  <c:v>0.15633100697906283</c:v>
                </c:pt>
                <c:pt idx="4">
                  <c:v>0.16542372881355932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1.0059224860895846</c:v>
                </c:pt>
                <c:pt idx="1">
                  <c:v>2.8539432904188118</c:v>
                </c:pt>
                <c:pt idx="2">
                  <c:v>3.9349661615039544</c:v>
                </c:pt>
                <c:pt idx="3">
                  <c:v>4.7019640947480319</c:v>
                </c:pt>
                <c:pt idx="4">
                  <c:v>5.2968939115979552</c:v>
                </c:pt>
                <c:pt idx="5">
                  <c:v>7.1449147159271789</c:v>
                </c:pt>
                <c:pt idx="6">
                  <c:v>8.2259375870123215</c:v>
                </c:pt>
                <c:pt idx="7">
                  <c:v>8.9929355202564025</c:v>
                </c:pt>
                <c:pt idx="8">
                  <c:v>9.5878653371063187</c:v>
                </c:pt>
                <c:pt idx="9">
                  <c:v>10.073958391341549</c:v>
                </c:pt>
                <c:pt idx="10">
                  <c:v>10.484944212696455</c:v>
                </c:pt>
                <c:pt idx="11">
                  <c:v>10.840956324585626</c:v>
                </c:pt>
                <c:pt idx="12">
                  <c:v>11.154981262426695</c:v>
                </c:pt>
                <c:pt idx="13">
                  <c:v>11.435886141435546</c:v>
                </c:pt>
                <c:pt idx="14">
                  <c:v>11.689995513994006</c:v>
                </c:pt>
                <c:pt idx="15">
                  <c:v>11.921979195670776</c:v>
                </c:pt>
                <c:pt idx="16">
                  <c:v>12.516909012520692</c:v>
                </c:pt>
                <c:pt idx="17">
                  <c:v>13.003002066755922</c:v>
                </c:pt>
                <c:pt idx="18">
                  <c:v>13.413987888110828</c:v>
                </c:pt>
                <c:pt idx="19">
                  <c:v>13.77</c:v>
                </c:pt>
                <c:pt idx="20">
                  <c:v>16.287238865920934</c:v>
                </c:pt>
                <c:pt idx="21">
                  <c:v>16.537780382414006</c:v>
                </c:pt>
                <c:pt idx="22">
                  <c:v>16.771028954021084</c:v>
                </c:pt>
                <c:pt idx="23">
                  <c:v>17.387414991865754</c:v>
                </c:pt>
                <c:pt idx="24">
                  <c:v>18.36</c:v>
                </c:pt>
                <c:pt idx="25">
                  <c:v>22.012109278150714</c:v>
                </c:pt>
                <c:pt idx="26">
                  <c:v>22.174296763021143</c:v>
                </c:pt>
                <c:pt idx="27">
                  <c:v>22.330362483952864</c:v>
                </c:pt>
                <c:pt idx="28">
                  <c:v>22.766054639075353</c:v>
                </c:pt>
                <c:pt idx="29">
                  <c:v>23.52</c:v>
                </c:pt>
                <c:pt idx="30">
                  <c:v>28.013722486450568</c:v>
                </c:pt>
                <c:pt idx="31">
                  <c:v>28.143463533146239</c:v>
                </c:pt>
                <c:pt idx="32">
                  <c:v>28.269834298498971</c:v>
                </c:pt>
                <c:pt idx="33">
                  <c:v>28.630369651501198</c:v>
                </c:pt>
                <c:pt idx="34">
                  <c:v>29.28</c:v>
                </c:pt>
                <c:pt idx="35">
                  <c:v>36.926927158164432</c:v>
                </c:pt>
                <c:pt idx="36">
                  <c:v>37.039956276396083</c:v>
                </c:pt>
                <c:pt idx="37">
                  <c:v>37.150747046503227</c:v>
                </c:pt>
                <c:pt idx="38">
                  <c:v>37.470534143069585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704850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695325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695325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28575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695325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200025</xdr:colOff>
      <xdr:row>0</xdr:row>
      <xdr:rowOff>219075</xdr:rowOff>
    </xdr:from>
    <xdr:ext cx="1809750" cy="61177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304800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314325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1.89</v>
      </c>
      <c r="E1" s="6">
        <v>1</v>
      </c>
      <c r="F1" s="6">
        <f>StepTest!G12</f>
        <v>1.89</v>
      </c>
    </row>
    <row r="2" spans="1:6">
      <c r="A2" s="120">
        <v>2</v>
      </c>
      <c r="B2" s="6">
        <f t="shared" ref="B2:B20" si="0">F2</f>
        <v>2.85</v>
      </c>
      <c r="E2" s="6">
        <v>2</v>
      </c>
      <c r="F2" s="6">
        <f>StepTest!G13</f>
        <v>2.85</v>
      </c>
    </row>
    <row r="3" spans="1:6">
      <c r="A3" s="120">
        <v>3</v>
      </c>
      <c r="B3" s="6">
        <f t="shared" si="0"/>
        <v>3.93</v>
      </c>
      <c r="E3" s="6">
        <v>3</v>
      </c>
      <c r="F3" s="6">
        <f>StepTest!G14</f>
        <v>3.93</v>
      </c>
    </row>
    <row r="4" spans="1:6">
      <c r="A4" s="120">
        <v>4</v>
      </c>
      <c r="B4" s="6">
        <f t="shared" si="0"/>
        <v>4.7</v>
      </c>
      <c r="E4" s="6">
        <v>4</v>
      </c>
      <c r="F4" s="6">
        <f>StepTest!G15</f>
        <v>4.7</v>
      </c>
    </row>
    <row r="5" spans="1:6">
      <c r="A5" s="120">
        <v>5</v>
      </c>
      <c r="B5" s="6">
        <f t="shared" si="0"/>
        <v>5.29</v>
      </c>
      <c r="E5" s="6">
        <v>5</v>
      </c>
      <c r="F5" s="6">
        <f>StepTest!G16</f>
        <v>5.29</v>
      </c>
    </row>
    <row r="6" spans="1:6">
      <c r="A6" s="120">
        <v>10</v>
      </c>
      <c r="B6" s="6">
        <f t="shared" si="0"/>
        <v>7.14</v>
      </c>
      <c r="E6" s="6">
        <v>10</v>
      </c>
      <c r="F6" s="6">
        <f>StepTest!G17</f>
        <v>7.14</v>
      </c>
    </row>
    <row r="7" spans="1:6">
      <c r="A7" s="120">
        <v>15</v>
      </c>
      <c r="B7" s="6">
        <f t="shared" si="0"/>
        <v>8.2200000000000006</v>
      </c>
      <c r="E7" s="6">
        <v>15</v>
      </c>
      <c r="F7" s="6">
        <f>StepTest!G18</f>
        <v>8.2200000000000006</v>
      </c>
    </row>
    <row r="8" spans="1:6">
      <c r="A8" s="120">
        <v>20</v>
      </c>
      <c r="B8" s="6">
        <f t="shared" si="0"/>
        <v>8.99</v>
      </c>
      <c r="E8" s="6">
        <v>20</v>
      </c>
      <c r="F8" s="6">
        <f>StepTest!G19</f>
        <v>8.99</v>
      </c>
    </row>
    <row r="9" spans="1:6">
      <c r="A9" s="120">
        <v>25</v>
      </c>
      <c r="B9" s="6">
        <f t="shared" si="0"/>
        <v>9.58</v>
      </c>
      <c r="E9" s="6">
        <v>25</v>
      </c>
      <c r="F9" s="6">
        <f>StepTest!G20</f>
        <v>9.58</v>
      </c>
    </row>
    <row r="10" spans="1:6">
      <c r="A10" s="120">
        <v>30</v>
      </c>
      <c r="B10" s="6">
        <f t="shared" si="0"/>
        <v>10.07</v>
      </c>
      <c r="E10" s="6">
        <v>30</v>
      </c>
      <c r="F10" s="6">
        <f>StepTest!G21</f>
        <v>10.07</v>
      </c>
    </row>
    <row r="11" spans="1:6">
      <c r="A11" s="120">
        <v>35</v>
      </c>
      <c r="B11" s="6">
        <f t="shared" si="0"/>
        <v>10.48</v>
      </c>
      <c r="E11" s="6">
        <v>35</v>
      </c>
      <c r="F11" s="6">
        <f>StepTest!G22</f>
        <v>10.48</v>
      </c>
    </row>
    <row r="12" spans="1:6">
      <c r="A12" s="120">
        <v>40</v>
      </c>
      <c r="B12" s="6">
        <f t="shared" si="0"/>
        <v>10.84</v>
      </c>
      <c r="E12" s="6">
        <v>40</v>
      </c>
      <c r="F12" s="6">
        <f>StepTest!G23</f>
        <v>10.84</v>
      </c>
    </row>
    <row r="13" spans="1:6">
      <c r="A13" s="120">
        <v>45</v>
      </c>
      <c r="B13" s="6">
        <f t="shared" si="0"/>
        <v>11.15</v>
      </c>
      <c r="E13" s="6">
        <v>45</v>
      </c>
      <c r="F13" s="6">
        <f>StepTest!G24</f>
        <v>11.15</v>
      </c>
    </row>
    <row r="14" spans="1:6">
      <c r="A14" s="120">
        <v>50</v>
      </c>
      <c r="B14" s="6">
        <f t="shared" si="0"/>
        <v>11.43</v>
      </c>
      <c r="E14" s="6">
        <v>50</v>
      </c>
      <c r="F14" s="6">
        <f>StepTest!G25</f>
        <v>11.43</v>
      </c>
    </row>
    <row r="15" spans="1:6">
      <c r="A15" s="120">
        <v>55</v>
      </c>
      <c r="B15" s="6">
        <f t="shared" si="0"/>
        <v>11.68</v>
      </c>
      <c r="E15" s="6">
        <v>55</v>
      </c>
      <c r="F15" s="6">
        <f>StepTest!G26</f>
        <v>11.68</v>
      </c>
    </row>
    <row r="16" spans="1:6">
      <c r="A16" s="120">
        <v>60</v>
      </c>
      <c r="B16" s="6">
        <f t="shared" si="0"/>
        <v>11.92</v>
      </c>
      <c r="E16" s="6">
        <v>60</v>
      </c>
      <c r="F16" s="6">
        <f>StepTest!G27</f>
        <v>11.92</v>
      </c>
    </row>
    <row r="17" spans="1:6">
      <c r="A17" s="120">
        <v>75</v>
      </c>
      <c r="B17" s="6">
        <f t="shared" si="0"/>
        <v>12.51</v>
      </c>
      <c r="E17" s="6">
        <v>75</v>
      </c>
      <c r="F17" s="6">
        <f>StepTest!G28</f>
        <v>12.51</v>
      </c>
    </row>
    <row r="18" spans="1:6">
      <c r="A18" s="120">
        <v>90</v>
      </c>
      <c r="B18" s="6">
        <f t="shared" si="0"/>
        <v>13</v>
      </c>
      <c r="E18" s="6">
        <v>90</v>
      </c>
      <c r="F18" s="6">
        <f>StepTest!G29</f>
        <v>13</v>
      </c>
    </row>
    <row r="19" spans="1:6">
      <c r="A19" s="120">
        <v>105</v>
      </c>
      <c r="B19" s="6">
        <f t="shared" si="0"/>
        <v>13.41</v>
      </c>
      <c r="E19" s="6">
        <v>105</v>
      </c>
      <c r="F19" s="6">
        <f>StepTest!G30</f>
        <v>13.41</v>
      </c>
    </row>
    <row r="20" spans="1:6">
      <c r="A20" s="121">
        <v>120</v>
      </c>
      <c r="B20" s="122">
        <f t="shared" si="0"/>
        <v>13.77</v>
      </c>
      <c r="C20" s="122">
        <f>B26-B20</f>
        <v>2.75</v>
      </c>
      <c r="D20" s="123">
        <f>C20/10</f>
        <v>0.27500000000000002</v>
      </c>
      <c r="E20" s="6">
        <v>120</v>
      </c>
      <c r="F20" s="6">
        <f>StepTest!G31</f>
        <v>13.77</v>
      </c>
    </row>
    <row r="21" spans="1:6">
      <c r="A21" s="120">
        <v>121</v>
      </c>
      <c r="B21" s="124">
        <f>B20+D21</f>
        <v>13.93</v>
      </c>
      <c r="D21" s="6">
        <v>0.16</v>
      </c>
      <c r="E21" s="6">
        <v>130</v>
      </c>
      <c r="F21" s="6">
        <f>StepTest!G32</f>
        <v>16.52</v>
      </c>
    </row>
    <row r="22" spans="1:6">
      <c r="A22" s="120">
        <v>122</v>
      </c>
      <c r="B22" s="124">
        <f>B21+D22</f>
        <v>14.08</v>
      </c>
      <c r="D22" s="6">
        <v>0.15</v>
      </c>
      <c r="E22" s="6">
        <v>140</v>
      </c>
      <c r="F22" s="6">
        <f>StepTest!G33</f>
        <v>16.98</v>
      </c>
    </row>
    <row r="23" spans="1:6">
      <c r="A23" s="120">
        <v>123</v>
      </c>
      <c r="B23" s="124">
        <f>B22+D23</f>
        <v>14.22</v>
      </c>
      <c r="D23" s="6">
        <v>0.14000000000000001</v>
      </c>
      <c r="E23" s="6">
        <v>150</v>
      </c>
      <c r="F23" s="6">
        <f>StepTest!G34</f>
        <v>17.440000000000001</v>
      </c>
    </row>
    <row r="24" spans="1:6">
      <c r="A24" s="120">
        <v>124</v>
      </c>
      <c r="B24" s="124">
        <f>B23+D24</f>
        <v>14.350000000000001</v>
      </c>
      <c r="D24" s="6">
        <v>0.13</v>
      </c>
      <c r="E24" s="6">
        <v>180</v>
      </c>
      <c r="F24" s="6">
        <f>StepTest!G35</f>
        <v>17.899999999999999</v>
      </c>
    </row>
    <row r="25" spans="1:6">
      <c r="A25" s="120">
        <v>125</v>
      </c>
      <c r="B25" s="124">
        <f>B24+D25</f>
        <v>14.480000000000002</v>
      </c>
      <c r="D25" s="6">
        <v>0.13</v>
      </c>
      <c r="E25" s="6">
        <v>240</v>
      </c>
      <c r="F25" s="6">
        <f>StepTest!G36</f>
        <v>18.36</v>
      </c>
    </row>
    <row r="26" spans="1:6">
      <c r="A26" s="120">
        <v>130</v>
      </c>
      <c r="B26" s="122">
        <f>F21</f>
        <v>16.52</v>
      </c>
      <c r="C26" s="122">
        <f>B28-B26</f>
        <v>0.46000000000000085</v>
      </c>
      <c r="D26" s="122">
        <f>C26/2</f>
        <v>0.23000000000000043</v>
      </c>
      <c r="E26" s="6">
        <v>250</v>
      </c>
      <c r="F26" s="6">
        <f>StepTest!G37</f>
        <v>21.45</v>
      </c>
    </row>
    <row r="27" spans="1:6">
      <c r="A27" s="120">
        <v>135</v>
      </c>
      <c r="B27" s="124">
        <f>B26+D27</f>
        <v>16.63</v>
      </c>
      <c r="D27" s="6">
        <v>0.11</v>
      </c>
      <c r="E27" s="6">
        <v>260</v>
      </c>
      <c r="F27" s="6">
        <f>StepTest!G38</f>
        <v>21.97</v>
      </c>
    </row>
    <row r="28" spans="1:6">
      <c r="A28" s="120">
        <v>140</v>
      </c>
      <c r="B28" s="122">
        <f>F22</f>
        <v>16.98</v>
      </c>
      <c r="C28" s="122">
        <f>B30-B28</f>
        <v>0.46000000000000085</v>
      </c>
      <c r="D28" s="122">
        <f>C28/2</f>
        <v>0.23000000000000043</v>
      </c>
      <c r="E28" s="6">
        <v>270</v>
      </c>
      <c r="F28" s="6">
        <f>StepTest!G39</f>
        <v>22.48</v>
      </c>
    </row>
    <row r="29" spans="1:6">
      <c r="A29" s="120">
        <v>145</v>
      </c>
      <c r="B29" s="124">
        <f>B28+D29</f>
        <v>17.080000000000002</v>
      </c>
      <c r="D29" s="6">
        <v>0.1</v>
      </c>
      <c r="E29" s="6">
        <v>300</v>
      </c>
      <c r="F29" s="6">
        <f>StepTest!G40</f>
        <v>23</v>
      </c>
    </row>
    <row r="30" spans="1:6">
      <c r="A30" s="120">
        <v>150</v>
      </c>
      <c r="B30" s="122">
        <f>F23</f>
        <v>17.440000000000001</v>
      </c>
      <c r="C30" s="122">
        <f>B36-B30</f>
        <v>0.4599999999999973</v>
      </c>
      <c r="D30" s="125">
        <f>C30/6</f>
        <v>7.6666666666666217E-2</v>
      </c>
      <c r="E30" s="6">
        <v>360</v>
      </c>
      <c r="F30" s="6">
        <f>StepTest!G41</f>
        <v>23.52</v>
      </c>
    </row>
    <row r="31" spans="1:6">
      <c r="A31" s="120">
        <v>155</v>
      </c>
      <c r="B31" s="124">
        <f>B30+D31</f>
        <v>17.5</v>
      </c>
      <c r="D31" s="6">
        <v>0.06</v>
      </c>
    </row>
    <row r="32" spans="1:6">
      <c r="A32" s="120">
        <v>160</v>
      </c>
      <c r="B32" s="124">
        <f t="shared" ref="B32:B39" si="1">B31+D32</f>
        <v>17.55</v>
      </c>
      <c r="D32" s="6">
        <v>0.05</v>
      </c>
    </row>
    <row r="33" spans="1:4">
      <c r="A33" s="120">
        <v>165</v>
      </c>
      <c r="B33" s="124">
        <f t="shared" si="1"/>
        <v>17.59</v>
      </c>
      <c r="D33" s="6">
        <v>0.04</v>
      </c>
    </row>
    <row r="34" spans="1:4">
      <c r="A34" s="120">
        <v>170</v>
      </c>
      <c r="B34" s="124">
        <f t="shared" si="1"/>
        <v>17.62</v>
      </c>
      <c r="D34" s="6">
        <v>0.03</v>
      </c>
    </row>
    <row r="35" spans="1:4">
      <c r="A35" s="120">
        <v>175</v>
      </c>
      <c r="B35" s="124">
        <f t="shared" si="1"/>
        <v>17.64</v>
      </c>
      <c r="D35" s="6">
        <v>0.02</v>
      </c>
    </row>
    <row r="36" spans="1:4">
      <c r="A36" s="120">
        <v>180</v>
      </c>
      <c r="B36" s="122">
        <f>F24</f>
        <v>17.899999999999999</v>
      </c>
      <c r="C36" s="122">
        <f>B40-B36</f>
        <v>0.46000000000000085</v>
      </c>
      <c r="D36" s="122">
        <f>C36/4</f>
        <v>0.11500000000000021</v>
      </c>
    </row>
    <row r="37" spans="1:4">
      <c r="A37" s="120">
        <v>195</v>
      </c>
      <c r="B37" s="124">
        <f t="shared" si="1"/>
        <v>17.97</v>
      </c>
      <c r="D37" s="6">
        <v>7.0000000000000007E-2</v>
      </c>
    </row>
    <row r="38" spans="1:4">
      <c r="A38" s="120">
        <v>210</v>
      </c>
      <c r="B38" s="124">
        <f t="shared" si="1"/>
        <v>18.029999999999998</v>
      </c>
      <c r="D38" s="6">
        <v>0.06</v>
      </c>
    </row>
    <row r="39" spans="1:4">
      <c r="A39" s="120">
        <v>225</v>
      </c>
      <c r="B39" s="124">
        <f t="shared" si="1"/>
        <v>18.079999999999998</v>
      </c>
      <c r="D39" s="6">
        <v>0.05</v>
      </c>
    </row>
    <row r="40" spans="1:4">
      <c r="A40" s="121">
        <v>240</v>
      </c>
      <c r="B40" s="122">
        <f>F25</f>
        <v>18.36</v>
      </c>
      <c r="C40" s="122">
        <f>B46-B40</f>
        <v>3.09</v>
      </c>
      <c r="D40" s="123">
        <f>C40/10</f>
        <v>0.309</v>
      </c>
    </row>
    <row r="41" spans="1:4">
      <c r="A41" s="120">
        <v>241</v>
      </c>
      <c r="B41" s="124">
        <f>B40+D41</f>
        <v>18.54</v>
      </c>
      <c r="D41" s="6">
        <v>0.18</v>
      </c>
    </row>
    <row r="42" spans="1:4">
      <c r="A42" s="120">
        <v>242</v>
      </c>
      <c r="B42" s="124">
        <f>B41+D42</f>
        <v>18.7</v>
      </c>
      <c r="D42" s="6">
        <v>0.16</v>
      </c>
    </row>
    <row r="43" spans="1:4">
      <c r="A43" s="120">
        <v>243</v>
      </c>
      <c r="B43" s="124">
        <f>B42+D43</f>
        <v>18.849999999999998</v>
      </c>
      <c r="D43" s="6">
        <v>0.15</v>
      </c>
    </row>
    <row r="44" spans="1:4">
      <c r="A44" s="120">
        <v>244</v>
      </c>
      <c r="B44" s="124">
        <f>B43+D44</f>
        <v>18.989999999999998</v>
      </c>
      <c r="D44" s="6">
        <v>0.14000000000000001</v>
      </c>
    </row>
    <row r="45" spans="1:4">
      <c r="A45" s="120">
        <v>245</v>
      </c>
      <c r="B45" s="124">
        <f>B44+D45</f>
        <v>19.119999999999997</v>
      </c>
      <c r="D45" s="6">
        <v>0.13</v>
      </c>
    </row>
    <row r="46" spans="1:4">
      <c r="A46" s="120">
        <v>250</v>
      </c>
      <c r="B46" s="122">
        <f>F26</f>
        <v>21.45</v>
      </c>
      <c r="C46" s="122">
        <f>B48-B46</f>
        <v>0.51999999999999957</v>
      </c>
      <c r="D46" s="122">
        <f>C46/2</f>
        <v>0.25999999999999979</v>
      </c>
    </row>
    <row r="47" spans="1:4">
      <c r="A47" s="120">
        <v>255</v>
      </c>
      <c r="B47" s="124">
        <f>B46+D47</f>
        <v>21.56</v>
      </c>
      <c r="D47" s="6">
        <v>0.11</v>
      </c>
    </row>
    <row r="48" spans="1:4">
      <c r="A48" s="120">
        <v>260</v>
      </c>
      <c r="B48" s="122">
        <f>F27</f>
        <v>21.97</v>
      </c>
      <c r="C48" s="122">
        <f>B50-B48</f>
        <v>0.51000000000000156</v>
      </c>
      <c r="D48" s="122">
        <f>C48/2</f>
        <v>0.25500000000000078</v>
      </c>
    </row>
    <row r="49" spans="1:6">
      <c r="A49" s="120">
        <v>265</v>
      </c>
      <c r="B49" s="124">
        <f>B48+D49</f>
        <v>22.08</v>
      </c>
      <c r="D49" s="6">
        <v>0.11</v>
      </c>
    </row>
    <row r="50" spans="1:6">
      <c r="A50" s="120">
        <v>270</v>
      </c>
      <c r="B50" s="122">
        <f>F28</f>
        <v>22.48</v>
      </c>
      <c r="C50" s="122">
        <f>B56-B50</f>
        <v>0.51999999999999957</v>
      </c>
      <c r="D50" s="125">
        <f>C50/6</f>
        <v>8.66666666666666E-2</v>
      </c>
    </row>
    <row r="51" spans="1:6">
      <c r="A51" s="120">
        <v>275</v>
      </c>
      <c r="B51" s="124">
        <f>B50+D51</f>
        <v>22.55</v>
      </c>
      <c r="D51" s="6">
        <v>7.0000000000000007E-2</v>
      </c>
    </row>
    <row r="52" spans="1:6">
      <c r="A52" s="120">
        <v>280</v>
      </c>
      <c r="B52" s="124">
        <f>B51+D52</f>
        <v>22.6</v>
      </c>
      <c r="D52" s="6">
        <v>0.05</v>
      </c>
    </row>
    <row r="53" spans="1:6">
      <c r="A53" s="120">
        <v>285</v>
      </c>
      <c r="B53" s="124">
        <f>B52+D53</f>
        <v>22.64</v>
      </c>
      <c r="D53" s="6">
        <v>0.04</v>
      </c>
    </row>
    <row r="54" spans="1:6">
      <c r="A54" s="120">
        <v>290</v>
      </c>
      <c r="B54" s="124">
        <f>B53+D54</f>
        <v>22.67</v>
      </c>
      <c r="D54" s="6">
        <v>0.03</v>
      </c>
    </row>
    <row r="55" spans="1:6">
      <c r="A55" s="120">
        <v>295</v>
      </c>
      <c r="B55" s="124">
        <f>B54+D55</f>
        <v>22.69</v>
      </c>
      <c r="D55" s="6">
        <v>0.02</v>
      </c>
    </row>
    <row r="56" spans="1:6">
      <c r="A56" s="120">
        <v>300</v>
      </c>
      <c r="B56" s="122">
        <f>F29</f>
        <v>23</v>
      </c>
      <c r="C56" s="122">
        <f>B60-B56</f>
        <v>0.51999999999999957</v>
      </c>
      <c r="D56" s="122">
        <f>C56/4</f>
        <v>0.12999999999999989</v>
      </c>
    </row>
    <row r="57" spans="1:6">
      <c r="A57" s="120">
        <v>315</v>
      </c>
      <c r="B57" s="124">
        <f>B56+D57</f>
        <v>23.08</v>
      </c>
      <c r="D57" s="6">
        <v>0.08</v>
      </c>
    </row>
    <row r="58" spans="1:6">
      <c r="A58" s="120">
        <v>330</v>
      </c>
      <c r="B58" s="124">
        <f>B57+D58</f>
        <v>23.139999999999997</v>
      </c>
      <c r="D58" s="6">
        <v>0.06</v>
      </c>
    </row>
    <row r="59" spans="1:6">
      <c r="A59" s="120">
        <v>345</v>
      </c>
      <c r="B59" s="124">
        <f>B58+D59</f>
        <v>23.189999999999998</v>
      </c>
      <c r="D59" s="6">
        <v>0.05</v>
      </c>
    </row>
    <row r="60" spans="1:6">
      <c r="A60" s="121">
        <v>360</v>
      </c>
      <c r="B60" s="122">
        <f>F30</f>
        <v>23.52</v>
      </c>
      <c r="C60" s="122">
        <f>B66-B60</f>
        <v>3.4499999999999993</v>
      </c>
      <c r="D60" s="123">
        <f>C60/10</f>
        <v>0.34499999999999992</v>
      </c>
    </row>
    <row r="61" spans="1:6">
      <c r="A61" s="120">
        <v>361</v>
      </c>
      <c r="B61" s="124">
        <f>B60+D61</f>
        <v>23.71</v>
      </c>
      <c r="D61" s="6">
        <v>0.19</v>
      </c>
    </row>
    <row r="62" spans="1:6">
      <c r="A62" s="120">
        <v>362</v>
      </c>
      <c r="B62" s="124">
        <f>B61+D62</f>
        <v>23.880000000000003</v>
      </c>
      <c r="D62" s="6">
        <v>0.17</v>
      </c>
    </row>
    <row r="63" spans="1:6">
      <c r="A63" s="120">
        <v>363</v>
      </c>
      <c r="B63" s="124">
        <f>B62+D63</f>
        <v>24.040000000000003</v>
      </c>
      <c r="D63" s="6">
        <v>0.16</v>
      </c>
      <c r="E63" s="6">
        <v>370</v>
      </c>
      <c r="F63" s="6">
        <f>StepTest!G42</f>
        <v>26.97</v>
      </c>
    </row>
    <row r="64" spans="1:6">
      <c r="A64" s="120">
        <v>364</v>
      </c>
      <c r="B64" s="124">
        <f>B63+D64</f>
        <v>24.19</v>
      </c>
      <c r="D64" s="6">
        <v>0.15</v>
      </c>
      <c r="E64" s="6">
        <v>380</v>
      </c>
      <c r="F64" s="6">
        <f>StepTest!G43</f>
        <v>27.55</v>
      </c>
    </row>
    <row r="65" spans="1:6">
      <c r="A65" s="120">
        <v>365</v>
      </c>
      <c r="B65" s="124">
        <f>B64+D65</f>
        <v>24.330000000000002</v>
      </c>
      <c r="D65" s="6">
        <v>0.14000000000000001</v>
      </c>
      <c r="E65" s="6">
        <v>390</v>
      </c>
      <c r="F65" s="6">
        <f>StepTest!G44</f>
        <v>28.12</v>
      </c>
    </row>
    <row r="66" spans="1:6">
      <c r="A66" s="120">
        <v>370</v>
      </c>
      <c r="B66" s="122">
        <f>F63</f>
        <v>26.97</v>
      </c>
      <c r="C66" s="126">
        <f>B68-B66</f>
        <v>0.58000000000000185</v>
      </c>
      <c r="D66" s="122">
        <f>C66/2</f>
        <v>0.29000000000000092</v>
      </c>
      <c r="E66" s="6">
        <v>420</v>
      </c>
      <c r="F66" s="6">
        <f>StepTest!G45</f>
        <v>28.7</v>
      </c>
    </row>
    <row r="67" spans="1:6">
      <c r="A67" s="120">
        <v>375</v>
      </c>
      <c r="B67" s="124">
        <f>B66+D67</f>
        <v>27.09</v>
      </c>
      <c r="D67" s="6">
        <v>0.12</v>
      </c>
      <c r="E67" s="6">
        <v>480</v>
      </c>
      <c r="F67" s="6">
        <f>StepTest!G46</f>
        <v>29.28</v>
      </c>
    </row>
    <row r="68" spans="1:6">
      <c r="A68" s="120">
        <v>380</v>
      </c>
      <c r="B68" s="127">
        <f>F64</f>
        <v>27.55</v>
      </c>
      <c r="C68" s="122">
        <f>B70-B68</f>
        <v>0.57000000000000028</v>
      </c>
      <c r="D68" s="122">
        <f>C68/2</f>
        <v>0.28500000000000014</v>
      </c>
      <c r="E68" s="6">
        <v>490</v>
      </c>
      <c r="F68" s="6">
        <f>StepTest!G47</f>
        <v>32.79</v>
      </c>
    </row>
    <row r="69" spans="1:6">
      <c r="A69" s="120">
        <v>385</v>
      </c>
      <c r="B69" s="124">
        <f>B68+D69</f>
        <v>27.67</v>
      </c>
      <c r="D69" s="6">
        <v>0.12</v>
      </c>
      <c r="E69" s="6">
        <v>500</v>
      </c>
      <c r="F69" s="6">
        <f>StepTest!G48</f>
        <v>34.1</v>
      </c>
    </row>
    <row r="70" spans="1:6">
      <c r="A70" s="120">
        <v>390</v>
      </c>
      <c r="B70" s="127">
        <f>F65</f>
        <v>28.12</v>
      </c>
      <c r="C70" s="122">
        <f>B76-B70</f>
        <v>0.57999999999999829</v>
      </c>
      <c r="D70" s="125">
        <f>C70/6</f>
        <v>9.6666666666666387E-2</v>
      </c>
      <c r="E70" s="6">
        <v>510</v>
      </c>
      <c r="F70" s="6">
        <f>StepTest!G49</f>
        <v>35.42</v>
      </c>
    </row>
    <row r="71" spans="1:6">
      <c r="A71" s="120">
        <v>395</v>
      </c>
      <c r="B71" s="124">
        <f>B70+D71</f>
        <v>28.19</v>
      </c>
      <c r="D71" s="6">
        <v>7.0000000000000007E-2</v>
      </c>
      <c r="E71" s="6">
        <v>540</v>
      </c>
      <c r="F71" s="6">
        <f>StepTest!G50</f>
        <v>36.74</v>
      </c>
    </row>
    <row r="72" spans="1:6">
      <c r="A72" s="120">
        <v>400</v>
      </c>
      <c r="B72" s="124">
        <f>B71+D72</f>
        <v>28.240000000000002</v>
      </c>
      <c r="D72" s="6">
        <v>0.05</v>
      </c>
      <c r="E72" s="6">
        <v>600</v>
      </c>
      <c r="F72" s="6">
        <f>StepTest!G51</f>
        <v>38.06</v>
      </c>
    </row>
    <row r="73" spans="1:6">
      <c r="A73" s="120">
        <v>405</v>
      </c>
      <c r="B73" s="124">
        <f>B72+D73</f>
        <v>28.28</v>
      </c>
      <c r="D73" s="6">
        <v>0.04</v>
      </c>
    </row>
    <row r="74" spans="1:6">
      <c r="A74" s="120">
        <v>410</v>
      </c>
      <c r="B74" s="124">
        <f>B73+D74</f>
        <v>28.310000000000002</v>
      </c>
      <c r="D74" s="6">
        <v>0.03</v>
      </c>
    </row>
    <row r="75" spans="1:6">
      <c r="A75" s="120">
        <v>415</v>
      </c>
      <c r="B75" s="124">
        <f>B74+D75</f>
        <v>28.340000000000003</v>
      </c>
      <c r="D75" s="6">
        <v>0.03</v>
      </c>
    </row>
    <row r="76" spans="1:6">
      <c r="A76" s="120">
        <v>420</v>
      </c>
      <c r="B76" s="127">
        <f>F66</f>
        <v>28.7</v>
      </c>
      <c r="C76" s="122">
        <f>B80-B76</f>
        <v>0.58000000000000185</v>
      </c>
      <c r="D76" s="122">
        <f>C76/4</f>
        <v>0.14500000000000046</v>
      </c>
    </row>
    <row r="77" spans="1:6">
      <c r="A77" s="120">
        <v>435</v>
      </c>
      <c r="B77" s="124">
        <f>B76+D77</f>
        <v>28.79</v>
      </c>
      <c r="D77" s="6">
        <v>0.09</v>
      </c>
    </row>
    <row r="78" spans="1:6">
      <c r="A78" s="120">
        <v>450</v>
      </c>
      <c r="B78" s="124">
        <f>B77+D78</f>
        <v>28.86</v>
      </c>
      <c r="D78" s="6">
        <v>7.0000000000000007E-2</v>
      </c>
    </row>
    <row r="79" spans="1:6">
      <c r="A79" s="120">
        <v>465</v>
      </c>
      <c r="B79" s="124">
        <f>B78+D79</f>
        <v>28.91</v>
      </c>
      <c r="D79" s="6">
        <v>0.05</v>
      </c>
    </row>
    <row r="80" spans="1:6">
      <c r="A80" s="121">
        <v>480</v>
      </c>
      <c r="B80" s="127">
        <f>F67</f>
        <v>29.28</v>
      </c>
      <c r="C80" s="122">
        <f>B86-B80</f>
        <v>3.509999999999998</v>
      </c>
      <c r="D80" s="123">
        <f>C80/10</f>
        <v>0.35099999999999981</v>
      </c>
    </row>
    <row r="81" spans="1:4">
      <c r="A81" s="120">
        <v>481</v>
      </c>
      <c r="B81" s="124">
        <f>B80+D81</f>
        <v>29.490000000000002</v>
      </c>
      <c r="D81" s="6">
        <v>0.21</v>
      </c>
    </row>
    <row r="82" spans="1:4">
      <c r="A82" s="120">
        <v>482</v>
      </c>
      <c r="B82" s="124">
        <f>B81+D82</f>
        <v>29.680000000000003</v>
      </c>
      <c r="D82" s="6">
        <v>0.19</v>
      </c>
    </row>
    <row r="83" spans="1:4">
      <c r="A83" s="120">
        <v>483</v>
      </c>
      <c r="B83" s="124">
        <f>B82+D83</f>
        <v>29.850000000000005</v>
      </c>
      <c r="D83" s="6">
        <v>0.17</v>
      </c>
    </row>
    <row r="84" spans="1:4">
      <c r="A84" s="120">
        <v>484</v>
      </c>
      <c r="B84" s="124">
        <f>B83+D84</f>
        <v>30.010000000000005</v>
      </c>
      <c r="D84" s="6">
        <v>0.16</v>
      </c>
    </row>
    <row r="85" spans="1:4">
      <c r="A85" s="120">
        <v>485</v>
      </c>
      <c r="B85" s="124">
        <f>B84+D85</f>
        <v>30.150000000000006</v>
      </c>
      <c r="D85" s="6">
        <v>0.14000000000000001</v>
      </c>
    </row>
    <row r="86" spans="1:4">
      <c r="A86" s="120">
        <v>490</v>
      </c>
      <c r="B86" s="127">
        <f>F68</f>
        <v>32.79</v>
      </c>
      <c r="C86" s="122">
        <f>B88-B86</f>
        <v>1.3100000000000023</v>
      </c>
      <c r="D86" s="122">
        <f>C86/2</f>
        <v>0.65500000000000114</v>
      </c>
    </row>
    <row r="87" spans="1:4">
      <c r="A87" s="120">
        <v>495</v>
      </c>
      <c r="B87" s="124">
        <f>B86+D87</f>
        <v>33.1</v>
      </c>
      <c r="D87" s="6">
        <v>0.31</v>
      </c>
    </row>
    <row r="88" spans="1:4">
      <c r="A88" s="120">
        <v>500</v>
      </c>
      <c r="B88" s="127">
        <f>F69</f>
        <v>34.1</v>
      </c>
      <c r="C88" s="122">
        <f>B90-B88</f>
        <v>1.3200000000000003</v>
      </c>
      <c r="D88" s="122">
        <f>C88/2</f>
        <v>0.66000000000000014</v>
      </c>
    </row>
    <row r="89" spans="1:4">
      <c r="A89" s="120">
        <v>505</v>
      </c>
      <c r="B89" s="124">
        <f>B88+D89</f>
        <v>34.4</v>
      </c>
      <c r="D89" s="6">
        <v>0.3</v>
      </c>
    </row>
    <row r="90" spans="1:4">
      <c r="A90" s="120">
        <v>510</v>
      </c>
      <c r="B90" s="127">
        <f>F70</f>
        <v>35.42</v>
      </c>
      <c r="C90" s="122">
        <f>B96-B90</f>
        <v>1.3200000000000003</v>
      </c>
      <c r="D90" s="125">
        <f>C90/6</f>
        <v>0.22000000000000006</v>
      </c>
    </row>
    <row r="91" spans="1:4">
      <c r="A91" s="120">
        <v>515</v>
      </c>
      <c r="B91" s="124">
        <f>B90+D91</f>
        <v>35.57</v>
      </c>
      <c r="D91" s="6">
        <v>0.15</v>
      </c>
    </row>
    <row r="92" spans="1:4">
      <c r="A92" s="120">
        <v>520</v>
      </c>
      <c r="B92" s="124">
        <f>B91+D92</f>
        <v>35.700000000000003</v>
      </c>
      <c r="D92" s="6">
        <v>0.13</v>
      </c>
    </row>
    <row r="93" spans="1:4">
      <c r="A93" s="120">
        <v>525</v>
      </c>
      <c r="B93" s="124">
        <f>B92+D93</f>
        <v>35.81</v>
      </c>
      <c r="D93" s="6">
        <v>0.11</v>
      </c>
    </row>
    <row r="94" spans="1:4">
      <c r="A94" s="120">
        <v>530</v>
      </c>
      <c r="B94" s="124">
        <f>B93+D94</f>
        <v>35.89</v>
      </c>
      <c r="D94" s="6">
        <v>0.08</v>
      </c>
    </row>
    <row r="95" spans="1:4">
      <c r="A95" s="120">
        <v>535</v>
      </c>
      <c r="B95" s="124">
        <f>B94+D95</f>
        <v>35.96</v>
      </c>
      <c r="D95" s="6">
        <v>7.0000000000000007E-2</v>
      </c>
    </row>
    <row r="96" spans="1:4">
      <c r="A96" s="120">
        <v>540</v>
      </c>
      <c r="B96" s="127">
        <f>F71</f>
        <v>36.74</v>
      </c>
      <c r="C96" s="122">
        <f>B100-B96</f>
        <v>1.3200000000000003</v>
      </c>
      <c r="D96" s="122">
        <f>C96/4</f>
        <v>0.33000000000000007</v>
      </c>
    </row>
    <row r="97" spans="1:4">
      <c r="A97" s="120">
        <v>555</v>
      </c>
      <c r="B97" s="124">
        <f>B96+D97</f>
        <v>36.93</v>
      </c>
      <c r="D97" s="6">
        <v>0.19</v>
      </c>
    </row>
    <row r="98" spans="1:4">
      <c r="A98" s="120">
        <v>570</v>
      </c>
      <c r="B98" s="124">
        <f>B97+D98</f>
        <v>37.089999999999996</v>
      </c>
      <c r="D98" s="6">
        <v>0.16</v>
      </c>
    </row>
    <row r="99" spans="1:4">
      <c r="A99" s="120">
        <v>585</v>
      </c>
      <c r="B99" s="124">
        <f>B98+D99</f>
        <v>37.229999999999997</v>
      </c>
      <c r="D99" s="6">
        <v>0.14000000000000001</v>
      </c>
    </row>
    <row r="100" spans="1:4">
      <c r="A100" s="121">
        <v>600</v>
      </c>
      <c r="B100" s="64">
        <f>F72</f>
        <v>38.06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K63" sqref="K6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05" customFormat="1">
      <c r="A1" s="4"/>
      <c r="B1" s="4"/>
      <c r="C1" s="4"/>
      <c r="D1" s="4"/>
      <c r="E1" s="3">
        <f>SUM(E3:E6)</f>
        <v>45.620833333333337</v>
      </c>
      <c r="F1" s="3"/>
      <c r="G1" s="3">
        <f>E1/E2</f>
        <v>0.85539062500000007</v>
      </c>
    </row>
    <row r="2" spans="1:15" s="205" customFormat="1">
      <c r="A2" s="497" t="s">
        <v>0</v>
      </c>
      <c r="B2" s="497" t="s">
        <v>240</v>
      </c>
      <c r="C2" s="4"/>
      <c r="D2" s="209">
        <f>D19</f>
        <v>87</v>
      </c>
      <c r="E2" s="3">
        <f>M51/3</f>
        <v>53.333333333333336</v>
      </c>
      <c r="F2" s="498" t="s">
        <v>2</v>
      </c>
      <c r="G2" s="497" t="s">
        <v>3</v>
      </c>
    </row>
    <row r="3" spans="1:15" s="205" customFormat="1">
      <c r="A3" s="210">
        <f>B3+$M$48</f>
        <v>24.07</v>
      </c>
      <c r="B3" s="268">
        <f>B20</f>
        <v>13.77</v>
      </c>
      <c r="C3" s="211"/>
      <c r="D3" s="269">
        <f t="shared" ref="D3:D7" si="0">D20</f>
        <v>97</v>
      </c>
      <c r="E3" s="4">
        <f>D3/12</f>
        <v>8.0833333333333339</v>
      </c>
      <c r="F3" s="212">
        <f>INT(B3/D3*1000)/1000</f>
        <v>0.14099999999999999</v>
      </c>
      <c r="G3" s="212">
        <f>1/F3</f>
        <v>7.0921985815602842</v>
      </c>
    </row>
    <row r="4" spans="1:15" s="205" customFormat="1">
      <c r="A4" s="210">
        <f>B4+$M$48</f>
        <v>28.66</v>
      </c>
      <c r="B4" s="211">
        <f>B21</f>
        <v>18.36</v>
      </c>
      <c r="C4" s="211"/>
      <c r="D4" s="209">
        <f t="shared" si="0"/>
        <v>123</v>
      </c>
      <c r="E4" s="4">
        <f>D4/12</f>
        <v>10.25</v>
      </c>
      <c r="F4" s="212">
        <f>INT(B4/D4*1000)/1000</f>
        <v>0.14899999999999999</v>
      </c>
      <c r="G4" s="212">
        <f t="shared" ref="G4:G7" si="1">1/F4</f>
        <v>6.7114093959731544</v>
      </c>
    </row>
    <row r="5" spans="1:15" s="205" customFormat="1">
      <c r="A5" s="210">
        <f>B5+$M$48</f>
        <v>33.82</v>
      </c>
      <c r="B5" s="211">
        <f>B22</f>
        <v>23.52</v>
      </c>
      <c r="C5" s="211"/>
      <c r="D5" s="209">
        <f t="shared" si="0"/>
        <v>150.44999999999999</v>
      </c>
      <c r="E5" s="4">
        <f>D5/12</f>
        <v>12.5375</v>
      </c>
      <c r="F5" s="212">
        <f>INT(B5/D5*1000)/1000</f>
        <v>0.156</v>
      </c>
      <c r="G5" s="212">
        <f t="shared" si="1"/>
        <v>6.4102564102564106</v>
      </c>
    </row>
    <row r="6" spans="1:15" s="205" customFormat="1">
      <c r="A6" s="210">
        <f>B6+$M$48</f>
        <v>39.58</v>
      </c>
      <c r="B6" s="268">
        <f>B23</f>
        <v>29.28</v>
      </c>
      <c r="C6" s="211"/>
      <c r="D6" s="209">
        <f>D23</f>
        <v>177</v>
      </c>
      <c r="E6" s="4">
        <f>D6/12</f>
        <v>14.75</v>
      </c>
      <c r="F6" s="212">
        <f>INT(B6/D6*1000)/1000</f>
        <v>0.16500000000000001</v>
      </c>
      <c r="G6" s="212">
        <f t="shared" si="1"/>
        <v>6.0606060606060606</v>
      </c>
    </row>
    <row r="7" spans="1:15" s="205" customFormat="1">
      <c r="A7" s="210">
        <f>B7+$M$48</f>
        <v>48.36</v>
      </c>
      <c r="B7" s="211">
        <f>B24</f>
        <v>38.06</v>
      </c>
      <c r="C7" s="211"/>
      <c r="D7" s="209">
        <f t="shared" si="0"/>
        <v>203.54999999999998</v>
      </c>
      <c r="E7" s="4">
        <f>D7/12</f>
        <v>16.962499999999999</v>
      </c>
      <c r="F7" s="212">
        <f>INT(B7/D7*1000)/1000</f>
        <v>0.186</v>
      </c>
      <c r="G7" s="212">
        <f t="shared" si="1"/>
        <v>5.376344086021505</v>
      </c>
    </row>
    <row r="8" spans="1:15" s="205" customFormat="1">
      <c r="A8" s="4"/>
      <c r="B8" s="4" t="s">
        <v>4</v>
      </c>
      <c r="C8" s="4"/>
      <c r="D8" s="4"/>
      <c r="E8" s="416" t="s">
        <v>5</v>
      </c>
      <c r="F8" s="416"/>
      <c r="G8" s="416"/>
    </row>
    <row r="9" spans="1:15" s="205" customFormat="1">
      <c r="A9" s="497" t="s">
        <v>6</v>
      </c>
      <c r="B9" s="497" t="s">
        <v>2</v>
      </c>
      <c r="C9" s="4"/>
      <c r="D9" s="4"/>
      <c r="E9" s="254">
        <v>0.98</v>
      </c>
      <c r="F9" s="415" t="s">
        <v>7</v>
      </c>
      <c r="G9" s="415"/>
    </row>
    <row r="10" spans="1:15" s="205" customFormat="1">
      <c r="A10" s="213">
        <f>D20/B20</f>
        <v>7.0442992011619463</v>
      </c>
      <c r="B10" s="213">
        <f>B20/D20</f>
        <v>0.14195876288659792</v>
      </c>
      <c r="C10" s="4"/>
      <c r="D10" s="4"/>
      <c r="E10" s="254">
        <v>0.98</v>
      </c>
      <c r="F10" s="415" t="s">
        <v>8</v>
      </c>
      <c r="G10" s="415"/>
    </row>
    <row r="11" spans="1:15" s="205" customFormat="1">
      <c r="A11" s="213">
        <f t="shared" ref="A11:A14" si="2">D21/B21</f>
        <v>6.6993464052287583</v>
      </c>
      <c r="B11" s="213">
        <f t="shared" ref="B11:B14" si="3">B21/D21</f>
        <v>0.14926829268292682</v>
      </c>
      <c r="C11" s="4"/>
      <c r="D11" s="4" t="s">
        <v>4</v>
      </c>
      <c r="E11" s="254">
        <v>0.98</v>
      </c>
      <c r="F11" s="415" t="s">
        <v>9</v>
      </c>
      <c r="G11" s="415"/>
    </row>
    <row r="12" spans="1:15" s="205" customFormat="1">
      <c r="A12" s="213">
        <f t="shared" si="2"/>
        <v>6.3966836734693873</v>
      </c>
      <c r="B12" s="213">
        <f t="shared" si="3"/>
        <v>0.15633100697906283</v>
      </c>
      <c r="C12" s="4"/>
      <c r="D12" s="4"/>
      <c r="E12" s="254">
        <v>1</v>
      </c>
      <c r="F12" s="415" t="s">
        <v>10</v>
      </c>
      <c r="G12" s="415"/>
    </row>
    <row r="13" spans="1:15" s="205" customFormat="1">
      <c r="A13" s="213">
        <f t="shared" si="2"/>
        <v>6.0450819672131146</v>
      </c>
      <c r="B13" s="213">
        <f t="shared" si="3"/>
        <v>0.16542372881355932</v>
      </c>
      <c r="C13" s="4"/>
      <c r="D13" s="4" t="s">
        <v>4</v>
      </c>
      <c r="E13" s="416" t="s">
        <v>11</v>
      </c>
      <c r="F13" s="416"/>
      <c r="G13" s="416"/>
    </row>
    <row r="14" spans="1:15" s="205" customFormat="1">
      <c r="A14" s="213">
        <f t="shared" si="2"/>
        <v>5.3481345244351015</v>
      </c>
      <c r="B14" s="213">
        <f t="shared" si="3"/>
        <v>0.18698108572832231</v>
      </c>
      <c r="C14" s="4"/>
      <c r="D14" s="4"/>
      <c r="E14" s="254">
        <v>1</v>
      </c>
      <c r="F14" s="415" t="s">
        <v>7</v>
      </c>
      <c r="G14" s="415"/>
    </row>
    <row r="15" spans="1:15" s="205" customFormat="1">
      <c r="A15" s="4"/>
      <c r="B15" s="4"/>
      <c r="C15" s="4"/>
      <c r="D15" s="4"/>
      <c r="E15" s="254">
        <v>1</v>
      </c>
      <c r="F15" s="415" t="s">
        <v>8</v>
      </c>
      <c r="G15" s="415"/>
    </row>
    <row r="16" spans="1:15" s="205" customFormat="1">
      <c r="A16" s="4"/>
      <c r="B16" s="499" t="s">
        <v>12</v>
      </c>
      <c r="C16" s="4"/>
      <c r="D16" s="499" t="s">
        <v>13</v>
      </c>
      <c r="E16" s="490">
        <v>1</v>
      </c>
      <c r="F16" s="415" t="s">
        <v>9</v>
      </c>
      <c r="G16" s="415"/>
      <c r="O16" s="249">
        <v>45024</v>
      </c>
    </row>
    <row r="17" spans="1:21" s="205" customFormat="1">
      <c r="A17" s="4"/>
      <c r="B17" s="500">
        <f>M52</f>
        <v>29.28</v>
      </c>
      <c r="C17" s="4"/>
      <c r="D17" s="501">
        <f>M47</f>
        <v>177</v>
      </c>
      <c r="E17" s="490">
        <v>1</v>
      </c>
      <c r="F17" s="415" t="s">
        <v>10</v>
      </c>
      <c r="G17" s="415"/>
      <c r="P17" s="5"/>
      <c r="Q17" s="214"/>
      <c r="S17" s="215"/>
    </row>
    <row r="18" spans="1:21" s="205" customFormat="1" ht="14.25" thickBot="1">
      <c r="A18" s="4"/>
      <c r="B18" s="4"/>
      <c r="C18" s="4"/>
      <c r="D18" s="4"/>
      <c r="E18" s="4"/>
      <c r="F18" s="211"/>
      <c r="G18" s="211"/>
      <c r="P18" s="5"/>
    </row>
    <row r="19" spans="1:21" s="205" customFormat="1" ht="14.25" thickBot="1">
      <c r="A19" s="4"/>
      <c r="B19" s="211"/>
      <c r="C19" s="211"/>
      <c r="D19" s="482">
        <f>INT(D20*0.9)</f>
        <v>87</v>
      </c>
      <c r="E19" s="483"/>
      <c r="F19" s="211"/>
      <c r="G19" s="211"/>
    </row>
    <row r="20" spans="1:21" s="205" customFormat="1">
      <c r="A20" s="496" t="s">
        <v>246</v>
      </c>
      <c r="B20" s="503">
        <f>INT(B$17*C20*100)/100</f>
        <v>13.77</v>
      </c>
      <c r="C20" s="4">
        <f>0.48*E9</f>
        <v>0.47039999999999998</v>
      </c>
      <c r="D20" s="484">
        <f>INT(D$17*E20)</f>
        <v>97</v>
      </c>
      <c r="E20" s="485">
        <f>0.55*E14</f>
        <v>0.55000000000000004</v>
      </c>
      <c r="F20" s="212">
        <f>B20/D20</f>
        <v>0.14195876288659792</v>
      </c>
      <c r="G20" s="4">
        <f>F20-F19</f>
        <v>0.14195876288659792</v>
      </c>
    </row>
    <row r="21" spans="1:21" s="205" customFormat="1" ht="16.5">
      <c r="A21" s="491">
        <f>B21-B20</f>
        <v>4.59</v>
      </c>
      <c r="B21" s="492">
        <f>INT(B$17*C21*100)/100</f>
        <v>18.36</v>
      </c>
      <c r="C21" s="4">
        <f>0.64*E10</f>
        <v>0.62719999999999998</v>
      </c>
      <c r="D21" s="484">
        <f>INT(D$17*E21)</f>
        <v>123</v>
      </c>
      <c r="E21" s="485">
        <f>0.7*E15</f>
        <v>0.7</v>
      </c>
      <c r="F21" s="212">
        <f>B21/D21</f>
        <v>0.14926829268292682</v>
      </c>
      <c r="G21" s="4">
        <f>F21-F20</f>
        <v>7.3095297963289008E-3</v>
      </c>
      <c r="O21" s="216"/>
      <c r="P21" s="216"/>
      <c r="Q21" s="216"/>
      <c r="R21" s="216"/>
      <c r="S21" s="216"/>
      <c r="T21" s="216"/>
    </row>
    <row r="22" spans="1:21" s="205" customFormat="1">
      <c r="A22" s="491">
        <f>B22-B21</f>
        <v>5.16</v>
      </c>
      <c r="B22" s="492">
        <f>INT(B$17*C22*100)/100</f>
        <v>23.52</v>
      </c>
      <c r="C22" s="4">
        <f>0.82*E11</f>
        <v>0.80359999999999998</v>
      </c>
      <c r="D22" s="486">
        <f>(D$17*E22)</f>
        <v>150.44999999999999</v>
      </c>
      <c r="E22" s="485">
        <f>0.85*E16</f>
        <v>0.85</v>
      </c>
      <c r="F22" s="212">
        <f>B22/D22</f>
        <v>0.15633100697906283</v>
      </c>
      <c r="G22" s="4">
        <f>F22-F21</f>
        <v>7.0627142961360023E-3</v>
      </c>
    </row>
    <row r="23" spans="1:21" s="205" customFormat="1">
      <c r="A23" s="491">
        <f>B23-B22</f>
        <v>5.7600000000000016</v>
      </c>
      <c r="B23" s="502">
        <f>INT(B$17*C23*100)/100</f>
        <v>29.28</v>
      </c>
      <c r="C23" s="4">
        <v>1</v>
      </c>
      <c r="D23" s="484">
        <f>D$17*E23</f>
        <v>177</v>
      </c>
      <c r="E23" s="487">
        <v>1</v>
      </c>
      <c r="F23" s="212">
        <f>B23/D23</f>
        <v>0.16542372881355932</v>
      </c>
      <c r="G23" s="4">
        <f>F23-F22</f>
        <v>9.0927218344964977E-3</v>
      </c>
      <c r="O23" s="217"/>
      <c r="Q23" s="217"/>
      <c r="S23" s="217"/>
      <c r="U23" s="217"/>
    </row>
    <row r="24" spans="1:21" s="205" customFormat="1" ht="14.25" thickBot="1">
      <c r="A24" s="493">
        <f>B24-B23</f>
        <v>8.7800000000000011</v>
      </c>
      <c r="B24" s="494">
        <f>INT(B$17*C24*100)/100</f>
        <v>38.06</v>
      </c>
      <c r="C24" s="4">
        <f>1.3*E12</f>
        <v>1.3</v>
      </c>
      <c r="D24" s="488">
        <f>D$17*E24</f>
        <v>203.54999999999998</v>
      </c>
      <c r="E24" s="489">
        <f>1.15*E17</f>
        <v>1.1499999999999999</v>
      </c>
      <c r="F24" s="212"/>
      <c r="G24" s="211"/>
      <c r="O24" s="217"/>
      <c r="Q24" s="217"/>
      <c r="S24" s="217"/>
      <c r="U24" s="217"/>
    </row>
    <row r="25" spans="1:21" s="205" customFormat="1">
      <c r="A25" s="4"/>
      <c r="B25" s="4"/>
      <c r="C25" s="4"/>
      <c r="D25" s="481"/>
      <c r="E25" s="4"/>
      <c r="F25" s="212">
        <f>B24/D24</f>
        <v>0.18698108572832231</v>
      </c>
      <c r="G25" s="211"/>
      <c r="O25" s="217"/>
      <c r="Q25" s="217"/>
      <c r="S25" s="217"/>
      <c r="U25" s="217"/>
    </row>
    <row r="26" spans="1:21" s="205" customFormat="1">
      <c r="A26" s="417" t="s">
        <v>14</v>
      </c>
      <c r="B26" s="417"/>
      <c r="C26" s="218">
        <f>INT(M51*1)</f>
        <v>160</v>
      </c>
      <c r="D26" s="4"/>
      <c r="E26" s="4"/>
      <c r="F26" s="219">
        <f>M50/M51</f>
        <v>0.20562500000000003</v>
      </c>
      <c r="G26" s="4"/>
      <c r="O26" s="217"/>
      <c r="Q26" s="217"/>
      <c r="S26" s="217"/>
      <c r="U26" s="217"/>
    </row>
    <row r="27" spans="1:21" s="205" customFormat="1">
      <c r="A27" s="417" t="s">
        <v>15</v>
      </c>
      <c r="B27" s="417"/>
      <c r="C27" s="220">
        <f>SafeYield!B7</f>
        <v>160.39709154225162</v>
      </c>
      <c r="D27" s="211">
        <f>(C27/D6)*100</f>
        <v>90.619825730085651</v>
      </c>
      <c r="E27" s="4"/>
      <c r="F27" s="4"/>
      <c r="G27" s="4"/>
      <c r="O27" s="217"/>
      <c r="Q27" s="217"/>
      <c r="S27" s="217"/>
      <c r="U27" s="217"/>
    </row>
    <row r="28" spans="1:21" s="205" customFormat="1">
      <c r="A28" s="4"/>
      <c r="B28" s="4"/>
      <c r="C28" s="4"/>
      <c r="D28" s="4"/>
      <c r="E28" s="4"/>
      <c r="F28" s="4"/>
      <c r="G28" s="4"/>
      <c r="O28" s="217"/>
      <c r="Q28" s="217"/>
      <c r="S28" s="217"/>
      <c r="U28" s="217"/>
    </row>
    <row r="29" spans="1:21" s="205" customFormat="1" ht="13.5" customHeight="1">
      <c r="A29" s="4"/>
      <c r="B29" s="4"/>
      <c r="C29" s="4"/>
      <c r="D29" s="4"/>
      <c r="E29" s="4"/>
      <c r="F29" s="4"/>
      <c r="G29" s="4"/>
      <c r="O29" s="217"/>
      <c r="Q29" s="217"/>
      <c r="S29" s="217"/>
      <c r="U29" s="217"/>
    </row>
    <row r="30" spans="1:21" s="205" customFormat="1" ht="13.5" customHeight="1">
      <c r="A30" s="495" t="s">
        <v>16</v>
      </c>
      <c r="B30" s="495" t="s">
        <v>17</v>
      </c>
      <c r="C30" s="4"/>
      <c r="D30" s="4"/>
      <c r="E30" s="221">
        <f>ROUNDUP(F32,-1)</f>
        <v>90</v>
      </c>
      <c r="F30" s="221">
        <f>ROUNDDOWN(F35,-1)</f>
        <v>60</v>
      </c>
      <c r="G30" s="4"/>
      <c r="O30" s="217"/>
      <c r="Q30" s="217"/>
      <c r="S30" s="217"/>
      <c r="U30" s="217"/>
    </row>
    <row r="31" spans="1:21" s="205" customFormat="1" ht="13.5" customHeight="1">
      <c r="A31" s="254">
        <v>2.8959999999999999E-4</v>
      </c>
      <c r="B31" s="254">
        <v>0.1136127</v>
      </c>
      <c r="C31" s="4"/>
      <c r="D31" s="209">
        <f t="shared" ref="D31:D36" si="4">D19</f>
        <v>87</v>
      </c>
      <c r="E31" s="4"/>
      <c r="F31" s="221"/>
      <c r="G31" s="221"/>
      <c r="O31" s="217"/>
      <c r="Q31" s="217"/>
      <c r="S31" s="217"/>
      <c r="U31" s="217"/>
    </row>
    <row r="32" spans="1:21" s="205" customFormat="1" ht="13.5" customHeight="1">
      <c r="A32" s="4">
        <f t="shared" ref="A32:B34" si="5">A31</f>
        <v>2.8959999999999999E-4</v>
      </c>
      <c r="B32" s="4">
        <f t="shared" si="5"/>
        <v>0.1136127</v>
      </c>
      <c r="C32" s="4"/>
      <c r="D32" s="209">
        <f t="shared" si="4"/>
        <v>97</v>
      </c>
      <c r="E32" s="4"/>
      <c r="F32" s="221">
        <f>B32*D32/(B32*D32+A32*D32*D32)*100</f>
        <v>80.176127827109909</v>
      </c>
      <c r="G32" s="221"/>
      <c r="O32" s="217"/>
      <c r="Q32" s="217"/>
      <c r="S32" s="217"/>
      <c r="U32" s="217"/>
    </row>
    <row r="33" spans="1:21" s="205" customFormat="1" ht="13.5" customHeight="1">
      <c r="A33" s="4">
        <f t="shared" si="5"/>
        <v>2.8959999999999999E-4</v>
      </c>
      <c r="B33" s="4">
        <f t="shared" si="5"/>
        <v>0.1136127</v>
      </c>
      <c r="C33" s="4"/>
      <c r="D33" s="209">
        <f t="shared" si="4"/>
        <v>123</v>
      </c>
      <c r="E33" s="4"/>
      <c r="F33" s="221">
        <f>B33*D33/(B33*D33+A33*D33*D33)*100</f>
        <v>76.130828533807758</v>
      </c>
      <c r="G33" s="221"/>
      <c r="N33" s="216"/>
      <c r="O33" s="222"/>
      <c r="P33" s="223"/>
      <c r="Q33" s="222"/>
      <c r="R33" s="223"/>
      <c r="S33" s="222"/>
      <c r="T33" s="223"/>
      <c r="U33" s="222"/>
    </row>
    <row r="34" spans="1:21" s="205" customFormat="1" ht="13.5" customHeight="1">
      <c r="A34" s="4">
        <f t="shared" si="5"/>
        <v>2.8959999999999999E-4</v>
      </c>
      <c r="B34" s="4">
        <f t="shared" si="5"/>
        <v>0.1136127</v>
      </c>
      <c r="C34" s="4"/>
      <c r="D34" s="209">
        <f t="shared" si="4"/>
        <v>150.44999999999999</v>
      </c>
      <c r="E34" s="4"/>
      <c r="F34" s="221">
        <f>B34*D34/(B34*D34+A34*D34*D34)*100</f>
        <v>72.280517323054355</v>
      </c>
      <c r="G34" s="221"/>
      <c r="N34" s="216"/>
      <c r="O34" s="222"/>
      <c r="P34" s="224"/>
      <c r="Q34" s="222"/>
      <c r="R34" s="224"/>
      <c r="S34" s="222"/>
      <c r="T34" s="224"/>
      <c r="U34" s="222"/>
    </row>
    <row r="35" spans="1:21" s="205" customFormat="1" ht="13.5" customHeight="1">
      <c r="A35" s="4">
        <f>A34</f>
        <v>2.8959999999999999E-4</v>
      </c>
      <c r="B35" s="4">
        <f>B34</f>
        <v>0.1136127</v>
      </c>
      <c r="C35" s="4"/>
      <c r="D35" s="209">
        <f t="shared" si="4"/>
        <v>177</v>
      </c>
      <c r="E35" s="4"/>
      <c r="F35" s="221">
        <f>B35*D35/(B35*D35+A35*D35*D35)*100</f>
        <v>68.909680788539461</v>
      </c>
      <c r="G35" s="221"/>
      <c r="N35" s="216"/>
    </row>
    <row r="36" spans="1:21" s="205" customFormat="1" ht="13.5" customHeight="1">
      <c r="A36" s="4"/>
      <c r="B36" s="4"/>
      <c r="C36" s="4"/>
      <c r="D36" s="209">
        <f t="shared" si="4"/>
        <v>203.54999999999998</v>
      </c>
      <c r="E36" s="4"/>
      <c r="F36" s="221"/>
      <c r="G36" s="221"/>
      <c r="N36" s="216"/>
    </row>
    <row r="37" spans="1:21" s="205" customFormat="1" ht="13.5" customHeight="1">
      <c r="A37" s="495" t="s">
        <v>18</v>
      </c>
      <c r="B37" s="495" t="s">
        <v>19</v>
      </c>
      <c r="C37" s="495" t="s">
        <v>20</v>
      </c>
      <c r="D37" s="4" t="s">
        <v>21</v>
      </c>
      <c r="E37" s="4" t="s">
        <v>21</v>
      </c>
      <c r="F37" s="221">
        <f>AVERAGE(F32:F35)</f>
        <v>74.374288618127864</v>
      </c>
      <c r="G37" s="4"/>
      <c r="P37" s="246">
        <v>2.8959999999999999E-4</v>
      </c>
      <c r="Q37" s="246">
        <v>0.14099999999999999</v>
      </c>
    </row>
    <row r="38" spans="1:21" s="205" customFormat="1" ht="13.5" customHeight="1">
      <c r="A38" s="255">
        <v>71.076999999999998</v>
      </c>
      <c r="B38" s="254">
        <v>0.14099999999999999</v>
      </c>
      <c r="C38" s="254">
        <v>93.637</v>
      </c>
      <c r="D38" s="4"/>
      <c r="E38" s="4" t="s">
        <v>21</v>
      </c>
      <c r="F38" s="4"/>
      <c r="G38" s="4"/>
      <c r="P38" s="246">
        <v>0.1136127</v>
      </c>
      <c r="Q38" s="246">
        <v>93.637</v>
      </c>
    </row>
    <row r="39" spans="1:21" s="205" customFormat="1" ht="13.5" customHeight="1">
      <c r="A39" s="206"/>
      <c r="B39" s="4" t="s">
        <v>22</v>
      </c>
      <c r="C39" s="211">
        <f>(C38-A38)/B38</f>
        <v>160.00000000000003</v>
      </c>
      <c r="D39" s="4">
        <f>C38-B38*M51</f>
        <v>71.076999999999998</v>
      </c>
      <c r="E39" s="4"/>
      <c r="F39" s="4"/>
      <c r="G39" s="4"/>
    </row>
    <row r="40" spans="1:21" s="205" customFormat="1" ht="13.5" customHeight="1">
      <c r="A40" s="206" t="s">
        <v>23</v>
      </c>
      <c r="B40" s="4" t="s">
        <v>22</v>
      </c>
      <c r="C40" s="480">
        <f>INT(C39)</f>
        <v>160</v>
      </c>
      <c r="D40" s="4"/>
      <c r="E40" s="4"/>
      <c r="F40" s="4"/>
      <c r="G40" s="4"/>
    </row>
    <row r="41" spans="1:21" s="205" customFormat="1" ht="13.5" customHeight="1" thickBot="1">
      <c r="A41" s="4"/>
      <c r="B41" s="4"/>
      <c r="C41" s="4"/>
      <c r="D41" s="4"/>
      <c r="E41" s="4"/>
      <c r="F41" s="4"/>
      <c r="G41" s="4"/>
    </row>
    <row r="42" spans="1:21" s="205" customFormat="1" ht="17.25" customHeight="1" thickBot="1">
      <c r="A42" s="504" t="s">
        <v>24</v>
      </c>
      <c r="B42" s="505"/>
      <c r="C42" s="4"/>
      <c r="D42" s="4"/>
      <c r="E42" s="4"/>
      <c r="F42" s="4"/>
      <c r="G42" s="4"/>
    </row>
    <row r="43" spans="1:21" s="205" customFormat="1" ht="21" customHeight="1" thickBot="1">
      <c r="A43" s="506" t="s">
        <v>25</v>
      </c>
      <c r="B43" s="507">
        <f>INT(SQRT((2.25*A44*A47)/(A45*10^(5.46*A44*A46)))*1000)/1000</f>
        <v>1.716</v>
      </c>
      <c r="C43" s="478" t="s">
        <v>26</v>
      </c>
      <c r="D43" s="4"/>
      <c r="E43" s="4"/>
      <c r="F43" s="4"/>
      <c r="G43" s="4"/>
      <c r="Q43" s="260" t="s">
        <v>27</v>
      </c>
      <c r="R43" s="261" t="s">
        <v>0</v>
      </c>
      <c r="S43" s="261" t="s">
        <v>1</v>
      </c>
      <c r="T43" s="261" t="s">
        <v>3</v>
      </c>
      <c r="U43" s="262" t="s">
        <v>2</v>
      </c>
    </row>
    <row r="44" spans="1:21" s="205" customFormat="1" ht="16.5">
      <c r="A44" s="508">
        <f>B58</f>
        <v>4.4359999999999999</v>
      </c>
      <c r="B44" s="509" t="s">
        <v>28</v>
      </c>
      <c r="C44" s="378"/>
      <c r="D44" s="378"/>
      <c r="E44" s="4"/>
      <c r="F44" s="4"/>
      <c r="G44" s="4"/>
      <c r="H44" s="515" t="s">
        <v>29</v>
      </c>
      <c r="I44" s="516" t="s">
        <v>255</v>
      </c>
      <c r="J44" s="517"/>
      <c r="K44" s="518"/>
      <c r="L44" s="519" t="s">
        <v>30</v>
      </c>
      <c r="M44" s="520">
        <v>250</v>
      </c>
      <c r="N44" s="532" t="s">
        <v>31</v>
      </c>
      <c r="Q44" s="382">
        <v>100</v>
      </c>
      <c r="R44" s="226">
        <v>24.07</v>
      </c>
      <c r="S44" s="226">
        <v>13.77</v>
      </c>
      <c r="T44" s="227">
        <v>7.2990000000000004</v>
      </c>
      <c r="U44" s="263">
        <v>0.13700000000000001</v>
      </c>
    </row>
    <row r="45" spans="1:21" s="205" customFormat="1" ht="17.25" thickBot="1">
      <c r="A45" s="510">
        <v>5.0000000000000001E-4</v>
      </c>
      <c r="B45" s="511" t="s">
        <v>32</v>
      </c>
      <c r="C45" s="378"/>
      <c r="D45" s="378"/>
      <c r="E45" s="4"/>
      <c r="F45" s="4"/>
      <c r="G45" s="4"/>
      <c r="H45" s="521" t="s">
        <v>33</v>
      </c>
      <c r="I45" s="426" t="s">
        <v>256</v>
      </c>
      <c r="J45" s="427"/>
      <c r="K45" s="428"/>
      <c r="L45" s="250" t="s">
        <v>34</v>
      </c>
      <c r="M45" s="522">
        <v>100</v>
      </c>
      <c r="N45" s="533">
        <f>M44</f>
        <v>250</v>
      </c>
      <c r="Q45" s="382">
        <v>128</v>
      </c>
      <c r="R45" s="226">
        <v>28.66</v>
      </c>
      <c r="S45" s="226">
        <v>18.36</v>
      </c>
      <c r="T45" s="227">
        <v>6.9930000000000003</v>
      </c>
      <c r="U45" s="263">
        <v>0.14299999999999999</v>
      </c>
    </row>
    <row r="46" spans="1:21" s="205" customFormat="1" ht="16.5">
      <c r="A46" s="512">
        <f>B34</f>
        <v>0.1136127</v>
      </c>
      <c r="B46" s="511" t="s">
        <v>35</v>
      </c>
      <c r="C46" s="479" t="s">
        <v>36</v>
      </c>
      <c r="D46" s="479"/>
      <c r="E46" s="4"/>
      <c r="F46" s="4"/>
      <c r="G46" s="4"/>
      <c r="H46" s="521" t="s">
        <v>37</v>
      </c>
      <c r="I46" s="418" t="s">
        <v>254</v>
      </c>
      <c r="J46" s="419"/>
      <c r="K46" s="420"/>
      <c r="L46" s="250" t="s">
        <v>38</v>
      </c>
      <c r="M46" s="523">
        <f>IF(I52&gt;M48, M45-I52,M45-M48)</f>
        <v>75</v>
      </c>
      <c r="N46" s="12"/>
      <c r="Q46" s="382">
        <v>156</v>
      </c>
      <c r="R46" s="226">
        <v>33.82</v>
      </c>
      <c r="S46" s="226">
        <v>23.52</v>
      </c>
      <c r="T46" s="227">
        <v>6.6230000000000002</v>
      </c>
      <c r="U46" s="263">
        <v>0.151</v>
      </c>
    </row>
    <row r="47" spans="1:21" s="205" customFormat="1" ht="17.25" thickBot="1">
      <c r="A47" s="513">
        <f>120/1440</f>
        <v>8.3333333333333329E-2</v>
      </c>
      <c r="B47" s="514" t="s">
        <v>39</v>
      </c>
      <c r="C47" s="479" t="s">
        <v>40</v>
      </c>
      <c r="D47" s="479"/>
      <c r="E47" s="4"/>
      <c r="F47" s="4"/>
      <c r="G47" s="4"/>
      <c r="H47" s="521" t="s">
        <v>41</v>
      </c>
      <c r="I47" s="429" t="s">
        <v>219</v>
      </c>
      <c r="J47" s="430"/>
      <c r="K47" s="431"/>
      <c r="L47" s="250" t="s">
        <v>42</v>
      </c>
      <c r="M47" s="524">
        <f>INT((M51*100)/M53)</f>
        <v>177</v>
      </c>
      <c r="N47" s="12"/>
      <c r="Q47" s="382">
        <v>183</v>
      </c>
      <c r="R47" s="226">
        <v>39.58</v>
      </c>
      <c r="S47" s="226">
        <v>29.28</v>
      </c>
      <c r="T47" s="227">
        <v>6.25</v>
      </c>
      <c r="U47" s="263">
        <v>0.16</v>
      </c>
    </row>
    <row r="48" spans="1:21" s="205" customFormat="1" ht="17.25" thickBot="1">
      <c r="A48" s="4"/>
      <c r="B48" s="378"/>
      <c r="C48" s="378"/>
      <c r="D48" s="378"/>
      <c r="E48" s="4"/>
      <c r="F48" s="4"/>
      <c r="G48" s="4"/>
      <c r="H48" s="521" t="s">
        <v>43</v>
      </c>
      <c r="I48" s="259">
        <v>5</v>
      </c>
      <c r="J48" s="421" t="s">
        <v>220</v>
      </c>
      <c r="K48" s="421"/>
      <c r="L48" s="250" t="s">
        <v>44</v>
      </c>
      <c r="M48" s="525">
        <v>10.3</v>
      </c>
      <c r="N48" s="12"/>
      <c r="Q48" s="383">
        <v>210</v>
      </c>
      <c r="R48" s="264">
        <v>48.36</v>
      </c>
      <c r="S48" s="264">
        <v>38.06</v>
      </c>
      <c r="T48" s="265">
        <v>5.556</v>
      </c>
      <c r="U48" s="266">
        <v>0.18</v>
      </c>
    </row>
    <row r="49" spans="1:24" s="205" customFormat="1" ht="16.5">
      <c r="A49" s="4" t="s">
        <v>45</v>
      </c>
      <c r="B49" s="379">
        <f>INT(SQRT(B54)*1000)/1000</f>
        <v>1.7190000000000001</v>
      </c>
      <c r="C49" s="377" t="s">
        <v>46</v>
      </c>
      <c r="D49" s="380" t="s">
        <v>21</v>
      </c>
      <c r="E49" s="4"/>
      <c r="F49" s="4"/>
      <c r="G49" s="4"/>
      <c r="H49" s="521" t="s">
        <v>47</v>
      </c>
      <c r="I49" s="422" t="str">
        <f>I45</f>
        <v>오포지구</v>
      </c>
      <c r="J49" s="422"/>
      <c r="K49" s="422"/>
      <c r="L49" s="250" t="s">
        <v>48</v>
      </c>
      <c r="M49" s="525">
        <v>43.2</v>
      </c>
      <c r="N49" s="12"/>
    </row>
    <row r="50" spans="1:24" s="205" customFormat="1" ht="16.5">
      <c r="A50" s="4" t="s">
        <v>49</v>
      </c>
      <c r="B50" s="377">
        <f>INT(2.25*A44*A47*1000)/1000</f>
        <v>0.83099999999999996</v>
      </c>
      <c r="C50" s="377">
        <f>B50</f>
        <v>0.83099999999999996</v>
      </c>
      <c r="D50" s="378"/>
      <c r="E50" s="4"/>
      <c r="F50" s="4"/>
      <c r="G50" s="4"/>
      <c r="H50" s="521"/>
      <c r="I50" s="422"/>
      <c r="J50" s="422"/>
      <c r="K50" s="422"/>
      <c r="L50" s="250" t="s">
        <v>50</v>
      </c>
      <c r="M50" s="526">
        <f>M49-M48</f>
        <v>32.900000000000006</v>
      </c>
      <c r="N50" s="12"/>
    </row>
    <row r="51" spans="1:24" s="205" customFormat="1" ht="16.5">
      <c r="A51" s="4" t="s">
        <v>51</v>
      </c>
      <c r="B51" s="377">
        <f>A45</f>
        <v>5.0000000000000001E-4</v>
      </c>
      <c r="C51" s="377" t="s">
        <v>35</v>
      </c>
      <c r="D51" s="381" t="s">
        <v>21</v>
      </c>
      <c r="E51" s="4"/>
      <c r="F51" s="4"/>
      <c r="G51" s="4"/>
      <c r="H51" s="521"/>
      <c r="I51" s="423" t="s">
        <v>52</v>
      </c>
      <c r="J51" s="424"/>
      <c r="K51" s="425"/>
      <c r="L51" s="207" t="s">
        <v>53</v>
      </c>
      <c r="M51" s="527">
        <v>160</v>
      </c>
      <c r="N51" s="12"/>
      <c r="O51" s="205">
        <f>M51</f>
        <v>160</v>
      </c>
      <c r="P51" s="204">
        <f>ROUND((O51/O52)*100,1)</f>
        <v>177.8</v>
      </c>
    </row>
    <row r="52" spans="1:24" s="205" customFormat="1" ht="16.5">
      <c r="A52" s="206" t="s">
        <v>54</v>
      </c>
      <c r="B52" s="377">
        <f>INT(10^((INT(5.46*A44*A46*1000))/1000)*1000)/1000</f>
        <v>563.63699999999994</v>
      </c>
      <c r="C52" s="377">
        <f>INT(B52*B51*1000)/1000</f>
        <v>0.28100000000000003</v>
      </c>
      <c r="D52" s="378"/>
      <c r="E52" s="4"/>
      <c r="F52" s="4"/>
      <c r="G52" s="4"/>
      <c r="H52" s="528" t="s">
        <v>55</v>
      </c>
      <c r="I52" s="259">
        <v>25</v>
      </c>
      <c r="J52" s="248" t="s">
        <v>56</v>
      </c>
      <c r="K52" s="208">
        <v>0</v>
      </c>
      <c r="L52" s="247" t="s">
        <v>57</v>
      </c>
      <c r="M52" s="523">
        <f>INT(M50*0.89*100)/100</f>
        <v>29.28</v>
      </c>
      <c r="N52" s="225"/>
      <c r="O52" s="205">
        <f>M53</f>
        <v>90</v>
      </c>
      <c r="P52" s="204"/>
    </row>
    <row r="53" spans="1:24" s="205" customFormat="1" ht="17.25" thickBot="1">
      <c r="A53" s="4"/>
      <c r="B53" s="4"/>
      <c r="C53" s="4"/>
      <c r="D53" s="4"/>
      <c r="E53" s="4"/>
      <c r="F53" s="4"/>
      <c r="G53" s="4"/>
      <c r="H53" s="529"/>
      <c r="I53" s="530" t="s">
        <v>245</v>
      </c>
      <c r="J53" s="530"/>
      <c r="K53" s="530"/>
      <c r="L53" s="530"/>
      <c r="M53" s="531">
        <v>90</v>
      </c>
      <c r="N53" s="12"/>
    </row>
    <row r="54" spans="1:24" ht="18.75" customHeight="1" thickBot="1">
      <c r="A54" s="7" t="s">
        <v>58</v>
      </c>
      <c r="B54" s="1">
        <f>INT(C50/C52*1000)/1000</f>
        <v>2.9569999999999999</v>
      </c>
      <c r="H54" s="534" t="s">
        <v>59</v>
      </c>
      <c r="I54" s="535" t="s">
        <v>60</v>
      </c>
      <c r="J54" s="204"/>
      <c r="K54" s="204"/>
      <c r="L54" s="204"/>
      <c r="M54" s="204"/>
      <c r="N54" s="204"/>
    </row>
    <row r="55" spans="1:24">
      <c r="A55" s="7"/>
      <c r="R55" s="267"/>
    </row>
    <row r="56" spans="1:24" ht="14.25" thickBot="1">
      <c r="A56" s="7"/>
    </row>
    <row r="57" spans="1:24" s="205" customFormat="1" ht="18" customHeight="1">
      <c r="A57" s="253"/>
      <c r="B57" s="362" t="s">
        <v>61</v>
      </c>
      <c r="C57" s="362" t="s">
        <v>62</v>
      </c>
      <c r="D57" s="432" t="s">
        <v>63</v>
      </c>
      <c r="E57" s="448"/>
      <c r="F57" s="432" t="s">
        <v>62</v>
      </c>
      <c r="G57" s="448"/>
      <c r="H57" s="362" t="s">
        <v>64</v>
      </c>
      <c r="I57" s="363">
        <f>M50</f>
        <v>32.900000000000006</v>
      </c>
      <c r="J57" s="362" t="s">
        <v>65</v>
      </c>
      <c r="K57" s="362" t="s">
        <v>66</v>
      </c>
      <c r="L57" s="432" t="s">
        <v>67</v>
      </c>
      <c r="M57" s="433"/>
    </row>
    <row r="58" spans="1:24" s="205" customFormat="1" ht="18" customHeight="1">
      <c r="A58" s="251" t="s">
        <v>68</v>
      </c>
      <c r="B58" s="410">
        <v>4.4359999999999999</v>
      </c>
      <c r="C58" s="248"/>
      <c r="D58" s="434">
        <v>0.22439999999999999</v>
      </c>
      <c r="E58" s="435"/>
      <c r="F58" s="434"/>
      <c r="G58" s="435"/>
      <c r="H58" s="248" t="s">
        <v>69</v>
      </c>
      <c r="I58" s="365">
        <f>C62/M46</f>
        <v>8.6293333333333333E-2</v>
      </c>
      <c r="J58" s="248" t="s">
        <v>70</v>
      </c>
      <c r="K58" s="366">
        <f>INT((6*I57*I58*I60/I59)^0.5)</f>
        <v>99</v>
      </c>
      <c r="L58" s="248" t="s">
        <v>71</v>
      </c>
      <c r="M58" s="367" t="s">
        <v>72</v>
      </c>
    </row>
    <row r="59" spans="1:24" s="205" customFormat="1" ht="18" customHeight="1">
      <c r="A59" s="251" t="s">
        <v>73</v>
      </c>
      <c r="B59" s="364">
        <v>3.0184000000000002</v>
      </c>
      <c r="C59" s="436">
        <f>B59</f>
        <v>3.0184000000000002</v>
      </c>
      <c r="D59" s="438">
        <v>8.5459999999999996E-4</v>
      </c>
      <c r="E59" s="439"/>
      <c r="F59" s="440">
        <f>INT((D59+D60)/1*10000000)/10000000</f>
        <v>8.5459999999999996E-4</v>
      </c>
      <c r="G59" s="441"/>
      <c r="H59" s="248" t="s">
        <v>32</v>
      </c>
      <c r="I59" s="248">
        <f>F62</f>
        <v>8.5459999999999996E-4</v>
      </c>
      <c r="J59" s="248" t="s">
        <v>74</v>
      </c>
      <c r="K59" s="366">
        <f>INT(3*(I57*I58*I60/I59)^0.5)</f>
        <v>122</v>
      </c>
      <c r="L59" s="366"/>
      <c r="M59" s="368"/>
    </row>
    <row r="60" spans="1:24" s="205" customFormat="1" ht="18" customHeight="1">
      <c r="A60" s="251" t="s">
        <v>75</v>
      </c>
      <c r="B60" s="364"/>
      <c r="C60" s="437"/>
      <c r="D60" s="438"/>
      <c r="E60" s="439"/>
      <c r="F60" s="442"/>
      <c r="G60" s="443"/>
      <c r="H60" s="369">
        <f>LongTest!AE33</f>
        <v>720</v>
      </c>
      <c r="I60" s="365">
        <f>INT(H60/1440*10000)/10000</f>
        <v>0.5</v>
      </c>
      <c r="J60" s="248" t="s">
        <v>76</v>
      </c>
      <c r="K60" s="366">
        <f>(2.25*I61*I60/I59)^0.5</f>
        <v>92.302629071383194</v>
      </c>
      <c r="L60" s="366"/>
      <c r="M60" s="368"/>
    </row>
    <row r="61" spans="1:24" s="205" customFormat="1" ht="18" customHeight="1">
      <c r="A61" s="251" t="s">
        <v>77</v>
      </c>
      <c r="B61" s="364">
        <v>9.9260000000000002</v>
      </c>
      <c r="C61" s="248">
        <f>B61</f>
        <v>9.9260000000000002</v>
      </c>
      <c r="D61" s="434"/>
      <c r="E61" s="435"/>
      <c r="F61" s="434"/>
      <c r="G61" s="435"/>
      <c r="H61" s="248" t="s">
        <v>28</v>
      </c>
      <c r="I61" s="248">
        <f>C62</f>
        <v>6.4720000000000004</v>
      </c>
      <c r="J61" s="248" t="s">
        <v>78</v>
      </c>
      <c r="K61" s="366">
        <f>((K58+K59+K60)/3)</f>
        <v>104.43420969046106</v>
      </c>
      <c r="L61" s="366"/>
      <c r="M61" s="368"/>
    </row>
    <row r="62" spans="1:24" s="205" customFormat="1" ht="18" customHeight="1" thickBot="1">
      <c r="A62" s="252" t="s">
        <v>62</v>
      </c>
      <c r="B62" s="370"/>
      <c r="C62" s="371">
        <f>INT((C58+C59+C61)*1000/2)/1000</f>
        <v>6.4720000000000004</v>
      </c>
      <c r="D62" s="444"/>
      <c r="E62" s="445"/>
      <c r="F62" s="446">
        <f>F59</f>
        <v>8.5459999999999996E-4</v>
      </c>
      <c r="G62" s="447"/>
      <c r="H62" s="372" t="s">
        <v>79</v>
      </c>
      <c r="I62" s="373">
        <v>70.33</v>
      </c>
      <c r="J62" s="372" t="s">
        <v>80</v>
      </c>
      <c r="K62" s="374">
        <f>MAX(K58:K60)</f>
        <v>122</v>
      </c>
      <c r="L62" s="375"/>
      <c r="M62" s="376"/>
    </row>
    <row r="63" spans="1:24" s="205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56" t="s">
        <v>257</v>
      </c>
      <c r="R64" s="257" t="s">
        <v>258</v>
      </c>
      <c r="S64" s="257" t="s">
        <v>259</v>
      </c>
      <c r="T64" s="257" t="s">
        <v>260</v>
      </c>
      <c r="U64" s="257" t="s">
        <v>261</v>
      </c>
      <c r="V64" s="257" t="s">
        <v>221</v>
      </c>
      <c r="W64" s="257" t="s">
        <v>222</v>
      </c>
      <c r="X64" s="258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disablePrompts="1"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28575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695325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695325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704850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19" sqref="G1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8" customWidth="1"/>
    <col min="9" max="9" width="18.75" style="38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414" t="str">
        <f>Input!I45</f>
        <v>오포지구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412" t="str">
        <f>Input!J48</f>
        <v>공  번 : W - 1</v>
      </c>
      <c r="C2" s="413" t="str">
        <f>Input!I46</f>
        <v>충청남도 보령시 오천면 오포리 409-1</v>
      </c>
      <c r="D2" s="15"/>
      <c r="E2" s="15"/>
      <c r="F2" s="15"/>
      <c r="G2" s="15"/>
      <c r="H2" s="16"/>
      <c r="I2" s="16"/>
      <c r="J2" s="15"/>
      <c r="K2" s="15"/>
      <c r="L2" s="15"/>
      <c r="M2" s="17"/>
      <c r="N2" s="17"/>
      <c r="O2" s="15"/>
    </row>
    <row r="3" spans="1:15" ht="22.7" customHeight="1">
      <c r="A3" s="15"/>
      <c r="B3" s="294" t="s">
        <v>117</v>
      </c>
      <c r="C3" s="295" t="s">
        <v>13</v>
      </c>
      <c r="D3" s="295" t="s">
        <v>28</v>
      </c>
      <c r="E3" s="295" t="s">
        <v>118</v>
      </c>
      <c r="F3" s="295" t="s">
        <v>32</v>
      </c>
      <c r="G3" s="295" t="s">
        <v>119</v>
      </c>
      <c r="H3" s="296" t="s">
        <v>35</v>
      </c>
      <c r="I3" s="283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297">
        <f>LongTest!G10</f>
        <v>2.2682757361067729</v>
      </c>
      <c r="C4" s="289">
        <f>LongTest!B10</f>
        <v>160</v>
      </c>
      <c r="D4" s="290">
        <v>4.4359999999999999</v>
      </c>
      <c r="E4" s="291">
        <f>Input!M44/2000</f>
        <v>0.125</v>
      </c>
      <c r="F4" s="18">
        <v>5.0000000000000001E-4</v>
      </c>
      <c r="G4" s="18">
        <f>PI()</f>
        <v>3.1415926535897931</v>
      </c>
      <c r="H4" s="128">
        <f>Input!$A$46</f>
        <v>0.1136127</v>
      </c>
      <c r="I4" s="284">
        <f>Input!M48</f>
        <v>10.3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285"/>
      <c r="C5" s="20"/>
      <c r="D5" s="286">
        <v>3.0184000000000002</v>
      </c>
      <c r="E5" s="287" t="s">
        <v>239</v>
      </c>
      <c r="F5" s="20"/>
      <c r="G5" s="20"/>
      <c r="H5" s="288"/>
      <c r="I5" s="292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32" t="s">
        <v>121</v>
      </c>
      <c r="C6" s="228">
        <f>(2*G4*B4*D5)/(C4)</f>
        <v>0.26886391921202807</v>
      </c>
      <c r="D6" s="229"/>
      <c r="E6" s="228">
        <f>1.15*LOG((2.25*D5*(1/1440))/(F4*E4^2))</f>
        <v>3.1979278060354579</v>
      </c>
      <c r="F6" s="230" t="s">
        <v>122</v>
      </c>
      <c r="G6" s="396">
        <f>C6-E6</f>
        <v>-2.92906388682343</v>
      </c>
      <c r="H6" s="34"/>
      <c r="I6" s="284">
        <f>Input!M49</f>
        <v>43.2</v>
      </c>
      <c r="J6" s="277">
        <f>MAX(C13,C18,C23)</f>
        <v>153.80000000000001</v>
      </c>
      <c r="K6" s="275" t="s">
        <v>216</v>
      </c>
      <c r="M6" s="19"/>
      <c r="N6" s="15"/>
      <c r="O6" s="15"/>
    </row>
    <row r="7" spans="1:15" ht="22.7" customHeight="1">
      <c r="A7" s="15"/>
      <c r="B7" s="233" t="s">
        <v>123</v>
      </c>
      <c r="C7" s="27">
        <f>2.25*D4*(120/1440)</f>
        <v>0.83174999999999999</v>
      </c>
      <c r="D7" s="26"/>
      <c r="E7" s="231" t="s">
        <v>124</v>
      </c>
      <c r="F7" s="27">
        <f>F4*10^(5.46*D4*H4)</f>
        <v>0.28231452396108753</v>
      </c>
      <c r="G7" s="231" t="s">
        <v>125</v>
      </c>
      <c r="H7" s="34">
        <f>F4*EXP(4*G4*D4*H4)</f>
        <v>0.28149843574844108</v>
      </c>
      <c r="I7" s="292" t="s">
        <v>126</v>
      </c>
      <c r="J7" s="278">
        <f>ROUND((C13+C18+C23)/3,1)</f>
        <v>131.80000000000001</v>
      </c>
      <c r="K7" s="276" t="s">
        <v>217</v>
      </c>
      <c r="L7" s="15"/>
      <c r="M7" s="19"/>
      <c r="N7" s="15"/>
      <c r="O7" s="15"/>
    </row>
    <row r="8" spans="1:15" ht="22.7" customHeight="1" thickBot="1">
      <c r="A8" s="15"/>
      <c r="B8" s="234" t="s">
        <v>127</v>
      </c>
      <c r="C8" s="395">
        <f>ROUND(E4*EXP(-1*G6),3)</f>
        <v>2.339</v>
      </c>
      <c r="D8" s="235"/>
      <c r="E8" s="235"/>
      <c r="F8" s="236"/>
      <c r="G8" s="235"/>
      <c r="H8" s="237"/>
      <c r="I8" s="293">
        <f>Input!M45</f>
        <v>100</v>
      </c>
      <c r="J8" s="273" t="s">
        <v>242</v>
      </c>
      <c r="K8" s="279">
        <f>ROUND(SQRT(C7/F7),4)</f>
        <v>1.7163999999999999</v>
      </c>
      <c r="L8" s="15"/>
      <c r="M8" s="15"/>
      <c r="N8" s="21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282" t="s">
        <v>128</v>
      </c>
      <c r="J9" s="273" t="s">
        <v>243</v>
      </c>
      <c r="K9" s="280">
        <f>ROUND(SQRT(C7/H7),4)</f>
        <v>1.7189000000000001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2">
        <f>LongTest!F101</f>
        <v>12.170540416902476</v>
      </c>
      <c r="D10" s="23" t="s">
        <v>238</v>
      </c>
      <c r="E10" s="270">
        <v>0.3856</v>
      </c>
      <c r="H10" s="238" t="s">
        <v>215</v>
      </c>
      <c r="I10" s="244">
        <f>Input!I52</f>
        <v>25</v>
      </c>
      <c r="J10" s="274" t="s">
        <v>244</v>
      </c>
      <c r="K10" s="281">
        <f>ROUND(E4*SQRT(E10/F4),4)</f>
        <v>3.4712999999999998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2">
        <f>I6-C10</f>
        <v>31.029459583097527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299" t="s">
        <v>131</v>
      </c>
      <c r="C13" s="301">
        <f>ROUND(SQRT(6*B16*E16*H16/I16),1)</f>
        <v>125.6</v>
      </c>
      <c r="D13" s="24"/>
      <c r="E13" s="398" t="s">
        <v>253</v>
      </c>
      <c r="F13" s="300">
        <f>D5</f>
        <v>3.0184000000000002</v>
      </c>
      <c r="G13" s="398" t="s">
        <v>252</v>
      </c>
      <c r="H13" s="271">
        <v>9.9260000000000002</v>
      </c>
      <c r="I13" s="298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5"/>
      <c r="C14" s="20"/>
      <c r="D14" s="26"/>
      <c r="E14" s="26"/>
      <c r="F14" s="26"/>
      <c r="G14" s="26"/>
      <c r="H14" s="27"/>
      <c r="I14" s="34"/>
      <c r="J14" s="15"/>
      <c r="K14" s="15"/>
      <c r="L14" s="15"/>
      <c r="M14" s="15"/>
      <c r="N14" s="15"/>
      <c r="O14" s="15"/>
    </row>
    <row r="15" spans="1:15" ht="22.7" customHeight="1">
      <c r="A15" s="15"/>
      <c r="B15" s="28" t="s">
        <v>132</v>
      </c>
      <c r="C15" s="27" t="s">
        <v>133</v>
      </c>
      <c r="D15" s="27" t="s">
        <v>134</v>
      </c>
      <c r="E15" s="27" t="s">
        <v>69</v>
      </c>
      <c r="F15" s="27" t="s">
        <v>135</v>
      </c>
      <c r="G15" s="27" t="s">
        <v>136</v>
      </c>
      <c r="H15" s="27" t="s">
        <v>137</v>
      </c>
      <c r="I15" s="397" t="s">
        <v>251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42">
        <f>I6-I4</f>
        <v>32.900000000000006</v>
      </c>
      <c r="C16" s="239">
        <f>I8-IF(I4&gt;I10,I4,I10)</f>
        <v>75</v>
      </c>
      <c r="D16" s="241">
        <f>(F13+H13)/2</f>
        <v>6.4722</v>
      </c>
      <c r="E16" s="29">
        <f>INT(D16/C16*100000)/100000</f>
        <v>8.6290000000000006E-2</v>
      </c>
      <c r="F16" s="30">
        <v>1440</v>
      </c>
      <c r="G16" s="243">
        <v>1140</v>
      </c>
      <c r="H16" s="241">
        <f>INT(G16/F16*10000)/10000</f>
        <v>0.79159999999999997</v>
      </c>
      <c r="I16" s="272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1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299" t="s">
        <v>138</v>
      </c>
      <c r="C18" s="301">
        <f>ROUND(3*SQRT(B21*E21*H21/I21),1)</f>
        <v>153.80000000000001</v>
      </c>
      <c r="D18" s="24"/>
      <c r="E18" s="32"/>
      <c r="F18" s="32"/>
      <c r="G18" s="32"/>
      <c r="H18" s="33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5"/>
      <c r="C19" s="20"/>
      <c r="D19" s="26"/>
      <c r="E19" s="26"/>
      <c r="F19" s="26"/>
      <c r="G19" s="26"/>
      <c r="H19" s="27"/>
      <c r="I19" s="34"/>
      <c r="J19" s="15"/>
      <c r="K19" s="15"/>
      <c r="L19" s="15"/>
      <c r="M19" s="15"/>
      <c r="N19" s="15"/>
      <c r="O19" s="15"/>
    </row>
    <row r="20" spans="1:15" ht="22.7" customHeight="1">
      <c r="A20" s="15"/>
      <c r="B20" s="28" t="s">
        <v>139</v>
      </c>
      <c r="C20" s="27" t="s">
        <v>38</v>
      </c>
      <c r="D20" s="27" t="s">
        <v>140</v>
      </c>
      <c r="E20" s="138" t="s">
        <v>69</v>
      </c>
      <c r="F20" s="27" t="s">
        <v>135</v>
      </c>
      <c r="G20" s="27" t="s">
        <v>141</v>
      </c>
      <c r="H20" s="27" t="s">
        <v>39</v>
      </c>
      <c r="I20" s="34" t="s">
        <v>32</v>
      </c>
      <c r="J20" s="15"/>
      <c r="K20" s="15"/>
      <c r="L20" s="15"/>
      <c r="M20" s="15"/>
      <c r="N20" s="245" t="s">
        <v>241</v>
      </c>
      <c r="O20" s="15"/>
    </row>
    <row r="21" spans="1:15" ht="22.7" customHeight="1" thickBot="1">
      <c r="A21" s="15"/>
      <c r="B21" s="35">
        <f t="shared" ref="B21:I21" si="0">B16</f>
        <v>32.900000000000006</v>
      </c>
      <c r="C21" s="240">
        <f t="shared" si="0"/>
        <v>75</v>
      </c>
      <c r="D21" s="30">
        <f t="shared" si="0"/>
        <v>6.4722</v>
      </c>
      <c r="E21" s="241">
        <f t="shared" si="0"/>
        <v>8.6290000000000006E-2</v>
      </c>
      <c r="F21" s="30">
        <f t="shared" si="0"/>
        <v>1440</v>
      </c>
      <c r="G21" s="30">
        <f>G16</f>
        <v>1140</v>
      </c>
      <c r="H21" s="30">
        <f t="shared" si="0"/>
        <v>0.79159999999999997</v>
      </c>
      <c r="I21" s="36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299" t="s">
        <v>142</v>
      </c>
      <c r="C23" s="301">
        <f>ROUND(SQRT((2.25*D26*H26)/I26),1)</f>
        <v>116.1</v>
      </c>
      <c r="D23" s="24"/>
      <c r="E23" s="32"/>
      <c r="F23" s="32"/>
      <c r="G23" s="32"/>
      <c r="H23" s="33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5"/>
      <c r="C24" s="20"/>
      <c r="D24" s="26"/>
      <c r="E24" s="26"/>
      <c r="F24" s="26"/>
      <c r="G24" s="26"/>
      <c r="H24" s="27"/>
      <c r="I24" s="34"/>
      <c r="J24" s="15"/>
      <c r="K24" s="15"/>
      <c r="L24" s="15"/>
      <c r="M24" s="15"/>
      <c r="N24" s="201"/>
      <c r="O24" s="15"/>
    </row>
    <row r="25" spans="1:15" ht="22.7" customHeight="1">
      <c r="A25" s="15"/>
      <c r="B25" s="28" t="s">
        <v>139</v>
      </c>
      <c r="C25" s="27" t="s">
        <v>38</v>
      </c>
      <c r="D25" s="27" t="s">
        <v>140</v>
      </c>
      <c r="E25" s="27" t="s">
        <v>69</v>
      </c>
      <c r="F25" s="27" t="s">
        <v>135</v>
      </c>
      <c r="G25" s="27" t="s">
        <v>141</v>
      </c>
      <c r="H25" s="138" t="s">
        <v>39</v>
      </c>
      <c r="I25" s="34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5">
        <f t="shared" ref="B26:I26" si="1">B21</f>
        <v>32.900000000000006</v>
      </c>
      <c r="C26" s="30">
        <f t="shared" si="1"/>
        <v>75</v>
      </c>
      <c r="D26" s="30">
        <f t="shared" si="1"/>
        <v>6.4722</v>
      </c>
      <c r="E26" s="29">
        <f t="shared" si="1"/>
        <v>8.6290000000000006E-2</v>
      </c>
      <c r="F26" s="30">
        <f t="shared" si="1"/>
        <v>1440</v>
      </c>
      <c r="G26" s="30">
        <f t="shared" si="1"/>
        <v>1140</v>
      </c>
      <c r="H26" s="241">
        <f>INT(G16/F16*10000)/10000</f>
        <v>0.79159999999999997</v>
      </c>
      <c r="I26" s="36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2"/>
      <c r="E27" s="203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7" t="s">
        <v>143</v>
      </c>
      <c r="C28" s="391">
        <f>D16</f>
        <v>6.4722</v>
      </c>
      <c r="D28" s="394">
        <f>(C28/C16)*(100/86400)</f>
        <v>9.9879629629629626E-5</v>
      </c>
      <c r="E28" s="201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7" t="s">
        <v>144</v>
      </c>
      <c r="C29" s="392">
        <f>I16</f>
        <v>8.5459999999999996E-4</v>
      </c>
      <c r="D29" s="16">
        <f>(C28*100)/(C16*86400)</f>
        <v>9.987962962962964E-5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7" t="s">
        <v>145</v>
      </c>
      <c r="C30" s="393">
        <f>(C13+C18+C23)/3</f>
        <v>131.83333333333334</v>
      </c>
      <c r="D30" s="15"/>
      <c r="E30" s="388">
        <f>(C13+C18)/2</f>
        <v>139.69999999999999</v>
      </c>
      <c r="F30" s="389">
        <f>MAX(C13,C18)</f>
        <v>153.80000000000001</v>
      </c>
      <c r="G30" s="390">
        <f>ROUND(C4/(G4*F30^2*I16),3)</f>
        <v>2.5190000000000001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B15" sqref="B15"/>
    </sheetView>
  </sheetViews>
  <sheetFormatPr defaultColWidth="9" defaultRowHeight="16.5"/>
  <cols>
    <col min="1" max="1" width="20.75" style="39" bestFit="1" customWidth="1"/>
    <col min="2" max="2" width="8.375" style="96" bestFit="1" customWidth="1"/>
    <col min="3" max="16384" width="9" style="40"/>
  </cols>
  <sheetData>
    <row r="1" spans="1:2" ht="20.100000000000001" customHeight="1"/>
    <row r="2" spans="1:2" ht="20.100000000000001" customHeight="1">
      <c r="A2" s="39" t="s">
        <v>146</v>
      </c>
      <c r="B2" s="194">
        <f>StepTest!B12</f>
        <v>97</v>
      </c>
    </row>
    <row r="3" spans="1:2" ht="20.100000000000001" customHeight="1">
      <c r="A3" s="41" t="s">
        <v>147</v>
      </c>
      <c r="B3" s="195">
        <f>StepTest!G31</f>
        <v>13.77</v>
      </c>
    </row>
    <row r="4" spans="1:2" ht="20.100000000000001" customHeight="1">
      <c r="A4" s="41" t="s">
        <v>148</v>
      </c>
      <c r="B4" s="196">
        <f>StepTest!G46</f>
        <v>29.28</v>
      </c>
    </row>
    <row r="5" spans="1:2" ht="20.100000000000001" customHeight="1">
      <c r="A5" s="42" t="s">
        <v>149</v>
      </c>
      <c r="B5" s="196">
        <f>2/3</f>
        <v>0.66666666666666663</v>
      </c>
    </row>
    <row r="6" spans="1:2" ht="20.100000000000001" customHeight="1">
      <c r="A6" s="41"/>
      <c r="B6" s="196"/>
    </row>
    <row r="7" spans="1:2" ht="20.100000000000001" customHeight="1">
      <c r="A7" s="41" t="s">
        <v>150</v>
      </c>
      <c r="B7" s="196">
        <f>B2*(B4/B3)^(2/3)</f>
        <v>160.39709154225162</v>
      </c>
    </row>
    <row r="8" spans="1:2" ht="20.100000000000001" customHeight="1">
      <c r="A8" s="41" t="s">
        <v>151</v>
      </c>
      <c r="B8" s="196">
        <f>INT(B7)</f>
        <v>160</v>
      </c>
    </row>
    <row r="9" spans="1:2" ht="24.75" customHeight="1">
      <c r="B9" s="196"/>
    </row>
    <row r="10" spans="1:2" ht="24.75" customHeight="1">
      <c r="B10" s="196"/>
    </row>
    <row r="11" spans="1:2">
      <c r="B11" s="197">
        <f>B8/Input!$D$23</f>
        <v>0.903954802259887</v>
      </c>
    </row>
    <row r="12" spans="1:2" ht="17.25" thickBot="1"/>
    <row r="13" spans="1:2" ht="24.95" customHeight="1">
      <c r="A13" s="43" t="s">
        <v>152</v>
      </c>
      <c r="B13" s="198">
        <f>Input!$D$6</f>
        <v>177</v>
      </c>
    </row>
    <row r="14" spans="1:2" ht="24.95" customHeight="1">
      <c r="A14" s="44" t="s">
        <v>53</v>
      </c>
      <c r="B14" s="199">
        <f>B8</f>
        <v>160</v>
      </c>
    </row>
    <row r="15" spans="1:2" ht="24.95" customHeight="1" thickBot="1">
      <c r="A15" s="45" t="s">
        <v>153</v>
      </c>
      <c r="B15" s="200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0" zoomScaleNormal="100" zoomScaleSheetLayoutView="100" workbookViewId="0">
      <selection activeCell="G31" sqref="G31:H31"/>
    </sheetView>
  </sheetViews>
  <sheetFormatPr defaultColWidth="9" defaultRowHeight="13.5"/>
  <cols>
    <col min="1" max="1" width="5.25" style="46" customWidth="1"/>
    <col min="2" max="2" width="17" style="46" customWidth="1"/>
    <col min="3" max="3" width="12.375" style="46" customWidth="1"/>
    <col min="4" max="4" width="8.75" style="46" customWidth="1"/>
    <col min="5" max="5" width="5.75" style="46" customWidth="1"/>
    <col min="6" max="6" width="13.625" style="46" customWidth="1"/>
    <col min="7" max="7" width="7.875" style="46" customWidth="1"/>
    <col min="8" max="8" width="8.125" style="46" customWidth="1"/>
    <col min="9" max="9" width="10.375" style="47" customWidth="1"/>
    <col min="10" max="10" width="10.875" style="46" customWidth="1"/>
    <col min="11" max="15" width="9" style="46"/>
    <col min="16" max="16" width="9.875" style="46" bestFit="1" customWidth="1"/>
    <col min="17" max="17" width="11.125" style="46" customWidth="1"/>
    <col min="18" max="18" width="9" style="46"/>
    <col min="19" max="19" width="3.75" style="46" bestFit="1" customWidth="1"/>
    <col min="20" max="20" width="5.375" style="46" bestFit="1" customWidth="1"/>
    <col min="21" max="21" width="7.375" style="49" bestFit="1" customWidth="1"/>
    <col min="22" max="23" width="8.75" style="46" customWidth="1"/>
    <col min="24" max="24" width="9.125" style="46" customWidth="1"/>
    <col min="25" max="25" width="7.375" style="46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6"/>
  </cols>
  <sheetData>
    <row r="1" spans="1:136" ht="26.25">
      <c r="A1" s="188" t="s">
        <v>154</v>
      </c>
      <c r="B1" s="189"/>
      <c r="C1" s="189"/>
      <c r="D1" s="189"/>
      <c r="E1" s="189"/>
      <c r="F1" s="189"/>
      <c r="G1" s="189"/>
      <c r="H1" s="189"/>
      <c r="I1" s="190"/>
      <c r="J1" s="48"/>
    </row>
    <row r="2" spans="1:136" s="48" customFormat="1" ht="20.25">
      <c r="A2" s="191"/>
      <c r="B2" s="189"/>
      <c r="C2" s="189"/>
      <c r="D2" s="189"/>
      <c r="E2" s="189"/>
      <c r="F2" s="189"/>
      <c r="G2" s="189"/>
      <c r="H2" s="189"/>
      <c r="I2" s="190"/>
      <c r="J2" s="50"/>
      <c r="Q2" s="309" t="s">
        <v>155</v>
      </c>
      <c r="T2" s="310" t="s">
        <v>156</v>
      </c>
      <c r="U2" s="311"/>
      <c r="V2" s="310"/>
    </row>
    <row r="3" spans="1:136" s="50" customFormat="1" ht="26.25">
      <c r="A3" s="192" t="s">
        <v>157</v>
      </c>
      <c r="B3" s="192"/>
      <c r="C3" s="192"/>
      <c r="D3" s="192"/>
      <c r="E3" s="192"/>
      <c r="F3" s="192"/>
      <c r="G3" s="192"/>
      <c r="H3" s="193"/>
      <c r="I3" s="192"/>
      <c r="Q3" s="302" t="s">
        <v>158</v>
      </c>
      <c r="S3" s="52" t="s">
        <v>13</v>
      </c>
      <c r="T3" s="52" t="s">
        <v>28</v>
      </c>
      <c r="U3" s="53" t="s">
        <v>159</v>
      </c>
      <c r="V3" s="52" t="s">
        <v>32</v>
      </c>
      <c r="W3" s="52" t="s">
        <v>160</v>
      </c>
      <c r="X3" s="52" t="s">
        <v>39</v>
      </c>
      <c r="Y3" s="52" t="s">
        <v>12</v>
      </c>
      <c r="AC3" s="50">
        <v>0</v>
      </c>
      <c r="AI3" s="52"/>
    </row>
    <row r="4" spans="1:136" s="50" customFormat="1" ht="23.1" customHeight="1">
      <c r="A4" s="451" t="s">
        <v>161</v>
      </c>
      <c r="B4" s="451"/>
      <c r="C4" s="315" t="str">
        <f>Input!I44</f>
        <v>2023년 지하수영향조사 용역(북부)</v>
      </c>
      <c r="D4" s="316"/>
      <c r="E4" s="316"/>
      <c r="F4" s="316"/>
      <c r="G4" s="316"/>
      <c r="H4" s="317"/>
      <c r="I4" s="318"/>
      <c r="P4" s="50">
        <v>1</v>
      </c>
      <c r="Q4" s="385">
        <v>-0.88523269653320336</v>
      </c>
      <c r="R4" s="54">
        <f>B12</f>
        <v>97</v>
      </c>
      <c r="S4" s="50">
        <f>$R$4</f>
        <v>97</v>
      </c>
      <c r="T4" s="313">
        <v>2.8919622695744311</v>
      </c>
      <c r="U4" s="312">
        <f>Input!M44/2/1000</f>
        <v>0.125</v>
      </c>
      <c r="V4" s="302">
        <v>5.0000000000000001E-4</v>
      </c>
      <c r="W4" s="50">
        <f t="shared" ref="W4:W43" si="0">X4/1440</f>
        <v>6.9444444444444447E-4</v>
      </c>
      <c r="X4" s="55">
        <f>D12</f>
        <v>1</v>
      </c>
      <c r="Y4" s="56">
        <f t="shared" ref="Y4:Y43" si="1">2.3*S4/(4*PI()*T4)*LOG10((2.25*T4*W4)/(U4*U4*V4))</f>
        <v>16.957263190422815</v>
      </c>
      <c r="Z4" s="57">
        <f>Z22</f>
        <v>15.95134070433323</v>
      </c>
      <c r="AA4" s="56">
        <f>$Z$4</f>
        <v>15.95134070433323</v>
      </c>
      <c r="AB4" s="56">
        <f>X4</f>
        <v>1</v>
      </c>
      <c r="AC4" s="56">
        <f>Y4-AA4</f>
        <v>1.0059224860895846</v>
      </c>
      <c r="AD4" s="58">
        <f>INT((AC4-AE4)*100)/100</f>
        <v>1.89</v>
      </c>
      <c r="AE4" s="59">
        <f>Q4</f>
        <v>-0.88523269653320336</v>
      </c>
      <c r="AF4" s="57">
        <f t="shared" ref="AF4:AF21" si="2">AF5-0.01</f>
        <v>0.80999999999999983</v>
      </c>
      <c r="AG4" s="56"/>
      <c r="AH4" s="56"/>
      <c r="AI4" s="56"/>
    </row>
    <row r="5" spans="1:136" s="50" customFormat="1" ht="23.1" customHeight="1">
      <c r="A5" s="451" t="s">
        <v>162</v>
      </c>
      <c r="B5" s="451"/>
      <c r="C5" s="319" t="str">
        <f>Input!I45</f>
        <v>오포지구</v>
      </c>
      <c r="D5" s="316"/>
      <c r="E5" s="316"/>
      <c r="F5" s="320"/>
      <c r="G5" s="316"/>
      <c r="H5" s="321" t="str">
        <f>Input!J48</f>
        <v>공  번 : W - 1</v>
      </c>
      <c r="I5" s="322"/>
      <c r="P5" s="50">
        <v>2</v>
      </c>
      <c r="Q5" s="385"/>
      <c r="S5" s="50">
        <f t="shared" ref="S5:S23" si="3">$R$4</f>
        <v>97</v>
      </c>
      <c r="T5" s="50">
        <f>$T4</f>
        <v>2.8919622695744311</v>
      </c>
      <c r="U5" s="60">
        <f>$U4</f>
        <v>0.125</v>
      </c>
      <c r="V5" s="50">
        <f>$V4</f>
        <v>5.0000000000000001E-4</v>
      </c>
      <c r="W5" s="50">
        <f t="shared" si="0"/>
        <v>1.3888888888888889E-3</v>
      </c>
      <c r="X5" s="55">
        <f t="shared" ref="X5:X43" si="4">D13</f>
        <v>2</v>
      </c>
      <c r="Y5" s="56">
        <f t="shared" si="1"/>
        <v>18.805283994752042</v>
      </c>
      <c r="AA5" s="56">
        <f t="shared" ref="AA5:AA23" si="5">$Z$4</f>
        <v>15.95134070433323</v>
      </c>
      <c r="AB5" s="56">
        <f t="shared" ref="AB5:AB43" si="6">X5</f>
        <v>2</v>
      </c>
      <c r="AC5" s="56">
        <f t="shared" ref="AC5:AC43" si="7">Y5-AA5</f>
        <v>2.8539432904188118</v>
      </c>
      <c r="AD5" s="58">
        <f t="shared" ref="AD5:AD16" si="8">INT((AC5-AE5)*100)/100</f>
        <v>2.85</v>
      </c>
      <c r="AE5" s="59">
        <f t="shared" ref="AE5:AE16" si="9">Q5</f>
        <v>0</v>
      </c>
      <c r="AF5" s="57">
        <f t="shared" si="2"/>
        <v>0.81999999999999984</v>
      </c>
      <c r="AG5" s="56"/>
      <c r="AH5" s="56"/>
      <c r="AI5" s="56"/>
    </row>
    <row r="6" spans="1:136" s="50" customFormat="1" ht="23.1" customHeight="1">
      <c r="A6" s="451" t="s">
        <v>163</v>
      </c>
      <c r="B6" s="451"/>
      <c r="C6" s="323" t="str">
        <f>Input!I46</f>
        <v>충청남도 보령시 오천면 오포리 409-1</v>
      </c>
      <c r="D6" s="316"/>
      <c r="E6" s="316"/>
      <c r="F6" s="316"/>
      <c r="G6" s="316"/>
      <c r="H6" s="317"/>
      <c r="I6" s="318"/>
      <c r="P6" s="50">
        <v>3</v>
      </c>
      <c r="Q6" s="385"/>
      <c r="S6" s="50">
        <f t="shared" si="3"/>
        <v>97</v>
      </c>
      <c r="T6" s="50">
        <f t="shared" ref="T6:T51" si="10">$T5</f>
        <v>2.8919622695744311</v>
      </c>
      <c r="U6" s="60">
        <f t="shared" ref="U6:U51" si="11">$U5</f>
        <v>0.125</v>
      </c>
      <c r="V6" s="50">
        <f t="shared" ref="V6:V51" si="12">$V5</f>
        <v>5.0000000000000001E-4</v>
      </c>
      <c r="W6" s="50">
        <f t="shared" si="0"/>
        <v>2.0833333333333333E-3</v>
      </c>
      <c r="X6" s="55">
        <f t="shared" si="4"/>
        <v>3</v>
      </c>
      <c r="Y6" s="56">
        <f t="shared" si="1"/>
        <v>19.886306865837184</v>
      </c>
      <c r="AA6" s="56">
        <f t="shared" si="5"/>
        <v>15.95134070433323</v>
      </c>
      <c r="AB6" s="56">
        <f t="shared" si="6"/>
        <v>3</v>
      </c>
      <c r="AC6" s="56">
        <f t="shared" si="7"/>
        <v>3.9349661615039544</v>
      </c>
      <c r="AD6" s="58">
        <f t="shared" si="8"/>
        <v>3.93</v>
      </c>
      <c r="AE6" s="59">
        <f t="shared" si="9"/>
        <v>0</v>
      </c>
      <c r="AF6" s="57">
        <f t="shared" si="2"/>
        <v>0.82999999999999985</v>
      </c>
      <c r="AG6" s="56"/>
      <c r="AH6" s="56"/>
      <c r="AI6" s="56"/>
    </row>
    <row r="7" spans="1:136" s="50" customFormat="1" ht="23.1" customHeight="1">
      <c r="A7" s="451" t="s">
        <v>164</v>
      </c>
      <c r="B7" s="451"/>
      <c r="C7" s="324" t="str">
        <f>Input!I47</f>
        <v xml:space="preserve">산수개발(주) </v>
      </c>
      <c r="D7" s="325"/>
      <c r="E7" s="316"/>
      <c r="F7" s="326"/>
      <c r="G7" s="327" t="str">
        <f>Input!I49</f>
        <v>오포지구</v>
      </c>
      <c r="H7" s="328"/>
      <c r="I7" s="329"/>
      <c r="P7" s="50">
        <v>4</v>
      </c>
      <c r="Q7" s="385"/>
      <c r="S7" s="50">
        <f t="shared" si="3"/>
        <v>97</v>
      </c>
      <c r="T7" s="50">
        <f t="shared" si="10"/>
        <v>2.8919622695744311</v>
      </c>
      <c r="U7" s="60">
        <f t="shared" si="11"/>
        <v>0.125</v>
      </c>
      <c r="V7" s="50">
        <f t="shared" si="12"/>
        <v>5.0000000000000001E-4</v>
      </c>
      <c r="W7" s="50">
        <f t="shared" si="0"/>
        <v>2.7777777777777779E-3</v>
      </c>
      <c r="X7" s="55">
        <f t="shared" si="4"/>
        <v>4</v>
      </c>
      <c r="Y7" s="56">
        <f t="shared" si="1"/>
        <v>20.653304799081262</v>
      </c>
      <c r="AA7" s="56">
        <f t="shared" si="5"/>
        <v>15.95134070433323</v>
      </c>
      <c r="AB7" s="56">
        <f t="shared" si="6"/>
        <v>4</v>
      </c>
      <c r="AC7" s="56">
        <f t="shared" si="7"/>
        <v>4.7019640947480319</v>
      </c>
      <c r="AD7" s="58">
        <f t="shared" si="8"/>
        <v>4.7</v>
      </c>
      <c r="AE7" s="59">
        <f t="shared" si="9"/>
        <v>0</v>
      </c>
      <c r="AF7" s="57">
        <f t="shared" si="2"/>
        <v>0.83999999999999986</v>
      </c>
      <c r="AG7" s="56"/>
      <c r="AH7" s="56"/>
      <c r="AI7" s="56"/>
    </row>
    <row r="8" spans="1:136" s="50" customFormat="1" ht="23.1" customHeight="1">
      <c r="A8" s="330" t="s">
        <v>165</v>
      </c>
      <c r="B8" s="330"/>
      <c r="C8" s="452">
        <f>Input!I48</f>
        <v>5</v>
      </c>
      <c r="D8" s="453"/>
      <c r="E8" s="454"/>
      <c r="F8" s="331" t="s">
        <v>166</v>
      </c>
      <c r="G8" s="327" t="str">
        <f>G7</f>
        <v>오포지구</v>
      </c>
      <c r="H8" s="328"/>
      <c r="I8" s="332"/>
      <c r="K8" s="61"/>
      <c r="P8" s="50">
        <v>5</v>
      </c>
      <c r="Q8" s="385"/>
      <c r="S8" s="50">
        <f t="shared" si="3"/>
        <v>97</v>
      </c>
      <c r="T8" s="50">
        <f t="shared" si="10"/>
        <v>2.8919622695744311</v>
      </c>
      <c r="U8" s="60">
        <f t="shared" si="11"/>
        <v>0.125</v>
      </c>
      <c r="V8" s="50">
        <f t="shared" si="12"/>
        <v>5.0000000000000001E-4</v>
      </c>
      <c r="W8" s="50">
        <f t="shared" si="0"/>
        <v>3.472222222222222E-3</v>
      </c>
      <c r="X8" s="55">
        <f t="shared" si="4"/>
        <v>5</v>
      </c>
      <c r="Y8" s="56">
        <f t="shared" si="1"/>
        <v>21.248234615931185</v>
      </c>
      <c r="AA8" s="56">
        <f t="shared" si="5"/>
        <v>15.95134070433323</v>
      </c>
      <c r="AB8" s="56">
        <f t="shared" si="6"/>
        <v>5</v>
      </c>
      <c r="AC8" s="56">
        <f t="shared" si="7"/>
        <v>5.2968939115979552</v>
      </c>
      <c r="AD8" s="58">
        <f t="shared" si="8"/>
        <v>5.29</v>
      </c>
      <c r="AE8" s="59">
        <f t="shared" si="9"/>
        <v>0</v>
      </c>
      <c r="AF8" s="57">
        <f t="shared" si="2"/>
        <v>0.84999999999999987</v>
      </c>
      <c r="AG8" s="56"/>
      <c r="AH8" s="56"/>
      <c r="AI8" s="56"/>
    </row>
    <row r="9" spans="1:136" s="50" customFormat="1" ht="23.1" customHeight="1">
      <c r="A9" s="330" t="s">
        <v>167</v>
      </c>
      <c r="B9" s="330"/>
      <c r="C9" s="333" t="s">
        <v>168</v>
      </c>
      <c r="D9" s="455">
        <f>Input!M44</f>
        <v>250</v>
      </c>
      <c r="E9" s="455"/>
      <c r="F9" s="314" t="s">
        <v>169</v>
      </c>
      <c r="G9" s="456">
        <f>Input!M45</f>
        <v>100</v>
      </c>
      <c r="H9" s="456"/>
      <c r="I9" s="314"/>
      <c r="P9" s="50">
        <v>10</v>
      </c>
      <c r="Q9" s="385"/>
      <c r="S9" s="50">
        <f t="shared" si="3"/>
        <v>97</v>
      </c>
      <c r="T9" s="50">
        <f t="shared" si="10"/>
        <v>2.8919622695744311</v>
      </c>
      <c r="U9" s="60">
        <f t="shared" si="11"/>
        <v>0.125</v>
      </c>
      <c r="V9" s="50">
        <f t="shared" si="12"/>
        <v>5.0000000000000001E-4</v>
      </c>
      <c r="W9" s="50">
        <f t="shared" si="0"/>
        <v>6.9444444444444441E-3</v>
      </c>
      <c r="X9" s="55">
        <f t="shared" si="4"/>
        <v>10</v>
      </c>
      <c r="Y9" s="56">
        <f t="shared" si="1"/>
        <v>23.096255420260409</v>
      </c>
      <c r="AA9" s="56">
        <f t="shared" si="5"/>
        <v>15.95134070433323</v>
      </c>
      <c r="AB9" s="56">
        <f t="shared" si="6"/>
        <v>10</v>
      </c>
      <c r="AC9" s="56">
        <f t="shared" si="7"/>
        <v>7.1449147159271789</v>
      </c>
      <c r="AD9" s="58">
        <f t="shared" si="8"/>
        <v>7.14</v>
      </c>
      <c r="AE9" s="59">
        <f t="shared" si="9"/>
        <v>0</v>
      </c>
      <c r="AF9" s="57">
        <f t="shared" si="2"/>
        <v>0.85999999999999988</v>
      </c>
      <c r="AG9" s="56"/>
      <c r="AH9" s="56"/>
      <c r="AI9" s="56"/>
    </row>
    <row r="10" spans="1:136" s="50" customFormat="1" ht="23.1" customHeight="1">
      <c r="A10" s="330" t="s">
        <v>170</v>
      </c>
      <c r="B10" s="330"/>
      <c r="C10" s="333" t="s">
        <v>218</v>
      </c>
      <c r="D10" s="457">
        <f>Input!M48</f>
        <v>10.3</v>
      </c>
      <c r="E10" s="458"/>
      <c r="F10" s="334" t="s">
        <v>4</v>
      </c>
      <c r="G10" s="459" t="s">
        <v>4</v>
      </c>
      <c r="H10" s="459"/>
      <c r="I10" s="322"/>
      <c r="P10" s="50">
        <v>15</v>
      </c>
      <c r="Q10" s="385"/>
      <c r="S10" s="50">
        <f t="shared" si="3"/>
        <v>97</v>
      </c>
      <c r="T10" s="50">
        <f t="shared" si="10"/>
        <v>2.8919622695744311</v>
      </c>
      <c r="U10" s="60">
        <f t="shared" si="11"/>
        <v>0.125</v>
      </c>
      <c r="V10" s="50">
        <f t="shared" si="12"/>
        <v>5.0000000000000001E-4</v>
      </c>
      <c r="W10" s="50">
        <f t="shared" si="0"/>
        <v>1.0416666666666666E-2</v>
      </c>
      <c r="X10" s="55">
        <f t="shared" si="4"/>
        <v>15</v>
      </c>
      <c r="Y10" s="56">
        <f t="shared" si="1"/>
        <v>24.177278291345552</v>
      </c>
      <c r="AA10" s="56">
        <f t="shared" si="5"/>
        <v>15.95134070433323</v>
      </c>
      <c r="AB10" s="56">
        <f t="shared" si="6"/>
        <v>15</v>
      </c>
      <c r="AC10" s="56">
        <f t="shared" si="7"/>
        <v>8.2259375870123215</v>
      </c>
      <c r="AD10" s="58">
        <f t="shared" si="8"/>
        <v>8.2200000000000006</v>
      </c>
      <c r="AE10" s="59">
        <f t="shared" si="9"/>
        <v>0</v>
      </c>
      <c r="AF10" s="57">
        <f t="shared" si="2"/>
        <v>0.86999999999999988</v>
      </c>
      <c r="AG10" s="56"/>
      <c r="AH10" s="56"/>
      <c r="AI10" s="56"/>
    </row>
    <row r="11" spans="1:136" s="50" customFormat="1" ht="23.1" customHeight="1">
      <c r="A11" s="314" t="s">
        <v>171</v>
      </c>
      <c r="B11" s="335" t="s">
        <v>172</v>
      </c>
      <c r="C11" s="333" t="s">
        <v>173</v>
      </c>
      <c r="D11" s="460" t="s">
        <v>174</v>
      </c>
      <c r="E11" s="460"/>
      <c r="F11" s="335" t="s">
        <v>175</v>
      </c>
      <c r="G11" s="461" t="s">
        <v>176</v>
      </c>
      <c r="H11" s="461"/>
      <c r="I11" s="314" t="s">
        <v>177</v>
      </c>
      <c r="J11" s="62">
        <f>G12-J13</f>
        <v>0.92999999999999972</v>
      </c>
      <c r="P11" s="50">
        <v>20</v>
      </c>
      <c r="Q11" s="385"/>
      <c r="S11" s="50">
        <f t="shared" si="3"/>
        <v>97</v>
      </c>
      <c r="T11" s="50">
        <f t="shared" si="10"/>
        <v>2.8919622695744311</v>
      </c>
      <c r="U11" s="60">
        <f t="shared" si="11"/>
        <v>0.125</v>
      </c>
      <c r="V11" s="50">
        <f t="shared" si="12"/>
        <v>5.0000000000000001E-4</v>
      </c>
      <c r="W11" s="50">
        <f t="shared" si="0"/>
        <v>1.3888888888888888E-2</v>
      </c>
      <c r="X11" s="55">
        <f t="shared" si="4"/>
        <v>20</v>
      </c>
      <c r="Y11" s="56">
        <f t="shared" si="1"/>
        <v>24.944276224589633</v>
      </c>
      <c r="AA11" s="56">
        <f t="shared" si="5"/>
        <v>15.95134070433323</v>
      </c>
      <c r="AB11" s="56">
        <f t="shared" si="6"/>
        <v>20</v>
      </c>
      <c r="AC11" s="56">
        <f t="shared" si="7"/>
        <v>8.9929355202564025</v>
      </c>
      <c r="AD11" s="58">
        <f t="shared" si="8"/>
        <v>8.99</v>
      </c>
      <c r="AE11" s="59">
        <f t="shared" si="9"/>
        <v>0</v>
      </c>
      <c r="AF11" s="57">
        <f t="shared" si="2"/>
        <v>0.87999999999999989</v>
      </c>
      <c r="AG11" s="56"/>
      <c r="AH11" s="56"/>
      <c r="AI11" s="56"/>
    </row>
    <row r="12" spans="1:136" s="50" customFormat="1" ht="23.1" customHeight="1">
      <c r="A12" s="336">
        <v>1</v>
      </c>
      <c r="B12" s="337">
        <f>Input!D20</f>
        <v>97</v>
      </c>
      <c r="C12" s="338">
        <v>44992.479166666664</v>
      </c>
      <c r="D12" s="449">
        <v>1</v>
      </c>
      <c r="E12" s="449"/>
      <c r="F12" s="339">
        <f>G12+$D$10</f>
        <v>12.190000000000001</v>
      </c>
      <c r="G12" s="450">
        <f>AD4</f>
        <v>1.89</v>
      </c>
      <c r="H12" s="450"/>
      <c r="I12" s="314" t="s">
        <v>178</v>
      </c>
      <c r="J12" s="63"/>
      <c r="P12" s="50">
        <v>25</v>
      </c>
      <c r="Q12" s="385"/>
      <c r="S12" s="50">
        <f t="shared" si="3"/>
        <v>97</v>
      </c>
      <c r="T12" s="50">
        <f t="shared" si="10"/>
        <v>2.8919622695744311</v>
      </c>
      <c r="U12" s="60">
        <f t="shared" si="11"/>
        <v>0.125</v>
      </c>
      <c r="V12" s="50">
        <f t="shared" si="12"/>
        <v>5.0000000000000001E-4</v>
      </c>
      <c r="W12" s="50">
        <f t="shared" si="0"/>
        <v>1.7361111111111112E-2</v>
      </c>
      <c r="X12" s="55">
        <f t="shared" si="4"/>
        <v>25</v>
      </c>
      <c r="Y12" s="56">
        <f t="shared" si="1"/>
        <v>25.539206041439549</v>
      </c>
      <c r="AA12" s="56">
        <f t="shared" si="5"/>
        <v>15.95134070433323</v>
      </c>
      <c r="AB12" s="56">
        <f t="shared" si="6"/>
        <v>25</v>
      </c>
      <c r="AC12" s="56">
        <f t="shared" si="7"/>
        <v>9.5878653371063187</v>
      </c>
      <c r="AD12" s="58">
        <f t="shared" si="8"/>
        <v>9.58</v>
      </c>
      <c r="AE12" s="59">
        <f t="shared" si="9"/>
        <v>0</v>
      </c>
      <c r="AF12" s="57">
        <f t="shared" si="2"/>
        <v>0.8899999999999999</v>
      </c>
      <c r="AG12" s="56"/>
      <c r="AH12" s="56"/>
      <c r="AI12" s="56"/>
      <c r="EF12" s="50">
        <v>2.46</v>
      </c>
    </row>
    <row r="13" spans="1:136" s="50" customFormat="1" ht="23.1" customHeight="1">
      <c r="A13" s="336"/>
      <c r="B13" s="336"/>
      <c r="C13" s="338"/>
      <c r="D13" s="449">
        <v>2</v>
      </c>
      <c r="E13" s="449"/>
      <c r="F13" s="339">
        <f t="shared" ref="F13:F51" si="13">G13+$D$10</f>
        <v>13.15</v>
      </c>
      <c r="G13" s="450">
        <f t="shared" ref="G13:G51" si="14">AD5</f>
        <v>2.85</v>
      </c>
      <c r="H13" s="450"/>
      <c r="I13" s="340"/>
      <c r="J13" s="341">
        <f>G13-G12</f>
        <v>0.96000000000000019</v>
      </c>
      <c r="P13" s="50">
        <v>30</v>
      </c>
      <c r="Q13" s="385"/>
      <c r="S13" s="50">
        <f t="shared" si="3"/>
        <v>97</v>
      </c>
      <c r="T13" s="50">
        <f t="shared" si="10"/>
        <v>2.8919622695744311</v>
      </c>
      <c r="U13" s="60">
        <f t="shared" si="11"/>
        <v>0.125</v>
      </c>
      <c r="V13" s="50">
        <f t="shared" si="12"/>
        <v>5.0000000000000001E-4</v>
      </c>
      <c r="W13" s="50">
        <f t="shared" si="0"/>
        <v>2.0833333333333332E-2</v>
      </c>
      <c r="X13" s="55">
        <f t="shared" si="4"/>
        <v>30</v>
      </c>
      <c r="Y13" s="56">
        <f t="shared" si="1"/>
        <v>26.025299095674779</v>
      </c>
      <c r="AA13" s="56">
        <f t="shared" si="5"/>
        <v>15.95134070433323</v>
      </c>
      <c r="AB13" s="56">
        <f t="shared" si="6"/>
        <v>30</v>
      </c>
      <c r="AC13" s="56">
        <f t="shared" si="7"/>
        <v>10.073958391341549</v>
      </c>
      <c r="AD13" s="58">
        <f t="shared" si="8"/>
        <v>10.07</v>
      </c>
      <c r="AE13" s="59">
        <f t="shared" si="9"/>
        <v>0</v>
      </c>
      <c r="AF13" s="57">
        <f t="shared" si="2"/>
        <v>0.89999999999999991</v>
      </c>
      <c r="AG13" s="56"/>
      <c r="AH13" s="56"/>
      <c r="AI13" s="56"/>
      <c r="EF13" s="50">
        <v>3.77</v>
      </c>
    </row>
    <row r="14" spans="1:136" s="50" customFormat="1" ht="23.1" customHeight="1">
      <c r="A14" s="336"/>
      <c r="B14" s="336"/>
      <c r="C14" s="338"/>
      <c r="D14" s="449">
        <v>3</v>
      </c>
      <c r="E14" s="449"/>
      <c r="F14" s="339">
        <f t="shared" si="13"/>
        <v>14.23</v>
      </c>
      <c r="G14" s="450">
        <f t="shared" si="14"/>
        <v>3.93</v>
      </c>
      <c r="H14" s="450"/>
      <c r="I14" s="340"/>
      <c r="J14" s="341">
        <f t="shared" ref="J14:J51" si="15">G14-G13</f>
        <v>1.08</v>
      </c>
      <c r="Q14" s="385"/>
      <c r="S14" s="50">
        <f t="shared" si="3"/>
        <v>97</v>
      </c>
      <c r="T14" s="50">
        <f t="shared" si="10"/>
        <v>2.8919622695744311</v>
      </c>
      <c r="U14" s="60">
        <f t="shared" si="11"/>
        <v>0.125</v>
      </c>
      <c r="V14" s="50">
        <f t="shared" si="12"/>
        <v>5.0000000000000001E-4</v>
      </c>
      <c r="W14" s="50">
        <f t="shared" si="0"/>
        <v>2.4305555555555556E-2</v>
      </c>
      <c r="X14" s="55">
        <f t="shared" si="4"/>
        <v>35</v>
      </c>
      <c r="Y14" s="56">
        <f t="shared" si="1"/>
        <v>26.436284917029685</v>
      </c>
      <c r="AA14" s="56">
        <f t="shared" si="5"/>
        <v>15.95134070433323</v>
      </c>
      <c r="AB14" s="56">
        <f t="shared" si="6"/>
        <v>35</v>
      </c>
      <c r="AC14" s="56">
        <f t="shared" si="7"/>
        <v>10.484944212696455</v>
      </c>
      <c r="AD14" s="58">
        <f t="shared" si="8"/>
        <v>10.48</v>
      </c>
      <c r="AE14" s="59">
        <f t="shared" si="9"/>
        <v>0</v>
      </c>
      <c r="AF14" s="57">
        <f t="shared" si="2"/>
        <v>0.90999999999999992</v>
      </c>
      <c r="AG14" s="56"/>
      <c r="AH14" s="56"/>
      <c r="AI14" s="56"/>
      <c r="EF14" s="50">
        <v>4.87</v>
      </c>
    </row>
    <row r="15" spans="1:136" s="50" customFormat="1" ht="23.1" customHeight="1" thickBot="1">
      <c r="A15" s="336"/>
      <c r="B15" s="336"/>
      <c r="C15" s="338"/>
      <c r="D15" s="449">
        <v>4</v>
      </c>
      <c r="E15" s="449"/>
      <c r="F15" s="339">
        <f t="shared" si="13"/>
        <v>15</v>
      </c>
      <c r="G15" s="450">
        <f t="shared" si="14"/>
        <v>4.7</v>
      </c>
      <c r="H15" s="450"/>
      <c r="I15" s="340"/>
      <c r="J15" s="341">
        <f t="shared" si="15"/>
        <v>0.77</v>
      </c>
      <c r="Q15" s="385"/>
      <c r="S15" s="50">
        <f t="shared" si="3"/>
        <v>97</v>
      </c>
      <c r="T15" s="50">
        <f t="shared" si="10"/>
        <v>2.8919622695744311</v>
      </c>
      <c r="U15" s="60">
        <f t="shared" si="11"/>
        <v>0.125</v>
      </c>
      <c r="V15" s="50">
        <f t="shared" si="12"/>
        <v>5.0000000000000001E-4</v>
      </c>
      <c r="W15" s="50">
        <f t="shared" si="0"/>
        <v>2.7777777777777776E-2</v>
      </c>
      <c r="X15" s="55">
        <f t="shared" si="4"/>
        <v>40</v>
      </c>
      <c r="Y15" s="56">
        <f t="shared" si="1"/>
        <v>26.792297028918856</v>
      </c>
      <c r="AA15" s="56">
        <f t="shared" si="5"/>
        <v>15.95134070433323</v>
      </c>
      <c r="AB15" s="56">
        <f t="shared" si="6"/>
        <v>40</v>
      </c>
      <c r="AC15" s="56">
        <f t="shared" si="7"/>
        <v>10.840956324585626</v>
      </c>
      <c r="AD15" s="58">
        <f t="shared" si="8"/>
        <v>10.84</v>
      </c>
      <c r="AE15" s="59">
        <f t="shared" si="9"/>
        <v>0</v>
      </c>
      <c r="AF15" s="57">
        <f t="shared" si="2"/>
        <v>0.91999999999999993</v>
      </c>
      <c r="AG15" s="56"/>
      <c r="AH15" s="56"/>
      <c r="AI15" s="56"/>
      <c r="EF15" s="50">
        <v>5.79</v>
      </c>
    </row>
    <row r="16" spans="1:136" s="50" customFormat="1" ht="23.1" customHeight="1">
      <c r="A16" s="336"/>
      <c r="B16" s="336"/>
      <c r="C16" s="338"/>
      <c r="D16" s="449">
        <v>5</v>
      </c>
      <c r="E16" s="449"/>
      <c r="F16" s="339">
        <f t="shared" si="13"/>
        <v>15.59</v>
      </c>
      <c r="G16" s="450">
        <f t="shared" si="14"/>
        <v>5.29</v>
      </c>
      <c r="H16" s="450"/>
      <c r="I16" s="340"/>
      <c r="J16" s="341">
        <f t="shared" si="15"/>
        <v>0.58999999999999986</v>
      </c>
      <c r="K16" s="399" t="s">
        <v>249</v>
      </c>
      <c r="L16" s="400" t="s">
        <v>179</v>
      </c>
      <c r="M16" s="400" t="s">
        <v>180</v>
      </c>
      <c r="N16" s="400" t="s">
        <v>247</v>
      </c>
      <c r="O16" s="400" t="s">
        <v>248</v>
      </c>
      <c r="P16" s="401" t="s">
        <v>250</v>
      </c>
      <c r="S16" s="50">
        <f t="shared" si="3"/>
        <v>97</v>
      </c>
      <c r="T16" s="50">
        <f t="shared" si="10"/>
        <v>2.8919622695744311</v>
      </c>
      <c r="U16" s="60">
        <f t="shared" si="11"/>
        <v>0.125</v>
      </c>
      <c r="V16" s="50">
        <f t="shared" si="12"/>
        <v>5.0000000000000001E-4</v>
      </c>
      <c r="W16" s="50">
        <f t="shared" si="0"/>
        <v>3.125E-2</v>
      </c>
      <c r="X16" s="55">
        <f t="shared" si="4"/>
        <v>45</v>
      </c>
      <c r="Y16" s="56">
        <f t="shared" si="1"/>
        <v>27.106321966759925</v>
      </c>
      <c r="AA16" s="56">
        <f t="shared" si="5"/>
        <v>15.95134070433323</v>
      </c>
      <c r="AB16" s="56">
        <f t="shared" si="6"/>
        <v>45</v>
      </c>
      <c r="AC16" s="56">
        <f t="shared" si="7"/>
        <v>11.154981262426695</v>
      </c>
      <c r="AD16" s="58">
        <f t="shared" si="8"/>
        <v>11.15</v>
      </c>
      <c r="AE16" s="59">
        <f t="shared" si="9"/>
        <v>0</v>
      </c>
      <c r="AF16" s="57">
        <f t="shared" si="2"/>
        <v>0.92999999999999994</v>
      </c>
      <c r="AG16" s="56"/>
      <c r="AH16" s="56"/>
      <c r="AI16" s="56"/>
      <c r="EF16" s="50">
        <v>6.75</v>
      </c>
    </row>
    <row r="17" spans="1:136" s="50" customFormat="1" ht="23.1" customHeight="1">
      <c r="A17" s="336"/>
      <c r="B17" s="336"/>
      <c r="C17" s="338"/>
      <c r="D17" s="449">
        <v>10</v>
      </c>
      <c r="E17" s="449"/>
      <c r="F17" s="339">
        <f t="shared" si="13"/>
        <v>17.440000000000001</v>
      </c>
      <c r="G17" s="450">
        <f t="shared" si="14"/>
        <v>7.14</v>
      </c>
      <c r="H17" s="450"/>
      <c r="I17" s="340"/>
      <c r="J17" s="341">
        <f t="shared" si="15"/>
        <v>1.8499999999999996</v>
      </c>
      <c r="K17" s="402">
        <f>D12</f>
        <v>1</v>
      </c>
      <c r="L17" s="387">
        <f>INT(B12/1440*10000)/10000</f>
        <v>6.7299999999999999E-2</v>
      </c>
      <c r="M17" s="387">
        <f>K17*L17</f>
        <v>6.7299999999999999E-2</v>
      </c>
      <c r="N17" s="387">
        <f>INT((D9/2000)^2*3.14159*100000)/100000</f>
        <v>4.9079999999999999E-2</v>
      </c>
      <c r="O17" s="387">
        <f>INT(M17/N17*100)/100</f>
        <v>1.37</v>
      </c>
      <c r="P17" s="403">
        <f>INT((G12-O17)*100)/100</f>
        <v>0.52</v>
      </c>
      <c r="S17" s="50">
        <f t="shared" si="3"/>
        <v>97</v>
      </c>
      <c r="T17" s="50">
        <f t="shared" si="10"/>
        <v>2.8919622695744311</v>
      </c>
      <c r="U17" s="60">
        <f t="shared" si="11"/>
        <v>0.125</v>
      </c>
      <c r="V17" s="50">
        <f t="shared" si="12"/>
        <v>5.0000000000000001E-4</v>
      </c>
      <c r="W17" s="50">
        <f t="shared" si="0"/>
        <v>3.4722222222222224E-2</v>
      </c>
      <c r="X17" s="55">
        <f t="shared" si="4"/>
        <v>50</v>
      </c>
      <c r="Y17" s="56">
        <f t="shared" si="1"/>
        <v>27.387226845768776</v>
      </c>
      <c r="AA17" s="56">
        <f t="shared" si="5"/>
        <v>15.95134070433323</v>
      </c>
      <c r="AB17" s="56">
        <f t="shared" si="6"/>
        <v>50</v>
      </c>
      <c r="AC17" s="56">
        <f t="shared" si="7"/>
        <v>11.435886141435546</v>
      </c>
      <c r="AD17" s="58">
        <f t="shared" ref="AD17:AD22" si="16">INT(AC17*100)/100</f>
        <v>11.43</v>
      </c>
      <c r="AF17" s="57">
        <f t="shared" si="2"/>
        <v>0.94</v>
      </c>
      <c r="AG17" s="56"/>
      <c r="AH17" s="56"/>
      <c r="AI17" s="56"/>
      <c r="EF17" s="50">
        <v>7.73</v>
      </c>
    </row>
    <row r="18" spans="1:136" s="50" customFormat="1" ht="23.1" customHeight="1">
      <c r="A18" s="336"/>
      <c r="B18" s="336"/>
      <c r="C18" s="338"/>
      <c r="D18" s="449">
        <v>15</v>
      </c>
      <c r="E18" s="449"/>
      <c r="F18" s="339">
        <f t="shared" si="13"/>
        <v>18.520000000000003</v>
      </c>
      <c r="G18" s="450">
        <f t="shared" si="14"/>
        <v>8.2200000000000006</v>
      </c>
      <c r="H18" s="450"/>
      <c r="I18" s="340"/>
      <c r="J18" s="341">
        <f t="shared" si="15"/>
        <v>1.080000000000001</v>
      </c>
      <c r="K18" s="402">
        <f>D13</f>
        <v>2</v>
      </c>
      <c r="L18" s="387">
        <f>L17</f>
        <v>6.7299999999999999E-2</v>
      </c>
      <c r="M18" s="387">
        <f t="shared" ref="M18:M32" si="17">K18*L18</f>
        <v>0.1346</v>
      </c>
      <c r="N18" s="387">
        <f>N17</f>
        <v>4.9079999999999999E-2</v>
      </c>
      <c r="O18" s="387">
        <f>INT(M18/N18*100)/100</f>
        <v>2.74</v>
      </c>
      <c r="P18" s="403">
        <f>INT((G13-O18)*100*0.98)/100</f>
        <v>0.1</v>
      </c>
      <c r="S18" s="50">
        <f t="shared" si="3"/>
        <v>97</v>
      </c>
      <c r="T18" s="50">
        <f t="shared" si="10"/>
        <v>2.8919622695744311</v>
      </c>
      <c r="U18" s="60">
        <f t="shared" si="11"/>
        <v>0.125</v>
      </c>
      <c r="V18" s="50">
        <f t="shared" si="12"/>
        <v>5.0000000000000001E-4</v>
      </c>
      <c r="W18" s="50">
        <f t="shared" si="0"/>
        <v>3.8194444444444448E-2</v>
      </c>
      <c r="X18" s="55">
        <f t="shared" si="4"/>
        <v>55</v>
      </c>
      <c r="Y18" s="56">
        <f t="shared" si="1"/>
        <v>27.641336218327236</v>
      </c>
      <c r="AA18" s="56">
        <f t="shared" si="5"/>
        <v>15.95134070433323</v>
      </c>
      <c r="AB18" s="56">
        <f t="shared" si="6"/>
        <v>55</v>
      </c>
      <c r="AC18" s="56">
        <f t="shared" si="7"/>
        <v>11.689995513994006</v>
      </c>
      <c r="AD18" s="58">
        <f t="shared" si="16"/>
        <v>11.68</v>
      </c>
      <c r="AF18" s="57">
        <f t="shared" si="2"/>
        <v>0.95</v>
      </c>
      <c r="AG18" s="56"/>
      <c r="AH18" s="56"/>
      <c r="AI18" s="56"/>
      <c r="EF18" s="50">
        <v>8.74</v>
      </c>
    </row>
    <row r="19" spans="1:136" s="50" customFormat="1" ht="23.1" customHeight="1">
      <c r="A19" s="336"/>
      <c r="B19" s="336"/>
      <c r="C19" s="338"/>
      <c r="D19" s="449">
        <v>20</v>
      </c>
      <c r="E19" s="449"/>
      <c r="F19" s="339">
        <f t="shared" si="13"/>
        <v>19.29</v>
      </c>
      <c r="G19" s="450">
        <f t="shared" si="14"/>
        <v>8.99</v>
      </c>
      <c r="H19" s="450"/>
      <c r="I19" s="340"/>
      <c r="J19" s="341">
        <f t="shared" si="15"/>
        <v>0.76999999999999957</v>
      </c>
      <c r="K19" s="402">
        <f t="shared" ref="K19:K32" si="18">D14</f>
        <v>3</v>
      </c>
      <c r="L19" s="387">
        <f>L18</f>
        <v>6.7299999999999999E-2</v>
      </c>
      <c r="M19" s="387">
        <f t="shared" si="17"/>
        <v>0.2019</v>
      </c>
      <c r="N19" s="387">
        <f t="shared" ref="N19:N32" si="19">N18</f>
        <v>4.9079999999999999E-2</v>
      </c>
      <c r="O19" s="387">
        <f>INT(M19/N19*100)/100</f>
        <v>4.1100000000000003</v>
      </c>
      <c r="P19" s="403">
        <f>INT((G14-O19)*100*0.95)/100</f>
        <v>-0.18</v>
      </c>
      <c r="S19" s="50">
        <f t="shared" si="3"/>
        <v>97</v>
      </c>
      <c r="T19" s="50">
        <f t="shared" si="10"/>
        <v>2.8919622695744311</v>
      </c>
      <c r="U19" s="60">
        <f t="shared" si="11"/>
        <v>0.125</v>
      </c>
      <c r="V19" s="50">
        <f t="shared" si="12"/>
        <v>5.0000000000000001E-4</v>
      </c>
      <c r="W19" s="50">
        <f t="shared" si="0"/>
        <v>4.1666666666666664E-2</v>
      </c>
      <c r="X19" s="55">
        <f t="shared" si="4"/>
        <v>60</v>
      </c>
      <c r="Y19" s="56">
        <f t="shared" si="1"/>
        <v>27.873319900004006</v>
      </c>
      <c r="AA19" s="56">
        <f t="shared" si="5"/>
        <v>15.95134070433323</v>
      </c>
      <c r="AB19" s="56">
        <f t="shared" si="6"/>
        <v>60</v>
      </c>
      <c r="AC19" s="56">
        <f t="shared" si="7"/>
        <v>11.921979195670776</v>
      </c>
      <c r="AD19" s="58">
        <f t="shared" si="16"/>
        <v>11.92</v>
      </c>
      <c r="AF19" s="57">
        <f t="shared" si="2"/>
        <v>0.96</v>
      </c>
      <c r="AG19" s="56"/>
      <c r="AH19" s="56"/>
      <c r="AI19" s="56"/>
      <c r="EF19" s="50">
        <v>9.7799999999999994</v>
      </c>
    </row>
    <row r="20" spans="1:136" s="50" customFormat="1" ht="23.1" customHeight="1">
      <c r="A20" s="336"/>
      <c r="B20" s="336"/>
      <c r="C20" s="338"/>
      <c r="D20" s="449">
        <v>25</v>
      </c>
      <c r="E20" s="449"/>
      <c r="F20" s="339">
        <f t="shared" si="13"/>
        <v>19.880000000000003</v>
      </c>
      <c r="G20" s="450">
        <f t="shared" si="14"/>
        <v>9.58</v>
      </c>
      <c r="H20" s="450"/>
      <c r="I20" s="340"/>
      <c r="J20" s="341">
        <f t="shared" si="15"/>
        <v>0.58999999999999986</v>
      </c>
      <c r="K20" s="402">
        <f t="shared" si="18"/>
        <v>4</v>
      </c>
      <c r="L20" s="387">
        <f>L19</f>
        <v>6.7299999999999999E-2</v>
      </c>
      <c r="M20" s="387">
        <f t="shared" si="17"/>
        <v>0.26919999999999999</v>
      </c>
      <c r="N20" s="387">
        <f t="shared" si="19"/>
        <v>4.9079999999999999E-2</v>
      </c>
      <c r="O20" s="387">
        <f>INT(M20/N20*100)/100</f>
        <v>5.48</v>
      </c>
      <c r="P20" s="403">
        <f>INT((G15-O20)*100*0.91)/100</f>
        <v>-0.71</v>
      </c>
      <c r="S20" s="50">
        <f t="shared" si="3"/>
        <v>97</v>
      </c>
      <c r="T20" s="50">
        <f t="shared" si="10"/>
        <v>2.8919622695744311</v>
      </c>
      <c r="U20" s="60">
        <f t="shared" si="11"/>
        <v>0.125</v>
      </c>
      <c r="V20" s="50">
        <f t="shared" si="12"/>
        <v>5.0000000000000001E-4</v>
      </c>
      <c r="W20" s="50">
        <f t="shared" si="0"/>
        <v>5.2083333333333336E-2</v>
      </c>
      <c r="X20" s="55">
        <f t="shared" si="4"/>
        <v>75</v>
      </c>
      <c r="Y20" s="56">
        <f t="shared" si="1"/>
        <v>28.468249716853922</v>
      </c>
      <c r="AA20" s="56">
        <f t="shared" si="5"/>
        <v>15.95134070433323</v>
      </c>
      <c r="AB20" s="56">
        <f t="shared" si="6"/>
        <v>75</v>
      </c>
      <c r="AC20" s="56">
        <f t="shared" si="7"/>
        <v>12.516909012520692</v>
      </c>
      <c r="AD20" s="58">
        <f t="shared" si="16"/>
        <v>12.51</v>
      </c>
      <c r="AF20" s="57">
        <f t="shared" si="2"/>
        <v>0.97</v>
      </c>
      <c r="AG20" s="56"/>
      <c r="AH20" s="56"/>
      <c r="AI20" s="56"/>
      <c r="EF20" s="50">
        <v>10</v>
      </c>
    </row>
    <row r="21" spans="1:136" s="50" customFormat="1" ht="23.1" customHeight="1">
      <c r="A21" s="336"/>
      <c r="B21" s="336"/>
      <c r="C21" s="338"/>
      <c r="D21" s="449">
        <v>30</v>
      </c>
      <c r="E21" s="449"/>
      <c r="F21" s="339">
        <f t="shared" si="13"/>
        <v>20.37</v>
      </c>
      <c r="G21" s="450">
        <f t="shared" si="14"/>
        <v>10.07</v>
      </c>
      <c r="H21" s="450"/>
      <c r="I21" s="340"/>
      <c r="J21" s="341">
        <f t="shared" si="15"/>
        <v>0.49000000000000021</v>
      </c>
      <c r="K21" s="402">
        <f t="shared" si="18"/>
        <v>5</v>
      </c>
      <c r="L21" s="386">
        <f>L20</f>
        <v>6.7299999999999999E-2</v>
      </c>
      <c r="M21" s="387">
        <f t="shared" si="17"/>
        <v>0.33650000000000002</v>
      </c>
      <c r="N21" s="387">
        <f t="shared" si="19"/>
        <v>4.9079999999999999E-2</v>
      </c>
      <c r="O21" s="386">
        <f>INT(M21/N21*100)/100</f>
        <v>6.85</v>
      </c>
      <c r="P21" s="403">
        <f>INT((G16-O21)*100*0.86)/100</f>
        <v>-1.35</v>
      </c>
      <c r="S21" s="50">
        <f t="shared" si="3"/>
        <v>97</v>
      </c>
      <c r="T21" s="50">
        <f t="shared" si="10"/>
        <v>2.8919622695744311</v>
      </c>
      <c r="U21" s="60">
        <f t="shared" si="11"/>
        <v>0.125</v>
      </c>
      <c r="V21" s="50">
        <f t="shared" si="12"/>
        <v>5.0000000000000001E-4</v>
      </c>
      <c r="W21" s="50">
        <f t="shared" si="0"/>
        <v>6.25E-2</v>
      </c>
      <c r="X21" s="55">
        <f t="shared" si="4"/>
        <v>90</v>
      </c>
      <c r="Y21" s="56">
        <f t="shared" si="1"/>
        <v>28.954342771089152</v>
      </c>
      <c r="AA21" s="56">
        <f t="shared" si="5"/>
        <v>15.95134070433323</v>
      </c>
      <c r="AB21" s="56">
        <f t="shared" si="6"/>
        <v>90</v>
      </c>
      <c r="AC21" s="56">
        <f t="shared" si="7"/>
        <v>13.003002066755922</v>
      </c>
      <c r="AD21" s="58">
        <f t="shared" si="16"/>
        <v>13</v>
      </c>
      <c r="AF21" s="57">
        <f t="shared" si="2"/>
        <v>0.98</v>
      </c>
      <c r="AG21" s="56"/>
      <c r="AH21" s="56"/>
      <c r="AI21" s="56"/>
      <c r="EF21" s="50">
        <v>10.16</v>
      </c>
    </row>
    <row r="22" spans="1:136" s="50" customFormat="1" ht="23.1" customHeight="1">
      <c r="A22" s="336"/>
      <c r="B22" s="336"/>
      <c r="C22" s="338"/>
      <c r="D22" s="449">
        <v>35</v>
      </c>
      <c r="E22" s="449"/>
      <c r="F22" s="339">
        <f t="shared" si="13"/>
        <v>20.78</v>
      </c>
      <c r="G22" s="450">
        <f t="shared" si="14"/>
        <v>10.48</v>
      </c>
      <c r="H22" s="450"/>
      <c r="I22" s="314"/>
      <c r="J22" s="341">
        <f t="shared" si="15"/>
        <v>0.41000000000000014</v>
      </c>
      <c r="K22" s="402">
        <f t="shared" si="18"/>
        <v>10</v>
      </c>
      <c r="L22" s="386">
        <f t="shared" ref="L22:L32" si="20">L21</f>
        <v>6.7299999999999999E-2</v>
      </c>
      <c r="M22" s="387">
        <f t="shared" si="17"/>
        <v>0.67300000000000004</v>
      </c>
      <c r="N22" s="387">
        <f t="shared" si="19"/>
        <v>4.9079999999999999E-2</v>
      </c>
      <c r="O22" s="386">
        <f t="shared" ref="O22:O30" si="21">INT(M22/N22*100)/100</f>
        <v>13.71</v>
      </c>
      <c r="P22" s="403">
        <f>INT((G17-O22)*100*0.8)/100</f>
        <v>-5.26</v>
      </c>
      <c r="S22" s="50">
        <f t="shared" si="3"/>
        <v>97</v>
      </c>
      <c r="T22" s="50">
        <f t="shared" si="10"/>
        <v>2.8919622695744311</v>
      </c>
      <c r="U22" s="60">
        <f t="shared" si="11"/>
        <v>0.125</v>
      </c>
      <c r="V22" s="50">
        <f t="shared" si="12"/>
        <v>5.0000000000000001E-4</v>
      </c>
      <c r="W22" s="50">
        <f t="shared" si="0"/>
        <v>7.2916666666666671E-2</v>
      </c>
      <c r="X22" s="55">
        <f t="shared" si="4"/>
        <v>105</v>
      </c>
      <c r="Y22" s="56">
        <f t="shared" si="1"/>
        <v>29.365328592444058</v>
      </c>
      <c r="Z22" s="56">
        <f>Y23-Z23</f>
        <v>15.95134070433323</v>
      </c>
      <c r="AA22" s="56">
        <f t="shared" si="5"/>
        <v>15.95134070433323</v>
      </c>
      <c r="AB22" s="56">
        <f t="shared" si="6"/>
        <v>105</v>
      </c>
      <c r="AC22" s="56">
        <f t="shared" si="7"/>
        <v>13.413987888110828</v>
      </c>
      <c r="AD22" s="58">
        <f t="shared" si="16"/>
        <v>13.41</v>
      </c>
      <c r="AF22" s="57">
        <f>AF23-0.01</f>
        <v>0.99</v>
      </c>
      <c r="AG22" s="56"/>
      <c r="AH22" s="56"/>
      <c r="AI22" s="56"/>
      <c r="EF22" s="50">
        <v>10.02</v>
      </c>
    </row>
    <row r="23" spans="1:136" s="50" customFormat="1" ht="23.1" customHeight="1">
      <c r="A23" s="336"/>
      <c r="B23" s="336"/>
      <c r="C23" s="338"/>
      <c r="D23" s="449">
        <v>40</v>
      </c>
      <c r="E23" s="449"/>
      <c r="F23" s="339">
        <f t="shared" si="13"/>
        <v>21.14</v>
      </c>
      <c r="G23" s="450">
        <f t="shared" si="14"/>
        <v>10.84</v>
      </c>
      <c r="H23" s="450"/>
      <c r="I23" s="314"/>
      <c r="J23" s="341">
        <f t="shared" si="15"/>
        <v>0.35999999999999943</v>
      </c>
      <c r="K23" s="402">
        <f t="shared" si="18"/>
        <v>15</v>
      </c>
      <c r="L23" s="386">
        <f t="shared" si="20"/>
        <v>6.7299999999999999E-2</v>
      </c>
      <c r="M23" s="387">
        <f t="shared" si="17"/>
        <v>1.0095000000000001</v>
      </c>
      <c r="N23" s="387">
        <f t="shared" si="19"/>
        <v>4.9079999999999999E-2</v>
      </c>
      <c r="O23" s="386">
        <f t="shared" si="21"/>
        <v>20.56</v>
      </c>
      <c r="P23" s="403">
        <f t="shared" ref="P23:P32" si="22">INT((G18-O23)*100)/100</f>
        <v>-12.34</v>
      </c>
      <c r="S23" s="50">
        <f t="shared" si="3"/>
        <v>97</v>
      </c>
      <c r="T23" s="50">
        <f t="shared" si="10"/>
        <v>2.8919622695744311</v>
      </c>
      <c r="U23" s="60">
        <f t="shared" si="11"/>
        <v>0.125</v>
      </c>
      <c r="V23" s="50">
        <f t="shared" si="12"/>
        <v>5.0000000000000001E-4</v>
      </c>
      <c r="W23" s="50">
        <f t="shared" si="0"/>
        <v>8.3333333333333329E-2</v>
      </c>
      <c r="X23" s="55">
        <f t="shared" si="4"/>
        <v>120</v>
      </c>
      <c r="Y23" s="56">
        <f t="shared" si="1"/>
        <v>29.72134070433323</v>
      </c>
      <c r="Z23" s="56">
        <f>Input!B20</f>
        <v>13.77</v>
      </c>
      <c r="AA23" s="56">
        <f t="shared" si="5"/>
        <v>15.95134070433323</v>
      </c>
      <c r="AB23" s="56">
        <f t="shared" si="6"/>
        <v>120</v>
      </c>
      <c r="AC23" s="56">
        <f t="shared" si="7"/>
        <v>13.77</v>
      </c>
      <c r="AD23" s="58">
        <f>INT((AC$3+AE23)*100)/100</f>
        <v>13.77</v>
      </c>
      <c r="AE23" s="56">
        <f>AG$23*AF23</f>
        <v>13.77</v>
      </c>
      <c r="AF23" s="56">
        <v>1</v>
      </c>
      <c r="AG23" s="56">
        <f>AC23-AC3</f>
        <v>13.77</v>
      </c>
      <c r="AH23" s="56"/>
      <c r="AI23" s="56"/>
      <c r="EF23" s="50">
        <v>10.02</v>
      </c>
    </row>
    <row r="24" spans="1:136" s="50" customFormat="1" ht="23.1" customHeight="1">
      <c r="A24" s="336"/>
      <c r="B24" s="336"/>
      <c r="C24" s="338"/>
      <c r="D24" s="449">
        <v>45</v>
      </c>
      <c r="E24" s="449"/>
      <c r="F24" s="339">
        <f t="shared" si="13"/>
        <v>21.450000000000003</v>
      </c>
      <c r="G24" s="450">
        <f t="shared" si="14"/>
        <v>11.15</v>
      </c>
      <c r="H24" s="450"/>
      <c r="I24" s="314"/>
      <c r="J24" s="341">
        <f t="shared" si="15"/>
        <v>0.3100000000000005</v>
      </c>
      <c r="K24" s="402">
        <f t="shared" si="18"/>
        <v>20</v>
      </c>
      <c r="L24" s="386">
        <f t="shared" si="20"/>
        <v>6.7299999999999999E-2</v>
      </c>
      <c r="M24" s="387">
        <f t="shared" si="17"/>
        <v>1.3460000000000001</v>
      </c>
      <c r="N24" s="387">
        <f t="shared" si="19"/>
        <v>4.9079999999999999E-2</v>
      </c>
      <c r="O24" s="386">
        <f t="shared" si="21"/>
        <v>27.42</v>
      </c>
      <c r="P24" s="403">
        <f t="shared" si="22"/>
        <v>-18.43</v>
      </c>
      <c r="R24" s="54">
        <f>B32</f>
        <v>123</v>
      </c>
      <c r="S24" s="50">
        <f>$R$24</f>
        <v>123</v>
      </c>
      <c r="T24" s="50">
        <f t="shared" si="10"/>
        <v>2.8919622695744311</v>
      </c>
      <c r="U24" s="60">
        <f t="shared" si="11"/>
        <v>0.125</v>
      </c>
      <c r="V24" s="50">
        <f t="shared" si="12"/>
        <v>5.0000000000000001E-4</v>
      </c>
      <c r="W24" s="50">
        <f t="shared" si="0"/>
        <v>9.0277777777777776E-2</v>
      </c>
      <c r="X24" s="55">
        <f t="shared" si="4"/>
        <v>130</v>
      </c>
      <c r="Y24" s="56">
        <f t="shared" si="1"/>
        <v>37.958491088245488</v>
      </c>
      <c r="Z24" s="56">
        <f>Z27</f>
        <v>21.671252222324554</v>
      </c>
      <c r="AA24" s="56">
        <f>$Z$24</f>
        <v>21.671252222324554</v>
      </c>
      <c r="AB24" s="56">
        <f t="shared" si="6"/>
        <v>130</v>
      </c>
      <c r="AC24" s="56">
        <f t="shared" si="7"/>
        <v>16.287238865920934</v>
      </c>
      <c r="AD24" s="58">
        <f>INT((AC$23+AE24)*100)/100</f>
        <v>16.52</v>
      </c>
      <c r="AE24" s="56">
        <f>AF24*AG$28</f>
        <v>2.754</v>
      </c>
      <c r="AF24" s="56">
        <v>0.6</v>
      </c>
      <c r="AG24" s="56"/>
      <c r="AH24" s="56"/>
      <c r="EF24" s="50">
        <v>10.02</v>
      </c>
    </row>
    <row r="25" spans="1:136" s="50" customFormat="1" ht="23.1" customHeight="1">
      <c r="A25" s="336"/>
      <c r="B25" s="336"/>
      <c r="C25" s="338"/>
      <c r="D25" s="449">
        <v>50</v>
      </c>
      <c r="E25" s="449"/>
      <c r="F25" s="339">
        <f t="shared" si="13"/>
        <v>21.73</v>
      </c>
      <c r="G25" s="450">
        <f t="shared" si="14"/>
        <v>11.43</v>
      </c>
      <c r="H25" s="450"/>
      <c r="I25" s="314"/>
      <c r="J25" s="341">
        <f t="shared" si="15"/>
        <v>0.27999999999999936</v>
      </c>
      <c r="K25" s="402">
        <f t="shared" si="18"/>
        <v>25</v>
      </c>
      <c r="L25" s="386">
        <f t="shared" si="20"/>
        <v>6.7299999999999999E-2</v>
      </c>
      <c r="M25" s="387">
        <f t="shared" si="17"/>
        <v>1.6824999999999999</v>
      </c>
      <c r="N25" s="387">
        <f t="shared" si="19"/>
        <v>4.9079999999999999E-2</v>
      </c>
      <c r="O25" s="386">
        <f t="shared" si="21"/>
        <v>34.28</v>
      </c>
      <c r="P25" s="403">
        <f t="shared" si="22"/>
        <v>-24.7</v>
      </c>
      <c r="S25" s="50">
        <f>$R$24</f>
        <v>123</v>
      </c>
      <c r="T25" s="50">
        <f t="shared" si="10"/>
        <v>2.8919622695744311</v>
      </c>
      <c r="U25" s="60">
        <f t="shared" si="11"/>
        <v>0.125</v>
      </c>
      <c r="V25" s="50">
        <f t="shared" si="12"/>
        <v>5.0000000000000001E-4</v>
      </c>
      <c r="W25" s="50">
        <f t="shared" si="0"/>
        <v>9.7222222222222224E-2</v>
      </c>
      <c r="X25" s="55">
        <f t="shared" si="4"/>
        <v>140</v>
      </c>
      <c r="Y25" s="56">
        <f t="shared" si="1"/>
        <v>38.20903260473856</v>
      </c>
      <c r="AA25" s="56">
        <f>$Z$24</f>
        <v>21.671252222324554</v>
      </c>
      <c r="AB25" s="56">
        <f t="shared" si="6"/>
        <v>140</v>
      </c>
      <c r="AC25" s="56">
        <f t="shared" si="7"/>
        <v>16.537780382414006</v>
      </c>
      <c r="AD25" s="58">
        <f>INT((AC$23+AE25)*100)/100</f>
        <v>16.98</v>
      </c>
      <c r="AE25" s="56">
        <f>AF25*AG$28</f>
        <v>3.2129999999999996</v>
      </c>
      <c r="AF25" s="56">
        <v>0.7</v>
      </c>
      <c r="AG25" s="56"/>
      <c r="AH25" s="56"/>
      <c r="EF25" s="50">
        <v>10.02</v>
      </c>
    </row>
    <row r="26" spans="1:136" s="50" customFormat="1" ht="23.1" customHeight="1">
      <c r="A26" s="336"/>
      <c r="B26" s="336"/>
      <c r="C26" s="338"/>
      <c r="D26" s="449">
        <v>55</v>
      </c>
      <c r="E26" s="449"/>
      <c r="F26" s="339">
        <f t="shared" si="13"/>
        <v>21.98</v>
      </c>
      <c r="G26" s="450">
        <f t="shared" si="14"/>
        <v>11.68</v>
      </c>
      <c r="H26" s="450"/>
      <c r="I26" s="314"/>
      <c r="J26" s="341">
        <f t="shared" si="15"/>
        <v>0.25</v>
      </c>
      <c r="K26" s="402">
        <f t="shared" si="18"/>
        <v>30</v>
      </c>
      <c r="L26" s="386">
        <f t="shared" si="20"/>
        <v>6.7299999999999999E-2</v>
      </c>
      <c r="M26" s="387">
        <f t="shared" si="17"/>
        <v>2.0190000000000001</v>
      </c>
      <c r="N26" s="387">
        <f t="shared" si="19"/>
        <v>4.9079999999999999E-2</v>
      </c>
      <c r="O26" s="387">
        <f t="shared" si="21"/>
        <v>41.13</v>
      </c>
      <c r="P26" s="403">
        <f t="shared" si="22"/>
        <v>-31.06</v>
      </c>
      <c r="S26" s="50">
        <f>$R$24</f>
        <v>123</v>
      </c>
      <c r="T26" s="50">
        <f t="shared" si="10"/>
        <v>2.8919622695744311</v>
      </c>
      <c r="U26" s="60">
        <f t="shared" si="11"/>
        <v>0.125</v>
      </c>
      <c r="V26" s="50">
        <f t="shared" si="12"/>
        <v>5.0000000000000001E-4</v>
      </c>
      <c r="W26" s="50">
        <f t="shared" si="0"/>
        <v>0.10416666666666667</v>
      </c>
      <c r="X26" s="55">
        <f t="shared" si="4"/>
        <v>150</v>
      </c>
      <c r="Y26" s="56">
        <f t="shared" si="1"/>
        <v>38.442281176345638</v>
      </c>
      <c r="AA26" s="56">
        <f>$Z$24</f>
        <v>21.671252222324554</v>
      </c>
      <c r="AB26" s="56">
        <f t="shared" si="6"/>
        <v>150</v>
      </c>
      <c r="AC26" s="56">
        <f t="shared" si="7"/>
        <v>16.771028954021084</v>
      </c>
      <c r="AD26" s="58">
        <f>INT((AC$23+AE26)*100)/100</f>
        <v>17.440000000000001</v>
      </c>
      <c r="AE26" s="56">
        <f>AF26*AG$28</f>
        <v>3.6720000000000002</v>
      </c>
      <c r="AF26" s="56">
        <v>0.8</v>
      </c>
      <c r="AG26" s="56"/>
      <c r="AH26" s="56"/>
      <c r="EF26" s="50">
        <v>10.06</v>
      </c>
    </row>
    <row r="27" spans="1:136" s="50" customFormat="1" ht="23.1" customHeight="1">
      <c r="A27" s="336"/>
      <c r="B27" s="336"/>
      <c r="C27" s="338">
        <f>$C$12+D27/1440</f>
        <v>44992.520833333328</v>
      </c>
      <c r="D27" s="449">
        <v>60</v>
      </c>
      <c r="E27" s="449"/>
      <c r="F27" s="339">
        <f t="shared" si="13"/>
        <v>22.22</v>
      </c>
      <c r="G27" s="450">
        <f t="shared" si="14"/>
        <v>11.92</v>
      </c>
      <c r="H27" s="450"/>
      <c r="I27" s="314"/>
      <c r="J27" s="341">
        <f t="shared" si="15"/>
        <v>0.24000000000000021</v>
      </c>
      <c r="K27" s="402">
        <f t="shared" si="18"/>
        <v>35</v>
      </c>
      <c r="L27" s="386">
        <f t="shared" si="20"/>
        <v>6.7299999999999999E-2</v>
      </c>
      <c r="M27" s="387">
        <f t="shared" si="17"/>
        <v>2.3555000000000001</v>
      </c>
      <c r="N27" s="387">
        <f t="shared" si="19"/>
        <v>4.9079999999999999E-2</v>
      </c>
      <c r="O27" s="387">
        <f t="shared" si="21"/>
        <v>47.99</v>
      </c>
      <c r="P27" s="403">
        <f t="shared" si="22"/>
        <v>-37.51</v>
      </c>
      <c r="S27" s="50">
        <f>$R$24</f>
        <v>123</v>
      </c>
      <c r="T27" s="50">
        <f t="shared" si="10"/>
        <v>2.8919622695744311</v>
      </c>
      <c r="U27" s="60">
        <f t="shared" si="11"/>
        <v>0.125</v>
      </c>
      <c r="V27" s="50">
        <f t="shared" si="12"/>
        <v>5.0000000000000001E-4</v>
      </c>
      <c r="W27" s="50">
        <f t="shared" si="0"/>
        <v>0.125</v>
      </c>
      <c r="X27" s="55">
        <f t="shared" si="4"/>
        <v>180</v>
      </c>
      <c r="Y27" s="56">
        <f t="shared" si="1"/>
        <v>39.058667214190308</v>
      </c>
      <c r="Z27" s="56">
        <f>Y28-Z28</f>
        <v>21.671252222324554</v>
      </c>
      <c r="AA27" s="56">
        <f>$Z$24</f>
        <v>21.671252222324554</v>
      </c>
      <c r="AB27" s="56">
        <f t="shared" si="6"/>
        <v>180</v>
      </c>
      <c r="AC27" s="56">
        <f t="shared" si="7"/>
        <v>17.387414991865754</v>
      </c>
      <c r="AD27" s="58">
        <f>INT((AC$23+AE27)*100)/100</f>
        <v>17.899999999999999</v>
      </c>
      <c r="AE27" s="56">
        <f>AF27*AG$28</f>
        <v>4.1310000000000002</v>
      </c>
      <c r="AF27" s="56">
        <v>0.9</v>
      </c>
      <c r="AG27" s="56"/>
      <c r="AH27" s="56"/>
      <c r="EF27" s="50">
        <v>10.06</v>
      </c>
    </row>
    <row r="28" spans="1:136" s="50" customFormat="1" ht="23.1" customHeight="1">
      <c r="A28" s="336"/>
      <c r="B28" s="336"/>
      <c r="C28" s="338"/>
      <c r="D28" s="449">
        <v>75</v>
      </c>
      <c r="E28" s="449"/>
      <c r="F28" s="339">
        <f t="shared" si="13"/>
        <v>22.810000000000002</v>
      </c>
      <c r="G28" s="450">
        <f t="shared" si="14"/>
        <v>12.51</v>
      </c>
      <c r="H28" s="450"/>
      <c r="I28" s="314"/>
      <c r="J28" s="341">
        <f t="shared" si="15"/>
        <v>0.58999999999999986</v>
      </c>
      <c r="K28" s="402">
        <f t="shared" si="18"/>
        <v>40</v>
      </c>
      <c r="L28" s="386">
        <f t="shared" si="20"/>
        <v>6.7299999999999999E-2</v>
      </c>
      <c r="M28" s="387">
        <f t="shared" si="17"/>
        <v>2.6920000000000002</v>
      </c>
      <c r="N28" s="387">
        <f t="shared" si="19"/>
        <v>4.9079999999999999E-2</v>
      </c>
      <c r="O28" s="387">
        <f t="shared" si="21"/>
        <v>54.84</v>
      </c>
      <c r="P28" s="403">
        <f t="shared" si="22"/>
        <v>-44</v>
      </c>
      <c r="S28" s="50">
        <f>$R$24</f>
        <v>123</v>
      </c>
      <c r="T28" s="50">
        <f t="shared" si="10"/>
        <v>2.8919622695744311</v>
      </c>
      <c r="U28" s="60">
        <f t="shared" si="11"/>
        <v>0.125</v>
      </c>
      <c r="V28" s="50">
        <f t="shared" si="12"/>
        <v>5.0000000000000001E-4</v>
      </c>
      <c r="W28" s="50">
        <f t="shared" si="0"/>
        <v>0.16666666666666666</v>
      </c>
      <c r="X28" s="55">
        <f t="shared" si="4"/>
        <v>240</v>
      </c>
      <c r="Y28" s="56">
        <f t="shared" si="1"/>
        <v>40.031252222324554</v>
      </c>
      <c r="Z28" s="56">
        <f>Input!B21</f>
        <v>18.36</v>
      </c>
      <c r="AA28" s="56">
        <f>$Z$24</f>
        <v>21.671252222324554</v>
      </c>
      <c r="AB28" s="56">
        <f t="shared" si="6"/>
        <v>240</v>
      </c>
      <c r="AC28" s="56">
        <f t="shared" si="7"/>
        <v>18.36</v>
      </c>
      <c r="AD28" s="58">
        <f>INT((AC$23+AE28)*100)/100</f>
        <v>18.36</v>
      </c>
      <c r="AE28" s="56">
        <f>AF28*AG$28</f>
        <v>4.59</v>
      </c>
      <c r="AF28" s="56">
        <v>1</v>
      </c>
      <c r="AG28" s="56">
        <f>AC28-AC23</f>
        <v>4.59</v>
      </c>
      <c r="AH28" s="56"/>
      <c r="EF28" s="50">
        <v>10.15</v>
      </c>
    </row>
    <row r="29" spans="1:136" s="50" customFormat="1" ht="23.1" customHeight="1">
      <c r="A29" s="336"/>
      <c r="B29" s="336"/>
      <c r="C29" s="338"/>
      <c r="D29" s="449">
        <v>90</v>
      </c>
      <c r="E29" s="449"/>
      <c r="F29" s="339">
        <f t="shared" si="13"/>
        <v>23.3</v>
      </c>
      <c r="G29" s="450">
        <f t="shared" si="14"/>
        <v>13</v>
      </c>
      <c r="H29" s="450"/>
      <c r="I29" s="314"/>
      <c r="J29" s="341">
        <f t="shared" si="15"/>
        <v>0.49000000000000021</v>
      </c>
      <c r="K29" s="402">
        <f t="shared" si="18"/>
        <v>45</v>
      </c>
      <c r="L29" s="386">
        <f t="shared" si="20"/>
        <v>6.7299999999999999E-2</v>
      </c>
      <c r="M29" s="387">
        <f t="shared" si="17"/>
        <v>3.0284999999999997</v>
      </c>
      <c r="N29" s="387">
        <f t="shared" si="19"/>
        <v>4.9079999999999999E-2</v>
      </c>
      <c r="O29" s="387">
        <f t="shared" si="21"/>
        <v>61.7</v>
      </c>
      <c r="P29" s="403">
        <f t="shared" si="22"/>
        <v>-50.55</v>
      </c>
      <c r="R29" s="54">
        <f>B37</f>
        <v>150.44999999999999</v>
      </c>
      <c r="S29" s="50">
        <f>$R$29</f>
        <v>150.44999999999999</v>
      </c>
      <c r="T29" s="50">
        <f t="shared" si="10"/>
        <v>2.8919622695744311</v>
      </c>
      <c r="U29" s="60">
        <f t="shared" si="11"/>
        <v>0.125</v>
      </c>
      <c r="V29" s="50">
        <f t="shared" si="12"/>
        <v>5.0000000000000001E-4</v>
      </c>
      <c r="W29" s="50">
        <f t="shared" si="0"/>
        <v>0.1736111111111111</v>
      </c>
      <c r="X29" s="55">
        <f t="shared" si="4"/>
        <v>250</v>
      </c>
      <c r="Y29" s="56">
        <f t="shared" si="1"/>
        <v>49.133865256841709</v>
      </c>
      <c r="Z29" s="56">
        <f>Z32</f>
        <v>27.121755978690995</v>
      </c>
      <c r="AA29" s="56">
        <f>$Z$29</f>
        <v>27.121755978690995</v>
      </c>
      <c r="AB29" s="56">
        <f t="shared" si="6"/>
        <v>250</v>
      </c>
      <c r="AC29" s="56">
        <f t="shared" si="7"/>
        <v>22.012109278150714</v>
      </c>
      <c r="AD29" s="58">
        <f>INT((AC$28+AE29)*100)/100</f>
        <v>21.45</v>
      </c>
      <c r="AE29" s="56">
        <f>AF29*AG$33</f>
        <v>3.0960000000000001</v>
      </c>
      <c r="AF29" s="56">
        <v>0.6</v>
      </c>
      <c r="AG29" s="56"/>
      <c r="AH29" s="56"/>
      <c r="EF29" s="50">
        <v>10.15</v>
      </c>
    </row>
    <row r="30" spans="1:136" s="50" customFormat="1" ht="23.1" customHeight="1">
      <c r="A30" s="336"/>
      <c r="B30" s="336"/>
      <c r="C30" s="338"/>
      <c r="D30" s="449">
        <v>105</v>
      </c>
      <c r="E30" s="449"/>
      <c r="F30" s="339">
        <f t="shared" si="13"/>
        <v>23.71</v>
      </c>
      <c r="G30" s="450">
        <f t="shared" si="14"/>
        <v>13.41</v>
      </c>
      <c r="H30" s="450"/>
      <c r="I30" s="314"/>
      <c r="J30" s="341">
        <f t="shared" si="15"/>
        <v>0.41000000000000014</v>
      </c>
      <c r="K30" s="402">
        <f t="shared" si="18"/>
        <v>50</v>
      </c>
      <c r="L30" s="386">
        <f t="shared" si="20"/>
        <v>6.7299999999999999E-2</v>
      </c>
      <c r="M30" s="387">
        <f t="shared" si="17"/>
        <v>3.3649999999999998</v>
      </c>
      <c r="N30" s="387">
        <f t="shared" si="19"/>
        <v>4.9079999999999999E-2</v>
      </c>
      <c r="O30" s="387">
        <f t="shared" si="21"/>
        <v>68.56</v>
      </c>
      <c r="P30" s="403">
        <f t="shared" si="22"/>
        <v>-57.13</v>
      </c>
      <c r="R30" s="50" t="s">
        <v>21</v>
      </c>
      <c r="S30" s="50">
        <f>$R$29</f>
        <v>150.44999999999999</v>
      </c>
      <c r="T30" s="50">
        <f t="shared" si="10"/>
        <v>2.8919622695744311</v>
      </c>
      <c r="U30" s="60">
        <f t="shared" si="11"/>
        <v>0.125</v>
      </c>
      <c r="V30" s="50">
        <f t="shared" si="12"/>
        <v>5.0000000000000001E-4</v>
      </c>
      <c r="W30" s="50">
        <f t="shared" si="0"/>
        <v>0.18055555555555555</v>
      </c>
      <c r="X30" s="55">
        <f t="shared" si="4"/>
        <v>260</v>
      </c>
      <c r="Y30" s="56">
        <f t="shared" si="1"/>
        <v>49.296052741712138</v>
      </c>
      <c r="AA30" s="56">
        <f>$Z$29</f>
        <v>27.121755978690995</v>
      </c>
      <c r="AB30" s="56">
        <f t="shared" si="6"/>
        <v>260</v>
      </c>
      <c r="AC30" s="56">
        <f t="shared" si="7"/>
        <v>22.174296763021143</v>
      </c>
      <c r="AD30" s="58">
        <f>INT((AC$28+AE30)*100)/100</f>
        <v>21.97</v>
      </c>
      <c r="AE30" s="56">
        <f>AF30*AG$33</f>
        <v>3.6119999999999997</v>
      </c>
      <c r="AF30" s="56">
        <v>0.7</v>
      </c>
      <c r="AG30" s="56"/>
      <c r="AH30" s="56"/>
      <c r="EF30" s="50">
        <v>10.15</v>
      </c>
    </row>
    <row r="31" spans="1:136" s="50" customFormat="1" ht="23.1" customHeight="1">
      <c r="A31" s="336"/>
      <c r="B31" s="336"/>
      <c r="C31" s="338"/>
      <c r="D31" s="449">
        <v>120</v>
      </c>
      <c r="E31" s="449"/>
      <c r="F31" s="339">
        <f t="shared" si="13"/>
        <v>24.07</v>
      </c>
      <c r="G31" s="450">
        <f t="shared" si="14"/>
        <v>13.77</v>
      </c>
      <c r="H31" s="450"/>
      <c r="I31" s="314"/>
      <c r="J31" s="341">
        <f t="shared" si="15"/>
        <v>0.35999999999999943</v>
      </c>
      <c r="K31" s="402">
        <f t="shared" si="18"/>
        <v>55</v>
      </c>
      <c r="L31" s="386">
        <f t="shared" si="20"/>
        <v>6.7299999999999999E-2</v>
      </c>
      <c r="M31" s="387">
        <f t="shared" si="17"/>
        <v>3.7014999999999998</v>
      </c>
      <c r="N31" s="387">
        <f t="shared" si="19"/>
        <v>4.9079999999999999E-2</v>
      </c>
      <c r="O31" s="387">
        <f>INT(M31/N31*100)/100</f>
        <v>75.41</v>
      </c>
      <c r="P31" s="403">
        <f t="shared" si="22"/>
        <v>-63.73</v>
      </c>
      <c r="S31" s="50">
        <f>$R$29</f>
        <v>150.44999999999999</v>
      </c>
      <c r="T31" s="50">
        <f t="shared" si="10"/>
        <v>2.8919622695744311</v>
      </c>
      <c r="U31" s="60">
        <f t="shared" si="11"/>
        <v>0.125</v>
      </c>
      <c r="V31" s="50">
        <f t="shared" si="12"/>
        <v>5.0000000000000001E-4</v>
      </c>
      <c r="W31" s="50">
        <f t="shared" si="0"/>
        <v>0.1875</v>
      </c>
      <c r="X31" s="55">
        <f t="shared" si="4"/>
        <v>270</v>
      </c>
      <c r="Y31" s="56">
        <f t="shared" si="1"/>
        <v>49.45211846264386</v>
      </c>
      <c r="AA31" s="56">
        <f>$Z$29</f>
        <v>27.121755978690995</v>
      </c>
      <c r="AB31" s="56">
        <f t="shared" si="6"/>
        <v>270</v>
      </c>
      <c r="AC31" s="56">
        <f t="shared" si="7"/>
        <v>22.330362483952864</v>
      </c>
      <c r="AD31" s="58">
        <f>INT((AC$28+AE31)*100)/100</f>
        <v>22.48</v>
      </c>
      <c r="AE31" s="56">
        <f>AF31*AG$33</f>
        <v>4.1280000000000001</v>
      </c>
      <c r="AF31" s="56">
        <v>0.8</v>
      </c>
      <c r="AG31" s="56"/>
      <c r="AH31" s="56"/>
      <c r="EF31" s="50">
        <v>10.77</v>
      </c>
    </row>
    <row r="32" spans="1:136" s="50" customFormat="1" ht="23.1" customHeight="1" thickBot="1">
      <c r="A32" s="336">
        <v>2</v>
      </c>
      <c r="B32" s="337">
        <f>Input!D21</f>
        <v>123</v>
      </c>
      <c r="C32" s="338">
        <f>$C$12+D32/1440</f>
        <v>44992.569444444445</v>
      </c>
      <c r="D32" s="449">
        <v>130</v>
      </c>
      <c r="E32" s="449"/>
      <c r="F32" s="339">
        <f t="shared" si="13"/>
        <v>26.82</v>
      </c>
      <c r="G32" s="450">
        <f t="shared" si="14"/>
        <v>16.52</v>
      </c>
      <c r="H32" s="450"/>
      <c r="I32" s="314"/>
      <c r="J32" s="341">
        <f t="shared" si="15"/>
        <v>2.75</v>
      </c>
      <c r="K32" s="404">
        <f t="shared" si="18"/>
        <v>60</v>
      </c>
      <c r="L32" s="409">
        <f t="shared" si="20"/>
        <v>6.7299999999999999E-2</v>
      </c>
      <c r="M32" s="405">
        <f t="shared" si="17"/>
        <v>4.0380000000000003</v>
      </c>
      <c r="N32" s="405">
        <f t="shared" si="19"/>
        <v>4.9079999999999999E-2</v>
      </c>
      <c r="O32" s="405">
        <f>INT(M32/N32*100)/100</f>
        <v>82.27</v>
      </c>
      <c r="P32" s="406">
        <f t="shared" si="22"/>
        <v>-70.349999999999994</v>
      </c>
      <c r="S32" s="50">
        <f>$R$29</f>
        <v>150.44999999999999</v>
      </c>
      <c r="T32" s="50">
        <f t="shared" si="10"/>
        <v>2.8919622695744311</v>
      </c>
      <c r="U32" s="60">
        <f t="shared" si="11"/>
        <v>0.125</v>
      </c>
      <c r="V32" s="50">
        <f t="shared" si="12"/>
        <v>5.0000000000000001E-4</v>
      </c>
      <c r="W32" s="50">
        <f t="shared" si="0"/>
        <v>0.20833333333333334</v>
      </c>
      <c r="X32" s="55">
        <f t="shared" si="4"/>
        <v>300</v>
      </c>
      <c r="Y32" s="56">
        <f t="shared" si="1"/>
        <v>49.887810617766348</v>
      </c>
      <c r="Z32" s="56">
        <f>Y33-Z33</f>
        <v>27.121755978690995</v>
      </c>
      <c r="AA32" s="56">
        <f>$Z$29</f>
        <v>27.121755978690995</v>
      </c>
      <c r="AB32" s="56">
        <f t="shared" si="6"/>
        <v>300</v>
      </c>
      <c r="AC32" s="56">
        <f t="shared" si="7"/>
        <v>22.766054639075353</v>
      </c>
      <c r="AD32" s="58">
        <f>INT((AC$28+AE32)*100)/100</f>
        <v>23</v>
      </c>
      <c r="AE32" s="56">
        <f>AF32*AG$33</f>
        <v>4.6440000000000001</v>
      </c>
      <c r="AF32" s="56">
        <v>0.9</v>
      </c>
      <c r="AG32" s="56"/>
      <c r="AH32" s="56"/>
      <c r="EF32" s="50">
        <v>14.26</v>
      </c>
    </row>
    <row r="33" spans="1:136" s="50" customFormat="1" ht="23.1" customHeight="1">
      <c r="A33" s="336"/>
      <c r="B33" s="336"/>
      <c r="C33" s="338"/>
      <c r="D33" s="449">
        <v>140</v>
      </c>
      <c r="E33" s="449"/>
      <c r="F33" s="339">
        <f t="shared" si="13"/>
        <v>27.28</v>
      </c>
      <c r="G33" s="450">
        <f t="shared" si="14"/>
        <v>16.98</v>
      </c>
      <c r="H33" s="450"/>
      <c r="I33" s="314"/>
      <c r="J33" s="341">
        <f t="shared" si="15"/>
        <v>0.46000000000000085</v>
      </c>
      <c r="L33" s="65" t="s">
        <v>21</v>
      </c>
      <c r="P33" s="57"/>
      <c r="S33" s="50">
        <f>$R$29</f>
        <v>150.44999999999999</v>
      </c>
      <c r="T33" s="50">
        <f t="shared" si="10"/>
        <v>2.8919622695744311</v>
      </c>
      <c r="U33" s="60">
        <f t="shared" si="11"/>
        <v>0.125</v>
      </c>
      <c r="V33" s="50">
        <f t="shared" si="12"/>
        <v>5.0000000000000001E-4</v>
      </c>
      <c r="W33" s="50">
        <f t="shared" si="0"/>
        <v>0.25</v>
      </c>
      <c r="X33" s="55">
        <f t="shared" si="4"/>
        <v>360</v>
      </c>
      <c r="Y33" s="56">
        <f t="shared" si="1"/>
        <v>50.641755978690995</v>
      </c>
      <c r="Z33" s="56">
        <f>Input!B22</f>
        <v>23.52</v>
      </c>
      <c r="AA33" s="56">
        <f>$Z$29</f>
        <v>27.121755978690995</v>
      </c>
      <c r="AB33" s="56">
        <f t="shared" si="6"/>
        <v>360</v>
      </c>
      <c r="AC33" s="56">
        <f t="shared" si="7"/>
        <v>23.52</v>
      </c>
      <c r="AD33" s="58">
        <f>INT((AC$28+AE33)*100)/100</f>
        <v>23.52</v>
      </c>
      <c r="AE33" s="56">
        <f>AF33*AG$33</f>
        <v>5.16</v>
      </c>
      <c r="AF33" s="56">
        <v>1</v>
      </c>
      <c r="AG33" s="56">
        <f>AC33-AC28</f>
        <v>5.16</v>
      </c>
      <c r="AH33" s="56"/>
      <c r="EF33" s="50">
        <v>15.41</v>
      </c>
    </row>
    <row r="34" spans="1:136" s="50" customFormat="1" ht="23.1" customHeight="1">
      <c r="A34" s="336"/>
      <c r="B34" s="336"/>
      <c r="C34" s="338"/>
      <c r="D34" s="449">
        <v>150</v>
      </c>
      <c r="E34" s="449"/>
      <c r="F34" s="339">
        <f t="shared" si="13"/>
        <v>27.740000000000002</v>
      </c>
      <c r="G34" s="450">
        <f t="shared" si="14"/>
        <v>17.440000000000001</v>
      </c>
      <c r="H34" s="450"/>
      <c r="I34" s="314"/>
      <c r="J34" s="341">
        <f t="shared" si="15"/>
        <v>0.46000000000000085</v>
      </c>
      <c r="L34" s="65" t="s">
        <v>21</v>
      </c>
      <c r="R34" s="50">
        <f>B42</f>
        <v>177</v>
      </c>
      <c r="S34" s="50">
        <f>$R$34</f>
        <v>177</v>
      </c>
      <c r="T34" s="50">
        <f t="shared" si="10"/>
        <v>2.8919622695744311</v>
      </c>
      <c r="U34" s="60">
        <f t="shared" si="11"/>
        <v>0.125</v>
      </c>
      <c r="V34" s="50">
        <f t="shared" si="12"/>
        <v>5.0000000000000001E-4</v>
      </c>
      <c r="W34" s="50">
        <f t="shared" si="0"/>
        <v>0.25694444444444442</v>
      </c>
      <c r="X34" s="55">
        <f t="shared" si="4"/>
        <v>370</v>
      </c>
      <c r="Y34" s="56">
        <f t="shared" si="1"/>
        <v>59.711832480260128</v>
      </c>
      <c r="Z34" s="56">
        <f>Z37</f>
        <v>31.69810999380956</v>
      </c>
      <c r="AA34" s="56">
        <f>$Z$34</f>
        <v>31.69810999380956</v>
      </c>
      <c r="AB34" s="56">
        <f t="shared" si="6"/>
        <v>370</v>
      </c>
      <c r="AC34" s="56">
        <f t="shared" si="7"/>
        <v>28.013722486450568</v>
      </c>
      <c r="AD34" s="58">
        <f>INT((AC$33+AE34)*100)/100</f>
        <v>26.97</v>
      </c>
      <c r="AE34" s="56">
        <f>AG$38*AF34</f>
        <v>3.4560000000000008</v>
      </c>
      <c r="AF34" s="56">
        <v>0.6</v>
      </c>
      <c r="AG34" s="56"/>
      <c r="AH34" s="56"/>
      <c r="EF34" s="50">
        <v>15.6</v>
      </c>
    </row>
    <row r="35" spans="1:136" s="50" customFormat="1" ht="23.1" customHeight="1">
      <c r="A35" s="336"/>
      <c r="B35" s="336"/>
      <c r="C35" s="338"/>
      <c r="D35" s="449">
        <v>180</v>
      </c>
      <c r="E35" s="449"/>
      <c r="F35" s="339">
        <f t="shared" si="13"/>
        <v>28.2</v>
      </c>
      <c r="G35" s="450">
        <f t="shared" si="14"/>
        <v>17.899999999999999</v>
      </c>
      <c r="H35" s="450"/>
      <c r="I35" s="314"/>
      <c r="J35" s="341">
        <f t="shared" si="15"/>
        <v>0.4599999999999973</v>
      </c>
      <c r="L35" s="65" t="s">
        <v>21</v>
      </c>
      <c r="S35" s="50">
        <f>$R$34</f>
        <v>177</v>
      </c>
      <c r="T35" s="50">
        <f t="shared" si="10"/>
        <v>2.8919622695744311</v>
      </c>
      <c r="U35" s="60">
        <f t="shared" si="11"/>
        <v>0.125</v>
      </c>
      <c r="V35" s="50">
        <f t="shared" si="12"/>
        <v>5.0000000000000001E-4</v>
      </c>
      <c r="W35" s="50">
        <f t="shared" si="0"/>
        <v>0.2638888888888889</v>
      </c>
      <c r="X35" s="55">
        <f t="shared" si="4"/>
        <v>380</v>
      </c>
      <c r="Y35" s="56">
        <f t="shared" si="1"/>
        <v>59.841573526955798</v>
      </c>
      <c r="AA35" s="56">
        <f>$Z$34</f>
        <v>31.69810999380956</v>
      </c>
      <c r="AB35" s="56">
        <f t="shared" si="6"/>
        <v>380</v>
      </c>
      <c r="AC35" s="56">
        <f t="shared" si="7"/>
        <v>28.143463533146239</v>
      </c>
      <c r="AD35" s="58">
        <f>INT((AC$33+AE35)*100)/100</f>
        <v>27.55</v>
      </c>
      <c r="AE35" s="56">
        <f>AG$38*AF35</f>
        <v>4.0320000000000009</v>
      </c>
      <c r="AF35" s="56">
        <v>0.7</v>
      </c>
      <c r="AG35" s="56"/>
      <c r="AH35" s="56"/>
      <c r="EF35" s="50">
        <v>15.64</v>
      </c>
    </row>
    <row r="36" spans="1:136" s="50" customFormat="1" ht="23.1" customHeight="1">
      <c r="A36" s="336"/>
      <c r="B36" s="336"/>
      <c r="C36" s="338"/>
      <c r="D36" s="449">
        <v>240</v>
      </c>
      <c r="E36" s="449"/>
      <c r="F36" s="339">
        <f t="shared" si="13"/>
        <v>28.66</v>
      </c>
      <c r="G36" s="450">
        <f t="shared" si="14"/>
        <v>18.36</v>
      </c>
      <c r="H36" s="450"/>
      <c r="I36" s="314"/>
      <c r="J36" s="341">
        <f t="shared" si="15"/>
        <v>0.46000000000000085</v>
      </c>
      <c r="L36" s="65" t="s">
        <v>21</v>
      </c>
      <c r="S36" s="50">
        <f>$R$34</f>
        <v>177</v>
      </c>
      <c r="T36" s="50">
        <f t="shared" si="10"/>
        <v>2.8919622695744311</v>
      </c>
      <c r="U36" s="60">
        <f t="shared" si="11"/>
        <v>0.125</v>
      </c>
      <c r="V36" s="50">
        <f t="shared" si="12"/>
        <v>5.0000000000000001E-4</v>
      </c>
      <c r="W36" s="50">
        <f t="shared" si="0"/>
        <v>0.27083333333333331</v>
      </c>
      <c r="X36" s="55">
        <f t="shared" si="4"/>
        <v>390</v>
      </c>
      <c r="Y36" s="56">
        <f t="shared" si="1"/>
        <v>59.96794429230853</v>
      </c>
      <c r="AA36" s="56">
        <f>$Z$34</f>
        <v>31.69810999380956</v>
      </c>
      <c r="AB36" s="56">
        <f t="shared" si="6"/>
        <v>390</v>
      </c>
      <c r="AC36" s="56">
        <f t="shared" si="7"/>
        <v>28.269834298498971</v>
      </c>
      <c r="AD36" s="58">
        <f>INT((AC$33+AE36)*100)/100</f>
        <v>28.12</v>
      </c>
      <c r="AE36" s="56">
        <f>AG$38*AF36</f>
        <v>4.6080000000000014</v>
      </c>
      <c r="AF36" s="56">
        <v>0.8</v>
      </c>
      <c r="AG36" s="56"/>
      <c r="AH36" s="56"/>
      <c r="EF36" s="50">
        <v>15.67</v>
      </c>
    </row>
    <row r="37" spans="1:136" s="50" customFormat="1" ht="23.1" customHeight="1">
      <c r="A37" s="336">
        <v>3</v>
      </c>
      <c r="B37" s="337">
        <f>Input!D22</f>
        <v>150.44999999999999</v>
      </c>
      <c r="C37" s="338">
        <f>$C$12+D37/1440</f>
        <v>44992.652777777774</v>
      </c>
      <c r="D37" s="449">
        <v>250</v>
      </c>
      <c r="E37" s="449"/>
      <c r="F37" s="339">
        <f t="shared" si="13"/>
        <v>31.75</v>
      </c>
      <c r="G37" s="450">
        <f t="shared" si="14"/>
        <v>21.45</v>
      </c>
      <c r="H37" s="450"/>
      <c r="I37" s="314"/>
      <c r="J37" s="341">
        <f t="shared" si="15"/>
        <v>3.09</v>
      </c>
      <c r="L37" s="65" t="s">
        <v>21</v>
      </c>
      <c r="S37" s="50">
        <f>$R$34</f>
        <v>177</v>
      </c>
      <c r="T37" s="50">
        <f t="shared" si="10"/>
        <v>2.8919622695744311</v>
      </c>
      <c r="U37" s="60">
        <f t="shared" si="11"/>
        <v>0.125</v>
      </c>
      <c r="V37" s="50">
        <f t="shared" si="12"/>
        <v>5.0000000000000001E-4</v>
      </c>
      <c r="W37" s="50">
        <f t="shared" si="0"/>
        <v>0.29166666666666669</v>
      </c>
      <c r="X37" s="55">
        <f t="shared" si="4"/>
        <v>420</v>
      </c>
      <c r="Y37" s="56">
        <f t="shared" si="1"/>
        <v>60.328479645310757</v>
      </c>
      <c r="Z37" s="56">
        <f>Y38-Z38</f>
        <v>31.69810999380956</v>
      </c>
      <c r="AA37" s="56">
        <f>$Z$34</f>
        <v>31.69810999380956</v>
      </c>
      <c r="AB37" s="56">
        <f t="shared" si="6"/>
        <v>420</v>
      </c>
      <c r="AC37" s="56">
        <f t="shared" si="7"/>
        <v>28.630369651501198</v>
      </c>
      <c r="AD37" s="58">
        <f>INT((AC$33+AE37)*100)/100</f>
        <v>28.7</v>
      </c>
      <c r="AE37" s="56">
        <f>AG$38*AF37</f>
        <v>5.1840000000000019</v>
      </c>
      <c r="AF37" s="56">
        <v>0.9</v>
      </c>
      <c r="AG37" s="56"/>
      <c r="AH37" s="56"/>
      <c r="EF37" s="50">
        <v>19.260000000000002</v>
      </c>
    </row>
    <row r="38" spans="1:136" s="50" customFormat="1" ht="23.1" customHeight="1">
      <c r="A38" s="336"/>
      <c r="B38" s="336"/>
      <c r="C38" s="338"/>
      <c r="D38" s="449">
        <v>260</v>
      </c>
      <c r="E38" s="449"/>
      <c r="F38" s="339">
        <f t="shared" si="13"/>
        <v>32.269999999999996</v>
      </c>
      <c r="G38" s="450">
        <f t="shared" si="14"/>
        <v>21.97</v>
      </c>
      <c r="H38" s="450"/>
      <c r="I38" s="314"/>
      <c r="J38" s="341">
        <f t="shared" si="15"/>
        <v>0.51999999999999957</v>
      </c>
      <c r="L38" s="65" t="s">
        <v>21</v>
      </c>
      <c r="S38" s="50">
        <f>$R$34</f>
        <v>177</v>
      </c>
      <c r="T38" s="50">
        <f t="shared" si="10"/>
        <v>2.8919622695744311</v>
      </c>
      <c r="U38" s="60">
        <f t="shared" si="11"/>
        <v>0.125</v>
      </c>
      <c r="V38" s="50">
        <f t="shared" si="12"/>
        <v>5.0000000000000001E-4</v>
      </c>
      <c r="W38" s="50">
        <f t="shared" si="0"/>
        <v>0.33333333333333331</v>
      </c>
      <c r="X38" s="55">
        <f t="shared" si="4"/>
        <v>480</v>
      </c>
      <c r="Y38" s="56">
        <f t="shared" si="1"/>
        <v>60.978109993809561</v>
      </c>
      <c r="Z38" s="56">
        <f>Input!B23</f>
        <v>29.28</v>
      </c>
      <c r="AA38" s="56">
        <f>$Z$34</f>
        <v>31.69810999380956</v>
      </c>
      <c r="AB38" s="56">
        <f t="shared" si="6"/>
        <v>480</v>
      </c>
      <c r="AC38" s="56">
        <f t="shared" si="7"/>
        <v>29.28</v>
      </c>
      <c r="AD38" s="58">
        <f>INT((AC$33+AE38)*100)/100</f>
        <v>29.28</v>
      </c>
      <c r="AE38" s="56">
        <f>AG$38*AF38</f>
        <v>5.7600000000000016</v>
      </c>
      <c r="AF38" s="56">
        <v>1</v>
      </c>
      <c r="AG38" s="56">
        <f>AC38-AC33</f>
        <v>5.7600000000000016</v>
      </c>
      <c r="AH38" s="56"/>
      <c r="EF38" s="50">
        <v>20.059999999999999</v>
      </c>
    </row>
    <row r="39" spans="1:136" s="50" customFormat="1" ht="23.1" customHeight="1">
      <c r="A39" s="336"/>
      <c r="B39" s="336"/>
      <c r="C39" s="338"/>
      <c r="D39" s="449">
        <v>270</v>
      </c>
      <c r="E39" s="449"/>
      <c r="F39" s="339">
        <f t="shared" si="13"/>
        <v>32.78</v>
      </c>
      <c r="G39" s="450">
        <f t="shared" si="14"/>
        <v>22.48</v>
      </c>
      <c r="H39" s="450"/>
      <c r="I39" s="314"/>
      <c r="J39" s="341">
        <f t="shared" si="15"/>
        <v>0.51000000000000156</v>
      </c>
      <c r="K39" s="59" t="s">
        <v>21</v>
      </c>
      <c r="L39" s="65" t="s">
        <v>21</v>
      </c>
      <c r="R39" s="54">
        <f>B47</f>
        <v>203.54999999999998</v>
      </c>
      <c r="S39" s="50">
        <f>$R$39</f>
        <v>203.54999999999998</v>
      </c>
      <c r="T39" s="50">
        <f t="shared" si="10"/>
        <v>2.8919622695744311</v>
      </c>
      <c r="U39" s="60">
        <f t="shared" si="11"/>
        <v>0.125</v>
      </c>
      <c r="V39" s="50">
        <f t="shared" si="12"/>
        <v>5.0000000000000001E-4</v>
      </c>
      <c r="W39" s="50">
        <f t="shared" si="0"/>
        <v>0.34027777777777779</v>
      </c>
      <c r="X39" s="55">
        <f t="shared" si="4"/>
        <v>490</v>
      </c>
      <c r="Y39" s="56">
        <f t="shared" si="1"/>
        <v>70.240186271868097</v>
      </c>
      <c r="Z39" s="56">
        <f>Z42</f>
        <v>33.313259113703666</v>
      </c>
      <c r="AA39" s="56">
        <f>$Z$39</f>
        <v>33.313259113703666</v>
      </c>
      <c r="AB39" s="56">
        <f t="shared" si="6"/>
        <v>490</v>
      </c>
      <c r="AC39" s="56">
        <f t="shared" si="7"/>
        <v>36.926927158164432</v>
      </c>
      <c r="AD39" s="58">
        <f>INT((AC$38+AE39)*100)/100</f>
        <v>32.79</v>
      </c>
      <c r="AE39" s="56">
        <f>AG$43*AF39</f>
        <v>3.5120000000000005</v>
      </c>
      <c r="AF39" s="56">
        <v>0.4</v>
      </c>
      <c r="AG39" s="56"/>
      <c r="AH39" s="56"/>
      <c r="EF39" s="50">
        <v>20.46</v>
      </c>
    </row>
    <row r="40" spans="1:136" s="50" customFormat="1" ht="23.1" customHeight="1">
      <c r="A40" s="336"/>
      <c r="B40" s="336"/>
      <c r="C40" s="338"/>
      <c r="D40" s="449">
        <v>300</v>
      </c>
      <c r="E40" s="449"/>
      <c r="F40" s="339">
        <f t="shared" si="13"/>
        <v>33.299999999999997</v>
      </c>
      <c r="G40" s="450">
        <f t="shared" si="14"/>
        <v>23</v>
      </c>
      <c r="H40" s="450"/>
      <c r="I40" s="314"/>
      <c r="J40" s="341">
        <f t="shared" si="15"/>
        <v>0.51999999999999957</v>
      </c>
      <c r="K40" s="59" t="s">
        <v>21</v>
      </c>
      <c r="L40" s="65" t="s">
        <v>21</v>
      </c>
      <c r="S40" s="50">
        <f>$R$39</f>
        <v>203.54999999999998</v>
      </c>
      <c r="T40" s="50">
        <f t="shared" si="10"/>
        <v>2.8919622695744311</v>
      </c>
      <c r="U40" s="60">
        <f t="shared" si="11"/>
        <v>0.125</v>
      </c>
      <c r="V40" s="50">
        <f t="shared" si="12"/>
        <v>5.0000000000000001E-4</v>
      </c>
      <c r="W40" s="50">
        <f t="shared" si="0"/>
        <v>0.34722222222222221</v>
      </c>
      <c r="X40" s="55">
        <f t="shared" si="4"/>
        <v>500</v>
      </c>
      <c r="Y40" s="56">
        <f t="shared" si="1"/>
        <v>70.353215390099749</v>
      </c>
      <c r="AA40" s="56">
        <f>$Z$39</f>
        <v>33.313259113703666</v>
      </c>
      <c r="AB40" s="56">
        <f t="shared" si="6"/>
        <v>500</v>
      </c>
      <c r="AC40" s="56">
        <f t="shared" si="7"/>
        <v>37.039956276396083</v>
      </c>
      <c r="AD40" s="58">
        <f>INT((AC$38+AE40)*100)/100</f>
        <v>34.1</v>
      </c>
      <c r="AE40" s="56">
        <f>AG$43*AF40</f>
        <v>4.8290000000000006</v>
      </c>
      <c r="AF40" s="56">
        <v>0.55000000000000004</v>
      </c>
      <c r="AG40" s="56"/>
      <c r="AH40" s="56"/>
      <c r="EF40" s="50">
        <v>20.66</v>
      </c>
    </row>
    <row r="41" spans="1:136" s="50" customFormat="1" ht="23.1" customHeight="1">
      <c r="A41" s="336"/>
      <c r="B41" s="336"/>
      <c r="C41" s="338"/>
      <c r="D41" s="449">
        <v>360</v>
      </c>
      <c r="E41" s="449"/>
      <c r="F41" s="339">
        <f t="shared" si="13"/>
        <v>33.82</v>
      </c>
      <c r="G41" s="450">
        <f t="shared" si="14"/>
        <v>23.52</v>
      </c>
      <c r="H41" s="450"/>
      <c r="I41" s="314"/>
      <c r="J41" s="341">
        <f t="shared" si="15"/>
        <v>0.51999999999999957</v>
      </c>
      <c r="K41" s="59" t="s">
        <v>21</v>
      </c>
      <c r="L41" s="65" t="s">
        <v>21</v>
      </c>
      <c r="S41" s="50">
        <f>$R$39</f>
        <v>203.54999999999998</v>
      </c>
      <c r="T41" s="50">
        <f t="shared" si="10"/>
        <v>2.8919622695744311</v>
      </c>
      <c r="U41" s="60">
        <f t="shared" si="11"/>
        <v>0.125</v>
      </c>
      <c r="V41" s="50">
        <f t="shared" si="12"/>
        <v>5.0000000000000001E-4</v>
      </c>
      <c r="W41" s="50">
        <f t="shared" si="0"/>
        <v>0.35416666666666669</v>
      </c>
      <c r="X41" s="55">
        <f t="shared" si="4"/>
        <v>510</v>
      </c>
      <c r="Y41" s="56">
        <f t="shared" si="1"/>
        <v>70.464006160206893</v>
      </c>
      <c r="AA41" s="56">
        <f>$Z$39</f>
        <v>33.313259113703666</v>
      </c>
      <c r="AB41" s="56">
        <f t="shared" si="6"/>
        <v>510</v>
      </c>
      <c r="AC41" s="56">
        <f t="shared" si="7"/>
        <v>37.150747046503227</v>
      </c>
      <c r="AD41" s="58">
        <f>INT((AC$38+AE41)*100)/100</f>
        <v>35.42</v>
      </c>
      <c r="AE41" s="56">
        <f>AG$43*AF41</f>
        <v>6.1460000000000008</v>
      </c>
      <c r="AF41" s="56">
        <v>0.7</v>
      </c>
      <c r="AG41" s="56"/>
      <c r="AH41" s="56"/>
      <c r="EF41" s="50">
        <v>20.75</v>
      </c>
    </row>
    <row r="42" spans="1:136" s="50" customFormat="1" ht="23.1" customHeight="1">
      <c r="A42" s="336">
        <v>4</v>
      </c>
      <c r="B42" s="337">
        <f>Input!D23</f>
        <v>177</v>
      </c>
      <c r="C42" s="338">
        <f>$C$12+D42/1440</f>
        <v>44992.736111111109</v>
      </c>
      <c r="D42" s="449">
        <v>370</v>
      </c>
      <c r="E42" s="449"/>
      <c r="F42" s="339">
        <f t="shared" si="13"/>
        <v>37.269999999999996</v>
      </c>
      <c r="G42" s="450">
        <f t="shared" si="14"/>
        <v>26.97</v>
      </c>
      <c r="H42" s="450"/>
      <c r="I42" s="314"/>
      <c r="J42" s="341">
        <f t="shared" si="15"/>
        <v>3.4499999999999993</v>
      </c>
      <c r="K42" s="59" t="s">
        <v>21</v>
      </c>
      <c r="L42" s="65" t="s">
        <v>21</v>
      </c>
      <c r="S42" s="50">
        <f>$R$39</f>
        <v>203.54999999999998</v>
      </c>
      <c r="T42" s="50">
        <f t="shared" si="10"/>
        <v>2.8919622695744311</v>
      </c>
      <c r="U42" s="60">
        <f t="shared" si="11"/>
        <v>0.125</v>
      </c>
      <c r="V42" s="50">
        <f t="shared" si="12"/>
        <v>5.0000000000000001E-4</v>
      </c>
      <c r="W42" s="50">
        <f t="shared" si="0"/>
        <v>0.375</v>
      </c>
      <c r="X42" s="55">
        <f t="shared" si="4"/>
        <v>540</v>
      </c>
      <c r="Y42" s="56">
        <f t="shared" si="1"/>
        <v>70.783793256773251</v>
      </c>
      <c r="Z42" s="56">
        <f>Y43-Z43</f>
        <v>33.313259113703666</v>
      </c>
      <c r="AA42" s="56">
        <f>$Z$39</f>
        <v>33.313259113703666</v>
      </c>
      <c r="AB42" s="56">
        <f t="shared" si="6"/>
        <v>540</v>
      </c>
      <c r="AC42" s="56">
        <f t="shared" si="7"/>
        <v>37.470534143069585</v>
      </c>
      <c r="AD42" s="58">
        <f>INT((AC$38+AE42)*100)/100</f>
        <v>36.74</v>
      </c>
      <c r="AE42" s="56">
        <f>AG$43*AF42</f>
        <v>7.463000000000001</v>
      </c>
      <c r="AF42" s="56">
        <v>0.85</v>
      </c>
      <c r="AG42" s="56"/>
      <c r="AH42" s="56"/>
      <c r="EF42" s="50">
        <v>29.31</v>
      </c>
    </row>
    <row r="43" spans="1:136" s="50" customFormat="1" ht="23.1" customHeight="1">
      <c r="A43" s="336"/>
      <c r="B43" s="336"/>
      <c r="C43" s="338"/>
      <c r="D43" s="449">
        <v>380</v>
      </c>
      <c r="E43" s="449"/>
      <c r="F43" s="339">
        <f t="shared" si="13"/>
        <v>37.85</v>
      </c>
      <c r="G43" s="450">
        <f t="shared" si="14"/>
        <v>27.55</v>
      </c>
      <c r="H43" s="450"/>
      <c r="I43" s="314"/>
      <c r="J43" s="341">
        <f t="shared" si="15"/>
        <v>0.58000000000000185</v>
      </c>
      <c r="K43" s="59" t="s">
        <v>21</v>
      </c>
      <c r="L43" s="65" t="s">
        <v>21</v>
      </c>
      <c r="S43" s="50">
        <f>$R$39</f>
        <v>203.54999999999998</v>
      </c>
      <c r="T43" s="50">
        <f t="shared" si="10"/>
        <v>2.8919622695744311</v>
      </c>
      <c r="U43" s="60">
        <f t="shared" si="11"/>
        <v>0.125</v>
      </c>
      <c r="V43" s="50">
        <f t="shared" si="12"/>
        <v>5.0000000000000001E-4</v>
      </c>
      <c r="W43" s="50">
        <f t="shared" si="0"/>
        <v>0.41666666666666669</v>
      </c>
      <c r="X43" s="55">
        <f t="shared" si="4"/>
        <v>600</v>
      </c>
      <c r="Y43" s="56">
        <f t="shared" si="1"/>
        <v>71.373259113703668</v>
      </c>
      <c r="Z43" s="56">
        <f>Input!B24</f>
        <v>38.06</v>
      </c>
      <c r="AA43" s="56">
        <f>$Z$39</f>
        <v>33.313259113703666</v>
      </c>
      <c r="AB43" s="56">
        <f t="shared" si="6"/>
        <v>600</v>
      </c>
      <c r="AC43" s="56">
        <f t="shared" si="7"/>
        <v>38.06</v>
      </c>
      <c r="AD43" s="58">
        <f>INT((AC$38+AE43)*100)/100</f>
        <v>38.06</v>
      </c>
      <c r="AE43" s="56">
        <f>AG$43*AF43</f>
        <v>8.7800000000000011</v>
      </c>
      <c r="AF43" s="56">
        <v>1</v>
      </c>
      <c r="AG43" s="56">
        <f>AC43-AC38</f>
        <v>8.7800000000000011</v>
      </c>
      <c r="AH43" s="56"/>
      <c r="EF43" s="50">
        <v>31.81</v>
      </c>
    </row>
    <row r="44" spans="1:136" s="50" customFormat="1" ht="23.1" customHeight="1">
      <c r="A44" s="336"/>
      <c r="B44" s="336"/>
      <c r="C44" s="338"/>
      <c r="D44" s="449">
        <v>390</v>
      </c>
      <c r="E44" s="449"/>
      <c r="F44" s="339">
        <f t="shared" si="13"/>
        <v>38.42</v>
      </c>
      <c r="G44" s="450">
        <f t="shared" si="14"/>
        <v>28.12</v>
      </c>
      <c r="H44" s="450"/>
      <c r="I44" s="314"/>
      <c r="J44" s="341">
        <f t="shared" si="15"/>
        <v>0.57000000000000028</v>
      </c>
      <c r="K44" s="59" t="s">
        <v>21</v>
      </c>
      <c r="L44" s="65" t="s">
        <v>21</v>
      </c>
      <c r="S44" s="50" t="s">
        <v>21</v>
      </c>
      <c r="T44" s="50" t="s">
        <v>21</v>
      </c>
      <c r="U44" s="60" t="s">
        <v>21</v>
      </c>
      <c r="V44" s="50" t="s">
        <v>21</v>
      </c>
      <c r="W44" s="50" t="s">
        <v>21</v>
      </c>
      <c r="X44" s="55" t="s">
        <v>21</v>
      </c>
      <c r="Y44" s="56" t="s">
        <v>21</v>
      </c>
      <c r="AE44" s="56"/>
      <c r="AF44" s="56"/>
      <c r="EF44" s="50">
        <v>35.83</v>
      </c>
    </row>
    <row r="45" spans="1:136" s="50" customFormat="1" ht="23.1" customHeight="1">
      <c r="A45" s="336"/>
      <c r="B45" s="336"/>
      <c r="C45" s="338"/>
      <c r="D45" s="449">
        <v>420</v>
      </c>
      <c r="E45" s="449"/>
      <c r="F45" s="339">
        <f t="shared" si="13"/>
        <v>39</v>
      </c>
      <c r="G45" s="450">
        <f t="shared" si="14"/>
        <v>28.7</v>
      </c>
      <c r="H45" s="450"/>
      <c r="I45" s="314"/>
      <c r="J45" s="341">
        <f t="shared" si="15"/>
        <v>0.57999999999999829</v>
      </c>
      <c r="K45" s="59" t="s">
        <v>21</v>
      </c>
      <c r="L45" s="65" t="s">
        <v>21</v>
      </c>
      <c r="S45" s="50" t="str">
        <f t="shared" ref="S45:S51" si="23">$S44</f>
        <v xml:space="preserve"> </v>
      </c>
      <c r="T45" s="50" t="str">
        <f t="shared" si="10"/>
        <v xml:space="preserve"> </v>
      </c>
      <c r="U45" s="60" t="str">
        <f t="shared" si="11"/>
        <v xml:space="preserve"> </v>
      </c>
      <c r="V45" s="50" t="str">
        <f t="shared" si="12"/>
        <v xml:space="preserve"> </v>
      </c>
      <c r="W45" s="50" t="s">
        <v>21</v>
      </c>
      <c r="X45" s="55" t="s">
        <v>21</v>
      </c>
      <c r="Y45" s="56" t="s">
        <v>21</v>
      </c>
      <c r="AE45" s="56"/>
      <c r="AF45" s="56"/>
      <c r="EF45" s="50">
        <v>35.96</v>
      </c>
    </row>
    <row r="46" spans="1:136" s="50" customFormat="1" ht="23.1" customHeight="1">
      <c r="A46" s="336"/>
      <c r="B46" s="336"/>
      <c r="C46" s="338"/>
      <c r="D46" s="449">
        <v>480</v>
      </c>
      <c r="E46" s="449"/>
      <c r="F46" s="339">
        <f t="shared" si="13"/>
        <v>39.58</v>
      </c>
      <c r="G46" s="450">
        <f t="shared" si="14"/>
        <v>29.28</v>
      </c>
      <c r="H46" s="450"/>
      <c r="I46" s="314"/>
      <c r="J46" s="341">
        <f t="shared" si="15"/>
        <v>0.58000000000000185</v>
      </c>
      <c r="K46" s="59" t="s">
        <v>21</v>
      </c>
      <c r="L46" s="65" t="s">
        <v>21</v>
      </c>
      <c r="S46" s="50" t="str">
        <f t="shared" si="23"/>
        <v xml:space="preserve"> </v>
      </c>
      <c r="T46" s="50" t="str">
        <f t="shared" si="10"/>
        <v xml:space="preserve"> </v>
      </c>
      <c r="U46" s="60" t="str">
        <f t="shared" si="11"/>
        <v xml:space="preserve"> </v>
      </c>
      <c r="V46" s="50" t="str">
        <f t="shared" si="12"/>
        <v xml:space="preserve"> </v>
      </c>
      <c r="W46" s="50" t="s">
        <v>21</v>
      </c>
      <c r="X46" s="55" t="s">
        <v>21</v>
      </c>
      <c r="Y46" s="56" t="s">
        <v>21</v>
      </c>
      <c r="AE46" s="56"/>
      <c r="AF46" s="56"/>
      <c r="EF46" s="50">
        <v>36.01</v>
      </c>
    </row>
    <row r="47" spans="1:136" s="50" customFormat="1" ht="23.1" customHeight="1">
      <c r="A47" s="336">
        <v>5</v>
      </c>
      <c r="B47" s="337">
        <f>Input!D24</f>
        <v>203.54999999999998</v>
      </c>
      <c r="C47" s="338">
        <f>$C$12+D47/1440</f>
        <v>44992.819444444445</v>
      </c>
      <c r="D47" s="449">
        <v>490</v>
      </c>
      <c r="E47" s="449"/>
      <c r="F47" s="339">
        <f t="shared" si="13"/>
        <v>43.09</v>
      </c>
      <c r="G47" s="450">
        <f t="shared" si="14"/>
        <v>32.79</v>
      </c>
      <c r="H47" s="450"/>
      <c r="I47" s="314"/>
      <c r="J47" s="341">
        <f t="shared" si="15"/>
        <v>3.509999999999998</v>
      </c>
      <c r="K47" s="59" t="s">
        <v>21</v>
      </c>
      <c r="S47" s="50" t="str">
        <f t="shared" si="23"/>
        <v xml:space="preserve"> </v>
      </c>
      <c r="T47" s="50" t="str">
        <f t="shared" si="10"/>
        <v xml:space="preserve"> </v>
      </c>
      <c r="U47" s="60" t="str">
        <f t="shared" si="11"/>
        <v xml:space="preserve"> </v>
      </c>
      <c r="V47" s="50" t="str">
        <f t="shared" si="12"/>
        <v xml:space="preserve"> </v>
      </c>
      <c r="W47" s="50" t="s">
        <v>21</v>
      </c>
      <c r="X47" s="55" t="s">
        <v>21</v>
      </c>
      <c r="Y47" s="56" t="s">
        <v>21</v>
      </c>
      <c r="AE47" s="56"/>
      <c r="AF47" s="56"/>
      <c r="EF47" s="50">
        <v>30.66</v>
      </c>
    </row>
    <row r="48" spans="1:136" s="50" customFormat="1" ht="23.1" customHeight="1">
      <c r="A48" s="336"/>
      <c r="B48" s="336"/>
      <c r="C48" s="338"/>
      <c r="D48" s="449">
        <v>500</v>
      </c>
      <c r="E48" s="449"/>
      <c r="F48" s="339">
        <f t="shared" si="13"/>
        <v>44.400000000000006</v>
      </c>
      <c r="G48" s="450">
        <f t="shared" si="14"/>
        <v>34.1</v>
      </c>
      <c r="H48" s="450"/>
      <c r="I48" s="314"/>
      <c r="J48" s="341">
        <f t="shared" si="15"/>
        <v>1.3100000000000023</v>
      </c>
      <c r="K48" s="59" t="s">
        <v>21</v>
      </c>
      <c r="S48" s="50" t="str">
        <f t="shared" si="23"/>
        <v xml:space="preserve"> </v>
      </c>
      <c r="T48" s="50" t="str">
        <f t="shared" si="10"/>
        <v xml:space="preserve"> </v>
      </c>
      <c r="U48" s="60" t="str">
        <f t="shared" si="11"/>
        <v xml:space="preserve"> </v>
      </c>
      <c r="V48" s="50" t="str">
        <f t="shared" si="12"/>
        <v xml:space="preserve"> </v>
      </c>
      <c r="W48" s="50" t="s">
        <v>21</v>
      </c>
      <c r="X48" s="55" t="s">
        <v>21</v>
      </c>
      <c r="Y48" s="56" t="s">
        <v>21</v>
      </c>
      <c r="AE48" s="56"/>
      <c r="AF48" s="56"/>
      <c r="EF48" s="50">
        <v>30.83</v>
      </c>
    </row>
    <row r="49" spans="1:136" s="50" customFormat="1" ht="23.1" customHeight="1">
      <c r="A49" s="336"/>
      <c r="B49" s="336"/>
      <c r="C49" s="338"/>
      <c r="D49" s="449">
        <v>510</v>
      </c>
      <c r="E49" s="449"/>
      <c r="F49" s="339">
        <f t="shared" si="13"/>
        <v>45.72</v>
      </c>
      <c r="G49" s="450">
        <f t="shared" si="14"/>
        <v>35.42</v>
      </c>
      <c r="H49" s="450"/>
      <c r="I49" s="314"/>
      <c r="J49" s="341">
        <f t="shared" si="15"/>
        <v>1.3200000000000003</v>
      </c>
      <c r="K49" s="59" t="s">
        <v>21</v>
      </c>
      <c r="S49" s="50" t="str">
        <f t="shared" si="23"/>
        <v xml:space="preserve"> </v>
      </c>
      <c r="T49" s="50" t="str">
        <f t="shared" si="10"/>
        <v xml:space="preserve"> </v>
      </c>
      <c r="U49" s="60" t="str">
        <f t="shared" si="11"/>
        <v xml:space="preserve"> </v>
      </c>
      <c r="V49" s="50" t="str">
        <f t="shared" si="12"/>
        <v xml:space="preserve"> </v>
      </c>
      <c r="W49" s="50" t="s">
        <v>21</v>
      </c>
      <c r="X49" s="55" t="s">
        <v>21</v>
      </c>
      <c r="Y49" s="56" t="s">
        <v>21</v>
      </c>
      <c r="AE49" s="56"/>
      <c r="AF49" s="56"/>
      <c r="EF49" s="50">
        <v>30.83</v>
      </c>
    </row>
    <row r="50" spans="1:136" s="50" customFormat="1" ht="23.1" customHeight="1">
      <c r="A50" s="336"/>
      <c r="B50" s="336"/>
      <c r="C50" s="338"/>
      <c r="D50" s="449">
        <v>540</v>
      </c>
      <c r="E50" s="449"/>
      <c r="F50" s="339">
        <f t="shared" si="13"/>
        <v>47.040000000000006</v>
      </c>
      <c r="G50" s="450">
        <f t="shared" si="14"/>
        <v>36.74</v>
      </c>
      <c r="H50" s="450"/>
      <c r="I50" s="314"/>
      <c r="J50" s="341">
        <f t="shared" si="15"/>
        <v>1.3200000000000003</v>
      </c>
      <c r="K50" s="59" t="s">
        <v>21</v>
      </c>
      <c r="S50" s="50" t="str">
        <f t="shared" si="23"/>
        <v xml:space="preserve"> </v>
      </c>
      <c r="T50" s="50" t="str">
        <f t="shared" si="10"/>
        <v xml:space="preserve"> </v>
      </c>
      <c r="U50" s="60" t="str">
        <f t="shared" si="11"/>
        <v xml:space="preserve"> </v>
      </c>
      <c r="V50" s="50" t="str">
        <f t="shared" si="12"/>
        <v xml:space="preserve"> </v>
      </c>
      <c r="W50" s="50" t="s">
        <v>21</v>
      </c>
      <c r="X50" s="55" t="s">
        <v>21</v>
      </c>
      <c r="Y50" s="56" t="s">
        <v>21</v>
      </c>
      <c r="AE50" s="56"/>
      <c r="AF50" s="56"/>
      <c r="EF50" s="50">
        <v>30.83</v>
      </c>
    </row>
    <row r="51" spans="1:136" s="50" customFormat="1" ht="23.1" customHeight="1">
      <c r="A51" s="336"/>
      <c r="B51" s="336"/>
      <c r="C51" s="338">
        <f>$C$12+D51/1440</f>
        <v>44992.895833333328</v>
      </c>
      <c r="D51" s="449">
        <v>600</v>
      </c>
      <c r="E51" s="449"/>
      <c r="F51" s="339">
        <f t="shared" si="13"/>
        <v>48.36</v>
      </c>
      <c r="G51" s="450">
        <f t="shared" si="14"/>
        <v>38.06</v>
      </c>
      <c r="H51" s="450"/>
      <c r="I51" s="314" t="s">
        <v>181</v>
      </c>
      <c r="J51" s="341">
        <f t="shared" si="15"/>
        <v>1.3200000000000003</v>
      </c>
      <c r="K51" s="59" t="s">
        <v>21</v>
      </c>
      <c r="S51" s="50" t="str">
        <f t="shared" si="23"/>
        <v xml:space="preserve"> </v>
      </c>
      <c r="T51" s="50" t="str">
        <f t="shared" si="10"/>
        <v xml:space="preserve"> </v>
      </c>
      <c r="U51" s="60" t="str">
        <f t="shared" si="11"/>
        <v xml:space="preserve"> </v>
      </c>
      <c r="V51" s="50" t="str">
        <f t="shared" si="12"/>
        <v xml:space="preserve"> </v>
      </c>
      <c r="W51" s="50" t="s">
        <v>21</v>
      </c>
      <c r="X51" s="55" t="s">
        <v>21</v>
      </c>
      <c r="Y51" s="56" t="s">
        <v>21</v>
      </c>
      <c r="AE51" s="56"/>
      <c r="AF51" s="56"/>
      <c r="EF51" s="50">
        <v>31.590000000000117</v>
      </c>
    </row>
    <row r="52" spans="1:136" s="50" customFormat="1" ht="17.25" customHeight="1">
      <c r="J52" s="50" t="s">
        <v>21</v>
      </c>
      <c r="K52" s="59" t="s">
        <v>21</v>
      </c>
      <c r="U52" s="60"/>
      <c r="W52" s="50" t="s">
        <v>21</v>
      </c>
      <c r="X52" s="55" t="s">
        <v>21</v>
      </c>
      <c r="Y52" s="56" t="s">
        <v>21</v>
      </c>
      <c r="AE52" s="56"/>
      <c r="AF52" s="56"/>
      <c r="EF52" s="50">
        <v>13.38</v>
      </c>
    </row>
    <row r="53" spans="1:136" s="50" customFormat="1" ht="17.25" customHeight="1">
      <c r="J53" s="50" t="s">
        <v>21</v>
      </c>
      <c r="K53" s="59" t="s">
        <v>21</v>
      </c>
      <c r="U53" s="60"/>
      <c r="W53" s="50" t="s">
        <v>21</v>
      </c>
      <c r="X53" s="55" t="s">
        <v>21</v>
      </c>
      <c r="Y53" s="56" t="s">
        <v>21</v>
      </c>
      <c r="AE53" s="56"/>
      <c r="AF53" s="56"/>
      <c r="EF53" s="50">
        <v>9.48</v>
      </c>
    </row>
    <row r="54" spans="1:136" s="50" customFormat="1" ht="17.25" customHeight="1">
      <c r="J54" s="50" t="s">
        <v>21</v>
      </c>
      <c r="K54" s="59" t="s">
        <v>21</v>
      </c>
      <c r="U54" s="60"/>
      <c r="W54" s="50" t="s">
        <v>21</v>
      </c>
      <c r="X54" s="55" t="s">
        <v>21</v>
      </c>
      <c r="Y54" s="56" t="s">
        <v>21</v>
      </c>
      <c r="AE54" s="56"/>
      <c r="AF54" s="56"/>
      <c r="EF54" s="50">
        <v>6.56</v>
      </c>
    </row>
    <row r="55" spans="1:136" s="50" customFormat="1" ht="17.25" customHeight="1">
      <c r="J55" s="50" t="s">
        <v>21</v>
      </c>
      <c r="K55" s="59" t="s">
        <v>21</v>
      </c>
      <c r="U55" s="60"/>
      <c r="W55" s="50" t="s">
        <v>21</v>
      </c>
      <c r="X55" s="55" t="s">
        <v>21</v>
      </c>
      <c r="Y55" s="56" t="s">
        <v>21</v>
      </c>
      <c r="AE55" s="56"/>
      <c r="AF55" s="56"/>
      <c r="EF55" s="50">
        <v>4.22</v>
      </c>
    </row>
    <row r="56" spans="1:136" s="50" customFormat="1" ht="17.25" customHeight="1">
      <c r="J56" s="50" t="s">
        <v>21</v>
      </c>
      <c r="K56" s="59" t="s">
        <v>21</v>
      </c>
      <c r="U56" s="60"/>
      <c r="W56" s="50" t="s">
        <v>21</v>
      </c>
      <c r="X56" s="55" t="s">
        <v>21</v>
      </c>
      <c r="Y56" s="56" t="s">
        <v>21</v>
      </c>
      <c r="AE56" s="56"/>
      <c r="AF56" s="56"/>
      <c r="EF56" s="50">
        <v>3.05</v>
      </c>
    </row>
    <row r="57" spans="1:136" s="50" customFormat="1" ht="17.25" customHeight="1">
      <c r="J57" s="50" t="s">
        <v>21</v>
      </c>
      <c r="K57" s="59" t="s">
        <v>21</v>
      </c>
      <c r="U57" s="60"/>
      <c r="W57" s="50" t="s">
        <v>21</v>
      </c>
      <c r="X57" s="55" t="s">
        <v>21</v>
      </c>
      <c r="Y57" s="56" t="s">
        <v>21</v>
      </c>
      <c r="AE57" s="56"/>
      <c r="AF57" s="56"/>
      <c r="EF57" s="50">
        <v>2.27</v>
      </c>
    </row>
    <row r="58" spans="1:136" s="50" customFormat="1" ht="17.25" customHeight="1">
      <c r="J58" s="50" t="s">
        <v>21</v>
      </c>
      <c r="K58" s="59" t="s">
        <v>21</v>
      </c>
      <c r="U58" s="60"/>
      <c r="W58" s="50" t="s">
        <v>21</v>
      </c>
      <c r="X58" s="55" t="s">
        <v>21</v>
      </c>
      <c r="Y58" s="56" t="s">
        <v>21</v>
      </c>
      <c r="AE58" s="56"/>
      <c r="AF58" s="56"/>
      <c r="EF58" s="50">
        <v>1.69</v>
      </c>
    </row>
    <row r="59" spans="1:136" s="50" customFormat="1" ht="17.25" customHeight="1">
      <c r="J59" s="50" t="s">
        <v>21</v>
      </c>
      <c r="K59" s="59" t="s">
        <v>21</v>
      </c>
      <c r="U59" s="60"/>
      <c r="W59" s="50" t="s">
        <v>21</v>
      </c>
      <c r="X59" s="55" t="s">
        <v>21</v>
      </c>
      <c r="Y59" s="56" t="s">
        <v>21</v>
      </c>
      <c r="AE59" s="56"/>
      <c r="AF59" s="56"/>
      <c r="EF59" s="50">
        <v>1.22</v>
      </c>
    </row>
    <row r="60" spans="1:136" s="50" customFormat="1" ht="17.25" customHeight="1">
      <c r="J60" s="50" t="s">
        <v>21</v>
      </c>
      <c r="K60" s="59" t="s">
        <v>21</v>
      </c>
      <c r="U60" s="60"/>
      <c r="W60" s="50" t="s">
        <v>21</v>
      </c>
      <c r="X60" s="55" t="s">
        <v>21</v>
      </c>
      <c r="Y60" s="56" t="s">
        <v>21</v>
      </c>
      <c r="AE60" s="56"/>
      <c r="AF60" s="56"/>
      <c r="EF60" s="50">
        <v>0.83</v>
      </c>
    </row>
    <row r="61" spans="1:136" s="50" customFormat="1" ht="17.25" customHeight="1">
      <c r="J61" s="50" t="s">
        <v>21</v>
      </c>
      <c r="K61" s="59" t="s">
        <v>21</v>
      </c>
      <c r="U61" s="60"/>
      <c r="W61" s="50" t="s">
        <v>21</v>
      </c>
      <c r="X61" s="55" t="s">
        <v>21</v>
      </c>
      <c r="Y61" s="56" t="s">
        <v>21</v>
      </c>
      <c r="AE61" s="56"/>
      <c r="AF61" s="56"/>
      <c r="EF61" s="50">
        <v>0.5699999999999994</v>
      </c>
    </row>
    <row r="62" spans="1:136" s="50" customFormat="1" ht="17.25" customHeight="1">
      <c r="J62" s="50" t="s">
        <v>21</v>
      </c>
      <c r="K62" s="59" t="s">
        <v>21</v>
      </c>
      <c r="U62" s="60"/>
      <c r="W62" s="50" t="s">
        <v>21</v>
      </c>
      <c r="X62" s="55" t="s">
        <v>21</v>
      </c>
      <c r="Y62" s="56" t="s">
        <v>21</v>
      </c>
      <c r="AE62" s="56"/>
      <c r="AF62" s="56"/>
      <c r="EF62" s="50">
        <v>0.38</v>
      </c>
    </row>
    <row r="63" spans="1:136" s="50" customFormat="1" ht="17.25" customHeight="1">
      <c r="J63" s="50" t="s">
        <v>21</v>
      </c>
      <c r="K63" s="59" t="s">
        <v>21</v>
      </c>
      <c r="U63" s="60"/>
      <c r="W63" s="50" t="s">
        <v>21</v>
      </c>
      <c r="X63" s="55" t="s">
        <v>21</v>
      </c>
      <c r="Y63" s="56" t="s">
        <v>21</v>
      </c>
      <c r="AE63" s="56"/>
      <c r="AF63" s="56"/>
      <c r="EF63" s="50">
        <v>0.27999999999999936</v>
      </c>
    </row>
    <row r="64" spans="1:136" s="50" customFormat="1" ht="17.25" customHeight="1">
      <c r="J64" s="50" t="s">
        <v>21</v>
      </c>
      <c r="K64" s="59" t="s">
        <v>21</v>
      </c>
      <c r="U64" s="60"/>
      <c r="W64" s="50" t="s">
        <v>21</v>
      </c>
      <c r="X64" s="55" t="s">
        <v>21</v>
      </c>
      <c r="Y64" s="56" t="s">
        <v>21</v>
      </c>
      <c r="AE64" s="56"/>
      <c r="AF64" s="56"/>
      <c r="EF64" s="50">
        <v>0.22</v>
      </c>
    </row>
    <row r="65" spans="10:136" s="50" customFormat="1" ht="17.25" customHeight="1">
      <c r="J65" s="50" t="s">
        <v>21</v>
      </c>
      <c r="K65" s="59" t="s">
        <v>21</v>
      </c>
      <c r="U65" s="60"/>
      <c r="W65" s="50" t="s">
        <v>21</v>
      </c>
      <c r="X65" s="55" t="s">
        <v>21</v>
      </c>
      <c r="Y65" s="56" t="s">
        <v>21</v>
      </c>
      <c r="AE65" s="56"/>
      <c r="AF65" s="56"/>
      <c r="EF65" s="50">
        <v>0.17</v>
      </c>
    </row>
    <row r="66" spans="10:136" s="50" customFormat="1" ht="17.25" customHeight="1">
      <c r="J66" s="50" t="s">
        <v>21</v>
      </c>
      <c r="K66" s="59" t="s">
        <v>21</v>
      </c>
      <c r="U66" s="60"/>
      <c r="W66" s="50" t="s">
        <v>21</v>
      </c>
      <c r="X66" s="55" t="s">
        <v>21</v>
      </c>
      <c r="Y66" s="56" t="s">
        <v>21</v>
      </c>
      <c r="AE66" s="56"/>
      <c r="AF66" s="56"/>
      <c r="EF66" s="50">
        <v>0.13</v>
      </c>
    </row>
    <row r="67" spans="10:136" s="50" customFormat="1" ht="17.25" customHeight="1">
      <c r="J67" s="50" t="s">
        <v>21</v>
      </c>
      <c r="K67" s="59" t="s">
        <v>21</v>
      </c>
      <c r="U67" s="60"/>
      <c r="W67" s="55" t="s">
        <v>21</v>
      </c>
      <c r="X67" s="56" t="s">
        <v>21</v>
      </c>
      <c r="AD67" s="56"/>
      <c r="AE67" s="56"/>
      <c r="ED67" s="50">
        <v>9.9999999999999645E-2</v>
      </c>
    </row>
    <row r="68" spans="10:136" s="50" customFormat="1" ht="17.25" customHeight="1">
      <c r="J68" s="50" t="s">
        <v>21</v>
      </c>
      <c r="K68" s="59" t="s">
        <v>21</v>
      </c>
      <c r="U68" s="60"/>
      <c r="W68" s="50" t="s">
        <v>21</v>
      </c>
      <c r="X68" s="55" t="s">
        <v>21</v>
      </c>
      <c r="Y68" s="56" t="s">
        <v>21</v>
      </c>
      <c r="AE68" s="56"/>
      <c r="AF68" s="56"/>
    </row>
    <row r="69" spans="10:136" s="50" customFormat="1" ht="17.25" customHeight="1">
      <c r="J69" s="50" t="s">
        <v>21</v>
      </c>
      <c r="K69" s="59" t="s">
        <v>21</v>
      </c>
      <c r="U69" s="60"/>
      <c r="W69" s="50" t="s">
        <v>21</v>
      </c>
      <c r="X69" s="55" t="s">
        <v>21</v>
      </c>
      <c r="Y69" s="56" t="s">
        <v>21</v>
      </c>
      <c r="AE69" s="56"/>
      <c r="AF69" s="56"/>
    </row>
    <row r="70" spans="10:136" s="50" customFormat="1" ht="17.25" customHeight="1">
      <c r="J70" s="50" t="s">
        <v>21</v>
      </c>
      <c r="K70" s="59" t="s">
        <v>21</v>
      </c>
      <c r="U70" s="60"/>
      <c r="W70" s="50" t="s">
        <v>21</v>
      </c>
      <c r="X70" s="55" t="s">
        <v>21</v>
      </c>
      <c r="Y70" s="56" t="s">
        <v>21</v>
      </c>
      <c r="AE70" s="56"/>
      <c r="AF70" s="56"/>
    </row>
    <row r="71" spans="10:136" s="50" customFormat="1" ht="17.25" customHeight="1">
      <c r="J71" s="50" t="s">
        <v>21</v>
      </c>
      <c r="K71" s="59" t="s">
        <v>21</v>
      </c>
      <c r="U71" s="60"/>
      <c r="W71" s="50" t="s">
        <v>21</v>
      </c>
      <c r="X71" s="55" t="s">
        <v>21</v>
      </c>
      <c r="Y71" s="56" t="s">
        <v>21</v>
      </c>
      <c r="AE71" s="56"/>
      <c r="AF71" s="56"/>
    </row>
    <row r="72" spans="10:136" s="50" customFormat="1" ht="17.25" customHeight="1">
      <c r="J72" s="50" t="s">
        <v>21</v>
      </c>
      <c r="K72" s="59" t="s">
        <v>21</v>
      </c>
      <c r="U72" s="60"/>
      <c r="W72" s="50" t="s">
        <v>21</v>
      </c>
      <c r="X72" s="55" t="s">
        <v>21</v>
      </c>
      <c r="Y72" s="56" t="s">
        <v>21</v>
      </c>
      <c r="AE72" s="56"/>
      <c r="AF72" s="56"/>
    </row>
    <row r="73" spans="10:136" s="50" customFormat="1" ht="17.25" customHeight="1">
      <c r="J73" s="50" t="s">
        <v>21</v>
      </c>
      <c r="K73" s="59" t="s">
        <v>21</v>
      </c>
      <c r="U73" s="60"/>
      <c r="W73" s="50" t="s">
        <v>21</v>
      </c>
      <c r="X73" s="55" t="s">
        <v>21</v>
      </c>
      <c r="Y73" s="56" t="s">
        <v>21</v>
      </c>
      <c r="AE73" s="56"/>
      <c r="AF73" s="56"/>
    </row>
    <row r="74" spans="10:136" s="50" customFormat="1" ht="17.25" customHeight="1">
      <c r="J74" s="50" t="s">
        <v>21</v>
      </c>
      <c r="U74" s="60"/>
      <c r="W74" s="50" t="s">
        <v>21</v>
      </c>
      <c r="X74" s="55" t="s">
        <v>21</v>
      </c>
      <c r="Y74" s="56" t="s">
        <v>21</v>
      </c>
      <c r="AE74" s="56"/>
      <c r="AF74" s="56"/>
    </row>
    <row r="75" spans="10:136" s="50" customFormat="1" ht="17.25" customHeight="1">
      <c r="J75" s="50" t="s">
        <v>21</v>
      </c>
      <c r="U75" s="60"/>
      <c r="W75" s="50" t="s">
        <v>21</v>
      </c>
      <c r="X75" s="55" t="s">
        <v>21</v>
      </c>
      <c r="Y75" s="56" t="s">
        <v>21</v>
      </c>
      <c r="AE75" s="56"/>
      <c r="AF75" s="56"/>
    </row>
    <row r="76" spans="10:136" s="50" customFormat="1" ht="17.25" customHeight="1">
      <c r="J76" s="50" t="s">
        <v>21</v>
      </c>
      <c r="U76" s="60"/>
      <c r="W76" s="50" t="s">
        <v>21</v>
      </c>
      <c r="X76" s="55" t="s">
        <v>21</v>
      </c>
      <c r="Y76" s="56" t="s">
        <v>21</v>
      </c>
      <c r="AE76" s="56"/>
      <c r="AF76" s="56"/>
    </row>
    <row r="77" spans="10:136" s="50" customFormat="1" ht="17.25" customHeight="1">
      <c r="J77" s="50" t="s">
        <v>21</v>
      </c>
      <c r="U77" s="60"/>
      <c r="W77" s="50" t="s">
        <v>21</v>
      </c>
      <c r="X77" s="55" t="s">
        <v>21</v>
      </c>
      <c r="Y77" s="56" t="s">
        <v>21</v>
      </c>
      <c r="AE77" s="56"/>
      <c r="AF77" s="56"/>
    </row>
    <row r="78" spans="10:136" s="50" customFormat="1" ht="17.25" customHeight="1">
      <c r="J78" s="50" t="s">
        <v>21</v>
      </c>
      <c r="U78" s="60"/>
      <c r="W78" s="50" t="s">
        <v>21</v>
      </c>
      <c r="X78" s="55" t="s">
        <v>21</v>
      </c>
      <c r="Y78" s="56" t="s">
        <v>21</v>
      </c>
      <c r="AE78" s="56"/>
      <c r="AF78" s="56"/>
    </row>
    <row r="79" spans="10:136" s="50" customFormat="1" ht="17.25" customHeight="1">
      <c r="J79" s="50" t="s">
        <v>21</v>
      </c>
      <c r="U79" s="60"/>
      <c r="AE79" s="56"/>
      <c r="AF79" s="56"/>
    </row>
    <row r="80" spans="10:136" s="50" customFormat="1" ht="17.25" customHeight="1">
      <c r="J80" s="50" t="s">
        <v>21</v>
      </c>
      <c r="U80" s="60"/>
      <c r="AE80" s="56"/>
      <c r="AF80" s="56"/>
    </row>
    <row r="81" spans="10:32" s="50" customFormat="1" ht="17.25" customHeight="1">
      <c r="J81" s="50" t="s">
        <v>21</v>
      </c>
      <c r="U81" s="60"/>
      <c r="AE81" s="56"/>
      <c r="AF81" s="56"/>
    </row>
    <row r="82" spans="10:32" s="50" customFormat="1" ht="17.25" customHeight="1">
      <c r="J82" s="50" t="s">
        <v>21</v>
      </c>
      <c r="U82" s="60"/>
      <c r="AE82" s="56"/>
      <c r="AF82" s="56"/>
    </row>
    <row r="83" spans="10:32" s="50" customFormat="1" ht="17.25" customHeight="1">
      <c r="J83" s="50" t="s">
        <v>21</v>
      </c>
      <c r="U83" s="60"/>
      <c r="AE83" s="56"/>
      <c r="AF83" s="56"/>
    </row>
    <row r="84" spans="10:32" s="50" customFormat="1" ht="17.25" customHeight="1">
      <c r="J84" s="50" t="s">
        <v>21</v>
      </c>
      <c r="U84" s="60"/>
      <c r="AE84" s="56"/>
      <c r="AF84" s="56"/>
    </row>
    <row r="85" spans="10:32" s="50" customFormat="1" ht="17.25" customHeight="1">
      <c r="J85" s="50" t="s">
        <v>21</v>
      </c>
      <c r="U85" s="60"/>
      <c r="AE85" s="56"/>
      <c r="AF85" s="56"/>
    </row>
    <row r="86" spans="10:32" s="50" customFormat="1" ht="17.25" customHeight="1">
      <c r="J86" s="50" t="s">
        <v>21</v>
      </c>
      <c r="U86" s="60"/>
      <c r="AE86" s="56"/>
      <c r="AF86" s="56"/>
    </row>
    <row r="87" spans="10:32" s="50" customFormat="1" ht="17.25" customHeight="1">
      <c r="U87" s="60"/>
      <c r="AE87" s="56"/>
      <c r="AF87" s="56"/>
    </row>
    <row r="88" spans="10:32" s="50" customFormat="1" ht="17.25" customHeight="1">
      <c r="U88" s="60"/>
      <c r="AE88" s="56"/>
      <c r="AF88" s="56"/>
    </row>
    <row r="89" spans="10:32" s="50" customFormat="1" ht="17.25" customHeight="1">
      <c r="U89" s="60"/>
      <c r="AE89" s="56"/>
      <c r="AF89" s="56"/>
    </row>
    <row r="90" spans="10:32" s="50" customFormat="1" ht="17.25" customHeight="1">
      <c r="U90" s="60"/>
      <c r="AE90" s="56"/>
      <c r="AF90" s="56"/>
    </row>
    <row r="91" spans="10:32" s="50" customFormat="1" ht="17.25" customHeight="1">
      <c r="U91" s="60"/>
      <c r="AE91" s="56"/>
      <c r="AF91" s="56"/>
    </row>
    <row r="92" spans="10:32" s="50" customFormat="1" ht="17.25" customHeight="1">
      <c r="U92" s="60"/>
      <c r="AE92" s="56"/>
      <c r="AF92" s="56"/>
    </row>
    <row r="93" spans="10:32" s="50" customFormat="1" ht="17.25" customHeight="1">
      <c r="U93" s="60"/>
      <c r="AE93" s="56"/>
      <c r="AF93" s="56"/>
    </row>
    <row r="94" spans="10:32" s="50" customFormat="1" ht="17.25" customHeight="1">
      <c r="U94" s="60"/>
      <c r="AE94" s="56"/>
      <c r="AF94" s="56"/>
    </row>
    <row r="95" spans="10:32" s="50" customFormat="1" ht="17.25" customHeight="1">
      <c r="U95" s="60"/>
      <c r="AE95" s="56"/>
      <c r="AF95" s="56"/>
    </row>
    <row r="96" spans="10:32" s="50" customFormat="1" ht="17.25" customHeight="1">
      <c r="U96" s="60"/>
      <c r="AE96" s="56"/>
      <c r="AF96" s="56"/>
    </row>
    <row r="97" spans="21:32" s="50" customFormat="1" ht="17.25" customHeight="1">
      <c r="U97" s="60"/>
      <c r="AE97" s="56"/>
      <c r="AF97" s="56"/>
    </row>
    <row r="98" spans="21:32" s="50" customFormat="1" ht="17.25" customHeight="1">
      <c r="U98" s="60"/>
      <c r="AE98" s="56"/>
      <c r="AF98" s="56"/>
    </row>
    <row r="99" spans="21:32" s="50" customFormat="1" ht="17.25" customHeight="1">
      <c r="U99" s="60"/>
      <c r="AE99" s="56"/>
      <c r="AF99" s="56"/>
    </row>
    <row r="100" spans="21:32" s="50" customFormat="1" ht="17.25" customHeight="1">
      <c r="U100" s="60"/>
      <c r="AE100" s="56"/>
      <c r="AF100" s="56"/>
    </row>
    <row r="101" spans="21:32" s="50" customFormat="1" ht="17.25" customHeight="1">
      <c r="U101" s="60"/>
      <c r="AE101" s="56"/>
      <c r="AF101" s="56"/>
    </row>
    <row r="102" spans="21:32" s="50" customFormat="1" ht="17.25" customHeight="1">
      <c r="U102" s="60"/>
      <c r="AE102" s="56"/>
      <c r="AF102" s="56"/>
    </row>
    <row r="103" spans="21:32" s="50" customFormat="1" ht="17.25" customHeight="1">
      <c r="U103" s="60"/>
      <c r="AE103" s="56"/>
      <c r="AF103" s="56"/>
    </row>
    <row r="104" spans="21:32" s="50" customFormat="1" ht="17.25" customHeight="1">
      <c r="U104" s="60"/>
      <c r="AE104" s="56"/>
      <c r="AF104" s="56"/>
    </row>
    <row r="105" spans="21:32" s="50" customFormat="1" ht="17.25" customHeight="1">
      <c r="U105" s="60"/>
      <c r="AE105" s="56"/>
      <c r="AF105" s="56"/>
    </row>
    <row r="106" spans="21:32" s="50" customFormat="1" ht="17.25" customHeight="1">
      <c r="U106" s="60"/>
      <c r="AE106" s="56"/>
      <c r="AF106" s="56"/>
    </row>
    <row r="107" spans="21:32" s="50" customFormat="1" ht="17.25" customHeight="1">
      <c r="U107" s="60"/>
      <c r="AE107" s="56"/>
      <c r="AF107" s="56"/>
    </row>
    <row r="108" spans="21:32" s="50" customFormat="1" ht="17.25" customHeight="1">
      <c r="U108" s="60"/>
      <c r="AE108" s="56"/>
      <c r="AF108" s="56"/>
    </row>
    <row r="109" spans="21:32" s="50" customFormat="1" ht="17.25" customHeight="1">
      <c r="U109" s="60"/>
      <c r="AE109" s="56"/>
      <c r="AF109" s="56"/>
    </row>
    <row r="110" spans="21:32" s="50" customFormat="1" ht="17.25" customHeight="1">
      <c r="U110" s="60"/>
      <c r="AE110" s="56"/>
      <c r="AF110" s="56"/>
    </row>
    <row r="111" spans="21:32" s="50" customFormat="1" ht="17.25" customHeight="1">
      <c r="U111" s="60"/>
      <c r="AE111" s="56"/>
      <c r="AF111" s="56"/>
    </row>
    <row r="112" spans="21:32" s="50" customFormat="1" ht="17.25" customHeight="1">
      <c r="U112" s="60"/>
      <c r="AE112" s="56"/>
      <c r="AF112" s="56"/>
    </row>
    <row r="113" spans="21:32" s="50" customFormat="1" ht="17.25" customHeight="1">
      <c r="U113" s="60"/>
      <c r="AE113" s="56"/>
      <c r="AF113" s="56"/>
    </row>
    <row r="114" spans="21:32" s="50" customFormat="1" ht="17.25" customHeight="1">
      <c r="U114" s="60"/>
      <c r="AE114" s="56"/>
      <c r="AF114" s="56"/>
    </row>
    <row r="115" spans="21:32" s="50" customFormat="1" ht="17.25" customHeight="1">
      <c r="U115" s="60"/>
      <c r="AE115" s="56"/>
      <c r="AF115" s="56"/>
    </row>
    <row r="116" spans="21:32" s="50" customFormat="1" ht="17.25" customHeight="1">
      <c r="U116" s="60"/>
      <c r="AE116" s="56"/>
      <c r="AF116" s="56"/>
    </row>
    <row r="117" spans="21:32" s="50" customFormat="1" ht="17.25" customHeight="1">
      <c r="U117" s="60"/>
      <c r="AE117" s="56"/>
      <c r="AF117" s="56"/>
    </row>
    <row r="118" spans="21:32" s="50" customFormat="1" ht="17.25" customHeight="1">
      <c r="U118" s="60"/>
      <c r="AE118" s="56"/>
      <c r="AF118" s="56"/>
    </row>
    <row r="119" spans="21:32" s="50" customFormat="1" ht="17.25" customHeight="1">
      <c r="U119" s="60"/>
      <c r="AE119" s="56"/>
      <c r="AF119" s="56"/>
    </row>
    <row r="120" spans="21:32" s="50" customFormat="1" ht="17.25" customHeight="1">
      <c r="U120" s="60"/>
      <c r="AE120" s="56"/>
      <c r="AF120" s="56"/>
    </row>
    <row r="121" spans="21:32" s="50" customFormat="1" ht="17.25" customHeight="1">
      <c r="U121" s="60"/>
      <c r="AE121" s="56"/>
      <c r="AF121" s="56"/>
    </row>
    <row r="122" spans="21:32" s="50" customFormat="1" ht="17.25" customHeight="1">
      <c r="U122" s="60"/>
      <c r="AE122" s="56"/>
      <c r="AF122" s="56"/>
    </row>
    <row r="123" spans="21:32" s="50" customFormat="1" ht="17.25" customHeight="1">
      <c r="U123" s="60"/>
      <c r="AE123" s="56"/>
      <c r="AF123" s="56"/>
    </row>
    <row r="124" spans="21:32" s="50" customFormat="1" ht="17.25" customHeight="1">
      <c r="U124" s="60"/>
      <c r="AE124" s="56"/>
      <c r="AF124" s="56"/>
    </row>
    <row r="125" spans="21:32" s="50" customFormat="1" ht="17.25" customHeight="1">
      <c r="U125" s="60"/>
      <c r="AE125" s="56"/>
      <c r="AF125" s="56"/>
    </row>
    <row r="126" spans="21:32" s="50" customFormat="1" ht="17.25" customHeight="1">
      <c r="U126" s="60"/>
      <c r="AE126" s="56"/>
      <c r="AF126" s="56"/>
    </row>
    <row r="127" spans="21:32" s="50" customFormat="1" ht="17.25" customHeight="1">
      <c r="U127" s="60"/>
      <c r="AE127" s="56"/>
      <c r="AF127" s="56"/>
    </row>
    <row r="128" spans="21:32" s="50" customFormat="1" ht="17.25" customHeight="1">
      <c r="U128" s="60"/>
      <c r="AE128" s="56"/>
      <c r="AF128" s="56"/>
    </row>
    <row r="129" spans="21:32" s="50" customFormat="1" ht="17.25" customHeight="1">
      <c r="U129" s="60"/>
      <c r="AE129" s="56"/>
      <c r="AF129" s="56"/>
    </row>
    <row r="130" spans="21:32" s="50" customFormat="1" ht="17.25" customHeight="1">
      <c r="U130" s="60"/>
      <c r="AE130" s="56"/>
      <c r="AF130" s="56"/>
    </row>
    <row r="131" spans="21:32" s="50" customFormat="1" ht="17.25" customHeight="1">
      <c r="U131" s="60"/>
      <c r="AE131" s="56"/>
      <c r="AF131" s="56"/>
    </row>
    <row r="132" spans="21:32" s="50" customFormat="1" ht="17.25" customHeight="1">
      <c r="U132" s="60"/>
      <c r="AE132" s="56"/>
      <c r="AF132" s="56"/>
    </row>
    <row r="133" spans="21:32" s="50" customFormat="1" ht="17.25" customHeight="1">
      <c r="U133" s="60"/>
      <c r="AE133" s="56"/>
      <c r="AF133" s="56"/>
    </row>
    <row r="134" spans="21:32" s="50" customFormat="1" ht="17.25" customHeight="1">
      <c r="U134" s="60"/>
      <c r="AE134" s="56"/>
      <c r="AF134" s="56"/>
    </row>
    <row r="135" spans="21:32" s="50" customFormat="1" ht="17.25" customHeight="1">
      <c r="U135" s="60"/>
      <c r="AE135" s="56"/>
      <c r="AF135" s="56"/>
    </row>
    <row r="136" spans="21:32" s="50" customFormat="1" ht="17.25" customHeight="1">
      <c r="U136" s="60"/>
      <c r="AE136" s="56"/>
      <c r="AF136" s="56"/>
    </row>
    <row r="137" spans="21:32" s="50" customFormat="1" ht="17.25" customHeight="1">
      <c r="U137" s="60"/>
      <c r="AE137" s="56"/>
      <c r="AF137" s="56"/>
    </row>
    <row r="138" spans="21:32" s="50" customFormat="1" ht="17.25" customHeight="1">
      <c r="U138" s="60"/>
      <c r="AE138" s="56"/>
      <c r="AF138" s="56"/>
    </row>
    <row r="139" spans="21:32" s="50" customFormat="1" ht="17.25" customHeight="1">
      <c r="U139" s="60"/>
      <c r="AE139" s="56"/>
      <c r="AF139" s="56"/>
    </row>
    <row r="140" spans="21:32" s="50" customFormat="1" ht="17.25" customHeight="1">
      <c r="U140" s="60"/>
      <c r="AE140" s="56"/>
      <c r="AF140" s="56"/>
    </row>
    <row r="141" spans="21:32" s="50" customFormat="1" ht="17.25" customHeight="1">
      <c r="U141" s="60"/>
      <c r="AE141" s="56"/>
      <c r="AF141" s="56"/>
    </row>
    <row r="142" spans="21:32" s="50" customFormat="1" ht="17.25" customHeight="1">
      <c r="U142" s="60"/>
      <c r="AE142" s="56"/>
      <c r="AF142" s="56"/>
    </row>
    <row r="143" spans="21:32" s="50" customFormat="1" ht="17.25" customHeight="1">
      <c r="U143" s="60"/>
      <c r="AE143" s="56"/>
      <c r="AF143" s="56"/>
    </row>
    <row r="144" spans="21:32" s="50" customFormat="1" ht="17.25" customHeight="1">
      <c r="U144" s="60"/>
      <c r="AE144" s="56"/>
      <c r="AF144" s="56"/>
    </row>
    <row r="145" spans="21:32" s="50" customFormat="1" ht="17.25" customHeight="1">
      <c r="U145" s="60"/>
      <c r="AE145" s="56"/>
      <c r="AF145" s="56"/>
    </row>
    <row r="146" spans="21:32" s="50" customFormat="1" ht="17.25" customHeight="1">
      <c r="U146" s="60"/>
      <c r="AE146" s="56"/>
      <c r="AF146" s="56"/>
    </row>
    <row r="147" spans="21:32" s="50" customFormat="1" ht="17.25" customHeight="1">
      <c r="U147" s="60"/>
      <c r="AE147" s="56"/>
      <c r="AF147" s="56"/>
    </row>
    <row r="148" spans="21:32" s="50" customFormat="1" ht="17.25" customHeight="1">
      <c r="U148" s="60"/>
      <c r="AE148" s="56"/>
      <c r="AF148" s="56"/>
    </row>
    <row r="149" spans="21:32" s="50" customFormat="1" ht="17.25" customHeight="1">
      <c r="U149" s="60"/>
      <c r="AE149" s="56"/>
      <c r="AF149" s="56"/>
    </row>
    <row r="150" spans="21:32" s="50" customFormat="1" ht="17.25" customHeight="1">
      <c r="U150" s="60"/>
      <c r="AE150" s="56"/>
      <c r="AF150" s="56"/>
    </row>
    <row r="151" spans="21:32" s="50" customFormat="1" ht="17.25" customHeight="1">
      <c r="U151" s="60"/>
      <c r="AE151" s="56"/>
      <c r="AF151" s="56"/>
    </row>
    <row r="152" spans="21:32" s="50" customFormat="1" ht="17.25" customHeight="1">
      <c r="U152" s="60"/>
      <c r="AE152" s="56"/>
      <c r="AF152" s="56"/>
    </row>
    <row r="153" spans="21:32" s="50" customFormat="1" ht="17.25" customHeight="1">
      <c r="U153" s="60"/>
      <c r="AE153" s="56"/>
      <c r="AF153" s="56"/>
    </row>
    <row r="154" spans="21:32" s="50" customFormat="1" ht="17.25" customHeight="1">
      <c r="U154" s="60"/>
      <c r="AE154" s="56"/>
      <c r="AF154" s="56"/>
    </row>
    <row r="155" spans="21:32" s="50" customFormat="1" ht="17.25" customHeight="1">
      <c r="U155" s="60"/>
      <c r="AE155" s="56"/>
      <c r="AF155" s="56"/>
    </row>
    <row r="156" spans="21:32" s="50" customFormat="1" ht="17.25" customHeight="1">
      <c r="U156" s="60"/>
      <c r="AE156" s="56"/>
      <c r="AF156" s="56"/>
    </row>
    <row r="157" spans="21:32" s="50" customFormat="1" ht="17.25" customHeight="1">
      <c r="U157" s="60"/>
      <c r="AE157" s="56"/>
      <c r="AF157" s="56"/>
    </row>
    <row r="158" spans="21:32" s="50" customFormat="1" ht="17.25" customHeight="1">
      <c r="U158" s="60"/>
      <c r="AE158" s="56"/>
      <c r="AF158" s="56"/>
    </row>
    <row r="159" spans="21:32" s="50" customFormat="1" ht="17.25" customHeight="1">
      <c r="U159" s="60"/>
      <c r="AE159" s="56"/>
      <c r="AF159" s="56"/>
    </row>
    <row r="160" spans="21:32" s="50" customFormat="1" ht="17.25" customHeight="1">
      <c r="U160" s="60"/>
      <c r="AE160" s="56"/>
      <c r="AF160" s="56"/>
    </row>
    <row r="161" spans="21:32" s="50" customFormat="1" ht="17.25" customHeight="1">
      <c r="U161" s="60"/>
      <c r="AE161" s="56"/>
      <c r="AF161" s="56"/>
    </row>
    <row r="162" spans="21:32" s="50" customFormat="1" ht="17.25" customHeight="1">
      <c r="U162" s="60"/>
      <c r="AE162" s="56"/>
      <c r="AF162" s="56"/>
    </row>
    <row r="163" spans="21:32" s="50" customFormat="1" ht="17.25" customHeight="1">
      <c r="U163" s="60"/>
      <c r="AE163" s="56"/>
      <c r="AF163" s="56"/>
    </row>
    <row r="164" spans="21:32" s="50" customFormat="1" ht="17.25" customHeight="1">
      <c r="U164" s="60"/>
      <c r="AE164" s="56"/>
      <c r="AF164" s="56"/>
    </row>
    <row r="165" spans="21:32" s="50" customFormat="1" ht="17.25" customHeight="1">
      <c r="U165" s="60"/>
      <c r="AE165" s="56"/>
      <c r="AF165" s="56"/>
    </row>
    <row r="166" spans="21:32" s="50" customFormat="1" ht="17.25" customHeight="1">
      <c r="U166" s="60"/>
      <c r="AE166" s="56"/>
      <c r="AF166" s="56"/>
    </row>
    <row r="167" spans="21:32" s="50" customFormat="1" ht="17.25" customHeight="1">
      <c r="U167" s="60"/>
      <c r="AE167" s="56"/>
      <c r="AF167" s="56"/>
    </row>
    <row r="168" spans="21:32" s="50" customFormat="1" ht="17.25" customHeight="1">
      <c r="U168" s="60"/>
      <c r="AE168" s="56"/>
      <c r="AF168" s="56"/>
    </row>
    <row r="169" spans="21:32" s="50" customFormat="1" ht="17.25" customHeight="1">
      <c r="U169" s="60"/>
      <c r="AE169" s="56"/>
      <c r="AF169" s="56"/>
    </row>
    <row r="170" spans="21:32" s="50" customFormat="1" ht="17.25" customHeight="1">
      <c r="U170" s="60"/>
      <c r="AE170" s="56"/>
      <c r="AF170" s="56"/>
    </row>
    <row r="171" spans="21:32" s="50" customFormat="1" ht="17.25" customHeight="1">
      <c r="U171" s="60"/>
      <c r="AE171" s="56"/>
      <c r="AF171" s="56"/>
    </row>
    <row r="172" spans="21:32" s="50" customFormat="1" ht="17.25" customHeight="1">
      <c r="U172" s="60"/>
      <c r="AE172" s="56"/>
      <c r="AF172" s="56"/>
    </row>
    <row r="173" spans="21:32" s="50" customFormat="1" ht="17.25" customHeight="1">
      <c r="U173" s="60"/>
      <c r="AE173" s="56"/>
      <c r="AF173" s="56"/>
    </row>
    <row r="174" spans="21:32" s="50" customFormat="1" ht="17.25" customHeight="1">
      <c r="U174" s="60"/>
      <c r="AE174" s="56"/>
      <c r="AF174" s="56"/>
    </row>
    <row r="175" spans="21:32" s="50" customFormat="1" ht="17.25" customHeight="1">
      <c r="U175" s="60"/>
      <c r="AE175" s="56"/>
      <c r="AF175" s="56"/>
    </row>
    <row r="176" spans="21:32" s="50" customFormat="1" ht="17.25" customHeight="1">
      <c r="U176" s="60"/>
      <c r="AE176" s="56"/>
      <c r="AF176" s="56"/>
    </row>
    <row r="177" spans="21:32" s="50" customFormat="1" ht="17.25" customHeight="1">
      <c r="U177" s="60"/>
      <c r="AE177" s="56"/>
      <c r="AF177" s="56"/>
    </row>
    <row r="178" spans="21:32" s="50" customFormat="1" ht="17.25" customHeight="1">
      <c r="U178" s="60"/>
      <c r="AE178" s="56"/>
      <c r="AF178" s="56"/>
    </row>
    <row r="179" spans="21:32" s="50" customFormat="1" ht="17.25" customHeight="1">
      <c r="U179" s="60"/>
      <c r="AE179" s="56"/>
      <c r="AF179" s="56"/>
    </row>
    <row r="180" spans="21:32" s="50" customFormat="1" ht="17.25" customHeight="1">
      <c r="U180" s="60"/>
      <c r="AE180" s="56"/>
      <c r="AF180" s="56"/>
    </row>
    <row r="181" spans="21:32" s="50" customFormat="1" ht="17.25" customHeight="1">
      <c r="U181" s="60"/>
      <c r="AE181" s="56"/>
      <c r="AF181" s="56"/>
    </row>
    <row r="182" spans="21:32" s="50" customFormat="1" ht="17.25" customHeight="1">
      <c r="U182" s="60"/>
      <c r="AE182" s="56"/>
      <c r="AF182" s="56"/>
    </row>
    <row r="183" spans="21:32" s="50" customFormat="1" ht="17.25" customHeight="1">
      <c r="U183" s="60"/>
      <c r="AE183" s="56"/>
      <c r="AF183" s="56"/>
    </row>
    <row r="184" spans="21:32" s="50" customFormat="1" ht="17.25" customHeight="1">
      <c r="U184" s="60"/>
      <c r="AE184" s="56"/>
      <c r="AF184" s="56"/>
    </row>
    <row r="185" spans="21:32" s="50" customFormat="1" ht="17.25" customHeight="1">
      <c r="U185" s="60"/>
      <c r="AE185" s="56"/>
      <c r="AF185" s="56"/>
    </row>
    <row r="186" spans="21:32" s="50" customFormat="1" ht="17.25" customHeight="1">
      <c r="U186" s="60"/>
      <c r="AE186" s="56"/>
      <c r="AF186" s="56"/>
    </row>
    <row r="187" spans="21:32" s="50" customFormat="1" ht="17.25" customHeight="1">
      <c r="U187" s="60"/>
      <c r="AE187" s="56"/>
      <c r="AF187" s="56"/>
    </row>
    <row r="188" spans="21:32" s="50" customFormat="1" ht="17.25" customHeight="1">
      <c r="U188" s="60"/>
      <c r="AE188" s="56"/>
      <c r="AF188" s="56"/>
    </row>
    <row r="189" spans="21:32" s="50" customFormat="1" ht="17.25" customHeight="1">
      <c r="U189" s="60"/>
      <c r="AE189" s="56"/>
      <c r="AF189" s="56"/>
    </row>
    <row r="190" spans="21:32" s="50" customFormat="1" ht="17.25" customHeight="1">
      <c r="U190" s="60"/>
      <c r="AE190" s="56"/>
      <c r="AF190" s="56"/>
    </row>
    <row r="191" spans="21:32" s="50" customFormat="1" ht="17.25" customHeight="1">
      <c r="U191" s="60"/>
      <c r="AE191" s="56"/>
      <c r="AF191" s="56"/>
    </row>
    <row r="192" spans="21:32" s="50" customFormat="1" ht="17.25" customHeight="1">
      <c r="U192" s="60"/>
      <c r="AE192" s="56"/>
      <c r="AF192" s="56"/>
    </row>
    <row r="193" spans="21:32" s="50" customFormat="1" ht="17.25" customHeight="1">
      <c r="U193" s="60"/>
      <c r="AE193" s="56"/>
      <c r="AF193" s="56"/>
    </row>
    <row r="194" spans="21:32" s="50" customFormat="1" ht="17.25" customHeight="1">
      <c r="U194" s="60"/>
      <c r="AE194" s="56"/>
      <c r="AF194" s="56"/>
    </row>
    <row r="195" spans="21:32" s="50" customFormat="1" ht="17.25" customHeight="1">
      <c r="U195" s="60"/>
      <c r="AE195" s="56"/>
      <c r="AF195" s="56"/>
    </row>
    <row r="196" spans="21:32" s="50" customFormat="1" ht="17.25" customHeight="1">
      <c r="U196" s="60"/>
      <c r="AE196" s="56"/>
      <c r="AF196" s="56"/>
    </row>
    <row r="197" spans="21:32" s="50" customFormat="1" ht="17.25" customHeight="1">
      <c r="U197" s="60"/>
      <c r="AE197" s="56"/>
      <c r="AF197" s="56"/>
    </row>
    <row r="198" spans="21:32" s="50" customFormat="1" ht="17.25" customHeight="1">
      <c r="U198" s="60"/>
      <c r="AE198" s="56"/>
      <c r="AF198" s="56"/>
    </row>
    <row r="199" spans="21:32" s="50" customFormat="1" ht="17.25" customHeight="1">
      <c r="U199" s="60"/>
      <c r="AE199" s="56"/>
      <c r="AF199" s="56"/>
    </row>
    <row r="200" spans="21:32" s="50" customFormat="1" ht="17.25" customHeight="1">
      <c r="U200" s="60"/>
      <c r="AE200" s="56"/>
      <c r="AF200" s="56"/>
    </row>
    <row r="201" spans="21:32" s="50" customFormat="1" ht="17.25" customHeight="1">
      <c r="U201" s="60"/>
      <c r="AE201" s="56"/>
      <c r="AF201" s="56"/>
    </row>
    <row r="202" spans="21:32" s="50" customFormat="1" ht="17.25" customHeight="1">
      <c r="U202" s="60"/>
      <c r="AE202" s="56"/>
      <c r="AF202" s="56"/>
    </row>
    <row r="203" spans="21:32" s="50" customFormat="1" ht="17.25" customHeight="1">
      <c r="U203" s="60"/>
      <c r="AE203" s="56"/>
      <c r="AF203" s="56"/>
    </row>
    <row r="204" spans="21:32" s="50" customFormat="1" ht="17.25" customHeight="1">
      <c r="U204" s="60"/>
      <c r="AE204" s="56"/>
      <c r="AF204" s="56"/>
    </row>
    <row r="205" spans="21:32" s="50" customFormat="1" ht="17.25" customHeight="1">
      <c r="U205" s="60"/>
      <c r="AE205" s="56"/>
      <c r="AF205" s="56"/>
    </row>
    <row r="206" spans="21:32" s="50" customFormat="1" ht="17.25" customHeight="1">
      <c r="U206" s="60"/>
      <c r="AE206" s="56"/>
      <c r="AF206" s="56"/>
    </row>
    <row r="207" spans="21:32" s="50" customFormat="1" ht="17.25" customHeight="1">
      <c r="U207" s="60"/>
      <c r="AE207" s="56"/>
      <c r="AF207" s="56"/>
    </row>
    <row r="208" spans="21:32" s="50" customFormat="1" ht="17.25" customHeight="1">
      <c r="U208" s="60"/>
      <c r="AE208" s="56"/>
      <c r="AF208" s="56"/>
    </row>
    <row r="209" spans="21:32" s="50" customFormat="1" ht="17.25" customHeight="1">
      <c r="U209" s="60"/>
      <c r="AE209" s="56"/>
      <c r="AF209" s="56"/>
    </row>
    <row r="210" spans="21:32" s="50" customFormat="1" ht="17.25" customHeight="1">
      <c r="U210" s="60"/>
      <c r="AE210" s="56"/>
      <c r="AF210" s="56"/>
    </row>
    <row r="211" spans="21:32" s="50" customFormat="1" ht="17.25" customHeight="1">
      <c r="U211" s="60"/>
      <c r="AE211" s="56"/>
      <c r="AF211" s="56"/>
    </row>
    <row r="212" spans="21:32" s="50" customFormat="1" ht="17.25" customHeight="1">
      <c r="U212" s="60"/>
      <c r="AE212" s="56"/>
      <c r="AF212" s="56"/>
    </row>
    <row r="213" spans="21:32" s="50" customFormat="1" ht="17.25" customHeight="1">
      <c r="U213" s="60"/>
      <c r="AE213" s="56"/>
      <c r="AF213" s="56"/>
    </row>
    <row r="214" spans="21:32" s="50" customFormat="1" ht="17.25" customHeight="1">
      <c r="U214" s="60"/>
      <c r="AE214" s="56"/>
      <c r="AF214" s="56"/>
    </row>
    <row r="215" spans="21:32" s="50" customFormat="1" ht="17.25" customHeight="1">
      <c r="U215" s="60"/>
      <c r="AE215" s="56"/>
      <c r="AF215" s="56"/>
    </row>
    <row r="216" spans="21:32" s="50" customFormat="1" ht="17.25" customHeight="1">
      <c r="U216" s="60"/>
      <c r="AE216" s="56"/>
      <c r="AF216" s="56"/>
    </row>
    <row r="217" spans="21:32" s="50" customFormat="1" ht="17.25" customHeight="1">
      <c r="U217" s="60"/>
      <c r="AE217" s="56"/>
      <c r="AF217" s="56"/>
    </row>
    <row r="218" spans="21:32" s="50" customFormat="1" ht="17.25" customHeight="1">
      <c r="U218" s="60"/>
      <c r="AE218" s="56"/>
      <c r="AF218" s="56"/>
    </row>
    <row r="219" spans="21:32" s="50" customFormat="1" ht="17.25" customHeight="1">
      <c r="U219" s="60"/>
      <c r="AE219" s="56"/>
      <c r="AF219" s="56"/>
    </row>
    <row r="220" spans="21:32" s="50" customFormat="1" ht="17.25" customHeight="1">
      <c r="U220" s="60"/>
      <c r="AE220" s="56"/>
      <c r="AF220" s="56"/>
    </row>
    <row r="221" spans="21:32" s="50" customFormat="1" ht="17.25" customHeight="1">
      <c r="U221" s="60"/>
      <c r="AE221" s="56"/>
      <c r="AF221" s="56"/>
    </row>
    <row r="222" spans="21:32" s="50" customFormat="1" ht="17.25" customHeight="1">
      <c r="U222" s="60"/>
      <c r="AE222" s="56"/>
      <c r="AF222" s="56"/>
    </row>
    <row r="223" spans="21:32" s="50" customFormat="1" ht="17.25" customHeight="1">
      <c r="U223" s="60"/>
      <c r="AE223" s="56"/>
      <c r="AF223" s="56"/>
    </row>
    <row r="224" spans="21:32" s="50" customFormat="1" ht="17.25" customHeight="1">
      <c r="U224" s="60"/>
      <c r="AE224" s="56"/>
      <c r="AF224" s="56"/>
    </row>
    <row r="225" spans="21:32" s="50" customFormat="1" ht="17.25" customHeight="1">
      <c r="U225" s="60"/>
      <c r="AE225" s="56"/>
      <c r="AF225" s="56"/>
    </row>
    <row r="226" spans="21:32" s="50" customFormat="1" ht="17.25" customHeight="1">
      <c r="U226" s="60"/>
      <c r="AE226" s="56"/>
      <c r="AF226" s="56"/>
    </row>
    <row r="227" spans="21:32" s="50" customFormat="1" ht="17.25" customHeight="1">
      <c r="U227" s="60"/>
      <c r="AE227" s="56"/>
      <c r="AF227" s="56"/>
    </row>
    <row r="228" spans="21:32" s="50" customFormat="1" ht="17.25" customHeight="1">
      <c r="U228" s="60"/>
      <c r="AE228" s="56"/>
      <c r="AF228" s="56"/>
    </row>
    <row r="229" spans="21:32" s="50" customFormat="1" ht="17.25" customHeight="1">
      <c r="U229" s="60"/>
      <c r="AE229" s="56"/>
      <c r="AF229" s="56"/>
    </row>
    <row r="230" spans="21:32" s="50" customFormat="1" ht="17.25" customHeight="1">
      <c r="U230" s="60"/>
      <c r="AE230" s="56"/>
      <c r="AF230" s="56"/>
    </row>
    <row r="231" spans="21:32" s="50" customFormat="1" ht="17.25" customHeight="1">
      <c r="U231" s="60"/>
      <c r="AE231" s="56"/>
      <c r="AF231" s="56"/>
    </row>
    <row r="232" spans="21:32" s="50" customFormat="1" ht="17.25" customHeight="1">
      <c r="U232" s="60"/>
      <c r="AE232" s="56"/>
      <c r="AF232" s="56"/>
    </row>
    <row r="233" spans="21:32" s="50" customFormat="1" ht="17.25" customHeight="1">
      <c r="U233" s="60"/>
      <c r="AE233" s="56"/>
      <c r="AF233" s="56"/>
    </row>
    <row r="234" spans="21:32" s="50" customFormat="1" ht="17.25" customHeight="1">
      <c r="U234" s="60"/>
      <c r="AE234" s="56"/>
      <c r="AF234" s="56"/>
    </row>
    <row r="235" spans="21:32" s="50" customFormat="1" ht="17.25" customHeight="1">
      <c r="U235" s="60"/>
      <c r="AE235" s="56"/>
      <c r="AF235" s="56"/>
    </row>
    <row r="236" spans="21:32" s="50" customFormat="1" ht="17.25" customHeight="1">
      <c r="U236" s="60"/>
      <c r="AE236" s="56"/>
      <c r="AF236" s="56"/>
    </row>
    <row r="237" spans="21:32" s="50" customFormat="1" ht="17.25" customHeight="1">
      <c r="U237" s="60"/>
      <c r="AE237" s="56"/>
      <c r="AF237" s="56"/>
    </row>
    <row r="238" spans="21:32" s="50" customFormat="1" ht="17.25" customHeight="1">
      <c r="U238" s="60"/>
      <c r="AE238" s="56"/>
      <c r="AF238" s="56"/>
    </row>
    <row r="239" spans="21:32" s="50" customFormat="1" ht="17.25" customHeight="1">
      <c r="U239" s="60"/>
      <c r="AE239" s="56"/>
      <c r="AF239" s="56"/>
    </row>
    <row r="240" spans="21:32" s="50" customFormat="1" ht="17.25" customHeight="1">
      <c r="U240" s="60"/>
      <c r="AE240" s="56"/>
      <c r="AF240" s="56"/>
    </row>
    <row r="241" spans="21:32" s="50" customFormat="1" ht="17.25" customHeight="1">
      <c r="U241" s="60"/>
      <c r="AE241" s="56"/>
      <c r="AF241" s="56"/>
    </row>
    <row r="242" spans="21:32" s="50" customFormat="1" ht="17.25" customHeight="1">
      <c r="U242" s="60"/>
      <c r="AE242" s="56"/>
      <c r="AF242" s="56"/>
    </row>
    <row r="243" spans="21:32" s="50" customFormat="1" ht="17.25" customHeight="1">
      <c r="U243" s="60"/>
      <c r="AE243" s="56"/>
      <c r="AF243" s="56"/>
    </row>
    <row r="244" spans="21:32" s="50" customFormat="1" ht="17.25" customHeight="1">
      <c r="U244" s="60"/>
      <c r="AE244" s="56"/>
      <c r="AF244" s="56"/>
    </row>
    <row r="245" spans="21:32" s="50" customFormat="1" ht="17.25" customHeight="1">
      <c r="U245" s="60"/>
      <c r="AE245" s="56"/>
      <c r="AF245" s="56"/>
    </row>
    <row r="246" spans="21:32" s="50" customFormat="1" ht="17.25" customHeight="1">
      <c r="U246" s="60"/>
      <c r="AE246" s="56"/>
      <c r="AF246" s="56"/>
    </row>
    <row r="247" spans="21:32" s="50" customFormat="1" ht="17.25" customHeight="1">
      <c r="U247" s="60"/>
      <c r="AE247" s="56"/>
      <c r="AF247" s="56"/>
    </row>
    <row r="248" spans="21:32" s="50" customFormat="1" ht="17.25" customHeight="1">
      <c r="U248" s="60"/>
      <c r="AE248" s="56"/>
      <c r="AF248" s="56"/>
    </row>
    <row r="249" spans="21:32" s="50" customFormat="1" ht="17.25" customHeight="1">
      <c r="U249" s="60"/>
      <c r="AE249" s="56"/>
      <c r="AF249" s="56"/>
    </row>
    <row r="250" spans="21:32" s="50" customFormat="1" ht="17.25" customHeight="1">
      <c r="U250" s="60"/>
      <c r="AE250" s="56"/>
      <c r="AF250" s="56"/>
    </row>
    <row r="251" spans="21:32" s="50" customFormat="1" ht="17.25" customHeight="1">
      <c r="U251" s="60"/>
      <c r="AE251" s="56"/>
      <c r="AF251" s="56"/>
    </row>
    <row r="252" spans="21:32" s="50" customFormat="1" ht="17.25" customHeight="1">
      <c r="U252" s="60"/>
      <c r="AE252" s="56"/>
      <c r="AF252" s="56"/>
    </row>
    <row r="253" spans="21:32" s="50" customFormat="1" ht="17.25" customHeight="1">
      <c r="U253" s="60"/>
      <c r="AE253" s="56"/>
      <c r="AF253" s="56"/>
    </row>
    <row r="254" spans="21:32" s="50" customFormat="1" ht="17.25" customHeight="1">
      <c r="U254" s="60"/>
      <c r="AE254" s="56"/>
      <c r="AF254" s="56"/>
    </row>
    <row r="255" spans="21:32" s="50" customFormat="1" ht="17.25" customHeight="1">
      <c r="U255" s="60"/>
      <c r="AE255" s="56"/>
      <c r="AF255" s="56"/>
    </row>
    <row r="256" spans="21:32" s="50" customFormat="1" ht="17.25" customHeight="1">
      <c r="U256" s="60"/>
      <c r="AE256" s="56"/>
      <c r="AF256" s="56"/>
    </row>
    <row r="257" spans="21:32" s="50" customFormat="1" ht="17.25" customHeight="1">
      <c r="U257" s="60"/>
      <c r="AE257" s="56"/>
      <c r="AF257" s="56"/>
    </row>
    <row r="258" spans="21:32" s="50" customFormat="1" ht="17.25" customHeight="1">
      <c r="U258" s="60"/>
      <c r="AE258" s="56"/>
      <c r="AF258" s="56"/>
    </row>
    <row r="259" spans="21:32" s="50" customFormat="1" ht="17.25" customHeight="1">
      <c r="U259" s="60"/>
      <c r="AE259" s="56"/>
      <c r="AF259" s="56"/>
    </row>
    <row r="260" spans="21:32" s="50" customFormat="1" ht="17.25" customHeight="1">
      <c r="U260" s="60"/>
      <c r="AE260" s="56"/>
      <c r="AF260" s="56"/>
    </row>
    <row r="261" spans="21:32" s="50" customFormat="1" ht="17.25" customHeight="1">
      <c r="U261" s="60"/>
      <c r="AE261" s="56"/>
      <c r="AF261" s="56"/>
    </row>
    <row r="262" spans="21:32" s="50" customFormat="1" ht="17.25" customHeight="1">
      <c r="U262" s="60"/>
      <c r="AE262" s="56"/>
      <c r="AF262" s="56"/>
    </row>
    <row r="263" spans="21:32" s="50" customFormat="1" ht="17.25" customHeight="1">
      <c r="U263" s="60"/>
      <c r="AE263" s="56"/>
      <c r="AF263" s="56"/>
    </row>
    <row r="264" spans="21:32" s="50" customFormat="1" ht="17.25" customHeight="1">
      <c r="U264" s="60"/>
      <c r="AE264" s="56"/>
      <c r="AF264" s="56"/>
    </row>
    <row r="265" spans="21:32" s="50" customFormat="1" ht="17.25" customHeight="1">
      <c r="U265" s="60"/>
      <c r="AE265" s="56"/>
      <c r="AF265" s="56"/>
    </row>
    <row r="266" spans="21:32" s="50" customFormat="1" ht="17.25" customHeight="1">
      <c r="U266" s="60"/>
      <c r="AE266" s="56"/>
      <c r="AF266" s="56"/>
    </row>
    <row r="267" spans="21:32" s="50" customFormat="1" ht="17.25" customHeight="1">
      <c r="U267" s="60"/>
      <c r="AE267" s="56"/>
      <c r="AF267" s="56"/>
    </row>
    <row r="268" spans="21:32" s="50" customFormat="1" ht="17.25" customHeight="1">
      <c r="U268" s="60"/>
      <c r="AE268" s="56"/>
      <c r="AF268" s="56"/>
    </row>
    <row r="269" spans="21:32" s="50" customFormat="1" ht="17.25" customHeight="1">
      <c r="U269" s="60"/>
      <c r="AE269" s="56"/>
      <c r="AF269" s="56"/>
    </row>
    <row r="270" spans="21:32" s="50" customFormat="1" ht="17.25" customHeight="1">
      <c r="U270" s="60"/>
      <c r="AE270" s="56"/>
      <c r="AF270" s="56"/>
    </row>
    <row r="271" spans="21:32" s="50" customFormat="1" ht="17.25" customHeight="1">
      <c r="U271" s="60"/>
      <c r="AE271" s="56"/>
      <c r="AF271" s="56"/>
    </row>
    <row r="272" spans="21:32" s="50" customFormat="1" ht="17.25" customHeight="1">
      <c r="U272" s="60"/>
      <c r="AE272" s="56"/>
      <c r="AF272" s="56"/>
    </row>
    <row r="273" spans="21:32" s="50" customFormat="1" ht="17.25" customHeight="1">
      <c r="U273" s="60"/>
      <c r="AE273" s="56"/>
      <c r="AF273" s="56"/>
    </row>
    <row r="274" spans="21:32" s="50" customFormat="1" ht="17.25" customHeight="1">
      <c r="U274" s="60"/>
      <c r="AE274" s="56"/>
      <c r="AF274" s="56"/>
    </row>
    <row r="275" spans="21:32" s="50" customFormat="1" ht="17.25" customHeight="1">
      <c r="U275" s="60"/>
      <c r="AE275" s="56"/>
      <c r="AF275" s="56"/>
    </row>
    <row r="276" spans="21:32" s="50" customFormat="1" ht="17.25" customHeight="1">
      <c r="U276" s="60"/>
      <c r="AE276" s="56"/>
      <c r="AF276" s="56"/>
    </row>
    <row r="277" spans="21:32" s="50" customFormat="1" ht="17.25" customHeight="1">
      <c r="U277" s="60"/>
      <c r="AE277" s="56"/>
      <c r="AF277" s="56"/>
    </row>
    <row r="278" spans="21:32" s="50" customFormat="1" ht="17.25" customHeight="1">
      <c r="U278" s="60"/>
      <c r="AE278" s="56"/>
      <c r="AF278" s="56"/>
    </row>
    <row r="279" spans="21:32" s="50" customFormat="1" ht="17.25" customHeight="1">
      <c r="U279" s="60"/>
      <c r="AE279" s="56"/>
      <c r="AF279" s="56"/>
    </row>
    <row r="280" spans="21:32" s="50" customFormat="1" ht="17.25" customHeight="1">
      <c r="U280" s="60"/>
      <c r="AE280" s="56"/>
      <c r="AF280" s="56"/>
    </row>
    <row r="281" spans="21:32" s="50" customFormat="1" ht="17.25" customHeight="1">
      <c r="U281" s="60"/>
      <c r="AE281" s="56"/>
      <c r="AF281" s="56"/>
    </row>
    <row r="282" spans="21:32" s="50" customFormat="1" ht="17.25" customHeight="1">
      <c r="U282" s="60"/>
      <c r="AE282" s="56"/>
      <c r="AF282" s="56"/>
    </row>
    <row r="283" spans="21:32" s="50" customFormat="1" ht="17.25" customHeight="1">
      <c r="U283" s="60"/>
      <c r="AE283" s="56"/>
      <c r="AF283" s="56"/>
    </row>
    <row r="284" spans="21:32" s="50" customFormat="1" ht="17.25" customHeight="1">
      <c r="U284" s="60"/>
      <c r="AE284" s="56"/>
      <c r="AF284" s="56"/>
    </row>
    <row r="285" spans="21:32" s="50" customFormat="1" ht="17.25" customHeight="1">
      <c r="U285" s="60"/>
      <c r="AE285" s="56"/>
      <c r="AF285" s="56"/>
    </row>
    <row r="286" spans="21:32" s="50" customFormat="1" ht="17.25" customHeight="1">
      <c r="U286" s="60"/>
      <c r="AE286" s="56"/>
      <c r="AF286" s="56"/>
    </row>
    <row r="287" spans="21:32" s="50" customFormat="1" ht="17.25" customHeight="1">
      <c r="U287" s="60"/>
      <c r="AE287" s="56"/>
      <c r="AF287" s="56"/>
    </row>
    <row r="288" spans="21:32" s="50" customFormat="1" ht="17.25" customHeight="1">
      <c r="U288" s="60"/>
      <c r="AE288" s="56"/>
      <c r="AF288" s="56"/>
    </row>
    <row r="289" spans="21:32" s="50" customFormat="1" ht="17.25" customHeight="1">
      <c r="U289" s="60"/>
      <c r="AE289" s="56"/>
      <c r="AF289" s="56"/>
    </row>
    <row r="290" spans="21:32" s="50" customFormat="1" ht="17.25" customHeight="1">
      <c r="U290" s="60"/>
      <c r="AE290" s="56"/>
      <c r="AF290" s="56"/>
    </row>
    <row r="291" spans="21:32" s="50" customFormat="1" ht="17.25" customHeight="1">
      <c r="U291" s="60"/>
      <c r="AE291" s="56"/>
      <c r="AF291" s="56"/>
    </row>
    <row r="292" spans="21:32" s="50" customFormat="1" ht="17.25" customHeight="1">
      <c r="U292" s="60"/>
      <c r="AE292" s="56"/>
      <c r="AF292" s="56"/>
    </row>
    <row r="293" spans="21:32" s="50" customFormat="1" ht="17.25" customHeight="1">
      <c r="U293" s="60"/>
      <c r="AE293" s="56"/>
      <c r="AF293" s="56"/>
    </row>
    <row r="294" spans="21:32" s="50" customFormat="1" ht="17.25" customHeight="1">
      <c r="U294" s="60"/>
      <c r="AE294" s="56"/>
      <c r="AF294" s="56"/>
    </row>
    <row r="295" spans="21:32" s="50" customFormat="1" ht="17.25" customHeight="1">
      <c r="U295" s="60"/>
      <c r="AE295" s="56"/>
      <c r="AF295" s="56"/>
    </row>
    <row r="296" spans="21:32" s="50" customFormat="1" ht="17.25" customHeight="1">
      <c r="U296" s="60"/>
      <c r="AE296" s="56"/>
      <c r="AF296" s="56"/>
    </row>
    <row r="297" spans="21:32" s="50" customFormat="1" ht="17.25" customHeight="1">
      <c r="U297" s="60"/>
      <c r="AE297" s="56"/>
      <c r="AF297" s="56"/>
    </row>
    <row r="298" spans="21:32" s="50" customFormat="1" ht="17.25" customHeight="1">
      <c r="U298" s="60"/>
      <c r="AE298" s="56"/>
      <c r="AF298" s="56"/>
    </row>
    <row r="299" spans="21:32" s="50" customFormat="1" ht="17.25" customHeight="1">
      <c r="U299" s="60"/>
      <c r="AE299" s="56"/>
      <c r="AF299" s="56"/>
    </row>
    <row r="300" spans="21:32" s="50" customFormat="1" ht="17.25" customHeight="1">
      <c r="U300" s="60"/>
      <c r="AE300" s="56"/>
      <c r="AF300" s="56"/>
    </row>
    <row r="301" spans="21:32" s="50" customFormat="1" ht="17.25" customHeight="1">
      <c r="U301" s="60"/>
      <c r="AE301" s="56"/>
      <c r="AF301" s="56"/>
    </row>
    <row r="302" spans="21:32" s="50" customFormat="1" ht="17.25" customHeight="1">
      <c r="U302" s="60"/>
      <c r="AE302" s="56"/>
      <c r="AF302" s="56"/>
    </row>
    <row r="303" spans="21:32" s="50" customFormat="1" ht="17.25" customHeight="1">
      <c r="U303" s="60"/>
      <c r="AE303" s="56"/>
      <c r="AF303" s="56"/>
    </row>
    <row r="304" spans="21:32" s="50" customFormat="1" ht="17.25" customHeight="1">
      <c r="U304" s="60"/>
      <c r="AE304" s="56"/>
      <c r="AF304" s="56"/>
    </row>
    <row r="305" spans="21:32" s="50" customFormat="1" ht="17.25" customHeight="1">
      <c r="U305" s="60"/>
      <c r="AE305" s="56"/>
      <c r="AF305" s="56"/>
    </row>
    <row r="306" spans="21:32" s="50" customFormat="1" ht="17.25" customHeight="1">
      <c r="U306" s="60"/>
      <c r="AE306" s="56"/>
      <c r="AF306" s="56"/>
    </row>
    <row r="307" spans="21:32" s="50" customFormat="1" ht="17.25" customHeight="1">
      <c r="U307" s="60"/>
      <c r="AE307" s="56"/>
      <c r="AF307" s="56"/>
    </row>
    <row r="308" spans="21:32" s="50" customFormat="1" ht="17.25" customHeight="1">
      <c r="U308" s="60"/>
      <c r="AE308" s="56"/>
      <c r="AF308" s="56"/>
    </row>
    <row r="309" spans="21:32" s="50" customFormat="1" ht="17.25" customHeight="1">
      <c r="U309" s="60"/>
      <c r="AE309" s="56"/>
      <c r="AF309" s="56"/>
    </row>
    <row r="310" spans="21:32" s="50" customFormat="1" ht="17.25" customHeight="1">
      <c r="U310" s="60"/>
      <c r="AE310" s="56"/>
      <c r="AF310" s="56"/>
    </row>
    <row r="311" spans="21:32" s="50" customFormat="1" ht="17.25" customHeight="1">
      <c r="U311" s="60"/>
      <c r="AE311" s="56"/>
      <c r="AF311" s="56"/>
    </row>
    <row r="312" spans="21:32" s="50" customFormat="1" ht="17.25" customHeight="1">
      <c r="U312" s="60"/>
      <c r="AE312" s="56"/>
      <c r="AF312" s="56"/>
    </row>
    <row r="313" spans="21:32" s="50" customFormat="1" ht="17.25" customHeight="1">
      <c r="U313" s="60"/>
      <c r="AE313" s="56"/>
      <c r="AF313" s="56"/>
    </row>
    <row r="314" spans="21:32" s="50" customFormat="1" ht="17.25" customHeight="1">
      <c r="U314" s="60"/>
      <c r="AE314" s="56"/>
      <c r="AF314" s="56"/>
    </row>
    <row r="315" spans="21:32" s="50" customFormat="1" ht="17.25" customHeight="1">
      <c r="U315" s="60"/>
      <c r="AE315" s="56"/>
      <c r="AF315" s="56"/>
    </row>
    <row r="316" spans="21:32" s="50" customFormat="1" ht="17.25" customHeight="1">
      <c r="U316" s="60"/>
      <c r="AE316" s="56"/>
      <c r="AF316" s="56"/>
    </row>
    <row r="317" spans="21:32" s="50" customFormat="1" ht="17.25" customHeight="1">
      <c r="U317" s="60"/>
      <c r="AE317" s="56"/>
      <c r="AF317" s="56"/>
    </row>
    <row r="318" spans="21:32" s="50" customFormat="1" ht="17.25" customHeight="1">
      <c r="U318" s="60"/>
      <c r="AE318" s="56"/>
      <c r="AF318" s="56"/>
    </row>
    <row r="319" spans="21:32" s="50" customFormat="1" ht="17.25" customHeight="1">
      <c r="U319" s="60"/>
      <c r="AE319" s="56"/>
      <c r="AF319" s="56"/>
    </row>
    <row r="320" spans="21:32" s="50" customFormat="1" ht="17.25" customHeight="1">
      <c r="U320" s="60"/>
      <c r="AE320" s="56"/>
      <c r="AF320" s="56"/>
    </row>
    <row r="321" spans="21:32" s="50" customFormat="1" ht="17.25" customHeight="1">
      <c r="U321" s="60"/>
      <c r="AE321" s="56"/>
      <c r="AF321" s="56"/>
    </row>
    <row r="322" spans="21:32" s="50" customFormat="1" ht="17.25" customHeight="1">
      <c r="U322" s="60"/>
      <c r="AE322" s="56"/>
      <c r="AF322" s="56"/>
    </row>
    <row r="323" spans="21:32" s="50" customFormat="1" ht="17.25" customHeight="1">
      <c r="U323" s="60"/>
      <c r="AE323" s="56"/>
      <c r="AF323" s="56"/>
    </row>
    <row r="324" spans="21:32" s="50" customFormat="1" ht="17.25" customHeight="1">
      <c r="U324" s="60"/>
      <c r="AE324" s="56"/>
      <c r="AF324" s="56"/>
    </row>
    <row r="325" spans="21:32" s="50" customFormat="1" ht="17.25" customHeight="1">
      <c r="U325" s="60"/>
      <c r="AE325" s="56"/>
      <c r="AF325" s="56"/>
    </row>
    <row r="326" spans="21:32" s="50" customFormat="1" ht="17.25" customHeight="1">
      <c r="U326" s="60"/>
      <c r="AE326" s="56"/>
      <c r="AF326" s="56"/>
    </row>
    <row r="327" spans="21:32" s="50" customFormat="1" ht="17.25" customHeight="1">
      <c r="U327" s="60"/>
      <c r="AE327" s="56"/>
      <c r="AF327" s="56"/>
    </row>
    <row r="328" spans="21:32" s="50" customFormat="1" ht="17.25" customHeight="1">
      <c r="U328" s="60"/>
      <c r="AE328" s="56"/>
      <c r="AF328" s="56"/>
    </row>
    <row r="329" spans="21:32" s="50" customFormat="1" ht="17.25" customHeight="1">
      <c r="U329" s="60"/>
      <c r="AE329" s="56"/>
      <c r="AF329" s="56"/>
    </row>
    <row r="330" spans="21:32" s="50" customFormat="1" ht="17.25" customHeight="1">
      <c r="U330" s="60"/>
      <c r="AE330" s="56"/>
      <c r="AF330" s="56"/>
    </row>
    <row r="331" spans="21:32" s="50" customFormat="1" ht="17.25" customHeight="1">
      <c r="U331" s="60"/>
      <c r="AE331" s="56"/>
      <c r="AF331" s="56"/>
    </row>
    <row r="332" spans="21:32" s="50" customFormat="1" ht="17.25" customHeight="1">
      <c r="U332" s="60"/>
      <c r="AE332" s="56"/>
      <c r="AF332" s="56"/>
    </row>
    <row r="333" spans="21:32" s="50" customFormat="1" ht="17.25" customHeight="1">
      <c r="U333" s="60"/>
      <c r="AE333" s="56"/>
      <c r="AF333" s="56"/>
    </row>
    <row r="334" spans="21:32" s="50" customFormat="1" ht="17.25" customHeight="1">
      <c r="U334" s="60"/>
      <c r="AE334" s="56"/>
      <c r="AF334" s="56"/>
    </row>
    <row r="335" spans="21:32" s="50" customFormat="1" ht="17.25" customHeight="1">
      <c r="U335" s="60"/>
      <c r="AE335" s="56"/>
      <c r="AF335" s="56"/>
    </row>
    <row r="336" spans="21:32" s="50" customFormat="1" ht="17.25" customHeight="1">
      <c r="U336" s="60"/>
      <c r="AE336" s="56"/>
      <c r="AF336" s="56"/>
    </row>
    <row r="337" spans="21:32" s="50" customFormat="1" ht="17.25" customHeight="1">
      <c r="U337" s="60"/>
      <c r="AE337" s="56"/>
      <c r="AF337" s="56"/>
    </row>
    <row r="338" spans="21:32" s="50" customFormat="1" ht="17.25" customHeight="1">
      <c r="U338" s="60"/>
      <c r="AE338" s="56"/>
      <c r="AF338" s="56"/>
    </row>
    <row r="339" spans="21:32" s="50" customFormat="1" ht="17.25" customHeight="1">
      <c r="U339" s="60"/>
      <c r="AE339" s="56"/>
      <c r="AF339" s="56"/>
    </row>
    <row r="340" spans="21:32" s="50" customFormat="1" ht="17.25" customHeight="1">
      <c r="U340" s="60"/>
      <c r="AE340" s="56"/>
      <c r="AF340" s="56"/>
    </row>
    <row r="341" spans="21:32" s="50" customFormat="1" ht="17.25" customHeight="1">
      <c r="U341" s="60"/>
      <c r="AE341" s="56"/>
      <c r="AF341" s="56"/>
    </row>
    <row r="342" spans="21:32" s="50" customFormat="1" ht="17.25" customHeight="1">
      <c r="U342" s="60"/>
      <c r="AE342" s="56"/>
      <c r="AF342" s="56"/>
    </row>
    <row r="343" spans="21:32" s="50" customFormat="1" ht="17.25" customHeight="1">
      <c r="U343" s="60"/>
      <c r="AE343" s="56"/>
      <c r="AF343" s="56"/>
    </row>
    <row r="344" spans="21:32" s="50" customFormat="1" ht="17.25" customHeight="1">
      <c r="U344" s="60"/>
      <c r="AE344" s="56"/>
      <c r="AF344" s="56"/>
    </row>
    <row r="345" spans="21:32" s="50" customFormat="1" ht="17.25" customHeight="1">
      <c r="U345" s="60"/>
      <c r="AE345" s="56"/>
      <c r="AF345" s="56"/>
    </row>
    <row r="346" spans="21:32" s="50" customFormat="1" ht="17.25" customHeight="1">
      <c r="U346" s="60"/>
      <c r="AE346" s="56"/>
      <c r="AF346" s="56"/>
    </row>
    <row r="347" spans="21:32" s="50" customFormat="1" ht="17.25" customHeight="1">
      <c r="U347" s="60"/>
      <c r="AE347" s="56"/>
      <c r="AF347" s="56"/>
    </row>
    <row r="348" spans="21:32" s="50" customFormat="1" ht="17.25" customHeight="1">
      <c r="U348" s="60"/>
      <c r="AE348" s="56"/>
      <c r="AF348" s="56"/>
    </row>
    <row r="349" spans="21:32" s="50" customFormat="1" ht="17.25" customHeight="1">
      <c r="U349" s="60"/>
      <c r="AE349" s="56"/>
      <c r="AF349" s="56"/>
    </row>
    <row r="350" spans="21:32" s="50" customFormat="1" ht="17.25" customHeight="1">
      <c r="U350" s="60"/>
      <c r="AE350" s="56"/>
      <c r="AF350" s="56"/>
    </row>
    <row r="351" spans="21:32" s="50" customFormat="1" ht="17.25" customHeight="1">
      <c r="U351" s="60"/>
      <c r="AE351" s="56"/>
      <c r="AF351" s="56"/>
    </row>
    <row r="352" spans="21:32" s="50" customFormat="1" ht="17.25" customHeight="1">
      <c r="U352" s="60"/>
      <c r="AE352" s="56"/>
      <c r="AF352" s="56"/>
    </row>
    <row r="353" spans="21:32" s="50" customFormat="1" ht="17.25" customHeight="1">
      <c r="U353" s="60"/>
      <c r="AE353" s="56"/>
      <c r="AF353" s="56"/>
    </row>
    <row r="354" spans="21:32" s="50" customFormat="1" ht="17.25" customHeight="1">
      <c r="U354" s="60"/>
      <c r="AE354" s="56"/>
      <c r="AF354" s="56"/>
    </row>
    <row r="355" spans="21:32" s="50" customFormat="1" ht="17.25" customHeight="1">
      <c r="U355" s="60"/>
      <c r="AE355" s="56"/>
      <c r="AF355" s="56"/>
    </row>
    <row r="356" spans="21:32" s="50" customFormat="1" ht="17.25" customHeight="1">
      <c r="U356" s="60"/>
      <c r="AE356" s="56"/>
      <c r="AF356" s="56"/>
    </row>
    <row r="357" spans="21:32" s="50" customFormat="1" ht="17.25" customHeight="1">
      <c r="U357" s="60"/>
      <c r="AE357" s="56"/>
      <c r="AF357" s="56"/>
    </row>
    <row r="358" spans="21:32" s="50" customFormat="1" ht="17.25" customHeight="1">
      <c r="U358" s="60"/>
      <c r="AE358" s="56"/>
      <c r="AF358" s="56"/>
    </row>
    <row r="359" spans="21:32" s="50" customFormat="1" ht="17.25" customHeight="1">
      <c r="U359" s="60"/>
      <c r="AE359" s="56"/>
      <c r="AF359" s="56"/>
    </row>
    <row r="360" spans="21:32" s="50" customFormat="1" ht="17.25" customHeight="1">
      <c r="U360" s="60"/>
      <c r="AE360" s="56"/>
      <c r="AF360" s="56"/>
    </row>
    <row r="361" spans="21:32" s="50" customFormat="1" ht="17.25" customHeight="1">
      <c r="U361" s="60"/>
      <c r="AE361" s="56"/>
      <c r="AF361" s="56"/>
    </row>
    <row r="362" spans="21:32" s="50" customFormat="1" ht="17.25" customHeight="1">
      <c r="U362" s="60"/>
      <c r="AE362" s="56"/>
      <c r="AF362" s="56"/>
    </row>
    <row r="363" spans="21:32" s="50" customFormat="1" ht="17.25" customHeight="1">
      <c r="U363" s="60"/>
      <c r="AE363" s="56"/>
      <c r="AF363" s="56"/>
    </row>
    <row r="364" spans="21:32" s="50" customFormat="1" ht="17.25" customHeight="1">
      <c r="U364" s="60"/>
      <c r="AE364" s="56"/>
      <c r="AF364" s="56"/>
    </row>
    <row r="365" spans="21:32" s="50" customFormat="1" ht="17.25" customHeight="1">
      <c r="U365" s="60"/>
      <c r="AE365" s="56"/>
      <c r="AF365" s="56"/>
    </row>
    <row r="366" spans="21:32" s="50" customFormat="1" ht="17.25" customHeight="1">
      <c r="U366" s="60"/>
      <c r="AE366" s="56"/>
      <c r="AF366" s="56"/>
    </row>
    <row r="367" spans="21:32" s="50" customFormat="1" ht="17.25" customHeight="1">
      <c r="U367" s="60"/>
      <c r="AE367" s="56"/>
      <c r="AF367" s="56"/>
    </row>
    <row r="368" spans="21:32" s="50" customFormat="1" ht="17.25" customHeight="1">
      <c r="U368" s="60"/>
      <c r="AE368" s="56"/>
      <c r="AF368" s="56"/>
    </row>
    <row r="369" spans="21:32" s="50" customFormat="1" ht="17.25" customHeight="1">
      <c r="U369" s="60"/>
      <c r="AE369" s="56"/>
      <c r="AF369" s="56"/>
    </row>
    <row r="370" spans="21:32" s="50" customFormat="1" ht="17.25" customHeight="1">
      <c r="U370" s="60"/>
      <c r="AE370" s="56"/>
      <c r="AF370" s="56"/>
    </row>
    <row r="371" spans="21:32" s="50" customFormat="1" ht="17.25" customHeight="1">
      <c r="U371" s="60"/>
      <c r="AE371" s="56"/>
      <c r="AF371" s="56"/>
    </row>
    <row r="372" spans="21:32" s="50" customFormat="1" ht="17.25" customHeight="1">
      <c r="U372" s="60"/>
      <c r="AE372" s="56"/>
      <c r="AF372" s="56"/>
    </row>
    <row r="373" spans="21:32" s="50" customFormat="1" ht="17.25" customHeight="1">
      <c r="U373" s="60"/>
      <c r="AE373" s="56"/>
      <c r="AF373" s="56"/>
    </row>
    <row r="374" spans="21:32" s="50" customFormat="1" ht="17.25" customHeight="1">
      <c r="U374" s="60"/>
      <c r="AE374" s="56"/>
      <c r="AF374" s="56"/>
    </row>
    <row r="375" spans="21:32" s="50" customFormat="1" ht="17.25" customHeight="1">
      <c r="U375" s="60"/>
      <c r="AE375" s="56"/>
      <c r="AF375" s="56"/>
    </row>
    <row r="376" spans="21:32" s="50" customFormat="1" ht="17.25" customHeight="1">
      <c r="U376" s="60"/>
      <c r="AE376" s="56"/>
      <c r="AF376" s="56"/>
    </row>
    <row r="377" spans="21:32" s="50" customFormat="1" ht="17.25" customHeight="1">
      <c r="U377" s="60"/>
      <c r="AE377" s="56"/>
      <c r="AF377" s="56"/>
    </row>
    <row r="378" spans="21:32" s="50" customFormat="1" ht="17.25" customHeight="1">
      <c r="U378" s="60"/>
      <c r="AE378" s="56"/>
      <c r="AF378" s="56"/>
    </row>
    <row r="379" spans="21:32" s="50" customFormat="1" ht="17.25" customHeight="1">
      <c r="U379" s="60"/>
      <c r="AE379" s="56"/>
      <c r="AF379" s="56"/>
    </row>
    <row r="380" spans="21:32" s="50" customFormat="1" ht="17.25" customHeight="1">
      <c r="U380" s="60"/>
      <c r="AE380" s="56"/>
      <c r="AF380" s="56"/>
    </row>
    <row r="381" spans="21:32" s="50" customFormat="1" ht="17.25" customHeight="1">
      <c r="U381" s="60"/>
      <c r="AE381" s="56"/>
      <c r="AF381" s="56"/>
    </row>
    <row r="382" spans="21:32" s="50" customFormat="1" ht="17.25" customHeight="1">
      <c r="U382" s="60"/>
      <c r="AE382" s="56"/>
      <c r="AF382" s="56"/>
    </row>
    <row r="383" spans="21:32" s="50" customFormat="1" ht="17.25" customHeight="1">
      <c r="U383" s="60"/>
      <c r="AE383" s="56"/>
      <c r="AF383" s="56"/>
    </row>
    <row r="384" spans="21:32" s="50" customFormat="1" ht="17.25" customHeight="1">
      <c r="U384" s="60"/>
      <c r="AE384" s="56"/>
      <c r="AF384" s="56"/>
    </row>
    <row r="385" spans="21:32" s="50" customFormat="1" ht="17.25" customHeight="1">
      <c r="U385" s="60"/>
      <c r="AE385" s="56"/>
      <c r="AF385" s="56"/>
    </row>
    <row r="386" spans="21:32" s="50" customFormat="1" ht="17.25" customHeight="1">
      <c r="U386" s="60"/>
      <c r="AE386" s="56"/>
      <c r="AF386" s="56"/>
    </row>
    <row r="387" spans="21:32" s="50" customFormat="1" ht="17.25" customHeight="1">
      <c r="U387" s="60"/>
      <c r="AE387" s="56"/>
      <c r="AF387" s="56"/>
    </row>
    <row r="388" spans="21:32" s="50" customFormat="1" ht="17.25" customHeight="1">
      <c r="U388" s="60"/>
      <c r="AE388" s="56"/>
      <c r="AF388" s="56"/>
    </row>
    <row r="389" spans="21:32" s="50" customFormat="1" ht="17.25" customHeight="1">
      <c r="U389" s="60"/>
      <c r="AE389" s="56"/>
      <c r="AF389" s="56"/>
    </row>
    <row r="390" spans="21:32" s="50" customFormat="1" ht="17.25" customHeight="1">
      <c r="U390" s="60"/>
      <c r="AE390" s="56"/>
      <c r="AF390" s="56"/>
    </row>
    <row r="391" spans="21:32" s="50" customFormat="1" ht="17.25" customHeight="1">
      <c r="U391" s="60"/>
      <c r="AE391" s="56"/>
      <c r="AF391" s="56"/>
    </row>
    <row r="392" spans="21:32" s="50" customFormat="1" ht="17.25" customHeight="1">
      <c r="U392" s="60"/>
      <c r="AE392" s="56"/>
      <c r="AF392" s="56"/>
    </row>
    <row r="393" spans="21:32" s="50" customFormat="1" ht="17.25" customHeight="1">
      <c r="U393" s="60"/>
      <c r="AE393" s="56"/>
      <c r="AF393" s="56"/>
    </row>
    <row r="394" spans="21:32" s="50" customFormat="1" ht="17.25" customHeight="1">
      <c r="U394" s="60"/>
      <c r="AE394" s="56"/>
      <c r="AF394" s="56"/>
    </row>
    <row r="395" spans="21:32" s="50" customFormat="1" ht="17.25" customHeight="1">
      <c r="U395" s="60"/>
      <c r="AE395" s="56"/>
      <c r="AF395" s="56"/>
    </row>
    <row r="396" spans="21:32" s="50" customFormat="1" ht="17.25" customHeight="1">
      <c r="U396" s="60"/>
      <c r="AE396" s="56"/>
      <c r="AF396" s="56"/>
    </row>
    <row r="397" spans="21:32" s="50" customFormat="1" ht="17.25" customHeight="1">
      <c r="U397" s="60"/>
      <c r="AE397" s="56"/>
      <c r="AF397" s="56"/>
    </row>
    <row r="398" spans="21:32" s="50" customFormat="1" ht="17.25" customHeight="1">
      <c r="U398" s="60"/>
      <c r="AE398" s="56"/>
      <c r="AF398" s="56"/>
    </row>
    <row r="399" spans="21:32" s="50" customFormat="1" ht="17.25" customHeight="1">
      <c r="U399" s="60"/>
      <c r="AE399" s="56"/>
      <c r="AF399" s="56"/>
    </row>
    <row r="400" spans="21:32" s="50" customFormat="1" ht="17.25" customHeight="1">
      <c r="U400" s="60"/>
      <c r="AE400" s="56"/>
      <c r="AF400" s="56"/>
    </row>
    <row r="401" spans="21:32" s="50" customFormat="1" ht="17.25" customHeight="1">
      <c r="U401" s="60"/>
      <c r="AE401" s="56"/>
      <c r="AF401" s="56"/>
    </row>
    <row r="402" spans="21:32" s="50" customFormat="1" ht="17.25" customHeight="1">
      <c r="U402" s="60"/>
      <c r="AE402" s="56"/>
      <c r="AF402" s="56"/>
    </row>
    <row r="403" spans="21:32" s="50" customFormat="1" ht="17.25" customHeight="1">
      <c r="U403" s="60"/>
      <c r="AE403" s="56"/>
      <c r="AF403" s="56"/>
    </row>
    <row r="404" spans="21:32" s="50" customFormat="1" ht="17.25" customHeight="1">
      <c r="U404" s="60"/>
      <c r="AE404" s="56"/>
      <c r="AF404" s="56"/>
    </row>
    <row r="405" spans="21:32" s="50" customFormat="1" ht="17.25" customHeight="1">
      <c r="U405" s="60"/>
      <c r="AE405" s="56"/>
      <c r="AF405" s="56"/>
    </row>
    <row r="406" spans="21:32" s="50" customFormat="1" ht="17.25" customHeight="1">
      <c r="U406" s="60"/>
      <c r="AE406" s="56"/>
      <c r="AF406" s="56"/>
    </row>
    <row r="407" spans="21:32" s="50" customFormat="1" ht="17.25" customHeight="1">
      <c r="U407" s="60"/>
      <c r="AE407" s="56"/>
      <c r="AF407" s="56"/>
    </row>
    <row r="408" spans="21:32" s="50" customFormat="1" ht="17.25" customHeight="1">
      <c r="U408" s="60"/>
      <c r="AE408" s="56"/>
      <c r="AF408" s="56"/>
    </row>
    <row r="409" spans="21:32" s="50" customFormat="1" ht="17.25" customHeight="1">
      <c r="U409" s="60"/>
      <c r="AE409" s="56"/>
      <c r="AF409" s="56"/>
    </row>
    <row r="410" spans="21:32" s="50" customFormat="1" ht="17.25" customHeight="1">
      <c r="U410" s="60"/>
      <c r="AE410" s="56"/>
      <c r="AF410" s="56"/>
    </row>
    <row r="411" spans="21:32" s="50" customFormat="1" ht="17.25" customHeight="1">
      <c r="U411" s="60"/>
      <c r="AE411" s="56"/>
      <c r="AF411" s="56"/>
    </row>
    <row r="412" spans="21:32" s="50" customFormat="1" ht="17.25" customHeight="1">
      <c r="U412" s="60"/>
      <c r="AE412" s="56"/>
      <c r="AF412" s="56"/>
    </row>
    <row r="413" spans="21:32" s="50" customFormat="1" ht="17.25" customHeight="1">
      <c r="U413" s="60"/>
      <c r="AE413" s="56"/>
      <c r="AF413" s="56"/>
    </row>
    <row r="414" spans="21:32" s="50" customFormat="1" ht="17.25" customHeight="1">
      <c r="U414" s="60"/>
      <c r="AE414" s="56"/>
      <c r="AF414" s="56"/>
    </row>
    <row r="415" spans="21:32" s="50" customFormat="1" ht="12">
      <c r="U415" s="60"/>
      <c r="AE415" s="56"/>
      <c r="AF415" s="56"/>
    </row>
    <row r="416" spans="21:32" s="50" customFormat="1" ht="12">
      <c r="U416" s="60"/>
      <c r="AE416" s="56"/>
      <c r="AF416" s="56"/>
    </row>
    <row r="417" spans="21:32" s="50" customFormat="1" ht="12">
      <c r="U417" s="60"/>
      <c r="AE417" s="56"/>
      <c r="AF417" s="56"/>
    </row>
    <row r="418" spans="21:32" s="50" customFormat="1" ht="12">
      <c r="U418" s="60"/>
      <c r="AE418" s="56"/>
      <c r="AF418" s="56"/>
    </row>
    <row r="419" spans="21:32" s="50" customFormat="1" ht="12">
      <c r="U419" s="60"/>
      <c r="AE419" s="56"/>
      <c r="AF419" s="56"/>
    </row>
    <row r="420" spans="21:32" s="50" customFormat="1" ht="12">
      <c r="U420" s="60"/>
      <c r="AE420" s="56"/>
      <c r="AF420" s="56"/>
    </row>
    <row r="421" spans="21:32" s="50" customFormat="1" ht="12">
      <c r="U421" s="60"/>
      <c r="AE421" s="56"/>
      <c r="AF421" s="56"/>
    </row>
    <row r="422" spans="21:32" s="50" customFormat="1" ht="12">
      <c r="U422" s="60"/>
      <c r="AE422" s="56"/>
      <c r="AF422" s="56"/>
    </row>
    <row r="423" spans="21:32" s="50" customFormat="1" ht="12">
      <c r="U423" s="60"/>
      <c r="AE423" s="56"/>
      <c r="AF423" s="56"/>
    </row>
    <row r="424" spans="21:32" s="50" customFormat="1" ht="12">
      <c r="U424" s="60"/>
      <c r="AE424" s="56"/>
      <c r="AF424" s="56"/>
    </row>
    <row r="425" spans="21:32" s="50" customFormat="1" ht="12">
      <c r="U425" s="60"/>
      <c r="AE425" s="56"/>
      <c r="AF425" s="56"/>
    </row>
    <row r="426" spans="21:32" s="50" customFormat="1" ht="12">
      <c r="U426" s="60"/>
      <c r="AE426" s="56"/>
      <c r="AF426" s="56"/>
    </row>
    <row r="427" spans="21:32" s="50" customFormat="1" ht="12">
      <c r="U427" s="60"/>
      <c r="AE427" s="56"/>
      <c r="AF427" s="56"/>
    </row>
    <row r="428" spans="21:32" s="50" customFormat="1" ht="12">
      <c r="U428" s="60"/>
      <c r="AE428" s="56"/>
      <c r="AF428" s="56"/>
    </row>
    <row r="429" spans="21:32" s="50" customFormat="1" ht="12">
      <c r="U429" s="60"/>
      <c r="AE429" s="56"/>
      <c r="AF429" s="56"/>
    </row>
    <row r="430" spans="21:32" s="50" customFormat="1" ht="12">
      <c r="U430" s="60"/>
      <c r="AE430" s="56"/>
      <c r="AF430" s="56"/>
    </row>
    <row r="431" spans="21:32" s="50" customFormat="1" ht="12">
      <c r="U431" s="60"/>
      <c r="AE431" s="56"/>
      <c r="AF431" s="56"/>
    </row>
    <row r="432" spans="21:32" s="50" customFormat="1" ht="12">
      <c r="U432" s="60"/>
      <c r="AE432" s="56"/>
      <c r="AF432" s="56"/>
    </row>
    <row r="433" spans="21:32" s="50" customFormat="1" ht="12">
      <c r="U433" s="60"/>
      <c r="AE433" s="56"/>
      <c r="AF433" s="56"/>
    </row>
    <row r="434" spans="21:32" s="50" customFormat="1" ht="12">
      <c r="U434" s="60"/>
      <c r="AE434" s="56"/>
      <c r="AF434" s="56"/>
    </row>
    <row r="435" spans="21:32" s="50" customFormat="1" ht="12">
      <c r="U435" s="60"/>
      <c r="AE435" s="56"/>
      <c r="AF435" s="56"/>
    </row>
    <row r="436" spans="21:32" s="50" customFormat="1" ht="12">
      <c r="U436" s="60"/>
      <c r="AE436" s="56"/>
      <c r="AF436" s="56"/>
    </row>
    <row r="437" spans="21:32" s="50" customFormat="1" ht="12">
      <c r="U437" s="60"/>
      <c r="AE437" s="56"/>
      <c r="AF437" s="56"/>
    </row>
    <row r="438" spans="21:32" s="50" customFormat="1" ht="12">
      <c r="U438" s="60"/>
      <c r="AE438" s="56"/>
      <c r="AF438" s="56"/>
    </row>
    <row r="439" spans="21:32" s="50" customFormat="1" ht="12">
      <c r="U439" s="60"/>
      <c r="AE439" s="56"/>
      <c r="AF439" s="56"/>
    </row>
    <row r="440" spans="21:32" s="50" customFormat="1" ht="12">
      <c r="U440" s="60"/>
      <c r="AE440" s="56"/>
      <c r="AF440" s="56"/>
    </row>
    <row r="441" spans="21:32" s="50" customFormat="1" ht="12">
      <c r="U441" s="60"/>
      <c r="AE441" s="56"/>
      <c r="AF441" s="56"/>
    </row>
    <row r="442" spans="21:32" s="50" customFormat="1" ht="12">
      <c r="U442" s="60"/>
      <c r="AE442" s="56"/>
      <c r="AF442" s="56"/>
    </row>
    <row r="443" spans="21:32" s="50" customFormat="1" ht="12">
      <c r="U443" s="60"/>
      <c r="AE443" s="56"/>
      <c r="AF443" s="56"/>
    </row>
    <row r="444" spans="21:32" s="50" customFormat="1" ht="12">
      <c r="U444" s="60"/>
      <c r="AE444" s="56"/>
      <c r="AF444" s="56"/>
    </row>
    <row r="445" spans="21:32" s="50" customFormat="1" ht="12">
      <c r="U445" s="60"/>
      <c r="AE445" s="56"/>
      <c r="AF445" s="56"/>
    </row>
    <row r="446" spans="21:32" s="50" customFormat="1" ht="12">
      <c r="U446" s="60"/>
      <c r="AE446" s="56"/>
      <c r="AF446" s="56"/>
    </row>
    <row r="447" spans="21:32" s="50" customFormat="1" ht="12">
      <c r="U447" s="60"/>
      <c r="AE447" s="56"/>
      <c r="AF447" s="56"/>
    </row>
    <row r="448" spans="21:32" s="50" customFormat="1" ht="12">
      <c r="U448" s="60"/>
      <c r="AE448" s="56"/>
      <c r="AF448" s="56"/>
    </row>
    <row r="449" spans="21:32" s="50" customFormat="1" ht="12">
      <c r="U449" s="60"/>
      <c r="AE449" s="56"/>
      <c r="AF449" s="56"/>
    </row>
    <row r="450" spans="21:32" s="50" customFormat="1" ht="12">
      <c r="U450" s="60"/>
      <c r="AE450" s="56"/>
      <c r="AF450" s="56"/>
    </row>
    <row r="451" spans="21:32" s="50" customFormat="1" ht="12">
      <c r="U451" s="60"/>
      <c r="AE451" s="56"/>
      <c r="AF451" s="56"/>
    </row>
    <row r="452" spans="21:32" s="50" customFormat="1" ht="12">
      <c r="U452" s="60"/>
      <c r="AE452" s="56"/>
      <c r="AF452" s="56"/>
    </row>
    <row r="453" spans="21:32" s="50" customFormat="1" ht="12">
      <c r="U453" s="60"/>
      <c r="AE453" s="56"/>
      <c r="AF453" s="56"/>
    </row>
    <row r="454" spans="21:32" s="50" customFormat="1" ht="12">
      <c r="U454" s="60"/>
      <c r="AE454" s="56"/>
      <c r="AF454" s="56"/>
    </row>
    <row r="455" spans="21:32" s="50" customFormat="1" ht="12">
      <c r="U455" s="60"/>
      <c r="AE455" s="56"/>
      <c r="AF455" s="56"/>
    </row>
    <row r="456" spans="21:32" s="50" customFormat="1" ht="12">
      <c r="U456" s="60"/>
      <c r="AE456" s="56"/>
      <c r="AF456" s="56"/>
    </row>
    <row r="457" spans="21:32" s="50" customFormat="1" ht="12">
      <c r="U457" s="60"/>
      <c r="AE457" s="56"/>
      <c r="AF457" s="56"/>
    </row>
    <row r="458" spans="21:32" s="50" customFormat="1" ht="12">
      <c r="U458" s="60"/>
      <c r="AE458" s="56"/>
      <c r="AF458" s="56"/>
    </row>
    <row r="459" spans="21:32" s="50" customFormat="1" ht="12">
      <c r="U459" s="60"/>
      <c r="AE459" s="56"/>
      <c r="AF459" s="56"/>
    </row>
    <row r="460" spans="21:32" s="50" customFormat="1" ht="12">
      <c r="U460" s="60"/>
      <c r="AE460" s="56"/>
      <c r="AF460" s="56"/>
    </row>
    <row r="461" spans="21:32" s="50" customFormat="1" ht="12">
      <c r="U461" s="60"/>
      <c r="AE461" s="56"/>
      <c r="AF461" s="56"/>
    </row>
    <row r="462" spans="21:32" s="50" customFormat="1" ht="12">
      <c r="U462" s="60"/>
      <c r="AE462" s="56"/>
      <c r="AF462" s="56"/>
    </row>
    <row r="463" spans="21:32" s="50" customFormat="1" ht="12">
      <c r="U463" s="60"/>
    </row>
    <row r="464" spans="21:32" s="50" customFormat="1" ht="12">
      <c r="U464" s="60"/>
    </row>
    <row r="465" spans="21:21" s="50" customFormat="1" ht="12">
      <c r="U465" s="60"/>
    </row>
    <row r="466" spans="21:21" s="50" customFormat="1" ht="12">
      <c r="U466" s="60"/>
    </row>
    <row r="467" spans="21:21" s="50" customFormat="1" ht="12">
      <c r="U467" s="60"/>
    </row>
    <row r="468" spans="21:21" s="50" customFormat="1" ht="12">
      <c r="U468" s="60"/>
    </row>
    <row r="469" spans="21:21" s="50" customFormat="1" ht="12">
      <c r="U469" s="60"/>
    </row>
    <row r="470" spans="21:21" s="50" customFormat="1" ht="12">
      <c r="U470" s="60"/>
    </row>
    <row r="471" spans="21:21" s="50" customFormat="1" ht="12">
      <c r="U471" s="60"/>
    </row>
    <row r="472" spans="21:21" s="50" customFormat="1" ht="12">
      <c r="U472" s="60"/>
    </row>
    <row r="473" spans="21:21" s="50" customFormat="1" ht="12">
      <c r="U473" s="60"/>
    </row>
    <row r="474" spans="21:21" s="50" customFormat="1" ht="12">
      <c r="U474" s="60"/>
    </row>
    <row r="475" spans="21:21" s="50" customFormat="1" ht="12">
      <c r="U475" s="60"/>
    </row>
    <row r="476" spans="21:21" s="50" customFormat="1" ht="12">
      <c r="U476" s="60"/>
    </row>
    <row r="477" spans="21:21" s="50" customFormat="1" ht="12">
      <c r="U477" s="60"/>
    </row>
    <row r="478" spans="21:21" s="50" customFormat="1" ht="12">
      <c r="U478" s="60"/>
    </row>
    <row r="479" spans="21:21" s="50" customFormat="1" ht="12">
      <c r="U479" s="60"/>
    </row>
    <row r="480" spans="21:21" s="50" customFormat="1" ht="12">
      <c r="U480" s="60"/>
    </row>
    <row r="481" spans="21:21" s="50" customFormat="1" ht="12">
      <c r="U481" s="60"/>
    </row>
    <row r="482" spans="21:21" s="50" customFormat="1" ht="12">
      <c r="U482" s="60"/>
    </row>
    <row r="483" spans="21:21" s="50" customFormat="1" ht="12">
      <c r="U483" s="60"/>
    </row>
    <row r="484" spans="21:21" s="50" customFormat="1" ht="12">
      <c r="U484" s="60"/>
    </row>
    <row r="485" spans="21:21" s="50" customFormat="1" ht="12">
      <c r="U485" s="60"/>
    </row>
    <row r="486" spans="21:21" s="50" customFormat="1" ht="12">
      <c r="U486" s="60"/>
    </row>
    <row r="487" spans="21:21" s="50" customFormat="1" ht="12">
      <c r="U487" s="60"/>
    </row>
    <row r="488" spans="21:21" s="50" customFormat="1" ht="12">
      <c r="U488" s="60"/>
    </row>
    <row r="489" spans="21:21" s="50" customFormat="1" ht="12">
      <c r="U489" s="60"/>
    </row>
    <row r="490" spans="21:21" s="50" customFormat="1" ht="12">
      <c r="U490" s="60"/>
    </row>
    <row r="491" spans="21:21" s="50" customFormat="1" ht="12">
      <c r="U491" s="60"/>
    </row>
    <row r="492" spans="21:21" s="50" customFormat="1" ht="12">
      <c r="U492" s="60"/>
    </row>
    <row r="493" spans="21:21" s="50" customFormat="1" ht="12">
      <c r="U493" s="60"/>
    </row>
    <row r="494" spans="21:21" s="50" customFormat="1" ht="12">
      <c r="U494" s="60"/>
    </row>
    <row r="495" spans="21:21" s="50" customFormat="1" ht="12">
      <c r="U495" s="60"/>
    </row>
    <row r="496" spans="21:21" s="50" customFormat="1" ht="12">
      <c r="U496" s="60"/>
    </row>
    <row r="497" spans="21:21" s="50" customFormat="1" ht="12">
      <c r="U497" s="60"/>
    </row>
    <row r="498" spans="21:21" s="50" customFormat="1" ht="12">
      <c r="U498" s="60"/>
    </row>
    <row r="499" spans="21:21" s="50" customFormat="1" ht="12">
      <c r="U499" s="60"/>
    </row>
    <row r="500" spans="21:21" s="50" customFormat="1" ht="12">
      <c r="U500" s="60"/>
    </row>
    <row r="501" spans="21:21" s="50" customFormat="1" ht="12">
      <c r="U501" s="60"/>
    </row>
    <row r="502" spans="21:21" s="50" customFormat="1" ht="12">
      <c r="U502" s="60"/>
    </row>
    <row r="503" spans="21:21" s="50" customFormat="1" ht="12">
      <c r="U503" s="60"/>
    </row>
    <row r="504" spans="21:21" s="50" customFormat="1" ht="12">
      <c r="U504" s="60"/>
    </row>
    <row r="505" spans="21:21" s="50" customFormat="1" ht="12">
      <c r="U505" s="60"/>
    </row>
    <row r="506" spans="21:21" s="50" customFormat="1" ht="12">
      <c r="U506" s="60"/>
    </row>
    <row r="507" spans="21:21" s="50" customFormat="1" ht="12">
      <c r="U507" s="60"/>
    </row>
    <row r="508" spans="21:21" s="50" customFormat="1" ht="12">
      <c r="U508" s="60"/>
    </row>
    <row r="509" spans="21:21" s="50" customFormat="1" ht="12">
      <c r="U509" s="60"/>
    </row>
    <row r="510" spans="21:21" s="50" customFormat="1" ht="12">
      <c r="U510" s="60"/>
    </row>
    <row r="511" spans="21:21" s="50" customFormat="1" ht="12">
      <c r="U511" s="60"/>
    </row>
    <row r="512" spans="21:21" s="50" customFormat="1" ht="12">
      <c r="U512" s="60"/>
    </row>
    <row r="513" spans="21:21" s="50" customFormat="1" ht="12">
      <c r="U513" s="60"/>
    </row>
    <row r="514" spans="21:21" s="50" customFormat="1" ht="12">
      <c r="U514" s="60"/>
    </row>
    <row r="515" spans="21:21" s="50" customFormat="1" ht="12">
      <c r="U515" s="60"/>
    </row>
    <row r="516" spans="21:21" s="50" customFormat="1" ht="12">
      <c r="U516" s="60"/>
    </row>
    <row r="517" spans="21:21" s="50" customFormat="1" ht="12">
      <c r="U517" s="60"/>
    </row>
    <row r="518" spans="21:21" s="50" customFormat="1" ht="12">
      <c r="U518" s="60"/>
    </row>
    <row r="519" spans="21:21" s="50" customFormat="1" ht="12">
      <c r="U519" s="60"/>
    </row>
    <row r="520" spans="21:21" s="50" customFormat="1" ht="12">
      <c r="U520" s="60"/>
    </row>
    <row r="521" spans="21:21" s="50" customFormat="1" ht="12">
      <c r="U521" s="60"/>
    </row>
    <row r="522" spans="21:21" s="50" customFormat="1" ht="12">
      <c r="U522" s="60"/>
    </row>
    <row r="523" spans="21:21" s="50" customFormat="1" ht="12">
      <c r="U523" s="60"/>
    </row>
    <row r="524" spans="21:21" s="50" customFormat="1" ht="12">
      <c r="U524" s="60"/>
    </row>
    <row r="525" spans="21:21" s="50" customFormat="1" ht="12">
      <c r="U525" s="60"/>
    </row>
    <row r="526" spans="21:21" s="50" customFormat="1" ht="12">
      <c r="U526" s="60"/>
    </row>
    <row r="527" spans="21:21" s="50" customFormat="1" ht="12">
      <c r="U527" s="60"/>
    </row>
    <row r="528" spans="21:21" s="50" customFormat="1" ht="12">
      <c r="U528" s="60"/>
    </row>
    <row r="529" spans="21:21" s="50" customFormat="1" ht="12">
      <c r="U529" s="60"/>
    </row>
    <row r="530" spans="21:21" s="50" customFormat="1" ht="12">
      <c r="U530" s="60"/>
    </row>
    <row r="531" spans="21:21" s="50" customFormat="1" ht="12">
      <c r="U531" s="60"/>
    </row>
    <row r="532" spans="21:21" s="50" customFormat="1" ht="12">
      <c r="U532" s="60"/>
    </row>
    <row r="533" spans="21:21" s="50" customFormat="1" ht="12">
      <c r="U533" s="60"/>
    </row>
    <row r="534" spans="21:21" s="50" customFormat="1" ht="12">
      <c r="U534" s="60"/>
    </row>
    <row r="535" spans="21:21" s="50" customFormat="1" ht="12">
      <c r="U535" s="60"/>
    </row>
    <row r="536" spans="21:21" s="50" customFormat="1" ht="12">
      <c r="U536" s="60"/>
    </row>
    <row r="537" spans="21:21" s="50" customFormat="1" ht="12">
      <c r="U537" s="60"/>
    </row>
    <row r="538" spans="21:21" s="50" customFormat="1" ht="12">
      <c r="U538" s="60"/>
    </row>
    <row r="539" spans="21:21" s="50" customFormat="1" ht="12">
      <c r="U539" s="60"/>
    </row>
    <row r="540" spans="21:21" s="50" customFormat="1" ht="12">
      <c r="U540" s="60"/>
    </row>
    <row r="541" spans="21:21" s="50" customFormat="1" ht="12">
      <c r="U541" s="60"/>
    </row>
    <row r="542" spans="21:21" s="50" customFormat="1" ht="12">
      <c r="U542" s="60"/>
    </row>
    <row r="543" spans="21:21" s="50" customFormat="1" ht="12">
      <c r="U543" s="60"/>
    </row>
    <row r="544" spans="21:21" s="50" customFormat="1" ht="12">
      <c r="U544" s="60"/>
    </row>
    <row r="545" spans="21:21" s="50" customFormat="1" ht="12">
      <c r="U545" s="60"/>
    </row>
    <row r="546" spans="21:21" s="50" customFormat="1" ht="12">
      <c r="U546" s="60"/>
    </row>
    <row r="547" spans="21:21" s="50" customFormat="1" ht="12">
      <c r="U547" s="60"/>
    </row>
    <row r="548" spans="21:21" s="50" customFormat="1" ht="12">
      <c r="U548" s="60"/>
    </row>
    <row r="549" spans="21:21" s="50" customFormat="1" ht="12">
      <c r="U549" s="60"/>
    </row>
    <row r="550" spans="21:21" s="50" customFormat="1" ht="12">
      <c r="U550" s="60"/>
    </row>
    <row r="551" spans="21:21" s="50" customFormat="1" ht="12">
      <c r="U551" s="60"/>
    </row>
    <row r="552" spans="21:21" s="50" customFormat="1" ht="12">
      <c r="U552" s="60"/>
    </row>
    <row r="553" spans="21:21" s="50" customFormat="1" ht="12">
      <c r="U553" s="60"/>
    </row>
    <row r="554" spans="21:21" s="50" customFormat="1" ht="12">
      <c r="U554" s="60"/>
    </row>
    <row r="555" spans="21:21" s="50" customFormat="1" ht="12">
      <c r="U555" s="60"/>
    </row>
    <row r="556" spans="21:21" s="50" customFormat="1" ht="12">
      <c r="U556" s="60"/>
    </row>
    <row r="557" spans="21:21" s="50" customFormat="1" ht="12">
      <c r="U557" s="60"/>
    </row>
    <row r="558" spans="21:21" s="50" customFormat="1" ht="12">
      <c r="U558" s="60"/>
    </row>
    <row r="559" spans="21:21" s="50" customFormat="1" ht="12">
      <c r="U559" s="60"/>
    </row>
    <row r="560" spans="21:21" s="50" customFormat="1" ht="12">
      <c r="U560" s="60"/>
    </row>
    <row r="561" spans="21:21" s="50" customFormat="1" ht="12">
      <c r="U561" s="60"/>
    </row>
    <row r="562" spans="21:21" s="50" customFormat="1" ht="12">
      <c r="U562" s="60"/>
    </row>
    <row r="563" spans="21:21" s="50" customFormat="1" ht="12">
      <c r="U563" s="60"/>
    </row>
    <row r="564" spans="21:21" s="50" customFormat="1" ht="12">
      <c r="U564" s="60"/>
    </row>
    <row r="565" spans="21:21" s="50" customFormat="1" ht="12">
      <c r="U565" s="60"/>
    </row>
    <row r="566" spans="21:21" s="50" customFormat="1" ht="12">
      <c r="U566" s="60"/>
    </row>
    <row r="567" spans="21:21" s="50" customFormat="1" ht="12">
      <c r="U567" s="60"/>
    </row>
    <row r="568" spans="21:21" s="50" customFormat="1" ht="12">
      <c r="U568" s="60"/>
    </row>
    <row r="569" spans="21:21" s="50" customFormat="1" ht="12">
      <c r="U569" s="60"/>
    </row>
    <row r="570" spans="21:21" s="50" customFormat="1" ht="12">
      <c r="U570" s="60"/>
    </row>
    <row r="571" spans="21:21" s="50" customFormat="1" ht="12">
      <c r="U571" s="60"/>
    </row>
    <row r="572" spans="21:21" s="50" customFormat="1" ht="12">
      <c r="U572" s="60"/>
    </row>
    <row r="573" spans="21:21" s="50" customFormat="1" ht="12">
      <c r="U573" s="60"/>
    </row>
    <row r="574" spans="21:21" s="50" customFormat="1" ht="12">
      <c r="U574" s="60"/>
    </row>
    <row r="575" spans="21:21" s="50" customFormat="1" ht="12">
      <c r="U575" s="60"/>
    </row>
    <row r="576" spans="21:21" s="50" customFormat="1" ht="12">
      <c r="U576" s="60"/>
    </row>
    <row r="577" spans="21:21" s="50" customFormat="1" ht="12">
      <c r="U577" s="60"/>
    </row>
    <row r="578" spans="21:21" s="50" customFormat="1" ht="12">
      <c r="U578" s="60"/>
    </row>
    <row r="579" spans="21:21" s="50" customFormat="1" ht="12">
      <c r="U579" s="60"/>
    </row>
    <row r="580" spans="21:21" s="50" customFormat="1" ht="12">
      <c r="U580" s="60"/>
    </row>
    <row r="581" spans="21:21" s="50" customFormat="1" ht="12">
      <c r="U581" s="60"/>
    </row>
    <row r="582" spans="21:21" s="50" customFormat="1" ht="12">
      <c r="U582" s="60"/>
    </row>
    <row r="583" spans="21:21" s="50" customFormat="1" ht="12">
      <c r="U583" s="60"/>
    </row>
    <row r="584" spans="21:21" s="50" customFormat="1" ht="12">
      <c r="U584" s="60"/>
    </row>
    <row r="585" spans="21:21" s="50" customFormat="1" ht="12">
      <c r="U585" s="60"/>
    </row>
    <row r="586" spans="21:21" s="50" customFormat="1" ht="12">
      <c r="U586" s="60"/>
    </row>
    <row r="587" spans="21:21" s="50" customFormat="1" ht="12">
      <c r="U587" s="60"/>
    </row>
    <row r="588" spans="21:21" s="50" customFormat="1" ht="12">
      <c r="U588" s="60"/>
    </row>
    <row r="589" spans="21:21" s="50" customFormat="1" ht="12">
      <c r="U589" s="60"/>
    </row>
    <row r="590" spans="21:21" s="50" customFormat="1" ht="12">
      <c r="U590" s="60"/>
    </row>
    <row r="591" spans="21:21" s="50" customFormat="1" ht="12">
      <c r="U591" s="60"/>
    </row>
    <row r="592" spans="21:21" s="50" customFormat="1" ht="12">
      <c r="U592" s="60"/>
    </row>
    <row r="593" spans="21:21" s="50" customFormat="1" ht="12">
      <c r="U593" s="60"/>
    </row>
    <row r="594" spans="21:21" s="50" customFormat="1" ht="12">
      <c r="U594" s="60"/>
    </row>
    <row r="595" spans="21:21" s="50" customFormat="1" ht="12">
      <c r="U595" s="60"/>
    </row>
    <row r="596" spans="21:21" s="50" customFormat="1" ht="12">
      <c r="U596" s="60"/>
    </row>
    <row r="597" spans="21:21" s="50" customFormat="1" ht="12">
      <c r="U597" s="60"/>
    </row>
    <row r="598" spans="21:21" s="50" customFormat="1" ht="12">
      <c r="U598" s="60"/>
    </row>
    <row r="599" spans="21:21" s="50" customFormat="1" ht="12">
      <c r="U599" s="60"/>
    </row>
    <row r="600" spans="21:21" s="50" customFormat="1" ht="12">
      <c r="U600" s="60"/>
    </row>
    <row r="601" spans="21:21" s="50" customFormat="1" ht="12">
      <c r="U601" s="60"/>
    </row>
    <row r="602" spans="21:21" s="50" customFormat="1" ht="12">
      <c r="U602" s="60"/>
    </row>
    <row r="603" spans="21:21" s="50" customFormat="1" ht="12">
      <c r="U603" s="60"/>
    </row>
    <row r="604" spans="21:21" s="50" customFormat="1" ht="12">
      <c r="U604" s="60"/>
    </row>
    <row r="605" spans="21:21" s="50" customFormat="1" ht="12">
      <c r="U605" s="60"/>
    </row>
    <row r="606" spans="21:21" s="50" customFormat="1" ht="12">
      <c r="U606" s="60"/>
    </row>
    <row r="607" spans="21:21" s="50" customFormat="1" ht="12">
      <c r="U607" s="60"/>
    </row>
    <row r="608" spans="21:21" s="50" customFormat="1" ht="12">
      <c r="U608" s="60"/>
    </row>
    <row r="609" spans="12:21" s="50" customFormat="1" ht="12">
      <c r="U609" s="60"/>
    </row>
    <row r="610" spans="12:21" s="50" customFormat="1" ht="12">
      <c r="L610" s="46"/>
      <c r="M610" s="46"/>
      <c r="N610" s="46"/>
      <c r="O610" s="46"/>
      <c r="P610" s="46"/>
      <c r="U610" s="60"/>
    </row>
    <row r="611" spans="12:21" s="50" customFormat="1" ht="12">
      <c r="L611" s="46"/>
      <c r="M611" s="46"/>
      <c r="N611" s="46"/>
      <c r="O611" s="46"/>
      <c r="P611" s="46"/>
      <c r="U611" s="60"/>
    </row>
    <row r="612" spans="12:21" s="50" customFormat="1" ht="12">
      <c r="L612" s="46"/>
      <c r="M612" s="46"/>
      <c r="N612" s="46"/>
      <c r="O612" s="46"/>
      <c r="P612" s="46"/>
      <c r="U612" s="60"/>
    </row>
    <row r="613" spans="12:21" s="50" customFormat="1" ht="12">
      <c r="L613" s="46"/>
      <c r="M613" s="46"/>
      <c r="N613" s="46"/>
      <c r="O613" s="46"/>
      <c r="P613" s="46"/>
      <c r="U613" s="60"/>
    </row>
    <row r="614" spans="12:21" s="50" customFormat="1" ht="12">
      <c r="L614" s="46"/>
      <c r="M614" s="46"/>
      <c r="N614" s="46"/>
      <c r="O614" s="46"/>
      <c r="P614" s="46"/>
      <c r="U614" s="60"/>
    </row>
    <row r="615" spans="12:21" s="50" customFormat="1" ht="12">
      <c r="L615" s="46"/>
      <c r="M615" s="46"/>
      <c r="N615" s="46"/>
      <c r="O615" s="46"/>
      <c r="P615" s="46"/>
      <c r="U615" s="60"/>
    </row>
    <row r="616" spans="12:21" s="50" customFormat="1" ht="12">
      <c r="L616" s="46"/>
      <c r="M616" s="46"/>
      <c r="N616" s="46"/>
      <c r="O616" s="46"/>
      <c r="P616" s="46"/>
      <c r="U616" s="60"/>
    </row>
    <row r="617" spans="12:21" s="50" customFormat="1" ht="12">
      <c r="L617" s="46"/>
      <c r="M617" s="46"/>
      <c r="N617" s="46"/>
      <c r="O617" s="46"/>
      <c r="P617" s="46"/>
      <c r="U617" s="60"/>
    </row>
    <row r="618" spans="12:21" s="50" customFormat="1" ht="12">
      <c r="L618" s="46"/>
      <c r="M618" s="46"/>
      <c r="N618" s="46"/>
      <c r="O618" s="46"/>
      <c r="P618" s="46"/>
      <c r="U618" s="60"/>
    </row>
    <row r="619" spans="12:21" s="50" customFormat="1" ht="12">
      <c r="L619" s="46"/>
      <c r="M619" s="46"/>
      <c r="N619" s="46"/>
      <c r="O619" s="46"/>
      <c r="P619" s="46"/>
      <c r="U619" s="60"/>
    </row>
    <row r="620" spans="12:21" s="50" customFormat="1" ht="12">
      <c r="L620" s="46"/>
      <c r="M620" s="46"/>
      <c r="N620" s="46"/>
      <c r="O620" s="46"/>
      <c r="P620" s="46"/>
      <c r="U620" s="60"/>
    </row>
    <row r="621" spans="12:21" s="50" customFormat="1" ht="12">
      <c r="L621" s="46"/>
      <c r="M621" s="46"/>
      <c r="N621" s="46"/>
      <c r="O621" s="46"/>
      <c r="P621" s="46"/>
      <c r="U621" s="60"/>
    </row>
    <row r="622" spans="12:21" s="50" customFormat="1" ht="12">
      <c r="L622" s="46"/>
      <c r="M622" s="46"/>
      <c r="N622" s="46"/>
      <c r="O622" s="46"/>
      <c r="P622" s="46"/>
      <c r="Q622" s="46"/>
      <c r="U622" s="60"/>
    </row>
    <row r="623" spans="12:21" s="50" customFormat="1" ht="12">
      <c r="L623" s="46"/>
      <c r="M623" s="46"/>
      <c r="N623" s="46"/>
      <c r="O623" s="46"/>
      <c r="P623" s="46"/>
      <c r="Q623" s="46"/>
      <c r="U623" s="60"/>
    </row>
    <row r="624" spans="12:21" s="50" customFormat="1" ht="12">
      <c r="L624" s="46"/>
      <c r="M624" s="46"/>
      <c r="N624" s="46"/>
      <c r="O624" s="46"/>
      <c r="P624" s="46"/>
      <c r="Q624" s="46"/>
      <c r="U624" s="60"/>
    </row>
    <row r="625" spans="11:21" s="50" customFormat="1" ht="12">
      <c r="L625" s="46"/>
      <c r="M625" s="46"/>
      <c r="N625" s="46"/>
      <c r="O625" s="46"/>
      <c r="P625" s="46"/>
      <c r="Q625" s="46"/>
      <c r="U625" s="60"/>
    </row>
    <row r="626" spans="11:21" s="50" customFormat="1" ht="12">
      <c r="L626" s="46"/>
      <c r="M626" s="46"/>
      <c r="N626" s="46"/>
      <c r="O626" s="46"/>
      <c r="P626" s="46"/>
      <c r="Q626" s="46"/>
      <c r="U626" s="60"/>
    </row>
    <row r="627" spans="11:21" s="50" customFormat="1" ht="12">
      <c r="L627" s="46"/>
      <c r="M627" s="46"/>
      <c r="N627" s="46"/>
      <c r="O627" s="46"/>
      <c r="P627" s="46"/>
      <c r="Q627" s="46"/>
      <c r="U627" s="60"/>
    </row>
    <row r="628" spans="11:21" s="50" customFormat="1" ht="12">
      <c r="L628" s="46"/>
      <c r="M628" s="46"/>
      <c r="N628" s="46"/>
      <c r="O628" s="46"/>
      <c r="P628" s="46"/>
      <c r="Q628" s="46"/>
      <c r="U628" s="60"/>
    </row>
    <row r="629" spans="11:21" s="50" customFormat="1" ht="12">
      <c r="L629" s="46"/>
      <c r="M629" s="46"/>
      <c r="N629" s="46"/>
      <c r="O629" s="46"/>
      <c r="P629" s="46"/>
      <c r="Q629" s="46"/>
      <c r="U629" s="60"/>
    </row>
    <row r="630" spans="11:21" s="50" customFormat="1" ht="12">
      <c r="L630" s="46"/>
      <c r="M630" s="46"/>
      <c r="N630" s="46"/>
      <c r="O630" s="46"/>
      <c r="P630" s="46"/>
      <c r="Q630" s="46"/>
      <c r="U630" s="60"/>
    </row>
    <row r="631" spans="11:21" s="50" customFormat="1" ht="12">
      <c r="L631" s="46"/>
      <c r="M631" s="46"/>
      <c r="N631" s="46"/>
      <c r="O631" s="46"/>
      <c r="P631" s="46"/>
      <c r="Q631" s="46"/>
      <c r="U631" s="60"/>
    </row>
    <row r="632" spans="11:21" s="50" customFormat="1" ht="12">
      <c r="L632" s="46"/>
      <c r="M632" s="46"/>
      <c r="N632" s="46"/>
      <c r="O632" s="46"/>
      <c r="P632" s="46"/>
      <c r="Q632" s="46"/>
      <c r="U632" s="60"/>
    </row>
    <row r="633" spans="11:21" s="50" customFormat="1" ht="12">
      <c r="L633" s="46"/>
      <c r="M633" s="46"/>
      <c r="N633" s="46"/>
      <c r="O633" s="46"/>
      <c r="P633" s="46"/>
      <c r="Q633" s="46"/>
      <c r="U633" s="60"/>
    </row>
    <row r="634" spans="11:21" s="50" customFormat="1" ht="12">
      <c r="L634" s="46"/>
      <c r="M634" s="46"/>
      <c r="N634" s="46"/>
      <c r="O634" s="46"/>
      <c r="P634" s="46"/>
      <c r="Q634" s="46"/>
      <c r="U634" s="60"/>
    </row>
    <row r="635" spans="11:21" s="50" customFormat="1" ht="12">
      <c r="L635" s="46"/>
      <c r="M635" s="46"/>
      <c r="N635" s="46"/>
      <c r="O635" s="46"/>
      <c r="P635" s="46"/>
      <c r="Q635" s="46"/>
      <c r="U635" s="60"/>
    </row>
    <row r="636" spans="11:21" s="50" customFormat="1" ht="12">
      <c r="L636" s="46"/>
      <c r="M636" s="46"/>
      <c r="N636" s="46"/>
      <c r="O636" s="46"/>
      <c r="P636" s="46"/>
      <c r="Q636" s="46"/>
      <c r="U636" s="60"/>
    </row>
    <row r="637" spans="11:21" s="50" customFormat="1" ht="12">
      <c r="L637" s="46"/>
      <c r="M637" s="46"/>
      <c r="N637" s="46"/>
      <c r="O637" s="46"/>
      <c r="P637" s="46"/>
      <c r="Q637" s="46"/>
      <c r="U637" s="60"/>
    </row>
    <row r="638" spans="11:21" s="50" customFormat="1" ht="12">
      <c r="K638" s="46"/>
      <c r="L638" s="46"/>
      <c r="M638" s="46"/>
      <c r="N638" s="46"/>
      <c r="O638" s="46"/>
      <c r="P638" s="46"/>
      <c r="Q638" s="46"/>
      <c r="U638" s="60"/>
    </row>
    <row r="639" spans="11:21" s="50" customFormat="1" ht="12">
      <c r="K639" s="46"/>
      <c r="L639" s="46"/>
      <c r="M639" s="46"/>
      <c r="N639" s="46"/>
      <c r="O639" s="46"/>
      <c r="P639" s="46"/>
      <c r="Q639" s="46"/>
      <c r="U639" s="60"/>
    </row>
    <row r="640" spans="11:21" s="50" customFormat="1" ht="12">
      <c r="K640" s="46"/>
      <c r="L640" s="46"/>
      <c r="M640" s="46"/>
      <c r="N640" s="46"/>
      <c r="O640" s="46"/>
      <c r="P640" s="46"/>
      <c r="Q640" s="46"/>
      <c r="U640" s="60"/>
    </row>
    <row r="641" spans="9:21" s="50" customFormat="1" ht="12">
      <c r="K641" s="46"/>
      <c r="L641" s="46"/>
      <c r="M641" s="46"/>
      <c r="N641" s="46"/>
      <c r="O641" s="46"/>
      <c r="P641" s="46"/>
      <c r="Q641" s="46"/>
      <c r="U641" s="60"/>
    </row>
    <row r="642" spans="9:21" s="50" customFormat="1" ht="12">
      <c r="K642" s="46"/>
      <c r="L642" s="46"/>
      <c r="M642" s="46"/>
      <c r="N642" s="46"/>
      <c r="O642" s="46"/>
      <c r="P642" s="46"/>
      <c r="Q642" s="46"/>
      <c r="U642" s="60"/>
    </row>
    <row r="643" spans="9:21" s="50" customFormat="1" ht="12">
      <c r="K643" s="46"/>
      <c r="L643" s="46"/>
      <c r="M643" s="46"/>
      <c r="N643" s="46"/>
      <c r="O643" s="46"/>
      <c r="P643" s="46"/>
      <c r="Q643" s="46"/>
      <c r="U643" s="60"/>
    </row>
    <row r="644" spans="9:21" s="50" customFormat="1" ht="12">
      <c r="K644" s="46"/>
      <c r="L644" s="46"/>
      <c r="M644" s="46"/>
      <c r="N644" s="46"/>
      <c r="O644" s="46"/>
      <c r="P644" s="46"/>
      <c r="Q644" s="46"/>
      <c r="U644" s="60"/>
    </row>
    <row r="645" spans="9:21" s="50" customFormat="1" ht="12">
      <c r="K645" s="46"/>
      <c r="L645" s="46"/>
      <c r="M645" s="46"/>
      <c r="N645" s="46"/>
      <c r="O645" s="46"/>
      <c r="P645" s="46"/>
      <c r="Q645" s="46"/>
      <c r="U645" s="60"/>
    </row>
    <row r="646" spans="9:21" s="50" customFormat="1" ht="12">
      <c r="K646" s="46"/>
      <c r="L646" s="46"/>
      <c r="M646" s="46"/>
      <c r="N646" s="46"/>
      <c r="O646" s="46"/>
      <c r="P646" s="46"/>
      <c r="Q646" s="46"/>
      <c r="U646" s="60"/>
    </row>
    <row r="647" spans="9:21" s="50" customFormat="1" ht="12">
      <c r="K647" s="46"/>
      <c r="L647" s="46"/>
      <c r="M647" s="46"/>
      <c r="N647" s="46"/>
      <c r="O647" s="46"/>
      <c r="P647" s="46"/>
      <c r="Q647" s="46"/>
      <c r="U647" s="60"/>
    </row>
    <row r="648" spans="9:21" s="50" customFormat="1" ht="12">
      <c r="K648" s="46"/>
      <c r="L648" s="46"/>
      <c r="M648" s="46"/>
      <c r="N648" s="46"/>
      <c r="O648" s="46"/>
      <c r="P648" s="46"/>
      <c r="Q648" s="46"/>
      <c r="U648" s="60"/>
    </row>
    <row r="649" spans="9:21" s="50" customFormat="1" ht="12">
      <c r="K649" s="46"/>
      <c r="L649" s="46"/>
      <c r="M649" s="46"/>
      <c r="N649" s="46"/>
      <c r="O649" s="46"/>
      <c r="P649" s="46"/>
      <c r="Q649" s="46"/>
      <c r="U649" s="60"/>
    </row>
    <row r="650" spans="9:21">
      <c r="I650" s="46"/>
      <c r="J650" s="50"/>
    </row>
    <row r="651" spans="9:21">
      <c r="I651" s="46"/>
    </row>
    <row r="652" spans="9:21">
      <c r="I652" s="46"/>
    </row>
    <row r="653" spans="9:21">
      <c r="I653" s="46"/>
    </row>
    <row r="654" spans="9:21">
      <c r="I654" s="46"/>
    </row>
    <row r="655" spans="9:21">
      <c r="I655" s="46"/>
    </row>
    <row r="656" spans="9:21">
      <c r="I656" s="46"/>
    </row>
    <row r="657" spans="9:9">
      <c r="I657" s="46"/>
    </row>
    <row r="658" spans="9:9">
      <c r="I658" s="46"/>
    </row>
    <row r="659" spans="9:9">
      <c r="I659" s="46"/>
    </row>
    <row r="660" spans="9:9">
      <c r="I660" s="46"/>
    </row>
    <row r="661" spans="9:9">
      <c r="I661" s="46"/>
    </row>
    <row r="662" spans="9:9">
      <c r="I662" s="46"/>
    </row>
    <row r="663" spans="9:9">
      <c r="I663" s="46"/>
    </row>
    <row r="664" spans="9:9">
      <c r="I664" s="46"/>
    </row>
    <row r="665" spans="9:9">
      <c r="I665" s="46"/>
    </row>
    <row r="666" spans="9:9">
      <c r="I666" s="46"/>
    </row>
    <row r="667" spans="9:9">
      <c r="I667" s="46"/>
    </row>
    <row r="668" spans="9:9">
      <c r="I668" s="46"/>
    </row>
    <row r="669" spans="9:9">
      <c r="I669" s="46"/>
    </row>
    <row r="670" spans="9:9">
      <c r="I670" s="46"/>
    </row>
    <row r="671" spans="9:9">
      <c r="I671" s="46"/>
    </row>
    <row r="672" spans="9:9">
      <c r="I672" s="46"/>
    </row>
    <row r="673" spans="9:9">
      <c r="I673" s="46"/>
    </row>
    <row r="674" spans="9:9">
      <c r="I674" s="46"/>
    </row>
    <row r="675" spans="9:9">
      <c r="I675" s="46"/>
    </row>
    <row r="676" spans="9:9">
      <c r="I676" s="46"/>
    </row>
    <row r="677" spans="9:9">
      <c r="I677" s="46"/>
    </row>
    <row r="678" spans="9:9">
      <c r="I678" s="46"/>
    </row>
    <row r="679" spans="9:9">
      <c r="I679" s="46"/>
    </row>
    <row r="680" spans="9:9">
      <c r="I680" s="46"/>
    </row>
    <row r="681" spans="9:9">
      <c r="I681" s="46"/>
    </row>
    <row r="682" spans="9:9">
      <c r="I682" s="46"/>
    </row>
    <row r="683" spans="9:9">
      <c r="I683" s="46"/>
    </row>
    <row r="684" spans="9:9">
      <c r="I684" s="46"/>
    </row>
    <row r="685" spans="9:9">
      <c r="I685" s="46"/>
    </row>
    <row r="686" spans="9:9">
      <c r="I686" s="46"/>
    </row>
    <row r="687" spans="9:9">
      <c r="I687" s="46"/>
    </row>
    <row r="688" spans="9:9">
      <c r="I688" s="46"/>
    </row>
    <row r="689" spans="9:9">
      <c r="I689" s="46"/>
    </row>
    <row r="690" spans="9:9">
      <c r="I690" s="46"/>
    </row>
    <row r="691" spans="9:9">
      <c r="I691" s="46"/>
    </row>
    <row r="692" spans="9:9">
      <c r="I692" s="46"/>
    </row>
    <row r="693" spans="9:9">
      <c r="I693" s="46"/>
    </row>
    <row r="694" spans="9:9">
      <c r="I694" s="46"/>
    </row>
    <row r="695" spans="9:9">
      <c r="I695" s="46"/>
    </row>
    <row r="696" spans="9:9">
      <c r="I696" s="46"/>
    </row>
    <row r="697" spans="9:9">
      <c r="I697" s="46"/>
    </row>
    <row r="698" spans="9:9">
      <c r="I698" s="46"/>
    </row>
    <row r="699" spans="9:9">
      <c r="I699" s="46"/>
    </row>
    <row r="700" spans="9:9">
      <c r="I700" s="46"/>
    </row>
    <row r="701" spans="9:9">
      <c r="I701" s="46"/>
    </row>
    <row r="702" spans="9:9">
      <c r="I702" s="46"/>
    </row>
    <row r="703" spans="9:9">
      <c r="I703" s="46"/>
    </row>
    <row r="704" spans="9:9">
      <c r="I704" s="46"/>
    </row>
    <row r="705" spans="9:9">
      <c r="I705" s="46"/>
    </row>
    <row r="706" spans="9:9">
      <c r="I706" s="46"/>
    </row>
    <row r="707" spans="9:9">
      <c r="I707" s="46"/>
    </row>
    <row r="708" spans="9:9">
      <c r="I708" s="46"/>
    </row>
    <row r="709" spans="9:9">
      <c r="I709" s="46"/>
    </row>
    <row r="710" spans="9:9">
      <c r="I710" s="46"/>
    </row>
    <row r="711" spans="9:9">
      <c r="I711" s="46"/>
    </row>
    <row r="712" spans="9:9">
      <c r="I712" s="46"/>
    </row>
    <row r="713" spans="9:9">
      <c r="I713" s="46"/>
    </row>
    <row r="714" spans="9:9">
      <c r="I714" s="46"/>
    </row>
    <row r="715" spans="9:9">
      <c r="I715" s="46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O10" sqref="O10"/>
    </sheetView>
  </sheetViews>
  <sheetFormatPr defaultColWidth="9" defaultRowHeight="12"/>
  <cols>
    <col min="1" max="1" width="5.25" style="46" customWidth="1"/>
    <col min="2" max="2" width="13.875" style="46" customWidth="1"/>
    <col min="3" max="3" width="10.875" style="46" customWidth="1"/>
    <col min="4" max="4" width="11.25" style="46" customWidth="1"/>
    <col min="5" max="5" width="0.125" style="46" customWidth="1"/>
    <col min="6" max="6" width="11.125" style="46" customWidth="1"/>
    <col min="7" max="7" width="13.125" style="46" customWidth="1"/>
    <col min="8" max="8" width="8.25" style="46" customWidth="1"/>
    <col min="9" max="9" width="8.625" style="46" customWidth="1"/>
    <col min="10" max="10" width="7.625" style="47" customWidth="1"/>
    <col min="11" max="11" width="9" style="46" customWidth="1"/>
    <col min="12" max="12" width="13.625" style="46" customWidth="1"/>
    <col min="13" max="14" width="10.125" style="46" bestFit="1" customWidth="1"/>
    <col min="15" max="15" width="8.625" style="46" customWidth="1"/>
    <col min="16" max="16" width="8" style="46" customWidth="1"/>
    <col min="17" max="17" width="9.75" style="46" customWidth="1"/>
    <col min="18" max="20" width="9" style="46"/>
    <col min="21" max="21" width="10.125" style="46" customWidth="1"/>
    <col min="22" max="22" width="10" style="46" customWidth="1"/>
    <col min="23" max="23" width="12.375" style="46" customWidth="1"/>
    <col min="24" max="24" width="5.375" style="46" customWidth="1"/>
    <col min="25" max="25" width="8.375" style="46" customWidth="1"/>
    <col min="26" max="26" width="9.875" style="46" customWidth="1"/>
    <col min="27" max="27" width="12.625" style="46" customWidth="1"/>
    <col min="28" max="28" width="6.375" style="93" customWidth="1"/>
    <col min="29" max="29" width="9" style="46" customWidth="1"/>
    <col min="30" max="30" width="8" style="46" customWidth="1"/>
    <col min="31" max="31" width="10.25" style="46" customWidth="1"/>
    <col min="32" max="33" width="10.125" style="46" bestFit="1" customWidth="1"/>
    <col min="34" max="16384" width="9" style="46"/>
  </cols>
  <sheetData>
    <row r="1" spans="1:38" s="50" customFormat="1" ht="31.5" customHeight="1">
      <c r="A1" s="157" t="s">
        <v>182</v>
      </c>
      <c r="B1" s="158"/>
      <c r="C1" s="158"/>
      <c r="D1" s="158"/>
      <c r="E1" s="158"/>
      <c r="F1" s="158"/>
      <c r="G1" s="158"/>
      <c r="H1" s="158"/>
      <c r="I1" s="158"/>
      <c r="J1" s="158"/>
      <c r="L1" s="66" t="s">
        <v>183</v>
      </c>
      <c r="M1" s="67">
        <f>P1-R1</f>
        <v>3.9986755444104602</v>
      </c>
      <c r="N1" s="463" t="s">
        <v>184</v>
      </c>
      <c r="O1" s="463"/>
      <c r="P1" s="68">
        <f>StepTest!G41</f>
        <v>23.52</v>
      </c>
      <c r="Q1" s="69" t="s">
        <v>185</v>
      </c>
      <c r="R1" s="70">
        <f>G35</f>
        <v>19.521324455589539</v>
      </c>
      <c r="S1" s="408">
        <f>D7/2000</f>
        <v>0.125</v>
      </c>
      <c r="T1" s="407">
        <v>3.0183979517608415</v>
      </c>
      <c r="V1" s="307" t="s">
        <v>13</v>
      </c>
      <c r="W1" s="307" t="s">
        <v>28</v>
      </c>
      <c r="X1" s="307" t="s">
        <v>159</v>
      </c>
      <c r="Y1" s="307" t="s">
        <v>32</v>
      </c>
      <c r="Z1" s="307" t="s">
        <v>160</v>
      </c>
      <c r="AA1" s="307" t="s">
        <v>39</v>
      </c>
      <c r="AB1" s="308" t="s">
        <v>12</v>
      </c>
      <c r="AC1" s="307" t="s">
        <v>12</v>
      </c>
    </row>
    <row r="2" spans="1:38" s="50" customFormat="1" ht="21.6" customHeight="1">
      <c r="A2" s="159" t="str">
        <f>StepTest!A4</f>
        <v>조 사 명</v>
      </c>
      <c r="B2" s="159"/>
      <c r="C2" s="160" t="str">
        <f>StepTest!C4</f>
        <v>2023년 지하수영향조사 용역(북부)</v>
      </c>
      <c r="D2" s="161"/>
      <c r="E2" s="161"/>
      <c r="F2" s="161"/>
      <c r="G2" s="161"/>
      <c r="H2" s="161"/>
      <c r="I2" s="161"/>
      <c r="J2" s="162"/>
      <c r="O2" s="50" t="s">
        <v>186</v>
      </c>
      <c r="P2" s="72">
        <f>G8</f>
        <v>33.200000000000003</v>
      </c>
      <c r="T2" s="50">
        <v>44</v>
      </c>
      <c r="U2" s="54">
        <f>B10</f>
        <v>160</v>
      </c>
      <c r="V2" s="54">
        <f>U2</f>
        <v>160</v>
      </c>
      <c r="W2" s="50">
        <f>T1</f>
        <v>3.0183979517608415</v>
      </c>
      <c r="X2" s="50">
        <f>StepTest!U4</f>
        <v>0.125</v>
      </c>
      <c r="Y2" s="50">
        <f>Input!A45</f>
        <v>5.0000000000000001E-4</v>
      </c>
      <c r="Z2" s="50">
        <f>E10</f>
        <v>6.9444444444444447E-4</v>
      </c>
      <c r="AA2" s="55">
        <f>D10</f>
        <v>1</v>
      </c>
      <c r="AB2" s="73">
        <f t="shared" ref="AB2:AB65" si="0">AC2+AD$2</f>
        <v>18.768275621290417</v>
      </c>
      <c r="AC2" s="56">
        <f>1.6*V2/(4*PI()*W2)*LOG10((2.25*W2*Z2)/(X2*X2*Y2))</f>
        <v>18.768275621290417</v>
      </c>
      <c r="AD2" s="71">
        <v>0</v>
      </c>
      <c r="AE2" s="55">
        <f>AA2</f>
        <v>1</v>
      </c>
      <c r="AF2" s="56">
        <f t="shared" ref="AF2:AF14" si="1">AC2-$P$3-O3</f>
        <v>2.2682757361067729</v>
      </c>
      <c r="AG2" s="56">
        <f>AC2</f>
        <v>18.768275621290417</v>
      </c>
    </row>
    <row r="3" spans="1:38" s="50" customFormat="1" ht="21.6" customHeight="1">
      <c r="A3" s="159" t="str">
        <f>StepTest!A5</f>
        <v>지 구 명</v>
      </c>
      <c r="B3" s="159"/>
      <c r="C3" s="160" t="str">
        <f>StepTest!C5</f>
        <v>오포지구</v>
      </c>
      <c r="D3" s="161"/>
      <c r="E3" s="161"/>
      <c r="F3" s="163"/>
      <c r="G3" s="161"/>
      <c r="H3" s="164" t="str">
        <f>StepTest!H5</f>
        <v>공  번 : W - 1</v>
      </c>
      <c r="I3" s="164"/>
      <c r="J3" s="165"/>
      <c r="L3" s="74" t="s">
        <v>48</v>
      </c>
      <c r="M3" s="57">
        <f t="shared" ref="M3:M10" si="2">Q17</f>
        <v>0</v>
      </c>
      <c r="N3" s="75"/>
      <c r="O3" s="303"/>
      <c r="P3" s="305">
        <v>16.499999885183644</v>
      </c>
      <c r="V3" s="54">
        <f>V2</f>
        <v>160</v>
      </c>
      <c r="W3" s="50">
        <f>W$2</f>
        <v>3.0183979517608415</v>
      </c>
      <c r="X3" s="50">
        <f>X2</f>
        <v>0.125</v>
      </c>
      <c r="Y3" s="50">
        <f>Y$2</f>
        <v>5.0000000000000001E-4</v>
      </c>
      <c r="Z3" s="50">
        <f t="shared" ref="Z3:Z66" si="3">E11</f>
        <v>1.3888888888888889E-3</v>
      </c>
      <c r="AA3" s="55">
        <f t="shared" ref="AA3:AA66" si="4">D11</f>
        <v>2</v>
      </c>
      <c r="AB3" s="73">
        <f t="shared" si="0"/>
        <v>20.799993377564348</v>
      </c>
      <c r="AC3" s="56">
        <f t="shared" ref="AC3:AC40" si="5">1.6*V3/(4*PI()*W3)*LOG10((2.25*W3*Z3)/(X3*X3*Y3))</f>
        <v>20.799993377564348</v>
      </c>
      <c r="AD3" s="56">
        <f>AB69</f>
        <v>39.399999885183647</v>
      </c>
      <c r="AE3" s="55">
        <f t="shared" ref="AE3:AE66" si="6">AA3</f>
        <v>2</v>
      </c>
      <c r="AF3" s="56">
        <f t="shared" si="1"/>
        <v>4.2999934923807039</v>
      </c>
      <c r="AG3" s="56">
        <f t="shared" ref="AG3:AG16" si="7">AC3</f>
        <v>20.799993377564348</v>
      </c>
    </row>
    <row r="4" spans="1:38" s="50" customFormat="1" ht="21.6" customHeight="1">
      <c r="A4" s="159" t="str">
        <f>StepTest!A6</f>
        <v>위    치</v>
      </c>
      <c r="B4" s="159"/>
      <c r="C4" s="160" t="str">
        <f>StepTest!C6</f>
        <v>충청남도 보령시 오천면 오포리 409-1</v>
      </c>
      <c r="D4" s="164"/>
      <c r="E4" s="164"/>
      <c r="F4" s="161"/>
      <c r="G4" s="161"/>
      <c r="H4" s="161"/>
      <c r="I4" s="161"/>
      <c r="J4" s="162"/>
      <c r="L4" s="74" t="s">
        <v>187</v>
      </c>
      <c r="M4" s="57">
        <f t="shared" si="2"/>
        <v>-0.23</v>
      </c>
      <c r="N4" s="75"/>
      <c r="O4" s="304"/>
      <c r="P4" s="304"/>
      <c r="V4" s="54">
        <f t="shared" ref="V4:V67" si="8">V3</f>
        <v>160</v>
      </c>
      <c r="W4" s="50">
        <f t="shared" ref="W4:W67" si="9">W$2</f>
        <v>3.0183979517608415</v>
      </c>
      <c r="X4" s="50">
        <f t="shared" ref="X4:X67" si="10">X3</f>
        <v>0.125</v>
      </c>
      <c r="Y4" s="50">
        <f t="shared" ref="Y4:Y67" si="11">Y$2</f>
        <v>5.0000000000000001E-4</v>
      </c>
      <c r="Z4" s="50">
        <f t="shared" si="3"/>
        <v>2.0833333333333333E-3</v>
      </c>
      <c r="AA4" s="55">
        <f t="shared" si="4"/>
        <v>3</v>
      </c>
      <c r="AB4" s="73">
        <f t="shared" si="0"/>
        <v>21.988472077033926</v>
      </c>
      <c r="AC4" s="56">
        <f>1.6*V4/(4*PI()*W4)*LOG10((2.25*W4*Z4)/(X4*X4*Y4))</f>
        <v>21.988472077033926</v>
      </c>
      <c r="AD4" s="56">
        <f>AC69</f>
        <v>39.399999885183647</v>
      </c>
      <c r="AE4" s="55">
        <f t="shared" si="6"/>
        <v>3</v>
      </c>
      <c r="AF4" s="56">
        <f t="shared" si="1"/>
        <v>5.4884721918502812</v>
      </c>
      <c r="AG4" s="56">
        <f t="shared" si="7"/>
        <v>21.988472077033926</v>
      </c>
    </row>
    <row r="5" spans="1:38" s="50" customFormat="1" ht="21.6" customHeight="1">
      <c r="A5" s="159" t="str">
        <f>StepTest!A7</f>
        <v>조 사 자</v>
      </c>
      <c r="B5" s="159"/>
      <c r="C5" s="166" t="str">
        <f>StepTest!C7</f>
        <v xml:space="preserve">산수개발(주) </v>
      </c>
      <c r="D5" s="342"/>
      <c r="E5" s="161"/>
      <c r="F5" s="167" t="s">
        <v>170</v>
      </c>
      <c r="G5" s="168">
        <f>Input!I50</f>
        <v>0</v>
      </c>
      <c r="H5" s="169"/>
      <c r="I5" s="169"/>
      <c r="J5" s="169"/>
      <c r="L5" s="74" t="s">
        <v>188</v>
      </c>
      <c r="M5" s="57">
        <f t="shared" si="2"/>
        <v>-1.31</v>
      </c>
      <c r="N5" s="75"/>
      <c r="O5" s="304"/>
      <c r="P5" s="304"/>
      <c r="V5" s="54">
        <f t="shared" si="8"/>
        <v>160</v>
      </c>
      <c r="W5" s="50">
        <f t="shared" si="9"/>
        <v>3.0183979517608415</v>
      </c>
      <c r="X5" s="50">
        <f t="shared" si="10"/>
        <v>0.125</v>
      </c>
      <c r="Y5" s="50">
        <f t="shared" si="11"/>
        <v>5.0000000000000001E-4</v>
      </c>
      <c r="Z5" s="50">
        <f t="shared" si="3"/>
        <v>2.7777777777777779E-3</v>
      </c>
      <c r="AA5" s="55">
        <f t="shared" si="4"/>
        <v>4</v>
      </c>
      <c r="AB5" s="73">
        <f t="shared" si="0"/>
        <v>22.831711133838279</v>
      </c>
      <c r="AC5" s="56">
        <f t="shared" si="5"/>
        <v>22.831711133838279</v>
      </c>
      <c r="AD5" s="56">
        <f>AF69</f>
        <v>22.900000000000002</v>
      </c>
      <c r="AE5" s="55">
        <f t="shared" si="6"/>
        <v>4</v>
      </c>
      <c r="AF5" s="56">
        <f t="shared" si="1"/>
        <v>6.331711248654635</v>
      </c>
      <c r="AG5" s="56">
        <f t="shared" si="7"/>
        <v>22.831711133838279</v>
      </c>
    </row>
    <row r="6" spans="1:38" s="50" customFormat="1" ht="21.6" customHeight="1">
      <c r="A6" s="159" t="str">
        <f>StepTest!A8</f>
        <v>수중모타</v>
      </c>
      <c r="B6" s="159"/>
      <c r="C6" s="464">
        <f>StepTest!C8</f>
        <v>5</v>
      </c>
      <c r="D6" s="464"/>
      <c r="E6" s="465"/>
      <c r="F6" s="167" t="s">
        <v>166</v>
      </c>
      <c r="G6" s="168" t="str">
        <f>Input!I51</f>
        <v>개발시 적정채수량으로 적용 =</v>
      </c>
      <c r="H6" s="169"/>
      <c r="I6" s="169"/>
      <c r="J6" s="169"/>
      <c r="K6" s="50">
        <v>0.2</v>
      </c>
      <c r="L6" s="306">
        <v>0.2</v>
      </c>
      <c r="M6" s="57">
        <f t="shared" si="2"/>
        <v>-2.72</v>
      </c>
      <c r="N6" s="75"/>
      <c r="O6" s="304"/>
      <c r="P6" s="304"/>
      <c r="V6" s="54">
        <f t="shared" si="8"/>
        <v>160</v>
      </c>
      <c r="W6" s="50">
        <f t="shared" si="9"/>
        <v>3.0183979517608415</v>
      </c>
      <c r="X6" s="50">
        <f t="shared" si="10"/>
        <v>0.125</v>
      </c>
      <c r="Y6" s="50">
        <f t="shared" si="11"/>
        <v>5.0000000000000001E-4</v>
      </c>
      <c r="Z6" s="50">
        <f t="shared" si="3"/>
        <v>3.472222222222222E-3</v>
      </c>
      <c r="AA6" s="55">
        <f t="shared" si="4"/>
        <v>5</v>
      </c>
      <c r="AB6" s="73">
        <f t="shared" si="0"/>
        <v>23.485778160464371</v>
      </c>
      <c r="AC6" s="56">
        <f t="shared" si="5"/>
        <v>23.485778160464371</v>
      </c>
      <c r="AE6" s="55">
        <f t="shared" si="6"/>
        <v>5</v>
      </c>
      <c r="AF6" s="56">
        <f t="shared" si="1"/>
        <v>6.985778275280726</v>
      </c>
      <c r="AG6" s="56">
        <f t="shared" si="7"/>
        <v>23.485778160464371</v>
      </c>
      <c r="AL6" s="50">
        <f>10*(2.54/2/100)</f>
        <v>0.127</v>
      </c>
    </row>
    <row r="7" spans="1:38" s="50" customFormat="1" ht="21.6" customHeight="1">
      <c r="A7" s="159" t="str">
        <f>StepTest!A9</f>
        <v>우물현황</v>
      </c>
      <c r="B7" s="159"/>
      <c r="C7" s="170" t="str">
        <f>StepTest!C9</f>
        <v>직     경</v>
      </c>
      <c r="D7" s="171">
        <f>StepTest!D9</f>
        <v>250</v>
      </c>
      <c r="E7" s="172"/>
      <c r="F7" s="173" t="s">
        <v>169</v>
      </c>
      <c r="G7" s="174">
        <f>StepTest!G9</f>
        <v>100</v>
      </c>
      <c r="H7" s="161"/>
      <c r="I7" s="161"/>
      <c r="J7" s="162"/>
      <c r="M7" s="57">
        <f t="shared" si="2"/>
        <v>-4.33</v>
      </c>
      <c r="N7" s="75"/>
      <c r="O7" s="304"/>
      <c r="P7" s="304"/>
      <c r="V7" s="54">
        <f t="shared" si="8"/>
        <v>160</v>
      </c>
      <c r="W7" s="50">
        <f t="shared" si="9"/>
        <v>3.0183979517608415</v>
      </c>
      <c r="X7" s="50">
        <f t="shared" si="10"/>
        <v>0.125</v>
      </c>
      <c r="Y7" s="50">
        <f t="shared" si="11"/>
        <v>5.0000000000000001E-4</v>
      </c>
      <c r="Z7" s="50">
        <f t="shared" si="3"/>
        <v>6.9444444444444441E-3</v>
      </c>
      <c r="AA7" s="55">
        <f t="shared" si="4"/>
        <v>10</v>
      </c>
      <c r="AB7" s="73">
        <f t="shared" si="0"/>
        <v>25.517495916738305</v>
      </c>
      <c r="AC7" s="56">
        <f t="shared" si="5"/>
        <v>25.517495916738305</v>
      </c>
      <c r="AE7" s="55">
        <f t="shared" si="6"/>
        <v>10</v>
      </c>
      <c r="AF7" s="56">
        <f t="shared" si="1"/>
        <v>9.0174960315546606</v>
      </c>
      <c r="AG7" s="56">
        <f t="shared" si="7"/>
        <v>25.517495916738305</v>
      </c>
      <c r="AL7" s="50">
        <f>AL6*2</f>
        <v>0.254</v>
      </c>
    </row>
    <row r="8" spans="1:38" s="50" customFormat="1" ht="21.6" customHeight="1">
      <c r="A8" s="159" t="str">
        <f>StepTest!A10</f>
        <v>양수시험</v>
      </c>
      <c r="B8" s="159"/>
      <c r="C8" s="175" t="s">
        <v>189</v>
      </c>
      <c r="D8" s="176">
        <f>StepTest!D10</f>
        <v>10.3</v>
      </c>
      <c r="E8" s="172"/>
      <c r="F8" s="173" t="s">
        <v>190</v>
      </c>
      <c r="G8" s="177">
        <f>F77</f>
        <v>33.200000000000003</v>
      </c>
      <c r="H8" s="169">
        <f>Input!C40</f>
        <v>160</v>
      </c>
      <c r="I8" s="169"/>
      <c r="J8" s="159"/>
      <c r="K8" s="343">
        <f>Input!M50</f>
        <v>32.900000000000006</v>
      </c>
      <c r="L8" s="384">
        <f>G10-K11</f>
        <v>0.23655797983284188</v>
      </c>
      <c r="M8" s="57">
        <f t="shared" si="2"/>
        <v>-13.62</v>
      </c>
      <c r="N8" s="75"/>
      <c r="O8" s="304"/>
      <c r="P8" s="304"/>
      <c r="V8" s="54">
        <f t="shared" si="8"/>
        <v>160</v>
      </c>
      <c r="W8" s="50">
        <f t="shared" si="9"/>
        <v>3.0183979517608415</v>
      </c>
      <c r="X8" s="50">
        <f t="shared" si="10"/>
        <v>0.125</v>
      </c>
      <c r="Y8" s="50">
        <f t="shared" si="11"/>
        <v>5.0000000000000001E-4</v>
      </c>
      <c r="Z8" s="50">
        <f t="shared" si="3"/>
        <v>1.0416666666666666E-2</v>
      </c>
      <c r="AA8" s="55">
        <f t="shared" si="4"/>
        <v>15</v>
      </c>
      <c r="AB8" s="73">
        <f t="shared" si="0"/>
        <v>26.705974616207879</v>
      </c>
      <c r="AC8" s="56">
        <f t="shared" si="5"/>
        <v>26.705974616207879</v>
      </c>
      <c r="AE8" s="55">
        <f t="shared" si="6"/>
        <v>15</v>
      </c>
      <c r="AF8" s="56">
        <f t="shared" si="1"/>
        <v>10.205974731024234</v>
      </c>
      <c r="AG8" s="56">
        <f t="shared" si="7"/>
        <v>26.705974616207879</v>
      </c>
    </row>
    <row r="9" spans="1:38" s="50" customFormat="1" ht="21.6" customHeight="1">
      <c r="A9" s="173" t="s">
        <v>171</v>
      </c>
      <c r="B9" s="178" t="s">
        <v>172</v>
      </c>
      <c r="C9" s="175" t="s">
        <v>191</v>
      </c>
      <c r="D9" s="466" t="s">
        <v>174</v>
      </c>
      <c r="E9" s="466"/>
      <c r="F9" s="178" t="s">
        <v>175</v>
      </c>
      <c r="G9" s="178" t="s">
        <v>176</v>
      </c>
      <c r="H9" s="179"/>
      <c r="I9" s="179"/>
      <c r="J9" s="179"/>
      <c r="K9" s="72">
        <f>G8-D8</f>
        <v>22.900000000000002</v>
      </c>
      <c r="M9" s="57">
        <f t="shared" si="2"/>
        <v>-23.75</v>
      </c>
      <c r="N9" s="75"/>
      <c r="O9" s="304"/>
      <c r="P9" s="304"/>
      <c r="V9" s="54">
        <f t="shared" si="8"/>
        <v>160</v>
      </c>
      <c r="W9" s="50">
        <f t="shared" si="9"/>
        <v>3.0183979517608415</v>
      </c>
      <c r="X9" s="50">
        <f t="shared" si="10"/>
        <v>0.125</v>
      </c>
      <c r="Y9" s="50">
        <f t="shared" si="11"/>
        <v>5.0000000000000001E-4</v>
      </c>
      <c r="Z9" s="50">
        <f t="shared" si="3"/>
        <v>1.3888888888888888E-2</v>
      </c>
      <c r="AA9" s="55">
        <f t="shared" si="4"/>
        <v>20</v>
      </c>
      <c r="AB9" s="73">
        <f t="shared" si="0"/>
        <v>27.549213673012236</v>
      </c>
      <c r="AC9" s="56">
        <f t="shared" si="5"/>
        <v>27.549213673012236</v>
      </c>
      <c r="AE9" s="55">
        <f t="shared" si="6"/>
        <v>20</v>
      </c>
      <c r="AF9" s="56">
        <f t="shared" si="1"/>
        <v>11.049213787828592</v>
      </c>
      <c r="AG9" s="56">
        <f t="shared" si="7"/>
        <v>27.549213673012236</v>
      </c>
    </row>
    <row r="10" spans="1:38" s="50" customFormat="1" ht="21" customHeight="1">
      <c r="A10" s="179">
        <v>1</v>
      </c>
      <c r="B10" s="180">
        <f>Input!C26</f>
        <v>160</v>
      </c>
      <c r="C10" s="181">
        <v>44993.479166666664</v>
      </c>
      <c r="D10" s="182">
        <v>1</v>
      </c>
      <c r="E10" s="172">
        <f>D10/1440</f>
        <v>6.9444444444444447E-4</v>
      </c>
      <c r="F10" s="183">
        <f>G10+D$8</f>
        <v>12.568275736106774</v>
      </c>
      <c r="G10" s="184">
        <f>AF2</f>
        <v>2.2682757361067729</v>
      </c>
      <c r="H10" s="185"/>
      <c r="I10" s="185"/>
      <c r="J10" s="185"/>
      <c r="K10" s="76">
        <f>K8-K9</f>
        <v>10.000000000000004</v>
      </c>
      <c r="L10" s="72">
        <f>K10+Q17</f>
        <v>10.000000000000004</v>
      </c>
      <c r="M10" s="57">
        <f t="shared" si="2"/>
        <v>-34.229999999999997</v>
      </c>
      <c r="N10" s="75"/>
      <c r="O10" s="304"/>
      <c r="P10" s="304"/>
      <c r="V10" s="54">
        <f t="shared" si="8"/>
        <v>160</v>
      </c>
      <c r="W10" s="50">
        <f t="shared" si="9"/>
        <v>3.0183979517608415</v>
      </c>
      <c r="X10" s="50">
        <f t="shared" si="10"/>
        <v>0.125</v>
      </c>
      <c r="Y10" s="50">
        <f t="shared" si="11"/>
        <v>5.0000000000000001E-4</v>
      </c>
      <c r="Z10" s="50">
        <f t="shared" si="3"/>
        <v>1.7361111111111112E-2</v>
      </c>
      <c r="AA10" s="55">
        <f t="shared" si="4"/>
        <v>25</v>
      </c>
      <c r="AB10" s="73">
        <f t="shared" si="0"/>
        <v>28.203280699638327</v>
      </c>
      <c r="AC10" s="56">
        <f t="shared" si="5"/>
        <v>28.203280699638327</v>
      </c>
      <c r="AE10" s="55">
        <f t="shared" si="6"/>
        <v>25</v>
      </c>
      <c r="AF10" s="56">
        <f t="shared" si="1"/>
        <v>11.703280814454683</v>
      </c>
      <c r="AG10" s="56">
        <f t="shared" si="7"/>
        <v>28.203280699638327</v>
      </c>
    </row>
    <row r="11" spans="1:38" s="50" customFormat="1" ht="21" customHeight="1">
      <c r="A11" s="179"/>
      <c r="B11" s="179"/>
      <c r="C11" s="181"/>
      <c r="D11" s="182">
        <v>2</v>
      </c>
      <c r="E11" s="172">
        <f t="shared" ref="E11:E74" si="12">D11/1440</f>
        <v>1.3888888888888889E-3</v>
      </c>
      <c r="F11" s="183">
        <f t="shared" ref="F11:F62" si="13">G11+D$8</f>
        <v>14.599993492380705</v>
      </c>
      <c r="G11" s="183">
        <f>AF3</f>
        <v>4.2999934923807039</v>
      </c>
      <c r="H11" s="185"/>
      <c r="I11" s="185"/>
      <c r="J11" s="185"/>
      <c r="K11" s="77">
        <f>G11-G10</f>
        <v>2.031717756273931</v>
      </c>
      <c r="L11" s="72" t="s">
        <v>21</v>
      </c>
      <c r="N11" s="75"/>
      <c r="O11" s="304"/>
      <c r="V11" s="54">
        <f t="shared" si="8"/>
        <v>160</v>
      </c>
      <c r="W11" s="50">
        <f t="shared" si="9"/>
        <v>3.0183979517608415</v>
      </c>
      <c r="X11" s="50">
        <f t="shared" si="10"/>
        <v>0.125</v>
      </c>
      <c r="Y11" s="50">
        <f t="shared" si="11"/>
        <v>5.0000000000000001E-4</v>
      </c>
      <c r="Z11" s="50">
        <f t="shared" si="3"/>
        <v>2.0833333333333332E-2</v>
      </c>
      <c r="AA11" s="55">
        <f t="shared" si="4"/>
        <v>30</v>
      </c>
      <c r="AB11" s="73">
        <f t="shared" si="0"/>
        <v>28.73769237248181</v>
      </c>
      <c r="AC11" s="56">
        <f t="shared" si="5"/>
        <v>28.73769237248181</v>
      </c>
      <c r="AE11" s="55">
        <f t="shared" si="6"/>
        <v>30</v>
      </c>
      <c r="AF11" s="56">
        <f t="shared" si="1"/>
        <v>12.237692487298165</v>
      </c>
      <c r="AG11" s="56">
        <f t="shared" si="7"/>
        <v>28.73769237248181</v>
      </c>
    </row>
    <row r="12" spans="1:38" s="50" customFormat="1" ht="21" customHeight="1">
      <c r="A12" s="179"/>
      <c r="B12" s="179"/>
      <c r="C12" s="181"/>
      <c r="D12" s="182">
        <v>3</v>
      </c>
      <c r="E12" s="172">
        <f t="shared" si="12"/>
        <v>2.0833333333333333E-3</v>
      </c>
      <c r="F12" s="183">
        <f t="shared" si="13"/>
        <v>15.788472191850282</v>
      </c>
      <c r="G12" s="183">
        <f t="shared" ref="G12:G74" si="14">AF4</f>
        <v>5.4884721918502812</v>
      </c>
      <c r="H12" s="185"/>
      <c r="I12" s="185"/>
      <c r="J12" s="185"/>
      <c r="K12" s="77">
        <f t="shared" ref="K12:K47" si="15">G12-G11</f>
        <v>1.1884786994695773</v>
      </c>
      <c r="L12" s="72" t="s">
        <v>21</v>
      </c>
      <c r="N12" s="75"/>
      <c r="O12" s="304"/>
      <c r="V12" s="54">
        <f t="shared" si="8"/>
        <v>160</v>
      </c>
      <c r="W12" s="50">
        <f t="shared" si="9"/>
        <v>3.0183979517608415</v>
      </c>
      <c r="X12" s="50">
        <f t="shared" si="10"/>
        <v>0.125</v>
      </c>
      <c r="Y12" s="50">
        <f t="shared" si="11"/>
        <v>5.0000000000000001E-4</v>
      </c>
      <c r="Z12" s="50">
        <f t="shared" si="3"/>
        <v>2.4305555555555556E-2</v>
      </c>
      <c r="AA12" s="55">
        <f t="shared" si="4"/>
        <v>35</v>
      </c>
      <c r="AB12" s="73">
        <f t="shared" si="0"/>
        <v>29.189531003771826</v>
      </c>
      <c r="AC12" s="56">
        <f t="shared" si="5"/>
        <v>29.189531003771826</v>
      </c>
      <c r="AE12" s="55">
        <f t="shared" si="6"/>
        <v>35</v>
      </c>
      <c r="AF12" s="56">
        <f t="shared" si="1"/>
        <v>12.689531118588182</v>
      </c>
      <c r="AG12" s="56">
        <f t="shared" si="7"/>
        <v>29.189531003771826</v>
      </c>
    </row>
    <row r="13" spans="1:38" s="50" customFormat="1" ht="21" customHeight="1">
      <c r="A13" s="179"/>
      <c r="B13" s="179"/>
      <c r="C13" s="181"/>
      <c r="D13" s="182">
        <v>4</v>
      </c>
      <c r="E13" s="172">
        <f t="shared" si="12"/>
        <v>2.7777777777777779E-3</v>
      </c>
      <c r="F13" s="183">
        <f t="shared" si="13"/>
        <v>16.631711248654636</v>
      </c>
      <c r="G13" s="183">
        <f t="shared" si="14"/>
        <v>6.331711248654635</v>
      </c>
      <c r="H13" s="185"/>
      <c r="I13" s="185"/>
      <c r="J13" s="185"/>
      <c r="K13" s="77">
        <f t="shared" si="15"/>
        <v>0.84323905680435374</v>
      </c>
      <c r="L13" s="72" t="s">
        <v>21</v>
      </c>
      <c r="M13" s="306">
        <v>0</v>
      </c>
      <c r="N13" s="75"/>
      <c r="O13" s="304"/>
      <c r="V13" s="54">
        <f t="shared" si="8"/>
        <v>160</v>
      </c>
      <c r="W13" s="50">
        <f t="shared" si="9"/>
        <v>3.0183979517608415</v>
      </c>
      <c r="X13" s="50">
        <f t="shared" si="10"/>
        <v>0.125</v>
      </c>
      <c r="Y13" s="50">
        <f t="shared" si="11"/>
        <v>5.0000000000000001E-4</v>
      </c>
      <c r="Z13" s="50">
        <f t="shared" si="3"/>
        <v>2.7777777777777776E-2</v>
      </c>
      <c r="AA13" s="55">
        <f t="shared" si="4"/>
        <v>40</v>
      </c>
      <c r="AB13" s="73">
        <f t="shared" si="0"/>
        <v>29.580931429286167</v>
      </c>
      <c r="AC13" s="56">
        <f t="shared" si="5"/>
        <v>29.580931429286167</v>
      </c>
      <c r="AE13" s="55">
        <f t="shared" si="6"/>
        <v>40</v>
      </c>
      <c r="AF13" s="56">
        <f t="shared" si="1"/>
        <v>13.080931544102523</v>
      </c>
      <c r="AG13" s="56">
        <f t="shared" si="7"/>
        <v>29.580931429286167</v>
      </c>
    </row>
    <row r="14" spans="1:38" s="50" customFormat="1" ht="21" customHeight="1">
      <c r="A14" s="179"/>
      <c r="B14" s="179"/>
      <c r="C14" s="181"/>
      <c r="D14" s="182">
        <v>5</v>
      </c>
      <c r="E14" s="172">
        <f t="shared" si="12"/>
        <v>3.472222222222222E-3</v>
      </c>
      <c r="F14" s="183">
        <f t="shared" si="13"/>
        <v>17.285778275280727</v>
      </c>
      <c r="G14" s="183">
        <f t="shared" si="14"/>
        <v>6.985778275280726</v>
      </c>
      <c r="H14" s="185"/>
      <c r="I14" s="185"/>
      <c r="J14" s="185"/>
      <c r="K14" s="77">
        <f t="shared" si="15"/>
        <v>0.65406702662609106</v>
      </c>
      <c r="L14" s="72" t="s">
        <v>21</v>
      </c>
      <c r="N14" s="75"/>
      <c r="O14" s="304"/>
      <c r="V14" s="54">
        <f t="shared" si="8"/>
        <v>160</v>
      </c>
      <c r="W14" s="50">
        <f t="shared" si="9"/>
        <v>3.0183979517608415</v>
      </c>
      <c r="X14" s="50">
        <f t="shared" si="10"/>
        <v>0.125</v>
      </c>
      <c r="Y14" s="50">
        <f t="shared" si="11"/>
        <v>5.0000000000000001E-4</v>
      </c>
      <c r="Z14" s="50">
        <f t="shared" si="3"/>
        <v>3.125E-2</v>
      </c>
      <c r="AA14" s="55">
        <f t="shared" si="4"/>
        <v>45</v>
      </c>
      <c r="AB14" s="73">
        <f t="shared" si="0"/>
        <v>29.926171071951387</v>
      </c>
      <c r="AC14" s="56">
        <f t="shared" si="5"/>
        <v>29.926171071951387</v>
      </c>
      <c r="AE14" s="55">
        <f t="shared" si="6"/>
        <v>45</v>
      </c>
      <c r="AF14" s="56">
        <f t="shared" si="1"/>
        <v>13.426171186767743</v>
      </c>
      <c r="AG14" s="56">
        <f t="shared" si="7"/>
        <v>29.926171071951387</v>
      </c>
    </row>
    <row r="15" spans="1:38" s="50" customFormat="1" ht="21" customHeight="1" thickBot="1">
      <c r="A15" s="179"/>
      <c r="B15" s="342"/>
      <c r="C15" s="181"/>
      <c r="D15" s="182">
        <v>10</v>
      </c>
      <c r="E15" s="172">
        <f t="shared" si="12"/>
        <v>6.9444444444444441E-3</v>
      </c>
      <c r="F15" s="183">
        <f t="shared" si="13"/>
        <v>19.317496031554661</v>
      </c>
      <c r="G15" s="183">
        <f t="shared" si="14"/>
        <v>9.0174960315546606</v>
      </c>
      <c r="H15" s="185"/>
      <c r="I15" s="185"/>
      <c r="J15" s="185"/>
      <c r="K15" s="77">
        <f t="shared" si="15"/>
        <v>2.0317177562739346</v>
      </c>
      <c r="L15" s="72" t="s">
        <v>21</v>
      </c>
      <c r="N15" s="78"/>
      <c r="O15" s="52"/>
      <c r="V15" s="54">
        <f t="shared" si="8"/>
        <v>160</v>
      </c>
      <c r="W15" s="50">
        <f t="shared" si="9"/>
        <v>3.0183979517608415</v>
      </c>
      <c r="X15" s="50">
        <f t="shared" si="10"/>
        <v>0.125</v>
      </c>
      <c r="Y15" s="50">
        <f t="shared" si="11"/>
        <v>5.0000000000000001E-4</v>
      </c>
      <c r="Z15" s="50">
        <f t="shared" si="3"/>
        <v>3.4722222222222224E-2</v>
      </c>
      <c r="AA15" s="55">
        <f t="shared" si="4"/>
        <v>50</v>
      </c>
      <c r="AB15" s="73">
        <f t="shared" si="0"/>
        <v>30.234998455912258</v>
      </c>
      <c r="AC15" s="56">
        <f t="shared" si="5"/>
        <v>30.234998455912258</v>
      </c>
      <c r="AE15" s="55">
        <f t="shared" si="6"/>
        <v>50</v>
      </c>
      <c r="AF15" s="56">
        <f>AC15-$P$3</f>
        <v>13.734998570728614</v>
      </c>
      <c r="AG15" s="56">
        <f t="shared" si="7"/>
        <v>30.234998455912258</v>
      </c>
    </row>
    <row r="16" spans="1:38" s="50" customFormat="1" ht="21" customHeight="1">
      <c r="A16" s="179"/>
      <c r="B16" s="179"/>
      <c r="C16" s="181"/>
      <c r="D16" s="182">
        <v>15</v>
      </c>
      <c r="E16" s="172">
        <f t="shared" si="12"/>
        <v>1.0416666666666666E-2</v>
      </c>
      <c r="F16" s="183">
        <f t="shared" si="13"/>
        <v>20.505974731024235</v>
      </c>
      <c r="G16" s="183">
        <f t="shared" si="14"/>
        <v>10.205974731024234</v>
      </c>
      <c r="H16" s="185"/>
      <c r="I16" s="185"/>
      <c r="J16" s="185"/>
      <c r="K16" s="77">
        <f t="shared" si="15"/>
        <v>1.1884786994695737</v>
      </c>
      <c r="L16" s="399" t="s">
        <v>249</v>
      </c>
      <c r="M16" s="400" t="s">
        <v>179</v>
      </c>
      <c r="N16" s="400" t="s">
        <v>180</v>
      </c>
      <c r="O16" s="400" t="s">
        <v>247</v>
      </c>
      <c r="P16" s="400" t="s">
        <v>248</v>
      </c>
      <c r="Q16" s="401" t="s">
        <v>250</v>
      </c>
      <c r="V16" s="54">
        <f t="shared" si="8"/>
        <v>160</v>
      </c>
      <c r="W16" s="50">
        <f t="shared" si="9"/>
        <v>3.0183979517608415</v>
      </c>
      <c r="X16" s="50">
        <f t="shared" si="10"/>
        <v>0.125</v>
      </c>
      <c r="Y16" s="50">
        <f t="shared" si="11"/>
        <v>5.0000000000000001E-4</v>
      </c>
      <c r="Z16" s="50">
        <f t="shared" si="3"/>
        <v>3.8194444444444448E-2</v>
      </c>
      <c r="AA16" s="55">
        <f t="shared" si="4"/>
        <v>55</v>
      </c>
      <c r="AB16" s="73">
        <f t="shared" si="0"/>
        <v>30.514366806665237</v>
      </c>
      <c r="AC16" s="56">
        <f t="shared" si="5"/>
        <v>30.514366806665237</v>
      </c>
      <c r="AE16" s="55">
        <f t="shared" si="6"/>
        <v>55</v>
      </c>
      <c r="AF16" s="56">
        <f>AC16-$P$3</f>
        <v>14.014366921481592</v>
      </c>
      <c r="AG16" s="56">
        <f t="shared" si="7"/>
        <v>30.514366806665237</v>
      </c>
    </row>
    <row r="17" spans="1:32" s="50" customFormat="1" ht="21" customHeight="1">
      <c r="A17" s="179"/>
      <c r="B17" s="179"/>
      <c r="C17" s="181"/>
      <c r="D17" s="182">
        <v>20</v>
      </c>
      <c r="E17" s="172">
        <f t="shared" si="12"/>
        <v>1.3888888888888888E-2</v>
      </c>
      <c r="F17" s="183">
        <f t="shared" si="13"/>
        <v>21.349213787828592</v>
      </c>
      <c r="G17" s="183">
        <f t="shared" si="14"/>
        <v>11.049213787828592</v>
      </c>
      <c r="H17" s="185"/>
      <c r="I17" s="185"/>
      <c r="J17" s="185"/>
      <c r="K17" s="77">
        <f t="shared" si="15"/>
        <v>0.84323905680435729</v>
      </c>
      <c r="L17" s="402">
        <f>D10</f>
        <v>1</v>
      </c>
      <c r="M17" s="387">
        <f>INT(B10/1440*10000)/10000</f>
        <v>0.1111</v>
      </c>
      <c r="N17" s="387">
        <f>L17*M17</f>
        <v>0.1111</v>
      </c>
      <c r="O17" s="387">
        <f>INT((D7/2/1000)^2*PI()*100000)/100000</f>
        <v>4.9079999999999999E-2</v>
      </c>
      <c r="P17" s="387">
        <f>INT(N17/O17*100)/100</f>
        <v>2.2599999999999998</v>
      </c>
      <c r="Q17" s="403">
        <f>INT((G10-P17)*100)/100</f>
        <v>0</v>
      </c>
      <c r="V17" s="54">
        <f t="shared" si="8"/>
        <v>160</v>
      </c>
      <c r="W17" s="50">
        <f t="shared" si="9"/>
        <v>3.0183979517608415</v>
      </c>
      <c r="X17" s="50">
        <f t="shared" si="10"/>
        <v>0.125</v>
      </c>
      <c r="Y17" s="50">
        <f t="shared" si="11"/>
        <v>5.0000000000000001E-4</v>
      </c>
      <c r="Z17" s="50">
        <f t="shared" si="3"/>
        <v>4.1666666666666664E-2</v>
      </c>
      <c r="AA17" s="55">
        <f t="shared" si="4"/>
        <v>60</v>
      </c>
      <c r="AB17" s="73">
        <f t="shared" si="0"/>
        <v>30.769410128755744</v>
      </c>
      <c r="AC17" s="56">
        <f t="shared" si="5"/>
        <v>30.769410128755744</v>
      </c>
      <c r="AE17" s="55">
        <f t="shared" si="6"/>
        <v>60</v>
      </c>
      <c r="AF17" s="56">
        <f>AC17-$P$3</f>
        <v>14.2694102435721</v>
      </c>
    </row>
    <row r="18" spans="1:32" s="50" customFormat="1" ht="21" customHeight="1">
      <c r="A18" s="179"/>
      <c r="B18" s="179"/>
      <c r="C18" s="181"/>
      <c r="D18" s="182">
        <v>25</v>
      </c>
      <c r="E18" s="172">
        <f t="shared" si="12"/>
        <v>1.7361111111111112E-2</v>
      </c>
      <c r="F18" s="183">
        <f t="shared" si="13"/>
        <v>22.003280814454683</v>
      </c>
      <c r="G18" s="183">
        <f t="shared" si="14"/>
        <v>11.703280814454683</v>
      </c>
      <c r="H18" s="185"/>
      <c r="I18" s="185"/>
      <c r="J18" s="185"/>
      <c r="K18" s="77">
        <f t="shared" si="15"/>
        <v>0.65406702662609106</v>
      </c>
      <c r="L18" s="402">
        <f t="shared" ref="L18:L31" si="16">D11</f>
        <v>2</v>
      </c>
      <c r="M18" s="387">
        <f>M17</f>
        <v>0.1111</v>
      </c>
      <c r="N18" s="387">
        <f>L18*M18</f>
        <v>0.22220000000000001</v>
      </c>
      <c r="O18" s="387">
        <f>O17</f>
        <v>4.9079999999999999E-2</v>
      </c>
      <c r="P18" s="387">
        <f>INT(N18/O18*100)/100</f>
        <v>4.5199999999999996</v>
      </c>
      <c r="Q18" s="403">
        <f t="shared" ref="Q18:Q27" si="17">INT((G11-P18)*100)/100</f>
        <v>-0.23</v>
      </c>
      <c r="V18" s="54">
        <f t="shared" si="8"/>
        <v>160</v>
      </c>
      <c r="W18" s="50">
        <f t="shared" si="9"/>
        <v>3.0183979517608415</v>
      </c>
      <c r="X18" s="50">
        <f t="shared" si="10"/>
        <v>0.125</v>
      </c>
      <c r="Y18" s="50">
        <f t="shared" si="11"/>
        <v>5.0000000000000001E-4</v>
      </c>
      <c r="Z18" s="50">
        <f t="shared" si="3"/>
        <v>5.2083333333333336E-2</v>
      </c>
      <c r="AA18" s="55">
        <f t="shared" si="4"/>
        <v>75</v>
      </c>
      <c r="AB18" s="73">
        <f t="shared" si="0"/>
        <v>31.423477155381836</v>
      </c>
      <c r="AC18" s="56">
        <f t="shared" si="5"/>
        <v>31.423477155381836</v>
      </c>
      <c r="AE18" s="55">
        <f t="shared" si="6"/>
        <v>75</v>
      </c>
      <c r="AF18" s="56">
        <f>AC18-$P$3</f>
        <v>14.923477270198191</v>
      </c>
    </row>
    <row r="19" spans="1:32" s="50" customFormat="1" ht="21" customHeight="1">
      <c r="A19" s="179"/>
      <c r="B19" s="179"/>
      <c r="C19" s="181"/>
      <c r="D19" s="182">
        <v>30</v>
      </c>
      <c r="E19" s="172">
        <f t="shared" si="12"/>
        <v>2.0833333333333332E-2</v>
      </c>
      <c r="F19" s="183">
        <f t="shared" si="13"/>
        <v>22.537692487298166</v>
      </c>
      <c r="G19" s="183">
        <f t="shared" si="14"/>
        <v>12.237692487298165</v>
      </c>
      <c r="H19" s="185"/>
      <c r="I19" s="185"/>
      <c r="J19" s="185"/>
      <c r="K19" s="77">
        <f t="shared" si="15"/>
        <v>0.53441167284348268</v>
      </c>
      <c r="L19" s="402">
        <f t="shared" si="16"/>
        <v>3</v>
      </c>
      <c r="M19" s="387">
        <f>M18</f>
        <v>0.1111</v>
      </c>
      <c r="N19" s="387">
        <f t="shared" ref="N19:N27" si="18">L19*M19</f>
        <v>0.33330000000000004</v>
      </c>
      <c r="O19" s="387">
        <f t="shared" ref="O19:O31" si="19">O18</f>
        <v>4.9079999999999999E-2</v>
      </c>
      <c r="P19" s="387">
        <f>INT(N19/O19*100)/100</f>
        <v>6.79</v>
      </c>
      <c r="Q19" s="403">
        <f t="shared" si="17"/>
        <v>-1.31</v>
      </c>
      <c r="V19" s="54">
        <f t="shared" si="8"/>
        <v>160</v>
      </c>
      <c r="W19" s="50">
        <f t="shared" si="9"/>
        <v>3.0183979517608415</v>
      </c>
      <c r="X19" s="50">
        <f t="shared" si="10"/>
        <v>0.125</v>
      </c>
      <c r="Y19" s="50">
        <f t="shared" si="11"/>
        <v>5.0000000000000001E-4</v>
      </c>
      <c r="Z19" s="50">
        <f t="shared" si="3"/>
        <v>6.25E-2</v>
      </c>
      <c r="AA19" s="55">
        <f t="shared" si="4"/>
        <v>90</v>
      </c>
      <c r="AB19" s="73">
        <f t="shared" si="0"/>
        <v>31.957888828225318</v>
      </c>
      <c r="AC19" s="56">
        <f t="shared" si="5"/>
        <v>31.957888828225318</v>
      </c>
      <c r="AE19" s="55">
        <f t="shared" si="6"/>
        <v>90</v>
      </c>
      <c r="AF19" s="56">
        <f>AC19-$P$3</f>
        <v>15.457888943041674</v>
      </c>
    </row>
    <row r="20" spans="1:32" s="50" customFormat="1" ht="21" customHeight="1">
      <c r="A20" s="179"/>
      <c r="B20" s="179"/>
      <c r="C20" s="181"/>
      <c r="D20" s="182">
        <v>35</v>
      </c>
      <c r="E20" s="172">
        <f t="shared" si="12"/>
        <v>2.4305555555555556E-2</v>
      </c>
      <c r="F20" s="183">
        <f t="shared" si="13"/>
        <v>22.989531118588182</v>
      </c>
      <c r="G20" s="183">
        <f t="shared" si="14"/>
        <v>12.689531118588182</v>
      </c>
      <c r="H20" s="185"/>
      <c r="I20" s="185"/>
      <c r="J20" s="185"/>
      <c r="K20" s="77">
        <f t="shared" si="15"/>
        <v>0.45183863129001622</v>
      </c>
      <c r="L20" s="402">
        <f t="shared" si="16"/>
        <v>4</v>
      </c>
      <c r="M20" s="387">
        <f>M19</f>
        <v>0.1111</v>
      </c>
      <c r="N20" s="387">
        <f>L20*M20</f>
        <v>0.44440000000000002</v>
      </c>
      <c r="O20" s="387">
        <f>O19</f>
        <v>4.9079999999999999E-2</v>
      </c>
      <c r="P20" s="387">
        <f>INT(N20/O20*100)/100</f>
        <v>9.0500000000000007</v>
      </c>
      <c r="Q20" s="403">
        <f t="shared" si="17"/>
        <v>-2.72</v>
      </c>
      <c r="V20" s="54">
        <f t="shared" si="8"/>
        <v>160</v>
      </c>
      <c r="W20" s="50">
        <f t="shared" si="9"/>
        <v>3.0183979517608415</v>
      </c>
      <c r="X20" s="50">
        <f t="shared" si="10"/>
        <v>0.125</v>
      </c>
      <c r="Y20" s="50">
        <f t="shared" si="11"/>
        <v>5.0000000000000001E-4</v>
      </c>
      <c r="Z20" s="50">
        <f t="shared" si="3"/>
        <v>7.2916666666666671E-2</v>
      </c>
      <c r="AA20" s="55">
        <f t="shared" si="4"/>
        <v>105</v>
      </c>
      <c r="AB20" s="73">
        <f t="shared" si="0"/>
        <v>32.409727459515331</v>
      </c>
      <c r="AC20" s="56">
        <f t="shared" si="5"/>
        <v>32.409727459515331</v>
      </c>
      <c r="AE20" s="55">
        <f t="shared" si="6"/>
        <v>105</v>
      </c>
      <c r="AF20" s="56">
        <f t="shared" ref="AF20:AF69" si="20">AC20-$P$3</f>
        <v>15.909727574331686</v>
      </c>
    </row>
    <row r="21" spans="1:32" s="50" customFormat="1" ht="21" customHeight="1">
      <c r="A21" s="179"/>
      <c r="B21" s="179"/>
      <c r="C21" s="181"/>
      <c r="D21" s="182">
        <v>40</v>
      </c>
      <c r="E21" s="172">
        <f t="shared" si="12"/>
        <v>2.7777777777777776E-2</v>
      </c>
      <c r="F21" s="183">
        <f t="shared" si="13"/>
        <v>23.380931544102523</v>
      </c>
      <c r="G21" s="183">
        <f t="shared" si="14"/>
        <v>13.080931544102523</v>
      </c>
      <c r="H21" s="185"/>
      <c r="I21" s="185"/>
      <c r="J21" s="185"/>
      <c r="K21" s="77">
        <f t="shared" si="15"/>
        <v>0.39140042551434107</v>
      </c>
      <c r="L21" s="402">
        <f t="shared" si="16"/>
        <v>5</v>
      </c>
      <c r="M21" s="387">
        <f>M20</f>
        <v>0.1111</v>
      </c>
      <c r="N21" s="387">
        <f t="shared" si="18"/>
        <v>0.55549999999999999</v>
      </c>
      <c r="O21" s="387">
        <f t="shared" si="19"/>
        <v>4.9079999999999999E-2</v>
      </c>
      <c r="P21" s="387">
        <f>INT(N21/O21*100)/100</f>
        <v>11.31</v>
      </c>
      <c r="Q21" s="403">
        <f t="shared" si="17"/>
        <v>-4.33</v>
      </c>
      <c r="V21" s="54">
        <f t="shared" si="8"/>
        <v>160</v>
      </c>
      <c r="W21" s="50">
        <f t="shared" si="9"/>
        <v>3.0183979517608415</v>
      </c>
      <c r="X21" s="50">
        <f t="shared" si="10"/>
        <v>0.125</v>
      </c>
      <c r="Y21" s="50">
        <f t="shared" si="11"/>
        <v>5.0000000000000001E-4</v>
      </c>
      <c r="Z21" s="50">
        <f t="shared" si="3"/>
        <v>8.3333333333333329E-2</v>
      </c>
      <c r="AA21" s="55">
        <f t="shared" si="4"/>
        <v>120</v>
      </c>
      <c r="AB21" s="73">
        <f t="shared" si="0"/>
        <v>32.801127885029672</v>
      </c>
      <c r="AC21" s="56">
        <f t="shared" si="5"/>
        <v>32.801127885029672</v>
      </c>
      <c r="AE21" s="55">
        <f t="shared" si="6"/>
        <v>120</v>
      </c>
      <c r="AF21" s="56">
        <f t="shared" si="20"/>
        <v>16.301127999846027</v>
      </c>
    </row>
    <row r="22" spans="1:32" s="50" customFormat="1" ht="21" customHeight="1">
      <c r="A22" s="179"/>
      <c r="B22" s="179"/>
      <c r="C22" s="181"/>
      <c r="D22" s="182">
        <v>45</v>
      </c>
      <c r="E22" s="172">
        <f t="shared" si="12"/>
        <v>3.125E-2</v>
      </c>
      <c r="F22" s="183">
        <f t="shared" si="13"/>
        <v>23.726171186767743</v>
      </c>
      <c r="G22" s="183">
        <f t="shared" si="14"/>
        <v>13.426171186767743</v>
      </c>
      <c r="H22" s="185"/>
      <c r="I22" s="185"/>
      <c r="J22" s="185"/>
      <c r="K22" s="77">
        <f t="shared" si="15"/>
        <v>0.34523964266522</v>
      </c>
      <c r="L22" s="402">
        <f t="shared" si="16"/>
        <v>10</v>
      </c>
      <c r="M22" s="387">
        <f t="shared" ref="M22:M31" si="21">M21</f>
        <v>0.1111</v>
      </c>
      <c r="N22" s="387">
        <f>L22*M22</f>
        <v>1.111</v>
      </c>
      <c r="O22" s="387">
        <f>O21</f>
        <v>4.9079999999999999E-2</v>
      </c>
      <c r="P22" s="387">
        <f t="shared" ref="P22:P27" si="22">INT(N22/O22*100)/100</f>
        <v>22.63</v>
      </c>
      <c r="Q22" s="403">
        <f t="shared" si="17"/>
        <v>-13.62</v>
      </c>
      <c r="V22" s="54">
        <f t="shared" si="8"/>
        <v>160</v>
      </c>
      <c r="W22" s="50">
        <f t="shared" si="9"/>
        <v>3.0183979517608415</v>
      </c>
      <c r="X22" s="50">
        <f t="shared" si="10"/>
        <v>0.125</v>
      </c>
      <c r="Y22" s="50">
        <f t="shared" si="11"/>
        <v>5.0000000000000001E-4</v>
      </c>
      <c r="Z22" s="50">
        <f t="shared" si="3"/>
        <v>9.7222222222222224E-2</v>
      </c>
      <c r="AA22" s="55">
        <f t="shared" si="4"/>
        <v>140</v>
      </c>
      <c r="AB22" s="73">
        <f t="shared" si="0"/>
        <v>33.252966516319688</v>
      </c>
      <c r="AC22" s="56">
        <f t="shared" si="5"/>
        <v>33.252966516319688</v>
      </c>
      <c r="AE22" s="55">
        <f t="shared" si="6"/>
        <v>140</v>
      </c>
      <c r="AF22" s="56">
        <f t="shared" si="20"/>
        <v>16.752966631136044</v>
      </c>
    </row>
    <row r="23" spans="1:32" s="50" customFormat="1" ht="21" customHeight="1">
      <c r="A23" s="179"/>
      <c r="B23" s="179"/>
      <c r="C23" s="181"/>
      <c r="D23" s="182">
        <v>50</v>
      </c>
      <c r="E23" s="172">
        <f t="shared" si="12"/>
        <v>3.4722222222222224E-2</v>
      </c>
      <c r="F23" s="183">
        <f t="shared" si="13"/>
        <v>24.034998570728614</v>
      </c>
      <c r="G23" s="183">
        <f t="shared" si="14"/>
        <v>13.734998570728614</v>
      </c>
      <c r="H23" s="185"/>
      <c r="I23" s="185"/>
      <c r="J23" s="185"/>
      <c r="K23" s="77">
        <f t="shared" si="15"/>
        <v>0.30882738396087106</v>
      </c>
      <c r="L23" s="402">
        <f t="shared" si="16"/>
        <v>15</v>
      </c>
      <c r="M23" s="387">
        <f t="shared" si="21"/>
        <v>0.1111</v>
      </c>
      <c r="N23" s="387">
        <f t="shared" si="18"/>
        <v>1.6665000000000001</v>
      </c>
      <c r="O23" s="387">
        <f t="shared" si="19"/>
        <v>4.9079999999999999E-2</v>
      </c>
      <c r="P23" s="387">
        <f t="shared" si="22"/>
        <v>33.950000000000003</v>
      </c>
      <c r="Q23" s="403">
        <f t="shared" si="17"/>
        <v>-23.75</v>
      </c>
      <c r="V23" s="54">
        <f t="shared" si="8"/>
        <v>160</v>
      </c>
      <c r="W23" s="50">
        <f t="shared" si="9"/>
        <v>3.0183979517608415</v>
      </c>
      <c r="X23" s="50">
        <f t="shared" si="10"/>
        <v>0.125</v>
      </c>
      <c r="Y23" s="50">
        <f t="shared" si="11"/>
        <v>5.0000000000000001E-4</v>
      </c>
      <c r="Z23" s="50">
        <f t="shared" si="3"/>
        <v>0.1111111111111111</v>
      </c>
      <c r="AA23" s="55">
        <f t="shared" si="4"/>
        <v>160</v>
      </c>
      <c r="AB23" s="73">
        <f t="shared" si="0"/>
        <v>33.644366941834029</v>
      </c>
      <c r="AC23" s="56">
        <f t="shared" si="5"/>
        <v>33.644366941834029</v>
      </c>
      <c r="AE23" s="55">
        <f t="shared" si="6"/>
        <v>160</v>
      </c>
      <c r="AF23" s="56">
        <f t="shared" si="20"/>
        <v>17.144367056650385</v>
      </c>
    </row>
    <row r="24" spans="1:32" s="50" customFormat="1" ht="21" customHeight="1">
      <c r="A24" s="179"/>
      <c r="B24" s="179"/>
      <c r="C24" s="181"/>
      <c r="D24" s="182">
        <v>55</v>
      </c>
      <c r="E24" s="172">
        <f t="shared" si="12"/>
        <v>3.8194444444444448E-2</v>
      </c>
      <c r="F24" s="183">
        <f t="shared" si="13"/>
        <v>24.314366921481593</v>
      </c>
      <c r="G24" s="183">
        <f t="shared" si="14"/>
        <v>14.014366921481592</v>
      </c>
      <c r="H24" s="185"/>
      <c r="I24" s="185"/>
      <c r="J24" s="185"/>
      <c r="K24" s="77">
        <f t="shared" si="15"/>
        <v>0.2793683507529785</v>
      </c>
      <c r="L24" s="402">
        <f t="shared" si="16"/>
        <v>20</v>
      </c>
      <c r="M24" s="387">
        <f t="shared" si="21"/>
        <v>0.1111</v>
      </c>
      <c r="N24" s="387">
        <f t="shared" si="18"/>
        <v>2.222</v>
      </c>
      <c r="O24" s="387">
        <f t="shared" si="19"/>
        <v>4.9079999999999999E-2</v>
      </c>
      <c r="P24" s="387">
        <f t="shared" si="22"/>
        <v>45.27</v>
      </c>
      <c r="Q24" s="403">
        <f t="shared" si="17"/>
        <v>-34.229999999999997</v>
      </c>
      <c r="V24" s="54">
        <f t="shared" si="8"/>
        <v>160</v>
      </c>
      <c r="W24" s="50">
        <f t="shared" si="9"/>
        <v>3.0183979517608415</v>
      </c>
      <c r="X24" s="50">
        <f t="shared" si="10"/>
        <v>0.125</v>
      </c>
      <c r="Y24" s="50">
        <f t="shared" si="11"/>
        <v>5.0000000000000001E-4</v>
      </c>
      <c r="Z24" s="50">
        <f t="shared" si="3"/>
        <v>0.125</v>
      </c>
      <c r="AA24" s="55">
        <f t="shared" si="4"/>
        <v>180</v>
      </c>
      <c r="AB24" s="73">
        <f t="shared" si="0"/>
        <v>33.989606584499249</v>
      </c>
      <c r="AC24" s="56">
        <f t="shared" si="5"/>
        <v>33.989606584499249</v>
      </c>
      <c r="AE24" s="55">
        <f t="shared" si="6"/>
        <v>180</v>
      </c>
      <c r="AF24" s="56">
        <f t="shared" si="20"/>
        <v>17.489606699315605</v>
      </c>
    </row>
    <row r="25" spans="1:32" s="50" customFormat="1" ht="21" customHeight="1">
      <c r="A25" s="179"/>
      <c r="B25" s="179"/>
      <c r="C25" s="181">
        <f>$C$10+D25/1440</f>
        <v>44993.520833333328</v>
      </c>
      <c r="D25" s="182">
        <v>60</v>
      </c>
      <c r="E25" s="172">
        <f t="shared" si="12"/>
        <v>4.1666666666666664E-2</v>
      </c>
      <c r="F25" s="183">
        <f t="shared" si="13"/>
        <v>24.569410243572101</v>
      </c>
      <c r="G25" s="183">
        <f t="shared" si="14"/>
        <v>14.2694102435721</v>
      </c>
      <c r="H25" s="185"/>
      <c r="I25" s="185"/>
      <c r="J25" s="185"/>
      <c r="K25" s="77">
        <f t="shared" si="15"/>
        <v>0.25504332209050773</v>
      </c>
      <c r="L25" s="402">
        <f t="shared" si="16"/>
        <v>25</v>
      </c>
      <c r="M25" s="387">
        <f t="shared" si="21"/>
        <v>0.1111</v>
      </c>
      <c r="N25" s="387">
        <f t="shared" si="18"/>
        <v>2.7775000000000003</v>
      </c>
      <c r="O25" s="387">
        <f t="shared" si="19"/>
        <v>4.9079999999999999E-2</v>
      </c>
      <c r="P25" s="387">
        <f t="shared" si="22"/>
        <v>56.59</v>
      </c>
      <c r="Q25" s="403">
        <f t="shared" si="17"/>
        <v>-44.89</v>
      </c>
      <c r="V25" s="54">
        <f t="shared" si="8"/>
        <v>160</v>
      </c>
      <c r="W25" s="50">
        <f t="shared" si="9"/>
        <v>3.0183979517608415</v>
      </c>
      <c r="X25" s="50">
        <f t="shared" si="10"/>
        <v>0.125</v>
      </c>
      <c r="Y25" s="50">
        <f t="shared" si="11"/>
        <v>5.0000000000000001E-4</v>
      </c>
      <c r="Z25" s="50">
        <f t="shared" si="3"/>
        <v>0.16666666666666666</v>
      </c>
      <c r="AA25" s="55">
        <f t="shared" si="4"/>
        <v>240</v>
      </c>
      <c r="AB25" s="73">
        <f t="shared" si="0"/>
        <v>34.832845641303606</v>
      </c>
      <c r="AC25" s="56">
        <f t="shared" si="5"/>
        <v>34.832845641303606</v>
      </c>
      <c r="AE25" s="55">
        <f t="shared" si="6"/>
        <v>240</v>
      </c>
      <c r="AF25" s="56">
        <f t="shared" si="20"/>
        <v>18.332845756119962</v>
      </c>
    </row>
    <row r="26" spans="1:32" s="50" customFormat="1" ht="21" customHeight="1">
      <c r="A26" s="179"/>
      <c r="B26" s="179"/>
      <c r="C26" s="181"/>
      <c r="D26" s="182">
        <v>75</v>
      </c>
      <c r="E26" s="172">
        <f t="shared" si="12"/>
        <v>5.2083333333333336E-2</v>
      </c>
      <c r="F26" s="183">
        <f t="shared" si="13"/>
        <v>25.223477270198192</v>
      </c>
      <c r="G26" s="183">
        <f t="shared" si="14"/>
        <v>14.923477270198191</v>
      </c>
      <c r="H26" s="185"/>
      <c r="I26" s="185"/>
      <c r="J26" s="185"/>
      <c r="K26" s="77">
        <f t="shared" si="15"/>
        <v>0.65406702662609106</v>
      </c>
      <c r="L26" s="402">
        <f t="shared" si="16"/>
        <v>30</v>
      </c>
      <c r="M26" s="387">
        <f t="shared" si="21"/>
        <v>0.1111</v>
      </c>
      <c r="N26" s="387">
        <f t="shared" si="18"/>
        <v>3.3330000000000002</v>
      </c>
      <c r="O26" s="387">
        <f t="shared" si="19"/>
        <v>4.9079999999999999E-2</v>
      </c>
      <c r="P26" s="387">
        <f t="shared" si="22"/>
        <v>67.900000000000006</v>
      </c>
      <c r="Q26" s="403">
        <f t="shared" si="17"/>
        <v>-55.67</v>
      </c>
      <c r="V26" s="54">
        <f t="shared" si="8"/>
        <v>160</v>
      </c>
      <c r="W26" s="50">
        <f t="shared" si="9"/>
        <v>3.0183979517608415</v>
      </c>
      <c r="X26" s="50">
        <f t="shared" si="10"/>
        <v>0.125</v>
      </c>
      <c r="Y26" s="50">
        <f t="shared" si="11"/>
        <v>5.0000000000000001E-4</v>
      </c>
      <c r="Z26" s="50">
        <f t="shared" si="3"/>
        <v>0.20833333333333334</v>
      </c>
      <c r="AA26" s="55">
        <f t="shared" si="4"/>
        <v>300</v>
      </c>
      <c r="AB26" s="73">
        <f t="shared" si="0"/>
        <v>35.486912667929701</v>
      </c>
      <c r="AC26" s="56">
        <f t="shared" si="5"/>
        <v>35.486912667929701</v>
      </c>
      <c r="AE26" s="55">
        <f t="shared" si="6"/>
        <v>300</v>
      </c>
      <c r="AF26" s="56">
        <f t="shared" si="20"/>
        <v>18.986912782746057</v>
      </c>
    </row>
    <row r="27" spans="1:32" s="50" customFormat="1" ht="21" customHeight="1">
      <c r="A27" s="179"/>
      <c r="B27" s="179"/>
      <c r="C27" s="181"/>
      <c r="D27" s="182">
        <v>90</v>
      </c>
      <c r="E27" s="172">
        <f t="shared" si="12"/>
        <v>6.25E-2</v>
      </c>
      <c r="F27" s="183">
        <f t="shared" si="13"/>
        <v>25.757888943041674</v>
      </c>
      <c r="G27" s="183">
        <f t="shared" si="14"/>
        <v>15.457888943041674</v>
      </c>
      <c r="H27" s="185"/>
      <c r="I27" s="185"/>
      <c r="J27" s="185"/>
      <c r="K27" s="77">
        <f t="shared" si="15"/>
        <v>0.53441167284348268</v>
      </c>
      <c r="L27" s="402">
        <f t="shared" si="16"/>
        <v>35</v>
      </c>
      <c r="M27" s="387">
        <f t="shared" si="21"/>
        <v>0.1111</v>
      </c>
      <c r="N27" s="387">
        <f t="shared" si="18"/>
        <v>3.8885000000000001</v>
      </c>
      <c r="O27" s="387">
        <f t="shared" si="19"/>
        <v>4.9079999999999999E-2</v>
      </c>
      <c r="P27" s="387">
        <f t="shared" si="22"/>
        <v>79.22</v>
      </c>
      <c r="Q27" s="403">
        <f t="shared" si="17"/>
        <v>-66.540000000000006</v>
      </c>
      <c r="V27" s="54">
        <f t="shared" si="8"/>
        <v>160</v>
      </c>
      <c r="W27" s="50">
        <f t="shared" si="9"/>
        <v>3.0183979517608415</v>
      </c>
      <c r="X27" s="50">
        <f t="shared" si="10"/>
        <v>0.125</v>
      </c>
      <c r="Y27" s="50">
        <f t="shared" si="11"/>
        <v>5.0000000000000001E-4</v>
      </c>
      <c r="Z27" s="50">
        <f t="shared" si="3"/>
        <v>0.25</v>
      </c>
      <c r="AA27" s="55">
        <f t="shared" si="4"/>
        <v>360</v>
      </c>
      <c r="AB27" s="73">
        <f t="shared" si="0"/>
        <v>36.021324340773184</v>
      </c>
      <c r="AC27" s="56">
        <f t="shared" si="5"/>
        <v>36.021324340773184</v>
      </c>
      <c r="AE27" s="55">
        <f t="shared" si="6"/>
        <v>360</v>
      </c>
      <c r="AF27" s="56">
        <f t="shared" si="20"/>
        <v>19.521324455589539</v>
      </c>
    </row>
    <row r="28" spans="1:32" s="50" customFormat="1" ht="21" customHeight="1">
      <c r="A28" s="179"/>
      <c r="B28" s="179"/>
      <c r="C28" s="181"/>
      <c r="D28" s="182">
        <v>105</v>
      </c>
      <c r="E28" s="172">
        <f t="shared" si="12"/>
        <v>7.2916666666666671E-2</v>
      </c>
      <c r="F28" s="183">
        <f t="shared" si="13"/>
        <v>26.209727574331687</v>
      </c>
      <c r="G28" s="183">
        <f t="shared" si="14"/>
        <v>15.909727574331686</v>
      </c>
      <c r="H28" s="185"/>
      <c r="I28" s="185"/>
      <c r="J28" s="185"/>
      <c r="K28" s="77">
        <f t="shared" si="15"/>
        <v>0.45183863129001267</v>
      </c>
      <c r="L28" s="402">
        <f t="shared" si="16"/>
        <v>40</v>
      </c>
      <c r="M28" s="387">
        <f t="shared" si="21"/>
        <v>0.1111</v>
      </c>
      <c r="N28" s="387">
        <f>L28*M28</f>
        <v>4.444</v>
      </c>
      <c r="O28" s="387">
        <f t="shared" si="19"/>
        <v>4.9079999999999999E-2</v>
      </c>
      <c r="P28" s="387">
        <f>INT(N28/O28*100)/100</f>
        <v>90.54</v>
      </c>
      <c r="Q28" s="403">
        <f>INT((G21-P28)*100)/100</f>
        <v>-77.459999999999994</v>
      </c>
      <c r="S28"/>
      <c r="V28" s="54">
        <f t="shared" si="8"/>
        <v>160</v>
      </c>
      <c r="W28" s="50">
        <f t="shared" si="9"/>
        <v>3.0183979517608415</v>
      </c>
      <c r="X28" s="50">
        <f t="shared" si="10"/>
        <v>0.125</v>
      </c>
      <c r="Y28" s="50">
        <f t="shared" si="11"/>
        <v>5.0000000000000001E-4</v>
      </c>
      <c r="Z28" s="50">
        <f t="shared" si="3"/>
        <v>0.29166666666666669</v>
      </c>
      <c r="AA28" s="80">
        <f t="shared" si="4"/>
        <v>420</v>
      </c>
      <c r="AB28" s="73">
        <f t="shared" si="0"/>
        <v>36.473162972063193</v>
      </c>
      <c r="AC28" s="56">
        <f t="shared" si="5"/>
        <v>36.473162972063193</v>
      </c>
      <c r="AE28" s="55">
        <f t="shared" si="6"/>
        <v>420</v>
      </c>
      <c r="AF28" s="56">
        <f t="shared" si="20"/>
        <v>19.973163086879548</v>
      </c>
    </row>
    <row r="29" spans="1:32" s="50" customFormat="1" ht="21" customHeight="1">
      <c r="A29" s="179"/>
      <c r="B29" s="179"/>
      <c r="C29" s="181"/>
      <c r="D29" s="182">
        <v>120</v>
      </c>
      <c r="E29" s="172">
        <f t="shared" si="12"/>
        <v>8.3333333333333329E-2</v>
      </c>
      <c r="F29" s="183">
        <f t="shared" si="13"/>
        <v>26.601127999846028</v>
      </c>
      <c r="G29" s="183">
        <f t="shared" si="14"/>
        <v>16.301127999846027</v>
      </c>
      <c r="H29" s="185"/>
      <c r="I29" s="185"/>
      <c r="J29" s="185"/>
      <c r="K29" s="77">
        <f t="shared" si="15"/>
        <v>0.39140042551434107</v>
      </c>
      <c r="L29" s="402">
        <f t="shared" si="16"/>
        <v>45</v>
      </c>
      <c r="M29" s="387">
        <f t="shared" si="21"/>
        <v>0.1111</v>
      </c>
      <c r="N29" s="387">
        <f>L29*M29</f>
        <v>4.9995000000000003</v>
      </c>
      <c r="O29" s="387">
        <f t="shared" si="19"/>
        <v>4.9079999999999999E-2</v>
      </c>
      <c r="P29" s="387">
        <f>INT(N29/O29*100)/100</f>
        <v>101.86</v>
      </c>
      <c r="Q29" s="403">
        <f>INT((G22-P29)*100)/100</f>
        <v>-88.44</v>
      </c>
      <c r="V29" s="54">
        <f t="shared" si="8"/>
        <v>160</v>
      </c>
      <c r="W29" s="50">
        <f t="shared" si="9"/>
        <v>3.0183979517608415</v>
      </c>
      <c r="X29" s="50">
        <f t="shared" si="10"/>
        <v>0.125</v>
      </c>
      <c r="Y29" s="50">
        <f t="shared" si="11"/>
        <v>5.0000000000000001E-4</v>
      </c>
      <c r="Z29" s="50">
        <f t="shared" si="3"/>
        <v>0.33333333333333331</v>
      </c>
      <c r="AA29" s="55">
        <f t="shared" si="4"/>
        <v>480</v>
      </c>
      <c r="AB29" s="73">
        <f t="shared" si="0"/>
        <v>36.864563397577541</v>
      </c>
      <c r="AC29" s="56">
        <f t="shared" si="5"/>
        <v>36.864563397577541</v>
      </c>
      <c r="AE29" s="55">
        <f t="shared" si="6"/>
        <v>480</v>
      </c>
      <c r="AF29" s="56">
        <f t="shared" si="20"/>
        <v>20.364563512393897</v>
      </c>
    </row>
    <row r="30" spans="1:32" s="50" customFormat="1" ht="21" customHeight="1">
      <c r="A30" s="179" t="s">
        <v>4</v>
      </c>
      <c r="B30" s="179" t="s">
        <v>4</v>
      </c>
      <c r="C30" s="181" t="s">
        <v>4</v>
      </c>
      <c r="D30" s="182">
        <v>140</v>
      </c>
      <c r="E30" s="172">
        <f t="shared" si="12"/>
        <v>9.7222222222222224E-2</v>
      </c>
      <c r="F30" s="183">
        <f t="shared" si="13"/>
        <v>27.052966631136044</v>
      </c>
      <c r="G30" s="183">
        <f t="shared" si="14"/>
        <v>16.752966631136044</v>
      </c>
      <c r="H30" s="185"/>
      <c r="I30" s="185"/>
      <c r="J30" s="185"/>
      <c r="K30" s="77">
        <f t="shared" si="15"/>
        <v>0.45183863129001622</v>
      </c>
      <c r="L30" s="402">
        <f t="shared" si="16"/>
        <v>50</v>
      </c>
      <c r="M30" s="387">
        <f t="shared" si="21"/>
        <v>0.1111</v>
      </c>
      <c r="N30" s="387">
        <f>L30*M30</f>
        <v>5.5550000000000006</v>
      </c>
      <c r="O30" s="387">
        <f t="shared" si="19"/>
        <v>4.9079999999999999E-2</v>
      </c>
      <c r="P30" s="387">
        <f>INT(N30/O30*100)/100</f>
        <v>113.18</v>
      </c>
      <c r="Q30" s="403">
        <f>INT((G23-P30)*100)/100</f>
        <v>-99.45</v>
      </c>
      <c r="V30" s="54">
        <f t="shared" si="8"/>
        <v>160</v>
      </c>
      <c r="W30" s="50">
        <f t="shared" si="9"/>
        <v>3.0183979517608415</v>
      </c>
      <c r="X30" s="50">
        <f t="shared" si="10"/>
        <v>0.125</v>
      </c>
      <c r="Y30" s="50">
        <f t="shared" si="11"/>
        <v>5.0000000000000001E-4</v>
      </c>
      <c r="Z30" s="50">
        <f t="shared" si="3"/>
        <v>0.375</v>
      </c>
      <c r="AA30" s="80">
        <f t="shared" si="4"/>
        <v>540</v>
      </c>
      <c r="AB30" s="73">
        <f t="shared" si="0"/>
        <v>37.209803040242754</v>
      </c>
      <c r="AC30" s="56">
        <f t="shared" si="5"/>
        <v>37.209803040242754</v>
      </c>
      <c r="AE30" s="55">
        <f t="shared" si="6"/>
        <v>540</v>
      </c>
      <c r="AF30" s="56">
        <f t="shared" si="20"/>
        <v>20.70980315505911</v>
      </c>
    </row>
    <row r="31" spans="1:32" s="50" customFormat="1" ht="21" customHeight="1" thickBot="1">
      <c r="A31" s="179"/>
      <c r="B31" s="179"/>
      <c r="C31" s="181"/>
      <c r="D31" s="182">
        <v>160</v>
      </c>
      <c r="E31" s="172">
        <f t="shared" si="12"/>
        <v>0.1111111111111111</v>
      </c>
      <c r="F31" s="183">
        <f t="shared" si="13"/>
        <v>27.444367056650385</v>
      </c>
      <c r="G31" s="183">
        <f t="shared" si="14"/>
        <v>17.144367056650385</v>
      </c>
      <c r="H31" s="185"/>
      <c r="I31" s="185"/>
      <c r="J31" s="185"/>
      <c r="K31" s="77">
        <f t="shared" si="15"/>
        <v>0.39140042551434107</v>
      </c>
      <c r="L31" s="404">
        <f t="shared" si="16"/>
        <v>55</v>
      </c>
      <c r="M31" s="405">
        <f t="shared" si="21"/>
        <v>0.1111</v>
      </c>
      <c r="N31" s="405">
        <f>L31*M31</f>
        <v>6.1105</v>
      </c>
      <c r="O31" s="405">
        <f t="shared" si="19"/>
        <v>4.9079999999999999E-2</v>
      </c>
      <c r="P31" s="405">
        <f>INT(N31/O31*100)/100</f>
        <v>124.5</v>
      </c>
      <c r="Q31" s="406">
        <f>INT((G24-P31)*100)/100</f>
        <v>-110.49</v>
      </c>
      <c r="V31" s="54">
        <f t="shared" si="8"/>
        <v>160</v>
      </c>
      <c r="W31" s="50">
        <f t="shared" si="9"/>
        <v>3.0183979517608415</v>
      </c>
      <c r="X31" s="50">
        <f t="shared" si="10"/>
        <v>0.125</v>
      </c>
      <c r="Y31" s="50">
        <f t="shared" si="11"/>
        <v>5.0000000000000001E-4</v>
      </c>
      <c r="Z31" s="50">
        <f t="shared" si="3"/>
        <v>0.41666666666666669</v>
      </c>
      <c r="AA31" s="55">
        <f t="shared" si="4"/>
        <v>600</v>
      </c>
      <c r="AB31" s="73">
        <f t="shared" si="0"/>
        <v>37.518630424203629</v>
      </c>
      <c r="AC31" s="56">
        <f t="shared" si="5"/>
        <v>37.518630424203629</v>
      </c>
      <c r="AE31" s="55">
        <f t="shared" si="6"/>
        <v>600</v>
      </c>
      <c r="AF31" s="56">
        <f t="shared" si="20"/>
        <v>21.018630539019984</v>
      </c>
    </row>
    <row r="32" spans="1:32" s="50" customFormat="1" ht="21" customHeight="1">
      <c r="A32" s="179"/>
      <c r="B32" s="179"/>
      <c r="C32" s="181"/>
      <c r="D32" s="182">
        <v>180</v>
      </c>
      <c r="E32" s="172">
        <f t="shared" si="12"/>
        <v>0.125</v>
      </c>
      <c r="F32" s="183">
        <f t="shared" si="13"/>
        <v>27.789606699315605</v>
      </c>
      <c r="G32" s="183">
        <f t="shared" si="14"/>
        <v>17.489606699315605</v>
      </c>
      <c r="H32" s="185"/>
      <c r="I32" s="185"/>
      <c r="J32" s="185"/>
      <c r="K32" s="77">
        <f t="shared" si="15"/>
        <v>0.34523964266522</v>
      </c>
      <c r="L32" s="79" t="s">
        <v>21</v>
      </c>
      <c r="O32" s="81"/>
      <c r="V32" s="54">
        <f t="shared" si="8"/>
        <v>160</v>
      </c>
      <c r="W32" s="50">
        <f t="shared" si="9"/>
        <v>3.0183979517608415</v>
      </c>
      <c r="X32" s="50">
        <f t="shared" si="10"/>
        <v>0.125</v>
      </c>
      <c r="Y32" s="50">
        <f t="shared" si="11"/>
        <v>5.0000000000000001E-4</v>
      </c>
      <c r="Z32" s="50">
        <f t="shared" si="3"/>
        <v>0.45833333333333331</v>
      </c>
      <c r="AA32" s="80">
        <f t="shared" si="4"/>
        <v>660</v>
      </c>
      <c r="AB32" s="73">
        <f t="shared" si="0"/>
        <v>37.797998774956611</v>
      </c>
      <c r="AC32" s="56">
        <f t="shared" si="5"/>
        <v>37.797998774956611</v>
      </c>
      <c r="AE32" s="55">
        <f t="shared" si="6"/>
        <v>660</v>
      </c>
      <c r="AF32" s="56">
        <f t="shared" si="20"/>
        <v>21.297998889772966</v>
      </c>
    </row>
    <row r="33" spans="1:32" s="50" customFormat="1" ht="21" customHeight="1">
      <c r="A33" s="179"/>
      <c r="B33" s="179"/>
      <c r="C33" s="181">
        <f>$C$10+D33/1440</f>
        <v>44993.645833333328</v>
      </c>
      <c r="D33" s="182">
        <f t="shared" ref="D33:D76" si="23">D32+60</f>
        <v>240</v>
      </c>
      <c r="E33" s="172">
        <f t="shared" si="12"/>
        <v>0.16666666666666666</v>
      </c>
      <c r="F33" s="183">
        <f t="shared" si="13"/>
        <v>28.632845756119963</v>
      </c>
      <c r="G33" s="183">
        <f t="shared" si="14"/>
        <v>18.332845756119962</v>
      </c>
      <c r="H33" s="185"/>
      <c r="I33" s="185"/>
      <c r="J33" s="185"/>
      <c r="K33" s="77">
        <f t="shared" si="15"/>
        <v>0.84323905680435729</v>
      </c>
      <c r="L33" s="72" t="s">
        <v>21</v>
      </c>
      <c r="O33" s="81"/>
      <c r="V33" s="54">
        <f t="shared" si="8"/>
        <v>160</v>
      </c>
      <c r="W33" s="50">
        <f t="shared" si="9"/>
        <v>3.0183979517608415</v>
      </c>
      <c r="X33" s="50">
        <f t="shared" si="10"/>
        <v>0.125</v>
      </c>
      <c r="Y33" s="50">
        <f t="shared" si="11"/>
        <v>5.0000000000000001E-4</v>
      </c>
      <c r="Z33" s="50">
        <f t="shared" si="3"/>
        <v>0.5</v>
      </c>
      <c r="AA33" s="55">
        <f t="shared" si="4"/>
        <v>720</v>
      </c>
      <c r="AB33" s="73">
        <f t="shared" si="0"/>
        <v>38.053042097047111</v>
      </c>
      <c r="AC33" s="56">
        <f t="shared" si="5"/>
        <v>38.053042097047111</v>
      </c>
      <c r="AE33" s="411">
        <f t="shared" si="6"/>
        <v>720</v>
      </c>
      <c r="AF33" s="56">
        <f t="shared" si="20"/>
        <v>21.553042211863467</v>
      </c>
    </row>
    <row r="34" spans="1:32" s="50" customFormat="1" ht="21" customHeight="1">
      <c r="A34" s="179"/>
      <c r="B34" s="179"/>
      <c r="C34" s="181"/>
      <c r="D34" s="182">
        <f t="shared" si="23"/>
        <v>300</v>
      </c>
      <c r="E34" s="172">
        <f t="shared" si="12"/>
        <v>0.20833333333333334</v>
      </c>
      <c r="F34" s="183">
        <f t="shared" si="13"/>
        <v>29.286912782746057</v>
      </c>
      <c r="G34" s="183">
        <f t="shared" si="14"/>
        <v>18.986912782746057</v>
      </c>
      <c r="H34" s="185"/>
      <c r="I34" s="185"/>
      <c r="J34" s="185"/>
      <c r="K34" s="77">
        <f t="shared" si="15"/>
        <v>0.65406702662609462</v>
      </c>
      <c r="L34" s="72" t="s">
        <v>21</v>
      </c>
      <c r="P34" s="81"/>
      <c r="V34" s="54">
        <f t="shared" si="8"/>
        <v>160</v>
      </c>
      <c r="W34" s="50">
        <f t="shared" si="9"/>
        <v>3.0183979517608415</v>
      </c>
      <c r="X34" s="50">
        <f t="shared" si="10"/>
        <v>0.125</v>
      </c>
      <c r="Y34" s="50">
        <f t="shared" si="11"/>
        <v>5.0000000000000001E-4</v>
      </c>
      <c r="Z34" s="50">
        <f t="shared" si="3"/>
        <v>0.54166666666666663</v>
      </c>
      <c r="AA34" s="80">
        <f t="shared" si="4"/>
        <v>780</v>
      </c>
      <c r="AB34" s="73">
        <f t="shared" si="0"/>
        <v>38.287659210124303</v>
      </c>
      <c r="AC34" s="56">
        <f t="shared" si="5"/>
        <v>38.287659210124303</v>
      </c>
      <c r="AE34" s="55">
        <f t="shared" si="6"/>
        <v>780</v>
      </c>
      <c r="AF34" s="56">
        <f t="shared" si="20"/>
        <v>21.787659324940659</v>
      </c>
    </row>
    <row r="35" spans="1:32" s="50" customFormat="1" ht="21" customHeight="1">
      <c r="A35" s="179" t="s">
        <v>4</v>
      </c>
      <c r="B35" s="179" t="s">
        <v>4</v>
      </c>
      <c r="C35" s="181" t="s">
        <v>4</v>
      </c>
      <c r="D35" s="182">
        <f t="shared" si="23"/>
        <v>360</v>
      </c>
      <c r="E35" s="172">
        <f t="shared" si="12"/>
        <v>0.25</v>
      </c>
      <c r="F35" s="183">
        <f t="shared" si="13"/>
        <v>29.82132445558954</v>
      </c>
      <c r="G35" s="183">
        <f t="shared" si="14"/>
        <v>19.521324455589539</v>
      </c>
      <c r="H35" s="185"/>
      <c r="I35" s="185"/>
      <c r="J35" s="185"/>
      <c r="K35" s="77">
        <f t="shared" si="15"/>
        <v>0.53441167284348268</v>
      </c>
      <c r="L35" s="72" t="s">
        <v>21</v>
      </c>
      <c r="O35" s="81"/>
      <c r="V35" s="54">
        <f t="shared" si="8"/>
        <v>160</v>
      </c>
      <c r="W35" s="50">
        <f t="shared" si="9"/>
        <v>3.0183979517608415</v>
      </c>
      <c r="X35" s="50">
        <f t="shared" si="10"/>
        <v>0.125</v>
      </c>
      <c r="Y35" s="50">
        <f t="shared" si="11"/>
        <v>5.0000000000000001E-4</v>
      </c>
      <c r="Z35" s="50">
        <f t="shared" si="3"/>
        <v>0.58333333333333337</v>
      </c>
      <c r="AA35" s="55">
        <f t="shared" si="4"/>
        <v>840</v>
      </c>
      <c r="AB35" s="73">
        <f t="shared" si="0"/>
        <v>38.504880728337127</v>
      </c>
      <c r="AC35" s="56">
        <f t="shared" si="5"/>
        <v>38.504880728337127</v>
      </c>
      <c r="AE35" s="55">
        <f t="shared" si="6"/>
        <v>840</v>
      </c>
      <c r="AF35" s="56">
        <f t="shared" si="20"/>
        <v>22.004880843153483</v>
      </c>
    </row>
    <row r="36" spans="1:32" s="50" customFormat="1" ht="21" customHeight="1">
      <c r="A36" s="179"/>
      <c r="B36" s="179"/>
      <c r="C36" s="181"/>
      <c r="D36" s="182">
        <f t="shared" si="23"/>
        <v>420</v>
      </c>
      <c r="E36" s="172">
        <f t="shared" si="12"/>
        <v>0.29166666666666669</v>
      </c>
      <c r="F36" s="183">
        <f t="shared" si="13"/>
        <v>30.273163086879549</v>
      </c>
      <c r="G36" s="183">
        <f t="shared" si="14"/>
        <v>19.973163086879548</v>
      </c>
      <c r="H36" s="185"/>
      <c r="I36" s="185"/>
      <c r="J36" s="185"/>
      <c r="K36" s="77">
        <f t="shared" si="15"/>
        <v>0.45183863129000912</v>
      </c>
      <c r="L36" s="72" t="s">
        <v>21</v>
      </c>
      <c r="V36" s="54">
        <f t="shared" si="8"/>
        <v>160</v>
      </c>
      <c r="W36" s="50">
        <f t="shared" si="9"/>
        <v>3.0183979517608415</v>
      </c>
      <c r="X36" s="50">
        <f t="shared" si="10"/>
        <v>0.125</v>
      </c>
      <c r="Y36" s="50">
        <f t="shared" si="11"/>
        <v>5.0000000000000001E-4</v>
      </c>
      <c r="Z36" s="50">
        <f t="shared" si="3"/>
        <v>0.625</v>
      </c>
      <c r="AA36" s="80">
        <f t="shared" si="4"/>
        <v>900</v>
      </c>
      <c r="AB36" s="73">
        <f t="shared" si="0"/>
        <v>38.707109123673206</v>
      </c>
      <c r="AC36" s="56">
        <f t="shared" si="5"/>
        <v>38.707109123673206</v>
      </c>
      <c r="AE36" s="55">
        <f t="shared" si="6"/>
        <v>900</v>
      </c>
      <c r="AF36" s="56">
        <f t="shared" si="20"/>
        <v>22.207109238489561</v>
      </c>
    </row>
    <row r="37" spans="1:32" s="50" customFormat="1" ht="21" customHeight="1">
      <c r="A37" s="179"/>
      <c r="B37" s="179"/>
      <c r="C37" s="181"/>
      <c r="D37" s="182">
        <f t="shared" si="23"/>
        <v>480</v>
      </c>
      <c r="E37" s="172">
        <f t="shared" si="12"/>
        <v>0.33333333333333331</v>
      </c>
      <c r="F37" s="183">
        <f t="shared" si="13"/>
        <v>30.664563512393897</v>
      </c>
      <c r="G37" s="183">
        <f t="shared" si="14"/>
        <v>20.364563512393897</v>
      </c>
      <c r="H37" s="185"/>
      <c r="I37" s="185"/>
      <c r="J37" s="185"/>
      <c r="K37" s="77">
        <f t="shared" si="15"/>
        <v>0.39140042551434817</v>
      </c>
      <c r="L37" s="72" t="s">
        <v>21</v>
      </c>
      <c r="V37" s="54">
        <f t="shared" si="8"/>
        <v>160</v>
      </c>
      <c r="W37" s="50">
        <f t="shared" si="9"/>
        <v>3.0183979517608415</v>
      </c>
      <c r="X37" s="50">
        <f t="shared" si="10"/>
        <v>0.125</v>
      </c>
      <c r="Y37" s="50">
        <f t="shared" si="11"/>
        <v>5.0000000000000001E-4</v>
      </c>
      <c r="Z37" s="50">
        <f t="shared" si="3"/>
        <v>0.66666666666666663</v>
      </c>
      <c r="AA37" s="55">
        <f t="shared" si="4"/>
        <v>960</v>
      </c>
      <c r="AB37" s="73">
        <f t="shared" si="0"/>
        <v>38.896281153851469</v>
      </c>
      <c r="AC37" s="56">
        <f t="shared" si="5"/>
        <v>38.896281153851469</v>
      </c>
      <c r="AD37" s="50">
        <v>37</v>
      </c>
      <c r="AE37" s="55">
        <f t="shared" si="6"/>
        <v>960</v>
      </c>
      <c r="AF37" s="56">
        <f t="shared" si="20"/>
        <v>22.396281268667824</v>
      </c>
    </row>
    <row r="38" spans="1:32" s="50" customFormat="1" ht="21" customHeight="1">
      <c r="A38" s="179"/>
      <c r="B38" s="179"/>
      <c r="C38" s="181"/>
      <c r="D38" s="182">
        <f t="shared" si="23"/>
        <v>540</v>
      </c>
      <c r="E38" s="172">
        <f t="shared" si="12"/>
        <v>0.375</v>
      </c>
      <c r="F38" s="183">
        <f t="shared" si="13"/>
        <v>31.00980315505911</v>
      </c>
      <c r="G38" s="183">
        <f t="shared" si="14"/>
        <v>20.70980315505911</v>
      </c>
      <c r="H38" s="185"/>
      <c r="I38" s="185"/>
      <c r="J38" s="185"/>
      <c r="K38" s="77">
        <f t="shared" si="15"/>
        <v>0.3452396426652129</v>
      </c>
      <c r="L38" s="72" t="s">
        <v>21</v>
      </c>
      <c r="V38" s="54">
        <f t="shared" si="8"/>
        <v>160</v>
      </c>
      <c r="W38" s="50">
        <f t="shared" si="9"/>
        <v>3.0183979517608415</v>
      </c>
      <c r="X38" s="50">
        <f t="shared" si="10"/>
        <v>0.125</v>
      </c>
      <c r="Y38" s="50">
        <f t="shared" si="11"/>
        <v>5.0000000000000001E-4</v>
      </c>
      <c r="Z38" s="50">
        <f t="shared" si="3"/>
        <v>0.70833333333333337</v>
      </c>
      <c r="AA38" s="55">
        <f t="shared" si="4"/>
        <v>1020</v>
      </c>
      <c r="AB38" s="73">
        <f t="shared" si="0"/>
        <v>39.073980961433953</v>
      </c>
      <c r="AC38" s="56">
        <f t="shared" si="5"/>
        <v>39.073980961433953</v>
      </c>
      <c r="AD38" s="51" t="s">
        <v>40</v>
      </c>
      <c r="AE38" s="55">
        <f t="shared" si="6"/>
        <v>1020</v>
      </c>
      <c r="AF38" s="56">
        <f t="shared" si="20"/>
        <v>22.573981076250309</v>
      </c>
    </row>
    <row r="39" spans="1:32" s="50" customFormat="1" ht="21" customHeight="1">
      <c r="A39" s="179"/>
      <c r="B39" s="179"/>
      <c r="C39" s="181">
        <f>$C$10+D39/1440</f>
        <v>44993.895833333328</v>
      </c>
      <c r="D39" s="182">
        <f t="shared" si="23"/>
        <v>600</v>
      </c>
      <c r="E39" s="172">
        <f t="shared" si="12"/>
        <v>0.41666666666666669</v>
      </c>
      <c r="F39" s="183">
        <f t="shared" si="13"/>
        <v>31.318630539019985</v>
      </c>
      <c r="G39" s="183">
        <f t="shared" si="14"/>
        <v>21.018630539019984</v>
      </c>
      <c r="H39" s="185"/>
      <c r="I39" s="185"/>
      <c r="J39" s="185"/>
      <c r="K39" s="77">
        <f t="shared" si="15"/>
        <v>0.30882738396087461</v>
      </c>
      <c r="L39" s="72" t="s">
        <v>21</v>
      </c>
      <c r="V39" s="54">
        <f t="shared" si="8"/>
        <v>160</v>
      </c>
      <c r="W39" s="50">
        <f t="shared" si="9"/>
        <v>3.0183979517608415</v>
      </c>
      <c r="X39" s="50">
        <f t="shared" si="10"/>
        <v>0.125</v>
      </c>
      <c r="Y39" s="50">
        <f t="shared" si="11"/>
        <v>5.0000000000000001E-4</v>
      </c>
      <c r="Z39" s="50">
        <f t="shared" si="3"/>
        <v>0.75</v>
      </c>
      <c r="AA39" s="55">
        <f t="shared" si="4"/>
        <v>1080</v>
      </c>
      <c r="AB39" s="73">
        <f t="shared" si="0"/>
        <v>39.241520796516681</v>
      </c>
      <c r="AC39" s="56">
        <f t="shared" si="5"/>
        <v>39.241520796516681</v>
      </c>
      <c r="AD39" s="82">
        <v>39</v>
      </c>
      <c r="AE39" s="55">
        <f t="shared" si="6"/>
        <v>1080</v>
      </c>
      <c r="AF39" s="56">
        <f t="shared" si="20"/>
        <v>22.741520911333037</v>
      </c>
    </row>
    <row r="40" spans="1:32" s="50" customFormat="1" ht="21" customHeight="1">
      <c r="A40" s="179" t="s">
        <v>4</v>
      </c>
      <c r="B40" s="179" t="s">
        <v>4</v>
      </c>
      <c r="C40" s="181" t="s">
        <v>4</v>
      </c>
      <c r="D40" s="182">
        <f t="shared" si="23"/>
        <v>660</v>
      </c>
      <c r="E40" s="172">
        <f t="shared" si="12"/>
        <v>0.45833333333333331</v>
      </c>
      <c r="F40" s="183">
        <f t="shared" si="13"/>
        <v>31.597998889772967</v>
      </c>
      <c r="G40" s="183">
        <f t="shared" si="14"/>
        <v>21.297998889772966</v>
      </c>
      <c r="H40" s="185"/>
      <c r="I40" s="185"/>
      <c r="J40" s="185"/>
      <c r="K40" s="77">
        <f t="shared" si="15"/>
        <v>0.27936835075298205</v>
      </c>
      <c r="L40" s="72" t="s">
        <v>21</v>
      </c>
      <c r="V40" s="54">
        <f t="shared" si="8"/>
        <v>160</v>
      </c>
      <c r="W40" s="50">
        <f t="shared" si="9"/>
        <v>3.0183979517608415</v>
      </c>
      <c r="X40" s="50">
        <f t="shared" si="10"/>
        <v>0.125</v>
      </c>
      <c r="Y40" s="50">
        <f t="shared" si="11"/>
        <v>5.0000000000000001E-4</v>
      </c>
      <c r="Z40" s="50">
        <f t="shared" si="3"/>
        <v>0.79166666666666663</v>
      </c>
      <c r="AA40" s="55">
        <f t="shared" si="4"/>
        <v>1140</v>
      </c>
      <c r="AB40" s="73">
        <f t="shared" si="0"/>
        <v>39.399999885183647</v>
      </c>
      <c r="AC40" s="56">
        <f t="shared" si="5"/>
        <v>39.399999885183647</v>
      </c>
      <c r="AD40" s="82">
        <v>40</v>
      </c>
      <c r="AE40" s="55">
        <f t="shared" si="6"/>
        <v>1140</v>
      </c>
      <c r="AF40" s="56">
        <f t="shared" si="20"/>
        <v>22.900000000000002</v>
      </c>
    </row>
    <row r="41" spans="1:32" s="50" customFormat="1" ht="21" customHeight="1">
      <c r="A41" s="179"/>
      <c r="B41" s="179"/>
      <c r="C41" s="181"/>
      <c r="D41" s="182">
        <f t="shared" si="23"/>
        <v>720</v>
      </c>
      <c r="E41" s="172">
        <f t="shared" si="12"/>
        <v>0.5</v>
      </c>
      <c r="F41" s="183">
        <f t="shared" si="13"/>
        <v>31.853042211863468</v>
      </c>
      <c r="G41" s="183">
        <f t="shared" si="14"/>
        <v>21.553042211863467</v>
      </c>
      <c r="H41" s="185"/>
      <c r="I41" s="185"/>
      <c r="J41" s="185"/>
      <c r="K41" s="77">
        <f t="shared" si="15"/>
        <v>0.25504332209050062</v>
      </c>
      <c r="L41" s="72" t="s">
        <v>21</v>
      </c>
      <c r="V41" s="83">
        <f t="shared" si="8"/>
        <v>160</v>
      </c>
      <c r="W41" s="84">
        <f t="shared" si="9"/>
        <v>3.0183979517608415</v>
      </c>
      <c r="X41" s="84">
        <f t="shared" si="10"/>
        <v>0.125</v>
      </c>
      <c r="Y41" s="84">
        <f t="shared" si="11"/>
        <v>5.0000000000000001E-4</v>
      </c>
      <c r="Z41" s="84">
        <f t="shared" si="3"/>
        <v>0.83333333333333337</v>
      </c>
      <c r="AA41" s="85">
        <f t="shared" si="4"/>
        <v>1200</v>
      </c>
      <c r="AB41" s="86">
        <f t="shared" si="0"/>
        <v>39.399999885183647</v>
      </c>
      <c r="AC41" s="56">
        <f t="shared" ref="AC41:AC46" si="24">AC40</f>
        <v>39.399999885183647</v>
      </c>
      <c r="AD41" s="87">
        <v>41</v>
      </c>
      <c r="AE41" s="55">
        <f t="shared" si="6"/>
        <v>1200</v>
      </c>
      <c r="AF41" s="56">
        <f t="shared" si="20"/>
        <v>22.900000000000002</v>
      </c>
    </row>
    <row r="42" spans="1:32" s="50" customFormat="1" ht="21" customHeight="1">
      <c r="A42" s="179"/>
      <c r="B42" s="179"/>
      <c r="C42" s="181"/>
      <c r="D42" s="182">
        <f t="shared" si="23"/>
        <v>780</v>
      </c>
      <c r="E42" s="172">
        <f t="shared" si="12"/>
        <v>0.54166666666666663</v>
      </c>
      <c r="F42" s="183">
        <f t="shared" si="13"/>
        <v>32.08765932494066</v>
      </c>
      <c r="G42" s="183">
        <f t="shared" si="14"/>
        <v>21.787659324940659</v>
      </c>
      <c r="H42" s="185"/>
      <c r="I42" s="185"/>
      <c r="J42" s="185"/>
      <c r="K42" s="77">
        <f t="shared" si="15"/>
        <v>0.23461711307719213</v>
      </c>
      <c r="L42" s="72" t="s">
        <v>21</v>
      </c>
      <c r="V42" s="54">
        <f t="shared" si="8"/>
        <v>160</v>
      </c>
      <c r="W42" s="50">
        <f t="shared" si="9"/>
        <v>3.0183979517608415</v>
      </c>
      <c r="X42" s="50">
        <f t="shared" si="10"/>
        <v>0.125</v>
      </c>
      <c r="Y42" s="50">
        <f t="shared" si="11"/>
        <v>5.0000000000000001E-4</v>
      </c>
      <c r="Z42" s="50">
        <f t="shared" si="3"/>
        <v>0.875</v>
      </c>
      <c r="AA42" s="55">
        <f t="shared" si="4"/>
        <v>1260</v>
      </c>
      <c r="AB42" s="73">
        <f t="shared" si="0"/>
        <v>39.399999885183647</v>
      </c>
      <c r="AC42" s="56">
        <f t="shared" si="24"/>
        <v>39.399999885183647</v>
      </c>
      <c r="AD42" s="82">
        <v>42</v>
      </c>
      <c r="AE42" s="55">
        <f t="shared" si="6"/>
        <v>1260</v>
      </c>
      <c r="AF42" s="56">
        <f t="shared" si="20"/>
        <v>22.900000000000002</v>
      </c>
    </row>
    <row r="43" spans="1:32" s="50" customFormat="1" ht="21" customHeight="1">
      <c r="A43" s="179"/>
      <c r="B43" s="179"/>
      <c r="C43" s="181"/>
      <c r="D43" s="182">
        <f t="shared" si="23"/>
        <v>840</v>
      </c>
      <c r="E43" s="172">
        <f t="shared" si="12"/>
        <v>0.58333333333333337</v>
      </c>
      <c r="F43" s="183">
        <f t="shared" si="13"/>
        <v>32.304880843153484</v>
      </c>
      <c r="G43" s="183">
        <f t="shared" si="14"/>
        <v>22.004880843153483</v>
      </c>
      <c r="H43" s="185"/>
      <c r="I43" s="185"/>
      <c r="J43" s="185"/>
      <c r="K43" s="77">
        <f t="shared" si="15"/>
        <v>0.21722151821282409</v>
      </c>
      <c r="L43" s="72" t="s">
        <v>21</v>
      </c>
      <c r="V43" s="83">
        <f t="shared" si="8"/>
        <v>160</v>
      </c>
      <c r="W43" s="84">
        <f t="shared" si="9"/>
        <v>3.0183979517608415</v>
      </c>
      <c r="X43" s="84">
        <f t="shared" si="10"/>
        <v>0.125</v>
      </c>
      <c r="Y43" s="84">
        <f t="shared" si="11"/>
        <v>5.0000000000000001E-4</v>
      </c>
      <c r="Z43" s="84">
        <f t="shared" si="3"/>
        <v>0.91666666666666663</v>
      </c>
      <c r="AA43" s="85">
        <f t="shared" si="4"/>
        <v>1320</v>
      </c>
      <c r="AB43" s="86">
        <f t="shared" si="0"/>
        <v>39.399999885183647</v>
      </c>
      <c r="AC43" s="56">
        <f t="shared" si="24"/>
        <v>39.399999885183647</v>
      </c>
      <c r="AD43" s="87">
        <v>43</v>
      </c>
      <c r="AE43" s="55">
        <f t="shared" si="6"/>
        <v>1320</v>
      </c>
      <c r="AF43" s="56">
        <f t="shared" si="20"/>
        <v>22.900000000000002</v>
      </c>
    </row>
    <row r="44" spans="1:32" s="50" customFormat="1" ht="21" customHeight="1">
      <c r="A44" s="179"/>
      <c r="B44" s="179"/>
      <c r="C44" s="181"/>
      <c r="D44" s="182">
        <f t="shared" si="23"/>
        <v>900</v>
      </c>
      <c r="E44" s="172">
        <f t="shared" si="12"/>
        <v>0.625</v>
      </c>
      <c r="F44" s="183">
        <f t="shared" si="13"/>
        <v>32.507109238489562</v>
      </c>
      <c r="G44" s="183">
        <f t="shared" si="14"/>
        <v>22.207109238489561</v>
      </c>
      <c r="H44" s="185"/>
      <c r="I44" s="185"/>
      <c r="J44" s="185"/>
      <c r="K44" s="77">
        <f t="shared" si="15"/>
        <v>0.20222839533607839</v>
      </c>
      <c r="L44" s="72" t="s">
        <v>21</v>
      </c>
      <c r="V44" s="54">
        <f t="shared" si="8"/>
        <v>160</v>
      </c>
      <c r="W44" s="50">
        <f t="shared" si="9"/>
        <v>3.0183979517608415</v>
      </c>
      <c r="X44" s="50">
        <f t="shared" si="10"/>
        <v>0.125</v>
      </c>
      <c r="Y44" s="50">
        <f t="shared" si="11"/>
        <v>5.0000000000000001E-4</v>
      </c>
      <c r="Z44" s="50">
        <f t="shared" si="3"/>
        <v>0.95833333333333337</v>
      </c>
      <c r="AA44" s="55">
        <f t="shared" si="4"/>
        <v>1380</v>
      </c>
      <c r="AB44" s="73">
        <f t="shared" si="0"/>
        <v>39.399999885183647</v>
      </c>
      <c r="AC44" s="56">
        <f t="shared" si="24"/>
        <v>39.399999885183647</v>
      </c>
      <c r="AD44" s="82">
        <v>44</v>
      </c>
      <c r="AE44" s="55">
        <f t="shared" si="6"/>
        <v>1380</v>
      </c>
      <c r="AF44" s="56">
        <f t="shared" si="20"/>
        <v>22.900000000000002</v>
      </c>
    </row>
    <row r="45" spans="1:32" s="50" customFormat="1" ht="21" customHeight="1">
      <c r="A45" s="179" t="s">
        <v>4</v>
      </c>
      <c r="B45" s="179" t="s">
        <v>4</v>
      </c>
      <c r="C45" s="181">
        <f>$C$10+D45/1440</f>
        <v>44994.145833333328</v>
      </c>
      <c r="D45" s="182">
        <f t="shared" si="23"/>
        <v>960</v>
      </c>
      <c r="E45" s="172">
        <f t="shared" si="12"/>
        <v>0.66666666666666663</v>
      </c>
      <c r="F45" s="183">
        <f t="shared" si="13"/>
        <v>32.696281268667825</v>
      </c>
      <c r="G45" s="183">
        <f t="shared" si="14"/>
        <v>22.396281268667824</v>
      </c>
      <c r="H45" s="185"/>
      <c r="I45" s="185"/>
      <c r="J45" s="185"/>
      <c r="K45" s="77">
        <f t="shared" si="15"/>
        <v>0.18917203017826267</v>
      </c>
      <c r="L45" s="72" t="s">
        <v>21</v>
      </c>
      <c r="V45" s="83">
        <f t="shared" si="8"/>
        <v>160</v>
      </c>
      <c r="W45" s="84">
        <f t="shared" si="9"/>
        <v>3.0183979517608415</v>
      </c>
      <c r="X45" s="84">
        <f t="shared" si="10"/>
        <v>0.125</v>
      </c>
      <c r="Y45" s="84">
        <f t="shared" si="11"/>
        <v>5.0000000000000001E-4</v>
      </c>
      <c r="Z45" s="84">
        <f t="shared" si="3"/>
        <v>1</v>
      </c>
      <c r="AA45" s="85">
        <f t="shared" si="4"/>
        <v>1440</v>
      </c>
      <c r="AB45" s="86">
        <f t="shared" si="0"/>
        <v>39.399999885183647</v>
      </c>
      <c r="AC45" s="56">
        <f t="shared" si="24"/>
        <v>39.399999885183647</v>
      </c>
      <c r="AD45" s="87">
        <v>45</v>
      </c>
      <c r="AE45" s="55">
        <f t="shared" si="6"/>
        <v>1440</v>
      </c>
      <c r="AF45" s="56">
        <f t="shared" si="20"/>
        <v>22.900000000000002</v>
      </c>
    </row>
    <row r="46" spans="1:32" s="50" customFormat="1" ht="21" customHeight="1">
      <c r="A46" s="179"/>
      <c r="B46" s="179"/>
      <c r="C46" s="179"/>
      <c r="D46" s="186">
        <f t="shared" si="23"/>
        <v>1020</v>
      </c>
      <c r="E46" s="172">
        <f t="shared" si="12"/>
        <v>0.70833333333333337</v>
      </c>
      <c r="F46" s="183">
        <f t="shared" si="13"/>
        <v>32.87398107625031</v>
      </c>
      <c r="G46" s="183">
        <f t="shared" si="14"/>
        <v>22.573981076250309</v>
      </c>
      <c r="H46" s="185"/>
      <c r="I46" s="185"/>
      <c r="J46" s="185"/>
      <c r="K46" s="77">
        <f t="shared" si="15"/>
        <v>0.17769980758248494</v>
      </c>
      <c r="L46" s="72" t="s">
        <v>21</v>
      </c>
      <c r="V46" s="54">
        <f t="shared" si="8"/>
        <v>160</v>
      </c>
      <c r="W46" s="50">
        <f t="shared" si="9"/>
        <v>3.0183979517608415</v>
      </c>
      <c r="X46" s="50">
        <f t="shared" si="10"/>
        <v>0.125</v>
      </c>
      <c r="Y46" s="50">
        <f t="shared" si="11"/>
        <v>5.0000000000000001E-4</v>
      </c>
      <c r="Z46" s="50">
        <f t="shared" si="3"/>
        <v>1.0416666666666667</v>
      </c>
      <c r="AA46" s="88">
        <f t="shared" si="4"/>
        <v>1500</v>
      </c>
      <c r="AB46" s="89">
        <f t="shared" si="0"/>
        <v>39.399999885183647</v>
      </c>
      <c r="AC46" s="56">
        <f t="shared" si="24"/>
        <v>39.399999885183647</v>
      </c>
      <c r="AD46" s="82">
        <v>46</v>
      </c>
      <c r="AE46" s="88">
        <f t="shared" si="6"/>
        <v>1500</v>
      </c>
      <c r="AF46" s="90">
        <f t="shared" si="20"/>
        <v>22.900000000000002</v>
      </c>
    </row>
    <row r="47" spans="1:32" s="50" customFormat="1" ht="21" customHeight="1">
      <c r="A47" s="179"/>
      <c r="B47" s="179"/>
      <c r="C47" s="181"/>
      <c r="D47" s="182">
        <f t="shared" si="23"/>
        <v>1080</v>
      </c>
      <c r="E47" s="172">
        <f t="shared" si="12"/>
        <v>0.75</v>
      </c>
      <c r="F47" s="183">
        <f t="shared" si="13"/>
        <v>33.041520911333038</v>
      </c>
      <c r="G47" s="183">
        <f t="shared" si="14"/>
        <v>22.741520911333037</v>
      </c>
      <c r="H47" s="185"/>
      <c r="I47" s="185"/>
      <c r="J47" s="185"/>
      <c r="K47" s="77">
        <f t="shared" si="15"/>
        <v>0.16753983508272796</v>
      </c>
      <c r="L47" s="72" t="s">
        <v>21</v>
      </c>
      <c r="V47" s="54">
        <f t="shared" si="8"/>
        <v>160</v>
      </c>
      <c r="W47" s="50">
        <f t="shared" si="9"/>
        <v>3.0183979517608415</v>
      </c>
      <c r="X47" s="50">
        <f t="shared" si="10"/>
        <v>0.125</v>
      </c>
      <c r="Y47" s="50">
        <f t="shared" si="11"/>
        <v>5.0000000000000001E-4</v>
      </c>
      <c r="Z47" s="50">
        <f t="shared" si="3"/>
        <v>1.0833333333333333</v>
      </c>
      <c r="AA47" s="55">
        <f t="shared" si="4"/>
        <v>1560</v>
      </c>
      <c r="AB47" s="73">
        <f t="shared" si="0"/>
        <v>39.399999885183647</v>
      </c>
      <c r="AC47" s="56">
        <f t="shared" ref="AC47:AC69" si="25">AC46</f>
        <v>39.399999885183647</v>
      </c>
      <c r="AE47" s="55">
        <f t="shared" si="6"/>
        <v>1560</v>
      </c>
      <c r="AF47" s="56">
        <f t="shared" si="20"/>
        <v>22.900000000000002</v>
      </c>
    </row>
    <row r="48" spans="1:32" s="50" customFormat="1" ht="21" customHeight="1">
      <c r="A48" s="179"/>
      <c r="B48" s="179"/>
      <c r="C48" s="181"/>
      <c r="D48" s="182">
        <f t="shared" si="23"/>
        <v>1140</v>
      </c>
      <c r="E48" s="172">
        <f t="shared" si="12"/>
        <v>0.79166666666666663</v>
      </c>
      <c r="F48" s="183">
        <f t="shared" si="13"/>
        <v>33.200000000000003</v>
      </c>
      <c r="G48" s="183">
        <f t="shared" si="14"/>
        <v>22.900000000000002</v>
      </c>
      <c r="H48" s="185"/>
      <c r="I48" s="185"/>
      <c r="J48" s="185"/>
      <c r="K48" s="50" t="s">
        <v>21</v>
      </c>
      <c r="L48" s="72" t="s">
        <v>21</v>
      </c>
      <c r="V48" s="54">
        <f t="shared" si="8"/>
        <v>160</v>
      </c>
      <c r="W48" s="50">
        <f t="shared" si="9"/>
        <v>3.0183979517608415</v>
      </c>
      <c r="X48" s="50">
        <f t="shared" si="10"/>
        <v>0.125</v>
      </c>
      <c r="Y48" s="50">
        <f t="shared" si="11"/>
        <v>5.0000000000000001E-4</v>
      </c>
      <c r="Z48" s="50">
        <f t="shared" si="3"/>
        <v>1.125</v>
      </c>
      <c r="AA48" s="55">
        <f t="shared" si="4"/>
        <v>1620</v>
      </c>
      <c r="AB48" s="73">
        <f t="shared" si="0"/>
        <v>39.399999885183647</v>
      </c>
      <c r="AC48" s="56">
        <f t="shared" si="25"/>
        <v>39.399999885183647</v>
      </c>
      <c r="AE48" s="55">
        <f t="shared" si="6"/>
        <v>1620</v>
      </c>
      <c r="AF48" s="56">
        <f t="shared" si="20"/>
        <v>22.900000000000002</v>
      </c>
    </row>
    <row r="49" spans="1:32" s="50" customFormat="1" ht="21" customHeight="1">
      <c r="A49" s="179"/>
      <c r="B49" s="179"/>
      <c r="C49" s="181"/>
      <c r="D49" s="182">
        <f t="shared" si="23"/>
        <v>1200</v>
      </c>
      <c r="E49" s="172">
        <f t="shared" si="12"/>
        <v>0.83333333333333337</v>
      </c>
      <c r="F49" s="183">
        <f t="shared" si="13"/>
        <v>33.200000000000003</v>
      </c>
      <c r="G49" s="183">
        <f t="shared" si="14"/>
        <v>22.900000000000002</v>
      </c>
      <c r="H49" s="185"/>
      <c r="I49" s="185"/>
      <c r="J49" s="185"/>
      <c r="K49" s="50" t="s">
        <v>21</v>
      </c>
      <c r="L49" s="72" t="s">
        <v>21</v>
      </c>
      <c r="V49" s="54">
        <f t="shared" si="8"/>
        <v>160</v>
      </c>
      <c r="W49" s="50">
        <f t="shared" si="9"/>
        <v>3.0183979517608415</v>
      </c>
      <c r="X49" s="50">
        <f t="shared" si="10"/>
        <v>0.125</v>
      </c>
      <c r="Y49" s="50">
        <f t="shared" si="11"/>
        <v>5.0000000000000001E-4</v>
      </c>
      <c r="Z49" s="50">
        <f t="shared" si="3"/>
        <v>1.1666666666666667</v>
      </c>
      <c r="AA49" s="55">
        <f t="shared" si="4"/>
        <v>1680</v>
      </c>
      <c r="AB49" s="73">
        <f t="shared" si="0"/>
        <v>39.399999885183647</v>
      </c>
      <c r="AC49" s="56">
        <f t="shared" si="25"/>
        <v>39.399999885183647</v>
      </c>
      <c r="AE49" s="55">
        <f t="shared" si="6"/>
        <v>1680</v>
      </c>
      <c r="AF49" s="56">
        <f t="shared" si="20"/>
        <v>22.900000000000002</v>
      </c>
    </row>
    <row r="50" spans="1:32" s="50" customFormat="1" ht="21" customHeight="1">
      <c r="A50" s="179"/>
      <c r="B50" s="179"/>
      <c r="C50" s="181"/>
      <c r="D50" s="182">
        <f t="shared" si="23"/>
        <v>1260</v>
      </c>
      <c r="E50" s="172">
        <f t="shared" si="12"/>
        <v>0.875</v>
      </c>
      <c r="F50" s="183">
        <f t="shared" si="13"/>
        <v>33.200000000000003</v>
      </c>
      <c r="G50" s="183">
        <f t="shared" si="14"/>
        <v>22.900000000000002</v>
      </c>
      <c r="H50" s="185"/>
      <c r="I50" s="185"/>
      <c r="J50" s="185"/>
      <c r="K50" s="50" t="s">
        <v>21</v>
      </c>
      <c r="L50" s="72" t="s">
        <v>21</v>
      </c>
      <c r="V50" s="54">
        <f t="shared" si="8"/>
        <v>160</v>
      </c>
      <c r="W50" s="50">
        <f t="shared" si="9"/>
        <v>3.0183979517608415</v>
      </c>
      <c r="X50" s="50">
        <f t="shared" si="10"/>
        <v>0.125</v>
      </c>
      <c r="Y50" s="50">
        <f t="shared" si="11"/>
        <v>5.0000000000000001E-4</v>
      </c>
      <c r="Z50" s="50">
        <f t="shared" si="3"/>
        <v>1.2083333333333333</v>
      </c>
      <c r="AA50" s="55">
        <f t="shared" si="4"/>
        <v>1740</v>
      </c>
      <c r="AB50" s="73">
        <f t="shared" si="0"/>
        <v>39.399999885183647</v>
      </c>
      <c r="AC50" s="56">
        <f t="shared" si="25"/>
        <v>39.399999885183647</v>
      </c>
      <c r="AE50" s="55">
        <f t="shared" si="6"/>
        <v>1740</v>
      </c>
      <c r="AF50" s="56">
        <f t="shared" si="20"/>
        <v>22.900000000000002</v>
      </c>
    </row>
    <row r="51" spans="1:32" s="50" customFormat="1" ht="21" customHeight="1">
      <c r="A51" s="179"/>
      <c r="B51" s="179"/>
      <c r="C51" s="181">
        <f>$C$10+D51/1440</f>
        <v>44994.395833333328</v>
      </c>
      <c r="D51" s="182">
        <f t="shared" si="23"/>
        <v>1320</v>
      </c>
      <c r="E51" s="172">
        <f t="shared" si="12"/>
        <v>0.91666666666666663</v>
      </c>
      <c r="F51" s="183">
        <f t="shared" si="13"/>
        <v>33.200000000000003</v>
      </c>
      <c r="G51" s="183">
        <f t="shared" si="14"/>
        <v>22.900000000000002</v>
      </c>
      <c r="H51" s="185"/>
      <c r="I51" s="185"/>
      <c r="J51" s="185"/>
      <c r="K51" s="50" t="s">
        <v>21</v>
      </c>
      <c r="L51" s="72" t="s">
        <v>21</v>
      </c>
      <c r="V51" s="54">
        <f t="shared" si="8"/>
        <v>160</v>
      </c>
      <c r="W51" s="50">
        <f t="shared" si="9"/>
        <v>3.0183979517608415</v>
      </c>
      <c r="X51" s="50">
        <f t="shared" si="10"/>
        <v>0.125</v>
      </c>
      <c r="Y51" s="50">
        <f t="shared" si="11"/>
        <v>5.0000000000000001E-4</v>
      </c>
      <c r="Z51" s="50">
        <f t="shared" si="3"/>
        <v>1.25</v>
      </c>
      <c r="AA51" s="55">
        <f t="shared" si="4"/>
        <v>1800</v>
      </c>
      <c r="AB51" s="73">
        <f t="shared" si="0"/>
        <v>39.399999885183647</v>
      </c>
      <c r="AC51" s="56">
        <f t="shared" si="25"/>
        <v>39.399999885183647</v>
      </c>
      <c r="AE51" s="55">
        <f t="shared" si="6"/>
        <v>1800</v>
      </c>
      <c r="AF51" s="56">
        <f t="shared" si="20"/>
        <v>22.900000000000002</v>
      </c>
    </row>
    <row r="52" spans="1:32" s="50" customFormat="1" ht="21" customHeight="1">
      <c r="A52" s="179"/>
      <c r="B52" s="179"/>
      <c r="C52" s="181"/>
      <c r="D52" s="182">
        <f t="shared" si="23"/>
        <v>1380</v>
      </c>
      <c r="E52" s="172">
        <f t="shared" si="12"/>
        <v>0.95833333333333337</v>
      </c>
      <c r="F52" s="183">
        <f t="shared" si="13"/>
        <v>33.200000000000003</v>
      </c>
      <c r="G52" s="183">
        <f t="shared" si="14"/>
        <v>22.900000000000002</v>
      </c>
      <c r="H52" s="185"/>
      <c r="I52" s="185"/>
      <c r="J52" s="185"/>
      <c r="K52" s="50" t="s">
        <v>21</v>
      </c>
      <c r="L52" s="72" t="s">
        <v>21</v>
      </c>
      <c r="V52" s="54">
        <f t="shared" si="8"/>
        <v>160</v>
      </c>
      <c r="W52" s="50">
        <f t="shared" si="9"/>
        <v>3.0183979517608415</v>
      </c>
      <c r="X52" s="50">
        <f t="shared" si="10"/>
        <v>0.125</v>
      </c>
      <c r="Y52" s="50">
        <f t="shared" si="11"/>
        <v>5.0000000000000001E-4</v>
      </c>
      <c r="Z52" s="50">
        <f t="shared" si="3"/>
        <v>1.2916666666666667</v>
      </c>
      <c r="AA52" s="55">
        <f t="shared" si="4"/>
        <v>1860</v>
      </c>
      <c r="AB52" s="73">
        <f t="shared" si="0"/>
        <v>39.399999885183647</v>
      </c>
      <c r="AC52" s="56">
        <f t="shared" si="25"/>
        <v>39.399999885183647</v>
      </c>
      <c r="AE52" s="55">
        <f t="shared" si="6"/>
        <v>1860</v>
      </c>
      <c r="AF52" s="56">
        <f t="shared" si="20"/>
        <v>22.900000000000002</v>
      </c>
    </row>
    <row r="53" spans="1:32" s="50" customFormat="1" ht="21" customHeight="1">
      <c r="A53" s="179"/>
      <c r="B53" s="179"/>
      <c r="C53" s="181"/>
      <c r="D53" s="182">
        <f t="shared" si="23"/>
        <v>1440</v>
      </c>
      <c r="E53" s="172">
        <f t="shared" si="12"/>
        <v>1</v>
      </c>
      <c r="F53" s="183">
        <f t="shared" si="13"/>
        <v>33.200000000000003</v>
      </c>
      <c r="G53" s="183">
        <f t="shared" si="14"/>
        <v>22.900000000000002</v>
      </c>
      <c r="H53" s="185"/>
      <c r="I53" s="185"/>
      <c r="J53" s="185"/>
      <c r="K53" s="50" t="s">
        <v>21</v>
      </c>
      <c r="L53" s="72" t="s">
        <v>21</v>
      </c>
      <c r="V53" s="54">
        <f t="shared" si="8"/>
        <v>160</v>
      </c>
      <c r="W53" s="50">
        <f t="shared" si="9"/>
        <v>3.0183979517608415</v>
      </c>
      <c r="X53" s="50">
        <f t="shared" si="10"/>
        <v>0.125</v>
      </c>
      <c r="Y53" s="50">
        <f t="shared" si="11"/>
        <v>5.0000000000000001E-4</v>
      </c>
      <c r="Z53" s="50">
        <f t="shared" si="3"/>
        <v>1.3333333333333333</v>
      </c>
      <c r="AA53" s="55">
        <f t="shared" si="4"/>
        <v>1920</v>
      </c>
      <c r="AB53" s="73">
        <f t="shared" si="0"/>
        <v>39.399999885183647</v>
      </c>
      <c r="AC53" s="56">
        <f t="shared" si="25"/>
        <v>39.399999885183647</v>
      </c>
      <c r="AE53" s="55">
        <f t="shared" si="6"/>
        <v>1920</v>
      </c>
      <c r="AF53" s="56">
        <f t="shared" si="20"/>
        <v>22.900000000000002</v>
      </c>
    </row>
    <row r="54" spans="1:32" s="50" customFormat="1" ht="21" customHeight="1">
      <c r="A54" s="179"/>
      <c r="B54" s="179"/>
      <c r="C54" s="181"/>
      <c r="D54" s="182">
        <f t="shared" si="23"/>
        <v>1500</v>
      </c>
      <c r="E54" s="172">
        <f t="shared" si="12"/>
        <v>1.0416666666666667</v>
      </c>
      <c r="F54" s="183">
        <f t="shared" si="13"/>
        <v>33.200000000000003</v>
      </c>
      <c r="G54" s="183">
        <f t="shared" si="14"/>
        <v>22.900000000000002</v>
      </c>
      <c r="H54" s="185"/>
      <c r="I54" s="185"/>
      <c r="J54" s="185"/>
      <c r="K54" s="50" t="s">
        <v>21</v>
      </c>
      <c r="L54" s="72" t="s">
        <v>21</v>
      </c>
      <c r="V54" s="54">
        <f t="shared" si="8"/>
        <v>160</v>
      </c>
      <c r="W54" s="50">
        <f t="shared" si="9"/>
        <v>3.0183979517608415</v>
      </c>
      <c r="X54" s="50">
        <f t="shared" si="10"/>
        <v>0.125</v>
      </c>
      <c r="Y54" s="50">
        <f t="shared" si="11"/>
        <v>5.0000000000000001E-4</v>
      </c>
      <c r="Z54" s="50">
        <f t="shared" si="3"/>
        <v>1.375</v>
      </c>
      <c r="AA54" s="55">
        <f t="shared" si="4"/>
        <v>1980</v>
      </c>
      <c r="AB54" s="73">
        <f t="shared" si="0"/>
        <v>39.399999885183647</v>
      </c>
      <c r="AC54" s="56">
        <f t="shared" si="25"/>
        <v>39.399999885183647</v>
      </c>
      <c r="AE54" s="55">
        <f t="shared" si="6"/>
        <v>1980</v>
      </c>
      <c r="AF54" s="56">
        <f t="shared" si="20"/>
        <v>22.900000000000002</v>
      </c>
    </row>
    <row r="55" spans="1:32" s="50" customFormat="1" ht="21" customHeight="1">
      <c r="A55" s="179"/>
      <c r="B55" s="179"/>
      <c r="C55" s="181" t="s">
        <v>4</v>
      </c>
      <c r="D55" s="182">
        <f t="shared" si="23"/>
        <v>1560</v>
      </c>
      <c r="E55" s="172">
        <f t="shared" si="12"/>
        <v>1.0833333333333333</v>
      </c>
      <c r="F55" s="183">
        <f t="shared" si="13"/>
        <v>33.200000000000003</v>
      </c>
      <c r="G55" s="183">
        <f t="shared" si="14"/>
        <v>22.900000000000002</v>
      </c>
      <c r="H55" s="185"/>
      <c r="I55" s="185"/>
      <c r="J55" s="185"/>
      <c r="K55" s="50" t="s">
        <v>21</v>
      </c>
      <c r="L55" s="72" t="s">
        <v>21</v>
      </c>
      <c r="V55" s="54">
        <f t="shared" si="8"/>
        <v>160</v>
      </c>
      <c r="W55" s="50">
        <f t="shared" si="9"/>
        <v>3.0183979517608415</v>
      </c>
      <c r="X55" s="50">
        <f t="shared" si="10"/>
        <v>0.125</v>
      </c>
      <c r="Y55" s="50">
        <f t="shared" si="11"/>
        <v>5.0000000000000001E-4</v>
      </c>
      <c r="Z55" s="50">
        <f t="shared" si="3"/>
        <v>1.4166666666666667</v>
      </c>
      <c r="AA55" s="55">
        <f t="shared" si="4"/>
        <v>2040</v>
      </c>
      <c r="AB55" s="73">
        <f t="shared" si="0"/>
        <v>39.399999885183647</v>
      </c>
      <c r="AC55" s="56">
        <f t="shared" si="25"/>
        <v>39.399999885183647</v>
      </c>
      <c r="AE55" s="55">
        <f t="shared" si="6"/>
        <v>2040</v>
      </c>
      <c r="AF55" s="56">
        <f t="shared" si="20"/>
        <v>22.900000000000002</v>
      </c>
    </row>
    <row r="56" spans="1:32" s="50" customFormat="1" ht="21.6" customHeight="1">
      <c r="A56" s="179"/>
      <c r="B56" s="179"/>
      <c r="C56" s="181">
        <f>$C$10+D56/1440</f>
        <v>44994.604166666664</v>
      </c>
      <c r="D56" s="182">
        <f t="shared" si="23"/>
        <v>1620</v>
      </c>
      <c r="E56" s="172">
        <f t="shared" si="12"/>
        <v>1.125</v>
      </c>
      <c r="F56" s="183">
        <f t="shared" si="13"/>
        <v>33.200000000000003</v>
      </c>
      <c r="G56" s="183">
        <f t="shared" si="14"/>
        <v>22.900000000000002</v>
      </c>
      <c r="H56" s="185"/>
      <c r="I56" s="185"/>
      <c r="J56" s="185"/>
      <c r="K56" s="50" t="s">
        <v>21</v>
      </c>
      <c r="L56" s="72" t="s">
        <v>21</v>
      </c>
      <c r="V56" s="54">
        <f t="shared" si="8"/>
        <v>160</v>
      </c>
      <c r="W56" s="50">
        <f t="shared" si="9"/>
        <v>3.0183979517608415</v>
      </c>
      <c r="X56" s="50">
        <f t="shared" si="10"/>
        <v>0.125</v>
      </c>
      <c r="Y56" s="50">
        <f t="shared" si="11"/>
        <v>5.0000000000000001E-4</v>
      </c>
      <c r="Z56" s="50">
        <f t="shared" si="3"/>
        <v>1.4583333333333333</v>
      </c>
      <c r="AA56" s="55">
        <f t="shared" si="4"/>
        <v>2100</v>
      </c>
      <c r="AB56" s="73">
        <f t="shared" si="0"/>
        <v>39.399999885183647</v>
      </c>
      <c r="AC56" s="56">
        <f t="shared" si="25"/>
        <v>39.399999885183647</v>
      </c>
      <c r="AE56" s="55">
        <f t="shared" si="6"/>
        <v>2100</v>
      </c>
      <c r="AF56" s="56">
        <f t="shared" si="20"/>
        <v>22.900000000000002</v>
      </c>
    </row>
    <row r="57" spans="1:32" s="50" customFormat="1" ht="21.6" customHeight="1">
      <c r="A57" s="179"/>
      <c r="B57" s="179"/>
      <c r="C57" s="181"/>
      <c r="D57" s="182">
        <f t="shared" si="23"/>
        <v>1680</v>
      </c>
      <c r="E57" s="172">
        <f t="shared" si="12"/>
        <v>1.1666666666666667</v>
      </c>
      <c r="F57" s="183">
        <f t="shared" si="13"/>
        <v>33.200000000000003</v>
      </c>
      <c r="G57" s="183">
        <f t="shared" si="14"/>
        <v>22.900000000000002</v>
      </c>
      <c r="H57" s="185"/>
      <c r="I57" s="185"/>
      <c r="J57" s="185"/>
      <c r="K57" s="50" t="s">
        <v>21</v>
      </c>
      <c r="L57" s="72" t="s">
        <v>21</v>
      </c>
      <c r="V57" s="54">
        <f t="shared" si="8"/>
        <v>160</v>
      </c>
      <c r="W57" s="50">
        <f t="shared" si="9"/>
        <v>3.0183979517608415</v>
      </c>
      <c r="X57" s="50">
        <f t="shared" si="10"/>
        <v>0.125</v>
      </c>
      <c r="Y57" s="50">
        <f t="shared" si="11"/>
        <v>5.0000000000000001E-4</v>
      </c>
      <c r="Z57" s="50">
        <f t="shared" si="3"/>
        <v>1.5</v>
      </c>
      <c r="AA57" s="55">
        <f t="shared" si="4"/>
        <v>2160</v>
      </c>
      <c r="AB57" s="73">
        <f t="shared" si="0"/>
        <v>39.399999885183647</v>
      </c>
      <c r="AC57" s="56">
        <f t="shared" si="25"/>
        <v>39.399999885183647</v>
      </c>
      <c r="AE57" s="55">
        <f t="shared" si="6"/>
        <v>2160</v>
      </c>
      <c r="AF57" s="56">
        <f t="shared" si="20"/>
        <v>22.900000000000002</v>
      </c>
    </row>
    <row r="58" spans="1:32" s="50" customFormat="1" ht="21.6" customHeight="1">
      <c r="A58" s="179"/>
      <c r="B58" s="179"/>
      <c r="C58" s="181"/>
      <c r="D58" s="182">
        <f t="shared" si="23"/>
        <v>1740</v>
      </c>
      <c r="E58" s="172">
        <f t="shared" si="12"/>
        <v>1.2083333333333333</v>
      </c>
      <c r="F58" s="183">
        <f t="shared" si="13"/>
        <v>33.200000000000003</v>
      </c>
      <c r="G58" s="183">
        <f t="shared" si="14"/>
        <v>22.900000000000002</v>
      </c>
      <c r="H58" s="185"/>
      <c r="I58" s="185"/>
      <c r="J58" s="185"/>
      <c r="K58" s="50" t="s">
        <v>21</v>
      </c>
      <c r="L58" s="72" t="s">
        <v>21</v>
      </c>
      <c r="V58" s="54">
        <f t="shared" si="8"/>
        <v>160</v>
      </c>
      <c r="W58" s="50">
        <f t="shared" si="9"/>
        <v>3.0183979517608415</v>
      </c>
      <c r="X58" s="50">
        <f t="shared" si="10"/>
        <v>0.125</v>
      </c>
      <c r="Y58" s="50">
        <f t="shared" si="11"/>
        <v>5.0000000000000001E-4</v>
      </c>
      <c r="Z58" s="50">
        <f t="shared" si="3"/>
        <v>1.5416666666666667</v>
      </c>
      <c r="AA58" s="55">
        <f t="shared" si="4"/>
        <v>2220</v>
      </c>
      <c r="AB58" s="73">
        <f t="shared" si="0"/>
        <v>39.399999885183647</v>
      </c>
      <c r="AC58" s="56">
        <f t="shared" si="25"/>
        <v>39.399999885183647</v>
      </c>
      <c r="AE58" s="55">
        <f t="shared" si="6"/>
        <v>2220</v>
      </c>
      <c r="AF58" s="56">
        <f t="shared" si="20"/>
        <v>22.900000000000002</v>
      </c>
    </row>
    <row r="59" spans="1:32" s="50" customFormat="1" ht="21.6" customHeight="1">
      <c r="A59" s="179"/>
      <c r="B59" s="179"/>
      <c r="C59" s="181"/>
      <c r="D59" s="182">
        <f t="shared" si="23"/>
        <v>1800</v>
      </c>
      <c r="E59" s="172">
        <f t="shared" si="12"/>
        <v>1.25</v>
      </c>
      <c r="F59" s="183">
        <f t="shared" si="13"/>
        <v>33.200000000000003</v>
      </c>
      <c r="G59" s="183">
        <f t="shared" si="14"/>
        <v>22.900000000000002</v>
      </c>
      <c r="H59" s="185"/>
      <c r="I59" s="185"/>
      <c r="J59" s="185"/>
      <c r="K59" s="50" t="s">
        <v>21</v>
      </c>
      <c r="L59" s="72" t="s">
        <v>21</v>
      </c>
      <c r="V59" s="54">
        <f t="shared" si="8"/>
        <v>160</v>
      </c>
      <c r="W59" s="50">
        <f t="shared" si="9"/>
        <v>3.0183979517608415</v>
      </c>
      <c r="X59" s="50">
        <f t="shared" si="10"/>
        <v>0.125</v>
      </c>
      <c r="Y59" s="50">
        <f t="shared" si="11"/>
        <v>5.0000000000000001E-4</v>
      </c>
      <c r="Z59" s="50">
        <f t="shared" si="3"/>
        <v>1.5833333333333333</v>
      </c>
      <c r="AA59" s="55">
        <f t="shared" si="4"/>
        <v>2280</v>
      </c>
      <c r="AB59" s="73">
        <f t="shared" si="0"/>
        <v>39.399999885183647</v>
      </c>
      <c r="AC59" s="56">
        <f t="shared" si="25"/>
        <v>39.399999885183647</v>
      </c>
      <c r="AE59" s="55">
        <f t="shared" si="6"/>
        <v>2280</v>
      </c>
      <c r="AF59" s="56">
        <f t="shared" si="20"/>
        <v>22.900000000000002</v>
      </c>
    </row>
    <row r="60" spans="1:32" s="50" customFormat="1" ht="21.6" customHeight="1">
      <c r="A60" s="179"/>
      <c r="B60" s="179"/>
      <c r="C60" s="181"/>
      <c r="D60" s="182">
        <f t="shared" si="23"/>
        <v>1860</v>
      </c>
      <c r="E60" s="172">
        <f t="shared" si="12"/>
        <v>1.2916666666666667</v>
      </c>
      <c r="F60" s="183">
        <f t="shared" si="13"/>
        <v>33.200000000000003</v>
      </c>
      <c r="G60" s="183">
        <f t="shared" si="14"/>
        <v>22.900000000000002</v>
      </c>
      <c r="H60" s="185"/>
      <c r="I60" s="185"/>
      <c r="J60" s="185"/>
      <c r="K60" s="50" t="s">
        <v>21</v>
      </c>
      <c r="L60" s="72" t="s">
        <v>21</v>
      </c>
      <c r="V60" s="54">
        <f t="shared" si="8"/>
        <v>160</v>
      </c>
      <c r="W60" s="50">
        <f t="shared" si="9"/>
        <v>3.0183979517608415</v>
      </c>
      <c r="X60" s="50">
        <f t="shared" si="10"/>
        <v>0.125</v>
      </c>
      <c r="Y60" s="50">
        <f t="shared" si="11"/>
        <v>5.0000000000000001E-4</v>
      </c>
      <c r="Z60" s="50">
        <f t="shared" si="3"/>
        <v>1.625</v>
      </c>
      <c r="AA60" s="55">
        <f t="shared" si="4"/>
        <v>2340</v>
      </c>
      <c r="AB60" s="73">
        <f t="shared" si="0"/>
        <v>39.399999885183647</v>
      </c>
      <c r="AC60" s="56">
        <f t="shared" si="25"/>
        <v>39.399999885183647</v>
      </c>
      <c r="AE60" s="55">
        <f t="shared" si="6"/>
        <v>2340</v>
      </c>
      <c r="AF60" s="56">
        <f t="shared" si="20"/>
        <v>22.900000000000002</v>
      </c>
    </row>
    <row r="61" spans="1:32" s="50" customFormat="1" ht="21.6" customHeight="1">
      <c r="A61" s="179"/>
      <c r="B61" s="179"/>
      <c r="C61" s="181">
        <f>$C$10+D61/1440</f>
        <v>44994.8125</v>
      </c>
      <c r="D61" s="182">
        <f t="shared" si="23"/>
        <v>1920</v>
      </c>
      <c r="E61" s="172">
        <f t="shared" si="12"/>
        <v>1.3333333333333333</v>
      </c>
      <c r="F61" s="183">
        <f t="shared" si="13"/>
        <v>33.200000000000003</v>
      </c>
      <c r="G61" s="183">
        <f t="shared" si="14"/>
        <v>22.900000000000002</v>
      </c>
      <c r="H61" s="185"/>
      <c r="I61" s="185"/>
      <c r="J61" s="185"/>
      <c r="K61" s="50" t="s">
        <v>21</v>
      </c>
      <c r="L61" s="72" t="s">
        <v>21</v>
      </c>
      <c r="V61" s="54">
        <f t="shared" si="8"/>
        <v>160</v>
      </c>
      <c r="W61" s="50">
        <f t="shared" si="9"/>
        <v>3.0183979517608415</v>
      </c>
      <c r="X61" s="50">
        <f t="shared" si="10"/>
        <v>0.125</v>
      </c>
      <c r="Y61" s="50">
        <f t="shared" si="11"/>
        <v>5.0000000000000001E-4</v>
      </c>
      <c r="Z61" s="50">
        <f t="shared" si="3"/>
        <v>1.6666666666666667</v>
      </c>
      <c r="AA61" s="55">
        <f t="shared" si="4"/>
        <v>2400</v>
      </c>
      <c r="AB61" s="73">
        <f t="shared" si="0"/>
        <v>39.399999885183647</v>
      </c>
      <c r="AC61" s="56">
        <f t="shared" si="25"/>
        <v>39.399999885183647</v>
      </c>
      <c r="AE61" s="55">
        <f t="shared" si="6"/>
        <v>2400</v>
      </c>
      <c r="AF61" s="56">
        <f t="shared" si="20"/>
        <v>22.900000000000002</v>
      </c>
    </row>
    <row r="62" spans="1:32" s="50" customFormat="1" ht="21.6" customHeight="1">
      <c r="A62" s="179"/>
      <c r="B62" s="179"/>
      <c r="C62" s="181"/>
      <c r="D62" s="182">
        <f t="shared" si="23"/>
        <v>1980</v>
      </c>
      <c r="E62" s="172">
        <f t="shared" si="12"/>
        <v>1.375</v>
      </c>
      <c r="F62" s="183">
        <f t="shared" si="13"/>
        <v>33.200000000000003</v>
      </c>
      <c r="G62" s="183">
        <f t="shared" si="14"/>
        <v>22.900000000000002</v>
      </c>
      <c r="H62" s="185"/>
      <c r="I62" s="185"/>
      <c r="J62" s="185"/>
      <c r="K62" s="50" t="s">
        <v>21</v>
      </c>
      <c r="L62" s="72" t="s">
        <v>21</v>
      </c>
      <c r="V62" s="54">
        <f t="shared" si="8"/>
        <v>160</v>
      </c>
      <c r="W62" s="50">
        <f t="shared" si="9"/>
        <v>3.0183979517608415</v>
      </c>
      <c r="X62" s="50">
        <f t="shared" si="10"/>
        <v>0.125</v>
      </c>
      <c r="Y62" s="50">
        <f t="shared" si="11"/>
        <v>5.0000000000000001E-4</v>
      </c>
      <c r="Z62" s="50">
        <f t="shared" si="3"/>
        <v>1.7083333333333333</v>
      </c>
      <c r="AA62" s="55">
        <f t="shared" si="4"/>
        <v>2460</v>
      </c>
      <c r="AB62" s="73">
        <f t="shared" si="0"/>
        <v>39.399999885183647</v>
      </c>
      <c r="AC62" s="56">
        <f t="shared" si="25"/>
        <v>39.399999885183647</v>
      </c>
      <c r="AE62" s="55">
        <f t="shared" si="6"/>
        <v>2460</v>
      </c>
      <c r="AF62" s="56">
        <f t="shared" si="20"/>
        <v>22.900000000000002</v>
      </c>
    </row>
    <row r="63" spans="1:32" s="50" customFormat="1" ht="21.6" customHeight="1">
      <c r="A63" s="179"/>
      <c r="B63" s="179"/>
      <c r="C63" s="181"/>
      <c r="D63" s="182">
        <f t="shared" si="23"/>
        <v>2040</v>
      </c>
      <c r="E63" s="172">
        <f t="shared" si="12"/>
        <v>1.4166666666666667</v>
      </c>
      <c r="F63" s="183">
        <f>F62</f>
        <v>33.200000000000003</v>
      </c>
      <c r="G63" s="183">
        <f t="shared" si="14"/>
        <v>22.900000000000002</v>
      </c>
      <c r="H63" s="185"/>
      <c r="I63" s="185"/>
      <c r="J63" s="185"/>
      <c r="K63" s="50" t="s">
        <v>21</v>
      </c>
      <c r="L63" s="72" t="s">
        <v>21</v>
      </c>
      <c r="V63" s="54">
        <f t="shared" si="8"/>
        <v>160</v>
      </c>
      <c r="W63" s="50">
        <f t="shared" si="9"/>
        <v>3.0183979517608415</v>
      </c>
      <c r="X63" s="50">
        <f t="shared" si="10"/>
        <v>0.125</v>
      </c>
      <c r="Y63" s="50">
        <f t="shared" si="11"/>
        <v>5.0000000000000001E-4</v>
      </c>
      <c r="Z63" s="50">
        <f t="shared" si="3"/>
        <v>1.75</v>
      </c>
      <c r="AA63" s="55">
        <f t="shared" si="4"/>
        <v>2520</v>
      </c>
      <c r="AB63" s="73">
        <f t="shared" si="0"/>
        <v>39.399999885183647</v>
      </c>
      <c r="AC63" s="56">
        <f t="shared" si="25"/>
        <v>39.399999885183647</v>
      </c>
      <c r="AE63" s="55">
        <f t="shared" si="6"/>
        <v>2520</v>
      </c>
      <c r="AF63" s="56">
        <f t="shared" si="20"/>
        <v>22.900000000000002</v>
      </c>
    </row>
    <row r="64" spans="1:32" s="50" customFormat="1" ht="21.6" customHeight="1">
      <c r="A64" s="179"/>
      <c r="B64" s="179"/>
      <c r="C64" s="181"/>
      <c r="D64" s="182">
        <f t="shared" si="23"/>
        <v>2100</v>
      </c>
      <c r="E64" s="172">
        <f t="shared" si="12"/>
        <v>1.4583333333333333</v>
      </c>
      <c r="F64" s="183">
        <f t="shared" ref="F64:F77" si="26">F63</f>
        <v>33.200000000000003</v>
      </c>
      <c r="G64" s="183">
        <f t="shared" si="14"/>
        <v>22.900000000000002</v>
      </c>
      <c r="H64" s="185"/>
      <c r="I64" s="185"/>
      <c r="J64" s="185"/>
      <c r="K64" s="50" t="s">
        <v>21</v>
      </c>
      <c r="L64" s="72" t="s">
        <v>21</v>
      </c>
      <c r="V64" s="54">
        <f t="shared" si="8"/>
        <v>160</v>
      </c>
      <c r="W64" s="50">
        <f t="shared" si="9"/>
        <v>3.0183979517608415</v>
      </c>
      <c r="X64" s="50">
        <f t="shared" si="10"/>
        <v>0.125</v>
      </c>
      <c r="Y64" s="50">
        <f t="shared" si="11"/>
        <v>5.0000000000000001E-4</v>
      </c>
      <c r="Z64" s="50">
        <f t="shared" si="3"/>
        <v>1.7916666666666667</v>
      </c>
      <c r="AA64" s="55">
        <f t="shared" si="4"/>
        <v>2580</v>
      </c>
      <c r="AB64" s="73">
        <f t="shared" si="0"/>
        <v>39.399999885183647</v>
      </c>
      <c r="AC64" s="56">
        <f t="shared" si="25"/>
        <v>39.399999885183647</v>
      </c>
      <c r="AE64" s="55">
        <f t="shared" si="6"/>
        <v>2580</v>
      </c>
      <c r="AF64" s="56">
        <f t="shared" si="20"/>
        <v>22.900000000000002</v>
      </c>
    </row>
    <row r="65" spans="1:32" s="50" customFormat="1" ht="21.6" customHeight="1">
      <c r="A65" s="179"/>
      <c r="B65" s="179"/>
      <c r="C65" s="181"/>
      <c r="D65" s="182">
        <f t="shared" si="23"/>
        <v>2160</v>
      </c>
      <c r="E65" s="172">
        <f t="shared" si="12"/>
        <v>1.5</v>
      </c>
      <c r="F65" s="183">
        <f t="shared" si="26"/>
        <v>33.200000000000003</v>
      </c>
      <c r="G65" s="183">
        <f t="shared" si="14"/>
        <v>22.900000000000002</v>
      </c>
      <c r="H65" s="185"/>
      <c r="I65" s="185"/>
      <c r="J65" s="185"/>
      <c r="K65" s="50" t="s">
        <v>21</v>
      </c>
      <c r="L65" s="72" t="s">
        <v>21</v>
      </c>
      <c r="V65" s="54">
        <f t="shared" si="8"/>
        <v>160</v>
      </c>
      <c r="W65" s="50">
        <f t="shared" si="9"/>
        <v>3.0183979517608415</v>
      </c>
      <c r="X65" s="50">
        <f t="shared" si="10"/>
        <v>0.125</v>
      </c>
      <c r="Y65" s="50">
        <f t="shared" si="11"/>
        <v>5.0000000000000001E-4</v>
      </c>
      <c r="Z65" s="50">
        <f t="shared" si="3"/>
        <v>1.8333333333333333</v>
      </c>
      <c r="AA65" s="55">
        <f t="shared" si="4"/>
        <v>2640</v>
      </c>
      <c r="AB65" s="73">
        <f t="shared" si="0"/>
        <v>39.399999885183647</v>
      </c>
      <c r="AC65" s="56">
        <f t="shared" si="25"/>
        <v>39.399999885183647</v>
      </c>
      <c r="AE65" s="55">
        <f t="shared" si="6"/>
        <v>2640</v>
      </c>
      <c r="AF65" s="56">
        <f t="shared" si="20"/>
        <v>22.900000000000002</v>
      </c>
    </row>
    <row r="66" spans="1:32" s="50" customFormat="1" ht="21.6" customHeight="1">
      <c r="A66" s="179"/>
      <c r="B66" s="179"/>
      <c r="C66" s="181">
        <f>$C$10+D66/1440</f>
        <v>44995.020833333328</v>
      </c>
      <c r="D66" s="182">
        <f t="shared" si="23"/>
        <v>2220</v>
      </c>
      <c r="E66" s="172">
        <f t="shared" si="12"/>
        <v>1.5416666666666667</v>
      </c>
      <c r="F66" s="183">
        <f t="shared" si="26"/>
        <v>33.200000000000003</v>
      </c>
      <c r="G66" s="183">
        <f t="shared" si="14"/>
        <v>22.900000000000002</v>
      </c>
      <c r="H66" s="185"/>
      <c r="I66" s="185"/>
      <c r="J66" s="185"/>
      <c r="K66" s="50" t="s">
        <v>21</v>
      </c>
      <c r="L66" s="72" t="s">
        <v>21</v>
      </c>
      <c r="V66" s="54">
        <f t="shared" si="8"/>
        <v>160</v>
      </c>
      <c r="W66" s="50">
        <f t="shared" si="9"/>
        <v>3.0183979517608415</v>
      </c>
      <c r="X66" s="50">
        <f t="shared" si="10"/>
        <v>0.125</v>
      </c>
      <c r="Y66" s="50">
        <f t="shared" si="11"/>
        <v>5.0000000000000001E-4</v>
      </c>
      <c r="Z66" s="50">
        <f t="shared" si="3"/>
        <v>1.875</v>
      </c>
      <c r="AA66" s="55">
        <f t="shared" si="4"/>
        <v>2700</v>
      </c>
      <c r="AB66" s="73">
        <f>AC66+AD$2</f>
        <v>39.399999885183647</v>
      </c>
      <c r="AC66" s="56">
        <f t="shared" si="25"/>
        <v>39.399999885183647</v>
      </c>
      <c r="AE66" s="55">
        <f t="shared" si="6"/>
        <v>2700</v>
      </c>
      <c r="AF66" s="56">
        <f t="shared" si="20"/>
        <v>22.900000000000002</v>
      </c>
    </row>
    <row r="67" spans="1:32" s="50" customFormat="1" ht="21.6" customHeight="1">
      <c r="A67" s="179"/>
      <c r="B67" s="179"/>
      <c r="C67" s="181"/>
      <c r="D67" s="182">
        <f t="shared" si="23"/>
        <v>2280</v>
      </c>
      <c r="E67" s="172">
        <f t="shared" si="12"/>
        <v>1.5833333333333333</v>
      </c>
      <c r="F67" s="183">
        <f t="shared" si="26"/>
        <v>33.200000000000003</v>
      </c>
      <c r="G67" s="183">
        <f t="shared" si="14"/>
        <v>22.900000000000002</v>
      </c>
      <c r="H67" s="185"/>
      <c r="I67" s="185"/>
      <c r="J67" s="185"/>
      <c r="K67" s="50" t="s">
        <v>21</v>
      </c>
      <c r="L67" s="72" t="s">
        <v>21</v>
      </c>
      <c r="V67" s="54">
        <f t="shared" si="8"/>
        <v>160</v>
      </c>
      <c r="W67" s="50">
        <f t="shared" si="9"/>
        <v>3.0183979517608415</v>
      </c>
      <c r="X67" s="50">
        <f t="shared" si="10"/>
        <v>0.125</v>
      </c>
      <c r="Y67" s="50">
        <f t="shared" si="11"/>
        <v>5.0000000000000001E-4</v>
      </c>
      <c r="Z67" s="50">
        <f t="shared" ref="Z67:Z79" si="27">E75</f>
        <v>1.9166666666666667</v>
      </c>
      <c r="AA67" s="55">
        <f t="shared" ref="AA67:AA79" si="28">D75</f>
        <v>2760</v>
      </c>
      <c r="AB67" s="73">
        <f>AC67+AD$2</f>
        <v>39.399999885183647</v>
      </c>
      <c r="AC67" s="56">
        <f t="shared" si="25"/>
        <v>39.399999885183647</v>
      </c>
      <c r="AE67" s="55">
        <f>AA67</f>
        <v>2760</v>
      </c>
      <c r="AF67" s="56">
        <f t="shared" si="20"/>
        <v>22.900000000000002</v>
      </c>
    </row>
    <row r="68" spans="1:32" s="50" customFormat="1" ht="21.6" customHeight="1">
      <c r="A68" s="179"/>
      <c r="B68" s="179"/>
      <c r="C68" s="181" t="s">
        <v>4</v>
      </c>
      <c r="D68" s="182">
        <f t="shared" si="23"/>
        <v>2340</v>
      </c>
      <c r="E68" s="172">
        <f t="shared" si="12"/>
        <v>1.625</v>
      </c>
      <c r="F68" s="183">
        <f t="shared" si="26"/>
        <v>33.200000000000003</v>
      </c>
      <c r="G68" s="183">
        <f t="shared" si="14"/>
        <v>22.900000000000002</v>
      </c>
      <c r="H68" s="185"/>
      <c r="I68" s="185"/>
      <c r="J68" s="185"/>
      <c r="K68" s="50" t="s">
        <v>21</v>
      </c>
      <c r="L68" s="72" t="s">
        <v>21</v>
      </c>
      <c r="V68" s="54">
        <f>V67</f>
        <v>160</v>
      </c>
      <c r="W68" s="50">
        <f t="shared" ref="W68:W83" si="29">W$2</f>
        <v>3.0183979517608415</v>
      </c>
      <c r="X68" s="50">
        <f t="shared" ref="X68:X83" si="30">X67</f>
        <v>0.125</v>
      </c>
      <c r="Y68" s="50">
        <f t="shared" ref="Y68:Y83" si="31">Y$2</f>
        <v>5.0000000000000001E-4</v>
      </c>
      <c r="Z68" s="50">
        <f t="shared" si="27"/>
        <v>1.9583333333333333</v>
      </c>
      <c r="AA68" s="55">
        <f t="shared" si="28"/>
        <v>2820</v>
      </c>
      <c r="AB68" s="73">
        <f>AC68+AD$2</f>
        <v>39.399999885183647</v>
      </c>
      <c r="AC68" s="56">
        <f t="shared" si="25"/>
        <v>39.399999885183647</v>
      </c>
      <c r="AE68" s="55">
        <f>AA68</f>
        <v>2820</v>
      </c>
      <c r="AF68" s="56">
        <f t="shared" si="20"/>
        <v>22.900000000000002</v>
      </c>
    </row>
    <row r="69" spans="1:32" s="50" customFormat="1" ht="21.6" customHeight="1">
      <c r="A69" s="179"/>
      <c r="B69" s="179"/>
      <c r="C69" s="181"/>
      <c r="D69" s="182">
        <f t="shared" si="23"/>
        <v>2400</v>
      </c>
      <c r="E69" s="172">
        <f t="shared" si="12"/>
        <v>1.6666666666666667</v>
      </c>
      <c r="F69" s="183">
        <f t="shared" si="26"/>
        <v>33.200000000000003</v>
      </c>
      <c r="G69" s="183">
        <f t="shared" si="14"/>
        <v>22.900000000000002</v>
      </c>
      <c r="H69" s="185"/>
      <c r="I69" s="185"/>
      <c r="J69" s="185"/>
      <c r="K69" s="50" t="s">
        <v>21</v>
      </c>
      <c r="L69" s="72" t="s">
        <v>21</v>
      </c>
      <c r="V69" s="54">
        <f>V68</f>
        <v>160</v>
      </c>
      <c r="W69" s="50">
        <f t="shared" si="29"/>
        <v>3.0183979517608415</v>
      </c>
      <c r="X69" s="50">
        <f t="shared" si="30"/>
        <v>0.125</v>
      </c>
      <c r="Y69" s="50">
        <f t="shared" si="31"/>
        <v>5.0000000000000001E-4</v>
      </c>
      <c r="Z69" s="50">
        <f t="shared" si="27"/>
        <v>2</v>
      </c>
      <c r="AA69" s="55">
        <f t="shared" si="28"/>
        <v>2880</v>
      </c>
      <c r="AB69" s="73">
        <f>AC69+AD$2</f>
        <v>39.399999885183647</v>
      </c>
      <c r="AC69" s="56">
        <f t="shared" si="25"/>
        <v>39.399999885183647</v>
      </c>
      <c r="AE69" s="55">
        <f>AA69</f>
        <v>2880</v>
      </c>
      <c r="AF69" s="56">
        <f t="shared" si="20"/>
        <v>22.900000000000002</v>
      </c>
    </row>
    <row r="70" spans="1:32" s="50" customFormat="1" ht="21.6" customHeight="1">
      <c r="A70" s="179"/>
      <c r="B70" s="179"/>
      <c r="C70" s="181"/>
      <c r="D70" s="182">
        <f t="shared" si="23"/>
        <v>2460</v>
      </c>
      <c r="E70" s="172">
        <f t="shared" si="12"/>
        <v>1.7083333333333333</v>
      </c>
      <c r="F70" s="183">
        <f t="shared" si="26"/>
        <v>33.200000000000003</v>
      </c>
      <c r="G70" s="183">
        <f t="shared" si="14"/>
        <v>22.900000000000002</v>
      </c>
      <c r="H70" s="185"/>
      <c r="I70" s="185"/>
      <c r="J70" s="185"/>
      <c r="K70" s="50" t="s">
        <v>21</v>
      </c>
      <c r="L70" s="72" t="s">
        <v>21</v>
      </c>
      <c r="V70" s="54"/>
      <c r="W70" s="50">
        <f t="shared" si="29"/>
        <v>3.0183979517608415</v>
      </c>
      <c r="X70" s="50">
        <f t="shared" si="30"/>
        <v>0.125</v>
      </c>
      <c r="Y70" s="50">
        <f t="shared" si="31"/>
        <v>5.0000000000000001E-4</v>
      </c>
      <c r="Z70" s="50">
        <f t="shared" si="27"/>
        <v>6.9444444444444447E-4</v>
      </c>
      <c r="AA70" s="55">
        <f t="shared" si="28"/>
        <v>1</v>
      </c>
      <c r="AB70" s="73"/>
      <c r="AC70" s="56"/>
      <c r="AF70" s="56"/>
    </row>
    <row r="71" spans="1:32" s="50" customFormat="1" ht="21.6" customHeight="1">
      <c r="A71" s="179"/>
      <c r="B71" s="179"/>
      <c r="C71" s="181">
        <f>$C$10+D71/1440</f>
        <v>44995.229166666664</v>
      </c>
      <c r="D71" s="182">
        <f t="shared" si="23"/>
        <v>2520</v>
      </c>
      <c r="E71" s="172">
        <f t="shared" si="12"/>
        <v>1.75</v>
      </c>
      <c r="F71" s="183">
        <f t="shared" si="26"/>
        <v>33.200000000000003</v>
      </c>
      <c r="G71" s="183">
        <f t="shared" si="14"/>
        <v>22.900000000000002</v>
      </c>
      <c r="H71" s="185"/>
      <c r="I71" s="185"/>
      <c r="J71" s="185"/>
      <c r="K71" s="50" t="s">
        <v>21</v>
      </c>
      <c r="L71" s="72" t="s">
        <v>21</v>
      </c>
      <c r="V71" s="54"/>
      <c r="W71" s="50">
        <f t="shared" si="29"/>
        <v>3.0183979517608415</v>
      </c>
      <c r="X71" s="50">
        <f t="shared" si="30"/>
        <v>0.125</v>
      </c>
      <c r="Y71" s="50">
        <f t="shared" si="31"/>
        <v>5.0000000000000001E-4</v>
      </c>
      <c r="Z71" s="50">
        <f t="shared" si="27"/>
        <v>1.3888888888888889E-3</v>
      </c>
      <c r="AA71" s="55">
        <f t="shared" si="28"/>
        <v>2</v>
      </c>
      <c r="AB71" s="73"/>
      <c r="AC71" s="56"/>
      <c r="AF71" s="56"/>
    </row>
    <row r="72" spans="1:32" s="50" customFormat="1" ht="21.6" customHeight="1">
      <c r="A72" s="179"/>
      <c r="B72" s="179"/>
      <c r="C72" s="181"/>
      <c r="D72" s="182">
        <f t="shared" si="23"/>
        <v>2580</v>
      </c>
      <c r="E72" s="172">
        <f t="shared" si="12"/>
        <v>1.7916666666666667</v>
      </c>
      <c r="F72" s="183">
        <f t="shared" si="26"/>
        <v>33.200000000000003</v>
      </c>
      <c r="G72" s="183">
        <f t="shared" si="14"/>
        <v>22.900000000000002</v>
      </c>
      <c r="H72" s="185"/>
      <c r="I72" s="185"/>
      <c r="J72" s="185"/>
      <c r="K72" s="50" t="s">
        <v>21</v>
      </c>
      <c r="L72" s="72" t="s">
        <v>21</v>
      </c>
      <c r="V72" s="54"/>
      <c r="W72" s="50">
        <f t="shared" si="29"/>
        <v>3.0183979517608415</v>
      </c>
      <c r="X72" s="50">
        <f t="shared" si="30"/>
        <v>0.125</v>
      </c>
      <c r="Y72" s="50">
        <f t="shared" si="31"/>
        <v>5.0000000000000001E-4</v>
      </c>
      <c r="Z72" s="50">
        <f t="shared" si="27"/>
        <v>2.0833333333333333E-3</v>
      </c>
      <c r="AA72" s="55">
        <f t="shared" si="28"/>
        <v>3</v>
      </c>
      <c r="AB72" s="73"/>
      <c r="AC72" s="56"/>
      <c r="AF72" s="56"/>
    </row>
    <row r="73" spans="1:32" s="50" customFormat="1" ht="21.6" customHeight="1">
      <c r="A73" s="179"/>
      <c r="B73" s="179"/>
      <c r="C73" s="181"/>
      <c r="D73" s="182">
        <f t="shared" si="23"/>
        <v>2640</v>
      </c>
      <c r="E73" s="172">
        <f t="shared" si="12"/>
        <v>1.8333333333333333</v>
      </c>
      <c r="F73" s="183">
        <f t="shared" si="26"/>
        <v>33.200000000000003</v>
      </c>
      <c r="G73" s="183">
        <f t="shared" si="14"/>
        <v>22.900000000000002</v>
      </c>
      <c r="H73" s="185"/>
      <c r="I73" s="185"/>
      <c r="J73" s="185"/>
      <c r="K73" s="50" t="s">
        <v>21</v>
      </c>
      <c r="L73" s="72" t="s">
        <v>21</v>
      </c>
      <c r="V73" s="54"/>
      <c r="W73" s="50">
        <f t="shared" si="29"/>
        <v>3.0183979517608415</v>
      </c>
      <c r="X73" s="50">
        <f t="shared" si="30"/>
        <v>0.125</v>
      </c>
      <c r="Y73" s="50">
        <f t="shared" si="31"/>
        <v>5.0000000000000001E-4</v>
      </c>
      <c r="Z73" s="50">
        <f t="shared" si="27"/>
        <v>2.7777777777777779E-3</v>
      </c>
      <c r="AA73" s="55">
        <f t="shared" si="28"/>
        <v>4</v>
      </c>
      <c r="AB73" s="73"/>
      <c r="AC73" s="56"/>
      <c r="AF73" s="56"/>
    </row>
    <row r="74" spans="1:32" s="50" customFormat="1" ht="21.6" customHeight="1">
      <c r="A74" s="179"/>
      <c r="B74" s="179"/>
      <c r="C74" s="181"/>
      <c r="D74" s="182">
        <f t="shared" si="23"/>
        <v>2700</v>
      </c>
      <c r="E74" s="172">
        <f t="shared" si="12"/>
        <v>1.875</v>
      </c>
      <c r="F74" s="183">
        <f t="shared" si="26"/>
        <v>33.200000000000003</v>
      </c>
      <c r="G74" s="183">
        <f t="shared" si="14"/>
        <v>22.900000000000002</v>
      </c>
      <c r="H74" s="185"/>
      <c r="I74" s="185"/>
      <c r="J74" s="185"/>
      <c r="K74" s="50" t="s">
        <v>21</v>
      </c>
      <c r="L74" s="72" t="s">
        <v>21</v>
      </c>
      <c r="V74" s="54"/>
      <c r="W74" s="50">
        <f t="shared" si="29"/>
        <v>3.0183979517608415</v>
      </c>
      <c r="X74" s="50">
        <f t="shared" si="30"/>
        <v>0.125</v>
      </c>
      <c r="Y74" s="50">
        <f t="shared" si="31"/>
        <v>5.0000000000000001E-4</v>
      </c>
      <c r="Z74" s="50">
        <f t="shared" si="27"/>
        <v>3.472222222222222E-3</v>
      </c>
      <c r="AA74" s="55">
        <f t="shared" si="28"/>
        <v>5</v>
      </c>
      <c r="AB74" s="73"/>
      <c r="AC74" s="56"/>
      <c r="AF74" s="56"/>
    </row>
    <row r="75" spans="1:32" s="50" customFormat="1" ht="21.6" customHeight="1">
      <c r="A75" s="179"/>
      <c r="B75" s="179"/>
      <c r="C75" s="181"/>
      <c r="D75" s="182">
        <f t="shared" si="23"/>
        <v>2760</v>
      </c>
      <c r="E75" s="172">
        <f>D75/1440</f>
        <v>1.9166666666666667</v>
      </c>
      <c r="F75" s="183">
        <f t="shared" si="26"/>
        <v>33.200000000000003</v>
      </c>
      <c r="G75" s="183">
        <f>AF67</f>
        <v>22.900000000000002</v>
      </c>
      <c r="H75" s="185"/>
      <c r="I75" s="185"/>
      <c r="J75" s="185"/>
      <c r="K75" s="50" t="s">
        <v>21</v>
      </c>
      <c r="L75" s="72" t="s">
        <v>21</v>
      </c>
      <c r="V75" s="54"/>
      <c r="W75" s="50">
        <f t="shared" si="29"/>
        <v>3.0183979517608415</v>
      </c>
      <c r="X75" s="50">
        <f t="shared" si="30"/>
        <v>0.125</v>
      </c>
      <c r="Y75" s="50">
        <f t="shared" si="31"/>
        <v>5.0000000000000001E-4</v>
      </c>
      <c r="Z75" s="50">
        <f t="shared" si="27"/>
        <v>6.9444444444444441E-3</v>
      </c>
      <c r="AA75" s="55">
        <f t="shared" si="28"/>
        <v>10</v>
      </c>
      <c r="AB75" s="73"/>
      <c r="AC75" s="56"/>
      <c r="AF75" s="56"/>
    </row>
    <row r="76" spans="1:32" s="50" customFormat="1" ht="21.6" customHeight="1">
      <c r="A76" s="179"/>
      <c r="B76" s="179"/>
      <c r="C76" s="181"/>
      <c r="D76" s="182">
        <f t="shared" si="23"/>
        <v>2820</v>
      </c>
      <c r="E76" s="172">
        <f>D76/1440</f>
        <v>1.9583333333333333</v>
      </c>
      <c r="F76" s="183">
        <f t="shared" si="26"/>
        <v>33.200000000000003</v>
      </c>
      <c r="G76" s="183">
        <f>AF68</f>
        <v>22.900000000000002</v>
      </c>
      <c r="H76" s="185"/>
      <c r="I76" s="185"/>
      <c r="J76" s="185"/>
      <c r="K76" s="50" t="s">
        <v>21</v>
      </c>
      <c r="L76" s="72" t="s">
        <v>21</v>
      </c>
      <c r="V76" s="54"/>
      <c r="W76" s="50">
        <f t="shared" si="29"/>
        <v>3.0183979517608415</v>
      </c>
      <c r="X76" s="50">
        <f t="shared" si="30"/>
        <v>0.125</v>
      </c>
      <c r="Y76" s="50">
        <f t="shared" si="31"/>
        <v>5.0000000000000001E-4</v>
      </c>
      <c r="Z76" s="50">
        <f t="shared" si="27"/>
        <v>1.0416666666666666E-2</v>
      </c>
      <c r="AA76" s="55">
        <f t="shared" si="28"/>
        <v>15</v>
      </c>
      <c r="AB76" s="73"/>
      <c r="AC76" s="56"/>
      <c r="AF76" s="56"/>
    </row>
    <row r="77" spans="1:32" s="50" customFormat="1" ht="21.6" customHeight="1">
      <c r="A77" s="179"/>
      <c r="B77" s="179"/>
      <c r="C77" s="181">
        <f>$C$10+D77/1440</f>
        <v>44995.479166666664</v>
      </c>
      <c r="D77" s="182">
        <f>D76+60</f>
        <v>2880</v>
      </c>
      <c r="E77" s="172">
        <f>D77/1440</f>
        <v>2</v>
      </c>
      <c r="F77" s="184">
        <f t="shared" si="26"/>
        <v>33.200000000000003</v>
      </c>
      <c r="G77" s="183">
        <f>AF69</f>
        <v>22.900000000000002</v>
      </c>
      <c r="H77" s="185" t="s">
        <v>181</v>
      </c>
      <c r="I77" s="185"/>
      <c r="J77" s="185"/>
      <c r="K77" s="50" t="s">
        <v>21</v>
      </c>
      <c r="L77" s="72" t="s">
        <v>21</v>
      </c>
      <c r="V77" s="54"/>
      <c r="W77" s="50">
        <f t="shared" si="29"/>
        <v>3.0183979517608415</v>
      </c>
      <c r="X77" s="50">
        <f t="shared" si="30"/>
        <v>0.125</v>
      </c>
      <c r="Y77" s="50">
        <f t="shared" si="31"/>
        <v>5.0000000000000001E-4</v>
      </c>
      <c r="Z77" s="50">
        <f t="shared" si="27"/>
        <v>1.3888888888888888E-2</v>
      </c>
      <c r="AA77" s="55">
        <f t="shared" si="28"/>
        <v>20</v>
      </c>
      <c r="AB77" s="73"/>
      <c r="AC77" s="56"/>
      <c r="AF77" s="56"/>
    </row>
    <row r="78" spans="1:32" s="50" customFormat="1" ht="20.45" customHeight="1">
      <c r="A78" s="179">
        <v>2</v>
      </c>
      <c r="B78" s="179">
        <v>0</v>
      </c>
      <c r="C78" s="181">
        <f>$C$10+(D78+2880)/1440</f>
        <v>44995.479861111111</v>
      </c>
      <c r="D78" s="182">
        <v>1</v>
      </c>
      <c r="E78" s="172">
        <f t="shared" ref="E78:E101" si="32">D78/1440</f>
        <v>6.9444444444444447E-4</v>
      </c>
      <c r="F78" s="183">
        <f>G78+D$8</f>
        <v>25.072653617722807</v>
      </c>
      <c r="G78" s="183">
        <f>H114</f>
        <v>14.772653617722808</v>
      </c>
      <c r="H78" s="462" t="s">
        <v>192</v>
      </c>
      <c r="I78" s="462"/>
      <c r="J78" s="462"/>
      <c r="K78" s="50" t="s">
        <v>21</v>
      </c>
      <c r="L78" s="72"/>
      <c r="V78" s="54"/>
      <c r="W78" s="50">
        <f t="shared" si="29"/>
        <v>3.0183979517608415</v>
      </c>
      <c r="X78" s="50">
        <f t="shared" si="30"/>
        <v>0.125</v>
      </c>
      <c r="Y78" s="50">
        <f t="shared" si="31"/>
        <v>5.0000000000000001E-4</v>
      </c>
      <c r="Z78" s="50">
        <f t="shared" si="27"/>
        <v>1.7361111111111112E-2</v>
      </c>
      <c r="AA78" s="55">
        <f t="shared" si="28"/>
        <v>25</v>
      </c>
      <c r="AB78" s="73"/>
      <c r="AC78" s="56"/>
      <c r="AF78" s="56"/>
    </row>
    <row r="79" spans="1:32" s="50" customFormat="1" ht="20.45" customHeight="1">
      <c r="A79" s="179"/>
      <c r="B79" s="179"/>
      <c r="C79" s="179" t="s">
        <v>21</v>
      </c>
      <c r="D79" s="182">
        <v>2</v>
      </c>
      <c r="E79" s="172">
        <f t="shared" si="32"/>
        <v>1.3888888888888889E-3</v>
      </c>
      <c r="F79" s="183">
        <f t="shared" ref="F79:F101" si="33">G79+D$8</f>
        <v>23.748178048108127</v>
      </c>
      <c r="G79" s="183">
        <f>H115</f>
        <v>13.448178048108126</v>
      </c>
      <c r="H79" s="462"/>
      <c r="I79" s="462"/>
      <c r="J79" s="462"/>
      <c r="K79" s="50" t="s">
        <v>21</v>
      </c>
      <c r="L79" s="72" t="s">
        <v>21</v>
      </c>
      <c r="V79" s="54"/>
      <c r="W79" s="50">
        <f t="shared" si="29"/>
        <v>3.0183979517608415</v>
      </c>
      <c r="X79" s="50">
        <f t="shared" si="30"/>
        <v>0.125</v>
      </c>
      <c r="Y79" s="50">
        <f t="shared" si="31"/>
        <v>5.0000000000000001E-4</v>
      </c>
      <c r="Z79" s="50">
        <f t="shared" si="27"/>
        <v>2.0833333333333332E-2</v>
      </c>
      <c r="AA79" s="55">
        <f t="shared" si="28"/>
        <v>30</v>
      </c>
      <c r="AB79" s="73"/>
      <c r="AC79" s="56"/>
      <c r="AF79" s="56"/>
    </row>
    <row r="80" spans="1:32" s="50" customFormat="1" ht="20.45" customHeight="1">
      <c r="A80" s="179"/>
      <c r="B80" s="179"/>
      <c r="C80" s="181" t="s">
        <v>21</v>
      </c>
      <c r="D80" s="182">
        <v>3</v>
      </c>
      <c r="E80" s="172">
        <f t="shared" si="32"/>
        <v>2.0833333333333333E-3</v>
      </c>
      <c r="F80" s="183">
        <f t="shared" si="33"/>
        <v>22.542451322127171</v>
      </c>
      <c r="G80" s="183">
        <f>H116</f>
        <v>12.242451322127168</v>
      </c>
      <c r="H80" s="462"/>
      <c r="I80" s="462"/>
      <c r="J80" s="462"/>
      <c r="K80" s="50" t="s">
        <v>21</v>
      </c>
      <c r="L80" s="72" t="s">
        <v>21</v>
      </c>
      <c r="V80" s="54"/>
      <c r="W80" s="50">
        <f t="shared" si="29"/>
        <v>3.0183979517608415</v>
      </c>
      <c r="X80" s="50">
        <f t="shared" si="30"/>
        <v>0.125</v>
      </c>
      <c r="Y80" s="50">
        <f t="shared" si="31"/>
        <v>5.0000000000000001E-4</v>
      </c>
      <c r="Z80" s="50">
        <f>E90</f>
        <v>3.125E-2</v>
      </c>
      <c r="AA80" s="55">
        <f>D90</f>
        <v>45</v>
      </c>
      <c r="AB80" s="73"/>
      <c r="AC80" s="56"/>
      <c r="AF80" s="56"/>
    </row>
    <row r="81" spans="1:32" s="50" customFormat="1" ht="20.45" customHeight="1">
      <c r="A81" s="179"/>
      <c r="B81" s="179"/>
      <c r="C81" s="181" t="s">
        <v>21</v>
      </c>
      <c r="D81" s="182">
        <v>4</v>
      </c>
      <c r="E81" s="172">
        <f t="shared" si="32"/>
        <v>2.7777777777777779E-3</v>
      </c>
      <c r="F81" s="183">
        <f t="shared" si="33"/>
        <v>21.444826744447944</v>
      </c>
      <c r="G81" s="183">
        <f>H117</f>
        <v>11.144826744447943</v>
      </c>
      <c r="H81" s="462"/>
      <c r="I81" s="462"/>
      <c r="J81" s="462"/>
      <c r="K81" s="50" t="s">
        <v>21</v>
      </c>
      <c r="L81" s="72" t="s">
        <v>21</v>
      </c>
      <c r="V81" s="54"/>
      <c r="W81" s="50">
        <f t="shared" si="29"/>
        <v>3.0183979517608415</v>
      </c>
      <c r="X81" s="50">
        <f t="shared" si="30"/>
        <v>0.125</v>
      </c>
      <c r="Y81" s="50">
        <f t="shared" si="31"/>
        <v>5.0000000000000001E-4</v>
      </c>
      <c r="Z81" s="50">
        <f>E93</f>
        <v>4.1666666666666664E-2</v>
      </c>
      <c r="AA81" s="55">
        <f>D93</f>
        <v>60</v>
      </c>
      <c r="AB81" s="73"/>
      <c r="AC81" s="56"/>
      <c r="AF81" s="56"/>
    </row>
    <row r="82" spans="1:32" s="50" customFormat="1" ht="20.45" customHeight="1">
      <c r="A82" s="179"/>
      <c r="B82" s="179"/>
      <c r="C82" s="181" t="s">
        <v>21</v>
      </c>
      <c r="D82" s="182">
        <v>5</v>
      </c>
      <c r="E82" s="172">
        <f t="shared" si="32"/>
        <v>3.472222222222222E-3</v>
      </c>
      <c r="F82" s="183">
        <f t="shared" si="33"/>
        <v>20.445612173214727</v>
      </c>
      <c r="G82" s="183">
        <f>H118</f>
        <v>10.145612173214728</v>
      </c>
      <c r="H82" s="462"/>
      <c r="I82" s="462"/>
      <c r="J82" s="462"/>
      <c r="K82" s="50" t="s">
        <v>21</v>
      </c>
      <c r="L82" s="72" t="s">
        <v>21</v>
      </c>
      <c r="V82" s="54"/>
      <c r="W82" s="50">
        <f t="shared" si="29"/>
        <v>3.0183979517608415</v>
      </c>
      <c r="X82" s="50">
        <f t="shared" si="30"/>
        <v>0.125</v>
      </c>
      <c r="Y82" s="50">
        <f t="shared" si="31"/>
        <v>5.0000000000000001E-4</v>
      </c>
      <c r="Z82" s="50">
        <f>E97</f>
        <v>8.3333333333333329E-2</v>
      </c>
      <c r="AA82" s="55">
        <f>D97</f>
        <v>120</v>
      </c>
      <c r="AB82" s="73"/>
      <c r="AC82" s="56"/>
      <c r="AF82" s="56"/>
    </row>
    <row r="83" spans="1:32" s="50" customFormat="1" ht="20.45" customHeight="1">
      <c r="A83" s="179"/>
      <c r="B83" s="179"/>
      <c r="C83" s="181" t="s">
        <v>21</v>
      </c>
      <c r="D83" s="182">
        <v>10</v>
      </c>
      <c r="E83" s="172">
        <f t="shared" si="32"/>
        <v>6.9444444444444441E-3</v>
      </c>
      <c r="F83" s="183">
        <f t="shared" si="33"/>
        <v>17.95408117003355</v>
      </c>
      <c r="G83" s="183">
        <f>H121</f>
        <v>7.6540811700335487</v>
      </c>
      <c r="H83" s="462"/>
      <c r="I83" s="462"/>
      <c r="J83" s="462"/>
      <c r="K83" s="50" t="s">
        <v>21</v>
      </c>
      <c r="L83" s="72" t="s">
        <v>21</v>
      </c>
      <c r="V83" s="54"/>
      <c r="W83" s="50">
        <f t="shared" si="29"/>
        <v>3.0183979517608415</v>
      </c>
      <c r="X83" s="50">
        <f t="shared" si="30"/>
        <v>0.125</v>
      </c>
      <c r="Y83" s="50">
        <f t="shared" si="31"/>
        <v>5.0000000000000001E-4</v>
      </c>
      <c r="Z83" s="50">
        <f>E98</f>
        <v>0.125</v>
      </c>
      <c r="AA83" s="55">
        <f>D98</f>
        <v>180</v>
      </c>
      <c r="AB83" s="73"/>
      <c r="AC83" s="56"/>
      <c r="AF83" s="56"/>
    </row>
    <row r="84" spans="1:32" s="50" customFormat="1" ht="20.45" customHeight="1">
      <c r="A84" s="179"/>
      <c r="B84" s="179"/>
      <c r="C84" s="181" t="s">
        <v>21</v>
      </c>
      <c r="D84" s="182">
        <v>15</v>
      </c>
      <c r="E84" s="172">
        <f t="shared" si="32"/>
        <v>1.0416666666666666E-2</v>
      </c>
      <c r="F84" s="183">
        <f t="shared" si="33"/>
        <v>17.489461359181782</v>
      </c>
      <c r="G84" s="183">
        <f>H124</f>
        <v>7.1894613591817826</v>
      </c>
      <c r="H84" s="462"/>
      <c r="I84" s="462"/>
      <c r="J84" s="462"/>
      <c r="K84" s="50" t="s">
        <v>21</v>
      </c>
      <c r="L84" s="72" t="s">
        <v>21</v>
      </c>
      <c r="V84" s="54"/>
      <c r="AA84" s="55">
        <f>D99</f>
        <v>240</v>
      </c>
      <c r="AB84" s="73"/>
      <c r="AC84" s="56"/>
      <c r="AF84" s="56"/>
    </row>
    <row r="85" spans="1:32" s="50" customFormat="1" ht="20.45" customHeight="1">
      <c r="A85" s="179"/>
      <c r="B85" s="179"/>
      <c r="C85" s="181" t="s">
        <v>21</v>
      </c>
      <c r="D85" s="182">
        <v>20</v>
      </c>
      <c r="E85" s="172">
        <f t="shared" si="32"/>
        <v>1.3888888888888888E-2</v>
      </c>
      <c r="F85" s="183">
        <f t="shared" si="33"/>
        <v>16.258078555128598</v>
      </c>
      <c r="G85" s="183">
        <f>H126</f>
        <v>5.9580785551285969</v>
      </c>
      <c r="H85" s="462"/>
      <c r="I85" s="462"/>
      <c r="J85" s="462"/>
      <c r="K85" s="50" t="s">
        <v>21</v>
      </c>
      <c r="L85" s="72" t="s">
        <v>21</v>
      </c>
      <c r="V85" s="54"/>
      <c r="AA85" s="55">
        <f>D100</f>
        <v>300</v>
      </c>
      <c r="AB85" s="91"/>
      <c r="AF85" s="56"/>
    </row>
    <row r="86" spans="1:32" s="50" customFormat="1" ht="20.45" customHeight="1">
      <c r="A86" s="179"/>
      <c r="B86" s="179"/>
      <c r="C86" s="181" t="s">
        <v>21</v>
      </c>
      <c r="D86" s="182">
        <v>25</v>
      </c>
      <c r="E86" s="172">
        <f t="shared" si="32"/>
        <v>1.7361111111111112E-2</v>
      </c>
      <c r="F86" s="183">
        <f t="shared" si="33"/>
        <v>15.723893587937212</v>
      </c>
      <c r="G86" s="183">
        <f t="shared" ref="G86:G92" si="34">H127</f>
        <v>5.4238935879372114</v>
      </c>
      <c r="H86" s="462"/>
      <c r="I86" s="462"/>
      <c r="J86" s="462"/>
      <c r="K86" s="50" t="s">
        <v>21</v>
      </c>
      <c r="L86" s="72" t="s">
        <v>21</v>
      </c>
      <c r="V86" s="54"/>
      <c r="AA86" s="55">
        <f>D101</f>
        <v>360</v>
      </c>
      <c r="AB86" s="91"/>
      <c r="AF86" s="56"/>
    </row>
    <row r="87" spans="1:32" s="50" customFormat="1" ht="20.45" customHeight="1">
      <c r="A87" s="179"/>
      <c r="B87" s="179"/>
      <c r="C87" s="181" t="s">
        <v>21</v>
      </c>
      <c r="D87" s="182">
        <v>30</v>
      </c>
      <c r="E87" s="172">
        <f t="shared" si="32"/>
        <v>2.0833333333333332E-2</v>
      </c>
      <c r="F87" s="183">
        <f t="shared" si="33"/>
        <v>15.237602178464636</v>
      </c>
      <c r="G87" s="183">
        <f t="shared" si="34"/>
        <v>4.9376021784646351</v>
      </c>
      <c r="H87" s="462"/>
      <c r="I87" s="462"/>
      <c r="J87" s="462"/>
      <c r="K87" s="50" t="s">
        <v>21</v>
      </c>
      <c r="L87" s="72" t="s">
        <v>21</v>
      </c>
      <c r="V87" s="54" t="s">
        <v>21</v>
      </c>
      <c r="AA87" s="55" t="s">
        <v>21</v>
      </c>
      <c r="AB87" s="91"/>
    </row>
    <row r="88" spans="1:32" s="50" customFormat="1" ht="20.45" customHeight="1">
      <c r="A88" s="179"/>
      <c r="B88" s="179"/>
      <c r="C88" s="181"/>
      <c r="D88" s="182">
        <v>35</v>
      </c>
      <c r="E88" s="172">
        <f t="shared" si="32"/>
        <v>2.4305555555555556E-2</v>
      </c>
      <c r="F88" s="183">
        <f t="shared" si="33"/>
        <v>15.08539444560216</v>
      </c>
      <c r="G88" s="183">
        <f t="shared" si="34"/>
        <v>4.7853944456021598</v>
      </c>
      <c r="H88" s="462"/>
      <c r="I88" s="462"/>
      <c r="J88" s="462"/>
      <c r="L88" s="72"/>
      <c r="V88" s="54"/>
      <c r="AA88" s="55"/>
      <c r="AB88" s="91"/>
    </row>
    <row r="89" spans="1:32" s="50" customFormat="1" ht="20.45" customHeight="1">
      <c r="A89" s="179"/>
      <c r="B89" s="179"/>
      <c r="C89" s="181"/>
      <c r="D89" s="182">
        <v>40</v>
      </c>
      <c r="E89" s="172">
        <f t="shared" si="32"/>
        <v>2.7777777777777776E-2</v>
      </c>
      <c r="F89" s="183">
        <f t="shared" si="33"/>
        <v>14.937878705554372</v>
      </c>
      <c r="G89" s="183">
        <f t="shared" si="34"/>
        <v>4.6378787055543711</v>
      </c>
      <c r="H89" s="462"/>
      <c r="I89" s="462"/>
      <c r="J89" s="462"/>
      <c r="L89" s="72"/>
      <c r="V89" s="54"/>
      <c r="AA89" s="55"/>
      <c r="AB89" s="91"/>
    </row>
    <row r="90" spans="1:32" s="50" customFormat="1" ht="20.45" customHeight="1">
      <c r="A90" s="179"/>
      <c r="B90" s="179"/>
      <c r="C90" s="181" t="s">
        <v>21</v>
      </c>
      <c r="D90" s="182">
        <v>45</v>
      </c>
      <c r="E90" s="172">
        <f t="shared" si="32"/>
        <v>3.125E-2</v>
      </c>
      <c r="F90" s="183">
        <f t="shared" si="33"/>
        <v>14.79491032180275</v>
      </c>
      <c r="G90" s="183">
        <f t="shared" si="34"/>
        <v>4.494910321802748</v>
      </c>
      <c r="H90" s="462"/>
      <c r="I90" s="462"/>
      <c r="J90" s="462"/>
      <c r="K90" s="50" t="s">
        <v>21</v>
      </c>
      <c r="L90" s="72" t="s">
        <v>21</v>
      </c>
      <c r="V90" s="54" t="s">
        <v>21</v>
      </c>
      <c r="AA90" s="55" t="s">
        <v>21</v>
      </c>
      <c r="AB90" s="91"/>
    </row>
    <row r="91" spans="1:32" s="50" customFormat="1" ht="20.45" customHeight="1">
      <c r="A91" s="179"/>
      <c r="B91" s="179"/>
      <c r="C91" s="181"/>
      <c r="D91" s="182">
        <v>50</v>
      </c>
      <c r="E91" s="172">
        <f t="shared" si="32"/>
        <v>3.4722222222222224E-2</v>
      </c>
      <c r="F91" s="183">
        <f t="shared" si="33"/>
        <v>14.65634911642948</v>
      </c>
      <c r="G91" s="183">
        <f t="shared" si="34"/>
        <v>4.3563491164294792</v>
      </c>
      <c r="H91" s="462"/>
      <c r="I91" s="462"/>
      <c r="J91" s="462"/>
      <c r="L91" s="72"/>
      <c r="V91" s="54"/>
      <c r="AA91" s="55"/>
      <c r="AB91" s="91"/>
    </row>
    <row r="92" spans="1:32" s="50" customFormat="1" ht="20.45" customHeight="1">
      <c r="A92" s="179"/>
      <c r="B92" s="179"/>
      <c r="C92" s="181"/>
      <c r="D92" s="182">
        <v>55</v>
      </c>
      <c r="E92" s="172">
        <f t="shared" si="32"/>
        <v>3.8194444444444448E-2</v>
      </c>
      <c r="F92" s="183">
        <f t="shared" si="33"/>
        <v>14.522059232675549</v>
      </c>
      <c r="G92" s="183">
        <f t="shared" si="34"/>
        <v>4.2220592326755471</v>
      </c>
      <c r="H92" s="462"/>
      <c r="I92" s="462"/>
      <c r="J92" s="462"/>
      <c r="L92" s="72"/>
      <c r="V92" s="54"/>
      <c r="AA92" s="55"/>
      <c r="AB92" s="91"/>
    </row>
    <row r="93" spans="1:32" s="50" customFormat="1" ht="20.45" customHeight="1">
      <c r="A93" s="179"/>
      <c r="B93" s="179"/>
      <c r="C93" s="181">
        <f>$C$10+(D93+2880)/1440</f>
        <v>44995.520833333328</v>
      </c>
      <c r="D93" s="182">
        <v>60</v>
      </c>
      <c r="E93" s="172">
        <f t="shared" si="32"/>
        <v>4.1666666666666664E-2</v>
      </c>
      <c r="F93" s="183">
        <f t="shared" si="33"/>
        <v>14.391909001735627</v>
      </c>
      <c r="G93" s="183">
        <f>H134</f>
        <v>4.091909001735627</v>
      </c>
      <c r="H93" s="462"/>
      <c r="I93" s="462"/>
      <c r="J93" s="462"/>
      <c r="K93" s="50" t="s">
        <v>21</v>
      </c>
      <c r="L93" s="72" t="s">
        <v>21</v>
      </c>
      <c r="V93" s="54" t="s">
        <v>21</v>
      </c>
      <c r="AA93" s="55" t="s">
        <v>21</v>
      </c>
      <c r="AB93" s="91"/>
    </row>
    <row r="94" spans="1:32" s="50" customFormat="1" ht="20.45" customHeight="1">
      <c r="A94" s="179"/>
      <c r="B94" s="179"/>
      <c r="C94" s="181"/>
      <c r="D94" s="182">
        <v>75</v>
      </c>
      <c r="E94" s="172">
        <f t="shared" si="32"/>
        <v>5.2083333333333336E-2</v>
      </c>
      <c r="F94" s="183">
        <f t="shared" si="33"/>
        <v>14.265770813659204</v>
      </c>
      <c r="G94" s="183">
        <f>H135</f>
        <v>3.9657708136592027</v>
      </c>
      <c r="H94" s="462"/>
      <c r="I94" s="462"/>
      <c r="J94" s="462"/>
      <c r="L94" s="72"/>
      <c r="V94" s="54"/>
      <c r="AA94" s="55"/>
      <c r="AB94" s="91"/>
    </row>
    <row r="95" spans="1:32" s="50" customFormat="1" ht="20.45" customHeight="1">
      <c r="A95" s="179"/>
      <c r="B95" s="179"/>
      <c r="C95" s="181"/>
      <c r="D95" s="182">
        <v>90</v>
      </c>
      <c r="E95" s="172">
        <f t="shared" si="32"/>
        <v>6.25E-2</v>
      </c>
      <c r="F95" s="183">
        <f t="shared" si="33"/>
        <v>14.143520992231318</v>
      </c>
      <c r="G95" s="183">
        <f>H136</f>
        <v>3.8435209922313169</v>
      </c>
      <c r="H95" s="462"/>
      <c r="I95" s="462"/>
      <c r="J95" s="462"/>
      <c r="L95" s="72"/>
      <c r="V95" s="54"/>
      <c r="AA95" s="55"/>
      <c r="AB95" s="91"/>
    </row>
    <row r="96" spans="1:32" s="50" customFormat="1" ht="20.45" customHeight="1">
      <c r="A96" s="179"/>
      <c r="B96" s="179"/>
      <c r="C96" s="181"/>
      <c r="D96" s="182">
        <v>105</v>
      </c>
      <c r="E96" s="172">
        <f t="shared" si="32"/>
        <v>7.2916666666666671E-2</v>
      </c>
      <c r="F96" s="183">
        <f t="shared" si="33"/>
        <v>14.025039673710275</v>
      </c>
      <c r="G96" s="183">
        <f>H137</f>
        <v>3.7250396737102749</v>
      </c>
      <c r="H96" s="462"/>
      <c r="I96" s="462"/>
      <c r="J96" s="462"/>
      <c r="L96" s="72"/>
      <c r="V96" s="54"/>
      <c r="AA96" s="55"/>
      <c r="AB96" s="91"/>
    </row>
    <row r="97" spans="1:28" s="50" customFormat="1" ht="20.45" customHeight="1">
      <c r="A97" s="179"/>
      <c r="B97" s="179"/>
      <c r="C97" s="181">
        <f>$C$10+(D97+2880)/1440</f>
        <v>44995.5625</v>
      </c>
      <c r="D97" s="182">
        <v>120</v>
      </c>
      <c r="E97" s="172">
        <f t="shared" si="32"/>
        <v>8.3333333333333329E-2</v>
      </c>
      <c r="F97" s="183">
        <f t="shared" si="33"/>
        <v>13.691062842509435</v>
      </c>
      <c r="G97" s="183">
        <f>H138</f>
        <v>3.3910628425094336</v>
      </c>
      <c r="H97" s="462"/>
      <c r="I97" s="462"/>
      <c r="J97" s="462"/>
      <c r="K97" s="50" t="s">
        <v>21</v>
      </c>
      <c r="L97" s="72" t="s">
        <v>21</v>
      </c>
      <c r="V97" s="54" t="s">
        <v>21</v>
      </c>
      <c r="AA97" s="55" t="s">
        <v>21</v>
      </c>
      <c r="AB97" s="91"/>
    </row>
    <row r="98" spans="1:28" s="50" customFormat="1" ht="20.45" customHeight="1">
      <c r="A98" s="179"/>
      <c r="B98" s="179"/>
      <c r="C98" s="181" t="s">
        <v>21</v>
      </c>
      <c r="D98" s="182">
        <v>180</v>
      </c>
      <c r="E98" s="172">
        <f t="shared" si="32"/>
        <v>0.125</v>
      </c>
      <c r="F98" s="183">
        <f t="shared" si="33"/>
        <v>13.586529109617038</v>
      </c>
      <c r="G98" s="183">
        <f>H140</f>
        <v>3.2865291096170366</v>
      </c>
      <c r="H98" s="462"/>
      <c r="I98" s="462"/>
      <c r="J98" s="462"/>
      <c r="K98" s="77"/>
      <c r="L98" s="72" t="s">
        <v>21</v>
      </c>
      <c r="V98" s="54" t="str">
        <f t="shared" ref="V98:V103" si="35">V97</f>
        <v xml:space="preserve"> </v>
      </c>
      <c r="AA98" s="55" t="s">
        <v>21</v>
      </c>
      <c r="AB98" s="91"/>
    </row>
    <row r="99" spans="1:28" s="50" customFormat="1" ht="20.45" customHeight="1">
      <c r="A99" s="179"/>
      <c r="B99" s="179"/>
      <c r="C99" s="181">
        <f>$C$10+(D99+2880)/1440</f>
        <v>44995.645833333328</v>
      </c>
      <c r="D99" s="182">
        <v>240</v>
      </c>
      <c r="E99" s="172">
        <f t="shared" si="32"/>
        <v>0.16666666666666666</v>
      </c>
      <c r="F99" s="183">
        <f t="shared" si="33"/>
        <v>13.023625266280543</v>
      </c>
      <c r="G99" s="183">
        <f>H142</f>
        <v>2.7236252662805418</v>
      </c>
      <c r="H99" s="462"/>
      <c r="I99" s="462"/>
      <c r="J99" s="462"/>
      <c r="V99" s="54" t="str">
        <f t="shared" si="35"/>
        <v xml:space="preserve"> </v>
      </c>
      <c r="AA99" s="55" t="s">
        <v>21</v>
      </c>
      <c r="AB99" s="91"/>
    </row>
    <row r="100" spans="1:28" s="50" customFormat="1" ht="20.45" customHeight="1">
      <c r="A100" s="179"/>
      <c r="B100" s="179"/>
      <c r="C100" s="181" t="s">
        <v>21</v>
      </c>
      <c r="D100" s="182">
        <v>300</v>
      </c>
      <c r="E100" s="172">
        <f t="shared" si="32"/>
        <v>0.20833333333333334</v>
      </c>
      <c r="F100" s="183">
        <f t="shared" si="33"/>
        <v>12.557133390182008</v>
      </c>
      <c r="G100" s="183">
        <f>H144</f>
        <v>2.2571333901820068</v>
      </c>
      <c r="H100" s="462"/>
      <c r="I100" s="462"/>
      <c r="J100" s="462"/>
      <c r="V100" s="54" t="str">
        <f t="shared" si="35"/>
        <v xml:space="preserve"> </v>
      </c>
      <c r="AA100" s="55" t="s">
        <v>21</v>
      </c>
      <c r="AB100" s="91"/>
    </row>
    <row r="101" spans="1:28" s="50" customFormat="1" ht="20.45" customHeight="1">
      <c r="A101" s="179"/>
      <c r="B101" s="179"/>
      <c r="C101" s="181">
        <f>$C$10+(D101+2880)/1440</f>
        <v>44995.729166666664</v>
      </c>
      <c r="D101" s="182">
        <v>360</v>
      </c>
      <c r="E101" s="172">
        <f t="shared" si="32"/>
        <v>0.25</v>
      </c>
      <c r="F101" s="184">
        <f t="shared" si="33"/>
        <v>12.170540416902476</v>
      </c>
      <c r="G101" s="187">
        <f>H146</f>
        <v>1.8705404169024751</v>
      </c>
      <c r="H101" s="462"/>
      <c r="I101" s="462"/>
      <c r="J101" s="462"/>
      <c r="V101" s="54" t="str">
        <f t="shared" si="35"/>
        <v xml:space="preserve"> </v>
      </c>
      <c r="AA101" s="55" t="s">
        <v>21</v>
      </c>
      <c r="AB101" s="91"/>
    </row>
    <row r="102" spans="1:28" s="50" customFormat="1" ht="17.25" customHeight="1">
      <c r="D102" s="92"/>
      <c r="V102" s="54" t="str">
        <f t="shared" si="35"/>
        <v xml:space="preserve"> </v>
      </c>
      <c r="AA102" s="55" t="s">
        <v>21</v>
      </c>
      <c r="AB102" s="91"/>
    </row>
    <row r="103" spans="1:28" s="50" customFormat="1" ht="17.25" customHeight="1">
      <c r="D103" s="92"/>
      <c r="V103" s="54" t="str">
        <f t="shared" si="35"/>
        <v xml:space="preserve"> </v>
      </c>
      <c r="AA103" s="55"/>
      <c r="AB103" s="91"/>
    </row>
    <row r="104" spans="1:28" s="50" customFormat="1" ht="17.25" customHeight="1">
      <c r="D104" s="92"/>
      <c r="AA104" s="55"/>
      <c r="AB104" s="91"/>
    </row>
    <row r="105" spans="1:28" s="50" customFormat="1" ht="17.25" customHeight="1">
      <c r="D105" s="92"/>
      <c r="AA105" s="55"/>
      <c r="AB105" s="91"/>
    </row>
    <row r="106" spans="1:28" s="50" customFormat="1" ht="17.25" customHeight="1">
      <c r="AA106" s="55"/>
      <c r="AB106" s="91"/>
    </row>
    <row r="107" spans="1:28" s="50" customFormat="1" ht="17.25" customHeight="1">
      <c r="AA107" s="55"/>
      <c r="AB107" s="91"/>
    </row>
    <row r="108" spans="1:28" s="50" customFormat="1" ht="17.25" customHeight="1">
      <c r="AA108" s="55"/>
      <c r="AB108" s="91"/>
    </row>
    <row r="109" spans="1:28" s="50" customFormat="1" ht="17.25" customHeight="1">
      <c r="A109" s="344"/>
      <c r="B109" s="344"/>
      <c r="C109" s="344"/>
      <c r="D109" s="344"/>
      <c r="E109" s="344"/>
      <c r="F109" s="344"/>
      <c r="G109" s="344"/>
      <c r="H109" s="344"/>
      <c r="I109" s="344"/>
      <c r="J109" s="344"/>
      <c r="AA109" s="55"/>
      <c r="AB109" s="91"/>
    </row>
    <row r="110" spans="1:28" s="50" customFormat="1" ht="17.25" customHeight="1">
      <c r="A110" s="344"/>
      <c r="B110" s="344"/>
      <c r="C110" s="345">
        <v>3</v>
      </c>
      <c r="D110" s="346">
        <f>G77</f>
        <v>22.900000000000002</v>
      </c>
      <c r="E110" s="344"/>
      <c r="F110" s="347" t="s">
        <v>193</v>
      </c>
      <c r="G110" s="344"/>
      <c r="H110" s="348" t="s">
        <v>194</v>
      </c>
      <c r="I110" s="349"/>
      <c r="J110" s="344"/>
      <c r="AA110" s="55"/>
      <c r="AB110" s="91"/>
    </row>
    <row r="111" spans="1:28" s="50" customFormat="1" ht="17.25" hidden="1" customHeight="1">
      <c r="A111" s="344"/>
      <c r="B111" s="344">
        <v>1</v>
      </c>
      <c r="C111" s="344">
        <v>95</v>
      </c>
      <c r="D111" s="350">
        <f>D110</f>
        <v>22.900000000000002</v>
      </c>
      <c r="E111" s="351">
        <f>C111/100</f>
        <v>0.95</v>
      </c>
      <c r="F111" s="352" t="s">
        <v>21</v>
      </c>
      <c r="G111" s="344">
        <v>1</v>
      </c>
      <c r="H111" s="353">
        <f t="shared" ref="H111:H146" si="36">D111^E111</f>
        <v>19.581398608815142</v>
      </c>
      <c r="I111" s="354"/>
      <c r="J111" s="344"/>
      <c r="AA111" s="55"/>
      <c r="AB111" s="91"/>
    </row>
    <row r="112" spans="1:28" s="50" customFormat="1" ht="17.25" hidden="1" customHeight="1">
      <c r="A112" s="344"/>
      <c r="B112" s="344">
        <v>2</v>
      </c>
      <c r="C112" s="344">
        <f t="shared" ref="C112:C119" si="37">C111-C$110</f>
        <v>92</v>
      </c>
      <c r="D112" s="349">
        <f>D111</f>
        <v>22.900000000000002</v>
      </c>
      <c r="E112" s="351">
        <f t="shared" ref="E112:E141" si="38">C112/100</f>
        <v>0.92</v>
      </c>
      <c r="F112" s="355"/>
      <c r="G112" s="344">
        <v>2</v>
      </c>
      <c r="H112" s="353">
        <f t="shared" si="36"/>
        <v>17.825784164220831</v>
      </c>
      <c r="I112" s="354"/>
      <c r="J112" s="356">
        <f>H111-H112</f>
        <v>1.7556144445943112</v>
      </c>
      <c r="AA112" s="55"/>
      <c r="AB112" s="91"/>
    </row>
    <row r="113" spans="1:28" s="50" customFormat="1" ht="17.25" hidden="1" customHeight="1">
      <c r="A113" s="344"/>
      <c r="B113" s="344">
        <v>3</v>
      </c>
      <c r="C113" s="344">
        <f t="shared" si="37"/>
        <v>89</v>
      </c>
      <c r="D113" s="349">
        <f t="shared" ref="D113:D146" si="39">D112</f>
        <v>22.900000000000002</v>
      </c>
      <c r="E113" s="351">
        <f t="shared" si="38"/>
        <v>0.89</v>
      </c>
      <c r="F113" s="352" t="s">
        <v>21</v>
      </c>
      <c r="G113" s="344">
        <v>3</v>
      </c>
      <c r="H113" s="353">
        <f t="shared" si="36"/>
        <v>16.227573291232517</v>
      </c>
      <c r="I113" s="354"/>
      <c r="J113" s="356">
        <f t="shared" ref="J113:J146" si="40">H112-H113</f>
        <v>1.5982108729883144</v>
      </c>
      <c r="AA113" s="55"/>
      <c r="AB113" s="91"/>
    </row>
    <row r="114" spans="1:28" s="50" customFormat="1" ht="17.25" customHeight="1">
      <c r="A114" s="344"/>
      <c r="B114" s="344">
        <v>4</v>
      </c>
      <c r="C114" s="344">
        <f t="shared" si="37"/>
        <v>86</v>
      </c>
      <c r="D114" s="349">
        <f t="shared" si="39"/>
        <v>22.900000000000002</v>
      </c>
      <c r="E114" s="351">
        <f t="shared" si="38"/>
        <v>0.86</v>
      </c>
      <c r="F114" s="355">
        <v>1</v>
      </c>
      <c r="G114" s="357">
        <v>4</v>
      </c>
      <c r="H114" s="358">
        <f t="shared" si="36"/>
        <v>14.772653617722808</v>
      </c>
      <c r="I114" s="359"/>
      <c r="J114" s="356">
        <f t="shared" si="40"/>
        <v>1.4549196735097087</v>
      </c>
      <c r="AA114" s="55"/>
      <c r="AB114" s="91"/>
    </row>
    <row r="115" spans="1:28" s="50" customFormat="1" ht="17.25" customHeight="1">
      <c r="A115" s="344"/>
      <c r="B115" s="344">
        <v>5</v>
      </c>
      <c r="C115" s="344">
        <f t="shared" si="37"/>
        <v>83</v>
      </c>
      <c r="D115" s="349">
        <f t="shared" si="39"/>
        <v>22.900000000000002</v>
      </c>
      <c r="E115" s="351">
        <f t="shared" si="38"/>
        <v>0.83</v>
      </c>
      <c r="F115" s="355">
        <v>2</v>
      </c>
      <c r="G115" s="357">
        <v>5</v>
      </c>
      <c r="H115" s="358">
        <f t="shared" si="36"/>
        <v>13.448178048108126</v>
      </c>
      <c r="I115" s="359"/>
      <c r="J115" s="356">
        <f t="shared" si="40"/>
        <v>1.3244755696146822</v>
      </c>
      <c r="AA115" s="55"/>
      <c r="AB115" s="91"/>
    </row>
    <row r="116" spans="1:28" s="50" customFormat="1" ht="17.25" customHeight="1">
      <c r="A116" s="344"/>
      <c r="B116" s="344">
        <v>6</v>
      </c>
      <c r="C116" s="344">
        <f t="shared" si="37"/>
        <v>80</v>
      </c>
      <c r="D116" s="349">
        <f t="shared" si="39"/>
        <v>22.900000000000002</v>
      </c>
      <c r="E116" s="351">
        <f t="shared" si="38"/>
        <v>0.8</v>
      </c>
      <c r="F116" s="355">
        <v>3</v>
      </c>
      <c r="G116" s="357">
        <v>6</v>
      </c>
      <c r="H116" s="358">
        <f t="shared" si="36"/>
        <v>12.242451322127168</v>
      </c>
      <c r="I116" s="359"/>
      <c r="J116" s="356">
        <f t="shared" si="40"/>
        <v>1.2057267259809574</v>
      </c>
      <c r="AA116" s="55"/>
      <c r="AB116" s="91"/>
    </row>
    <row r="117" spans="1:28" s="50" customFormat="1" ht="17.25" customHeight="1">
      <c r="A117" s="344"/>
      <c r="B117" s="344">
        <v>7</v>
      </c>
      <c r="C117" s="344">
        <f t="shared" si="37"/>
        <v>77</v>
      </c>
      <c r="D117" s="349">
        <f t="shared" si="39"/>
        <v>22.900000000000002</v>
      </c>
      <c r="E117" s="351">
        <f t="shared" si="38"/>
        <v>0.77</v>
      </c>
      <c r="F117" s="355">
        <v>4</v>
      </c>
      <c r="G117" s="357">
        <v>7</v>
      </c>
      <c r="H117" s="358">
        <f t="shared" si="36"/>
        <v>11.144826744447943</v>
      </c>
      <c r="I117" s="359"/>
      <c r="J117" s="356">
        <f t="shared" si="40"/>
        <v>1.0976245776792251</v>
      </c>
      <c r="AA117" s="55"/>
      <c r="AB117" s="91"/>
    </row>
    <row r="118" spans="1:28" s="50" customFormat="1" ht="17.25" customHeight="1">
      <c r="A118" s="344"/>
      <c r="B118" s="344">
        <v>8</v>
      </c>
      <c r="C118" s="344">
        <f t="shared" si="37"/>
        <v>74</v>
      </c>
      <c r="D118" s="349">
        <f t="shared" si="39"/>
        <v>22.900000000000002</v>
      </c>
      <c r="E118" s="351">
        <f t="shared" si="38"/>
        <v>0.74</v>
      </c>
      <c r="F118" s="355">
        <v>5</v>
      </c>
      <c r="G118" s="357">
        <v>8</v>
      </c>
      <c r="H118" s="358">
        <f t="shared" si="36"/>
        <v>10.145612173214728</v>
      </c>
      <c r="I118" s="359"/>
      <c r="J118" s="356">
        <f t="shared" si="40"/>
        <v>0.99921457123321566</v>
      </c>
      <c r="AA118" s="55"/>
      <c r="AB118" s="91"/>
    </row>
    <row r="119" spans="1:28" s="50" customFormat="1" ht="17.25" hidden="1" customHeight="1">
      <c r="A119" s="344"/>
      <c r="B119" s="344">
        <v>9</v>
      </c>
      <c r="C119" s="344">
        <f t="shared" si="37"/>
        <v>71</v>
      </c>
      <c r="D119" s="349">
        <f t="shared" si="39"/>
        <v>22.900000000000002</v>
      </c>
      <c r="E119" s="351">
        <f t="shared" si="38"/>
        <v>0.71</v>
      </c>
      <c r="F119" s="352"/>
      <c r="G119" s="344">
        <v>9</v>
      </c>
      <c r="H119" s="360">
        <f t="shared" si="36"/>
        <v>9.2359844374038058</v>
      </c>
      <c r="I119" s="361"/>
      <c r="J119" s="356">
        <f t="shared" si="40"/>
        <v>0.90962773581092193</v>
      </c>
      <c r="AA119" s="55"/>
      <c r="AB119" s="91"/>
    </row>
    <row r="120" spans="1:28" s="50" customFormat="1" ht="17.25" hidden="1" customHeight="1">
      <c r="A120" s="344">
        <f>C110</f>
        <v>3</v>
      </c>
      <c r="B120" s="344">
        <v>10</v>
      </c>
      <c r="C120" s="344">
        <f>C119-A$120</f>
        <v>68</v>
      </c>
      <c r="D120" s="349">
        <f t="shared" si="39"/>
        <v>22.900000000000002</v>
      </c>
      <c r="E120" s="351">
        <f t="shared" si="38"/>
        <v>0.68</v>
      </c>
      <c r="F120" s="352" t="s">
        <v>21</v>
      </c>
      <c r="G120" s="344">
        <v>10</v>
      </c>
      <c r="H120" s="353">
        <f t="shared" si="36"/>
        <v>8.4079114272841515</v>
      </c>
      <c r="I120" s="354"/>
      <c r="J120" s="356">
        <f t="shared" si="40"/>
        <v>0.82807301011965428</v>
      </c>
      <c r="AA120" s="55"/>
      <c r="AB120" s="91"/>
    </row>
    <row r="121" spans="1:28" s="50" customFormat="1" ht="17.25" customHeight="1">
      <c r="A121" s="344"/>
      <c r="B121" s="344">
        <v>11</v>
      </c>
      <c r="C121" s="344">
        <f t="shared" ref="C121:C128" si="41">C120-A$120</f>
        <v>65</v>
      </c>
      <c r="D121" s="349">
        <f t="shared" si="39"/>
        <v>22.900000000000002</v>
      </c>
      <c r="E121" s="351">
        <f t="shared" si="38"/>
        <v>0.65</v>
      </c>
      <c r="F121" s="355">
        <v>10</v>
      </c>
      <c r="G121" s="357">
        <v>12</v>
      </c>
      <c r="H121" s="358">
        <f t="shared" si="36"/>
        <v>7.6540811700335487</v>
      </c>
      <c r="I121" s="359"/>
      <c r="J121" s="356">
        <f t="shared" si="40"/>
        <v>0.75383025725060282</v>
      </c>
      <c r="AA121" s="55"/>
      <c r="AB121" s="91"/>
    </row>
    <row r="122" spans="1:28" s="50" customFormat="1" ht="17.25" hidden="1" customHeight="1">
      <c r="A122" s="344"/>
      <c r="B122" s="344">
        <v>12</v>
      </c>
      <c r="C122" s="344">
        <f t="shared" si="41"/>
        <v>62</v>
      </c>
      <c r="D122" s="349">
        <f t="shared" si="39"/>
        <v>22.900000000000002</v>
      </c>
      <c r="E122" s="351">
        <f t="shared" si="38"/>
        <v>0.62</v>
      </c>
      <c r="F122" s="352"/>
      <c r="G122" s="344">
        <v>14</v>
      </c>
      <c r="H122" s="353">
        <f t="shared" si="36"/>
        <v>6.9678372642402762</v>
      </c>
      <c r="I122" s="354"/>
      <c r="J122" s="356">
        <f t="shared" si="40"/>
        <v>0.68624390579327255</v>
      </c>
      <c r="AA122" s="55"/>
      <c r="AB122" s="91"/>
    </row>
    <row r="123" spans="1:28" s="50" customFormat="1" ht="17.25" hidden="1" customHeight="1">
      <c r="A123" s="344"/>
      <c r="B123" s="344"/>
      <c r="C123" s="344">
        <v>37</v>
      </c>
      <c r="D123" s="349">
        <f t="shared" si="39"/>
        <v>22.900000000000002</v>
      </c>
      <c r="E123" s="351">
        <f t="shared" si="38"/>
        <v>0.37</v>
      </c>
      <c r="F123" s="352"/>
      <c r="G123" s="344">
        <v>15</v>
      </c>
      <c r="H123" s="353">
        <f t="shared" si="36"/>
        <v>3.1852177591515982</v>
      </c>
      <c r="I123" s="354"/>
      <c r="J123" s="356">
        <f t="shared" si="40"/>
        <v>3.7826195050886779</v>
      </c>
      <c r="AA123" s="55"/>
      <c r="AB123" s="91"/>
    </row>
    <row r="124" spans="1:28" s="50" customFormat="1" ht="17.25" customHeight="1">
      <c r="A124" s="344"/>
      <c r="B124" s="344">
        <v>13</v>
      </c>
      <c r="C124" s="344">
        <v>63</v>
      </c>
      <c r="D124" s="349">
        <f t="shared" si="39"/>
        <v>22.900000000000002</v>
      </c>
      <c r="E124" s="351">
        <f t="shared" si="38"/>
        <v>0.63</v>
      </c>
      <c r="F124" s="355">
        <v>15</v>
      </c>
      <c r="G124" s="357">
        <v>16</v>
      </c>
      <c r="H124" s="358">
        <f t="shared" si="36"/>
        <v>7.1894613591817826</v>
      </c>
      <c r="I124" s="359"/>
      <c r="J124" s="356">
        <f t="shared" si="40"/>
        <v>-4.0042436000301844</v>
      </c>
      <c r="AA124" s="55"/>
      <c r="AB124" s="91"/>
    </row>
    <row r="125" spans="1:28" s="50" customFormat="1" ht="17.25" hidden="1" customHeight="1">
      <c r="A125" s="344"/>
      <c r="B125" s="344">
        <v>14</v>
      </c>
      <c r="C125" s="344">
        <f t="shared" si="41"/>
        <v>60</v>
      </c>
      <c r="D125" s="349">
        <f t="shared" si="39"/>
        <v>22.900000000000002</v>
      </c>
      <c r="E125" s="351">
        <f t="shared" si="38"/>
        <v>0.6</v>
      </c>
      <c r="F125" s="352"/>
      <c r="G125" s="344">
        <v>18</v>
      </c>
      <c r="H125" s="353">
        <f t="shared" si="36"/>
        <v>6.5448739901595259</v>
      </c>
      <c r="I125" s="354"/>
      <c r="J125" s="356">
        <f t="shared" si="40"/>
        <v>0.64458736902225677</v>
      </c>
      <c r="AA125" s="55"/>
      <c r="AB125" s="91"/>
    </row>
    <row r="126" spans="1:28" s="50" customFormat="1" ht="17.25" customHeight="1">
      <c r="A126" s="344"/>
      <c r="B126" s="344">
        <v>15</v>
      </c>
      <c r="C126" s="344">
        <f t="shared" si="41"/>
        <v>57</v>
      </c>
      <c r="D126" s="349">
        <f t="shared" si="39"/>
        <v>22.900000000000002</v>
      </c>
      <c r="E126" s="351">
        <f t="shared" si="38"/>
        <v>0.56999999999999995</v>
      </c>
      <c r="F126" s="355">
        <v>20</v>
      </c>
      <c r="G126" s="357">
        <v>20</v>
      </c>
      <c r="H126" s="358">
        <f t="shared" si="36"/>
        <v>5.9580785551285969</v>
      </c>
      <c r="I126" s="359"/>
      <c r="J126" s="356">
        <f t="shared" si="40"/>
        <v>0.58679543503092901</v>
      </c>
      <c r="AA126" s="55"/>
      <c r="AB126" s="91"/>
    </row>
    <row r="127" spans="1:28" s="50" customFormat="1" ht="17.25" customHeight="1">
      <c r="A127" s="344"/>
      <c r="B127" s="344">
        <v>16</v>
      </c>
      <c r="C127" s="344">
        <f t="shared" si="41"/>
        <v>54</v>
      </c>
      <c r="D127" s="349">
        <f t="shared" si="39"/>
        <v>22.900000000000002</v>
      </c>
      <c r="E127" s="351">
        <f t="shared" si="38"/>
        <v>0.54</v>
      </c>
      <c r="F127" s="355">
        <v>25</v>
      </c>
      <c r="G127" s="357">
        <v>25</v>
      </c>
      <c r="H127" s="358">
        <f t="shared" si="36"/>
        <v>5.4238935879372114</v>
      </c>
      <c r="I127" s="359"/>
      <c r="J127" s="356">
        <f t="shared" si="40"/>
        <v>0.53418496719138542</v>
      </c>
      <c r="AA127" s="55"/>
      <c r="AB127" s="91"/>
    </row>
    <row r="128" spans="1:28" s="50" customFormat="1" ht="17.25" customHeight="1">
      <c r="A128" s="344"/>
      <c r="B128" s="344">
        <v>17</v>
      </c>
      <c r="C128" s="344">
        <f t="shared" si="41"/>
        <v>51</v>
      </c>
      <c r="D128" s="349">
        <f t="shared" si="39"/>
        <v>22.900000000000002</v>
      </c>
      <c r="E128" s="351">
        <f t="shared" si="38"/>
        <v>0.51</v>
      </c>
      <c r="F128" s="355">
        <v>30</v>
      </c>
      <c r="G128" s="357">
        <v>30</v>
      </c>
      <c r="H128" s="358">
        <f>D128^E128</f>
        <v>4.9376021784646351</v>
      </c>
      <c r="I128" s="359"/>
      <c r="J128" s="356">
        <f t="shared" si="40"/>
        <v>0.48629140947257632</v>
      </c>
      <c r="AA128" s="55"/>
      <c r="AB128" s="91"/>
    </row>
    <row r="129" spans="1:28" s="50" customFormat="1" ht="17.25" customHeight="1">
      <c r="A129" s="344"/>
      <c r="B129" s="344"/>
      <c r="C129" s="344">
        <v>50</v>
      </c>
      <c r="D129" s="349">
        <f t="shared" si="39"/>
        <v>22.900000000000002</v>
      </c>
      <c r="E129" s="351">
        <f t="shared" si="38"/>
        <v>0.5</v>
      </c>
      <c r="F129" s="355">
        <v>35</v>
      </c>
      <c r="G129" s="357">
        <v>35</v>
      </c>
      <c r="H129" s="358">
        <f t="shared" si="36"/>
        <v>4.7853944456021598</v>
      </c>
      <c r="I129" s="359"/>
      <c r="J129" s="356">
        <f t="shared" si="40"/>
        <v>0.15220773286247535</v>
      </c>
      <c r="AA129" s="55"/>
      <c r="AB129" s="91"/>
    </row>
    <row r="130" spans="1:28" s="50" customFormat="1" ht="17.25" customHeight="1">
      <c r="A130" s="344"/>
      <c r="B130" s="344"/>
      <c r="C130" s="344">
        <v>49</v>
      </c>
      <c r="D130" s="349">
        <f t="shared" si="39"/>
        <v>22.900000000000002</v>
      </c>
      <c r="E130" s="351">
        <f t="shared" si="38"/>
        <v>0.49</v>
      </c>
      <c r="F130" s="355">
        <v>40</v>
      </c>
      <c r="G130" s="357">
        <v>40</v>
      </c>
      <c r="H130" s="358">
        <f t="shared" si="36"/>
        <v>4.6378787055543711</v>
      </c>
      <c r="I130" s="359"/>
      <c r="J130" s="356">
        <f t="shared" si="40"/>
        <v>0.14751574004778867</v>
      </c>
      <c r="AA130" s="55"/>
      <c r="AB130" s="91"/>
    </row>
    <row r="131" spans="1:28" s="50" customFormat="1" ht="17.25" customHeight="1">
      <c r="A131" s="344">
        <f>A120</f>
        <v>3</v>
      </c>
      <c r="B131" s="344">
        <v>18</v>
      </c>
      <c r="C131" s="344">
        <f>C128-A$131</f>
        <v>48</v>
      </c>
      <c r="D131" s="349">
        <f t="shared" si="39"/>
        <v>22.900000000000002</v>
      </c>
      <c r="E131" s="351">
        <f t="shared" si="38"/>
        <v>0.48</v>
      </c>
      <c r="F131" s="355">
        <v>45</v>
      </c>
      <c r="G131" s="357">
        <v>45</v>
      </c>
      <c r="H131" s="358">
        <f t="shared" si="36"/>
        <v>4.494910321802748</v>
      </c>
      <c r="I131" s="359"/>
      <c r="J131" s="356">
        <f t="shared" si="40"/>
        <v>0.14296838375162313</v>
      </c>
      <c r="AA131" s="55"/>
      <c r="AB131" s="91"/>
    </row>
    <row r="132" spans="1:28" s="50" customFormat="1" ht="17.25" customHeight="1">
      <c r="A132" s="344"/>
      <c r="B132" s="344"/>
      <c r="C132" s="344">
        <v>47</v>
      </c>
      <c r="D132" s="349">
        <f t="shared" si="39"/>
        <v>22.900000000000002</v>
      </c>
      <c r="E132" s="351">
        <f t="shared" si="38"/>
        <v>0.47</v>
      </c>
      <c r="F132" s="355">
        <v>50</v>
      </c>
      <c r="G132" s="357">
        <v>50</v>
      </c>
      <c r="H132" s="358">
        <f t="shared" si="36"/>
        <v>4.3563491164294792</v>
      </c>
      <c r="I132" s="359"/>
      <c r="J132" s="356">
        <f t="shared" si="40"/>
        <v>0.13856120537326877</v>
      </c>
      <c r="AA132" s="55"/>
      <c r="AB132" s="91"/>
    </row>
    <row r="133" spans="1:28" s="50" customFormat="1" ht="17.25" customHeight="1">
      <c r="A133" s="344"/>
      <c r="B133" s="344"/>
      <c r="C133" s="344">
        <v>46</v>
      </c>
      <c r="D133" s="349">
        <f t="shared" si="39"/>
        <v>22.900000000000002</v>
      </c>
      <c r="E133" s="351">
        <f t="shared" si="38"/>
        <v>0.46</v>
      </c>
      <c r="F133" s="355">
        <v>55</v>
      </c>
      <c r="G133" s="357">
        <v>55</v>
      </c>
      <c r="H133" s="358">
        <f t="shared" si="36"/>
        <v>4.2220592326755471</v>
      </c>
      <c r="I133" s="359"/>
      <c r="J133" s="356">
        <f t="shared" si="40"/>
        <v>0.13428988375393214</v>
      </c>
      <c r="AA133" s="55"/>
      <c r="AB133" s="91"/>
    </row>
    <row r="134" spans="1:28" s="50" customFormat="1" ht="17.25" customHeight="1">
      <c r="A134" s="344"/>
      <c r="B134" s="344">
        <v>19</v>
      </c>
      <c r="C134" s="344">
        <f>C131-A$131</f>
        <v>45</v>
      </c>
      <c r="D134" s="349">
        <f t="shared" si="39"/>
        <v>22.900000000000002</v>
      </c>
      <c r="E134" s="351">
        <f t="shared" si="38"/>
        <v>0.45</v>
      </c>
      <c r="F134" s="355">
        <v>60</v>
      </c>
      <c r="G134" s="357">
        <v>60</v>
      </c>
      <c r="H134" s="358">
        <f t="shared" si="36"/>
        <v>4.091909001735627</v>
      </c>
      <c r="I134" s="359"/>
      <c r="J134" s="356">
        <f t="shared" si="40"/>
        <v>0.13015023093992006</v>
      </c>
      <c r="AA134" s="55"/>
      <c r="AB134" s="91"/>
    </row>
    <row r="135" spans="1:28" s="50" customFormat="1" ht="17.25" customHeight="1">
      <c r="A135" s="344"/>
      <c r="B135" s="344"/>
      <c r="C135" s="344">
        <v>44</v>
      </c>
      <c r="D135" s="349">
        <f t="shared" si="39"/>
        <v>22.900000000000002</v>
      </c>
      <c r="E135" s="351">
        <f t="shared" si="38"/>
        <v>0.44</v>
      </c>
      <c r="F135" s="355">
        <v>75</v>
      </c>
      <c r="G135" s="357">
        <v>75</v>
      </c>
      <c r="H135" s="358">
        <f t="shared" si="36"/>
        <v>3.9657708136592027</v>
      </c>
      <c r="I135" s="359"/>
      <c r="J135" s="356">
        <f t="shared" si="40"/>
        <v>0.1261381880764243</v>
      </c>
      <c r="AA135" s="55"/>
      <c r="AB135" s="91"/>
    </row>
    <row r="136" spans="1:28" s="50" customFormat="1" ht="17.25" customHeight="1">
      <c r="A136" s="344"/>
      <c r="B136" s="344"/>
      <c r="C136" s="344">
        <v>43</v>
      </c>
      <c r="D136" s="349">
        <f t="shared" si="39"/>
        <v>22.900000000000002</v>
      </c>
      <c r="E136" s="351">
        <f t="shared" si="38"/>
        <v>0.43</v>
      </c>
      <c r="F136" s="355">
        <v>90</v>
      </c>
      <c r="G136" s="357">
        <v>90</v>
      </c>
      <c r="H136" s="358">
        <f t="shared" si="36"/>
        <v>3.8435209922313169</v>
      </c>
      <c r="I136" s="359"/>
      <c r="J136" s="356">
        <f t="shared" si="40"/>
        <v>0.12224982142788576</v>
      </c>
      <c r="AA136" s="55"/>
      <c r="AB136" s="91"/>
    </row>
    <row r="137" spans="1:28" s="50" customFormat="1" ht="17.25" customHeight="1">
      <c r="A137" s="344"/>
      <c r="B137" s="344">
        <v>20</v>
      </c>
      <c r="C137" s="344">
        <f>C134-A$131</f>
        <v>42</v>
      </c>
      <c r="D137" s="349">
        <f t="shared" si="39"/>
        <v>22.900000000000002</v>
      </c>
      <c r="E137" s="351">
        <f t="shared" si="38"/>
        <v>0.42</v>
      </c>
      <c r="F137" s="355">
        <v>105</v>
      </c>
      <c r="G137" s="357">
        <v>105</v>
      </c>
      <c r="H137" s="358">
        <f t="shared" si="36"/>
        <v>3.7250396737102749</v>
      </c>
      <c r="I137" s="359"/>
      <c r="J137" s="356">
        <f t="shared" si="40"/>
        <v>0.11848131852104204</v>
      </c>
      <c r="AA137" s="55"/>
      <c r="AB137" s="91"/>
    </row>
    <row r="138" spans="1:28" s="50" customFormat="1" ht="17.25" customHeight="1">
      <c r="A138" s="344">
        <f>A131</f>
        <v>3</v>
      </c>
      <c r="B138" s="344"/>
      <c r="C138" s="344">
        <f>C137-A$138</f>
        <v>39</v>
      </c>
      <c r="D138" s="349">
        <f t="shared" si="39"/>
        <v>22.900000000000002</v>
      </c>
      <c r="E138" s="351">
        <f t="shared" si="38"/>
        <v>0.39</v>
      </c>
      <c r="F138" s="355">
        <v>120</v>
      </c>
      <c r="G138" s="357">
        <v>120</v>
      </c>
      <c r="H138" s="358">
        <f t="shared" si="36"/>
        <v>3.3910628425094336</v>
      </c>
      <c r="I138" s="359"/>
      <c r="J138" s="356">
        <f t="shared" si="40"/>
        <v>0.33397683120084132</v>
      </c>
      <c r="AA138" s="55"/>
      <c r="AB138" s="91"/>
    </row>
    <row r="139" spans="1:28" s="50" customFormat="1" ht="17.25" hidden="1" customHeight="1">
      <c r="A139" s="344"/>
      <c r="B139" s="344"/>
      <c r="C139" s="344">
        <f t="shared" ref="C139:C146" si="42">C138-A$138</f>
        <v>36</v>
      </c>
      <c r="D139" s="349">
        <f t="shared" si="39"/>
        <v>22.900000000000002</v>
      </c>
      <c r="E139" s="351">
        <f t="shared" si="38"/>
        <v>0.36</v>
      </c>
      <c r="F139" s="352"/>
      <c r="G139" s="344">
        <v>150</v>
      </c>
      <c r="H139" s="353">
        <f t="shared" si="36"/>
        <v>3.08702945716399</v>
      </c>
      <c r="I139" s="354"/>
      <c r="J139" s="356">
        <f t="shared" si="40"/>
        <v>0.30403338534544355</v>
      </c>
      <c r="AA139" s="55"/>
      <c r="AB139" s="91"/>
    </row>
    <row r="140" spans="1:28" s="50" customFormat="1" ht="17.25" customHeight="1">
      <c r="A140" s="344"/>
      <c r="B140" s="344"/>
      <c r="C140" s="344">
        <v>38</v>
      </c>
      <c r="D140" s="349">
        <f t="shared" si="39"/>
        <v>22.900000000000002</v>
      </c>
      <c r="E140" s="351">
        <f t="shared" si="38"/>
        <v>0.38</v>
      </c>
      <c r="F140" s="355">
        <v>180</v>
      </c>
      <c r="G140" s="357">
        <v>180</v>
      </c>
      <c r="H140" s="358">
        <f t="shared" si="36"/>
        <v>3.2865291096170366</v>
      </c>
      <c r="I140" s="359"/>
      <c r="J140" s="356">
        <f t="shared" si="40"/>
        <v>-0.19949965245304657</v>
      </c>
      <c r="AA140" s="55"/>
      <c r="AB140" s="91"/>
    </row>
    <row r="141" spans="1:28" s="50" customFormat="1" ht="17.25" hidden="1" customHeight="1">
      <c r="A141" s="344"/>
      <c r="B141" s="344"/>
      <c r="C141" s="344">
        <f t="shared" si="42"/>
        <v>35</v>
      </c>
      <c r="D141" s="349">
        <f t="shared" si="39"/>
        <v>22.900000000000002</v>
      </c>
      <c r="E141" s="351">
        <f t="shared" si="38"/>
        <v>0.35</v>
      </c>
      <c r="F141" s="352"/>
      <c r="G141" s="344">
        <v>210</v>
      </c>
      <c r="H141" s="353">
        <f t="shared" si="36"/>
        <v>2.9918679317977004</v>
      </c>
      <c r="I141" s="354"/>
      <c r="J141" s="356">
        <f t="shared" si="40"/>
        <v>0.29466117781933621</v>
      </c>
      <c r="AA141" s="55"/>
      <c r="AB141" s="91"/>
    </row>
    <row r="142" spans="1:28" s="50" customFormat="1" ht="17.25" customHeight="1">
      <c r="A142" s="344"/>
      <c r="B142" s="344"/>
      <c r="C142" s="344">
        <f t="shared" si="42"/>
        <v>32</v>
      </c>
      <c r="D142" s="349">
        <f t="shared" si="39"/>
        <v>22.900000000000002</v>
      </c>
      <c r="E142" s="351">
        <f>C142/100</f>
        <v>0.32</v>
      </c>
      <c r="F142" s="355">
        <v>240</v>
      </c>
      <c r="G142" s="357">
        <v>240</v>
      </c>
      <c r="H142" s="358">
        <f t="shared" si="36"/>
        <v>2.7236252662805418</v>
      </c>
      <c r="I142" s="359"/>
      <c r="J142" s="356">
        <f t="shared" si="40"/>
        <v>0.26824266551715858</v>
      </c>
      <c r="AA142" s="55"/>
      <c r="AB142" s="91"/>
    </row>
    <row r="143" spans="1:28" s="50" customFormat="1" ht="17.25" hidden="1" customHeight="1">
      <c r="A143" s="344"/>
      <c r="B143" s="344"/>
      <c r="C143" s="344">
        <f t="shared" si="42"/>
        <v>29</v>
      </c>
      <c r="D143" s="349">
        <f t="shared" si="39"/>
        <v>22.900000000000002</v>
      </c>
      <c r="E143" s="351">
        <f>C143/100</f>
        <v>0.28999999999999998</v>
      </c>
      <c r="F143" s="352"/>
      <c r="G143" s="344">
        <v>270</v>
      </c>
      <c r="H143" s="353">
        <f t="shared" si="36"/>
        <v>2.4794325017763983</v>
      </c>
      <c r="I143" s="354"/>
      <c r="J143" s="356">
        <f t="shared" si="40"/>
        <v>0.24419276450414351</v>
      </c>
      <c r="AA143" s="55"/>
      <c r="AB143" s="91"/>
    </row>
    <row r="144" spans="1:28" s="50" customFormat="1" ht="17.25" customHeight="1">
      <c r="A144" s="344"/>
      <c r="B144" s="344"/>
      <c r="C144" s="344">
        <f t="shared" si="42"/>
        <v>26</v>
      </c>
      <c r="D144" s="349">
        <f t="shared" si="39"/>
        <v>22.900000000000002</v>
      </c>
      <c r="E144" s="351">
        <f>C144/100</f>
        <v>0.26</v>
      </c>
      <c r="F144" s="355">
        <v>300</v>
      </c>
      <c r="G144" s="357">
        <v>300</v>
      </c>
      <c r="H144" s="358">
        <f t="shared" si="36"/>
        <v>2.2571333901820068</v>
      </c>
      <c r="I144" s="359"/>
      <c r="J144" s="356">
        <f t="shared" si="40"/>
        <v>0.22229911159439153</v>
      </c>
      <c r="AA144" s="55"/>
      <c r="AB144" s="91"/>
    </row>
    <row r="145" spans="1:28" s="50" customFormat="1" ht="17.25" hidden="1" customHeight="1">
      <c r="A145" s="344"/>
      <c r="B145" s="344"/>
      <c r="C145" s="344">
        <f t="shared" si="42"/>
        <v>23</v>
      </c>
      <c r="D145" s="349">
        <f t="shared" si="39"/>
        <v>22.900000000000002</v>
      </c>
      <c r="E145" s="351">
        <f>C145/100</f>
        <v>0.23</v>
      </c>
      <c r="F145" s="352"/>
      <c r="G145" s="344">
        <v>330</v>
      </c>
      <c r="H145" s="353">
        <f t="shared" si="36"/>
        <v>2.0547650066797289</v>
      </c>
      <c r="I145" s="354"/>
      <c r="J145" s="356">
        <f t="shared" si="40"/>
        <v>0.20236838350227782</v>
      </c>
      <c r="AA145" s="55"/>
      <c r="AB145" s="91"/>
    </row>
    <row r="146" spans="1:28" s="50" customFormat="1" ht="17.25" customHeight="1">
      <c r="A146" s="344"/>
      <c r="B146" s="344"/>
      <c r="C146" s="344">
        <f t="shared" si="42"/>
        <v>20</v>
      </c>
      <c r="D146" s="349">
        <f t="shared" si="39"/>
        <v>22.900000000000002</v>
      </c>
      <c r="E146" s="351">
        <f>C146/100</f>
        <v>0.2</v>
      </c>
      <c r="F146" s="355">
        <v>360</v>
      </c>
      <c r="G146" s="357">
        <v>360</v>
      </c>
      <c r="H146" s="358">
        <f t="shared" si="36"/>
        <v>1.8705404169024751</v>
      </c>
      <c r="I146" s="359"/>
      <c r="J146" s="356">
        <f t="shared" si="40"/>
        <v>0.18422458977725387</v>
      </c>
      <c r="AA146" s="55"/>
      <c r="AB146" s="91"/>
    </row>
    <row r="147" spans="1:28" s="50" customFormat="1" ht="17.25" customHeight="1">
      <c r="C147" s="50" t="s">
        <v>21</v>
      </c>
      <c r="D147" s="52" t="s">
        <v>21</v>
      </c>
      <c r="E147" s="71" t="s">
        <v>21</v>
      </c>
      <c r="F147" s="50" t="s">
        <v>21</v>
      </c>
      <c r="G147" s="56" t="s">
        <v>21</v>
      </c>
      <c r="AA147" s="55"/>
      <c r="AB147" s="91"/>
    </row>
    <row r="148" spans="1:28" s="50" customFormat="1" ht="17.25" customHeight="1">
      <c r="C148" s="50" t="s">
        <v>21</v>
      </c>
      <c r="D148" s="52" t="s">
        <v>21</v>
      </c>
      <c r="E148" s="71" t="s">
        <v>21</v>
      </c>
      <c r="F148" s="50" t="s">
        <v>21</v>
      </c>
      <c r="G148" s="56" t="s">
        <v>21</v>
      </c>
      <c r="AB148" s="91"/>
    </row>
    <row r="149" spans="1:28" s="50" customFormat="1" ht="17.25" customHeight="1">
      <c r="C149" s="50" t="s">
        <v>21</v>
      </c>
      <c r="D149" s="52" t="s">
        <v>21</v>
      </c>
      <c r="E149" s="71" t="s">
        <v>21</v>
      </c>
      <c r="F149" s="50" t="s">
        <v>21</v>
      </c>
      <c r="G149" s="56" t="s">
        <v>21</v>
      </c>
      <c r="AB149" s="91"/>
    </row>
    <row r="150" spans="1:28" s="50" customFormat="1" ht="17.25" customHeight="1">
      <c r="C150" s="50" t="s">
        <v>21</v>
      </c>
      <c r="D150" s="52" t="s">
        <v>21</v>
      </c>
      <c r="E150" s="71" t="s">
        <v>21</v>
      </c>
      <c r="F150" s="50" t="s">
        <v>21</v>
      </c>
      <c r="G150" s="56" t="s">
        <v>21</v>
      </c>
      <c r="AB150" s="91"/>
    </row>
    <row r="151" spans="1:28" s="50" customFormat="1" ht="17.25" customHeight="1">
      <c r="C151" s="50" t="s">
        <v>21</v>
      </c>
      <c r="D151" s="52" t="s">
        <v>21</v>
      </c>
      <c r="E151" s="71" t="s">
        <v>21</v>
      </c>
      <c r="F151" s="50" t="s">
        <v>21</v>
      </c>
      <c r="G151" s="56" t="s">
        <v>21</v>
      </c>
      <c r="AB151" s="91"/>
    </row>
    <row r="152" spans="1:28" s="50" customFormat="1" ht="17.25" customHeight="1">
      <c r="C152" s="50" t="s">
        <v>21</v>
      </c>
      <c r="D152" s="52" t="s">
        <v>21</v>
      </c>
      <c r="E152" s="71" t="s">
        <v>21</v>
      </c>
      <c r="F152" s="50" t="s">
        <v>21</v>
      </c>
      <c r="G152" s="56" t="s">
        <v>21</v>
      </c>
      <c r="AB152" s="91"/>
    </row>
    <row r="153" spans="1:28" s="50" customFormat="1" ht="17.25" customHeight="1">
      <c r="C153" s="50" t="s">
        <v>21</v>
      </c>
      <c r="D153" s="52" t="s">
        <v>21</v>
      </c>
      <c r="E153" s="71" t="s">
        <v>21</v>
      </c>
      <c r="F153" s="50" t="s">
        <v>21</v>
      </c>
      <c r="G153" s="56" t="s">
        <v>21</v>
      </c>
      <c r="AB153" s="91"/>
    </row>
    <row r="154" spans="1:28" s="50" customFormat="1" ht="17.25" customHeight="1">
      <c r="C154" s="50" t="s">
        <v>21</v>
      </c>
      <c r="D154" s="52" t="s">
        <v>21</v>
      </c>
      <c r="E154" s="71" t="s">
        <v>21</v>
      </c>
      <c r="F154" s="50" t="s">
        <v>21</v>
      </c>
      <c r="G154" s="56" t="s">
        <v>21</v>
      </c>
      <c r="AB154" s="91"/>
    </row>
    <row r="155" spans="1:28" s="50" customFormat="1" ht="17.25" customHeight="1">
      <c r="C155" s="50" t="s">
        <v>21</v>
      </c>
      <c r="D155" s="52" t="s">
        <v>21</v>
      </c>
      <c r="E155" s="71" t="s">
        <v>21</v>
      </c>
      <c r="F155" s="50" t="s">
        <v>21</v>
      </c>
      <c r="G155" s="56" t="s">
        <v>21</v>
      </c>
      <c r="AB155" s="91"/>
    </row>
    <row r="156" spans="1:28" s="50" customFormat="1" ht="17.25" customHeight="1">
      <c r="C156" s="50" t="s">
        <v>21</v>
      </c>
      <c r="D156" s="52" t="s">
        <v>21</v>
      </c>
      <c r="E156" s="71" t="s">
        <v>21</v>
      </c>
      <c r="F156" s="50" t="s">
        <v>21</v>
      </c>
      <c r="G156" s="56" t="s">
        <v>21</v>
      </c>
      <c r="AB156" s="91"/>
    </row>
    <row r="157" spans="1:28" s="50" customFormat="1" ht="17.25" customHeight="1">
      <c r="C157" s="50" t="s">
        <v>21</v>
      </c>
      <c r="D157" s="52" t="s">
        <v>21</v>
      </c>
      <c r="E157" s="71" t="s">
        <v>21</v>
      </c>
      <c r="F157" s="50" t="s">
        <v>21</v>
      </c>
      <c r="G157" s="56" t="s">
        <v>21</v>
      </c>
      <c r="AB157" s="91"/>
    </row>
    <row r="158" spans="1:28" s="50" customFormat="1" ht="17.25" customHeight="1">
      <c r="C158" s="50" t="s">
        <v>21</v>
      </c>
      <c r="D158" s="52" t="s">
        <v>21</v>
      </c>
      <c r="E158" s="71" t="s">
        <v>21</v>
      </c>
      <c r="F158" s="50" t="s">
        <v>21</v>
      </c>
      <c r="G158" s="56" t="s">
        <v>21</v>
      </c>
      <c r="AB158" s="91"/>
    </row>
    <row r="159" spans="1:28" s="50" customFormat="1" ht="17.25" customHeight="1">
      <c r="C159" s="50" t="s">
        <v>21</v>
      </c>
      <c r="D159" s="52" t="s">
        <v>21</v>
      </c>
      <c r="E159" s="71" t="s">
        <v>21</v>
      </c>
      <c r="F159" s="50" t="s">
        <v>21</v>
      </c>
      <c r="G159" s="56" t="s">
        <v>21</v>
      </c>
      <c r="AB159" s="91"/>
    </row>
    <row r="160" spans="1:28" s="50" customFormat="1" ht="17.25" customHeight="1">
      <c r="C160" s="50" t="s">
        <v>21</v>
      </c>
      <c r="D160" s="52" t="s">
        <v>21</v>
      </c>
      <c r="E160" s="71" t="s">
        <v>21</v>
      </c>
      <c r="F160" s="50" t="s">
        <v>21</v>
      </c>
      <c r="G160" s="56" t="s">
        <v>21</v>
      </c>
      <c r="AB160" s="91"/>
    </row>
    <row r="161" spans="3:28" s="50" customFormat="1" ht="17.25" customHeight="1">
      <c r="C161" s="50" t="s">
        <v>21</v>
      </c>
      <c r="D161" s="52" t="s">
        <v>21</v>
      </c>
      <c r="E161" s="71" t="s">
        <v>21</v>
      </c>
      <c r="F161" s="50" t="s">
        <v>21</v>
      </c>
      <c r="G161" s="56" t="s">
        <v>21</v>
      </c>
      <c r="AB161" s="91"/>
    </row>
    <row r="162" spans="3:28" s="50" customFormat="1" ht="17.25" customHeight="1">
      <c r="C162" s="50" t="s">
        <v>21</v>
      </c>
      <c r="D162" s="52" t="s">
        <v>21</v>
      </c>
      <c r="E162" s="71" t="s">
        <v>21</v>
      </c>
      <c r="F162" s="50" t="s">
        <v>21</v>
      </c>
      <c r="G162" s="56" t="s">
        <v>21</v>
      </c>
      <c r="AB162" s="91"/>
    </row>
    <row r="163" spans="3:28" s="50" customFormat="1" ht="17.25" customHeight="1">
      <c r="C163" s="50" t="s">
        <v>21</v>
      </c>
      <c r="D163" s="52" t="s">
        <v>21</v>
      </c>
      <c r="E163" s="71" t="s">
        <v>21</v>
      </c>
      <c r="F163" s="50" t="s">
        <v>21</v>
      </c>
      <c r="G163" s="56" t="s">
        <v>21</v>
      </c>
      <c r="AB163" s="91"/>
    </row>
    <row r="164" spans="3:28" s="50" customFormat="1" ht="17.25" customHeight="1">
      <c r="C164" s="50" t="s">
        <v>21</v>
      </c>
      <c r="D164" s="52" t="s">
        <v>21</v>
      </c>
      <c r="E164" s="71" t="s">
        <v>21</v>
      </c>
      <c r="F164" s="50" t="s">
        <v>21</v>
      </c>
      <c r="G164" s="56" t="s">
        <v>21</v>
      </c>
      <c r="AB164" s="91"/>
    </row>
    <row r="165" spans="3:28" s="50" customFormat="1" ht="17.25" customHeight="1">
      <c r="C165" s="50" t="s">
        <v>21</v>
      </c>
      <c r="D165" s="52" t="s">
        <v>21</v>
      </c>
      <c r="E165" s="71" t="s">
        <v>21</v>
      </c>
      <c r="F165" s="50" t="s">
        <v>21</v>
      </c>
      <c r="G165" s="56" t="s">
        <v>21</v>
      </c>
      <c r="AB165" s="91"/>
    </row>
    <row r="166" spans="3:28" s="50" customFormat="1" ht="17.25" customHeight="1">
      <c r="C166" s="50" t="s">
        <v>21</v>
      </c>
      <c r="D166" s="52" t="s">
        <v>21</v>
      </c>
      <c r="E166" s="71" t="s">
        <v>21</v>
      </c>
      <c r="F166" s="50" t="s">
        <v>21</v>
      </c>
      <c r="G166" s="56" t="s">
        <v>21</v>
      </c>
      <c r="AB166" s="91"/>
    </row>
    <row r="167" spans="3:28" s="50" customFormat="1" ht="17.25" customHeight="1">
      <c r="C167" s="50" t="s">
        <v>21</v>
      </c>
      <c r="D167" s="52" t="s">
        <v>21</v>
      </c>
      <c r="E167" s="71" t="s">
        <v>21</v>
      </c>
      <c r="F167" s="50" t="s">
        <v>21</v>
      </c>
      <c r="G167" s="56" t="s">
        <v>21</v>
      </c>
      <c r="AB167" s="91"/>
    </row>
    <row r="168" spans="3:28" s="50" customFormat="1" ht="17.25" customHeight="1">
      <c r="C168" s="50" t="s">
        <v>21</v>
      </c>
      <c r="D168" s="52" t="s">
        <v>21</v>
      </c>
      <c r="E168" s="71" t="s">
        <v>21</v>
      </c>
      <c r="F168" s="50" t="s">
        <v>21</v>
      </c>
      <c r="G168" s="56" t="s">
        <v>21</v>
      </c>
      <c r="AB168" s="91"/>
    </row>
    <row r="169" spans="3:28" s="50" customFormat="1" ht="17.25" customHeight="1">
      <c r="C169" s="50" t="s">
        <v>21</v>
      </c>
      <c r="D169" s="52" t="s">
        <v>21</v>
      </c>
      <c r="E169" s="71" t="s">
        <v>21</v>
      </c>
      <c r="F169" s="50" t="s">
        <v>21</v>
      </c>
      <c r="G169" s="56" t="s">
        <v>21</v>
      </c>
      <c r="AB169" s="91"/>
    </row>
    <row r="170" spans="3:28" s="50" customFormat="1" ht="17.25" customHeight="1">
      <c r="C170" s="50" t="s">
        <v>21</v>
      </c>
      <c r="D170" s="52" t="s">
        <v>21</v>
      </c>
      <c r="E170" s="71" t="s">
        <v>21</v>
      </c>
      <c r="F170" s="50" t="s">
        <v>21</v>
      </c>
      <c r="G170" s="56" t="s">
        <v>21</v>
      </c>
      <c r="AB170" s="91"/>
    </row>
    <row r="171" spans="3:28" s="50" customFormat="1" ht="17.25" customHeight="1">
      <c r="C171" s="50" t="s">
        <v>21</v>
      </c>
      <c r="D171" s="52" t="s">
        <v>21</v>
      </c>
      <c r="E171" s="71" t="s">
        <v>21</v>
      </c>
      <c r="F171" s="50" t="s">
        <v>21</v>
      </c>
      <c r="G171" s="56" t="s">
        <v>21</v>
      </c>
      <c r="AB171" s="91"/>
    </row>
    <row r="172" spans="3:28" s="50" customFormat="1" ht="17.25" customHeight="1">
      <c r="C172" s="50" t="s">
        <v>21</v>
      </c>
      <c r="D172" s="52" t="s">
        <v>21</v>
      </c>
      <c r="E172" s="71" t="s">
        <v>21</v>
      </c>
      <c r="F172" s="50" t="s">
        <v>21</v>
      </c>
      <c r="G172" s="56" t="s">
        <v>21</v>
      </c>
      <c r="AB172" s="91"/>
    </row>
    <row r="173" spans="3:28" s="50" customFormat="1" ht="17.25" customHeight="1">
      <c r="C173" s="50" t="s">
        <v>21</v>
      </c>
      <c r="D173" s="52" t="s">
        <v>21</v>
      </c>
      <c r="E173" s="71" t="s">
        <v>21</v>
      </c>
      <c r="F173" s="50" t="s">
        <v>21</v>
      </c>
      <c r="G173" s="56" t="s">
        <v>21</v>
      </c>
      <c r="AB173" s="91"/>
    </row>
    <row r="174" spans="3:28" s="50" customFormat="1" ht="17.25" customHeight="1">
      <c r="C174" s="50" t="s">
        <v>21</v>
      </c>
      <c r="D174" s="52" t="s">
        <v>21</v>
      </c>
      <c r="E174" s="71" t="s">
        <v>21</v>
      </c>
      <c r="F174" s="50" t="s">
        <v>21</v>
      </c>
      <c r="G174" s="56" t="s">
        <v>21</v>
      </c>
      <c r="AB174" s="91"/>
    </row>
    <row r="175" spans="3:28" s="50" customFormat="1" ht="17.25" customHeight="1">
      <c r="C175" s="50" t="s">
        <v>21</v>
      </c>
      <c r="D175" s="52" t="s">
        <v>21</v>
      </c>
      <c r="E175" s="71" t="s">
        <v>21</v>
      </c>
      <c r="F175" s="50" t="s">
        <v>21</v>
      </c>
      <c r="G175" s="56" t="s">
        <v>21</v>
      </c>
      <c r="AB175" s="91"/>
    </row>
    <row r="176" spans="3:28" s="50" customFormat="1" ht="17.25" customHeight="1">
      <c r="C176" s="50" t="s">
        <v>21</v>
      </c>
      <c r="D176" s="52" t="s">
        <v>21</v>
      </c>
      <c r="E176" s="71" t="s">
        <v>21</v>
      </c>
      <c r="F176" s="50" t="s">
        <v>21</v>
      </c>
      <c r="G176" s="56" t="s">
        <v>21</v>
      </c>
      <c r="AB176" s="91"/>
    </row>
    <row r="177" spans="3:28" s="50" customFormat="1" ht="17.25" customHeight="1">
      <c r="C177" s="50" t="s">
        <v>21</v>
      </c>
      <c r="D177" s="52" t="s">
        <v>21</v>
      </c>
      <c r="E177" s="71" t="s">
        <v>21</v>
      </c>
      <c r="F177" s="50" t="s">
        <v>21</v>
      </c>
      <c r="G177" s="56" t="s">
        <v>21</v>
      </c>
      <c r="AB177" s="91"/>
    </row>
    <row r="178" spans="3:28" s="50" customFormat="1" ht="17.25" customHeight="1">
      <c r="C178" s="50" t="s">
        <v>21</v>
      </c>
      <c r="D178" s="52" t="s">
        <v>21</v>
      </c>
      <c r="E178" s="71" t="s">
        <v>21</v>
      </c>
      <c r="F178" s="50" t="s">
        <v>21</v>
      </c>
      <c r="G178" s="56" t="s">
        <v>21</v>
      </c>
      <c r="AB178" s="91"/>
    </row>
    <row r="179" spans="3:28" s="50" customFormat="1" ht="17.25" customHeight="1">
      <c r="C179" s="50" t="s">
        <v>21</v>
      </c>
      <c r="D179" s="52" t="s">
        <v>21</v>
      </c>
      <c r="E179" s="71" t="s">
        <v>21</v>
      </c>
      <c r="F179" s="50" t="s">
        <v>21</v>
      </c>
      <c r="G179" s="56" t="s">
        <v>21</v>
      </c>
      <c r="AB179" s="91"/>
    </row>
    <row r="180" spans="3:28" s="50" customFormat="1" ht="17.25" customHeight="1">
      <c r="C180" s="50" t="s">
        <v>21</v>
      </c>
      <c r="D180" s="52" t="s">
        <v>21</v>
      </c>
      <c r="E180" s="71" t="s">
        <v>21</v>
      </c>
      <c r="F180" s="50" t="s">
        <v>21</v>
      </c>
      <c r="G180" s="56" t="s">
        <v>21</v>
      </c>
      <c r="AB180" s="91"/>
    </row>
    <row r="181" spans="3:28" s="50" customFormat="1" ht="17.25" customHeight="1">
      <c r="C181" s="50" t="s">
        <v>21</v>
      </c>
      <c r="D181" s="52" t="s">
        <v>21</v>
      </c>
      <c r="E181" s="71" t="s">
        <v>21</v>
      </c>
      <c r="F181" s="50" t="s">
        <v>21</v>
      </c>
      <c r="G181" s="56" t="s">
        <v>21</v>
      </c>
      <c r="AB181" s="91"/>
    </row>
    <row r="182" spans="3:28" s="50" customFormat="1" ht="17.25" customHeight="1">
      <c r="C182" s="50" t="s">
        <v>21</v>
      </c>
      <c r="D182" s="52" t="s">
        <v>21</v>
      </c>
      <c r="E182" s="71" t="s">
        <v>21</v>
      </c>
      <c r="F182" s="50" t="s">
        <v>21</v>
      </c>
      <c r="G182" s="56" t="s">
        <v>21</v>
      </c>
      <c r="AB182" s="91"/>
    </row>
    <row r="183" spans="3:28" s="50" customFormat="1" ht="17.25" customHeight="1">
      <c r="C183" s="50" t="s">
        <v>21</v>
      </c>
      <c r="D183" s="52" t="s">
        <v>21</v>
      </c>
      <c r="E183" s="71" t="s">
        <v>21</v>
      </c>
      <c r="F183" s="50" t="s">
        <v>21</v>
      </c>
      <c r="G183" s="56" t="s">
        <v>21</v>
      </c>
      <c r="AB183" s="91"/>
    </row>
    <row r="184" spans="3:28" s="50" customFormat="1" ht="17.25" customHeight="1">
      <c r="C184" s="50" t="s">
        <v>21</v>
      </c>
      <c r="D184" s="52" t="s">
        <v>21</v>
      </c>
      <c r="E184" s="71" t="s">
        <v>21</v>
      </c>
      <c r="F184" s="50" t="s">
        <v>21</v>
      </c>
      <c r="G184" s="56" t="s">
        <v>21</v>
      </c>
      <c r="AB184" s="91"/>
    </row>
    <row r="185" spans="3:28" s="50" customFormat="1" ht="17.25" customHeight="1">
      <c r="C185" s="50" t="s">
        <v>21</v>
      </c>
      <c r="D185" s="52" t="s">
        <v>21</v>
      </c>
      <c r="E185" s="71" t="s">
        <v>21</v>
      </c>
      <c r="F185" s="50" t="s">
        <v>21</v>
      </c>
      <c r="G185" s="56" t="s">
        <v>21</v>
      </c>
      <c r="AB185" s="91"/>
    </row>
    <row r="186" spans="3:28" s="50" customFormat="1" ht="17.25" customHeight="1">
      <c r="C186" s="50" t="s">
        <v>21</v>
      </c>
      <c r="D186" s="52" t="s">
        <v>21</v>
      </c>
      <c r="E186" s="71" t="s">
        <v>21</v>
      </c>
      <c r="F186" s="50" t="s">
        <v>21</v>
      </c>
      <c r="G186" s="56" t="s">
        <v>21</v>
      </c>
      <c r="AB186" s="91"/>
    </row>
    <row r="187" spans="3:28" s="50" customFormat="1" ht="17.25" customHeight="1">
      <c r="C187" s="50" t="s">
        <v>21</v>
      </c>
      <c r="D187" s="52" t="s">
        <v>21</v>
      </c>
      <c r="E187" s="71" t="s">
        <v>21</v>
      </c>
      <c r="F187" s="50" t="s">
        <v>21</v>
      </c>
      <c r="G187" s="56" t="s">
        <v>21</v>
      </c>
      <c r="AB187" s="91"/>
    </row>
    <row r="188" spans="3:28" s="50" customFormat="1" ht="17.25" customHeight="1">
      <c r="C188" s="50" t="s">
        <v>21</v>
      </c>
      <c r="D188" s="52" t="s">
        <v>21</v>
      </c>
      <c r="E188" s="71" t="s">
        <v>21</v>
      </c>
      <c r="F188" s="50" t="s">
        <v>21</v>
      </c>
      <c r="G188" s="56" t="s">
        <v>21</v>
      </c>
      <c r="AB188" s="91"/>
    </row>
    <row r="189" spans="3:28" s="50" customFormat="1" ht="17.25" customHeight="1">
      <c r="C189" s="50" t="s">
        <v>21</v>
      </c>
      <c r="D189" s="52" t="s">
        <v>21</v>
      </c>
      <c r="E189" s="71" t="s">
        <v>21</v>
      </c>
      <c r="F189" s="50" t="s">
        <v>21</v>
      </c>
      <c r="G189" s="56" t="s">
        <v>21</v>
      </c>
      <c r="AB189" s="91"/>
    </row>
    <row r="190" spans="3:28" s="50" customFormat="1" ht="17.25" customHeight="1">
      <c r="C190" s="50" t="s">
        <v>21</v>
      </c>
      <c r="D190" s="52" t="s">
        <v>21</v>
      </c>
      <c r="E190" s="71" t="s">
        <v>21</v>
      </c>
      <c r="F190" s="50" t="s">
        <v>21</v>
      </c>
      <c r="G190" s="56" t="s">
        <v>21</v>
      </c>
      <c r="AB190" s="91"/>
    </row>
    <row r="191" spans="3:28" s="50" customFormat="1" ht="17.25" customHeight="1">
      <c r="C191" s="50" t="s">
        <v>21</v>
      </c>
      <c r="D191" s="52" t="s">
        <v>21</v>
      </c>
      <c r="E191" s="71" t="s">
        <v>21</v>
      </c>
      <c r="F191" s="50" t="s">
        <v>21</v>
      </c>
      <c r="G191" s="56" t="s">
        <v>21</v>
      </c>
      <c r="AB191" s="91"/>
    </row>
    <row r="192" spans="3:28" s="50" customFormat="1" ht="17.25" customHeight="1">
      <c r="C192" s="50" t="s">
        <v>21</v>
      </c>
      <c r="D192" s="52" t="s">
        <v>21</v>
      </c>
      <c r="E192" s="71" t="s">
        <v>21</v>
      </c>
      <c r="F192" s="50" t="s">
        <v>21</v>
      </c>
      <c r="G192" s="56" t="s">
        <v>21</v>
      </c>
      <c r="AB192" s="91"/>
    </row>
    <row r="193" spans="3:28" s="50" customFormat="1" ht="17.25" customHeight="1">
      <c r="C193" s="50" t="s">
        <v>21</v>
      </c>
      <c r="D193" s="52" t="s">
        <v>21</v>
      </c>
      <c r="E193" s="71" t="s">
        <v>21</v>
      </c>
      <c r="F193" s="50" t="s">
        <v>21</v>
      </c>
      <c r="G193" s="56" t="s">
        <v>21</v>
      </c>
      <c r="AB193" s="91"/>
    </row>
    <row r="194" spans="3:28" s="50" customFormat="1" ht="17.25" customHeight="1">
      <c r="C194" s="50" t="s">
        <v>21</v>
      </c>
      <c r="D194" s="52" t="s">
        <v>21</v>
      </c>
      <c r="E194" s="71" t="s">
        <v>21</v>
      </c>
      <c r="F194" s="50" t="s">
        <v>21</v>
      </c>
      <c r="G194" s="56" t="s">
        <v>21</v>
      </c>
      <c r="AB194" s="91"/>
    </row>
    <row r="195" spans="3:28" s="50" customFormat="1" ht="17.25" customHeight="1">
      <c r="C195" s="50" t="s">
        <v>21</v>
      </c>
      <c r="D195" s="52" t="s">
        <v>21</v>
      </c>
      <c r="E195" s="71" t="s">
        <v>21</v>
      </c>
      <c r="F195" s="50" t="s">
        <v>21</v>
      </c>
      <c r="G195" s="56" t="s">
        <v>21</v>
      </c>
      <c r="AB195" s="91"/>
    </row>
    <row r="196" spans="3:28" s="50" customFormat="1" ht="17.25" customHeight="1">
      <c r="C196" s="50" t="s">
        <v>21</v>
      </c>
      <c r="D196" s="52" t="s">
        <v>21</v>
      </c>
      <c r="E196" s="71" t="s">
        <v>21</v>
      </c>
      <c r="F196" s="50" t="s">
        <v>21</v>
      </c>
      <c r="G196" s="56" t="s">
        <v>21</v>
      </c>
      <c r="AB196" s="91"/>
    </row>
    <row r="197" spans="3:28" s="50" customFormat="1" ht="17.25" customHeight="1">
      <c r="C197" s="50" t="s">
        <v>21</v>
      </c>
      <c r="D197" s="52" t="s">
        <v>21</v>
      </c>
      <c r="E197" s="71" t="s">
        <v>21</v>
      </c>
      <c r="F197" s="50" t="s">
        <v>21</v>
      </c>
      <c r="G197" s="56" t="s">
        <v>21</v>
      </c>
      <c r="AB197" s="91"/>
    </row>
    <row r="198" spans="3:28" s="50" customFormat="1" ht="17.25" customHeight="1">
      <c r="C198" s="50" t="s">
        <v>21</v>
      </c>
      <c r="D198" s="52" t="s">
        <v>21</v>
      </c>
      <c r="E198" s="71" t="s">
        <v>21</v>
      </c>
      <c r="F198" s="50" t="s">
        <v>21</v>
      </c>
      <c r="G198" s="56" t="s">
        <v>21</v>
      </c>
      <c r="AB198" s="91"/>
    </row>
    <row r="199" spans="3:28" s="50" customFormat="1" ht="17.25" customHeight="1">
      <c r="C199" s="50" t="s">
        <v>21</v>
      </c>
      <c r="D199" s="52" t="s">
        <v>21</v>
      </c>
      <c r="E199" s="71" t="s">
        <v>21</v>
      </c>
      <c r="F199" s="50" t="s">
        <v>21</v>
      </c>
      <c r="G199" s="56" t="s">
        <v>21</v>
      </c>
      <c r="AB199" s="91"/>
    </row>
    <row r="200" spans="3:28" s="50" customFormat="1" ht="17.25" customHeight="1">
      <c r="C200" s="50" t="s">
        <v>21</v>
      </c>
      <c r="D200" s="52" t="s">
        <v>21</v>
      </c>
      <c r="E200" s="71" t="s">
        <v>21</v>
      </c>
      <c r="F200" s="50" t="s">
        <v>21</v>
      </c>
      <c r="G200" s="56" t="s">
        <v>21</v>
      </c>
      <c r="AB200" s="91"/>
    </row>
    <row r="201" spans="3:28" s="50" customFormat="1" ht="17.25" customHeight="1">
      <c r="C201" s="50" t="s">
        <v>21</v>
      </c>
      <c r="D201" s="52" t="s">
        <v>21</v>
      </c>
      <c r="E201" s="71" t="s">
        <v>21</v>
      </c>
      <c r="F201" s="50" t="s">
        <v>21</v>
      </c>
      <c r="G201" s="56" t="s">
        <v>21</v>
      </c>
      <c r="AB201" s="91"/>
    </row>
    <row r="202" spans="3:28" s="50" customFormat="1" ht="17.25" customHeight="1">
      <c r="C202" s="50" t="s">
        <v>21</v>
      </c>
      <c r="D202" s="52" t="s">
        <v>21</v>
      </c>
      <c r="E202" s="71" t="s">
        <v>21</v>
      </c>
      <c r="F202" s="50" t="s">
        <v>21</v>
      </c>
      <c r="G202" s="56" t="s">
        <v>21</v>
      </c>
      <c r="AB202" s="91"/>
    </row>
    <row r="203" spans="3:28" s="50" customFormat="1" ht="17.25" customHeight="1">
      <c r="C203" s="50" t="s">
        <v>21</v>
      </c>
      <c r="D203" s="52" t="s">
        <v>21</v>
      </c>
      <c r="E203" s="71" t="s">
        <v>21</v>
      </c>
      <c r="F203" s="50" t="s">
        <v>21</v>
      </c>
      <c r="G203" s="56" t="s">
        <v>21</v>
      </c>
      <c r="AB203" s="91"/>
    </row>
    <row r="204" spans="3:28" s="50" customFormat="1" ht="17.25" customHeight="1">
      <c r="C204" s="50" t="s">
        <v>21</v>
      </c>
      <c r="D204" s="52" t="s">
        <v>21</v>
      </c>
      <c r="E204" s="71" t="s">
        <v>21</v>
      </c>
      <c r="F204" s="50" t="s">
        <v>21</v>
      </c>
      <c r="G204" s="56" t="s">
        <v>21</v>
      </c>
      <c r="AB204" s="91"/>
    </row>
    <row r="205" spans="3:28" s="50" customFormat="1" ht="17.25" customHeight="1">
      <c r="C205" s="50" t="s">
        <v>21</v>
      </c>
      <c r="D205" s="52" t="s">
        <v>21</v>
      </c>
      <c r="E205" s="71" t="s">
        <v>21</v>
      </c>
      <c r="F205" s="50" t="s">
        <v>21</v>
      </c>
      <c r="G205" s="56" t="s">
        <v>21</v>
      </c>
      <c r="AB205" s="91"/>
    </row>
    <row r="206" spans="3:28" s="50" customFormat="1" ht="17.25" customHeight="1">
      <c r="C206" s="50" t="s">
        <v>21</v>
      </c>
      <c r="D206" s="52" t="s">
        <v>21</v>
      </c>
      <c r="E206" s="71" t="s">
        <v>21</v>
      </c>
      <c r="F206" s="50" t="s">
        <v>21</v>
      </c>
      <c r="G206" s="56" t="s">
        <v>21</v>
      </c>
      <c r="AB206" s="91"/>
    </row>
    <row r="207" spans="3:28" s="50" customFormat="1" ht="17.25" customHeight="1">
      <c r="C207" s="50" t="s">
        <v>21</v>
      </c>
      <c r="D207" s="52" t="s">
        <v>21</v>
      </c>
      <c r="E207" s="71" t="s">
        <v>21</v>
      </c>
      <c r="F207" s="50" t="s">
        <v>21</v>
      </c>
      <c r="G207" s="56" t="s">
        <v>21</v>
      </c>
      <c r="AB207" s="91"/>
    </row>
    <row r="208" spans="3:28" s="50" customFormat="1" ht="17.25" customHeight="1">
      <c r="C208" s="50" t="s">
        <v>21</v>
      </c>
      <c r="D208" s="52" t="s">
        <v>21</v>
      </c>
      <c r="E208" s="71" t="s">
        <v>21</v>
      </c>
      <c r="F208" s="50" t="s">
        <v>21</v>
      </c>
      <c r="G208" s="56" t="s">
        <v>21</v>
      </c>
      <c r="AB208" s="91"/>
    </row>
    <row r="209" spans="3:28" s="50" customFormat="1" ht="17.25" customHeight="1">
      <c r="C209" s="50" t="s">
        <v>21</v>
      </c>
      <c r="D209" s="52" t="s">
        <v>21</v>
      </c>
      <c r="E209" s="71" t="s">
        <v>21</v>
      </c>
      <c r="F209" s="50" t="s">
        <v>21</v>
      </c>
      <c r="G209" s="56" t="s">
        <v>21</v>
      </c>
      <c r="AB209" s="91"/>
    </row>
    <row r="210" spans="3:28" s="50" customFormat="1" ht="17.25" customHeight="1">
      <c r="C210" s="50" t="s">
        <v>21</v>
      </c>
      <c r="D210" s="52" t="s">
        <v>21</v>
      </c>
      <c r="E210" s="71" t="s">
        <v>21</v>
      </c>
      <c r="F210" s="50" t="s">
        <v>21</v>
      </c>
      <c r="G210" s="56" t="s">
        <v>21</v>
      </c>
      <c r="AB210" s="91"/>
    </row>
    <row r="211" spans="3:28" s="50" customFormat="1" ht="17.25" customHeight="1">
      <c r="C211" s="50" t="s">
        <v>21</v>
      </c>
      <c r="D211" s="52" t="s">
        <v>21</v>
      </c>
      <c r="E211" s="71" t="s">
        <v>21</v>
      </c>
      <c r="F211" s="50" t="s">
        <v>21</v>
      </c>
      <c r="G211" s="56" t="s">
        <v>21</v>
      </c>
      <c r="AB211" s="91"/>
    </row>
    <row r="212" spans="3:28" s="50" customFormat="1" ht="17.25" customHeight="1">
      <c r="C212" s="50" t="s">
        <v>21</v>
      </c>
      <c r="D212" s="52" t="s">
        <v>21</v>
      </c>
      <c r="E212" s="71" t="s">
        <v>21</v>
      </c>
      <c r="F212" s="50" t="s">
        <v>21</v>
      </c>
      <c r="G212" s="56" t="s">
        <v>21</v>
      </c>
      <c r="AB212" s="91"/>
    </row>
    <row r="213" spans="3:28" s="50" customFormat="1" ht="17.25" customHeight="1">
      <c r="C213" s="50" t="s">
        <v>21</v>
      </c>
      <c r="D213" s="52" t="s">
        <v>21</v>
      </c>
      <c r="E213" s="71" t="s">
        <v>21</v>
      </c>
      <c r="F213" s="50" t="s">
        <v>21</v>
      </c>
      <c r="G213" s="56" t="s">
        <v>21</v>
      </c>
      <c r="AB213" s="91"/>
    </row>
    <row r="214" spans="3:28" s="50" customFormat="1" ht="17.25" customHeight="1">
      <c r="C214" s="50" t="s">
        <v>21</v>
      </c>
      <c r="D214" s="52" t="s">
        <v>21</v>
      </c>
      <c r="E214" s="71" t="s">
        <v>21</v>
      </c>
      <c r="F214" s="50" t="s">
        <v>21</v>
      </c>
      <c r="G214" s="56" t="s">
        <v>21</v>
      </c>
      <c r="AB214" s="91"/>
    </row>
    <row r="215" spans="3:28" s="50" customFormat="1" ht="17.25" customHeight="1">
      <c r="C215" s="50" t="s">
        <v>21</v>
      </c>
      <c r="D215" s="52" t="s">
        <v>21</v>
      </c>
      <c r="E215" s="71" t="s">
        <v>21</v>
      </c>
      <c r="F215" s="50" t="s">
        <v>21</v>
      </c>
      <c r="G215" s="56" t="s">
        <v>21</v>
      </c>
      <c r="AB215" s="91"/>
    </row>
    <row r="216" spans="3:28" s="50" customFormat="1" ht="17.25" customHeight="1">
      <c r="C216" s="50" t="s">
        <v>21</v>
      </c>
      <c r="D216" s="52" t="s">
        <v>21</v>
      </c>
      <c r="E216" s="71" t="s">
        <v>21</v>
      </c>
      <c r="F216" s="50" t="s">
        <v>21</v>
      </c>
      <c r="G216" s="56" t="s">
        <v>21</v>
      </c>
      <c r="AB216" s="91"/>
    </row>
    <row r="217" spans="3:28" s="50" customFormat="1" ht="17.25" customHeight="1">
      <c r="C217" s="50" t="s">
        <v>21</v>
      </c>
      <c r="D217" s="52" t="s">
        <v>21</v>
      </c>
      <c r="E217" s="71" t="s">
        <v>21</v>
      </c>
      <c r="F217" s="50" t="s">
        <v>21</v>
      </c>
      <c r="G217" s="56" t="s">
        <v>21</v>
      </c>
      <c r="AB217" s="91"/>
    </row>
    <row r="218" spans="3:28" s="50" customFormat="1" ht="17.25" customHeight="1">
      <c r="C218" s="50" t="s">
        <v>21</v>
      </c>
      <c r="D218" s="52" t="s">
        <v>21</v>
      </c>
      <c r="E218" s="71" t="s">
        <v>21</v>
      </c>
      <c r="F218" s="50" t="s">
        <v>21</v>
      </c>
      <c r="G218" s="56" t="s">
        <v>21</v>
      </c>
      <c r="AB218" s="91"/>
    </row>
    <row r="219" spans="3:28" s="50" customFormat="1" ht="17.25" customHeight="1">
      <c r="C219" s="50" t="s">
        <v>21</v>
      </c>
      <c r="D219" s="52" t="s">
        <v>21</v>
      </c>
      <c r="E219" s="71" t="s">
        <v>21</v>
      </c>
      <c r="F219" s="50" t="s">
        <v>21</v>
      </c>
      <c r="G219" s="56" t="s">
        <v>21</v>
      </c>
      <c r="AB219" s="91"/>
    </row>
    <row r="220" spans="3:28" s="50" customFormat="1" ht="17.25" customHeight="1">
      <c r="C220" s="50" t="s">
        <v>21</v>
      </c>
      <c r="D220" s="52" t="s">
        <v>21</v>
      </c>
      <c r="E220" s="71" t="s">
        <v>21</v>
      </c>
      <c r="F220" s="50" t="s">
        <v>21</v>
      </c>
      <c r="G220" s="56" t="s">
        <v>21</v>
      </c>
      <c r="AB220" s="91"/>
    </row>
    <row r="221" spans="3:28" s="50" customFormat="1" ht="17.25" customHeight="1">
      <c r="C221" s="50" t="s">
        <v>21</v>
      </c>
      <c r="D221" s="52" t="s">
        <v>21</v>
      </c>
      <c r="E221" s="71" t="s">
        <v>21</v>
      </c>
      <c r="F221" s="50" t="s">
        <v>21</v>
      </c>
      <c r="G221" s="56" t="s">
        <v>21</v>
      </c>
      <c r="AB221" s="91"/>
    </row>
    <row r="222" spans="3:28" s="50" customFormat="1" ht="17.25" customHeight="1">
      <c r="C222" s="50" t="s">
        <v>21</v>
      </c>
      <c r="D222" s="52" t="s">
        <v>21</v>
      </c>
      <c r="E222" s="71" t="s">
        <v>21</v>
      </c>
      <c r="F222" s="50" t="s">
        <v>21</v>
      </c>
      <c r="G222" s="56" t="s">
        <v>21</v>
      </c>
      <c r="AB222" s="91"/>
    </row>
    <row r="223" spans="3:28" s="50" customFormat="1" ht="17.25" customHeight="1">
      <c r="C223" s="50" t="s">
        <v>21</v>
      </c>
      <c r="D223" s="52" t="s">
        <v>21</v>
      </c>
      <c r="E223" s="71" t="s">
        <v>21</v>
      </c>
      <c r="F223" s="50" t="s">
        <v>21</v>
      </c>
      <c r="G223" s="56" t="s">
        <v>21</v>
      </c>
      <c r="AB223" s="91"/>
    </row>
    <row r="224" spans="3:28" s="50" customFormat="1" ht="17.25" customHeight="1">
      <c r="C224" s="50" t="s">
        <v>21</v>
      </c>
      <c r="D224" s="52" t="s">
        <v>21</v>
      </c>
      <c r="E224" s="71" t="s">
        <v>21</v>
      </c>
      <c r="F224" s="50" t="s">
        <v>21</v>
      </c>
      <c r="G224" s="56" t="s">
        <v>21</v>
      </c>
      <c r="AB224" s="91"/>
    </row>
    <row r="225" spans="3:28" s="50" customFormat="1" ht="17.25" customHeight="1">
      <c r="C225" s="50" t="s">
        <v>21</v>
      </c>
      <c r="D225" s="52" t="s">
        <v>21</v>
      </c>
      <c r="E225" s="71" t="s">
        <v>21</v>
      </c>
      <c r="F225" s="50" t="s">
        <v>21</v>
      </c>
      <c r="G225" s="56" t="s">
        <v>21</v>
      </c>
      <c r="AB225" s="91"/>
    </row>
    <row r="226" spans="3:28" s="50" customFormat="1" ht="17.25" customHeight="1">
      <c r="C226" s="50" t="s">
        <v>21</v>
      </c>
      <c r="D226" s="52" t="s">
        <v>21</v>
      </c>
      <c r="E226" s="71" t="s">
        <v>21</v>
      </c>
      <c r="F226" s="50" t="s">
        <v>21</v>
      </c>
      <c r="G226" s="56" t="s">
        <v>21</v>
      </c>
      <c r="AB226" s="91"/>
    </row>
    <row r="227" spans="3:28" s="50" customFormat="1" ht="17.25" customHeight="1">
      <c r="C227" s="50" t="s">
        <v>21</v>
      </c>
      <c r="D227" s="52" t="s">
        <v>21</v>
      </c>
      <c r="E227" s="71" t="s">
        <v>21</v>
      </c>
      <c r="F227" s="50" t="s">
        <v>21</v>
      </c>
      <c r="G227" s="56" t="s">
        <v>21</v>
      </c>
      <c r="AB227" s="91"/>
    </row>
    <row r="228" spans="3:28" s="50" customFormat="1" ht="17.25" customHeight="1">
      <c r="AB228" s="91"/>
    </row>
    <row r="229" spans="3:28" s="50" customFormat="1" ht="17.25" customHeight="1">
      <c r="AB229" s="91"/>
    </row>
    <row r="230" spans="3:28" s="50" customFormat="1" ht="17.25" customHeight="1">
      <c r="AB230" s="91"/>
    </row>
    <row r="231" spans="3:28" s="50" customFormat="1" ht="17.25" customHeight="1">
      <c r="AB231" s="91"/>
    </row>
    <row r="232" spans="3:28" s="50" customFormat="1" ht="17.25" customHeight="1">
      <c r="AB232" s="91"/>
    </row>
    <row r="233" spans="3:28" s="50" customFormat="1" ht="17.25" customHeight="1">
      <c r="AB233" s="91"/>
    </row>
    <row r="234" spans="3:28" s="50" customFormat="1" ht="17.25" customHeight="1">
      <c r="AB234" s="91"/>
    </row>
    <row r="235" spans="3:28" s="50" customFormat="1" ht="17.25" customHeight="1">
      <c r="AB235" s="91"/>
    </row>
    <row r="236" spans="3:28" s="50" customFormat="1" ht="17.25" customHeight="1">
      <c r="AB236" s="91"/>
    </row>
    <row r="237" spans="3:28" s="50" customFormat="1" ht="17.25" customHeight="1">
      <c r="AB237" s="91"/>
    </row>
    <row r="238" spans="3:28" s="50" customFormat="1" ht="17.25" customHeight="1">
      <c r="AB238" s="91"/>
    </row>
    <row r="239" spans="3:28" s="50" customFormat="1" ht="17.25" customHeight="1">
      <c r="AB239" s="91"/>
    </row>
    <row r="240" spans="3:28" s="50" customFormat="1" ht="17.25" customHeight="1">
      <c r="AB240" s="91"/>
    </row>
    <row r="241" spans="28:28" s="50" customFormat="1" ht="17.25" customHeight="1">
      <c r="AB241" s="91"/>
    </row>
    <row r="242" spans="28:28" s="50" customFormat="1" ht="17.25" customHeight="1">
      <c r="AB242" s="91"/>
    </row>
    <row r="243" spans="28:28" s="50" customFormat="1" ht="17.25" customHeight="1">
      <c r="AB243" s="91"/>
    </row>
    <row r="244" spans="28:28" s="50" customFormat="1" ht="17.25" customHeight="1">
      <c r="AB244" s="91"/>
    </row>
    <row r="245" spans="28:28" s="50" customFormat="1" ht="17.25" customHeight="1">
      <c r="AB245" s="91"/>
    </row>
    <row r="246" spans="28:28" s="50" customFormat="1" ht="17.25" customHeight="1">
      <c r="AB246" s="91"/>
    </row>
    <row r="247" spans="28:28" s="50" customFormat="1" ht="17.25" customHeight="1">
      <c r="AB247" s="91"/>
    </row>
    <row r="248" spans="28:28" s="50" customFormat="1" ht="17.25" customHeight="1">
      <c r="AB248" s="91"/>
    </row>
    <row r="249" spans="28:28" s="50" customFormat="1" ht="17.25" customHeight="1">
      <c r="AB249" s="91"/>
    </row>
    <row r="250" spans="28:28" s="50" customFormat="1" ht="17.25" customHeight="1">
      <c r="AB250" s="91"/>
    </row>
    <row r="251" spans="28:28" s="50" customFormat="1" ht="17.25" customHeight="1">
      <c r="AB251" s="91"/>
    </row>
    <row r="252" spans="28:28" s="50" customFormat="1" ht="17.25" customHeight="1">
      <c r="AB252" s="91"/>
    </row>
    <row r="253" spans="28:28" s="50" customFormat="1" ht="17.25" customHeight="1">
      <c r="AB253" s="91"/>
    </row>
    <row r="254" spans="28:28" s="50" customFormat="1" ht="17.25" customHeight="1">
      <c r="AB254" s="91"/>
    </row>
    <row r="255" spans="28:28" s="50" customFormat="1" ht="17.25" customHeight="1">
      <c r="AB255" s="91"/>
    </row>
    <row r="256" spans="28:28" s="50" customFormat="1" ht="17.25" customHeight="1">
      <c r="AB256" s="91"/>
    </row>
    <row r="257" spans="28:28" s="50" customFormat="1" ht="17.25" customHeight="1">
      <c r="AB257" s="91"/>
    </row>
    <row r="258" spans="28:28" s="50" customFormat="1" ht="17.25" customHeight="1">
      <c r="AB258" s="91"/>
    </row>
    <row r="259" spans="28:28" s="50" customFormat="1" ht="17.25" customHeight="1">
      <c r="AB259" s="91"/>
    </row>
    <row r="260" spans="28:28" s="50" customFormat="1" ht="17.25" customHeight="1">
      <c r="AB260" s="91"/>
    </row>
    <row r="261" spans="28:28" s="50" customFormat="1" ht="17.25" customHeight="1">
      <c r="AB261" s="91"/>
    </row>
    <row r="262" spans="28:28" s="50" customFormat="1" ht="17.25" customHeight="1">
      <c r="AB262" s="91"/>
    </row>
    <row r="263" spans="28:28" s="50" customFormat="1" ht="17.25" customHeight="1">
      <c r="AB263" s="91"/>
    </row>
    <row r="264" spans="28:28" s="50" customFormat="1" ht="17.25" customHeight="1">
      <c r="AB264" s="91"/>
    </row>
    <row r="265" spans="28:28" s="50" customFormat="1" ht="17.25" customHeight="1">
      <c r="AB265" s="91"/>
    </row>
    <row r="266" spans="28:28" s="50" customFormat="1" ht="17.25" customHeight="1">
      <c r="AB266" s="91"/>
    </row>
    <row r="267" spans="28:28" s="50" customFormat="1" ht="17.25" customHeight="1">
      <c r="AB267" s="91"/>
    </row>
    <row r="268" spans="28:28" s="50" customFormat="1" ht="17.25" customHeight="1">
      <c r="AB268" s="91"/>
    </row>
    <row r="269" spans="28:28" s="50" customFormat="1" ht="17.25" customHeight="1">
      <c r="AB269" s="91"/>
    </row>
    <row r="270" spans="28:28" s="50" customFormat="1" ht="17.25" customHeight="1">
      <c r="AB270" s="91"/>
    </row>
    <row r="271" spans="28:28" s="50" customFormat="1" ht="17.25" customHeight="1">
      <c r="AB271" s="91"/>
    </row>
    <row r="272" spans="28:28" s="50" customFormat="1" ht="17.25" customHeight="1">
      <c r="AB272" s="91"/>
    </row>
    <row r="273" spans="28:28" s="50" customFormat="1" ht="17.25" customHeight="1">
      <c r="AB273" s="91"/>
    </row>
    <row r="274" spans="28:28" s="50" customFormat="1" ht="17.25" customHeight="1">
      <c r="AB274" s="91"/>
    </row>
    <row r="275" spans="28:28" s="50" customFormat="1" ht="17.25" customHeight="1">
      <c r="AB275" s="91"/>
    </row>
    <row r="276" spans="28:28" s="50" customFormat="1" ht="17.25" customHeight="1">
      <c r="AB276" s="91"/>
    </row>
    <row r="277" spans="28:28" s="50" customFormat="1" ht="17.25" customHeight="1">
      <c r="AB277" s="91"/>
    </row>
    <row r="278" spans="28:28" s="50" customFormat="1" ht="17.25" customHeight="1">
      <c r="AB278" s="91"/>
    </row>
    <row r="279" spans="28:28" s="50" customFormat="1" ht="17.25" customHeight="1">
      <c r="AB279" s="91"/>
    </row>
    <row r="280" spans="28:28" s="50" customFormat="1" ht="17.25" customHeight="1">
      <c r="AB280" s="91"/>
    </row>
    <row r="281" spans="28:28" s="50" customFormat="1" ht="17.25" customHeight="1">
      <c r="AB281" s="91"/>
    </row>
    <row r="282" spans="28:28" s="50" customFormat="1" ht="17.25" customHeight="1">
      <c r="AB282" s="91"/>
    </row>
    <row r="283" spans="28:28" s="50" customFormat="1" ht="17.25" customHeight="1">
      <c r="AB283" s="91"/>
    </row>
    <row r="284" spans="28:28" s="50" customFormat="1" ht="17.25" customHeight="1">
      <c r="AB284" s="91"/>
    </row>
    <row r="285" spans="28:28" s="50" customFormat="1" ht="17.25" customHeight="1">
      <c r="AB285" s="91"/>
    </row>
    <row r="286" spans="28:28" s="50" customFormat="1" ht="17.25" customHeight="1">
      <c r="AB286" s="91"/>
    </row>
    <row r="287" spans="28:28" s="50" customFormat="1" ht="17.25" customHeight="1">
      <c r="AB287" s="91"/>
    </row>
    <row r="288" spans="28:28" s="50" customFormat="1" ht="17.25" customHeight="1">
      <c r="AB288" s="91"/>
    </row>
    <row r="289" spans="28:28" s="50" customFormat="1" ht="17.25" customHeight="1">
      <c r="AB289" s="91"/>
    </row>
    <row r="290" spans="28:28" s="50" customFormat="1" ht="17.25" customHeight="1">
      <c r="AB290" s="91"/>
    </row>
    <row r="291" spans="28:28" s="50" customFormat="1" ht="17.25" customHeight="1">
      <c r="AB291" s="91"/>
    </row>
    <row r="292" spans="28:28" s="50" customFormat="1" ht="17.25" customHeight="1">
      <c r="AB292" s="91"/>
    </row>
    <row r="293" spans="28:28" s="50" customFormat="1" ht="17.25" customHeight="1">
      <c r="AB293" s="91"/>
    </row>
    <row r="294" spans="28:28" s="50" customFormat="1" ht="17.25" customHeight="1">
      <c r="AB294" s="91"/>
    </row>
    <row r="295" spans="28:28" s="50" customFormat="1" ht="17.25" customHeight="1">
      <c r="AB295" s="91"/>
    </row>
    <row r="296" spans="28:28" s="50" customFormat="1" ht="17.25" customHeight="1">
      <c r="AB296" s="91"/>
    </row>
    <row r="297" spans="28:28" s="50" customFormat="1" ht="17.25" customHeight="1">
      <c r="AB297" s="91"/>
    </row>
    <row r="298" spans="28:28" s="50" customFormat="1" ht="17.25" customHeight="1">
      <c r="AB298" s="91"/>
    </row>
    <row r="299" spans="28:28" s="50" customFormat="1" ht="17.25" customHeight="1">
      <c r="AB299" s="91"/>
    </row>
    <row r="300" spans="28:28" s="50" customFormat="1" ht="17.25" customHeight="1">
      <c r="AB300" s="91"/>
    </row>
    <row r="301" spans="28:28" s="50" customFormat="1" ht="17.25" customHeight="1">
      <c r="AB301" s="91"/>
    </row>
    <row r="302" spans="28:28" s="50" customFormat="1" ht="17.25" customHeight="1">
      <c r="AB302" s="91"/>
    </row>
    <row r="303" spans="28:28" s="50" customFormat="1" ht="17.25" customHeight="1">
      <c r="AB303" s="91"/>
    </row>
    <row r="304" spans="28:28" s="50" customFormat="1" ht="17.25" customHeight="1">
      <c r="AB304" s="91"/>
    </row>
    <row r="305" spans="28:28" s="50" customFormat="1" ht="17.25" customHeight="1">
      <c r="AB305" s="91"/>
    </row>
    <row r="306" spans="28:28" s="50" customFormat="1" ht="17.25" customHeight="1">
      <c r="AB306" s="91"/>
    </row>
    <row r="307" spans="28:28" s="50" customFormat="1" ht="17.25" customHeight="1">
      <c r="AB307" s="91"/>
    </row>
    <row r="308" spans="28:28" s="50" customFormat="1" ht="17.25" customHeight="1">
      <c r="AB308" s="91"/>
    </row>
    <row r="309" spans="28:28" s="50" customFormat="1" ht="17.25" customHeight="1">
      <c r="AB309" s="91"/>
    </row>
    <row r="310" spans="28:28" s="50" customFormat="1" ht="17.25" customHeight="1">
      <c r="AB310" s="91"/>
    </row>
    <row r="311" spans="28:28" s="50" customFormat="1" ht="17.25" customHeight="1">
      <c r="AB311" s="91"/>
    </row>
    <row r="312" spans="28:28" s="50" customFormat="1" ht="17.25" customHeight="1">
      <c r="AB312" s="91"/>
    </row>
    <row r="313" spans="28:28" s="50" customFormat="1" ht="17.25" customHeight="1">
      <c r="AB313" s="91"/>
    </row>
    <row r="314" spans="28:28" s="50" customFormat="1" ht="17.25" customHeight="1">
      <c r="AB314" s="91"/>
    </row>
    <row r="315" spans="28:28" s="50" customFormat="1" ht="17.25" customHeight="1">
      <c r="AB315" s="91"/>
    </row>
    <row r="316" spans="28:28" s="50" customFormat="1" ht="17.25" customHeight="1">
      <c r="AB316" s="91"/>
    </row>
    <row r="317" spans="28:28" s="50" customFormat="1" ht="17.25" customHeight="1">
      <c r="AB317" s="91"/>
    </row>
    <row r="318" spans="28:28" s="50" customFormat="1" ht="17.25" customHeight="1">
      <c r="AB318" s="91"/>
    </row>
    <row r="319" spans="28:28" s="50" customFormat="1" ht="17.25" customHeight="1">
      <c r="AB319" s="91"/>
    </row>
    <row r="320" spans="28:28" s="50" customFormat="1" ht="17.25" customHeight="1">
      <c r="AB320" s="91"/>
    </row>
    <row r="321" spans="28:28" s="50" customFormat="1" ht="17.25" customHeight="1">
      <c r="AB321" s="91"/>
    </row>
    <row r="322" spans="28:28" s="50" customFormat="1" ht="17.25" customHeight="1">
      <c r="AB322" s="91"/>
    </row>
    <row r="323" spans="28:28" s="50" customFormat="1" ht="17.25" customHeight="1">
      <c r="AB323" s="91"/>
    </row>
    <row r="324" spans="28:28" s="50" customFormat="1" ht="17.25" customHeight="1">
      <c r="AB324" s="91"/>
    </row>
    <row r="325" spans="28:28" s="50" customFormat="1" ht="17.25" customHeight="1">
      <c r="AB325" s="91"/>
    </row>
    <row r="326" spans="28:28" s="50" customFormat="1" ht="17.25" customHeight="1">
      <c r="AB326" s="91"/>
    </row>
    <row r="327" spans="28:28" s="50" customFormat="1" ht="17.25" customHeight="1">
      <c r="AB327" s="91"/>
    </row>
    <row r="328" spans="28:28" s="50" customFormat="1" ht="17.25" customHeight="1">
      <c r="AB328" s="91"/>
    </row>
    <row r="329" spans="28:28" s="50" customFormat="1" ht="17.25" customHeight="1">
      <c r="AB329" s="91"/>
    </row>
    <row r="330" spans="28:28" s="50" customFormat="1" ht="17.25" customHeight="1">
      <c r="AB330" s="91"/>
    </row>
    <row r="331" spans="28:28" s="50" customFormat="1" ht="17.25" customHeight="1">
      <c r="AB331" s="91"/>
    </row>
    <row r="332" spans="28:28" s="50" customFormat="1" ht="17.25" customHeight="1">
      <c r="AB332" s="91"/>
    </row>
    <row r="333" spans="28:28" s="50" customFormat="1" ht="17.25" customHeight="1">
      <c r="AB333" s="91"/>
    </row>
    <row r="334" spans="28:28" s="50" customFormat="1" ht="17.25" customHeight="1">
      <c r="AB334" s="91"/>
    </row>
    <row r="335" spans="28:28" s="50" customFormat="1" ht="17.25" customHeight="1">
      <c r="AB335" s="91"/>
    </row>
    <row r="336" spans="28:28" s="50" customFormat="1" ht="17.25" customHeight="1">
      <c r="AB336" s="91"/>
    </row>
    <row r="337" spans="28:28" s="50" customFormat="1" ht="17.25" customHeight="1">
      <c r="AB337" s="91"/>
    </row>
    <row r="338" spans="28:28" s="50" customFormat="1" ht="17.25" customHeight="1">
      <c r="AB338" s="91"/>
    </row>
    <row r="339" spans="28:28" s="50" customFormat="1" ht="17.25" customHeight="1">
      <c r="AB339" s="91"/>
    </row>
    <row r="340" spans="28:28" s="50" customFormat="1" ht="17.25" customHeight="1">
      <c r="AB340" s="91"/>
    </row>
    <row r="341" spans="28:28" s="50" customFormat="1" ht="17.25" customHeight="1">
      <c r="AB341" s="91"/>
    </row>
    <row r="342" spans="28:28" s="50" customFormat="1" ht="17.25" customHeight="1">
      <c r="AB342" s="91"/>
    </row>
    <row r="343" spans="28:28" s="50" customFormat="1" ht="17.25" customHeight="1">
      <c r="AB343" s="91"/>
    </row>
    <row r="344" spans="28:28" s="50" customFormat="1" ht="17.25" customHeight="1">
      <c r="AB344" s="91"/>
    </row>
    <row r="345" spans="28:28" s="50" customFormat="1" ht="17.25" customHeight="1">
      <c r="AB345" s="91"/>
    </row>
    <row r="346" spans="28:28" s="50" customFormat="1" ht="17.25" customHeight="1">
      <c r="AB346" s="91"/>
    </row>
    <row r="347" spans="28:28" s="50" customFormat="1" ht="17.25" customHeight="1">
      <c r="AB347" s="91"/>
    </row>
    <row r="348" spans="28:28" s="50" customFormat="1" ht="17.25" customHeight="1">
      <c r="AB348" s="91"/>
    </row>
    <row r="349" spans="28:28" s="50" customFormat="1" ht="17.25" customHeight="1">
      <c r="AB349" s="91"/>
    </row>
    <row r="350" spans="28:28" s="50" customFormat="1" ht="17.25" customHeight="1">
      <c r="AB350" s="91"/>
    </row>
    <row r="351" spans="28:28" s="50" customFormat="1" ht="17.25" customHeight="1">
      <c r="AB351" s="91"/>
    </row>
    <row r="352" spans="28:28" s="50" customFormat="1" ht="17.25" customHeight="1">
      <c r="AB352" s="91"/>
    </row>
    <row r="353" spans="28:28" s="50" customFormat="1" ht="17.25" customHeight="1">
      <c r="AB353" s="91"/>
    </row>
    <row r="354" spans="28:28" s="50" customFormat="1" ht="17.25" customHeight="1">
      <c r="AB354" s="91"/>
    </row>
    <row r="355" spans="28:28" s="50" customFormat="1" ht="17.25" customHeight="1">
      <c r="AB355" s="91"/>
    </row>
    <row r="356" spans="28:28" s="50" customFormat="1" ht="17.25" customHeight="1">
      <c r="AB356" s="91"/>
    </row>
    <row r="357" spans="28:28" s="50" customFormat="1" ht="17.25" customHeight="1">
      <c r="AB357" s="91"/>
    </row>
    <row r="358" spans="28:28" s="50" customFormat="1" ht="17.25" customHeight="1">
      <c r="AB358" s="91"/>
    </row>
    <row r="359" spans="28:28" s="50" customFormat="1" ht="17.25" customHeight="1">
      <c r="AB359" s="91"/>
    </row>
    <row r="360" spans="28:28" s="50" customFormat="1" ht="17.25" customHeight="1">
      <c r="AB360" s="91"/>
    </row>
    <row r="361" spans="28:28" s="50" customFormat="1" ht="17.25" customHeight="1">
      <c r="AB361" s="91"/>
    </row>
    <row r="362" spans="28:28" s="50" customFormat="1" ht="17.25" customHeight="1">
      <c r="AB362" s="91"/>
    </row>
    <row r="363" spans="28:28" s="50" customFormat="1" ht="17.25" customHeight="1">
      <c r="AB363" s="91"/>
    </row>
    <row r="364" spans="28:28" s="50" customFormat="1" ht="17.25" customHeight="1">
      <c r="AB364" s="91"/>
    </row>
    <row r="365" spans="28:28" s="50" customFormat="1" ht="17.25" customHeight="1">
      <c r="AB365" s="91"/>
    </row>
    <row r="366" spans="28:28" s="50" customFormat="1" ht="17.25" customHeight="1">
      <c r="AB366" s="91"/>
    </row>
    <row r="367" spans="28:28" s="50" customFormat="1" ht="17.25" customHeight="1">
      <c r="AB367" s="91"/>
    </row>
    <row r="368" spans="28:28" s="50" customFormat="1" ht="17.25" customHeight="1">
      <c r="AB368" s="91"/>
    </row>
    <row r="369" spans="28:28" s="50" customFormat="1" ht="17.25" customHeight="1">
      <c r="AB369" s="91"/>
    </row>
    <row r="370" spans="28:28" s="50" customFormat="1" ht="17.25" customHeight="1">
      <c r="AB370" s="91"/>
    </row>
    <row r="371" spans="28:28" s="50" customFormat="1" ht="17.25" customHeight="1">
      <c r="AB371" s="91"/>
    </row>
    <row r="372" spans="28:28" s="50" customFormat="1" ht="17.25" customHeight="1">
      <c r="AB372" s="91"/>
    </row>
    <row r="373" spans="28:28" s="50" customFormat="1" ht="17.25" customHeight="1">
      <c r="AB373" s="91"/>
    </row>
    <row r="374" spans="28:28" s="50" customFormat="1" ht="17.25" customHeight="1">
      <c r="AB374" s="91"/>
    </row>
    <row r="375" spans="28:28" s="50" customFormat="1" ht="17.25" customHeight="1">
      <c r="AB375" s="91"/>
    </row>
    <row r="376" spans="28:28" s="50" customFormat="1" ht="17.25" customHeight="1">
      <c r="AB376" s="91"/>
    </row>
    <row r="377" spans="28:28" s="50" customFormat="1" ht="17.25" customHeight="1">
      <c r="AB377" s="91"/>
    </row>
    <row r="378" spans="28:28" s="50" customFormat="1" ht="17.25" customHeight="1">
      <c r="AB378" s="91"/>
    </row>
    <row r="379" spans="28:28" s="50" customFormat="1" ht="17.25" customHeight="1">
      <c r="AB379" s="91"/>
    </row>
    <row r="380" spans="28:28" s="50" customFormat="1" ht="17.25" customHeight="1">
      <c r="AB380" s="91"/>
    </row>
    <row r="381" spans="28:28" s="50" customFormat="1" ht="17.25" customHeight="1">
      <c r="AB381" s="91"/>
    </row>
    <row r="382" spans="28:28" s="50" customFormat="1" ht="17.25" customHeight="1">
      <c r="AB382" s="91"/>
    </row>
    <row r="383" spans="28:28" s="50" customFormat="1" ht="17.25" customHeight="1">
      <c r="AB383" s="91"/>
    </row>
    <row r="384" spans="28:28" s="50" customFormat="1" ht="17.25" customHeight="1">
      <c r="AB384" s="91"/>
    </row>
    <row r="385" spans="28:28" s="50" customFormat="1" ht="17.25" customHeight="1">
      <c r="AB385" s="91"/>
    </row>
    <row r="386" spans="28:28" s="50" customFormat="1" ht="17.25" customHeight="1">
      <c r="AB386" s="91"/>
    </row>
    <row r="387" spans="28:28" s="50" customFormat="1" ht="17.25" customHeight="1">
      <c r="AB387" s="91"/>
    </row>
    <row r="388" spans="28:28" s="50" customFormat="1" ht="17.25" customHeight="1">
      <c r="AB388" s="91"/>
    </row>
    <row r="389" spans="28:28" s="50" customFormat="1" ht="17.25" customHeight="1">
      <c r="AB389" s="91"/>
    </row>
    <row r="390" spans="28:28" s="50" customFormat="1" ht="17.25" customHeight="1">
      <c r="AB390" s="91"/>
    </row>
    <row r="391" spans="28:28" s="50" customFormat="1" ht="17.25" customHeight="1">
      <c r="AB391" s="91"/>
    </row>
    <row r="392" spans="28:28" s="50" customFormat="1" ht="17.25" customHeight="1">
      <c r="AB392" s="91"/>
    </row>
    <row r="393" spans="28:28" s="50" customFormat="1" ht="17.25" customHeight="1">
      <c r="AB393" s="91"/>
    </row>
    <row r="394" spans="28:28" s="50" customFormat="1" ht="17.25" customHeight="1">
      <c r="AB394" s="91"/>
    </row>
    <row r="395" spans="28:28" s="50" customFormat="1" ht="17.25" customHeight="1">
      <c r="AB395" s="91"/>
    </row>
    <row r="396" spans="28:28" s="50" customFormat="1" ht="17.25" customHeight="1">
      <c r="AB396" s="91"/>
    </row>
    <row r="397" spans="28:28" s="50" customFormat="1" ht="17.25" customHeight="1">
      <c r="AB397" s="91"/>
    </row>
    <row r="398" spans="28:28" s="50" customFormat="1" ht="17.25" customHeight="1">
      <c r="AB398" s="91"/>
    </row>
    <row r="399" spans="28:28" s="50" customFormat="1" ht="17.25" customHeight="1">
      <c r="AB399" s="91"/>
    </row>
    <row r="400" spans="28:28" s="50" customFormat="1" ht="17.25" customHeight="1">
      <c r="AB400" s="91"/>
    </row>
    <row r="401" spans="28:28" s="50" customFormat="1" ht="17.25" customHeight="1">
      <c r="AB401" s="91"/>
    </row>
    <row r="402" spans="28:28" s="50" customFormat="1" ht="17.25" customHeight="1">
      <c r="AB402" s="91"/>
    </row>
    <row r="403" spans="28:28" s="50" customFormat="1" ht="17.25" customHeight="1">
      <c r="AB403" s="91"/>
    </row>
    <row r="404" spans="28:28" s="50" customFormat="1" ht="17.25" customHeight="1">
      <c r="AB404" s="91"/>
    </row>
    <row r="405" spans="28:28" s="50" customFormat="1" ht="17.25" customHeight="1">
      <c r="AB405" s="91"/>
    </row>
    <row r="406" spans="28:28" s="50" customFormat="1" ht="17.25" customHeight="1">
      <c r="AB406" s="91"/>
    </row>
    <row r="407" spans="28:28" s="50" customFormat="1" ht="17.25" customHeight="1">
      <c r="AB407" s="91"/>
    </row>
    <row r="408" spans="28:28" s="50" customFormat="1" ht="17.25" customHeight="1">
      <c r="AB408" s="91"/>
    </row>
    <row r="409" spans="28:28" s="50" customFormat="1" ht="17.25" customHeight="1">
      <c r="AB409" s="91"/>
    </row>
    <row r="410" spans="28:28" s="50" customFormat="1" ht="17.25" customHeight="1">
      <c r="AB410" s="91"/>
    </row>
    <row r="411" spans="28:28" s="50" customFormat="1" ht="17.25" customHeight="1">
      <c r="AB411" s="91"/>
    </row>
    <row r="412" spans="28:28" s="50" customFormat="1" ht="17.25" customHeight="1">
      <c r="AB412" s="91"/>
    </row>
    <row r="413" spans="28:28" s="50" customFormat="1" ht="17.25" customHeight="1">
      <c r="AB413" s="91"/>
    </row>
    <row r="414" spans="28:28" s="50" customFormat="1" ht="17.25" customHeight="1">
      <c r="AB414" s="91"/>
    </row>
    <row r="415" spans="28:28" s="50" customFormat="1" ht="17.25" customHeight="1">
      <c r="AB415" s="91"/>
    </row>
    <row r="416" spans="28:28" s="50" customFormat="1" ht="17.25" customHeight="1">
      <c r="AB416" s="91"/>
    </row>
    <row r="417" spans="28:28" s="50" customFormat="1" ht="17.25" customHeight="1">
      <c r="AB417" s="91"/>
    </row>
    <row r="418" spans="28:28" s="50" customFormat="1" ht="17.25" customHeight="1">
      <c r="AB418" s="91"/>
    </row>
    <row r="419" spans="28:28" s="50" customFormat="1" ht="17.25" customHeight="1">
      <c r="AB419" s="91"/>
    </row>
    <row r="420" spans="28:28" s="50" customFormat="1" ht="17.25" customHeight="1">
      <c r="AB420" s="91"/>
    </row>
    <row r="421" spans="28:28" s="50" customFormat="1" ht="17.25" customHeight="1">
      <c r="AB421" s="91"/>
    </row>
    <row r="422" spans="28:28" s="50" customFormat="1" ht="17.25" customHeight="1">
      <c r="AB422" s="91"/>
    </row>
    <row r="423" spans="28:28" s="50" customFormat="1" ht="17.25" customHeight="1">
      <c r="AB423" s="91"/>
    </row>
    <row r="424" spans="28:28" s="50" customFormat="1" ht="17.25" customHeight="1">
      <c r="AB424" s="91"/>
    </row>
    <row r="425" spans="28:28" s="50" customFormat="1" ht="17.25" customHeight="1">
      <c r="AB425" s="91"/>
    </row>
    <row r="426" spans="28:28" s="50" customFormat="1" ht="17.25" customHeight="1">
      <c r="AB426" s="91"/>
    </row>
    <row r="427" spans="28:28" s="50" customFormat="1" ht="17.25" customHeight="1">
      <c r="AB427" s="91"/>
    </row>
    <row r="428" spans="28:28" s="50" customFormat="1" ht="17.25" customHeight="1">
      <c r="AB428" s="91"/>
    </row>
    <row r="429" spans="28:28" s="50" customFormat="1" ht="17.25" customHeight="1">
      <c r="AB429" s="91"/>
    </row>
    <row r="430" spans="28:28" s="50" customFormat="1" ht="17.25" customHeight="1">
      <c r="AB430" s="91"/>
    </row>
    <row r="431" spans="28:28" s="50" customFormat="1" ht="17.25" customHeight="1">
      <c r="AB431" s="91"/>
    </row>
    <row r="432" spans="28:28" s="50" customFormat="1" ht="17.25" customHeight="1">
      <c r="AB432" s="91"/>
    </row>
    <row r="433" spans="28:28" s="50" customFormat="1" ht="17.25" customHeight="1">
      <c r="AB433" s="91"/>
    </row>
    <row r="434" spans="28:28" s="50" customFormat="1" ht="17.25" customHeight="1">
      <c r="AB434" s="91"/>
    </row>
    <row r="435" spans="28:28" s="50" customFormat="1" ht="17.25" customHeight="1">
      <c r="AB435" s="91"/>
    </row>
    <row r="436" spans="28:28" s="50" customFormat="1" ht="17.25" customHeight="1">
      <c r="AB436" s="91"/>
    </row>
    <row r="437" spans="28:28" s="50" customFormat="1" ht="17.25" customHeight="1">
      <c r="AB437" s="91"/>
    </row>
    <row r="438" spans="28:28" s="50" customFormat="1" ht="17.25" customHeight="1">
      <c r="AB438" s="91"/>
    </row>
    <row r="439" spans="28:28" s="50" customFormat="1" ht="17.25" customHeight="1">
      <c r="AB439" s="91"/>
    </row>
    <row r="440" spans="28:28" s="50" customFormat="1" ht="17.25" customHeight="1">
      <c r="AB440" s="91"/>
    </row>
    <row r="441" spans="28:28" s="50" customFormat="1" ht="17.25" customHeight="1">
      <c r="AB441" s="91"/>
    </row>
    <row r="442" spans="28:28" s="50" customFormat="1" ht="17.25" customHeight="1">
      <c r="AB442" s="91"/>
    </row>
    <row r="443" spans="28:28" s="50" customFormat="1" ht="17.25" customHeight="1">
      <c r="AB443" s="91"/>
    </row>
    <row r="444" spans="28:28" s="50" customFormat="1" ht="17.25" customHeight="1">
      <c r="AB444" s="91"/>
    </row>
    <row r="445" spans="28:28" s="50" customFormat="1" ht="17.25" customHeight="1">
      <c r="AB445" s="91"/>
    </row>
    <row r="446" spans="28:28" s="50" customFormat="1" ht="17.25" customHeight="1">
      <c r="AB446" s="91"/>
    </row>
    <row r="447" spans="28:28" s="50" customFormat="1" ht="17.25" customHeight="1">
      <c r="AB447" s="91"/>
    </row>
    <row r="448" spans="28:28" s="50" customFormat="1" ht="17.25" customHeight="1">
      <c r="AB448" s="91"/>
    </row>
    <row r="449" spans="28:28" s="50" customFormat="1" ht="17.25" customHeight="1">
      <c r="AB449" s="91"/>
    </row>
    <row r="450" spans="28:28" s="50" customFormat="1" ht="17.25" customHeight="1">
      <c r="AB450" s="91"/>
    </row>
    <row r="451" spans="28:28" s="50" customFormat="1" ht="17.25" customHeight="1">
      <c r="AB451" s="91"/>
    </row>
    <row r="452" spans="28:28" s="50" customFormat="1" ht="17.25" customHeight="1">
      <c r="AB452" s="91"/>
    </row>
    <row r="453" spans="28:28" s="50" customFormat="1" ht="17.25" customHeight="1">
      <c r="AB453" s="91"/>
    </row>
    <row r="454" spans="28:28" s="50" customFormat="1" ht="17.25" customHeight="1">
      <c r="AB454" s="91"/>
    </row>
    <row r="455" spans="28:28" s="50" customFormat="1" ht="17.25" customHeight="1">
      <c r="AB455" s="91"/>
    </row>
    <row r="456" spans="28:28" s="50" customFormat="1" ht="17.25" customHeight="1">
      <c r="AB456" s="91"/>
    </row>
    <row r="457" spans="28:28" s="50" customFormat="1">
      <c r="AB457" s="91"/>
    </row>
    <row r="458" spans="28:28" s="50" customFormat="1">
      <c r="AB458" s="91"/>
    </row>
    <row r="459" spans="28:28" s="50" customFormat="1">
      <c r="AB459" s="91"/>
    </row>
    <row r="460" spans="28:28" s="50" customFormat="1">
      <c r="AB460" s="91"/>
    </row>
    <row r="461" spans="28:28" s="50" customFormat="1">
      <c r="AB461" s="91"/>
    </row>
    <row r="462" spans="28:28" s="50" customFormat="1">
      <c r="AB462" s="91"/>
    </row>
    <row r="463" spans="28:28" s="50" customFormat="1">
      <c r="AB463" s="91"/>
    </row>
    <row r="464" spans="28:28" s="50" customFormat="1">
      <c r="AB464" s="91"/>
    </row>
    <row r="465" spans="28:28" s="50" customFormat="1">
      <c r="AB465" s="91"/>
    </row>
    <row r="466" spans="28:28" s="50" customFormat="1">
      <c r="AB466" s="91"/>
    </row>
    <row r="467" spans="28:28" s="50" customFormat="1">
      <c r="AB467" s="91"/>
    </row>
    <row r="468" spans="28:28" s="50" customFormat="1">
      <c r="AB468" s="91"/>
    </row>
    <row r="469" spans="28:28" s="50" customFormat="1">
      <c r="AB469" s="91"/>
    </row>
    <row r="470" spans="28:28" s="50" customFormat="1">
      <c r="AB470" s="91"/>
    </row>
    <row r="471" spans="28:28" s="50" customFormat="1">
      <c r="AB471" s="91"/>
    </row>
    <row r="472" spans="28:28" s="50" customFormat="1">
      <c r="AB472" s="91"/>
    </row>
    <row r="473" spans="28:28" s="50" customFormat="1">
      <c r="AB473" s="91"/>
    </row>
    <row r="474" spans="28:28" s="50" customFormat="1">
      <c r="AB474" s="91"/>
    </row>
    <row r="475" spans="28:28" s="50" customFormat="1">
      <c r="AB475" s="91"/>
    </row>
    <row r="476" spans="28:28" s="50" customFormat="1">
      <c r="AB476" s="91"/>
    </row>
    <row r="477" spans="28:28" s="50" customFormat="1">
      <c r="AB477" s="91"/>
    </row>
    <row r="478" spans="28:28" s="50" customFormat="1">
      <c r="AB478" s="91"/>
    </row>
    <row r="479" spans="28:28" s="50" customFormat="1">
      <c r="AB479" s="91"/>
    </row>
    <row r="480" spans="28:28" s="50" customFormat="1">
      <c r="AB480" s="91"/>
    </row>
    <row r="481" spans="28:28" s="50" customFormat="1">
      <c r="AB481" s="91"/>
    </row>
    <row r="482" spans="28:28" s="50" customFormat="1">
      <c r="AB482" s="91"/>
    </row>
    <row r="483" spans="28:28" s="50" customFormat="1">
      <c r="AB483" s="91"/>
    </row>
    <row r="484" spans="28:28" s="50" customFormat="1">
      <c r="AB484" s="91"/>
    </row>
    <row r="485" spans="28:28" s="50" customFormat="1">
      <c r="AB485" s="91"/>
    </row>
    <row r="486" spans="28:28" s="50" customFormat="1">
      <c r="AB486" s="91"/>
    </row>
    <row r="487" spans="28:28" s="50" customFormat="1">
      <c r="AB487" s="91"/>
    </row>
    <row r="488" spans="28:28" s="50" customFormat="1">
      <c r="AB488" s="91"/>
    </row>
    <row r="489" spans="28:28" s="50" customFormat="1">
      <c r="AB489" s="91"/>
    </row>
    <row r="490" spans="28:28" s="50" customFormat="1">
      <c r="AB490" s="91"/>
    </row>
    <row r="491" spans="28:28" s="50" customFormat="1">
      <c r="AB491" s="91"/>
    </row>
    <row r="492" spans="28:28" s="50" customFormat="1">
      <c r="AB492" s="91"/>
    </row>
    <row r="493" spans="28:28" s="50" customFormat="1">
      <c r="AB493" s="91"/>
    </row>
    <row r="494" spans="28:28" s="50" customFormat="1">
      <c r="AB494" s="91"/>
    </row>
    <row r="495" spans="28:28" s="50" customFormat="1">
      <c r="AB495" s="91"/>
    </row>
    <row r="496" spans="28:28" s="50" customFormat="1">
      <c r="AB496" s="91"/>
    </row>
    <row r="497" spans="28:28" s="50" customFormat="1">
      <c r="AB497" s="91"/>
    </row>
    <row r="498" spans="28:28" s="50" customFormat="1">
      <c r="AB498" s="91"/>
    </row>
    <row r="499" spans="28:28" s="50" customFormat="1">
      <c r="AB499" s="91"/>
    </row>
    <row r="500" spans="28:28" s="50" customFormat="1">
      <c r="AB500" s="91"/>
    </row>
    <row r="501" spans="28:28" s="50" customFormat="1">
      <c r="AB501" s="91"/>
    </row>
    <row r="502" spans="28:28" s="50" customFormat="1">
      <c r="AB502" s="91"/>
    </row>
    <row r="503" spans="28:28" s="50" customFormat="1">
      <c r="AB503" s="91"/>
    </row>
    <row r="504" spans="28:28" s="50" customFormat="1">
      <c r="AB504" s="91"/>
    </row>
    <row r="505" spans="28:28" s="50" customFormat="1">
      <c r="AB505" s="91"/>
    </row>
    <row r="506" spans="28:28" s="50" customFormat="1">
      <c r="AB506" s="91"/>
    </row>
    <row r="507" spans="28:28" s="50" customFormat="1">
      <c r="AB507" s="91"/>
    </row>
    <row r="508" spans="28:28" s="50" customFormat="1">
      <c r="AB508" s="91"/>
    </row>
    <row r="509" spans="28:28" s="50" customFormat="1">
      <c r="AB509" s="91"/>
    </row>
    <row r="510" spans="28:28" s="50" customFormat="1">
      <c r="AB510" s="91"/>
    </row>
    <row r="511" spans="28:28" s="50" customFormat="1">
      <c r="AB511" s="91"/>
    </row>
    <row r="512" spans="28:28" s="50" customFormat="1">
      <c r="AB512" s="91"/>
    </row>
    <row r="513" spans="28:28" s="50" customFormat="1">
      <c r="AB513" s="91"/>
    </row>
    <row r="514" spans="28:28" s="50" customFormat="1">
      <c r="AB514" s="91"/>
    </row>
    <row r="515" spans="28:28" s="50" customFormat="1">
      <c r="AB515" s="91"/>
    </row>
    <row r="516" spans="28:28" s="50" customFormat="1">
      <c r="AB516" s="91"/>
    </row>
    <row r="517" spans="28:28" s="50" customFormat="1">
      <c r="AB517" s="91"/>
    </row>
    <row r="518" spans="28:28" s="50" customFormat="1">
      <c r="AB518" s="91"/>
    </row>
    <row r="519" spans="28:28" s="50" customFormat="1">
      <c r="AB519" s="91"/>
    </row>
    <row r="520" spans="28:28" s="50" customFormat="1">
      <c r="AB520" s="91"/>
    </row>
    <row r="521" spans="28:28" s="50" customFormat="1">
      <c r="AB521" s="91"/>
    </row>
    <row r="522" spans="28:28" s="50" customFormat="1">
      <c r="AB522" s="91"/>
    </row>
    <row r="523" spans="28:28" s="50" customFormat="1">
      <c r="AB523" s="91"/>
    </row>
    <row r="524" spans="28:28" s="50" customFormat="1">
      <c r="AB524" s="91"/>
    </row>
    <row r="525" spans="28:28" s="50" customFormat="1">
      <c r="AB525" s="91"/>
    </row>
    <row r="526" spans="28:28" s="50" customFormat="1">
      <c r="AB526" s="91"/>
    </row>
    <row r="527" spans="28:28" s="50" customFormat="1">
      <c r="AB527" s="91"/>
    </row>
    <row r="528" spans="28:28" s="50" customFormat="1">
      <c r="AB528" s="91"/>
    </row>
    <row r="529" spans="28:28" s="50" customFormat="1">
      <c r="AB529" s="91"/>
    </row>
    <row r="530" spans="28:28" s="50" customFormat="1">
      <c r="AB530" s="91"/>
    </row>
    <row r="531" spans="28:28" s="50" customFormat="1">
      <c r="AB531" s="91"/>
    </row>
    <row r="532" spans="28:28" s="50" customFormat="1">
      <c r="AB532" s="91"/>
    </row>
    <row r="533" spans="28:28" s="50" customFormat="1">
      <c r="AB533" s="91"/>
    </row>
    <row r="534" spans="28:28" s="50" customFormat="1">
      <c r="AB534" s="91"/>
    </row>
    <row r="535" spans="28:28" s="50" customFormat="1">
      <c r="AB535" s="91"/>
    </row>
    <row r="536" spans="28:28" s="50" customFormat="1">
      <c r="AB536" s="91"/>
    </row>
    <row r="537" spans="28:28" s="50" customFormat="1">
      <c r="AB537" s="91"/>
    </row>
    <row r="538" spans="28:28" s="50" customFormat="1">
      <c r="AB538" s="91"/>
    </row>
    <row r="539" spans="28:28" s="50" customFormat="1">
      <c r="AB539" s="91"/>
    </row>
    <row r="540" spans="28:28" s="50" customFormat="1">
      <c r="AB540" s="91"/>
    </row>
    <row r="541" spans="28:28" s="50" customFormat="1">
      <c r="AB541" s="91"/>
    </row>
    <row r="542" spans="28:28" s="50" customFormat="1">
      <c r="AB542" s="91"/>
    </row>
    <row r="543" spans="28:28" s="50" customFormat="1">
      <c r="AB543" s="91"/>
    </row>
    <row r="544" spans="28:28" s="50" customFormat="1">
      <c r="AB544" s="91"/>
    </row>
    <row r="545" spans="28:28" s="50" customFormat="1">
      <c r="AB545" s="91"/>
    </row>
    <row r="546" spans="28:28" s="50" customFormat="1">
      <c r="AB546" s="91"/>
    </row>
    <row r="547" spans="28:28" s="50" customFormat="1">
      <c r="AB547" s="91"/>
    </row>
    <row r="548" spans="28:28" s="50" customFormat="1">
      <c r="AB548" s="91"/>
    </row>
    <row r="549" spans="28:28" s="50" customFormat="1">
      <c r="AB549" s="91"/>
    </row>
    <row r="550" spans="28:28" s="50" customFormat="1">
      <c r="AB550" s="91"/>
    </row>
    <row r="551" spans="28:28" s="50" customFormat="1">
      <c r="AB551" s="91"/>
    </row>
    <row r="552" spans="28:28" s="50" customFormat="1">
      <c r="AB552" s="91"/>
    </row>
    <row r="553" spans="28:28" s="50" customFormat="1">
      <c r="AB553" s="91"/>
    </row>
    <row r="554" spans="28:28" s="50" customFormat="1">
      <c r="AB554" s="91"/>
    </row>
    <row r="555" spans="28:28" s="50" customFormat="1">
      <c r="AB555" s="91"/>
    </row>
    <row r="556" spans="28:28" s="50" customFormat="1">
      <c r="AB556" s="91"/>
    </row>
    <row r="557" spans="28:28" s="50" customFormat="1">
      <c r="AB557" s="91"/>
    </row>
    <row r="558" spans="28:28" s="50" customFormat="1">
      <c r="AB558" s="91"/>
    </row>
    <row r="559" spans="28:28" s="50" customFormat="1">
      <c r="AB559" s="91"/>
    </row>
    <row r="560" spans="28:28" s="50" customFormat="1">
      <c r="AB560" s="91"/>
    </row>
    <row r="561" spans="28:28" s="50" customFormat="1">
      <c r="AB561" s="91"/>
    </row>
    <row r="562" spans="28:28" s="50" customFormat="1">
      <c r="AB562" s="91"/>
    </row>
    <row r="563" spans="28:28" s="50" customFormat="1">
      <c r="AB563" s="91"/>
    </row>
    <row r="564" spans="28:28" s="50" customFormat="1">
      <c r="AB564" s="91"/>
    </row>
    <row r="565" spans="28:28" s="50" customFormat="1">
      <c r="AB565" s="91"/>
    </row>
    <row r="566" spans="28:28" s="50" customFormat="1">
      <c r="AB566" s="91"/>
    </row>
    <row r="567" spans="28:28" s="50" customFormat="1">
      <c r="AB567" s="91"/>
    </row>
    <row r="568" spans="28:28" s="50" customFormat="1">
      <c r="AB568" s="91"/>
    </row>
    <row r="569" spans="28:28" s="50" customFormat="1">
      <c r="AB569" s="91"/>
    </row>
    <row r="570" spans="28:28" s="50" customFormat="1">
      <c r="AB570" s="91"/>
    </row>
    <row r="571" spans="28:28" s="50" customFormat="1">
      <c r="AB571" s="91"/>
    </row>
    <row r="572" spans="28:28" s="50" customFormat="1">
      <c r="AB572" s="91"/>
    </row>
    <row r="573" spans="28:28" s="50" customFormat="1">
      <c r="AB573" s="91"/>
    </row>
    <row r="574" spans="28:28" s="50" customFormat="1">
      <c r="AB574" s="91"/>
    </row>
    <row r="575" spans="28:28" s="50" customFormat="1">
      <c r="AB575" s="91"/>
    </row>
    <row r="576" spans="28:28" s="50" customFormat="1">
      <c r="AB576" s="91"/>
    </row>
    <row r="577" spans="28:28" s="50" customFormat="1">
      <c r="AB577" s="91"/>
    </row>
    <row r="578" spans="28:28" s="50" customFormat="1">
      <c r="AB578" s="91"/>
    </row>
    <row r="579" spans="28:28" s="50" customFormat="1">
      <c r="AB579" s="91"/>
    </row>
    <row r="580" spans="28:28" s="50" customFormat="1">
      <c r="AB580" s="91"/>
    </row>
    <row r="581" spans="28:28" s="50" customFormat="1">
      <c r="AB581" s="91"/>
    </row>
    <row r="582" spans="28:28" s="50" customFormat="1">
      <c r="AB582" s="91"/>
    </row>
    <row r="583" spans="28:28" s="50" customFormat="1">
      <c r="AB583" s="91"/>
    </row>
    <row r="584" spans="28:28" s="50" customFormat="1">
      <c r="AB584" s="91"/>
    </row>
    <row r="585" spans="28:28" s="50" customFormat="1">
      <c r="AB585" s="91"/>
    </row>
    <row r="586" spans="28:28" s="50" customFormat="1">
      <c r="AB586" s="91"/>
    </row>
    <row r="587" spans="28:28" s="50" customFormat="1">
      <c r="AB587" s="91"/>
    </row>
    <row r="588" spans="28:28" s="50" customFormat="1">
      <c r="AB588" s="91"/>
    </row>
    <row r="589" spans="28:28" s="50" customFormat="1">
      <c r="AB589" s="91"/>
    </row>
    <row r="590" spans="28:28" s="50" customFormat="1">
      <c r="AB590" s="91"/>
    </row>
    <row r="591" spans="28:28" s="50" customFormat="1">
      <c r="AB591" s="91"/>
    </row>
    <row r="592" spans="28:28" s="50" customFormat="1">
      <c r="AB592" s="91"/>
    </row>
    <row r="593" spans="28:28" s="50" customFormat="1">
      <c r="AB593" s="91"/>
    </row>
    <row r="594" spans="28:28" s="50" customFormat="1">
      <c r="AB594" s="91"/>
    </row>
    <row r="595" spans="28:28" s="50" customFormat="1">
      <c r="AB595" s="91"/>
    </row>
    <row r="596" spans="28:28" s="50" customFormat="1">
      <c r="AB596" s="91"/>
    </row>
    <row r="597" spans="28:28" s="50" customFormat="1">
      <c r="AB597" s="91"/>
    </row>
    <row r="598" spans="28:28" s="50" customFormat="1">
      <c r="AB598" s="91"/>
    </row>
    <row r="599" spans="28:28" s="50" customFormat="1">
      <c r="AB599" s="91"/>
    </row>
    <row r="600" spans="28:28" s="50" customFormat="1">
      <c r="AB600" s="91"/>
    </row>
    <row r="601" spans="28:28" s="50" customFormat="1">
      <c r="AB601" s="91"/>
    </row>
    <row r="602" spans="28:28" s="50" customFormat="1">
      <c r="AB602" s="91"/>
    </row>
    <row r="603" spans="28:28" s="50" customFormat="1">
      <c r="AB603" s="91"/>
    </row>
    <row r="604" spans="28:28" s="50" customFormat="1">
      <c r="AB604" s="91"/>
    </row>
    <row r="605" spans="28:28" s="50" customFormat="1">
      <c r="AB605" s="91"/>
    </row>
    <row r="606" spans="28:28" s="50" customFormat="1">
      <c r="AB606" s="91"/>
    </row>
    <row r="607" spans="28:28" s="50" customFormat="1">
      <c r="AB607" s="91"/>
    </row>
    <row r="608" spans="28:28" s="50" customFormat="1">
      <c r="AB608" s="91"/>
    </row>
    <row r="609" spans="28:28" s="50" customFormat="1">
      <c r="AB609" s="91"/>
    </row>
    <row r="610" spans="28:28" s="50" customFormat="1">
      <c r="AB610" s="91"/>
    </row>
    <row r="611" spans="28:28" s="50" customFormat="1">
      <c r="AB611" s="91"/>
    </row>
    <row r="612" spans="28:28" s="50" customFormat="1">
      <c r="AB612" s="91"/>
    </row>
    <row r="613" spans="28:28" s="50" customFormat="1">
      <c r="AB613" s="91"/>
    </row>
    <row r="614" spans="28:28" s="50" customFormat="1">
      <c r="AB614" s="91"/>
    </row>
    <row r="615" spans="28:28" s="50" customFormat="1">
      <c r="AB615" s="91"/>
    </row>
    <row r="616" spans="28:28" s="50" customFormat="1">
      <c r="AB616" s="91"/>
    </row>
    <row r="617" spans="28:28" s="50" customFormat="1">
      <c r="AB617" s="91"/>
    </row>
    <row r="618" spans="28:28" s="50" customFormat="1">
      <c r="AB618" s="91"/>
    </row>
    <row r="619" spans="28:28" s="50" customFormat="1">
      <c r="AB619" s="91"/>
    </row>
    <row r="620" spans="28:28" s="50" customFormat="1">
      <c r="AB620" s="91"/>
    </row>
    <row r="621" spans="28:28" s="50" customFormat="1">
      <c r="AB621" s="91"/>
    </row>
    <row r="622" spans="28:28" s="50" customFormat="1">
      <c r="AB622" s="91"/>
    </row>
    <row r="623" spans="28:28" s="50" customFormat="1">
      <c r="AB623" s="91"/>
    </row>
    <row r="624" spans="28:28" s="50" customFormat="1">
      <c r="AB624" s="91"/>
    </row>
    <row r="625" spans="28:28" s="50" customFormat="1">
      <c r="AB625" s="91"/>
    </row>
    <row r="626" spans="28:28" s="50" customFormat="1">
      <c r="AB626" s="91"/>
    </row>
    <row r="627" spans="28:28" s="50" customFormat="1">
      <c r="AB627" s="91"/>
    </row>
    <row r="628" spans="28:28" s="50" customFormat="1">
      <c r="AB628" s="91"/>
    </row>
    <row r="629" spans="28:28" s="50" customFormat="1">
      <c r="AB629" s="91"/>
    </row>
    <row r="630" spans="28:28" s="50" customFormat="1">
      <c r="AB630" s="91"/>
    </row>
    <row r="631" spans="28:28" s="50" customFormat="1">
      <c r="AB631" s="91"/>
    </row>
    <row r="632" spans="28:28" s="50" customFormat="1">
      <c r="AB632" s="91"/>
    </row>
    <row r="633" spans="28:28" s="50" customFormat="1">
      <c r="AB633" s="91"/>
    </row>
    <row r="634" spans="28:28" s="50" customFormat="1">
      <c r="AB634" s="91"/>
    </row>
    <row r="635" spans="28:28" s="50" customFormat="1">
      <c r="AB635" s="91"/>
    </row>
    <row r="636" spans="28:28" s="50" customFormat="1">
      <c r="AB636" s="91"/>
    </row>
    <row r="637" spans="28:28" s="50" customFormat="1">
      <c r="AB637" s="91"/>
    </row>
    <row r="638" spans="28:28" s="50" customFormat="1">
      <c r="AB638" s="91"/>
    </row>
    <row r="639" spans="28:28" s="50" customFormat="1">
      <c r="AB639" s="91"/>
    </row>
    <row r="640" spans="28:28" s="50" customFormat="1">
      <c r="AB640" s="91"/>
    </row>
    <row r="641" spans="28:28" s="50" customFormat="1">
      <c r="AB641" s="91"/>
    </row>
    <row r="642" spans="28:28" s="50" customFormat="1">
      <c r="AB642" s="91"/>
    </row>
    <row r="643" spans="28:28" s="50" customFormat="1">
      <c r="AB643" s="91"/>
    </row>
    <row r="644" spans="28:28" s="50" customFormat="1">
      <c r="AB644" s="91"/>
    </row>
    <row r="645" spans="28:28" s="50" customFormat="1">
      <c r="AB645" s="91"/>
    </row>
    <row r="646" spans="28:28" s="50" customFormat="1">
      <c r="AB646" s="91"/>
    </row>
    <row r="647" spans="28:28" s="50" customFormat="1">
      <c r="AB647" s="91"/>
    </row>
    <row r="648" spans="28:28" s="50" customFormat="1">
      <c r="AB648" s="91"/>
    </row>
    <row r="649" spans="28:28" s="50" customFormat="1">
      <c r="AB649" s="91"/>
    </row>
    <row r="650" spans="28:28" s="50" customFormat="1">
      <c r="AB650" s="91"/>
    </row>
    <row r="651" spans="28:28" s="50" customFormat="1">
      <c r="AB651" s="91"/>
    </row>
    <row r="652" spans="28:28" s="50" customFormat="1">
      <c r="AB652" s="91"/>
    </row>
    <row r="653" spans="28:28" s="50" customFormat="1">
      <c r="AB653" s="91"/>
    </row>
    <row r="654" spans="28:28" s="50" customFormat="1">
      <c r="AB654" s="91"/>
    </row>
    <row r="655" spans="28:28" s="50" customFormat="1">
      <c r="AB655" s="91"/>
    </row>
    <row r="656" spans="28:28" s="50" customFormat="1">
      <c r="AB656" s="91"/>
    </row>
    <row r="657" spans="28:28" s="50" customFormat="1">
      <c r="AB657" s="91"/>
    </row>
    <row r="658" spans="28:28" s="50" customFormat="1">
      <c r="AB658" s="91"/>
    </row>
    <row r="659" spans="28:28" s="50" customFormat="1">
      <c r="AB659" s="91"/>
    </row>
    <row r="660" spans="28:28" s="50" customFormat="1">
      <c r="AB660" s="91"/>
    </row>
    <row r="661" spans="28:28" s="50" customFormat="1">
      <c r="AB661" s="91"/>
    </row>
    <row r="662" spans="28:28" s="50" customFormat="1">
      <c r="AB662" s="91"/>
    </row>
    <row r="663" spans="28:28" s="50" customFormat="1">
      <c r="AB663" s="91"/>
    </row>
    <row r="664" spans="28:28" s="50" customFormat="1">
      <c r="AB664" s="91"/>
    </row>
    <row r="665" spans="28:28" s="50" customFormat="1">
      <c r="AB665" s="91"/>
    </row>
    <row r="666" spans="28:28" s="50" customFormat="1">
      <c r="AB666" s="91"/>
    </row>
    <row r="667" spans="28:28" s="50" customFormat="1">
      <c r="AB667" s="91"/>
    </row>
    <row r="668" spans="28:28" s="50" customFormat="1">
      <c r="AB668" s="91"/>
    </row>
    <row r="669" spans="28:28" s="50" customFormat="1">
      <c r="AB669" s="91"/>
    </row>
    <row r="670" spans="28:28" s="50" customFormat="1">
      <c r="AB670" s="91"/>
    </row>
    <row r="671" spans="28:28" s="50" customFormat="1">
      <c r="AB671" s="91"/>
    </row>
    <row r="672" spans="28:28" s="50" customFormat="1">
      <c r="AB672" s="91"/>
    </row>
    <row r="673" spans="28:28" s="50" customFormat="1">
      <c r="AB673" s="91"/>
    </row>
    <row r="674" spans="28:28" s="50" customFormat="1">
      <c r="AB674" s="91"/>
    </row>
    <row r="675" spans="28:28" s="50" customFormat="1">
      <c r="AB675" s="91"/>
    </row>
    <row r="676" spans="28:28" s="50" customFormat="1">
      <c r="AB676" s="91"/>
    </row>
    <row r="677" spans="28:28" s="50" customFormat="1">
      <c r="AB677" s="91"/>
    </row>
    <row r="678" spans="28:28" s="50" customFormat="1">
      <c r="AB678" s="91"/>
    </row>
    <row r="679" spans="28:28" s="50" customFormat="1">
      <c r="AB679" s="91"/>
    </row>
    <row r="680" spans="28:28" s="50" customFormat="1">
      <c r="AB680" s="91"/>
    </row>
    <row r="681" spans="28:28" s="50" customFormat="1">
      <c r="AB681" s="91"/>
    </row>
    <row r="682" spans="28:28" s="50" customFormat="1">
      <c r="AB682" s="91"/>
    </row>
    <row r="683" spans="28:28" s="50" customFormat="1">
      <c r="AB683" s="91"/>
    </row>
    <row r="684" spans="28:28" s="50" customFormat="1">
      <c r="AB684" s="91"/>
    </row>
    <row r="685" spans="28:28" s="50" customFormat="1">
      <c r="AB685" s="91"/>
    </row>
    <row r="686" spans="28:28" s="50" customFormat="1">
      <c r="AB686" s="91"/>
    </row>
    <row r="687" spans="28:28" s="50" customFormat="1">
      <c r="AB687" s="91"/>
    </row>
    <row r="688" spans="28:28" s="50" customFormat="1">
      <c r="AB688" s="91"/>
    </row>
    <row r="689" spans="1:28" s="50" customFormat="1">
      <c r="AB689" s="91"/>
    </row>
    <row r="690" spans="1:28" s="50" customFormat="1">
      <c r="AB690" s="91"/>
    </row>
    <row r="691" spans="1:28" s="50" customFormat="1">
      <c r="AB691" s="91"/>
    </row>
    <row r="692" spans="1:28">
      <c r="A692" s="50"/>
      <c r="B692" s="50"/>
      <c r="C692" s="50"/>
      <c r="D692" s="50"/>
      <c r="E692" s="50"/>
      <c r="F692" s="50"/>
      <c r="G692" s="50"/>
      <c r="H692" s="50"/>
      <c r="I692" s="50"/>
      <c r="J692" s="50"/>
    </row>
    <row r="693" spans="1:28">
      <c r="A693" s="50"/>
      <c r="B693" s="50"/>
      <c r="C693" s="50"/>
      <c r="D693" s="50"/>
      <c r="E693" s="50"/>
      <c r="F693" s="50"/>
      <c r="G693" s="50"/>
      <c r="H693" s="50"/>
      <c r="I693" s="50"/>
      <c r="J693" s="50"/>
    </row>
    <row r="694" spans="1:28">
      <c r="A694" s="50"/>
      <c r="B694" s="50"/>
      <c r="C694" s="50"/>
      <c r="D694" s="50"/>
      <c r="E694" s="50"/>
      <c r="F694" s="50"/>
      <c r="G694" s="50"/>
      <c r="H694" s="50"/>
      <c r="I694" s="50"/>
      <c r="J694" s="50"/>
    </row>
    <row r="695" spans="1:28">
      <c r="J695" s="46"/>
    </row>
    <row r="696" spans="1:28">
      <c r="J696" s="46"/>
    </row>
    <row r="697" spans="1:28">
      <c r="J697" s="46"/>
    </row>
    <row r="698" spans="1:28">
      <c r="J698" s="46"/>
    </row>
    <row r="699" spans="1:28">
      <c r="J699" s="46"/>
    </row>
    <row r="700" spans="1:28">
      <c r="J700" s="46"/>
    </row>
    <row r="701" spans="1:28">
      <c r="J701" s="46"/>
    </row>
    <row r="702" spans="1:28">
      <c r="J702" s="46"/>
    </row>
    <row r="703" spans="1:28">
      <c r="J703" s="46"/>
    </row>
    <row r="704" spans="1:28">
      <c r="J704" s="46"/>
    </row>
    <row r="705" spans="10:10">
      <c r="J705" s="46"/>
    </row>
    <row r="706" spans="10:10">
      <c r="J706" s="46"/>
    </row>
    <row r="707" spans="10:10">
      <c r="J707" s="46"/>
    </row>
    <row r="708" spans="10:10">
      <c r="J708" s="46"/>
    </row>
    <row r="709" spans="10:10">
      <c r="J709" s="46"/>
    </row>
    <row r="710" spans="10:10">
      <c r="J710" s="46"/>
    </row>
    <row r="711" spans="10:10">
      <c r="J711" s="46"/>
    </row>
    <row r="712" spans="10:10">
      <c r="J712" s="46"/>
    </row>
    <row r="713" spans="10:10">
      <c r="J713" s="46"/>
    </row>
    <row r="714" spans="10:10">
      <c r="J714" s="46"/>
    </row>
    <row r="715" spans="10:10">
      <c r="J715" s="46"/>
    </row>
    <row r="716" spans="10:10">
      <c r="J716" s="46"/>
    </row>
    <row r="717" spans="10:10">
      <c r="J717" s="46"/>
    </row>
    <row r="718" spans="10:10">
      <c r="J718" s="46"/>
    </row>
    <row r="719" spans="10:10">
      <c r="J719" s="46"/>
    </row>
    <row r="720" spans="10:10">
      <c r="J720" s="46"/>
    </row>
    <row r="721" spans="10:10">
      <c r="J721" s="46"/>
    </row>
    <row r="722" spans="10:10">
      <c r="J722" s="46"/>
    </row>
    <row r="723" spans="10:10">
      <c r="J723" s="46"/>
    </row>
    <row r="724" spans="10:10">
      <c r="J724" s="46"/>
    </row>
    <row r="725" spans="10:10">
      <c r="J725" s="46"/>
    </row>
    <row r="726" spans="10:10">
      <c r="J726" s="46"/>
    </row>
    <row r="727" spans="10:10">
      <c r="J727" s="46"/>
    </row>
    <row r="728" spans="10:10">
      <c r="J728" s="46"/>
    </row>
    <row r="729" spans="10:10">
      <c r="J729" s="46"/>
    </row>
    <row r="730" spans="10:10">
      <c r="J730" s="46"/>
    </row>
    <row r="731" spans="10:10">
      <c r="J731" s="46"/>
    </row>
    <row r="732" spans="10:10">
      <c r="J732" s="46"/>
    </row>
    <row r="733" spans="10:10">
      <c r="J733" s="46"/>
    </row>
    <row r="734" spans="10:10">
      <c r="J734" s="46"/>
    </row>
    <row r="735" spans="10:10">
      <c r="J735" s="46"/>
    </row>
    <row r="736" spans="10:10">
      <c r="J736" s="46"/>
    </row>
    <row r="737" spans="10:10">
      <c r="J737" s="46"/>
    </row>
    <row r="738" spans="10:10">
      <c r="J738" s="46"/>
    </row>
    <row r="739" spans="10:10">
      <c r="J739" s="46"/>
    </row>
    <row r="740" spans="10:10">
      <c r="J740" s="46"/>
    </row>
    <row r="741" spans="10:10">
      <c r="J741" s="46"/>
    </row>
    <row r="742" spans="10:10">
      <c r="J742" s="46"/>
    </row>
    <row r="743" spans="10:10">
      <c r="J743" s="46"/>
    </row>
    <row r="744" spans="10:10">
      <c r="J744" s="46"/>
    </row>
    <row r="745" spans="10:10">
      <c r="J745" s="46"/>
    </row>
    <row r="746" spans="10:10">
      <c r="J746" s="46"/>
    </row>
    <row r="747" spans="10:10">
      <c r="J747" s="46"/>
    </row>
    <row r="748" spans="10:10">
      <c r="J748" s="46"/>
    </row>
    <row r="749" spans="10:10">
      <c r="J749" s="46"/>
    </row>
    <row r="750" spans="10:10">
      <c r="J750" s="46"/>
    </row>
    <row r="751" spans="10:10">
      <c r="J751" s="46"/>
    </row>
    <row r="752" spans="10:10">
      <c r="J752" s="46"/>
    </row>
    <row r="753" spans="10:10">
      <c r="J753" s="46"/>
    </row>
    <row r="754" spans="10:10">
      <c r="J754" s="46"/>
    </row>
    <row r="755" spans="10:10">
      <c r="J755" s="46"/>
    </row>
    <row r="756" spans="10:10">
      <c r="J756" s="46"/>
    </row>
    <row r="757" spans="10:10">
      <c r="J757" s="46"/>
    </row>
    <row r="758" spans="10:10">
      <c r="J758" s="46"/>
    </row>
    <row r="759" spans="10:10">
      <c r="J759" s="46"/>
    </row>
    <row r="760" spans="10:10">
      <c r="J760" s="46"/>
    </row>
    <row r="761" spans="10:10">
      <c r="J761" s="46"/>
    </row>
    <row r="762" spans="10:10">
      <c r="J762" s="46"/>
    </row>
    <row r="763" spans="10:10">
      <c r="J763" s="46"/>
    </row>
    <row r="764" spans="10:10">
      <c r="J764" s="46"/>
    </row>
    <row r="765" spans="10:10">
      <c r="J765" s="46"/>
    </row>
    <row r="766" spans="10:10">
      <c r="J766" s="46"/>
    </row>
    <row r="767" spans="10:10">
      <c r="J767" s="46"/>
    </row>
    <row r="768" spans="10:10">
      <c r="J768" s="46"/>
    </row>
    <row r="769" spans="10:10">
      <c r="J769" s="46"/>
    </row>
    <row r="770" spans="10:10">
      <c r="J770" s="46"/>
    </row>
    <row r="771" spans="10:10">
      <c r="J771" s="46"/>
    </row>
    <row r="772" spans="10:10">
      <c r="J772" s="46"/>
    </row>
    <row r="773" spans="10:10">
      <c r="J773" s="46"/>
    </row>
    <row r="774" spans="10:10">
      <c r="J774" s="46"/>
    </row>
    <row r="775" spans="10:10">
      <c r="J775" s="46"/>
    </row>
    <row r="776" spans="10:10">
      <c r="J776" s="46"/>
    </row>
    <row r="777" spans="10:10">
      <c r="J777" s="46"/>
    </row>
    <row r="778" spans="10:10">
      <c r="J778" s="46"/>
    </row>
    <row r="779" spans="10:10">
      <c r="J779" s="46"/>
    </row>
    <row r="780" spans="10:10">
      <c r="J780" s="46"/>
    </row>
    <row r="781" spans="10:10">
      <c r="J781" s="46"/>
    </row>
    <row r="782" spans="10:10">
      <c r="J782" s="46"/>
    </row>
    <row r="783" spans="10:10">
      <c r="J783" s="46"/>
    </row>
    <row r="784" spans="10:10">
      <c r="J784" s="46"/>
    </row>
    <row r="785" spans="10:10">
      <c r="J785" s="46"/>
    </row>
    <row r="786" spans="10:10">
      <c r="J786" s="46"/>
    </row>
    <row r="787" spans="10:10">
      <c r="J787" s="46"/>
    </row>
    <row r="788" spans="10:10">
      <c r="J788" s="46"/>
    </row>
    <row r="789" spans="10:10">
      <c r="J789" s="46"/>
    </row>
    <row r="790" spans="10:10">
      <c r="J790" s="46"/>
    </row>
    <row r="791" spans="10:10">
      <c r="J791" s="46"/>
    </row>
    <row r="792" spans="10:10">
      <c r="J792" s="46"/>
    </row>
    <row r="793" spans="10:10">
      <c r="J793" s="46"/>
    </row>
    <row r="794" spans="10:10">
      <c r="J794" s="46"/>
    </row>
    <row r="795" spans="10:10">
      <c r="J795" s="46"/>
    </row>
    <row r="796" spans="10:10">
      <c r="J796" s="46"/>
    </row>
    <row r="797" spans="10:10">
      <c r="J797" s="46"/>
    </row>
    <row r="798" spans="10:10">
      <c r="J798" s="46"/>
    </row>
    <row r="799" spans="10:10">
      <c r="J799" s="46"/>
    </row>
    <row r="800" spans="10:10">
      <c r="J800" s="46"/>
    </row>
    <row r="801" spans="10:10">
      <c r="J801" s="46"/>
    </row>
    <row r="802" spans="10:10">
      <c r="J802" s="46"/>
    </row>
    <row r="803" spans="10:10">
      <c r="J803" s="46"/>
    </row>
    <row r="804" spans="10:10">
      <c r="J804" s="46"/>
    </row>
    <row r="805" spans="10:10">
      <c r="J805" s="46"/>
    </row>
    <row r="806" spans="10:10">
      <c r="J806" s="46"/>
    </row>
    <row r="807" spans="10:10">
      <c r="J807" s="46"/>
    </row>
    <row r="808" spans="10:10">
      <c r="J808" s="46"/>
    </row>
    <row r="809" spans="10:10">
      <c r="J809" s="46"/>
    </row>
    <row r="810" spans="10:10">
      <c r="J810" s="46"/>
    </row>
    <row r="811" spans="10:10">
      <c r="J811" s="46"/>
    </row>
    <row r="812" spans="10:10">
      <c r="J812" s="46"/>
    </row>
    <row r="813" spans="10:10">
      <c r="J813" s="46"/>
    </row>
    <row r="814" spans="10:10">
      <c r="J814" s="46"/>
    </row>
    <row r="815" spans="10:10">
      <c r="J815" s="46"/>
    </row>
    <row r="816" spans="10:10">
      <c r="J816" s="46"/>
    </row>
    <row r="817" spans="10:10">
      <c r="J817" s="46"/>
    </row>
    <row r="818" spans="10:10">
      <c r="J818" s="46"/>
    </row>
    <row r="819" spans="10:10">
      <c r="J819" s="46"/>
    </row>
    <row r="820" spans="10:10">
      <c r="J820" s="46"/>
    </row>
    <row r="821" spans="10:10">
      <c r="J821" s="46"/>
    </row>
    <row r="822" spans="10:10">
      <c r="J822" s="46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4"/>
    <col min="2" max="3" width="9" style="95"/>
    <col min="4" max="16384" width="9" style="94"/>
  </cols>
  <sheetData>
    <row r="1" spans="1:3">
      <c r="B1" s="94"/>
    </row>
    <row r="2" spans="1:3">
      <c r="A2" s="152" t="s">
        <v>195</v>
      </c>
      <c r="B2" s="152"/>
      <c r="C2" s="153"/>
    </row>
    <row r="3" spans="1:3">
      <c r="A3" s="152">
        <v>2</v>
      </c>
      <c r="B3" s="152"/>
      <c r="C3" s="153"/>
    </row>
    <row r="4" spans="1:3">
      <c r="A4" s="152">
        <v>1</v>
      </c>
      <c r="B4" s="152"/>
      <c r="C4" s="153"/>
    </row>
    <row r="5" spans="1:3">
      <c r="A5" s="152">
        <v>6</v>
      </c>
      <c r="B5" s="152"/>
      <c r="C5" s="153"/>
    </row>
    <row r="6" spans="1:3">
      <c r="A6" s="152" t="s">
        <v>196</v>
      </c>
      <c r="B6" s="152"/>
      <c r="C6" s="153"/>
    </row>
    <row r="7" spans="1:3">
      <c r="A7" s="152">
        <f>Input!M46</f>
        <v>75</v>
      </c>
      <c r="B7" s="152"/>
      <c r="C7" s="153"/>
    </row>
    <row r="8" spans="1:3">
      <c r="A8" s="152" t="s">
        <v>197</v>
      </c>
      <c r="B8" s="152"/>
      <c r="C8" s="153"/>
    </row>
    <row r="9" spans="1:3">
      <c r="A9" s="152">
        <v>1</v>
      </c>
      <c r="B9" s="152"/>
      <c r="C9" s="153"/>
    </row>
    <row r="10" spans="1:3">
      <c r="A10" s="152" t="s">
        <v>198</v>
      </c>
      <c r="B10" s="152"/>
      <c r="C10" s="153"/>
    </row>
    <row r="11" spans="1:3">
      <c r="A11" s="152">
        <v>1</v>
      </c>
      <c r="B11" s="152"/>
      <c r="C11" s="153"/>
    </row>
    <row r="12" spans="1:3">
      <c r="A12" s="152" t="s">
        <v>199</v>
      </c>
      <c r="B12" s="152"/>
      <c r="C12" s="153"/>
    </row>
    <row r="13" spans="1:3">
      <c r="A13" s="152">
        <v>1</v>
      </c>
      <c r="B13" s="152"/>
      <c r="C13" s="153"/>
    </row>
    <row r="14" spans="1:3">
      <c r="A14" s="152" t="s">
        <v>200</v>
      </c>
      <c r="B14" s="152"/>
      <c r="C14" s="153"/>
    </row>
    <row r="15" spans="1:3">
      <c r="A15" s="152" t="str">
        <f>Input!I54</f>
        <v>W-1</v>
      </c>
      <c r="B15" s="152"/>
      <c r="C15" s="153"/>
    </row>
    <row r="16" spans="1:3">
      <c r="A16" s="152">
        <v>0</v>
      </c>
      <c r="B16" s="152"/>
      <c r="C16" s="153"/>
    </row>
    <row r="17" spans="1:3">
      <c r="A17" s="152">
        <v>0</v>
      </c>
      <c r="B17" s="152"/>
      <c r="C17" s="153"/>
    </row>
    <row r="18" spans="1:3">
      <c r="A18" s="152">
        <f>Input!N45/2/1000</f>
        <v>0.125</v>
      </c>
      <c r="B18" s="152"/>
      <c r="C18" s="153"/>
    </row>
    <row r="19" spans="1:3">
      <c r="A19" s="152">
        <f>Input!M44/2/1000</f>
        <v>0.125</v>
      </c>
      <c r="B19" s="152"/>
      <c r="C19" s="153"/>
    </row>
    <row r="20" spans="1:3">
      <c r="A20" s="152">
        <v>0</v>
      </c>
      <c r="B20" s="152"/>
      <c r="C20" s="153"/>
    </row>
    <row r="21" spans="1:3">
      <c r="A21" s="152">
        <v>0</v>
      </c>
      <c r="B21" s="152"/>
      <c r="C21" s="153"/>
    </row>
    <row r="22" spans="1:3">
      <c r="A22" s="152">
        <v>1</v>
      </c>
      <c r="B22" s="152"/>
      <c r="C22" s="153"/>
    </row>
    <row r="23" spans="1:3">
      <c r="A23" s="152">
        <v>5</v>
      </c>
      <c r="B23" s="152"/>
      <c r="C23" s="153"/>
    </row>
    <row r="24" spans="1:3">
      <c r="A24" s="154">
        <v>0</v>
      </c>
      <c r="B24" s="154">
        <f>Input!D3</f>
        <v>97</v>
      </c>
      <c r="C24" s="153"/>
    </row>
    <row r="25" spans="1:3">
      <c r="A25" s="154">
        <f>StepTest!D31</f>
        <v>120</v>
      </c>
      <c r="B25" s="154">
        <f>Input!D4</f>
        <v>123</v>
      </c>
      <c r="C25" s="153"/>
    </row>
    <row r="26" spans="1:3">
      <c r="A26" s="154">
        <f>StepTest!D36</f>
        <v>240</v>
      </c>
      <c r="B26" s="154">
        <f>Input!D5</f>
        <v>150.44999999999999</v>
      </c>
      <c r="C26" s="153"/>
    </row>
    <row r="27" spans="1:3">
      <c r="A27" s="154">
        <f>StepTest!D41</f>
        <v>360</v>
      </c>
      <c r="B27" s="154">
        <f>Input!D6</f>
        <v>177</v>
      </c>
      <c r="C27" s="153"/>
    </row>
    <row r="28" spans="1:3">
      <c r="A28" s="154">
        <f>StepTest!D46</f>
        <v>480</v>
      </c>
      <c r="B28" s="154">
        <f>Input!D7</f>
        <v>203.54999999999998</v>
      </c>
      <c r="C28" s="153"/>
    </row>
    <row r="29" spans="1:3">
      <c r="A29" s="152" t="s">
        <v>201</v>
      </c>
      <c r="B29" s="152"/>
      <c r="C29" s="153"/>
    </row>
    <row r="30" spans="1:3">
      <c r="A30" s="152" t="str">
        <f>A15</f>
        <v>W-1</v>
      </c>
      <c r="B30" s="152"/>
      <c r="C30" s="153"/>
    </row>
    <row r="31" spans="1:3">
      <c r="A31" s="155">
        <f>A19</f>
        <v>0.125</v>
      </c>
      <c r="B31" s="152"/>
      <c r="C31" s="153"/>
    </row>
    <row r="32" spans="1:3">
      <c r="A32" s="152">
        <v>0</v>
      </c>
      <c r="B32" s="152"/>
      <c r="C32" s="153"/>
    </row>
    <row r="33" spans="1:3">
      <c r="A33" s="152">
        <v>0</v>
      </c>
      <c r="B33" s="152"/>
      <c r="C33" s="153"/>
    </row>
    <row r="34" spans="1:3">
      <c r="A34" s="154">
        <f>SUM(C35:C134)</f>
        <v>100</v>
      </c>
      <c r="B34" s="152"/>
      <c r="C34" s="153"/>
    </row>
    <row r="35" spans="1:3">
      <c r="A35" s="152">
        <f>Sheet1!A1</f>
        <v>1</v>
      </c>
      <c r="B35" s="153">
        <f>Sheet1!B1</f>
        <v>1.89</v>
      </c>
      <c r="C35" s="154">
        <v>1</v>
      </c>
    </row>
    <row r="36" spans="1:3">
      <c r="A36" s="152">
        <f>Sheet1!A2</f>
        <v>2</v>
      </c>
      <c r="B36" s="153">
        <f>Sheet1!B2</f>
        <v>2.85</v>
      </c>
      <c r="C36" s="154">
        <v>1</v>
      </c>
    </row>
    <row r="37" spans="1:3">
      <c r="A37" s="152">
        <f>Sheet1!A3</f>
        <v>3</v>
      </c>
      <c r="B37" s="153">
        <f>Sheet1!B3</f>
        <v>3.93</v>
      </c>
      <c r="C37" s="154">
        <v>1</v>
      </c>
    </row>
    <row r="38" spans="1:3">
      <c r="A38" s="152">
        <f>Sheet1!A4</f>
        <v>4</v>
      </c>
      <c r="B38" s="153">
        <f>Sheet1!B4</f>
        <v>4.7</v>
      </c>
      <c r="C38" s="154">
        <v>1</v>
      </c>
    </row>
    <row r="39" spans="1:3">
      <c r="A39" s="152">
        <f>Sheet1!A5</f>
        <v>5</v>
      </c>
      <c r="B39" s="153">
        <f>Sheet1!B5</f>
        <v>5.29</v>
      </c>
      <c r="C39" s="154">
        <v>1</v>
      </c>
    </row>
    <row r="40" spans="1:3">
      <c r="A40" s="152">
        <f>Sheet1!A6</f>
        <v>10</v>
      </c>
      <c r="B40" s="153">
        <f>Sheet1!B6</f>
        <v>7.14</v>
      </c>
      <c r="C40" s="154">
        <v>1</v>
      </c>
    </row>
    <row r="41" spans="1:3">
      <c r="A41" s="152">
        <f>Sheet1!A7</f>
        <v>15</v>
      </c>
      <c r="B41" s="153">
        <f>Sheet1!B7</f>
        <v>8.2200000000000006</v>
      </c>
      <c r="C41" s="154">
        <v>1</v>
      </c>
    </row>
    <row r="42" spans="1:3">
      <c r="A42" s="152">
        <f>Sheet1!A8</f>
        <v>20</v>
      </c>
      <c r="B42" s="153">
        <f>Sheet1!B8</f>
        <v>8.99</v>
      </c>
      <c r="C42" s="154">
        <v>1</v>
      </c>
    </row>
    <row r="43" spans="1:3">
      <c r="A43" s="152">
        <f>Sheet1!A9</f>
        <v>25</v>
      </c>
      <c r="B43" s="153">
        <f>Sheet1!B9</f>
        <v>9.58</v>
      </c>
      <c r="C43" s="154">
        <v>1</v>
      </c>
    </row>
    <row r="44" spans="1:3">
      <c r="A44" s="152">
        <f>Sheet1!A10</f>
        <v>30</v>
      </c>
      <c r="B44" s="153">
        <f>Sheet1!B10</f>
        <v>10.07</v>
      </c>
      <c r="C44" s="154">
        <v>1</v>
      </c>
    </row>
    <row r="45" spans="1:3">
      <c r="A45" s="152">
        <f>Sheet1!A11</f>
        <v>35</v>
      </c>
      <c r="B45" s="153">
        <f>Sheet1!B11</f>
        <v>10.48</v>
      </c>
      <c r="C45" s="154">
        <v>1</v>
      </c>
    </row>
    <row r="46" spans="1:3">
      <c r="A46" s="152">
        <f>Sheet1!A12</f>
        <v>40</v>
      </c>
      <c r="B46" s="153">
        <f>Sheet1!B12</f>
        <v>10.84</v>
      </c>
      <c r="C46" s="154">
        <v>1</v>
      </c>
    </row>
    <row r="47" spans="1:3">
      <c r="A47" s="152">
        <f>Sheet1!A13</f>
        <v>45</v>
      </c>
      <c r="B47" s="153">
        <f>Sheet1!B13</f>
        <v>11.15</v>
      </c>
      <c r="C47" s="154">
        <v>1</v>
      </c>
    </row>
    <row r="48" spans="1:3">
      <c r="A48" s="152">
        <f>Sheet1!A14</f>
        <v>50</v>
      </c>
      <c r="B48" s="153">
        <f>Sheet1!B14</f>
        <v>11.43</v>
      </c>
      <c r="C48" s="154">
        <v>1</v>
      </c>
    </row>
    <row r="49" spans="1:3">
      <c r="A49" s="152">
        <f>Sheet1!A15</f>
        <v>55</v>
      </c>
      <c r="B49" s="153">
        <f>Sheet1!B15</f>
        <v>11.68</v>
      </c>
      <c r="C49" s="154">
        <v>1</v>
      </c>
    </row>
    <row r="50" spans="1:3">
      <c r="A50" s="152">
        <f>Sheet1!A16</f>
        <v>60</v>
      </c>
      <c r="B50" s="153">
        <f>Sheet1!B16</f>
        <v>11.92</v>
      </c>
      <c r="C50" s="154">
        <v>1</v>
      </c>
    </row>
    <row r="51" spans="1:3">
      <c r="A51" s="152">
        <f>Sheet1!A17</f>
        <v>75</v>
      </c>
      <c r="B51" s="153">
        <f>Sheet1!B17</f>
        <v>12.51</v>
      </c>
      <c r="C51" s="154">
        <v>1</v>
      </c>
    </row>
    <row r="52" spans="1:3">
      <c r="A52" s="152">
        <f>Sheet1!A18</f>
        <v>90</v>
      </c>
      <c r="B52" s="153">
        <f>Sheet1!B18</f>
        <v>13</v>
      </c>
      <c r="C52" s="154">
        <v>1</v>
      </c>
    </row>
    <row r="53" spans="1:3">
      <c r="A53" s="152">
        <f>Sheet1!A19</f>
        <v>105</v>
      </c>
      <c r="B53" s="153">
        <f>Sheet1!B19</f>
        <v>13.41</v>
      </c>
      <c r="C53" s="154">
        <v>1</v>
      </c>
    </row>
    <row r="54" spans="1:3">
      <c r="A54" s="152">
        <f>Sheet1!A20</f>
        <v>120</v>
      </c>
      <c r="B54" s="153">
        <f>Sheet1!B20</f>
        <v>13.77</v>
      </c>
      <c r="C54" s="154">
        <v>1</v>
      </c>
    </row>
    <row r="55" spans="1:3">
      <c r="A55" s="152">
        <f>Sheet1!A21</f>
        <v>121</v>
      </c>
      <c r="B55" s="153">
        <f>Sheet1!B21</f>
        <v>13.93</v>
      </c>
      <c r="C55" s="154">
        <v>1</v>
      </c>
    </row>
    <row r="56" spans="1:3">
      <c r="A56" s="152">
        <f>Sheet1!A22</f>
        <v>122</v>
      </c>
      <c r="B56" s="153">
        <f>Sheet1!B22</f>
        <v>14.08</v>
      </c>
      <c r="C56" s="154">
        <v>1</v>
      </c>
    </row>
    <row r="57" spans="1:3">
      <c r="A57" s="152">
        <f>Sheet1!A23</f>
        <v>123</v>
      </c>
      <c r="B57" s="153">
        <f>Sheet1!B23</f>
        <v>14.22</v>
      </c>
      <c r="C57" s="154">
        <v>1</v>
      </c>
    </row>
    <row r="58" spans="1:3">
      <c r="A58" s="152">
        <f>Sheet1!A24</f>
        <v>124</v>
      </c>
      <c r="B58" s="153">
        <f>Sheet1!B24</f>
        <v>14.350000000000001</v>
      </c>
      <c r="C58" s="154">
        <v>1</v>
      </c>
    </row>
    <row r="59" spans="1:3">
      <c r="A59" s="152">
        <f>Sheet1!A25</f>
        <v>125</v>
      </c>
      <c r="B59" s="153">
        <f>Sheet1!B25</f>
        <v>14.480000000000002</v>
      </c>
      <c r="C59" s="154">
        <v>1</v>
      </c>
    </row>
    <row r="60" spans="1:3">
      <c r="A60" s="152">
        <f>Sheet1!A26</f>
        <v>130</v>
      </c>
      <c r="B60" s="153">
        <f>Sheet1!B26</f>
        <v>16.52</v>
      </c>
      <c r="C60" s="154">
        <v>1</v>
      </c>
    </row>
    <row r="61" spans="1:3">
      <c r="A61" s="152">
        <f>Sheet1!A27</f>
        <v>135</v>
      </c>
      <c r="B61" s="153">
        <f>Sheet1!B27</f>
        <v>16.63</v>
      </c>
      <c r="C61" s="154">
        <v>1</v>
      </c>
    </row>
    <row r="62" spans="1:3">
      <c r="A62" s="152">
        <f>Sheet1!A28</f>
        <v>140</v>
      </c>
      <c r="B62" s="153">
        <f>Sheet1!B28</f>
        <v>16.98</v>
      </c>
      <c r="C62" s="154">
        <v>1</v>
      </c>
    </row>
    <row r="63" spans="1:3">
      <c r="A63" s="152">
        <f>Sheet1!A29</f>
        <v>145</v>
      </c>
      <c r="B63" s="153">
        <f>Sheet1!B29</f>
        <v>17.080000000000002</v>
      </c>
      <c r="C63" s="154">
        <v>1</v>
      </c>
    </row>
    <row r="64" spans="1:3">
      <c r="A64" s="152">
        <f>Sheet1!A30</f>
        <v>150</v>
      </c>
      <c r="B64" s="153">
        <f>Sheet1!B30</f>
        <v>17.440000000000001</v>
      </c>
      <c r="C64" s="154">
        <v>1</v>
      </c>
    </row>
    <row r="65" spans="1:3">
      <c r="A65" s="152">
        <f>Sheet1!A31</f>
        <v>155</v>
      </c>
      <c r="B65" s="153">
        <f>Sheet1!B31</f>
        <v>17.5</v>
      </c>
      <c r="C65" s="154">
        <v>1</v>
      </c>
    </row>
    <row r="66" spans="1:3">
      <c r="A66" s="152">
        <f>Sheet1!A32</f>
        <v>160</v>
      </c>
      <c r="B66" s="153">
        <f>Sheet1!B32</f>
        <v>17.55</v>
      </c>
      <c r="C66" s="154">
        <v>1</v>
      </c>
    </row>
    <row r="67" spans="1:3">
      <c r="A67" s="152">
        <f>Sheet1!A33</f>
        <v>165</v>
      </c>
      <c r="B67" s="153">
        <f>Sheet1!B33</f>
        <v>17.59</v>
      </c>
      <c r="C67" s="154">
        <v>1</v>
      </c>
    </row>
    <row r="68" spans="1:3">
      <c r="A68" s="152">
        <f>Sheet1!A34</f>
        <v>170</v>
      </c>
      <c r="B68" s="153">
        <f>Sheet1!B34</f>
        <v>17.62</v>
      </c>
      <c r="C68" s="154">
        <v>1</v>
      </c>
    </row>
    <row r="69" spans="1:3">
      <c r="A69" s="152">
        <f>Sheet1!A35</f>
        <v>175</v>
      </c>
      <c r="B69" s="153">
        <f>Sheet1!B35</f>
        <v>17.64</v>
      </c>
      <c r="C69" s="154">
        <v>1</v>
      </c>
    </row>
    <row r="70" spans="1:3">
      <c r="A70" s="152">
        <f>Sheet1!A36</f>
        <v>180</v>
      </c>
      <c r="B70" s="153">
        <f>Sheet1!B36</f>
        <v>17.899999999999999</v>
      </c>
      <c r="C70" s="154">
        <v>1</v>
      </c>
    </row>
    <row r="71" spans="1:3">
      <c r="A71" s="152">
        <f>Sheet1!A37</f>
        <v>195</v>
      </c>
      <c r="B71" s="153">
        <f>Sheet1!B37</f>
        <v>17.97</v>
      </c>
      <c r="C71" s="154">
        <v>1</v>
      </c>
    </row>
    <row r="72" spans="1:3">
      <c r="A72" s="152">
        <f>Sheet1!A38</f>
        <v>210</v>
      </c>
      <c r="B72" s="153">
        <f>Sheet1!B38</f>
        <v>18.029999999999998</v>
      </c>
      <c r="C72" s="154">
        <v>1</v>
      </c>
    </row>
    <row r="73" spans="1:3">
      <c r="A73" s="152">
        <f>Sheet1!A39</f>
        <v>225</v>
      </c>
      <c r="B73" s="153">
        <f>Sheet1!B39</f>
        <v>18.079999999999998</v>
      </c>
      <c r="C73" s="154">
        <v>1</v>
      </c>
    </row>
    <row r="74" spans="1:3">
      <c r="A74" s="152">
        <f>Sheet1!A40</f>
        <v>240</v>
      </c>
      <c r="B74" s="153">
        <f>Sheet1!B40</f>
        <v>18.36</v>
      </c>
      <c r="C74" s="154">
        <v>1</v>
      </c>
    </row>
    <row r="75" spans="1:3">
      <c r="A75" s="152">
        <f>Sheet1!A41</f>
        <v>241</v>
      </c>
      <c r="B75" s="153">
        <f>Sheet1!B41</f>
        <v>18.54</v>
      </c>
      <c r="C75" s="154">
        <v>1</v>
      </c>
    </row>
    <row r="76" spans="1:3">
      <c r="A76" s="152">
        <f>Sheet1!A42</f>
        <v>242</v>
      </c>
      <c r="B76" s="153">
        <f>Sheet1!B42</f>
        <v>18.7</v>
      </c>
      <c r="C76" s="154">
        <v>1</v>
      </c>
    </row>
    <row r="77" spans="1:3">
      <c r="A77" s="152">
        <f>Sheet1!A43</f>
        <v>243</v>
      </c>
      <c r="B77" s="153">
        <f>Sheet1!B43</f>
        <v>18.849999999999998</v>
      </c>
      <c r="C77" s="154">
        <v>1</v>
      </c>
    </row>
    <row r="78" spans="1:3">
      <c r="A78" s="152">
        <f>Sheet1!A44</f>
        <v>244</v>
      </c>
      <c r="B78" s="153">
        <f>Sheet1!B44</f>
        <v>18.989999999999998</v>
      </c>
      <c r="C78" s="154">
        <v>1</v>
      </c>
    </row>
    <row r="79" spans="1:3">
      <c r="A79" s="152">
        <f>Sheet1!A45</f>
        <v>245</v>
      </c>
      <c r="B79" s="153">
        <f>Sheet1!B45</f>
        <v>19.119999999999997</v>
      </c>
      <c r="C79" s="154">
        <v>1</v>
      </c>
    </row>
    <row r="80" spans="1:3">
      <c r="A80" s="152">
        <f>Sheet1!A46</f>
        <v>250</v>
      </c>
      <c r="B80" s="153">
        <f>Sheet1!B46</f>
        <v>21.45</v>
      </c>
      <c r="C80" s="154">
        <v>1</v>
      </c>
    </row>
    <row r="81" spans="1:3">
      <c r="A81" s="152">
        <f>Sheet1!A47</f>
        <v>255</v>
      </c>
      <c r="B81" s="153">
        <f>Sheet1!B47</f>
        <v>21.56</v>
      </c>
      <c r="C81" s="154">
        <v>1</v>
      </c>
    </row>
    <row r="82" spans="1:3">
      <c r="A82" s="152">
        <f>Sheet1!A48</f>
        <v>260</v>
      </c>
      <c r="B82" s="153">
        <f>Sheet1!B48</f>
        <v>21.97</v>
      </c>
      <c r="C82" s="154">
        <v>1</v>
      </c>
    </row>
    <row r="83" spans="1:3">
      <c r="A83" s="152">
        <f>Sheet1!A49</f>
        <v>265</v>
      </c>
      <c r="B83" s="153">
        <f>Sheet1!B49</f>
        <v>22.08</v>
      </c>
      <c r="C83" s="154">
        <v>1</v>
      </c>
    </row>
    <row r="84" spans="1:3">
      <c r="A84" s="152">
        <f>Sheet1!A50</f>
        <v>270</v>
      </c>
      <c r="B84" s="153">
        <f>Sheet1!B50</f>
        <v>22.48</v>
      </c>
      <c r="C84" s="154">
        <v>1</v>
      </c>
    </row>
    <row r="85" spans="1:3">
      <c r="A85" s="152">
        <f>Sheet1!A51</f>
        <v>275</v>
      </c>
      <c r="B85" s="153">
        <f>Sheet1!B51</f>
        <v>22.55</v>
      </c>
      <c r="C85" s="154">
        <v>1</v>
      </c>
    </row>
    <row r="86" spans="1:3">
      <c r="A86" s="152">
        <f>Sheet1!A52</f>
        <v>280</v>
      </c>
      <c r="B86" s="153">
        <f>Sheet1!B52</f>
        <v>22.6</v>
      </c>
      <c r="C86" s="154">
        <v>1</v>
      </c>
    </row>
    <row r="87" spans="1:3">
      <c r="A87" s="152">
        <f>Sheet1!A53</f>
        <v>285</v>
      </c>
      <c r="B87" s="153">
        <f>Sheet1!B53</f>
        <v>22.64</v>
      </c>
      <c r="C87" s="154">
        <v>1</v>
      </c>
    </row>
    <row r="88" spans="1:3">
      <c r="A88" s="152">
        <f>Sheet1!A54</f>
        <v>290</v>
      </c>
      <c r="B88" s="153">
        <f>Sheet1!B54</f>
        <v>22.67</v>
      </c>
      <c r="C88" s="154">
        <v>1</v>
      </c>
    </row>
    <row r="89" spans="1:3">
      <c r="A89" s="152">
        <f>Sheet1!A55</f>
        <v>295</v>
      </c>
      <c r="B89" s="153">
        <f>Sheet1!B55</f>
        <v>22.69</v>
      </c>
      <c r="C89" s="154">
        <v>1</v>
      </c>
    </row>
    <row r="90" spans="1:3">
      <c r="A90" s="152">
        <f>Sheet1!A56</f>
        <v>300</v>
      </c>
      <c r="B90" s="153">
        <f>Sheet1!B56</f>
        <v>23</v>
      </c>
      <c r="C90" s="154">
        <v>1</v>
      </c>
    </row>
    <row r="91" spans="1:3">
      <c r="A91" s="152">
        <f>Sheet1!A57</f>
        <v>315</v>
      </c>
      <c r="B91" s="153">
        <f>Sheet1!B57</f>
        <v>23.08</v>
      </c>
      <c r="C91" s="154">
        <v>1</v>
      </c>
    </row>
    <row r="92" spans="1:3">
      <c r="A92" s="152">
        <f>Sheet1!A58</f>
        <v>330</v>
      </c>
      <c r="B92" s="153">
        <f>Sheet1!B58</f>
        <v>23.139999999999997</v>
      </c>
      <c r="C92" s="154">
        <v>1</v>
      </c>
    </row>
    <row r="93" spans="1:3">
      <c r="A93" s="152">
        <f>Sheet1!A59</f>
        <v>345</v>
      </c>
      <c r="B93" s="153">
        <f>Sheet1!B59</f>
        <v>23.189999999999998</v>
      </c>
      <c r="C93" s="154">
        <v>1</v>
      </c>
    </row>
    <row r="94" spans="1:3">
      <c r="A94" s="152">
        <f>Sheet1!A60</f>
        <v>360</v>
      </c>
      <c r="B94" s="153">
        <f>Sheet1!B60</f>
        <v>23.52</v>
      </c>
      <c r="C94" s="154">
        <v>1</v>
      </c>
    </row>
    <row r="95" spans="1:3">
      <c r="A95" s="152">
        <f>Sheet1!A61</f>
        <v>361</v>
      </c>
      <c r="B95" s="153">
        <f>Sheet1!B61</f>
        <v>23.71</v>
      </c>
      <c r="C95" s="154">
        <v>1</v>
      </c>
    </row>
    <row r="96" spans="1:3">
      <c r="A96" s="152">
        <f>Sheet1!A62</f>
        <v>362</v>
      </c>
      <c r="B96" s="153">
        <f>Sheet1!B62</f>
        <v>23.880000000000003</v>
      </c>
      <c r="C96" s="154">
        <v>1</v>
      </c>
    </row>
    <row r="97" spans="1:3">
      <c r="A97" s="152">
        <f>Sheet1!A63</f>
        <v>363</v>
      </c>
      <c r="B97" s="153">
        <f>Sheet1!B63</f>
        <v>24.040000000000003</v>
      </c>
      <c r="C97" s="154">
        <v>1</v>
      </c>
    </row>
    <row r="98" spans="1:3">
      <c r="A98" s="152">
        <f>Sheet1!A64</f>
        <v>364</v>
      </c>
      <c r="B98" s="153">
        <f>Sheet1!B64</f>
        <v>24.19</v>
      </c>
      <c r="C98" s="154">
        <v>1</v>
      </c>
    </row>
    <row r="99" spans="1:3">
      <c r="A99" s="152">
        <f>Sheet1!A65</f>
        <v>365</v>
      </c>
      <c r="B99" s="153">
        <f>Sheet1!B65</f>
        <v>24.330000000000002</v>
      </c>
      <c r="C99" s="154">
        <v>1</v>
      </c>
    </row>
    <row r="100" spans="1:3">
      <c r="A100" s="152">
        <f>Sheet1!A66</f>
        <v>370</v>
      </c>
      <c r="B100" s="153">
        <f>Sheet1!B66</f>
        <v>26.97</v>
      </c>
      <c r="C100" s="154">
        <v>1</v>
      </c>
    </row>
    <row r="101" spans="1:3">
      <c r="A101" s="152">
        <f>Sheet1!A67</f>
        <v>375</v>
      </c>
      <c r="B101" s="153">
        <f>Sheet1!B67</f>
        <v>27.09</v>
      </c>
      <c r="C101" s="154">
        <v>1</v>
      </c>
    </row>
    <row r="102" spans="1:3">
      <c r="A102" s="152">
        <f>Sheet1!A68</f>
        <v>380</v>
      </c>
      <c r="B102" s="153">
        <f>Sheet1!B68</f>
        <v>27.55</v>
      </c>
      <c r="C102" s="154">
        <v>1</v>
      </c>
    </row>
    <row r="103" spans="1:3">
      <c r="A103" s="152">
        <f>Sheet1!A69</f>
        <v>385</v>
      </c>
      <c r="B103" s="153">
        <f>Sheet1!B69</f>
        <v>27.67</v>
      </c>
      <c r="C103" s="154">
        <v>1</v>
      </c>
    </row>
    <row r="104" spans="1:3">
      <c r="A104" s="152">
        <f>Sheet1!A70</f>
        <v>390</v>
      </c>
      <c r="B104" s="153">
        <f>Sheet1!B70</f>
        <v>28.12</v>
      </c>
      <c r="C104" s="154">
        <v>1</v>
      </c>
    </row>
    <row r="105" spans="1:3">
      <c r="A105" s="152">
        <f>Sheet1!A71</f>
        <v>395</v>
      </c>
      <c r="B105" s="153">
        <f>Sheet1!B71</f>
        <v>28.19</v>
      </c>
      <c r="C105" s="154">
        <v>1</v>
      </c>
    </row>
    <row r="106" spans="1:3">
      <c r="A106" s="152">
        <f>Sheet1!A72</f>
        <v>400</v>
      </c>
      <c r="B106" s="153">
        <f>Sheet1!B72</f>
        <v>28.240000000000002</v>
      </c>
      <c r="C106" s="154">
        <v>1</v>
      </c>
    </row>
    <row r="107" spans="1:3">
      <c r="A107" s="152">
        <f>Sheet1!A73</f>
        <v>405</v>
      </c>
      <c r="B107" s="153">
        <f>Sheet1!B73</f>
        <v>28.28</v>
      </c>
      <c r="C107" s="154">
        <v>1</v>
      </c>
    </row>
    <row r="108" spans="1:3">
      <c r="A108" s="152">
        <f>Sheet1!A74</f>
        <v>410</v>
      </c>
      <c r="B108" s="153">
        <f>Sheet1!B74</f>
        <v>28.310000000000002</v>
      </c>
      <c r="C108" s="154">
        <v>1</v>
      </c>
    </row>
    <row r="109" spans="1:3">
      <c r="A109" s="152">
        <f>Sheet1!A75</f>
        <v>415</v>
      </c>
      <c r="B109" s="153">
        <f>Sheet1!B75</f>
        <v>28.340000000000003</v>
      </c>
      <c r="C109" s="154">
        <v>1</v>
      </c>
    </row>
    <row r="110" spans="1:3">
      <c r="A110" s="152">
        <f>Sheet1!A76</f>
        <v>420</v>
      </c>
      <c r="B110" s="153">
        <f>Sheet1!B76</f>
        <v>28.7</v>
      </c>
      <c r="C110" s="154">
        <v>1</v>
      </c>
    </row>
    <row r="111" spans="1:3">
      <c r="A111" s="152">
        <f>Sheet1!A77</f>
        <v>435</v>
      </c>
      <c r="B111" s="153">
        <f>Sheet1!B77</f>
        <v>28.79</v>
      </c>
      <c r="C111" s="154">
        <v>1</v>
      </c>
    </row>
    <row r="112" spans="1:3">
      <c r="A112" s="152">
        <f>Sheet1!A78</f>
        <v>450</v>
      </c>
      <c r="B112" s="153">
        <f>Sheet1!B78</f>
        <v>28.86</v>
      </c>
      <c r="C112" s="154">
        <v>1</v>
      </c>
    </row>
    <row r="113" spans="1:3">
      <c r="A113" s="152">
        <f>Sheet1!A79</f>
        <v>465</v>
      </c>
      <c r="B113" s="153">
        <f>Sheet1!B79</f>
        <v>28.91</v>
      </c>
      <c r="C113" s="154">
        <v>1</v>
      </c>
    </row>
    <row r="114" spans="1:3">
      <c r="A114" s="152">
        <f>Sheet1!A80</f>
        <v>480</v>
      </c>
      <c r="B114" s="153">
        <f>Sheet1!B80</f>
        <v>29.28</v>
      </c>
      <c r="C114" s="154">
        <v>1</v>
      </c>
    </row>
    <row r="115" spans="1:3">
      <c r="A115" s="152">
        <f>Sheet1!A81</f>
        <v>481</v>
      </c>
      <c r="B115" s="153">
        <f>Sheet1!B81</f>
        <v>29.490000000000002</v>
      </c>
      <c r="C115" s="154">
        <v>1</v>
      </c>
    </row>
    <row r="116" spans="1:3">
      <c r="A116" s="152">
        <f>Sheet1!A82</f>
        <v>482</v>
      </c>
      <c r="B116" s="153">
        <f>Sheet1!B82</f>
        <v>29.680000000000003</v>
      </c>
      <c r="C116" s="154">
        <v>1</v>
      </c>
    </row>
    <row r="117" spans="1:3">
      <c r="A117" s="152">
        <f>Sheet1!A83</f>
        <v>483</v>
      </c>
      <c r="B117" s="153">
        <f>Sheet1!B83</f>
        <v>29.850000000000005</v>
      </c>
      <c r="C117" s="154">
        <v>1</v>
      </c>
    </row>
    <row r="118" spans="1:3">
      <c r="A118" s="152">
        <f>Sheet1!A84</f>
        <v>484</v>
      </c>
      <c r="B118" s="153">
        <f>Sheet1!B84</f>
        <v>30.010000000000005</v>
      </c>
      <c r="C118" s="154">
        <v>1</v>
      </c>
    </row>
    <row r="119" spans="1:3">
      <c r="A119" s="152">
        <f>Sheet1!A85</f>
        <v>485</v>
      </c>
      <c r="B119" s="153">
        <f>Sheet1!B85</f>
        <v>30.150000000000006</v>
      </c>
      <c r="C119" s="154">
        <v>1</v>
      </c>
    </row>
    <row r="120" spans="1:3">
      <c r="A120" s="152">
        <f>Sheet1!A86</f>
        <v>490</v>
      </c>
      <c r="B120" s="153">
        <f>Sheet1!B86</f>
        <v>32.79</v>
      </c>
      <c r="C120" s="154">
        <v>1</v>
      </c>
    </row>
    <row r="121" spans="1:3">
      <c r="A121" s="152">
        <f>Sheet1!A87</f>
        <v>495</v>
      </c>
      <c r="B121" s="153">
        <f>Sheet1!B87</f>
        <v>33.1</v>
      </c>
      <c r="C121" s="154">
        <v>1</v>
      </c>
    </row>
    <row r="122" spans="1:3">
      <c r="A122" s="152">
        <f>Sheet1!A88</f>
        <v>500</v>
      </c>
      <c r="B122" s="153">
        <f>Sheet1!B88</f>
        <v>34.1</v>
      </c>
      <c r="C122" s="154">
        <v>1</v>
      </c>
    </row>
    <row r="123" spans="1:3">
      <c r="A123" s="152">
        <f>Sheet1!A89</f>
        <v>505</v>
      </c>
      <c r="B123" s="153">
        <f>Sheet1!B89</f>
        <v>34.4</v>
      </c>
      <c r="C123" s="154">
        <v>1</v>
      </c>
    </row>
    <row r="124" spans="1:3">
      <c r="A124" s="152">
        <f>Sheet1!A90</f>
        <v>510</v>
      </c>
      <c r="B124" s="153">
        <f>Sheet1!B90</f>
        <v>35.42</v>
      </c>
      <c r="C124" s="154">
        <v>1</v>
      </c>
    </row>
    <row r="125" spans="1:3">
      <c r="A125" s="152">
        <f>Sheet1!A91</f>
        <v>515</v>
      </c>
      <c r="B125" s="153">
        <f>Sheet1!B91</f>
        <v>35.57</v>
      </c>
      <c r="C125" s="154">
        <v>1</v>
      </c>
    </row>
    <row r="126" spans="1:3">
      <c r="A126" s="152">
        <f>Sheet1!A92</f>
        <v>520</v>
      </c>
      <c r="B126" s="153">
        <f>Sheet1!B92</f>
        <v>35.700000000000003</v>
      </c>
      <c r="C126" s="154">
        <v>1</v>
      </c>
    </row>
    <row r="127" spans="1:3">
      <c r="A127" s="152">
        <f>Sheet1!A93</f>
        <v>525</v>
      </c>
      <c r="B127" s="153">
        <f>Sheet1!B93</f>
        <v>35.81</v>
      </c>
      <c r="C127" s="154">
        <v>1</v>
      </c>
    </row>
    <row r="128" spans="1:3">
      <c r="A128" s="152">
        <f>Sheet1!A94</f>
        <v>530</v>
      </c>
      <c r="B128" s="153">
        <f>Sheet1!B94</f>
        <v>35.89</v>
      </c>
      <c r="C128" s="154">
        <v>1</v>
      </c>
    </row>
    <row r="129" spans="1:3">
      <c r="A129" s="152">
        <f>Sheet1!A95</f>
        <v>535</v>
      </c>
      <c r="B129" s="153">
        <f>Sheet1!B95</f>
        <v>35.96</v>
      </c>
      <c r="C129" s="154">
        <v>1</v>
      </c>
    </row>
    <row r="130" spans="1:3">
      <c r="A130" s="152">
        <f>Sheet1!A96</f>
        <v>540</v>
      </c>
      <c r="B130" s="153">
        <f>Sheet1!B96</f>
        <v>36.74</v>
      </c>
      <c r="C130" s="154">
        <v>1</v>
      </c>
    </row>
    <row r="131" spans="1:3">
      <c r="A131" s="152">
        <f>Sheet1!A97</f>
        <v>555</v>
      </c>
      <c r="B131" s="153">
        <f>Sheet1!B97</f>
        <v>36.93</v>
      </c>
      <c r="C131" s="154">
        <v>1</v>
      </c>
    </row>
    <row r="132" spans="1:3">
      <c r="A132" s="152">
        <f>Sheet1!A98</f>
        <v>570</v>
      </c>
      <c r="B132" s="153">
        <f>Sheet1!B98</f>
        <v>37.089999999999996</v>
      </c>
      <c r="C132" s="154">
        <v>1</v>
      </c>
    </row>
    <row r="133" spans="1:3">
      <c r="A133" s="152">
        <f>Sheet1!A99</f>
        <v>585</v>
      </c>
      <c r="B133" s="153">
        <f>Sheet1!B99</f>
        <v>37.229999999999997</v>
      </c>
      <c r="C133" s="154">
        <v>1</v>
      </c>
    </row>
    <row r="134" spans="1:3">
      <c r="A134" s="152">
        <f>Sheet1!A100</f>
        <v>600</v>
      </c>
      <c r="B134" s="153">
        <f>Sheet1!B100</f>
        <v>38.06</v>
      </c>
      <c r="C134" s="154">
        <v>1</v>
      </c>
    </row>
    <row r="135" spans="1:3">
      <c r="A135" s="152" t="s">
        <v>202</v>
      </c>
      <c r="B135" s="153"/>
      <c r="C135" s="15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50" sqref="I50"/>
    </sheetView>
  </sheetViews>
  <sheetFormatPr defaultColWidth="9" defaultRowHeight="16.5"/>
  <cols>
    <col min="1" max="1" width="9" style="94"/>
    <col min="2" max="3" width="9" style="95"/>
    <col min="4" max="16384" width="9" style="94"/>
  </cols>
  <sheetData>
    <row r="1" spans="1:3">
      <c r="B1" s="94"/>
    </row>
    <row r="2" spans="1:3">
      <c r="A2" s="152" t="s">
        <v>195</v>
      </c>
      <c r="B2" s="152"/>
      <c r="C2" s="153"/>
    </row>
    <row r="3" spans="1:3">
      <c r="A3" s="152">
        <v>2</v>
      </c>
      <c r="B3" s="152"/>
      <c r="C3" s="153"/>
    </row>
    <row r="4" spans="1:3">
      <c r="A4" s="152">
        <v>1</v>
      </c>
      <c r="B4" s="152"/>
      <c r="C4" s="153"/>
    </row>
    <row r="5" spans="1:3">
      <c r="A5" s="152">
        <v>6</v>
      </c>
      <c r="B5" s="152"/>
      <c r="C5" s="153"/>
    </row>
    <row r="6" spans="1:3">
      <c r="A6" s="152" t="s">
        <v>196</v>
      </c>
      <c r="B6" s="152"/>
      <c r="C6" s="153"/>
    </row>
    <row r="7" spans="1:3">
      <c r="A7" s="152">
        <f>Step.Select!A7</f>
        <v>75</v>
      </c>
      <c r="B7" s="152"/>
      <c r="C7" s="153"/>
    </row>
    <row r="8" spans="1:3">
      <c r="A8" s="152" t="s">
        <v>197</v>
      </c>
      <c r="B8" s="152"/>
      <c r="C8" s="153"/>
    </row>
    <row r="9" spans="1:3">
      <c r="A9" s="152">
        <v>1</v>
      </c>
      <c r="B9" s="152"/>
      <c r="C9" s="153"/>
    </row>
    <row r="10" spans="1:3">
      <c r="A10" s="152" t="s">
        <v>198</v>
      </c>
      <c r="B10" s="152"/>
      <c r="C10" s="153"/>
    </row>
    <row r="11" spans="1:3">
      <c r="A11" s="152">
        <v>1</v>
      </c>
      <c r="B11" s="152"/>
      <c r="C11" s="153"/>
    </row>
    <row r="12" spans="1:3">
      <c r="A12" s="152" t="s">
        <v>199</v>
      </c>
      <c r="B12" s="152"/>
      <c r="C12" s="153"/>
    </row>
    <row r="13" spans="1:3">
      <c r="A13" s="152">
        <v>1</v>
      </c>
      <c r="B13" s="152"/>
      <c r="C13" s="153"/>
    </row>
    <row r="14" spans="1:3">
      <c r="A14" s="152" t="s">
        <v>200</v>
      </c>
      <c r="B14" s="152"/>
      <c r="C14" s="153"/>
    </row>
    <row r="15" spans="1:3">
      <c r="A15" s="152" t="str">
        <f>Input!I54</f>
        <v>W-1</v>
      </c>
      <c r="B15" s="152"/>
      <c r="C15" s="153"/>
    </row>
    <row r="16" spans="1:3">
      <c r="A16" s="152">
        <v>0</v>
      </c>
      <c r="B16" s="152"/>
      <c r="C16" s="153"/>
    </row>
    <row r="17" spans="1:3">
      <c r="A17" s="152">
        <v>0</v>
      </c>
      <c r="B17" s="152"/>
      <c r="C17" s="153"/>
    </row>
    <row r="18" spans="1:3">
      <c r="A18" s="152">
        <f>Step.Select!A18</f>
        <v>0.125</v>
      </c>
      <c r="B18" s="152"/>
      <c r="C18" s="153"/>
    </row>
    <row r="19" spans="1:3">
      <c r="A19" s="152">
        <f>Step.Select!A19</f>
        <v>0.125</v>
      </c>
      <c r="B19" s="152"/>
      <c r="C19" s="153"/>
    </row>
    <row r="20" spans="1:3">
      <c r="A20" s="152">
        <v>0</v>
      </c>
      <c r="B20" s="152"/>
      <c r="C20" s="153"/>
    </row>
    <row r="21" spans="1:3">
      <c r="A21" s="152">
        <v>0</v>
      </c>
      <c r="B21" s="152"/>
      <c r="C21" s="153"/>
    </row>
    <row r="22" spans="1:3">
      <c r="A22" s="152">
        <v>1</v>
      </c>
      <c r="B22" s="152"/>
      <c r="C22" s="153"/>
    </row>
    <row r="23" spans="1:3">
      <c r="A23" s="152">
        <v>1</v>
      </c>
      <c r="B23" s="152"/>
      <c r="C23" s="153"/>
    </row>
    <row r="24" spans="1:3">
      <c r="A24" s="154">
        <v>0</v>
      </c>
      <c r="B24" s="154">
        <f>Input!M51</f>
        <v>160</v>
      </c>
      <c r="C24" s="153"/>
    </row>
    <row r="25" spans="1:3">
      <c r="A25" s="152" t="s">
        <v>201</v>
      </c>
      <c r="B25" s="152"/>
      <c r="C25" s="153"/>
    </row>
    <row r="26" spans="1:3">
      <c r="A26" s="152" t="str">
        <f>A15</f>
        <v>W-1</v>
      </c>
      <c r="B26" s="152"/>
      <c r="C26" s="153"/>
    </row>
    <row r="27" spans="1:3">
      <c r="A27" s="155">
        <f>SkinFactor!C8</f>
        <v>2.339</v>
      </c>
      <c r="B27" s="152"/>
      <c r="C27" s="153"/>
    </row>
    <row r="28" spans="1:3">
      <c r="A28" s="152">
        <v>0</v>
      </c>
      <c r="B28" s="152"/>
      <c r="C28" s="153"/>
    </row>
    <row r="29" spans="1:3">
      <c r="A29" s="152">
        <v>0</v>
      </c>
      <c r="B29" s="152"/>
      <c r="C29" s="153"/>
    </row>
    <row r="30" spans="1:3">
      <c r="A30" s="154">
        <f>SUM(C31:C98)</f>
        <v>68</v>
      </c>
      <c r="B30" s="152"/>
      <c r="C30" s="153"/>
    </row>
    <row r="31" spans="1:3">
      <c r="A31" s="152">
        <f>LongTest!D10</f>
        <v>1</v>
      </c>
      <c r="B31" s="156">
        <f>LongTest!G10</f>
        <v>2.2682757361067729</v>
      </c>
      <c r="C31" s="154">
        <v>1</v>
      </c>
    </row>
    <row r="32" spans="1:3">
      <c r="A32" s="152">
        <f>LongTest!D11</f>
        <v>2</v>
      </c>
      <c r="B32" s="156">
        <f>LongTest!G11</f>
        <v>4.2999934923807039</v>
      </c>
      <c r="C32" s="154">
        <v>1</v>
      </c>
    </row>
    <row r="33" spans="1:3">
      <c r="A33" s="152">
        <f>LongTest!D12</f>
        <v>3</v>
      </c>
      <c r="B33" s="156">
        <f>LongTest!G12</f>
        <v>5.4884721918502812</v>
      </c>
      <c r="C33" s="154">
        <v>1</v>
      </c>
    </row>
    <row r="34" spans="1:3">
      <c r="A34" s="152">
        <f>LongTest!D13</f>
        <v>4</v>
      </c>
      <c r="B34" s="156">
        <f>LongTest!G13</f>
        <v>6.331711248654635</v>
      </c>
      <c r="C34" s="154">
        <v>1</v>
      </c>
    </row>
    <row r="35" spans="1:3">
      <c r="A35" s="152">
        <f>LongTest!D14</f>
        <v>5</v>
      </c>
      <c r="B35" s="156">
        <f>LongTest!G14</f>
        <v>6.985778275280726</v>
      </c>
      <c r="C35" s="154">
        <v>1</v>
      </c>
    </row>
    <row r="36" spans="1:3">
      <c r="A36" s="152">
        <f>LongTest!D15</f>
        <v>10</v>
      </c>
      <c r="B36" s="156">
        <f>LongTest!G15</f>
        <v>9.0174960315546606</v>
      </c>
      <c r="C36" s="154">
        <v>1</v>
      </c>
    </row>
    <row r="37" spans="1:3">
      <c r="A37" s="152">
        <f>LongTest!D16</f>
        <v>15</v>
      </c>
      <c r="B37" s="156">
        <f>LongTest!G16</f>
        <v>10.205974731024234</v>
      </c>
      <c r="C37" s="154">
        <v>1</v>
      </c>
    </row>
    <row r="38" spans="1:3">
      <c r="A38" s="152">
        <f>LongTest!D17</f>
        <v>20</v>
      </c>
      <c r="B38" s="156">
        <f>LongTest!G17</f>
        <v>11.049213787828592</v>
      </c>
      <c r="C38" s="154">
        <v>1</v>
      </c>
    </row>
    <row r="39" spans="1:3">
      <c r="A39" s="152">
        <f>LongTest!D18</f>
        <v>25</v>
      </c>
      <c r="B39" s="156">
        <f>LongTest!G18</f>
        <v>11.703280814454683</v>
      </c>
      <c r="C39" s="154">
        <v>1</v>
      </c>
    </row>
    <row r="40" spans="1:3">
      <c r="A40" s="152">
        <f>LongTest!D19</f>
        <v>30</v>
      </c>
      <c r="B40" s="156">
        <f>LongTest!G19</f>
        <v>12.237692487298165</v>
      </c>
      <c r="C40" s="154">
        <v>1</v>
      </c>
    </row>
    <row r="41" spans="1:3">
      <c r="A41" s="152">
        <f>LongTest!D20</f>
        <v>35</v>
      </c>
      <c r="B41" s="156">
        <f>LongTest!G20</f>
        <v>12.689531118588182</v>
      </c>
      <c r="C41" s="154">
        <v>1</v>
      </c>
    </row>
    <row r="42" spans="1:3">
      <c r="A42" s="152">
        <f>LongTest!D21</f>
        <v>40</v>
      </c>
      <c r="B42" s="156">
        <f>LongTest!G21</f>
        <v>13.080931544102523</v>
      </c>
      <c r="C42" s="154">
        <v>1</v>
      </c>
    </row>
    <row r="43" spans="1:3">
      <c r="A43" s="152">
        <f>LongTest!D22</f>
        <v>45</v>
      </c>
      <c r="B43" s="156">
        <f>LongTest!G22</f>
        <v>13.426171186767743</v>
      </c>
      <c r="C43" s="154">
        <v>1</v>
      </c>
    </row>
    <row r="44" spans="1:3">
      <c r="A44" s="152">
        <f>LongTest!D23</f>
        <v>50</v>
      </c>
      <c r="B44" s="156">
        <f>LongTest!G23</f>
        <v>13.734998570728614</v>
      </c>
      <c r="C44" s="154">
        <v>1</v>
      </c>
    </row>
    <row r="45" spans="1:3">
      <c r="A45" s="152">
        <f>LongTest!D24</f>
        <v>55</v>
      </c>
      <c r="B45" s="156">
        <f>LongTest!G24</f>
        <v>14.014366921481592</v>
      </c>
      <c r="C45" s="154">
        <v>1</v>
      </c>
    </row>
    <row r="46" spans="1:3">
      <c r="A46" s="152">
        <f>LongTest!D25</f>
        <v>60</v>
      </c>
      <c r="B46" s="156">
        <f>LongTest!G25</f>
        <v>14.2694102435721</v>
      </c>
      <c r="C46" s="154">
        <v>1</v>
      </c>
    </row>
    <row r="47" spans="1:3">
      <c r="A47" s="152">
        <f>LongTest!D26</f>
        <v>75</v>
      </c>
      <c r="B47" s="156">
        <f>LongTest!G26</f>
        <v>14.923477270198191</v>
      </c>
      <c r="C47" s="154">
        <v>1</v>
      </c>
    </row>
    <row r="48" spans="1:3">
      <c r="A48" s="152">
        <f>LongTest!D27</f>
        <v>90</v>
      </c>
      <c r="B48" s="156">
        <f>LongTest!G27</f>
        <v>15.457888943041674</v>
      </c>
      <c r="C48" s="154">
        <v>1</v>
      </c>
    </row>
    <row r="49" spans="1:3">
      <c r="A49" s="152">
        <f>LongTest!D28</f>
        <v>105</v>
      </c>
      <c r="B49" s="156">
        <f>LongTest!G28</f>
        <v>15.909727574331686</v>
      </c>
      <c r="C49" s="154">
        <v>1</v>
      </c>
    </row>
    <row r="50" spans="1:3">
      <c r="A50" s="152">
        <f>LongTest!D29</f>
        <v>120</v>
      </c>
      <c r="B50" s="156">
        <f>LongTest!G29</f>
        <v>16.301127999846027</v>
      </c>
      <c r="C50" s="154">
        <v>1</v>
      </c>
    </row>
    <row r="51" spans="1:3">
      <c r="A51" s="152">
        <f>LongTest!D30</f>
        <v>140</v>
      </c>
      <c r="B51" s="156">
        <f>LongTest!G30</f>
        <v>16.752966631136044</v>
      </c>
      <c r="C51" s="154">
        <v>1</v>
      </c>
    </row>
    <row r="52" spans="1:3">
      <c r="A52" s="152">
        <f>LongTest!D31</f>
        <v>160</v>
      </c>
      <c r="B52" s="156">
        <f>LongTest!G31</f>
        <v>17.144367056650385</v>
      </c>
      <c r="C52" s="154">
        <v>1</v>
      </c>
    </row>
    <row r="53" spans="1:3">
      <c r="A53" s="152">
        <f>LongTest!D32</f>
        <v>180</v>
      </c>
      <c r="B53" s="156">
        <f>LongTest!G32</f>
        <v>17.489606699315605</v>
      </c>
      <c r="C53" s="154">
        <v>1</v>
      </c>
    </row>
    <row r="54" spans="1:3">
      <c r="A54" s="152">
        <f>LongTest!D33</f>
        <v>240</v>
      </c>
      <c r="B54" s="156">
        <f>LongTest!G33</f>
        <v>18.332845756119962</v>
      </c>
      <c r="C54" s="154">
        <v>1</v>
      </c>
    </row>
    <row r="55" spans="1:3">
      <c r="A55" s="152">
        <f>LongTest!D34</f>
        <v>300</v>
      </c>
      <c r="B55" s="156">
        <f>LongTest!G34</f>
        <v>18.986912782746057</v>
      </c>
      <c r="C55" s="154">
        <v>1</v>
      </c>
    </row>
    <row r="56" spans="1:3">
      <c r="A56" s="152">
        <f>LongTest!D35</f>
        <v>360</v>
      </c>
      <c r="B56" s="156">
        <f>LongTest!G35</f>
        <v>19.521324455589539</v>
      </c>
      <c r="C56" s="154">
        <v>1</v>
      </c>
    </row>
    <row r="57" spans="1:3">
      <c r="A57" s="152">
        <f>LongTest!D36</f>
        <v>420</v>
      </c>
      <c r="B57" s="156">
        <f>LongTest!G36</f>
        <v>19.973163086879548</v>
      </c>
      <c r="C57" s="154">
        <v>1</v>
      </c>
    </row>
    <row r="58" spans="1:3">
      <c r="A58" s="152">
        <f>LongTest!D37</f>
        <v>480</v>
      </c>
      <c r="B58" s="156">
        <f>LongTest!G37</f>
        <v>20.364563512393897</v>
      </c>
      <c r="C58" s="154">
        <v>1</v>
      </c>
    </row>
    <row r="59" spans="1:3">
      <c r="A59" s="152">
        <f>LongTest!D38</f>
        <v>540</v>
      </c>
      <c r="B59" s="156">
        <f>LongTest!G38</f>
        <v>20.70980315505911</v>
      </c>
      <c r="C59" s="154">
        <v>1</v>
      </c>
    </row>
    <row r="60" spans="1:3">
      <c r="A60" s="152">
        <f>LongTest!D39</f>
        <v>600</v>
      </c>
      <c r="B60" s="156">
        <f>LongTest!G39</f>
        <v>21.018630539019984</v>
      </c>
      <c r="C60" s="154">
        <v>1</v>
      </c>
    </row>
    <row r="61" spans="1:3">
      <c r="A61" s="152">
        <f>LongTest!D40</f>
        <v>660</v>
      </c>
      <c r="B61" s="156">
        <f>LongTest!G40</f>
        <v>21.297998889772966</v>
      </c>
      <c r="C61" s="154">
        <v>1</v>
      </c>
    </row>
    <row r="62" spans="1:3">
      <c r="A62" s="152">
        <f>LongTest!D41</f>
        <v>720</v>
      </c>
      <c r="B62" s="156">
        <f>LongTest!G41</f>
        <v>21.553042211863467</v>
      </c>
      <c r="C62" s="154">
        <v>1</v>
      </c>
    </row>
    <row r="63" spans="1:3">
      <c r="A63" s="152">
        <f>LongTest!D42</f>
        <v>780</v>
      </c>
      <c r="B63" s="156">
        <f>LongTest!G42</f>
        <v>21.787659324940659</v>
      </c>
      <c r="C63" s="154">
        <v>1</v>
      </c>
    </row>
    <row r="64" spans="1:3">
      <c r="A64" s="152">
        <f>LongTest!D43</f>
        <v>840</v>
      </c>
      <c r="B64" s="156">
        <f>LongTest!G43</f>
        <v>22.004880843153483</v>
      </c>
      <c r="C64" s="154">
        <v>1</v>
      </c>
    </row>
    <row r="65" spans="1:3">
      <c r="A65" s="152">
        <f>LongTest!D44</f>
        <v>900</v>
      </c>
      <c r="B65" s="156">
        <f>LongTest!G44</f>
        <v>22.207109238489561</v>
      </c>
      <c r="C65" s="154">
        <v>1</v>
      </c>
    </row>
    <row r="66" spans="1:3">
      <c r="A66" s="152">
        <f>LongTest!D45</f>
        <v>960</v>
      </c>
      <c r="B66" s="156">
        <f>LongTest!G45</f>
        <v>22.396281268667824</v>
      </c>
      <c r="C66" s="154">
        <v>1</v>
      </c>
    </row>
    <row r="67" spans="1:3">
      <c r="A67" s="152">
        <f>LongTest!D46</f>
        <v>1020</v>
      </c>
      <c r="B67" s="156">
        <f>LongTest!G46</f>
        <v>22.573981076250309</v>
      </c>
      <c r="C67" s="154">
        <v>1</v>
      </c>
    </row>
    <row r="68" spans="1:3">
      <c r="A68" s="152">
        <f>LongTest!D47</f>
        <v>1080</v>
      </c>
      <c r="B68" s="156">
        <f>LongTest!G47</f>
        <v>22.741520911333037</v>
      </c>
      <c r="C68" s="154">
        <v>1</v>
      </c>
    </row>
    <row r="69" spans="1:3">
      <c r="A69" s="152">
        <f>LongTest!D48</f>
        <v>1140</v>
      </c>
      <c r="B69" s="156">
        <f>LongTest!G48</f>
        <v>22.900000000000002</v>
      </c>
      <c r="C69" s="154">
        <v>1</v>
      </c>
    </row>
    <row r="70" spans="1:3">
      <c r="A70" s="152">
        <f>LongTest!D49</f>
        <v>1200</v>
      </c>
      <c r="B70" s="156">
        <f>LongTest!G49</f>
        <v>22.900000000000002</v>
      </c>
      <c r="C70" s="154">
        <v>1</v>
      </c>
    </row>
    <row r="71" spans="1:3">
      <c r="A71" s="152">
        <f>LongTest!D50</f>
        <v>1260</v>
      </c>
      <c r="B71" s="156">
        <f>LongTest!G50</f>
        <v>22.900000000000002</v>
      </c>
      <c r="C71" s="154">
        <v>1</v>
      </c>
    </row>
    <row r="72" spans="1:3">
      <c r="A72" s="152">
        <f>LongTest!D51</f>
        <v>1320</v>
      </c>
      <c r="B72" s="156">
        <f>LongTest!G51</f>
        <v>22.900000000000002</v>
      </c>
      <c r="C72" s="154">
        <v>1</v>
      </c>
    </row>
    <row r="73" spans="1:3">
      <c r="A73" s="152">
        <f>LongTest!D52</f>
        <v>1380</v>
      </c>
      <c r="B73" s="156">
        <f>LongTest!G52</f>
        <v>22.900000000000002</v>
      </c>
      <c r="C73" s="154">
        <v>1</v>
      </c>
    </row>
    <row r="74" spans="1:3">
      <c r="A74" s="152">
        <f>LongTest!D53</f>
        <v>1440</v>
      </c>
      <c r="B74" s="156">
        <f>LongTest!G53</f>
        <v>22.900000000000002</v>
      </c>
      <c r="C74" s="154">
        <v>1</v>
      </c>
    </row>
    <row r="75" spans="1:3">
      <c r="A75" s="152">
        <f>LongTest!D54</f>
        <v>1500</v>
      </c>
      <c r="B75" s="156">
        <f>LongTest!G54</f>
        <v>22.900000000000002</v>
      </c>
      <c r="C75" s="154">
        <v>1</v>
      </c>
    </row>
    <row r="76" spans="1:3">
      <c r="A76" s="152">
        <f>LongTest!D55</f>
        <v>1560</v>
      </c>
      <c r="B76" s="156">
        <f>LongTest!G55</f>
        <v>22.900000000000002</v>
      </c>
      <c r="C76" s="154">
        <v>1</v>
      </c>
    </row>
    <row r="77" spans="1:3">
      <c r="A77" s="152">
        <f>LongTest!D56</f>
        <v>1620</v>
      </c>
      <c r="B77" s="156">
        <f>LongTest!G56</f>
        <v>22.900000000000002</v>
      </c>
      <c r="C77" s="154">
        <v>1</v>
      </c>
    </row>
    <row r="78" spans="1:3">
      <c r="A78" s="152">
        <f>LongTest!D57</f>
        <v>1680</v>
      </c>
      <c r="B78" s="156">
        <f>LongTest!G57</f>
        <v>22.900000000000002</v>
      </c>
      <c r="C78" s="154">
        <v>1</v>
      </c>
    </row>
    <row r="79" spans="1:3">
      <c r="A79" s="152">
        <f>LongTest!D58</f>
        <v>1740</v>
      </c>
      <c r="B79" s="156">
        <f>LongTest!G58</f>
        <v>22.900000000000002</v>
      </c>
      <c r="C79" s="154">
        <v>1</v>
      </c>
    </row>
    <row r="80" spans="1:3">
      <c r="A80" s="152">
        <f>LongTest!D59</f>
        <v>1800</v>
      </c>
      <c r="B80" s="156">
        <f>LongTest!G59</f>
        <v>22.900000000000002</v>
      </c>
      <c r="C80" s="154">
        <v>1</v>
      </c>
    </row>
    <row r="81" spans="1:3">
      <c r="A81" s="152">
        <f>LongTest!D60</f>
        <v>1860</v>
      </c>
      <c r="B81" s="156">
        <f>LongTest!G60</f>
        <v>22.900000000000002</v>
      </c>
      <c r="C81" s="154">
        <v>1</v>
      </c>
    </row>
    <row r="82" spans="1:3">
      <c r="A82" s="152">
        <f>LongTest!D61</f>
        <v>1920</v>
      </c>
      <c r="B82" s="156">
        <f>LongTest!G61</f>
        <v>22.900000000000002</v>
      </c>
      <c r="C82" s="154">
        <v>1</v>
      </c>
    </row>
    <row r="83" spans="1:3">
      <c r="A83" s="152">
        <f>LongTest!D62</f>
        <v>1980</v>
      </c>
      <c r="B83" s="156">
        <f>LongTest!G62</f>
        <v>22.900000000000002</v>
      </c>
      <c r="C83" s="154">
        <v>1</v>
      </c>
    </row>
    <row r="84" spans="1:3">
      <c r="A84" s="152">
        <f>LongTest!D63</f>
        <v>2040</v>
      </c>
      <c r="B84" s="156">
        <f>LongTest!G63</f>
        <v>22.900000000000002</v>
      </c>
      <c r="C84" s="154">
        <v>1</v>
      </c>
    </row>
    <row r="85" spans="1:3">
      <c r="A85" s="152">
        <f>LongTest!D64</f>
        <v>2100</v>
      </c>
      <c r="B85" s="156">
        <f>LongTest!G64</f>
        <v>22.900000000000002</v>
      </c>
      <c r="C85" s="154">
        <v>1</v>
      </c>
    </row>
    <row r="86" spans="1:3">
      <c r="A86" s="152">
        <f>LongTest!D65</f>
        <v>2160</v>
      </c>
      <c r="B86" s="156">
        <f>LongTest!G65</f>
        <v>22.900000000000002</v>
      </c>
      <c r="C86" s="154">
        <v>1</v>
      </c>
    </row>
    <row r="87" spans="1:3">
      <c r="A87" s="152">
        <f>LongTest!D66</f>
        <v>2220</v>
      </c>
      <c r="B87" s="156">
        <f>LongTest!G66</f>
        <v>22.900000000000002</v>
      </c>
      <c r="C87" s="154">
        <v>1</v>
      </c>
    </row>
    <row r="88" spans="1:3">
      <c r="A88" s="152">
        <f>LongTest!D67</f>
        <v>2280</v>
      </c>
      <c r="B88" s="156">
        <f>LongTest!G67</f>
        <v>22.900000000000002</v>
      </c>
      <c r="C88" s="154">
        <v>1</v>
      </c>
    </row>
    <row r="89" spans="1:3">
      <c r="A89" s="152">
        <f>LongTest!D68</f>
        <v>2340</v>
      </c>
      <c r="B89" s="156">
        <f>LongTest!G68</f>
        <v>22.900000000000002</v>
      </c>
      <c r="C89" s="154">
        <v>1</v>
      </c>
    </row>
    <row r="90" spans="1:3">
      <c r="A90" s="152">
        <f>LongTest!D69</f>
        <v>2400</v>
      </c>
      <c r="B90" s="156">
        <f>LongTest!G69</f>
        <v>22.900000000000002</v>
      </c>
      <c r="C90" s="154">
        <v>1</v>
      </c>
    </row>
    <row r="91" spans="1:3">
      <c r="A91" s="152">
        <f>LongTest!D70</f>
        <v>2460</v>
      </c>
      <c r="B91" s="156">
        <f>LongTest!G70</f>
        <v>22.900000000000002</v>
      </c>
      <c r="C91" s="154">
        <v>1</v>
      </c>
    </row>
    <row r="92" spans="1:3">
      <c r="A92" s="152">
        <f>LongTest!D71</f>
        <v>2520</v>
      </c>
      <c r="B92" s="156">
        <f>LongTest!G71</f>
        <v>22.900000000000002</v>
      </c>
      <c r="C92" s="154">
        <v>1</v>
      </c>
    </row>
    <row r="93" spans="1:3">
      <c r="A93" s="152">
        <f>LongTest!D72</f>
        <v>2580</v>
      </c>
      <c r="B93" s="156">
        <f>LongTest!G72</f>
        <v>22.900000000000002</v>
      </c>
      <c r="C93" s="154">
        <v>1</v>
      </c>
    </row>
    <row r="94" spans="1:3">
      <c r="A94" s="152">
        <f>LongTest!D73</f>
        <v>2640</v>
      </c>
      <c r="B94" s="156">
        <f>LongTest!G73</f>
        <v>22.900000000000002</v>
      </c>
      <c r="C94" s="154">
        <v>1</v>
      </c>
    </row>
    <row r="95" spans="1:3">
      <c r="A95" s="152">
        <f>LongTest!D74</f>
        <v>2700</v>
      </c>
      <c r="B95" s="156">
        <f>LongTest!G74</f>
        <v>22.900000000000002</v>
      </c>
      <c r="C95" s="154">
        <v>1</v>
      </c>
    </row>
    <row r="96" spans="1:3">
      <c r="A96" s="152">
        <f>LongTest!D75</f>
        <v>2760</v>
      </c>
      <c r="B96" s="156">
        <f>LongTest!G75</f>
        <v>22.900000000000002</v>
      </c>
      <c r="C96" s="154">
        <v>1</v>
      </c>
    </row>
    <row r="97" spans="1:3">
      <c r="A97" s="152">
        <f>LongTest!D76</f>
        <v>2820</v>
      </c>
      <c r="B97" s="156">
        <f>LongTest!G76</f>
        <v>22.900000000000002</v>
      </c>
      <c r="C97" s="154">
        <v>1</v>
      </c>
    </row>
    <row r="98" spans="1:3">
      <c r="A98" s="152">
        <f>LongTest!D77</f>
        <v>2880</v>
      </c>
      <c r="B98" s="156">
        <f>LongTest!G77</f>
        <v>22.900000000000002</v>
      </c>
      <c r="C98" s="154">
        <v>1</v>
      </c>
    </row>
    <row r="99" spans="1:3">
      <c r="A99" s="152" t="s">
        <v>202</v>
      </c>
      <c r="B99" s="153"/>
      <c r="C99" s="15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4"/>
    <col min="2" max="3" width="9" style="95"/>
    <col min="4" max="16384" width="9" style="94"/>
  </cols>
  <sheetData>
    <row r="1" spans="1:3">
      <c r="B1" s="94"/>
    </row>
    <row r="2" spans="1:3">
      <c r="A2" s="152" t="s">
        <v>195</v>
      </c>
      <c r="B2" s="152"/>
      <c r="C2" s="153"/>
    </row>
    <row r="3" spans="1:3">
      <c r="A3" s="152">
        <v>2</v>
      </c>
      <c r="B3" s="152"/>
      <c r="C3" s="153"/>
    </row>
    <row r="4" spans="1:3">
      <c r="A4" s="152">
        <v>1</v>
      </c>
      <c r="B4" s="152"/>
      <c r="C4" s="153"/>
    </row>
    <row r="5" spans="1:3">
      <c r="A5" s="152">
        <v>6</v>
      </c>
      <c r="B5" s="152"/>
      <c r="C5" s="153"/>
    </row>
    <row r="6" spans="1:3">
      <c r="A6" s="152" t="s">
        <v>196</v>
      </c>
      <c r="B6" s="152"/>
      <c r="C6" s="153"/>
    </row>
    <row r="7" spans="1:3">
      <c r="A7" s="152">
        <f>Step.Select!A7</f>
        <v>75</v>
      </c>
      <c r="B7" s="152"/>
      <c r="C7" s="153"/>
    </row>
    <row r="8" spans="1:3">
      <c r="A8" s="152" t="s">
        <v>197</v>
      </c>
      <c r="B8" s="152"/>
      <c r="C8" s="153"/>
    </row>
    <row r="9" spans="1:3">
      <c r="A9" s="152">
        <v>1</v>
      </c>
      <c r="B9" s="152"/>
      <c r="C9" s="153"/>
    </row>
    <row r="10" spans="1:3">
      <c r="A10" s="152" t="s">
        <v>198</v>
      </c>
      <c r="B10" s="152"/>
      <c r="C10" s="153"/>
    </row>
    <row r="11" spans="1:3">
      <c r="A11" s="152">
        <v>1</v>
      </c>
      <c r="B11" s="152"/>
      <c r="C11" s="153"/>
    </row>
    <row r="12" spans="1:3">
      <c r="A12" s="152" t="s">
        <v>199</v>
      </c>
      <c r="B12" s="152"/>
      <c r="C12" s="153"/>
    </row>
    <row r="13" spans="1:3">
      <c r="A13" s="152">
        <v>1</v>
      </c>
      <c r="B13" s="152"/>
      <c r="C13" s="153"/>
    </row>
    <row r="14" spans="1:3">
      <c r="A14" s="152" t="s">
        <v>200</v>
      </c>
      <c r="B14" s="152"/>
      <c r="C14" s="153"/>
    </row>
    <row r="15" spans="1:3">
      <c r="A15" s="152" t="str">
        <f>Input!I54</f>
        <v>W-1</v>
      </c>
      <c r="B15" s="152"/>
      <c r="C15" s="153"/>
    </row>
    <row r="16" spans="1:3">
      <c r="A16" s="152">
        <v>0</v>
      </c>
      <c r="B16" s="152"/>
      <c r="C16" s="153"/>
    </row>
    <row r="17" spans="1:3">
      <c r="A17" s="152">
        <v>0</v>
      </c>
      <c r="B17" s="152"/>
      <c r="C17" s="153"/>
    </row>
    <row r="18" spans="1:3">
      <c r="A18" s="152">
        <f>Step.Select!A18</f>
        <v>0.125</v>
      </c>
      <c r="B18" s="152"/>
      <c r="C18" s="153"/>
    </row>
    <row r="19" spans="1:3">
      <c r="A19" s="152">
        <f>Step.Select!A19</f>
        <v>0.125</v>
      </c>
      <c r="B19" s="152"/>
      <c r="C19" s="153"/>
    </row>
    <row r="20" spans="1:3">
      <c r="A20" s="152">
        <v>0</v>
      </c>
      <c r="B20" s="152"/>
      <c r="C20" s="153"/>
    </row>
    <row r="21" spans="1:3">
      <c r="A21" s="152">
        <v>0</v>
      </c>
      <c r="B21" s="152"/>
      <c r="C21" s="153"/>
    </row>
    <row r="22" spans="1:3">
      <c r="A22" s="152">
        <v>1</v>
      </c>
      <c r="B22" s="152"/>
      <c r="C22" s="153"/>
    </row>
    <row r="23" spans="1:3">
      <c r="A23" s="152">
        <v>2</v>
      </c>
      <c r="B23" s="152"/>
      <c r="C23" s="153"/>
    </row>
    <row r="24" spans="1:3">
      <c r="A24" s="154">
        <v>0</v>
      </c>
      <c r="B24" s="154">
        <f>Input!M51</f>
        <v>160</v>
      </c>
      <c r="C24" s="153"/>
    </row>
    <row r="25" spans="1:3">
      <c r="A25" s="154">
        <v>2880</v>
      </c>
      <c r="B25" s="154">
        <v>0</v>
      </c>
      <c r="C25" s="153"/>
    </row>
    <row r="26" spans="1:3">
      <c r="A26" s="152" t="s">
        <v>201</v>
      </c>
      <c r="B26" s="152"/>
      <c r="C26" s="153"/>
    </row>
    <row r="27" spans="1:3">
      <c r="A27" s="152" t="str">
        <f>A15</f>
        <v>W-1</v>
      </c>
      <c r="B27" s="152"/>
      <c r="C27" s="153"/>
    </row>
    <row r="28" spans="1:3">
      <c r="A28" s="155">
        <f>SkinFactor!C8</f>
        <v>2.339</v>
      </c>
      <c r="B28" s="152"/>
      <c r="C28" s="153"/>
    </row>
    <row r="29" spans="1:3">
      <c r="A29" s="152">
        <v>0</v>
      </c>
      <c r="B29" s="152"/>
      <c r="C29" s="153"/>
    </row>
    <row r="30" spans="1:3">
      <c r="A30" s="152">
        <v>0</v>
      </c>
      <c r="B30" s="152"/>
      <c r="C30" s="153"/>
    </row>
    <row r="31" spans="1:3">
      <c r="A31" s="154">
        <f>SUM(C32:C56)</f>
        <v>25</v>
      </c>
      <c r="B31" s="152"/>
      <c r="C31" s="153"/>
    </row>
    <row r="32" spans="1:3">
      <c r="A32" s="152">
        <f>LongTest!D77</f>
        <v>2880</v>
      </c>
      <c r="B32" s="153">
        <f>LongTest!G77</f>
        <v>22.900000000000002</v>
      </c>
      <c r="C32" s="154">
        <v>1</v>
      </c>
    </row>
    <row r="33" spans="1:3">
      <c r="A33" s="152">
        <f>$A$32+LongTest!D78</f>
        <v>2881</v>
      </c>
      <c r="B33" s="153">
        <f>LongTest!G78</f>
        <v>14.772653617722808</v>
      </c>
      <c r="C33" s="154">
        <v>1</v>
      </c>
    </row>
    <row r="34" spans="1:3">
      <c r="A34" s="152">
        <f>$A$32+LongTest!D79</f>
        <v>2882</v>
      </c>
      <c r="B34" s="153">
        <f>LongTest!G79</f>
        <v>13.448178048108126</v>
      </c>
      <c r="C34" s="154">
        <v>1</v>
      </c>
    </row>
    <row r="35" spans="1:3">
      <c r="A35" s="152">
        <f>$A$32+LongTest!D80</f>
        <v>2883</v>
      </c>
      <c r="B35" s="153">
        <f>LongTest!G80</f>
        <v>12.242451322127168</v>
      </c>
      <c r="C35" s="154">
        <v>1</v>
      </c>
    </row>
    <row r="36" spans="1:3">
      <c r="A36" s="152">
        <f>$A$32+LongTest!D81</f>
        <v>2884</v>
      </c>
      <c r="B36" s="153">
        <f>LongTest!G81</f>
        <v>11.144826744447943</v>
      </c>
      <c r="C36" s="154">
        <v>1</v>
      </c>
    </row>
    <row r="37" spans="1:3">
      <c r="A37" s="152">
        <f>$A$32+LongTest!D82</f>
        <v>2885</v>
      </c>
      <c r="B37" s="153">
        <f>LongTest!G82</f>
        <v>10.145612173214728</v>
      </c>
      <c r="C37" s="154">
        <v>1</v>
      </c>
    </row>
    <row r="38" spans="1:3">
      <c r="A38" s="152">
        <f>$A$32+LongTest!D83</f>
        <v>2890</v>
      </c>
      <c r="B38" s="153">
        <f>LongTest!G83</f>
        <v>7.6540811700335487</v>
      </c>
      <c r="C38" s="154">
        <v>1</v>
      </c>
    </row>
    <row r="39" spans="1:3">
      <c r="A39" s="152">
        <f>$A$32+LongTest!D84</f>
        <v>2895</v>
      </c>
      <c r="B39" s="153">
        <f>LongTest!G84</f>
        <v>7.1894613591817826</v>
      </c>
      <c r="C39" s="154">
        <v>1</v>
      </c>
    </row>
    <row r="40" spans="1:3">
      <c r="A40" s="152">
        <f>$A$32+LongTest!D85</f>
        <v>2900</v>
      </c>
      <c r="B40" s="153">
        <f>LongTest!G85</f>
        <v>5.9580785551285969</v>
      </c>
      <c r="C40" s="154">
        <v>1</v>
      </c>
    </row>
    <row r="41" spans="1:3">
      <c r="A41" s="152">
        <f>$A$32+LongTest!D86</f>
        <v>2905</v>
      </c>
      <c r="B41" s="153">
        <f>LongTest!G86</f>
        <v>5.4238935879372114</v>
      </c>
      <c r="C41" s="154">
        <v>1</v>
      </c>
    </row>
    <row r="42" spans="1:3">
      <c r="A42" s="152">
        <f>$A$32+LongTest!D87</f>
        <v>2910</v>
      </c>
      <c r="B42" s="153">
        <f>LongTest!G87</f>
        <v>4.9376021784646351</v>
      </c>
      <c r="C42" s="154">
        <v>1</v>
      </c>
    </row>
    <row r="43" spans="1:3">
      <c r="A43" s="152">
        <f>$A$32+LongTest!D88</f>
        <v>2915</v>
      </c>
      <c r="B43" s="153">
        <f>LongTest!G88</f>
        <v>4.7853944456021598</v>
      </c>
      <c r="C43" s="154">
        <v>1</v>
      </c>
    </row>
    <row r="44" spans="1:3">
      <c r="A44" s="152">
        <f>$A$32+LongTest!D89</f>
        <v>2920</v>
      </c>
      <c r="B44" s="153">
        <f>LongTest!G89</f>
        <v>4.6378787055543711</v>
      </c>
      <c r="C44" s="154">
        <v>1</v>
      </c>
    </row>
    <row r="45" spans="1:3">
      <c r="A45" s="152">
        <f>$A$32+LongTest!D90</f>
        <v>2925</v>
      </c>
      <c r="B45" s="153">
        <f>LongTest!G90</f>
        <v>4.494910321802748</v>
      </c>
      <c r="C45" s="154">
        <v>1</v>
      </c>
    </row>
    <row r="46" spans="1:3">
      <c r="A46" s="152">
        <f>$A$32+LongTest!D91</f>
        <v>2930</v>
      </c>
      <c r="B46" s="153">
        <f>LongTest!G91</f>
        <v>4.3563491164294792</v>
      </c>
      <c r="C46" s="154">
        <v>1</v>
      </c>
    </row>
    <row r="47" spans="1:3">
      <c r="A47" s="152">
        <f>$A$32+LongTest!D92</f>
        <v>2935</v>
      </c>
      <c r="B47" s="153">
        <f>LongTest!G92</f>
        <v>4.2220592326755471</v>
      </c>
      <c r="C47" s="154">
        <v>1</v>
      </c>
    </row>
    <row r="48" spans="1:3">
      <c r="A48" s="152">
        <f>$A$32+LongTest!D93</f>
        <v>2940</v>
      </c>
      <c r="B48" s="153">
        <f>LongTest!G93</f>
        <v>4.091909001735627</v>
      </c>
      <c r="C48" s="154">
        <v>1</v>
      </c>
    </row>
    <row r="49" spans="1:3">
      <c r="A49" s="152">
        <f>$A$32+LongTest!D94</f>
        <v>2955</v>
      </c>
      <c r="B49" s="153">
        <f>LongTest!G94</f>
        <v>3.9657708136592027</v>
      </c>
      <c r="C49" s="154">
        <v>1</v>
      </c>
    </row>
    <row r="50" spans="1:3">
      <c r="A50" s="152">
        <f>$A$32+LongTest!D95</f>
        <v>2970</v>
      </c>
      <c r="B50" s="153">
        <f>LongTest!G95</f>
        <v>3.8435209922313169</v>
      </c>
      <c r="C50" s="154">
        <v>1</v>
      </c>
    </row>
    <row r="51" spans="1:3">
      <c r="A51" s="152">
        <f>$A$32+LongTest!D96</f>
        <v>2985</v>
      </c>
      <c r="B51" s="153">
        <f>LongTest!G96</f>
        <v>3.7250396737102749</v>
      </c>
      <c r="C51" s="154">
        <v>1</v>
      </c>
    </row>
    <row r="52" spans="1:3">
      <c r="A52" s="152">
        <f>$A$32+LongTest!D97</f>
        <v>3000</v>
      </c>
      <c r="B52" s="153">
        <f>LongTest!G97</f>
        <v>3.3910628425094336</v>
      </c>
      <c r="C52" s="154">
        <v>1</v>
      </c>
    </row>
    <row r="53" spans="1:3">
      <c r="A53" s="152">
        <f>$A$32+LongTest!D98</f>
        <v>3060</v>
      </c>
      <c r="B53" s="153">
        <f>LongTest!G98</f>
        <v>3.2865291096170366</v>
      </c>
      <c r="C53" s="154">
        <v>1</v>
      </c>
    </row>
    <row r="54" spans="1:3">
      <c r="A54" s="152">
        <f>$A$32+LongTest!D99</f>
        <v>3120</v>
      </c>
      <c r="B54" s="153">
        <f>LongTest!G99</f>
        <v>2.7236252662805418</v>
      </c>
      <c r="C54" s="154">
        <v>1</v>
      </c>
    </row>
    <row r="55" spans="1:3">
      <c r="A55" s="152">
        <f>$A$32+LongTest!D100</f>
        <v>3180</v>
      </c>
      <c r="B55" s="153">
        <f>LongTest!G100</f>
        <v>2.2571333901820068</v>
      </c>
      <c r="C55" s="154">
        <v>1</v>
      </c>
    </row>
    <row r="56" spans="1:3">
      <c r="A56" s="152">
        <f>$A$32+LongTest!D101</f>
        <v>3240</v>
      </c>
      <c r="B56" s="153">
        <f>LongTest!G101</f>
        <v>1.8705404169024751</v>
      </c>
      <c r="C56" s="154">
        <v>1</v>
      </c>
    </row>
    <row r="57" spans="1:3">
      <c r="A57" s="152" t="s">
        <v>203</v>
      </c>
      <c r="B57" s="153"/>
      <c r="C57" s="15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N23" sqref="N23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96" customFormat="1" ht="18" customHeight="1">
      <c r="E1" s="12"/>
      <c r="F1" s="12"/>
    </row>
    <row r="2" spans="2:16" s="96" customFormat="1" ht="18" customHeight="1">
      <c r="B2" s="151" t="s">
        <v>236</v>
      </c>
      <c r="E2" s="12"/>
      <c r="F2" s="12"/>
    </row>
    <row r="3" spans="2:16" s="96" customFormat="1" ht="18" customHeight="1">
      <c r="E3" s="12"/>
      <c r="F3" s="12"/>
    </row>
    <row r="4" spans="2:16" s="99" customFormat="1" ht="26.25" customHeight="1">
      <c r="B4" s="97" t="s">
        <v>235</v>
      </c>
      <c r="C4" s="98" t="str">
        <f>Input!$I$54</f>
        <v>W-1</v>
      </c>
      <c r="E4" s="98"/>
      <c r="F4" s="98"/>
    </row>
    <row r="5" spans="2:16" s="96" customFormat="1" ht="18" customHeight="1" thickBot="1">
      <c r="E5" s="12"/>
      <c r="F5" s="12"/>
    </row>
    <row r="6" spans="2:16" s="96" customFormat="1" ht="26.1" customHeight="1">
      <c r="B6" s="142" t="s">
        <v>204</v>
      </c>
      <c r="C6" s="143">
        <f>LongTest!C10</f>
        <v>44993.479166666664</v>
      </c>
      <c r="D6" s="144"/>
      <c r="E6" s="145"/>
      <c r="F6" s="145"/>
    </row>
    <row r="7" spans="2:16" s="96" customFormat="1" ht="26.1" customHeight="1">
      <c r="B7" s="146" t="s">
        <v>205</v>
      </c>
      <c r="C7" s="147">
        <v>14.8</v>
      </c>
      <c r="D7" s="144"/>
      <c r="E7" s="145"/>
      <c r="F7" s="145"/>
    </row>
    <row r="8" spans="2:16" s="96" customFormat="1" ht="26.1" customHeight="1">
      <c r="B8" s="146" t="s">
        <v>206</v>
      </c>
      <c r="C8" s="147">
        <v>226</v>
      </c>
      <c r="D8" s="144"/>
      <c r="E8" s="145"/>
      <c r="F8" s="145"/>
    </row>
    <row r="9" spans="2:16" s="96" customFormat="1" ht="26.1" customHeight="1" thickBot="1">
      <c r="B9" s="148" t="s">
        <v>207</v>
      </c>
      <c r="C9" s="149">
        <v>6.7</v>
      </c>
      <c r="D9" s="144"/>
      <c r="E9" s="145"/>
      <c r="F9" s="145"/>
    </row>
    <row r="10" spans="2:16" s="96" customFormat="1" ht="26.1" customHeight="1">
      <c r="B10" s="145"/>
      <c r="C10" s="150"/>
      <c r="D10" s="144"/>
      <c r="E10" s="145"/>
      <c r="F10" s="145"/>
    </row>
    <row r="11" spans="2:16" s="96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69" t="s">
        <v>208</v>
      </c>
      <c r="C12" s="470"/>
      <c r="D12" s="471" t="str">
        <f>C4</f>
        <v>W-1</v>
      </c>
      <c r="E12" s="472"/>
      <c r="F12" s="470"/>
      <c r="H12" s="469" t="str">
        <f>C4</f>
        <v>W-1</v>
      </c>
      <c r="I12" s="472"/>
      <c r="J12" s="470"/>
      <c r="L12" s="473" t="str">
        <f>C4</f>
        <v>W-1</v>
      </c>
      <c r="M12" s="474"/>
      <c r="N12" s="475"/>
      <c r="O12" s="6"/>
      <c r="P12" s="6"/>
    </row>
    <row r="13" spans="2:16" s="12" customFormat="1" ht="26.1" customHeight="1">
      <c r="B13" s="129" t="s">
        <v>204</v>
      </c>
      <c r="C13" s="130" t="s">
        <v>209</v>
      </c>
      <c r="D13" s="131" t="s">
        <v>210</v>
      </c>
      <c r="E13" s="132" t="s">
        <v>211</v>
      </c>
      <c r="F13" s="130" t="s">
        <v>212</v>
      </c>
      <c r="H13" s="129" t="s">
        <v>210</v>
      </c>
      <c r="I13" s="132" t="s">
        <v>211</v>
      </c>
      <c r="J13" s="130" t="s">
        <v>212</v>
      </c>
      <c r="L13" s="100" t="s">
        <v>210</v>
      </c>
      <c r="M13" s="101" t="s">
        <v>211</v>
      </c>
      <c r="N13" s="102" t="s">
        <v>212</v>
      </c>
      <c r="O13" s="6"/>
      <c r="P13" s="6">
        <f ca="1">RANDBETWEEN(1,3)</f>
        <v>3</v>
      </c>
    </row>
    <row r="14" spans="2:16" s="12" customFormat="1" ht="26.1" customHeight="1">
      <c r="B14" s="103">
        <f>$C$6+C14/1440</f>
        <v>44993.482638888883</v>
      </c>
      <c r="C14" s="104">
        <v>5</v>
      </c>
      <c r="D14" s="105">
        <f t="shared" ref="D14:D20" si="0">baseTemp+H14</f>
        <v>14.600000000000001</v>
      </c>
      <c r="E14" s="106">
        <f>$C$8+I14</f>
        <v>206</v>
      </c>
      <c r="F14" s="107">
        <f>$C$9+J14</f>
        <v>6.58</v>
      </c>
      <c r="H14" s="108">
        <v>-0.2</v>
      </c>
      <c r="I14" s="109">
        <v>-20</v>
      </c>
      <c r="J14" s="110">
        <v>-0.12</v>
      </c>
      <c r="L14" s="100">
        <f ca="1">ROUND(myRandBetween(1,3,10), 1)</f>
        <v>0.1</v>
      </c>
      <c r="M14" s="101">
        <f ca="1">myRandBetween(1,20,1)</f>
        <v>3</v>
      </c>
      <c r="N14" s="102">
        <f ca="1">ROUND(myRandBetween(8,12,100), 2)</f>
        <v>-0.09</v>
      </c>
      <c r="O14" s="6"/>
      <c r="P14" s="6">
        <f t="shared" ref="P14:P23" ca="1" si="1">RANDBETWEEN(1,3)</f>
        <v>3</v>
      </c>
    </row>
    <row r="15" spans="2:16" s="12" customFormat="1" ht="26.1" customHeight="1">
      <c r="B15" s="111">
        <f t="shared" ref="B15:B23" si="2">$C$6+C15/1440</f>
        <v>44993.5</v>
      </c>
      <c r="C15" s="110">
        <v>30</v>
      </c>
      <c r="D15" s="112">
        <f t="shared" si="0"/>
        <v>15</v>
      </c>
      <c r="E15" s="113">
        <f t="shared" ref="E15:E20" si="3">$C$8+I15</f>
        <v>238</v>
      </c>
      <c r="F15" s="114">
        <f t="shared" ref="F15:F20" si="4">$C$9+J15</f>
        <v>6.78</v>
      </c>
      <c r="H15" s="108">
        <v>0.2</v>
      </c>
      <c r="I15" s="109">
        <v>12</v>
      </c>
      <c r="J15" s="110">
        <v>0.08</v>
      </c>
      <c r="L15" s="100">
        <f t="shared" ref="L15:L23" ca="1" si="5">ROUND(myRandBetween(1,3,10), 1)</f>
        <v>-0.1</v>
      </c>
      <c r="M15" s="101">
        <f t="shared" ref="M15:M23" ca="1" si="6">myRandBetween(1,20,1)</f>
        <v>-19</v>
      </c>
      <c r="N15" s="102">
        <f t="shared" ref="N15:N23" ca="1" si="7">ROUND(myRandBetween(8,12,100), 2)</f>
        <v>-0.11</v>
      </c>
      <c r="O15" s="6"/>
      <c r="P15" s="6">
        <f t="shared" ca="1" si="1"/>
        <v>1</v>
      </c>
    </row>
    <row r="16" spans="2:16" s="12" customFormat="1" ht="26.1" customHeight="1">
      <c r="B16" s="111">
        <f t="shared" si="2"/>
        <v>44993.520833333328</v>
      </c>
      <c r="C16" s="110">
        <v>60</v>
      </c>
      <c r="D16" s="112">
        <f t="shared" si="0"/>
        <v>15.100000000000001</v>
      </c>
      <c r="E16" s="113">
        <f t="shared" si="3"/>
        <v>207</v>
      </c>
      <c r="F16" s="114">
        <f t="shared" si="4"/>
        <v>6.8100000000000005</v>
      </c>
      <c r="H16" s="108">
        <v>0.3</v>
      </c>
      <c r="I16" s="109">
        <v>-19</v>
      </c>
      <c r="J16" s="110">
        <v>0.11</v>
      </c>
      <c r="L16" s="100">
        <f t="shared" ca="1" si="5"/>
        <v>-0.1</v>
      </c>
      <c r="M16" s="101">
        <f t="shared" ca="1" si="6"/>
        <v>2</v>
      </c>
      <c r="N16" s="102">
        <f t="shared" ca="1" si="7"/>
        <v>0.1</v>
      </c>
      <c r="O16" s="6"/>
      <c r="P16" s="6">
        <f t="shared" ca="1" si="1"/>
        <v>2</v>
      </c>
    </row>
    <row r="17" spans="2:16" s="12" customFormat="1" ht="26.1" customHeight="1">
      <c r="B17" s="111">
        <f t="shared" si="2"/>
        <v>44993.5625</v>
      </c>
      <c r="C17" s="110">
        <v>120</v>
      </c>
      <c r="D17" s="112">
        <f t="shared" si="0"/>
        <v>14.9</v>
      </c>
      <c r="E17" s="113">
        <f t="shared" si="3"/>
        <v>216</v>
      </c>
      <c r="F17" s="114">
        <f t="shared" si="4"/>
        <v>6.6000000000000005</v>
      </c>
      <c r="H17" s="108">
        <v>0.1</v>
      </c>
      <c r="I17" s="109">
        <v>-10</v>
      </c>
      <c r="J17" s="110">
        <v>-0.1</v>
      </c>
      <c r="L17" s="100">
        <f t="shared" ca="1" si="5"/>
        <v>0.1</v>
      </c>
      <c r="M17" s="101">
        <f t="shared" ca="1" si="6"/>
        <v>20</v>
      </c>
      <c r="N17" s="102">
        <f t="shared" ca="1" si="7"/>
        <v>0.09</v>
      </c>
      <c r="O17" s="6"/>
      <c r="P17" s="6">
        <f t="shared" ca="1" si="1"/>
        <v>3</v>
      </c>
    </row>
    <row r="18" spans="2:16" s="12" customFormat="1" ht="26.1" customHeight="1">
      <c r="B18" s="111">
        <f t="shared" si="2"/>
        <v>44993.645833333328</v>
      </c>
      <c r="C18" s="110">
        <v>240</v>
      </c>
      <c r="D18" s="112">
        <f t="shared" si="0"/>
        <v>14.700000000000001</v>
      </c>
      <c r="E18" s="113">
        <f t="shared" si="3"/>
        <v>246</v>
      </c>
      <c r="F18" s="114">
        <f t="shared" si="4"/>
        <v>6.82</v>
      </c>
      <c r="H18" s="108">
        <v>-0.1</v>
      </c>
      <c r="I18" s="109">
        <v>20</v>
      </c>
      <c r="J18" s="110">
        <v>0.12</v>
      </c>
      <c r="L18" s="100">
        <f t="shared" ca="1" si="5"/>
        <v>-0.3</v>
      </c>
      <c r="M18" s="101">
        <f t="shared" ca="1" si="6"/>
        <v>-19</v>
      </c>
      <c r="N18" s="102">
        <f t="shared" ca="1" si="7"/>
        <v>-0.09</v>
      </c>
      <c r="O18" s="6"/>
      <c r="P18" s="6">
        <f t="shared" ca="1" si="1"/>
        <v>3</v>
      </c>
    </row>
    <row r="19" spans="2:16" s="12" customFormat="1" ht="26.1" customHeight="1">
      <c r="B19" s="111">
        <f t="shared" si="2"/>
        <v>44993.8125</v>
      </c>
      <c r="C19" s="110">
        <v>480</v>
      </c>
      <c r="D19" s="112">
        <f t="shared" si="0"/>
        <v>15</v>
      </c>
      <c r="E19" s="113">
        <f t="shared" si="3"/>
        <v>208</v>
      </c>
      <c r="F19" s="114">
        <f t="shared" si="4"/>
        <v>6.6000000000000005</v>
      </c>
      <c r="H19" s="108">
        <v>0.2</v>
      </c>
      <c r="I19" s="109">
        <v>-18</v>
      </c>
      <c r="J19" s="110">
        <v>-0.1</v>
      </c>
      <c r="L19" s="100">
        <f t="shared" ca="1" si="5"/>
        <v>-0.2</v>
      </c>
      <c r="M19" s="101">
        <f t="shared" ca="1" si="6"/>
        <v>-9</v>
      </c>
      <c r="N19" s="102">
        <f t="shared" ca="1" si="7"/>
        <v>0.11</v>
      </c>
      <c r="O19" s="6"/>
      <c r="P19" s="6">
        <f t="shared" ca="1" si="1"/>
        <v>2</v>
      </c>
    </row>
    <row r="20" spans="2:16" s="96" customFormat="1" ht="26.1" customHeight="1">
      <c r="B20" s="111">
        <f t="shared" si="2"/>
        <v>44994.479166666664</v>
      </c>
      <c r="C20" s="110">
        <v>1440</v>
      </c>
      <c r="D20" s="112">
        <f t="shared" si="0"/>
        <v>14.5</v>
      </c>
      <c r="E20" s="113">
        <f t="shared" si="3"/>
        <v>216</v>
      </c>
      <c r="F20" s="114">
        <f t="shared" si="4"/>
        <v>6.62</v>
      </c>
      <c r="H20" s="108">
        <v>-0.3</v>
      </c>
      <c r="I20" s="109">
        <v>-10</v>
      </c>
      <c r="J20" s="110">
        <v>-0.08</v>
      </c>
      <c r="L20" s="100">
        <f t="shared" ca="1" si="5"/>
        <v>-0.2</v>
      </c>
      <c r="M20" s="101">
        <f t="shared" ca="1" si="6"/>
        <v>4</v>
      </c>
      <c r="N20" s="102">
        <f t="shared" ca="1" si="7"/>
        <v>0.11</v>
      </c>
      <c r="O20" s="6"/>
      <c r="P20" s="6">
        <f t="shared" ca="1" si="1"/>
        <v>3</v>
      </c>
    </row>
    <row r="21" spans="2:16" s="96" customFormat="1" ht="26.1" customHeight="1">
      <c r="B21" s="111">
        <f t="shared" si="2"/>
        <v>44994.645833333328</v>
      </c>
      <c r="C21" s="110">
        <v>1680</v>
      </c>
      <c r="D21" s="112">
        <f>$D$20</f>
        <v>14.5</v>
      </c>
      <c r="E21" s="113">
        <f>$E$20</f>
        <v>216</v>
      </c>
      <c r="F21" s="114">
        <f>$F$20</f>
        <v>6.62</v>
      </c>
      <c r="H21" s="108">
        <v>-0.3</v>
      </c>
      <c r="I21" s="109">
        <v>5</v>
      </c>
      <c r="J21" s="110">
        <v>0.1</v>
      </c>
      <c r="L21" s="100">
        <f t="shared" ca="1" si="5"/>
        <v>0.1</v>
      </c>
      <c r="M21" s="101">
        <f t="shared" ca="1" si="6"/>
        <v>15</v>
      </c>
      <c r="N21" s="102">
        <f t="shared" ca="1" si="7"/>
        <v>0.09</v>
      </c>
      <c r="O21" s="6"/>
      <c r="P21" s="6">
        <f t="shared" ca="1" si="1"/>
        <v>1</v>
      </c>
    </row>
    <row r="22" spans="2:16" s="96" customFormat="1" ht="26.1" customHeight="1">
      <c r="B22" s="111">
        <f t="shared" si="2"/>
        <v>44994.8125</v>
      </c>
      <c r="C22" s="110">
        <v>1920</v>
      </c>
      <c r="D22" s="112">
        <f t="shared" ref="D22:D23" si="8">$D$20</f>
        <v>14.5</v>
      </c>
      <c r="E22" s="113">
        <f t="shared" ref="E22:E23" si="9">$E$20</f>
        <v>216</v>
      </c>
      <c r="F22" s="114">
        <f t="shared" ref="F22:F23" si="10">$F$20</f>
        <v>6.62</v>
      </c>
      <c r="H22" s="108">
        <v>-0.3</v>
      </c>
      <c r="I22" s="109">
        <v>-14</v>
      </c>
      <c r="J22" s="110">
        <v>-0.09</v>
      </c>
      <c r="L22" s="100">
        <f t="shared" ca="1" si="5"/>
        <v>-0.3</v>
      </c>
      <c r="M22" s="101">
        <f t="shared" ca="1" si="6"/>
        <v>1</v>
      </c>
      <c r="N22" s="102">
        <f t="shared" ca="1" si="7"/>
        <v>0.11</v>
      </c>
      <c r="O22" s="6"/>
      <c r="P22" s="6">
        <f t="shared" ca="1" si="1"/>
        <v>1</v>
      </c>
    </row>
    <row r="23" spans="2:16" s="96" customFormat="1" ht="26.1" customHeight="1" thickBot="1">
      <c r="B23" s="111">
        <f t="shared" si="2"/>
        <v>44995.479166666664</v>
      </c>
      <c r="C23" s="110">
        <v>2880</v>
      </c>
      <c r="D23" s="112">
        <f t="shared" si="8"/>
        <v>14.5</v>
      </c>
      <c r="E23" s="113">
        <f t="shared" si="9"/>
        <v>216</v>
      </c>
      <c r="F23" s="114">
        <f t="shared" si="10"/>
        <v>6.62</v>
      </c>
      <c r="H23" s="115">
        <v>-0.2</v>
      </c>
      <c r="I23" s="116">
        <v>6</v>
      </c>
      <c r="J23" s="117">
        <v>0.11</v>
      </c>
      <c r="L23" s="140">
        <f t="shared" ca="1" si="5"/>
        <v>-0.2</v>
      </c>
      <c r="M23" s="141">
        <f t="shared" ca="1" si="6"/>
        <v>-19</v>
      </c>
      <c r="N23" s="118">
        <f t="shared" ca="1" si="7"/>
        <v>-0.09</v>
      </c>
      <c r="O23" s="6"/>
      <c r="P23" s="6">
        <f t="shared" ca="1" si="1"/>
        <v>2</v>
      </c>
    </row>
    <row r="24" spans="2:16" s="96" customFormat="1" ht="26.1" customHeight="1">
      <c r="B24" s="476" t="s">
        <v>80</v>
      </c>
      <c r="C24" s="477"/>
      <c r="D24" s="131">
        <f>MAX(D14:D23)</f>
        <v>15.100000000000001</v>
      </c>
      <c r="E24" s="132">
        <f t="shared" ref="E24:F24" si="11">MAX(E14:E23)</f>
        <v>246</v>
      </c>
      <c r="F24" s="130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96" customFormat="1" ht="26.1" customHeight="1">
      <c r="B25" s="476" t="s">
        <v>213</v>
      </c>
      <c r="C25" s="477"/>
      <c r="D25" s="131">
        <f>MIN(D14:D23)</f>
        <v>14.5</v>
      </c>
      <c r="E25" s="132">
        <f t="shared" ref="E25:F25" si="12">MIN(E14:E23)</f>
        <v>206</v>
      </c>
      <c r="F25" s="130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96" customFormat="1" ht="26.1" customHeight="1" thickBot="1">
      <c r="B26" s="467" t="s">
        <v>214</v>
      </c>
      <c r="C26" s="468"/>
      <c r="D26" s="133">
        <f>D24-D25</f>
        <v>0.60000000000000142</v>
      </c>
      <c r="E26" s="134">
        <f t="shared" ref="E26:F26" si="13">E24-E25</f>
        <v>40</v>
      </c>
      <c r="F26" s="135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96" customFormat="1" ht="18" customHeight="1">
      <c r="E27" s="12"/>
      <c r="F27" s="12"/>
      <c r="L27" s="6"/>
      <c r="M27" s="6"/>
      <c r="N27" s="6"/>
      <c r="O27" s="6"/>
      <c r="P27" s="6"/>
    </row>
    <row r="28" spans="2:16" s="96" customFormat="1" ht="18" customHeight="1">
      <c r="E28" s="12"/>
      <c r="F28" s="12"/>
      <c r="L28" s="6"/>
      <c r="M28" s="6"/>
      <c r="N28" s="6"/>
      <c r="O28" s="6"/>
      <c r="P28" s="6"/>
    </row>
    <row r="29" spans="2:16" s="96" customFormat="1" ht="18" customHeight="1">
      <c r="E29" s="12"/>
      <c r="F29" s="12"/>
    </row>
    <row r="30" spans="2:16" s="96" customFormat="1" ht="18" customHeight="1">
      <c r="E30" s="12"/>
      <c r="F30" s="12"/>
    </row>
    <row r="31" spans="2:16" s="96" customFormat="1" ht="18" customHeight="1">
      <c r="E31" s="12"/>
      <c r="F31" s="12"/>
    </row>
    <row r="32" spans="2:16" s="96" customFormat="1" ht="18" customHeight="1">
      <c r="E32" s="12"/>
      <c r="F32" s="12"/>
    </row>
    <row r="33" spans="5:6" s="96" customFormat="1" ht="18" customHeight="1">
      <c r="E33" s="12"/>
      <c r="F33" s="12"/>
    </row>
    <row r="34" spans="5:6" s="96" customFormat="1" ht="18" customHeight="1">
      <c r="E34" s="12"/>
      <c r="F34" s="12"/>
    </row>
    <row r="35" spans="5:6" s="96" customFormat="1" ht="18" customHeight="1">
      <c r="E35" s="12"/>
      <c r="F35" s="12"/>
    </row>
    <row r="36" spans="5:6" s="96" customFormat="1" ht="18" customHeight="1">
      <c r="E36" s="12"/>
      <c r="F36" s="12"/>
    </row>
    <row r="37" spans="5:6" s="9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2023-09-19T14:15:05Z</dcterms:modified>
</cp:coreProperties>
</file>