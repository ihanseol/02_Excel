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246C1CA-B32C-48F8-93CC-E7568EAC2C24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N20" i="11"/>
  <c r="L19" i="11"/>
  <c r="N22" i="11"/>
  <c r="M22" i="11"/>
  <c r="M23" i="11"/>
  <c r="M19" i="11"/>
  <c r="N23" i="11"/>
  <c r="M14" i="11"/>
  <c r="N18" i="11"/>
  <c r="M20" i="11"/>
  <c r="L17" i="11"/>
  <c r="N19" i="11"/>
  <c r="L14" i="11"/>
  <c r="L23" i="11"/>
  <c r="L21" i="11"/>
  <c r="M16" i="11"/>
  <c r="M21" i="11"/>
  <c r="N21" i="11"/>
  <c r="N15" i="11"/>
  <c r="N14" i="11"/>
  <c r="L15" i="11"/>
  <c r="M15" i="11"/>
  <c r="M18" i="11"/>
  <c r="L16" i="11"/>
  <c r="L18" i="11"/>
  <c r="L20" i="11"/>
  <c r="N17" i="11"/>
  <c r="M17" i="11"/>
  <c r="N16" i="11"/>
  <c r="L22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33" i="6" l="1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27" i="9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<sst xmlns="http://schemas.openxmlformats.org/spreadsheetml/2006/main" count="1112" uniqueCount="266">
  <si>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</si>
  <si>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</si>
  <si>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</si>
  <si>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</si>
  <si>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</si>
  <si>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</si>
  <si>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</si>
  <si>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</si>
  <si>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</si>
  <si>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</si>
  <si>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</si>
  <si>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</si>
  <si>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</si>
  <si>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</si>
  <si>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</si>
  <si>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</si>
  <si>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</si>
  <si>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</si>
  <si>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</si>
  <si>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</si>
  <si>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</si>
  <si>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</si>
  <si>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</si>
  <si>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</si>
  <si>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</si>
  <si>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</si>
  <si>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</si>
  <si>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</si>
  <si>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</si>
  <si>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</si>
  <si>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</si>
  <si>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</si>
  <si>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</si>
  <si>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</si>
  <si>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</si>
  <si>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</si>
  <si>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</si>
  <si>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</si>
  <si>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</si>
  <si>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</si>
  <si>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</si>
  <si>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</si>
  <si>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</si>
  <si>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</si>
  <si>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</si>
  <si>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</si>
  <si>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</si>
  <si>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</si>
  <si>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</si>
  <si>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</si>
  <si>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</si>
  <si>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</si>
  <si>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</si>
  <si>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</si>
  <si>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</si>
  <si>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</si>
  <si>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</si>
  <si>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</si>
  <si>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</si>
  <si>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</si>
  <si>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</si>
  <si>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</si>
  <si>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</si>
  <si>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</si>
  <si>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</si>
  <si>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</si>
  <si>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</si>
  <si>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</si>
  <si>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</si>
  <si>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</si>
  <si>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</si>
  <si>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</si>
  <si>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</si>
  <si>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</si>
  <si>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</si>
  <si>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</si>
  <si>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</si>
  <si>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</si>
  <si>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</si>
  <si>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</si>
  <si>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</si>
  <si>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</si>
  <si>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</si>
  <si>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</si>
  <si>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</si>
  <si>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</si>
  <si>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</si>
  <si>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</si>
  <si>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</si>
  <si>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</si>
  <si>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</si>
  <si>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</si>
  <si>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</si>
  <si>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</si>
  <si>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</si>
  <si>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</si>
  <si>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</si>
  <si>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</si>
  <si>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</si>
  <si>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</si>
  <si>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</si>
  <si>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</si>
  <si>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</si>
  <si>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</si>
  <si>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</si>
  <si>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</si>
  <si>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</si>
  <si>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</si>
  <si>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</si>
  <si>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</si>
  <si>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</si>
  <si>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</si>
  <si>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</si>
  <si>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</si>
  <si>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</si>
  <si>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</si>
  <si>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</si>
  <si>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</si>
  <si>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</si>
  <si>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</si>
  <si>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</si>
  <si>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</si>
  <si>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</si>
  <si>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</si>
  <si>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</si>
  <si>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</si>
  <si>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</si>
  <si>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</si>
  <si>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</si>
  <si>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</si>
  <si>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</si>
  <si>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</si>
  <si>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</si>
  <si>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</si>
  <si>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</si>
  <si>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</si>
  <si>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</si>
  <si>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</si>
  <si>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</si>
  <si>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</si>
  <si>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</si>
  <si>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</si>
  <si>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</si>
  <si>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</si>
  <si>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</si>
  <si>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</si>
  <si>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</si>
  <si>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</si>
  <si>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</si>
  <si>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</si>
  <si>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</si>
  <si>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</si>
  <si>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</si>
  <si>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</si>
  <si>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</si>
  <si>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</si>
  <si>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</si>
  <si>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</si>
  <si>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</si>
  <si>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</si>
  <si>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</si>
  <si>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</si>
  <si>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</si>
  <si>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</si>
  <si>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</si>
  <si>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</si>
  <si>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</si>
  <si>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</si>
  <si>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</si>
  <si>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</si>
  <si>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</si>
  <si>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</si>
  <si>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</si>
  <si>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</si>
  <si>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</si>
  <si>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</si>
  <si>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</si>
  <si>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</si>
  <si>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</si>
  <si>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</si>
  <si>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</si>
  <si>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</si>
  <si>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</si>
  <si>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</si>
  <si>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</si>
  <si>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</si>
  <si>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</si>
  <si>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</si>
  <si>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</si>
  <si>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</si>
  <si>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</si>
  <si>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</si>
  <si>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</si>
  <si>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</si>
  <si>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</si>
  <si>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</si>
  <si>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</si>
  <si>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</si>
  <si>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</si>
  <si>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</si>
  <si>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</si>
  <si>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</si>
  <si>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</si>
  <si>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</si>
  <si>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</si>
  <si>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</si>
  <si>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</si>
  <si>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</si>
  <si>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</si>
  <si>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</si>
  <si>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</si>
  <si>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</si>
  <si>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</si>
  <si>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</si>
  <si>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</si>
  <si>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</si>
  <si>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</si>
  <si>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</si>
  <si>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</si>
  <si>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</si>
  <si>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</si>
  <si>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</si>
  <si>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</si>
  <si>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</si>
  <si>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</si>
  <si>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</si>
  <si>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</si>
  <si>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</si>
  <si>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</si>
  <si>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</si>
  <si>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</si>
  <si>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</si>
  <si>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</si>
  <si>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</si>
  <si>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</si>
  <si>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</si>
  <si>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</si>
  <si>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</si>
  <si>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</si>
  <si>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</si>
  <si>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</si>
  <si>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</si>
  <si>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</si>
  <si>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</si>
  <si>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</si>
  <si>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</si>
  <si>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</si>
  <si>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</si>
  <si>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</si>
  <si>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</si>
  <si>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</si>
  <si>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</si>
  <si>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</si>
  <si>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</si>
  <si>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</si>
  <si>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</si>
  <si>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</si>
  <si>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</si>
  <si>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</si>
  <si>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</si>
  <si>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</si>
  <si>
    <t>(주)우경엔지니어링</t>
    <phoneticPr fontId="5" type="noConversion"/>
  </si>
  <si>
    <t>2024년 지하수 영향조사 용역</t>
    <phoneticPr fontId="8" type="noConversion"/>
  </si>
  <si>
    <t>주포지구</t>
    <phoneticPr fontId="8" type="noConversion"/>
  </si>
  <si>
    <t>충청남도 보령시 주포면 봉당리 647</t>
    <phoneticPr fontId="8" type="noConversion"/>
  </si>
  <si>
    <t>(합)청대개발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</si>
</sst>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9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30" fillId="0" borderId="0" xfId="3" applyFont="1" applyFill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166666666666681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166666666666681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8" totalsRowShown="0" headerRowDxfId="20" dataDxfId="19" headerRowCellStyle="표준 2" dataCellStyle="표준 2">
  <autoFilter ref="J3:J18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H23" sqref="H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253</v>
      </c>
    </row>
    <row r="16" spans="3:10" ht="18" customHeight="1">
      <c r="D16" s="13" t="s">
        <v>110</v>
      </c>
      <c r="E16" s="11" t="s">
        <v>111</v>
      </c>
      <c r="J16" s="11" t="s">
        <v>254</v>
      </c>
    </row>
    <row r="17" spans="4:10" ht="18" customHeight="1">
      <c r="D17" s="13" t="s">
        <v>112</v>
      </c>
      <c r="E17" s="11" t="s">
        <v>113</v>
      </c>
      <c r="J17" s="12" t="s">
        <v>261</v>
      </c>
    </row>
    <row r="18" spans="4:10" ht="18" customHeight="1">
      <c r="D18" s="13" t="s">
        <v>114</v>
      </c>
      <c r="E18" s="11" t="s">
        <v>115</v>
      </c>
      <c r="J18" s="498" t="s">
        <v>265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9" zoomScaleNormal="100" workbookViewId="0">
      <selection activeCell="P54" sqref="P5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239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245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262</v>
      </c>
      <c r="J44" s="453"/>
      <c r="K44" s="454"/>
      <c r="L44" s="267" t="s">
        <v>30</v>
      </c>
      <c r="M44" s="271">
        <v>250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263</v>
      </c>
      <c r="J45" s="462"/>
      <c r="K45" s="463"/>
      <c r="L45" s="267" t="s">
        <v>34</v>
      </c>
      <c r="M45" s="272">
        <v>220</v>
      </c>
      <c r="N45" s="272">
        <f>M44</f>
        <v>250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264</v>
      </c>
      <c r="J46" s="453"/>
      <c r="K46" s="454"/>
      <c r="L46" s="267" t="s">
        <v>38</v>
      </c>
      <c r="M46" s="235">
        <f>IF(I52&gt;M48, M45-I52,M45-M48)</f>
        <v>208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260</v>
      </c>
      <c r="J47" s="465"/>
      <c r="K47" s="466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56" t="s">
        <v>219</v>
      </c>
      <c r="K48" s="456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주포지구</v>
      </c>
      <c r="J49" s="457"/>
      <c r="K49" s="457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244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255</v>
      </c>
      <c r="R64" s="288" t="s">
        <v>256</v>
      </c>
      <c r="S64" s="288" t="s">
        <v>257</v>
      </c>
      <c r="T64" s="288" t="s">
        <v>258</v>
      </c>
      <c r="U64" s="288" t="s">
        <v>259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주포지구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주포면 봉당리 647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238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0.8883930014186544</v>
      </c>
      <c r="D6" s="246"/>
      <c r="E6" s="245">
        <f>1.15*LOG((2.25*D5*(1/1440))/(F4*E4^2))</f>
        <v>4.0561812283857757</v>
      </c>
      <c r="F6" s="247" t="s">
        <v>121</v>
      </c>
      <c r="G6" s="428">
        <f>C6-E6</f>
        <v>-3.1677882269671214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74.8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2.9689999999999999</v>
      </c>
      <c r="D8" s="252"/>
      <c r="E8" s="252"/>
      <c r="F8" s="253"/>
      <c r="G8" s="252"/>
      <c r="H8" s="254"/>
      <c r="I8" s="324">
        <f>Input!M45</f>
        <v>220</v>
      </c>
      <c r="J8" s="304" t="s">
        <v>241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242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237</v>
      </c>
      <c r="E10" s="301">
        <v>0.32969999999999999</v>
      </c>
      <c r="H10" s="255" t="s">
        <v>214</v>
      </c>
      <c r="I10" s="261">
        <f>Input!I52</f>
        <v>12</v>
      </c>
      <c r="J10" s="305" t="s">
        <v>243</v>
      </c>
      <c r="K10" s="312">
        <f>ROUND(E4*SQRT(E10/F4),4)</f>
        <v>3.2098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51.8</v>
      </c>
      <c r="D13" s="26"/>
      <c r="E13" s="430" t="s">
        <v>252</v>
      </c>
      <c r="F13" s="331">
        <f>D5</f>
        <v>16.829999999999998</v>
      </c>
      <c r="G13" s="430" t="s">
        <v>251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250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15.53</v>
      </c>
      <c r="E16" s="31">
        <f>INT(D16/C16*100000)/100000</f>
        <v>7.4660000000000004E-2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63.4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240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15.53</v>
      </c>
      <c r="E21" s="258">
        <f t="shared" si="0"/>
        <v>7.4660000000000004E-2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15.53</v>
      </c>
      <c r="E26" s="31">
        <f t="shared" si="1"/>
        <v>7.4660000000000004E-2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8.6416043447293446E-5</v>
      </c>
      <c r="E28" s="205" t="s">
        <v>236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8.6416043447293446E-5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74.8</v>
      </c>
      <c r="D30" s="15"/>
      <c r="E30" s="420">
        <f>(C13+C18)/2</f>
        <v>57.599999999999994</v>
      </c>
      <c r="F30" s="421">
        <f>MAX(C13,C18)</f>
        <v>63.4</v>
      </c>
      <c r="G30" s="422">
        <f>ROUND(C4/(G4*F30^2*I16),3)</f>
        <v>67.777000000000001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2024년 지하수 영향조사 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주포지구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주포면 봉당리 647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(주)우경엔지니어링</v>
      </c>
      <c r="D7" s="356"/>
      <c r="E7" s="347"/>
      <c r="F7" s="357"/>
      <c r="G7" s="358" t="str">
        <f>Input!I49</f>
        <v>주포지구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주포지구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248</v>
      </c>
      <c r="L16" s="432" t="s">
        <v>178</v>
      </c>
      <c r="M16" s="432" t="s">
        <v>179</v>
      </c>
      <c r="N16" s="432" t="s">
        <v>246</v>
      </c>
      <c r="O16" s="432" t="s">
        <v>247</v>
      </c>
      <c r="P16" s="432" t="s">
        <v>249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Y5" sqref="Y5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2024년 지하수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주포지구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주포면 봉당리 647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(주)우경엔지니어링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248</v>
      </c>
      <c r="M16" s="432" t="s">
        <v>178</v>
      </c>
      <c r="N16" s="432" t="s">
        <v>179</v>
      </c>
      <c r="O16" s="432" t="s">
        <v>246</v>
      </c>
      <c r="P16" s="432" t="s">
        <v>247</v>
      </c>
      <c r="Q16" s="432" t="s">
        <v>249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2.9689999999999999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2.9689999999999999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J32" sqref="J32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0.1</v>
      </c>
      <c r="M14" s="105">
        <f ca="1">myRandBetween(1,20,1)</f>
        <v>5</v>
      </c>
      <c r="N14" s="106">
        <f ca="1">ROUND(myRandBetween(8,12,100), 2)</f>
        <v>0.11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0.3</v>
      </c>
      <c r="M15" s="105">
        <f t="shared" ref="M15:M23" ca="1" si="6">myRandBetween(1,20,1)</f>
        <v>4</v>
      </c>
      <c r="N15" s="106">
        <f t="shared" ref="N15:N23" ca="1" si="7">ROUND(myRandBetween(8,12,100), 2)</f>
        <v>0.08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0.1</v>
      </c>
      <c r="M16" s="105">
        <f t="shared" ca="1" si="6"/>
        <v>-2</v>
      </c>
      <c r="N16" s="106">
        <f t="shared" ca="1" si="7"/>
        <v>-0.1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0.3</v>
      </c>
      <c r="M17" s="105">
        <f t="shared" ca="1" si="6"/>
        <v>6</v>
      </c>
      <c r="N17" s="106">
        <f t="shared" ca="1" si="7"/>
        <v>-0.11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-0.2</v>
      </c>
      <c r="M18" s="105">
        <f t="shared" ca="1" si="6"/>
        <v>19</v>
      </c>
      <c r="N18" s="106">
        <f t="shared" ca="1" si="7"/>
        <v>-0.1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0.3</v>
      </c>
      <c r="M19" s="105">
        <f t="shared" ca="1" si="6"/>
        <v>19</v>
      </c>
      <c r="N19" s="106">
        <f t="shared" ca="1" si="7"/>
        <v>0.1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-0.3</v>
      </c>
      <c r="M20" s="105">
        <f t="shared" ca="1" si="6"/>
        <v>-14</v>
      </c>
      <c r="N20" s="106">
        <f t="shared" ca="1" si="7"/>
        <v>-0.09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0.3</v>
      </c>
      <c r="M21" s="105">
        <f t="shared" ca="1" si="6"/>
        <v>18</v>
      </c>
      <c r="N21" s="106">
        <f t="shared" ca="1" si="7"/>
        <v>0.11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-0.1</v>
      </c>
      <c r="M22" s="105">
        <f t="shared" ca="1" si="6"/>
        <v>-10</v>
      </c>
      <c r="N22" s="106">
        <f t="shared" ca="1" si="7"/>
        <v>0.12</v>
      </c>
      <c r="O22" s="6"/>
      <c r="P22" s="6">
        <f t="shared" ca="1" si="1"/>
        <v>1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0.1</v>
      </c>
      <c r="M23" s="145">
        <f t="shared" ca="1" si="6"/>
        <v>-4</v>
      </c>
      <c r="N23" s="122">
        <f t="shared" ca="1" si="7"/>
        <v>-0.12</v>
      </c>
      <c r="O23" s="6"/>
      <c r="P23" s="6">
        <f t="shared" ca="1" si="1"/>
        <v>2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2024-02-18T10:11:51Z</dcterms:modified>
</cp:coreProperties>
</file>