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B120EB4-80DB-431F-89E0-C011DCDBCC7D}" xr6:coauthVersionLast="47" xr6:coauthVersionMax="47" xr10:uidLastSave="{00000000-0000-0000-0000-000000000000}"/>
  <bookViews>
    <workbookView xWindow="-120" yWindow="-120" windowWidth="29040" windowHeight="1584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M21" i="11"/>
  <c r="N16" i="11"/>
  <c r="L22" i="11"/>
  <c r="L15" i="11"/>
  <c r="N20" i="11"/>
  <c r="M18" i="11"/>
  <c r="M15" i="11"/>
  <c r="L18" i="11"/>
  <c r="M22" i="11"/>
  <c r="M16" i="11"/>
  <c r="N23" i="11"/>
  <c r="N18" i="11"/>
  <c r="N19" i="11"/>
  <c r="L23" i="11"/>
  <c r="L21" i="11"/>
  <c r="L17" i="11"/>
  <c r="N21" i="11"/>
  <c r="N15" i="11"/>
  <c r="N14" i="11"/>
  <c r="N17" i="11"/>
  <c r="M17" i="11"/>
  <c r="L16" i="11"/>
  <c r="L20" i="11"/>
  <c r="L19" i="11"/>
  <c r="N22" i="11"/>
  <c r="M23" i="11"/>
  <c r="M19" i="11"/>
  <c r="M20" i="11"/>
  <c r="L14" i="11"/>
  <c r="M14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33" i="6" l="1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27" i="9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<sst xmlns="http://schemas.openxmlformats.org/spreadsheetml/2006/main" count="1111" uniqueCount="265">
  <si>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</si>
  <si>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</si>
  <si>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</si>
  <si>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</si>
  <si>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</si>
  <si>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</si>
  <si>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</si>
  <si>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</si>
  <si>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</si>
  <si>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</si>
  <si>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</si>
  <si>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</si>
  <si>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</si>
  <si>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</si>
  <si>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</si>
  <si>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</si>
  <si>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</si>
  <si>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</si>
  <si>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</si>
  <si>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</si>
  <si>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</si>
  <si>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</si>
  <si>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</si>
  <si>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</si>
  <si>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</si>
  <si>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</si>
  <si>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</si>
  <si>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</si>
  <si>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</si>
  <si>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</si>
  <si>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</si>
  <si>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</si>
  <si>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</si>
  <si>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</si>
  <si>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</si>
  <si>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</si>
  <si>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</si>
  <si>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</si>
  <si>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</si>
  <si>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</si>
  <si>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</si>
  <si>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</si>
  <si>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</si>
  <si>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</si>
  <si>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</si>
  <si>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</si>
  <si>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</si>
  <si>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</si>
  <si>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</si>
  <si>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</si>
  <si>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</si>
  <si>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</si>
  <si>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</si>
  <si>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</si>
  <si>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</si>
  <si>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</si>
  <si>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</si>
  <si>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</si>
  <si>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</si>
  <si>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</si>
  <si>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</si>
  <si>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</si>
  <si>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</si>
  <si>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</si>
  <si>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</si>
  <si>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</si>
  <si>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</si>
  <si>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</si>
  <si>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</si>
  <si>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</si>
  <si>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</si>
  <si>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</si>
  <si>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</si>
  <si>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</si>
  <si>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</si>
  <si>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</si>
  <si>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</si>
  <si>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</si>
  <si>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</si>
  <si>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</si>
  <si>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</si>
  <si>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</si>
  <si>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</si>
  <si>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</si>
  <si>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</si>
  <si>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</si>
  <si>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</si>
  <si>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</si>
  <si>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</si>
  <si>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</si>
  <si>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</si>
  <si>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</si>
  <si>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</si>
  <si>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</si>
  <si>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</si>
  <si>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</si>
  <si>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</si>
  <si>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</si>
  <si>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</si>
  <si>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</si>
  <si>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</si>
  <si>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</si>
  <si>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</si>
  <si>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</si>
  <si>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</si>
  <si>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</si>
  <si>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</si>
  <si>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</si>
  <si>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</si>
  <si>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</si>
  <si>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</si>
  <si>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</si>
  <si>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</si>
  <si>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</si>
  <si>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</si>
  <si>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</si>
  <si>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</si>
  <si>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</si>
  <si>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</si>
  <si>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</si>
  <si>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</si>
  <si>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</si>
  <si>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</si>
  <si>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</si>
  <si>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</si>
  <si>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</si>
  <si>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</si>
  <si>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</si>
  <si>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</si>
  <si>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</si>
  <si>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</si>
  <si>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</si>
  <si>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</si>
  <si>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</si>
  <si>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</si>
  <si>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</si>
  <si>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</si>
  <si>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</si>
  <si>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</si>
  <si>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</si>
  <si>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</si>
  <si>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</si>
  <si>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</si>
  <si>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</si>
  <si>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</si>
  <si>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</si>
  <si>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</si>
  <si>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</si>
  <si>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</si>
  <si>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</si>
  <si>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</si>
  <si>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</si>
  <si>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</si>
  <si>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</si>
  <si>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</si>
  <si>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</si>
  <si>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</si>
  <si>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</si>
  <si>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</si>
  <si>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</si>
  <si>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</si>
  <si>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</si>
  <si>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</si>
  <si>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</si>
  <si>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</si>
  <si>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</si>
  <si>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</si>
  <si>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</si>
  <si>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</si>
  <si>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</si>
  <si>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</si>
  <si>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</si>
  <si>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</si>
  <si>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</si>
  <si>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</si>
  <si>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</si>
  <si>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</si>
  <si>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</si>
  <si>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</si>
  <si>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</si>
  <si>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</si>
  <si>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</si>
  <si>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</si>
  <si>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</si>
  <si>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</si>
  <si>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</si>
  <si>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</si>
  <si>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</si>
  <si>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</si>
  <si>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</si>
  <si>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</si>
  <si>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</si>
  <si>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</si>
  <si>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</si>
  <si>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</si>
  <si>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</si>
  <si>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</si>
  <si>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</si>
  <si>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</si>
  <si>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</si>
  <si>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</si>
  <si>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</si>
  <si>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</si>
  <si>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</si>
  <si>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</si>
  <si>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</si>
  <si>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</si>
  <si>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</si>
  <si>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</si>
  <si>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</si>
  <si>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</si>
  <si>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</si>
  <si>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</si>
  <si>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</si>
  <si>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</si>
  <si>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</si>
  <si>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</si>
  <si>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</si>
  <si>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</si>
  <si>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</si>
  <si>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</si>
  <si>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</si>
  <si>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</si>
  <si>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</si>
  <si>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</si>
  <si>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</si>
  <si>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</si>
  <si>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</si>
  <si>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</si>
  <si>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</si>
  <si>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</si>
  <si>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</si>
  <si>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</si>
  <si>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</si>
  <si>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</si>
  <si>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</si>
  <si>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</si>
  <si>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</si>
  <si>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</si>
  <si>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</si>
  <si>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</si>
  <si>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</si>
  <si>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</si>
  <si>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</si>
  <si>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</si>
  <si>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</si>
  <si>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</si>
  <si>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</si>
  <si>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</si>
  <si>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</si>
  <si>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</si>
  <si>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</si>
  <si>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</si>
  <si>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</si>
  <si>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</si>
  <si>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</si>
  <si>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</si>
  <si>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</si>
  <si>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</si>
  <si>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</si>
  <si>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</si>
  <si>
    <t>(주)우경엔지니어링</t>
    <phoneticPr fontId="5" type="noConversion"/>
  </si>
  <si>
    <t>2024년 지하수 영향조사 용역</t>
    <phoneticPr fontId="8" type="noConversion"/>
  </si>
  <si>
    <t>주포지구</t>
    <phoneticPr fontId="8" type="noConversion"/>
  </si>
  <si>
    <t>충청남도 보령시 주포면 봉당리 647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</si>
</sst>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166666666666681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166666666666681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7" totalsRowShown="0" headerRowDxfId="20" dataDxfId="19" headerRowCellStyle="표준 2" dataCellStyle="표준 2">
  <autoFilter ref="J3:J17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24" sqref="J24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253</v>
      </c>
    </row>
    <row r="16" spans="3:10" ht="18" customHeight="1">
      <c r="D16" s="13" t="s">
        <v>110</v>
      </c>
      <c r="E16" s="11" t="s">
        <v>111</v>
      </c>
      <c r="J16" s="11" t="s">
        <v>254</v>
      </c>
    </row>
    <row r="17" spans="4:10" ht="18" customHeight="1">
      <c r="D17" s="13" t="s">
        <v>112</v>
      </c>
      <c r="E17" s="11" t="s">
        <v>113</v>
      </c>
      <c r="J17" s="12" t="s">
        <v>261</v>
      </c>
    </row>
    <row r="18" spans="4:10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1" zoomScaleNormal="100" workbookViewId="0">
      <selection activeCell="R23" sqref="R2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239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245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262</v>
      </c>
      <c r="J44" s="453"/>
      <c r="K44" s="454"/>
      <c r="L44" s="267" t="s">
        <v>30</v>
      </c>
      <c r="M44" s="271">
        <v>250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263</v>
      </c>
      <c r="J45" s="462"/>
      <c r="K45" s="463"/>
      <c r="L45" s="267" t="s">
        <v>34</v>
      </c>
      <c r="M45" s="272">
        <v>220</v>
      </c>
      <c r="N45" s="272">
        <f>M44</f>
        <v>250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264</v>
      </c>
      <c r="J46" s="453"/>
      <c r="K46" s="454"/>
      <c r="L46" s="267" t="s">
        <v>38</v>
      </c>
      <c r="M46" s="235">
        <f>IF(I52&gt;M48, M45-I52,M45-M48)</f>
        <v>208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260</v>
      </c>
      <c r="J47" s="465"/>
      <c r="K47" s="466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7.5</v>
      </c>
      <c r="J48" s="456" t="s">
        <v>219</v>
      </c>
      <c r="K48" s="456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주포지구</v>
      </c>
      <c r="J49" s="457"/>
      <c r="K49" s="457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/>
      <c r="J51" s="459"/>
      <c r="K51" s="460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244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39" t="s">
        <v>62</v>
      </c>
      <c r="E57" s="440"/>
      <c r="F57" s="439" t="s">
        <v>61</v>
      </c>
      <c r="G57" s="440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39" t="s">
        <v>66</v>
      </c>
      <c r="M57" s="441"/>
    </row>
    <row r="58" spans="1:24" s="210" customFormat="1" ht="18" customHeight="1">
      <c r="A58" s="274" t="s">
        <v>67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68</v>
      </c>
      <c r="I58" s="396">
        <f>C62/M46</f>
        <v>0.21836538461538463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255</v>
      </c>
      <c r="R64" s="288" t="s">
        <v>256</v>
      </c>
      <c r="S64" s="288" t="s">
        <v>257</v>
      </c>
      <c r="T64" s="288" t="s">
        <v>258</v>
      </c>
      <c r="U64" s="288" t="s">
        <v>259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주포지구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주포면 봉당리 647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4.3854245881675915</v>
      </c>
      <c r="C4" s="320">
        <f>LongTest!B10</f>
        <v>522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238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0.8883930014186544</v>
      </c>
      <c r="D6" s="246"/>
      <c r="E6" s="245">
        <f>1.15*LOG((2.25*D5*(1/1440))/(F4*E4^2))</f>
        <v>4.0561812283857757</v>
      </c>
      <c r="F6" s="247" t="s">
        <v>121</v>
      </c>
      <c r="G6" s="428">
        <f>C6-E6</f>
        <v>-3.1677882269671214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74.8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2.9689999999999999</v>
      </c>
      <c r="D8" s="252"/>
      <c r="E8" s="252"/>
      <c r="F8" s="253"/>
      <c r="G8" s="252"/>
      <c r="H8" s="254"/>
      <c r="I8" s="324">
        <f>Input!M45</f>
        <v>220</v>
      </c>
      <c r="J8" s="304" t="s">
        <v>241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242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6.1331945312785319</v>
      </c>
      <c r="D10" s="25" t="s">
        <v>237</v>
      </c>
      <c r="E10" s="301">
        <v>0.32969999999999999</v>
      </c>
      <c r="H10" s="255" t="s">
        <v>214</v>
      </c>
      <c r="I10" s="261">
        <f>Input!I52</f>
        <v>12</v>
      </c>
      <c r="J10" s="305" t="s">
        <v>243</v>
      </c>
      <c r="K10" s="312">
        <f>ROUND(E4*SQRT(E10/F4),4)</f>
        <v>3.2098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15.756805468721469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51.8</v>
      </c>
      <c r="D13" s="26"/>
      <c r="E13" s="430" t="s">
        <v>252</v>
      </c>
      <c r="F13" s="331">
        <f>D5</f>
        <v>16.829999999999998</v>
      </c>
      <c r="G13" s="430" t="s">
        <v>251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250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208</v>
      </c>
      <c r="D16" s="258">
        <f>(F13+H13)/2</f>
        <v>15.53</v>
      </c>
      <c r="E16" s="31">
        <f>INT(D16/C16*100000)/100000</f>
        <v>7.4660000000000004E-2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63.4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240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208</v>
      </c>
      <c r="D21" s="32">
        <f t="shared" si="0"/>
        <v>15.53</v>
      </c>
      <c r="E21" s="258">
        <f t="shared" si="0"/>
        <v>7.4660000000000004E-2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208</v>
      </c>
      <c r="D26" s="32">
        <f t="shared" si="1"/>
        <v>15.53</v>
      </c>
      <c r="E26" s="31">
        <f t="shared" si="1"/>
        <v>7.4660000000000004E-2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8.6416043447293446E-5</v>
      </c>
      <c r="E28" s="205" t="s">
        <v>236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8.6416043447293446E-5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74.8</v>
      </c>
      <c r="D30" s="15"/>
      <c r="E30" s="420">
        <f>(C13+C18)/2</f>
        <v>57.599999999999994</v>
      </c>
      <c r="F30" s="421">
        <f>MAX(C13,C18)</f>
        <v>63.4</v>
      </c>
      <c r="G30" s="422">
        <f>ROUND(C4/(G4*F30^2*I16),3)</f>
        <v>67.777000000000001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2024년 지하수 영향조사 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10.950117088338821</v>
      </c>
      <c r="Z4" s="59">
        <f>Z22</f>
        <v>9.9464680751981636</v>
      </c>
      <c r="AA4" s="58">
        <f>$Z$4</f>
        <v>9.9464680751981636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주포지구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11.866064850835844</v>
      </c>
      <c r="AA5" s="58">
        <f t="shared" ref="AA5:AA23" si="5">$Z$4</f>
        <v>9.9464680751981636</v>
      </c>
      <c r="AB5" s="58">
        <f t="shared" ref="AB5:AB43" si="6">X5</f>
        <v>2</v>
      </c>
      <c r="AC5" s="58">
        <f t="shared" ref="AC5:AC43" si="7">Y5-AA5</f>
        <v>1.9195967756376806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주포면 봉당리 647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12.401859944516049</v>
      </c>
      <c r="AA6" s="58">
        <f t="shared" si="5"/>
        <v>9.9464680751981636</v>
      </c>
      <c r="AB6" s="58">
        <f t="shared" si="6"/>
        <v>3</v>
      </c>
      <c r="AC6" s="58">
        <f t="shared" si="7"/>
        <v>2.4553918693178858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(주)우경엔지니어링</v>
      </c>
      <c r="D7" s="356"/>
      <c r="E7" s="347"/>
      <c r="F7" s="357"/>
      <c r="G7" s="358" t="str">
        <f>Input!I49</f>
        <v>주포지구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12.782012613332865</v>
      </c>
      <c r="AA7" s="58">
        <f t="shared" si="5"/>
        <v>9.9464680751981636</v>
      </c>
      <c r="AB7" s="58">
        <f t="shared" si="6"/>
        <v>4</v>
      </c>
      <c r="AC7" s="58">
        <f t="shared" si="7"/>
        <v>2.8355445381347018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7.5</v>
      </c>
      <c r="D8" s="473"/>
      <c r="E8" s="474"/>
      <c r="F8" s="362" t="s">
        <v>165</v>
      </c>
      <c r="G8" s="358" t="str">
        <f>G7</f>
        <v>주포지구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13.076881931529872</v>
      </c>
      <c r="AA8" s="58">
        <f t="shared" si="5"/>
        <v>9.9464680751981636</v>
      </c>
      <c r="AB8" s="58">
        <f t="shared" si="6"/>
        <v>5</v>
      </c>
      <c r="AC8" s="58">
        <f t="shared" si="7"/>
        <v>3.1304138563317085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220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13.992829694026893</v>
      </c>
      <c r="AA9" s="58">
        <f t="shared" si="5"/>
        <v>9.9464680751981636</v>
      </c>
      <c r="AB9" s="58">
        <f t="shared" si="6"/>
        <v>10</v>
      </c>
      <c r="AC9" s="58">
        <f t="shared" si="7"/>
        <v>4.0463616188287297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14.5286247877071</v>
      </c>
      <c r="AA10" s="58">
        <f t="shared" si="5"/>
        <v>9.9464680751981636</v>
      </c>
      <c r="AB10" s="58">
        <f t="shared" si="6"/>
        <v>15</v>
      </c>
      <c r="AC10" s="58">
        <f t="shared" si="7"/>
        <v>4.5821567125089366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14.908777456523916</v>
      </c>
      <c r="AA11" s="58">
        <f t="shared" si="5"/>
        <v>9.9464680751981636</v>
      </c>
      <c r="AB11" s="58">
        <f t="shared" si="6"/>
        <v>20</v>
      </c>
      <c r="AC11" s="58">
        <f t="shared" si="7"/>
        <v>4.9623093813257526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15.203646774720923</v>
      </c>
      <c r="AA12" s="58">
        <f t="shared" si="5"/>
        <v>9.9464680751981636</v>
      </c>
      <c r="AB12" s="58">
        <f t="shared" si="6"/>
        <v>25</v>
      </c>
      <c r="AC12" s="58">
        <f t="shared" si="7"/>
        <v>5.2571786995227594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15.444572550204121</v>
      </c>
      <c r="AA13" s="58">
        <f t="shared" si="5"/>
        <v>9.9464680751981636</v>
      </c>
      <c r="AB13" s="58">
        <f t="shared" si="6"/>
        <v>30</v>
      </c>
      <c r="AC13" s="58">
        <f t="shared" si="7"/>
        <v>5.4981044750059578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15.648272390923534</v>
      </c>
      <c r="AA14" s="58">
        <f t="shared" si="5"/>
        <v>9.9464680751981636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15.824725219020937</v>
      </c>
      <c r="AA15" s="58">
        <f t="shared" si="5"/>
        <v>9.9464680751981636</v>
      </c>
      <c r="AB15" s="58">
        <f t="shared" si="6"/>
        <v>40</v>
      </c>
      <c r="AC15" s="58">
        <f t="shared" si="7"/>
        <v>5.8782571438227738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248</v>
      </c>
      <c r="L16" s="432" t="s">
        <v>178</v>
      </c>
      <c r="M16" s="432" t="s">
        <v>179</v>
      </c>
      <c r="N16" s="432" t="s">
        <v>246</v>
      </c>
      <c r="O16" s="432" t="s">
        <v>247</v>
      </c>
      <c r="P16" s="432" t="s">
        <v>249</v>
      </c>
      <c r="S16" s="52">
        <f t="shared" si="3"/>
        <v>330</v>
      </c>
      <c r="T16" s="52">
        <f t="shared" si="10"/>
        <v>19.850478415366382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15.980367643884327</v>
      </c>
      <c r="AA16" s="58">
        <f t="shared" si="5"/>
        <v>9.9464680751981636</v>
      </c>
      <c r="AB16" s="58">
        <f t="shared" si="6"/>
        <v>45</v>
      </c>
      <c r="AC16" s="58">
        <f t="shared" si="7"/>
        <v>6.033899568686163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4.9079999999999999E-2</v>
      </c>
      <c r="O17" s="418">
        <f>INT(M17/N17*100)/100</f>
        <v>4.66</v>
      </c>
      <c r="P17" s="419">
        <f>INT((G12-O17)*100)/100</f>
        <v>-3.66</v>
      </c>
      <c r="S17" s="52">
        <f t="shared" si="3"/>
        <v>330</v>
      </c>
      <c r="T17" s="52">
        <f t="shared" si="10"/>
        <v>19.850478415366382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16.119594537217946</v>
      </c>
      <c r="AA17" s="58">
        <f t="shared" si="5"/>
        <v>9.9464680751981636</v>
      </c>
      <c r="AB17" s="58">
        <f t="shared" si="6"/>
        <v>50</v>
      </c>
      <c r="AC17" s="58">
        <f t="shared" si="7"/>
        <v>6.1731264620197823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4.9079999999999999E-2</v>
      </c>
      <c r="O18" s="418">
        <f>INT(M18/N18*100)/100</f>
        <v>9.33</v>
      </c>
      <c r="P18" s="419">
        <f>INT((G13-O18)*100*0.98)/100</f>
        <v>-7.28</v>
      </c>
      <c r="S18" s="52">
        <f t="shared" si="3"/>
        <v>330</v>
      </c>
      <c r="T18" s="52">
        <f t="shared" si="10"/>
        <v>19.850478415366382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16.245540582132154</v>
      </c>
      <c r="AA18" s="58">
        <f t="shared" si="5"/>
        <v>9.9464680751981636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4.9079999999999999E-2</v>
      </c>
      <c r="O19" s="418">
        <f>INT(M19/N19*100)/100</f>
        <v>14</v>
      </c>
      <c r="P19" s="419">
        <f>INT((G14-O19)*100*0.95)/100</f>
        <v>-10.98</v>
      </c>
      <c r="S19" s="52">
        <f t="shared" si="3"/>
        <v>330</v>
      </c>
      <c r="T19" s="52">
        <f t="shared" si="10"/>
        <v>19.850478415366382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16.360520312701141</v>
      </c>
      <c r="AA19" s="58">
        <f t="shared" si="5"/>
        <v>9.9464680751981636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4.9079999999999999E-2</v>
      </c>
      <c r="O20" s="418">
        <f>INT(M20/N20*100)/100</f>
        <v>18.670000000000002</v>
      </c>
      <c r="P20" s="419">
        <f>INT((G15-O20)*100*0.91)/100</f>
        <v>-14.42</v>
      </c>
      <c r="S20" s="52">
        <f t="shared" si="3"/>
        <v>330</v>
      </c>
      <c r="T20" s="52">
        <f t="shared" si="10"/>
        <v>19.850478415366382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16.655389630898149</v>
      </c>
      <c r="AA20" s="58">
        <f t="shared" si="5"/>
        <v>9.9464680751981636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4.9079999999999999E-2</v>
      </c>
      <c r="O21" s="417">
        <f>INT(M21/N21*100)/100</f>
        <v>23.33</v>
      </c>
      <c r="P21" s="419">
        <f>INT((G16-O21)*100*0.86)/100</f>
        <v>-17.38</v>
      </c>
      <c r="S21" s="52">
        <f t="shared" si="3"/>
        <v>330</v>
      </c>
      <c r="T21" s="52">
        <f t="shared" si="10"/>
        <v>19.850478415366382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16.896315406381348</v>
      </c>
      <c r="AA21" s="58">
        <f t="shared" si="5"/>
        <v>9.9464680751981636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4.9079999999999999E-2</v>
      </c>
      <c r="O22" s="417">
        <f t="shared" ref="O22:O30" si="21">INT(M22/N22*100)/100</f>
        <v>46.67</v>
      </c>
      <c r="P22" s="419">
        <f>INT((G17-O22)*100*0.8)/100</f>
        <v>-34.11</v>
      </c>
      <c r="S22" s="52">
        <f t="shared" si="3"/>
        <v>330</v>
      </c>
      <c r="T22" s="52">
        <f t="shared" si="10"/>
        <v>19.850478415366382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17.10001524710076</v>
      </c>
      <c r="Z22" s="58">
        <f>Y23-Z23</f>
        <v>9.9464680751981636</v>
      </c>
      <c r="AA22" s="58">
        <f t="shared" si="5"/>
        <v>9.9464680751981636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4.9079999999999999E-2</v>
      </c>
      <c r="O23" s="417">
        <f t="shared" si="21"/>
        <v>70.010000000000005</v>
      </c>
      <c r="P23" s="419">
        <f t="shared" ref="P23:P32" si="22">INT((G18-O23)*100)/100</f>
        <v>-65.430000000000007</v>
      </c>
      <c r="S23" s="52">
        <f t="shared" si="3"/>
        <v>330</v>
      </c>
      <c r="T23" s="52">
        <f t="shared" si="10"/>
        <v>19.850478415366382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17.276468075198164</v>
      </c>
      <c r="Z23" s="58">
        <f>Input!B20</f>
        <v>7.33</v>
      </c>
      <c r="AA23" s="58">
        <f t="shared" si="5"/>
        <v>9.9464680751981636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4.9079999999999999E-2</v>
      </c>
      <c r="O24" s="417">
        <f t="shared" si="21"/>
        <v>93.35</v>
      </c>
      <c r="P24" s="419">
        <f t="shared" si="22"/>
        <v>-88.39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22.122849857962429</v>
      </c>
      <c r="Z24" s="58">
        <f>Z27</f>
        <v>13.373983793430236</v>
      </c>
      <c r="AA24" s="58">
        <f>$Z$24</f>
        <v>13.373983793430236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4.9079999999999999E-2</v>
      </c>
      <c r="O25" s="417">
        <f t="shared" si="21"/>
        <v>116.69</v>
      </c>
      <c r="P25" s="419">
        <f t="shared" si="22"/>
        <v>-111.44</v>
      </c>
      <c r="S25" s="52">
        <f>$R$24</f>
        <v>420</v>
      </c>
      <c r="T25" s="52">
        <f t="shared" si="10"/>
        <v>19.850478415366382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22.247486438440554</v>
      </c>
      <c r="AA25" s="58">
        <f>$Z$24</f>
        <v>13.373983793430236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4.9079999999999999E-2</v>
      </c>
      <c r="O26" s="418">
        <f t="shared" si="21"/>
        <v>140.03</v>
      </c>
      <c r="P26" s="419">
        <f t="shared" si="22"/>
        <v>-134.54</v>
      </c>
      <c r="S26" s="52">
        <f>$R$24</f>
        <v>420</v>
      </c>
      <c r="T26" s="52">
        <f t="shared" si="10"/>
        <v>19.850478415366382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22.363520318866581</v>
      </c>
      <c r="AA26" s="58">
        <f>$Z$24</f>
        <v>13.373983793430236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4.9079999999999999E-2</v>
      </c>
      <c r="O27" s="418">
        <f t="shared" si="21"/>
        <v>163.37</v>
      </c>
      <c r="P27" s="419">
        <f t="shared" si="22"/>
        <v>-157.66999999999999</v>
      </c>
      <c r="S27" s="52">
        <f>$R$24</f>
        <v>420</v>
      </c>
      <c r="T27" s="52">
        <f t="shared" si="10"/>
        <v>19.850478415366382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22.670153124027014</v>
      </c>
      <c r="Z27" s="58">
        <f>Y28-Z28</f>
        <v>13.373983793430236</v>
      </c>
      <c r="AA27" s="58">
        <f>$Z$24</f>
        <v>13.373983793430236</v>
      </c>
      <c r="AB27" s="58">
        <f t="shared" si="6"/>
        <v>180</v>
      </c>
      <c r="AC27" s="58">
        <f t="shared" si="7"/>
        <v>9.2961693305967774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4.9079999999999999E-2</v>
      </c>
      <c r="O28" s="418">
        <f t="shared" si="21"/>
        <v>186.71</v>
      </c>
      <c r="P28" s="419">
        <f t="shared" si="22"/>
        <v>-180.84</v>
      </c>
      <c r="S28" s="52">
        <f>$R$24</f>
        <v>420</v>
      </c>
      <c r="T28" s="52">
        <f t="shared" si="10"/>
        <v>19.850478415366382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23.153983793430235</v>
      </c>
      <c r="Z28" s="58">
        <f>Input!B21</f>
        <v>9.7799999999999994</v>
      </c>
      <c r="AA28" s="58">
        <f>$Z$24</f>
        <v>13.373983793430236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4.9079999999999999E-2</v>
      </c>
      <c r="O29" s="418">
        <f t="shared" si="21"/>
        <v>210.05</v>
      </c>
      <c r="P29" s="419">
        <f t="shared" si="22"/>
        <v>-204.02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28.198919042450271</v>
      </c>
      <c r="Z29" s="58">
        <f>Z32</f>
        <v>16.413598712125605</v>
      </c>
      <c r="AA29" s="58">
        <f>$Z$29</f>
        <v>16.413598712125605</v>
      </c>
      <c r="AB29" s="58">
        <f t="shared" si="6"/>
        <v>250</v>
      </c>
      <c r="AC29" s="58">
        <f t="shared" si="7"/>
        <v>11.785320330324666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4.9079999999999999E-2</v>
      </c>
      <c r="O30" s="418">
        <f t="shared" si="21"/>
        <v>233.39</v>
      </c>
      <c r="P30" s="419">
        <f t="shared" si="22"/>
        <v>-227.22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28.279016174761466</v>
      </c>
      <c r="AA30" s="58">
        <f>$Z$29</f>
        <v>16.413598712125605</v>
      </c>
      <c r="AB30" s="58">
        <f t="shared" si="6"/>
        <v>260</v>
      </c>
      <c r="AC30" s="58">
        <f t="shared" si="7"/>
        <v>11.865417462635861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4.9079999999999999E-2</v>
      </c>
      <c r="O31" s="418">
        <f>INT(M31/N31*100)/100</f>
        <v>256.73</v>
      </c>
      <c r="P31" s="419">
        <f t="shared" si="22"/>
        <v>-250.44</v>
      </c>
      <c r="S31" s="52">
        <f>$R$29</f>
        <v>510</v>
      </c>
      <c r="T31" s="52">
        <f t="shared" si="10"/>
        <v>19.850478415366382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28.356090042135978</v>
      </c>
      <c r="AA31" s="58">
        <f>$Z$29</f>
        <v>16.413598712125605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4.9079999999999999E-2</v>
      </c>
      <c r="O32" s="418">
        <f>INT(M32/N32*100)/100</f>
        <v>280.07</v>
      </c>
      <c r="P32" s="419">
        <f t="shared" si="22"/>
        <v>-273.66000000000003</v>
      </c>
      <c r="S32" s="52">
        <f>$R$29</f>
        <v>510</v>
      </c>
      <c r="T32" s="52">
        <f t="shared" si="10"/>
        <v>19.850478415366382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28.571258877287939</v>
      </c>
      <c r="Z32" s="58">
        <f>Y33-Z33</f>
        <v>16.413598712125605</v>
      </c>
      <c r="AA32" s="58">
        <f>$Z$29</f>
        <v>16.413598712125605</v>
      </c>
      <c r="AB32" s="58">
        <f t="shared" si="6"/>
        <v>300</v>
      </c>
      <c r="AC32" s="58">
        <f t="shared" si="7"/>
        <v>12.157660165162333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28.943598712125603</v>
      </c>
      <c r="Z33" s="58">
        <f>Input!B22</f>
        <v>12.53</v>
      </c>
      <c r="AA33" s="58">
        <f>$Z$29</f>
        <v>16.413598712125605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34.117121542013287</v>
      </c>
      <c r="Z34" s="58">
        <f>Z37</f>
        <v>19.142479273076738</v>
      </c>
      <c r="AA34" s="58">
        <f>$Z$34</f>
        <v>19.142479273076738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34.181194832203829</v>
      </c>
      <c r="AA35" s="58">
        <f>$Z$34</f>
        <v>19.142479273076738</v>
      </c>
      <c r="AB35" s="58">
        <f t="shared" si="6"/>
        <v>380</v>
      </c>
      <c r="AC35" s="58">
        <f t="shared" si="7"/>
        <v>15.038715559127091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34.243603691437393</v>
      </c>
      <c r="AA36" s="58">
        <f>$Z$34</f>
        <v>19.142479273076738</v>
      </c>
      <c r="AB36" s="58">
        <f t="shared" si="6"/>
        <v>390</v>
      </c>
      <c r="AC36" s="58">
        <f t="shared" si="7"/>
        <v>15.101124418360655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34.421655949263283</v>
      </c>
      <c r="Z37" s="58">
        <f>Y38-Z38</f>
        <v>19.142479273076738</v>
      </c>
      <c r="AA37" s="58">
        <f>$Z$34</f>
        <v>19.142479273076738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34.742479273076739</v>
      </c>
      <c r="Z38" s="58">
        <f>Input!B23</f>
        <v>15.6</v>
      </c>
      <c r="AA38" s="58">
        <f>$Z$34</f>
        <v>19.142479273076738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40.010822190429728</v>
      </c>
      <c r="Z39" s="58">
        <f>Z42</f>
        <v>20.290396102086532</v>
      </c>
      <c r="AA39" s="58">
        <f>$Z$39</f>
        <v>20.290396102086532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40.066642207894397</v>
      </c>
      <c r="AA40" s="58">
        <f>$Z$39</f>
        <v>20.290396102086532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40.121356805504817</v>
      </c>
      <c r="AA41" s="58">
        <f>$Z$39</f>
        <v>20.290396102086532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40.279285325116241</v>
      </c>
      <c r="Z42" s="58">
        <f>Y43-Z43</f>
        <v>20.290396102086532</v>
      </c>
      <c r="AA42" s="58">
        <f>$Z$39</f>
        <v>20.290396102086532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40.570396102086534</v>
      </c>
      <c r="Z43" s="58">
        <f>Input!B24</f>
        <v>20.28</v>
      </c>
      <c r="AA43" s="58">
        <f>$Z$39</f>
        <v>20.290396102086532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Y5" sqref="Y5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-4.9999999999999982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17.529999999999998</v>
      </c>
      <c r="S1" s="73">
        <f>D7/2000</f>
        <v>0.125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2024년 지하수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21.889999999999997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18.035423833412946</v>
      </c>
      <c r="AC2" s="58">
        <f>1.6*V2/(4*PI()*W2)*LOG10((2.25*W2*Z2)/(X2*X2*Y2))</f>
        <v>18.035423833412946</v>
      </c>
      <c r="AD2" s="75">
        <v>0</v>
      </c>
      <c r="AE2" s="57">
        <f>AA2</f>
        <v>1</v>
      </c>
      <c r="AF2" s="58">
        <f t="shared" ref="AF2:AF14" si="1">AC2-$P$3-O3</f>
        <v>4.3854245881675915</v>
      </c>
      <c r="AG2" s="58">
        <f>AC2</f>
        <v>18.035423833412946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주포지구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19.632806872975372</v>
      </c>
      <c r="AC3" s="58">
        <f t="shared" ref="AC3:AC26" si="5">1.6*V3/(4*PI()*W3)*LOG10((2.25*W3*Z3)/(X3*X3*Y3))</f>
        <v>19.632806872975372</v>
      </c>
      <c r="AD3" s="58">
        <f>AB69</f>
        <v>31.179999245245352</v>
      </c>
      <c r="AE3" s="57">
        <f t="shared" ref="AE3:AE66" si="6">AA3</f>
        <v>2</v>
      </c>
      <c r="AF3" s="58">
        <f t="shared" si="1"/>
        <v>5.9828076277300184</v>
      </c>
      <c r="AG3" s="58">
        <f t="shared" ref="AG3:AG16" si="7">AC3</f>
        <v>19.632806872975372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주포면 봉당리 647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-8.7899999999999991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20.567216050407371</v>
      </c>
      <c r="AC4" s="58">
        <f>1.6*V4/(4*PI()*W4)*LOG10((2.25*W4*Z4)/(X4*X4*Y4))</f>
        <v>20.567216050407371</v>
      </c>
      <c r="AD4" s="58">
        <f>AC69</f>
        <v>31.179999245245352</v>
      </c>
      <c r="AE4" s="57">
        <f t="shared" si="6"/>
        <v>3</v>
      </c>
      <c r="AF4" s="58">
        <f t="shared" si="1"/>
        <v>6.9172168051620169</v>
      </c>
      <c r="AG4" s="58">
        <f t="shared" si="7"/>
        <v>20.567216050407371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(주)우경엔지니어링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-15.24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21.230189912537796</v>
      </c>
      <c r="AC5" s="58">
        <f t="shared" si="5"/>
        <v>21.230189912537796</v>
      </c>
      <c r="AD5" s="58">
        <f>AF69</f>
        <v>17.529999999999998</v>
      </c>
      <c r="AE5" s="57">
        <f t="shared" si="6"/>
        <v>4</v>
      </c>
      <c r="AF5" s="58">
        <f t="shared" si="1"/>
        <v>7.5801906672924417</v>
      </c>
      <c r="AG5" s="58">
        <f t="shared" si="7"/>
        <v>21.230189912537796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7.5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-21.96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21.744432391269513</v>
      </c>
      <c r="AC6" s="58">
        <f t="shared" si="5"/>
        <v>21.744432391269513</v>
      </c>
      <c r="AE6" s="57">
        <f t="shared" si="6"/>
        <v>5</v>
      </c>
      <c r="AF6" s="58">
        <f t="shared" si="1"/>
        <v>8.0944331460241585</v>
      </c>
      <c r="AG6" s="58">
        <f t="shared" si="7"/>
        <v>21.744432391269513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220</v>
      </c>
      <c r="H7" s="165"/>
      <c r="I7" s="165"/>
      <c r="J7" s="166"/>
      <c r="M7" s="59">
        <f t="shared" si="2"/>
        <v>-28.83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23.341815430831936</v>
      </c>
      <c r="AC7" s="58">
        <f t="shared" si="5"/>
        <v>23.341815430831936</v>
      </c>
      <c r="AE7" s="57">
        <f t="shared" si="6"/>
        <v>10</v>
      </c>
      <c r="AF7" s="58">
        <f t="shared" si="1"/>
        <v>9.6918161855865819</v>
      </c>
      <c r="AG7" s="58">
        <f t="shared" si="7"/>
        <v>23.341815430831936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21.889999999999997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2.7880415486051646</v>
      </c>
      <c r="M8" s="59">
        <f t="shared" si="2"/>
        <v>-64.16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24.276224608263934</v>
      </c>
      <c r="AC8" s="58">
        <f t="shared" si="5"/>
        <v>24.276224608263934</v>
      </c>
      <c r="AE8" s="57">
        <f t="shared" si="6"/>
        <v>15</v>
      </c>
      <c r="AF8" s="58">
        <f t="shared" si="1"/>
        <v>10.62622536301858</v>
      </c>
      <c r="AG8" s="58">
        <f t="shared" si="7"/>
        <v>24.276224608263934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17.529999999999998</v>
      </c>
      <c r="M9" s="59">
        <f t="shared" si="2"/>
        <v>-100.16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24.939198470394363</v>
      </c>
      <c r="AC9" s="58">
        <f t="shared" si="5"/>
        <v>24.939198470394363</v>
      </c>
      <c r="AE9" s="57">
        <f t="shared" si="6"/>
        <v>20</v>
      </c>
      <c r="AF9" s="58">
        <f t="shared" si="1"/>
        <v>11.289199225149009</v>
      </c>
      <c r="AG9" s="58">
        <f t="shared" si="7"/>
        <v>24.939198470394363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8.7454245881675909</v>
      </c>
      <c r="G10" s="188">
        <f>AF2</f>
        <v>4.3854245881675915</v>
      </c>
      <c r="H10" s="189"/>
      <c r="I10" s="189"/>
      <c r="J10" s="189"/>
      <c r="K10" s="80">
        <f>K8-K9</f>
        <v>0</v>
      </c>
      <c r="L10" s="76">
        <f>K10+Q17</f>
        <v>-3</v>
      </c>
      <c r="M10" s="59">
        <f t="shared" si="2"/>
        <v>-136.43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25.453440949126076</v>
      </c>
      <c r="AC10" s="58">
        <f t="shared" si="5"/>
        <v>25.453440949126076</v>
      </c>
      <c r="AE10" s="57">
        <f t="shared" si="6"/>
        <v>25</v>
      </c>
      <c r="AF10" s="58">
        <f t="shared" si="1"/>
        <v>11.803441703880722</v>
      </c>
      <c r="AG10" s="58">
        <f t="shared" si="7"/>
        <v>25.453440949126076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10.342807627730018</v>
      </c>
      <c r="G11" s="187">
        <f>AF3</f>
        <v>5.9828076277300184</v>
      </c>
      <c r="H11" s="189"/>
      <c r="I11" s="189"/>
      <c r="J11" s="189"/>
      <c r="K11" s="81">
        <f>G11-G10</f>
        <v>1.5973830395624269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25.873607647826361</v>
      </c>
      <c r="AC11" s="58">
        <f t="shared" si="5"/>
        <v>25.873607647826361</v>
      </c>
      <c r="AE11" s="57">
        <f t="shared" si="6"/>
        <v>30</v>
      </c>
      <c r="AF11" s="58">
        <f t="shared" si="1"/>
        <v>12.223608402581007</v>
      </c>
      <c r="AG11" s="58">
        <f t="shared" si="7"/>
        <v>25.873607647826361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11.277216805162016</v>
      </c>
      <c r="G12" s="187">
        <f t="shared" ref="G12:G74" si="14">AF4</f>
        <v>6.9172168051620169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26.228853529796424</v>
      </c>
      <c r="AC12" s="58">
        <f t="shared" si="5"/>
        <v>26.228853529796424</v>
      </c>
      <c r="AE12" s="57">
        <f t="shared" si="6"/>
        <v>35</v>
      </c>
      <c r="AF12" s="58">
        <f t="shared" si="1"/>
        <v>12.57885428455107</v>
      </c>
      <c r="AG12" s="58">
        <f t="shared" si="7"/>
        <v>26.228853529796424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11.940190667292441</v>
      </c>
      <c r="G13" s="187">
        <f t="shared" si="14"/>
        <v>7.5801906672924417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26.53658150995679</v>
      </c>
      <c r="AC13" s="58">
        <f t="shared" si="5"/>
        <v>26.53658150995679</v>
      </c>
      <c r="AE13" s="57">
        <f t="shared" si="6"/>
        <v>40</v>
      </c>
      <c r="AF13" s="58">
        <f t="shared" si="1"/>
        <v>12.886582264711436</v>
      </c>
      <c r="AG13" s="58">
        <f t="shared" si="7"/>
        <v>26.53658150995679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12.454433146024158</v>
      </c>
      <c r="G14" s="187">
        <f t="shared" si="14"/>
        <v>8.0944331460241585</v>
      </c>
      <c r="H14" s="189"/>
      <c r="I14" s="189"/>
      <c r="J14" s="189"/>
      <c r="K14" s="81">
        <f t="shared" si="15"/>
        <v>0.5142424787317168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26.80801682525836</v>
      </c>
      <c r="AC14" s="58">
        <f t="shared" si="5"/>
        <v>26.80801682525836</v>
      </c>
      <c r="AE14" s="57">
        <f t="shared" si="6"/>
        <v>45</v>
      </c>
      <c r="AF14" s="58">
        <f t="shared" si="1"/>
        <v>13.158017580013006</v>
      </c>
      <c r="AG14" s="58">
        <f t="shared" si="7"/>
        <v>26.80801682525836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14.051816185586581</v>
      </c>
      <c r="G15" s="187">
        <f t="shared" si="14"/>
        <v>9.6918161855865819</v>
      </c>
      <c r="H15" s="189"/>
      <c r="I15" s="189"/>
      <c r="J15" s="189"/>
      <c r="K15" s="81">
        <f t="shared" si="15"/>
        <v>1.5973830395624233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27.050823988688503</v>
      </c>
      <c r="AC15" s="58">
        <f t="shared" si="5"/>
        <v>27.050823988688503</v>
      </c>
      <c r="AE15" s="57">
        <f t="shared" si="6"/>
        <v>50</v>
      </c>
      <c r="AF15" s="58">
        <f>AC15-$P$3</f>
        <v>13.400824743443149</v>
      </c>
      <c r="AG15" s="58">
        <f t="shared" si="7"/>
        <v>27.050823988688503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14.98622536301858</v>
      </c>
      <c r="G16" s="187">
        <f t="shared" si="14"/>
        <v>10.62622536301858</v>
      </c>
      <c r="H16" s="189"/>
      <c r="I16" s="189"/>
      <c r="J16" s="189"/>
      <c r="K16" s="81">
        <f t="shared" si="15"/>
        <v>0.93440917743199847</v>
      </c>
      <c r="L16" s="431" t="s">
        <v>248</v>
      </c>
      <c r="M16" s="432" t="s">
        <v>178</v>
      </c>
      <c r="N16" s="432" t="s">
        <v>179</v>
      </c>
      <c r="O16" s="432" t="s">
        <v>246</v>
      </c>
      <c r="P16" s="432" t="s">
        <v>247</v>
      </c>
      <c r="Q16" s="432" t="s">
        <v>249</v>
      </c>
      <c r="V16" s="56">
        <f t="shared" si="8"/>
        <v>522</v>
      </c>
      <c r="W16" s="52">
        <f t="shared" si="9"/>
        <v>12.525103550123006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27.270469785406721</v>
      </c>
      <c r="AC16" s="58">
        <f t="shared" si="5"/>
        <v>27.270469785406721</v>
      </c>
      <c r="AE16" s="57">
        <f t="shared" si="6"/>
        <v>55</v>
      </c>
      <c r="AF16" s="58">
        <f>AC16-$P$3</f>
        <v>13.620470540161367</v>
      </c>
      <c r="AG16" s="58">
        <f t="shared" si="7"/>
        <v>27.270469785406721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15.649199225149008</v>
      </c>
      <c r="G17" s="187">
        <f t="shared" si="14"/>
        <v>11.289199225149009</v>
      </c>
      <c r="H17" s="189"/>
      <c r="I17" s="189"/>
      <c r="J17" s="189"/>
      <c r="K17" s="81">
        <f t="shared" si="15"/>
        <v>0.66297386213042842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4.9079999999999999E-2</v>
      </c>
      <c r="P17" s="418">
        <f>INT(N17/O17*100)/100</f>
        <v>7.38</v>
      </c>
      <c r="Q17" s="419">
        <f>INT((G10-P17)*100)/100</f>
        <v>-3</v>
      </c>
      <c r="V17" s="56">
        <f t="shared" si="8"/>
        <v>522</v>
      </c>
      <c r="W17" s="52">
        <f t="shared" si="9"/>
        <v>12.525103550123006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27.470990687388788</v>
      </c>
      <c r="AC17" s="58">
        <f t="shared" si="5"/>
        <v>27.470990687388788</v>
      </c>
      <c r="AE17" s="57">
        <f t="shared" si="6"/>
        <v>60</v>
      </c>
      <c r="AF17" s="58">
        <f>AC17-$P$3</f>
        <v>13.820991442143434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16.163441703880721</v>
      </c>
      <c r="G18" s="187">
        <f t="shared" si="14"/>
        <v>11.803441703880722</v>
      </c>
      <c r="H18" s="189"/>
      <c r="I18" s="189"/>
      <c r="J18" s="189"/>
      <c r="K18" s="81">
        <f t="shared" si="15"/>
        <v>0.51424247873171325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4.9079999999999999E-2</v>
      </c>
      <c r="P18" s="418">
        <f>INT(N18/O18*100)/100</f>
        <v>14.77</v>
      </c>
      <c r="Q18" s="419">
        <f t="shared" ref="Q18:Q27" si="17">INT((G11-P18)*100)/100</f>
        <v>-8.7899999999999991</v>
      </c>
      <c r="V18" s="56">
        <f t="shared" si="8"/>
        <v>522</v>
      </c>
      <c r="W18" s="52">
        <f t="shared" si="9"/>
        <v>12.525103550123006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27.985233166120501</v>
      </c>
      <c r="AC18" s="58">
        <f t="shared" si="5"/>
        <v>27.985233166120501</v>
      </c>
      <c r="AE18" s="57">
        <f t="shared" si="6"/>
        <v>75</v>
      </c>
      <c r="AF18" s="58">
        <f>AC18-$P$3</f>
        <v>14.335233920875147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16.583608402581007</v>
      </c>
      <c r="G19" s="187">
        <f t="shared" si="14"/>
        <v>12.223608402581007</v>
      </c>
      <c r="H19" s="189"/>
      <c r="I19" s="189"/>
      <c r="J19" s="189"/>
      <c r="K19" s="81">
        <f t="shared" si="15"/>
        <v>0.42016669870028522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4.9079999999999999E-2</v>
      </c>
      <c r="P19" s="418">
        <f>INT(N19/O19*100)/100</f>
        <v>22.15</v>
      </c>
      <c r="Q19" s="419">
        <f t="shared" si="17"/>
        <v>-15.24</v>
      </c>
      <c r="V19" s="56">
        <f t="shared" si="8"/>
        <v>522</v>
      </c>
      <c r="W19" s="52">
        <f t="shared" si="9"/>
        <v>12.525103550123006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28.405399864820787</v>
      </c>
      <c r="AC19" s="58">
        <f t="shared" si="5"/>
        <v>28.405399864820787</v>
      </c>
      <c r="AE19" s="57">
        <f t="shared" si="6"/>
        <v>90</v>
      </c>
      <c r="AF19" s="58">
        <f>AC19-$P$3</f>
        <v>14.755400619575433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16.93885428455107</v>
      </c>
      <c r="G20" s="187">
        <f t="shared" si="14"/>
        <v>12.57885428455107</v>
      </c>
      <c r="H20" s="189"/>
      <c r="I20" s="189"/>
      <c r="J20" s="189"/>
      <c r="K20" s="81">
        <f t="shared" si="15"/>
        <v>0.35524588197006324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4.9079999999999999E-2</v>
      </c>
      <c r="P20" s="418">
        <f>INT(N20/O20*100)/100</f>
        <v>29.54</v>
      </c>
      <c r="Q20" s="419">
        <f t="shared" si="17"/>
        <v>-21.96</v>
      </c>
      <c r="V20" s="56">
        <f t="shared" si="8"/>
        <v>522</v>
      </c>
      <c r="W20" s="52">
        <f t="shared" si="9"/>
        <v>12.525103550123006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28.760645746790846</v>
      </c>
      <c r="AC20" s="58">
        <f t="shared" si="5"/>
        <v>28.760645746790846</v>
      </c>
      <c r="AE20" s="57">
        <f t="shared" si="6"/>
        <v>105</v>
      </c>
      <c r="AF20" s="58">
        <f t="shared" ref="AF20:AF69" si="20">AC20-$P$3</f>
        <v>15.110646501545492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17.246582264711435</v>
      </c>
      <c r="G21" s="187">
        <f t="shared" si="14"/>
        <v>12.886582264711436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4.9079999999999999E-2</v>
      </c>
      <c r="P21" s="418">
        <f>INT(N21/O21*100)/100</f>
        <v>36.92</v>
      </c>
      <c r="Q21" s="419">
        <f t="shared" si="17"/>
        <v>-28.83</v>
      </c>
      <c r="V21" s="56">
        <f t="shared" si="8"/>
        <v>522</v>
      </c>
      <c r="W21" s="52">
        <f t="shared" si="9"/>
        <v>12.525103550123006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29.068373726951211</v>
      </c>
      <c r="AC21" s="58">
        <f t="shared" si="5"/>
        <v>29.068373726951211</v>
      </c>
      <c r="AE21" s="57">
        <f t="shared" si="6"/>
        <v>120</v>
      </c>
      <c r="AF21" s="58">
        <f t="shared" si="20"/>
        <v>15.418374481705857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17.518017580013005</v>
      </c>
      <c r="G22" s="187">
        <f t="shared" si="14"/>
        <v>13.158017580013006</v>
      </c>
      <c r="H22" s="189"/>
      <c r="I22" s="189"/>
      <c r="J22" s="189"/>
      <c r="K22" s="81">
        <f t="shared" si="15"/>
        <v>0.27143531530157006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4.9079999999999999E-2</v>
      </c>
      <c r="P22" s="418">
        <f t="shared" ref="P22:P27" si="22">INT(N22/O22*100)/100</f>
        <v>73.849999999999994</v>
      </c>
      <c r="Q22" s="419">
        <f t="shared" si="17"/>
        <v>-64.16</v>
      </c>
      <c r="V22" s="56">
        <f t="shared" si="8"/>
        <v>522</v>
      </c>
      <c r="W22" s="52">
        <f t="shared" si="9"/>
        <v>12.525103550123006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29.423619608921275</v>
      </c>
      <c r="AC22" s="58">
        <f t="shared" si="5"/>
        <v>29.423619608921275</v>
      </c>
      <c r="AE22" s="57">
        <f t="shared" si="6"/>
        <v>140</v>
      </c>
      <c r="AF22" s="58">
        <f t="shared" si="20"/>
        <v>15.773620363675921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17.760824743443148</v>
      </c>
      <c r="G23" s="187">
        <f t="shared" si="14"/>
        <v>13.400824743443149</v>
      </c>
      <c r="H23" s="189"/>
      <c r="I23" s="189"/>
      <c r="J23" s="189"/>
      <c r="K23" s="81">
        <f t="shared" si="15"/>
        <v>0.24280716343014319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4.9079999999999999E-2</v>
      </c>
      <c r="P23" s="418">
        <f t="shared" si="22"/>
        <v>110.78</v>
      </c>
      <c r="Q23" s="419">
        <f t="shared" si="17"/>
        <v>-100.16</v>
      </c>
      <c r="V23" s="56">
        <f t="shared" si="8"/>
        <v>522</v>
      </c>
      <c r="W23" s="52">
        <f t="shared" si="9"/>
        <v>12.525103550123006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29.73134758908164</v>
      </c>
      <c r="AC23" s="58">
        <f t="shared" si="5"/>
        <v>29.73134758908164</v>
      </c>
      <c r="AE23" s="57">
        <f t="shared" si="6"/>
        <v>160</v>
      </c>
      <c r="AF23" s="58">
        <f t="shared" si="20"/>
        <v>16.081348343836286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17.980470540161367</v>
      </c>
      <c r="G24" s="187">
        <f t="shared" si="14"/>
        <v>13.620470540161367</v>
      </c>
      <c r="H24" s="189"/>
      <c r="I24" s="189"/>
      <c r="J24" s="189"/>
      <c r="K24" s="81">
        <f t="shared" si="15"/>
        <v>0.21964579671821838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4.9079999999999999E-2</v>
      </c>
      <c r="P24" s="418">
        <f t="shared" si="22"/>
        <v>147.71</v>
      </c>
      <c r="Q24" s="419">
        <f t="shared" si="17"/>
        <v>-136.43</v>
      </c>
      <c r="V24" s="56">
        <f t="shared" si="8"/>
        <v>522</v>
      </c>
      <c r="W24" s="52">
        <f t="shared" si="9"/>
        <v>12.525103550123006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30.00278290438321</v>
      </c>
      <c r="AC24" s="58">
        <f t="shared" si="5"/>
        <v>30.00278290438321</v>
      </c>
      <c r="AE24" s="57">
        <f t="shared" si="6"/>
        <v>180</v>
      </c>
      <c r="AF24" s="58">
        <f t="shared" si="20"/>
        <v>16.352783659137856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18.180991442143434</v>
      </c>
      <c r="G25" s="187">
        <f t="shared" si="14"/>
        <v>13.820991442143434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4.9079999999999999E-2</v>
      </c>
      <c r="P25" s="418">
        <f t="shared" si="22"/>
        <v>184.64</v>
      </c>
      <c r="Q25" s="419">
        <f t="shared" si="17"/>
        <v>-172.84</v>
      </c>
      <c r="V25" s="56">
        <f t="shared" si="8"/>
        <v>522</v>
      </c>
      <c r="W25" s="52">
        <f t="shared" si="9"/>
        <v>12.525103550123006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30.665756766513638</v>
      </c>
      <c r="AC25" s="58">
        <f t="shared" si="5"/>
        <v>30.665756766513638</v>
      </c>
      <c r="AE25" s="57">
        <f t="shared" si="6"/>
        <v>240</v>
      </c>
      <c r="AF25" s="58">
        <f t="shared" si="20"/>
        <v>17.015757521268284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18.695233920875147</v>
      </c>
      <c r="G26" s="187">
        <f t="shared" si="14"/>
        <v>14.335233920875147</v>
      </c>
      <c r="H26" s="189"/>
      <c r="I26" s="189"/>
      <c r="J26" s="189"/>
      <c r="K26" s="81">
        <f t="shared" si="15"/>
        <v>0.51424247873171325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4.9079999999999999E-2</v>
      </c>
      <c r="P26" s="418">
        <f t="shared" si="22"/>
        <v>221.57</v>
      </c>
      <c r="Q26" s="419">
        <f t="shared" si="17"/>
        <v>-209.35</v>
      </c>
      <c r="V26" s="56">
        <f t="shared" si="8"/>
        <v>522</v>
      </c>
      <c r="W26" s="52">
        <f t="shared" si="9"/>
        <v>12.525103550123006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31.179999245245352</v>
      </c>
      <c r="AC26" s="58">
        <f t="shared" si="5"/>
        <v>31.179999245245352</v>
      </c>
      <c r="AE26" s="57">
        <f t="shared" si="6"/>
        <v>300</v>
      </c>
      <c r="AF26" s="58">
        <f t="shared" si="20"/>
        <v>17.529999999999998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19.115400619575432</v>
      </c>
      <c r="G27" s="187">
        <f t="shared" si="14"/>
        <v>14.755400619575433</v>
      </c>
      <c r="H27" s="189"/>
      <c r="I27" s="189"/>
      <c r="J27" s="189"/>
      <c r="K27" s="81">
        <f t="shared" si="15"/>
        <v>0.42016669870028522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4.9079999999999999E-2</v>
      </c>
      <c r="P27" s="418">
        <f t="shared" si="22"/>
        <v>258.5</v>
      </c>
      <c r="Q27" s="419">
        <f t="shared" si="17"/>
        <v>-245.93</v>
      </c>
      <c r="V27" s="56">
        <f t="shared" si="8"/>
        <v>522</v>
      </c>
      <c r="W27" s="52">
        <f t="shared" si="9"/>
        <v>12.525103550123006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31.179999245245352</v>
      </c>
      <c r="AC27" s="58">
        <f t="shared" ref="AC27:AC38" si="23">AC26</f>
        <v>31.179999245245352</v>
      </c>
      <c r="AE27" s="57">
        <f t="shared" si="6"/>
        <v>360</v>
      </c>
      <c r="AF27" s="58">
        <f t="shared" si="20"/>
        <v>17.529999999999998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19.470646501545492</v>
      </c>
      <c r="G28" s="187">
        <f t="shared" si="14"/>
        <v>15.110646501545492</v>
      </c>
      <c r="H28" s="189"/>
      <c r="I28" s="189"/>
      <c r="J28" s="189"/>
      <c r="K28" s="81">
        <f t="shared" si="15"/>
        <v>0.35524588197005968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4.9079999999999999E-2</v>
      </c>
      <c r="P28" s="418">
        <f>INT(N28/O28*100)/100</f>
        <v>295.43</v>
      </c>
      <c r="Q28" s="419">
        <f>INT((G21-P28)*100)/100</f>
        <v>-282.55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31.179999245245352</v>
      </c>
      <c r="AC28" s="58">
        <f t="shared" si="23"/>
        <v>31.179999245245352</v>
      </c>
      <c r="AE28" s="57">
        <f t="shared" si="6"/>
        <v>420</v>
      </c>
      <c r="AF28" s="58">
        <f t="shared" si="20"/>
        <v>17.529999999999998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19.778374481705857</v>
      </c>
      <c r="G29" s="187">
        <f t="shared" si="14"/>
        <v>15.418374481705857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4.9079999999999999E-2</v>
      </c>
      <c r="P29" s="418">
        <f>INT(N29/O29*100)/100</f>
        <v>332.36</v>
      </c>
      <c r="Q29" s="419">
        <f>INT((G22-P29)*100)/100</f>
        <v>-319.20999999999998</v>
      </c>
      <c r="V29" s="56">
        <f t="shared" si="8"/>
        <v>522</v>
      </c>
      <c r="W29" s="52">
        <f t="shared" si="9"/>
        <v>12.525103550123006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31.179999245245352</v>
      </c>
      <c r="AC29" s="58">
        <f t="shared" si="23"/>
        <v>31.179999245245352</v>
      </c>
      <c r="AE29" s="57">
        <f t="shared" si="6"/>
        <v>480</v>
      </c>
      <c r="AF29" s="58">
        <f t="shared" si="20"/>
        <v>17.529999999999998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20.13362036367592</v>
      </c>
      <c r="G30" s="187">
        <f t="shared" si="14"/>
        <v>15.773620363675921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4.9079999999999999E-2</v>
      </c>
      <c r="P30" s="418">
        <f>INT(N30/O30*100)/100</f>
        <v>369.29</v>
      </c>
      <c r="Q30" s="419">
        <f>INT((G23-P30)*100)/100</f>
        <v>-355.89</v>
      </c>
      <c r="V30" s="56">
        <f t="shared" si="8"/>
        <v>522</v>
      </c>
      <c r="W30" s="52">
        <f t="shared" si="9"/>
        <v>12.525103550123006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31.179999245245352</v>
      </c>
      <c r="AC30" s="58">
        <f t="shared" si="23"/>
        <v>31.179999245245352</v>
      </c>
      <c r="AE30" s="57">
        <f t="shared" si="6"/>
        <v>540</v>
      </c>
      <c r="AF30" s="58">
        <f t="shared" si="20"/>
        <v>17.529999999999998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20.441348343836285</v>
      </c>
      <c r="G31" s="187">
        <f t="shared" si="14"/>
        <v>16.081348343836286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4.9079999999999999E-2</v>
      </c>
      <c r="P31" s="418">
        <f>INT(N31/O31*100)/100</f>
        <v>406.22</v>
      </c>
      <c r="Q31" s="419">
        <f>INT((G24-P31)*100)/100</f>
        <v>-392.6</v>
      </c>
      <c r="V31" s="56">
        <f t="shared" si="8"/>
        <v>522</v>
      </c>
      <c r="W31" s="52">
        <f t="shared" si="9"/>
        <v>12.525103550123006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31.179999245245352</v>
      </c>
      <c r="AC31" s="58">
        <f t="shared" si="23"/>
        <v>31.179999245245352</v>
      </c>
      <c r="AE31" s="57">
        <f t="shared" si="6"/>
        <v>600</v>
      </c>
      <c r="AF31" s="58">
        <f t="shared" si="20"/>
        <v>17.529999999999998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20.712783659137855</v>
      </c>
      <c r="G32" s="187">
        <f t="shared" si="14"/>
        <v>16.352783659137856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31.179999245245352</v>
      </c>
      <c r="AC32" s="58">
        <f t="shared" si="23"/>
        <v>31.179999245245352</v>
      </c>
      <c r="AE32" s="57">
        <f t="shared" si="6"/>
        <v>660</v>
      </c>
      <c r="AF32" s="58">
        <f t="shared" si="20"/>
        <v>17.529999999999998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21.375757521268284</v>
      </c>
      <c r="G33" s="187">
        <f t="shared" si="14"/>
        <v>17.015757521268284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31.179999245245352</v>
      </c>
      <c r="AC33" s="58">
        <f t="shared" si="23"/>
        <v>31.179999245245352</v>
      </c>
      <c r="AE33" s="57">
        <f t="shared" si="6"/>
        <v>720</v>
      </c>
      <c r="AF33" s="58">
        <f t="shared" si="20"/>
        <v>17.529999999999998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21.889999999999997</v>
      </c>
      <c r="G34" s="187">
        <f t="shared" si="14"/>
        <v>17.529999999999998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31.179999245245352</v>
      </c>
      <c r="AC34" s="58">
        <f t="shared" si="23"/>
        <v>31.179999245245352</v>
      </c>
      <c r="AE34" s="57">
        <f t="shared" si="6"/>
        <v>780</v>
      </c>
      <c r="AF34" s="58">
        <f t="shared" si="20"/>
        <v>17.529999999999998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21.889999999999997</v>
      </c>
      <c r="G35" s="187">
        <f t="shared" si="14"/>
        <v>17.529999999999998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31.179999245245352</v>
      </c>
      <c r="AC35" s="58">
        <f t="shared" si="23"/>
        <v>31.179999245245352</v>
      </c>
      <c r="AE35" s="57">
        <f t="shared" si="6"/>
        <v>840</v>
      </c>
      <c r="AF35" s="58">
        <f t="shared" si="20"/>
        <v>17.529999999999998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21.889999999999997</v>
      </c>
      <c r="G36" s="187">
        <f t="shared" si="14"/>
        <v>17.529999999999998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31.179999245245352</v>
      </c>
      <c r="AC36" s="58">
        <f t="shared" si="23"/>
        <v>31.179999245245352</v>
      </c>
      <c r="AE36" s="57">
        <f t="shared" si="6"/>
        <v>900</v>
      </c>
      <c r="AF36" s="58">
        <f t="shared" si="20"/>
        <v>17.529999999999998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21.889999999999997</v>
      </c>
      <c r="G37" s="187">
        <f t="shared" si="14"/>
        <v>17.529999999999998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31.179999245245352</v>
      </c>
      <c r="AC37" s="58">
        <f t="shared" si="23"/>
        <v>31.179999245245352</v>
      </c>
      <c r="AD37" s="52">
        <v>37</v>
      </c>
      <c r="AE37" s="57">
        <f t="shared" si="6"/>
        <v>960</v>
      </c>
      <c r="AF37" s="58">
        <f t="shared" si="20"/>
        <v>17.529999999999998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21.889999999999997</v>
      </c>
      <c r="G38" s="187">
        <f t="shared" si="14"/>
        <v>17.529999999999998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31.179999245245352</v>
      </c>
      <c r="AC38" s="58">
        <f t="shared" si="23"/>
        <v>31.179999245245352</v>
      </c>
      <c r="AD38" s="53" t="s">
        <v>40</v>
      </c>
      <c r="AE38" s="57">
        <f t="shared" si="6"/>
        <v>1020</v>
      </c>
      <c r="AF38" s="58">
        <f t="shared" si="20"/>
        <v>17.529999999999998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21.889999999999997</v>
      </c>
      <c r="G39" s="187">
        <f t="shared" si="14"/>
        <v>17.529999999999998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31.179999245245352</v>
      </c>
      <c r="AC39" s="58">
        <f t="shared" ref="AC39:AC40" si="25">AC38</f>
        <v>31.179999245245352</v>
      </c>
      <c r="AD39" s="86">
        <v>39</v>
      </c>
      <c r="AE39" s="57">
        <f t="shared" si="6"/>
        <v>1080</v>
      </c>
      <c r="AF39" s="58">
        <f t="shared" si="20"/>
        <v>17.529999999999998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21.889999999999997</v>
      </c>
      <c r="G40" s="187">
        <f t="shared" si="14"/>
        <v>17.529999999999998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31.179999245245352</v>
      </c>
      <c r="AC40" s="58">
        <f t="shared" si="25"/>
        <v>31.179999245245352</v>
      </c>
      <c r="AD40" s="86">
        <v>40</v>
      </c>
      <c r="AE40" s="57">
        <f t="shared" si="6"/>
        <v>1140</v>
      </c>
      <c r="AF40" s="58">
        <f t="shared" si="20"/>
        <v>17.529999999999998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21.889999999999997</v>
      </c>
      <c r="G41" s="187">
        <f t="shared" si="14"/>
        <v>17.529999999999998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31.179999245245352</v>
      </c>
      <c r="AC41" s="58">
        <f t="shared" ref="AC41:AC46" si="26">AC40</f>
        <v>31.179999245245352</v>
      </c>
      <c r="AD41" s="91">
        <v>41</v>
      </c>
      <c r="AE41" s="57">
        <f t="shared" si="6"/>
        <v>1200</v>
      </c>
      <c r="AF41" s="58">
        <f t="shared" si="20"/>
        <v>17.529999999999998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21.889999999999997</v>
      </c>
      <c r="G42" s="187">
        <f t="shared" si="14"/>
        <v>17.529999999999998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31.179999245245352</v>
      </c>
      <c r="AC42" s="58">
        <f t="shared" si="26"/>
        <v>31.179999245245352</v>
      </c>
      <c r="AD42" s="86">
        <v>42</v>
      </c>
      <c r="AE42" s="57">
        <f t="shared" si="6"/>
        <v>1260</v>
      </c>
      <c r="AF42" s="58">
        <f t="shared" si="20"/>
        <v>17.529999999999998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21.889999999999997</v>
      </c>
      <c r="G43" s="187">
        <f t="shared" si="14"/>
        <v>17.529999999999998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31.179999245245352</v>
      </c>
      <c r="AC43" s="58">
        <f t="shared" si="26"/>
        <v>31.179999245245352</v>
      </c>
      <c r="AD43" s="91">
        <v>43</v>
      </c>
      <c r="AE43" s="57">
        <f t="shared" si="6"/>
        <v>1320</v>
      </c>
      <c r="AF43" s="58">
        <f t="shared" si="20"/>
        <v>17.529999999999998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21.889999999999997</v>
      </c>
      <c r="G44" s="187">
        <f t="shared" si="14"/>
        <v>17.529999999999998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31.179999245245352</v>
      </c>
      <c r="AC44" s="58">
        <f t="shared" si="26"/>
        <v>31.179999245245352</v>
      </c>
      <c r="AD44" s="86">
        <v>44</v>
      </c>
      <c r="AE44" s="57">
        <f t="shared" si="6"/>
        <v>1380</v>
      </c>
      <c r="AF44" s="58">
        <f t="shared" si="20"/>
        <v>17.529999999999998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21.889999999999997</v>
      </c>
      <c r="G45" s="187">
        <f t="shared" si="14"/>
        <v>17.529999999999998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31.179999245245352</v>
      </c>
      <c r="AC45" s="58">
        <f t="shared" si="26"/>
        <v>31.179999245245352</v>
      </c>
      <c r="AD45" s="91">
        <v>45</v>
      </c>
      <c r="AE45" s="57">
        <f t="shared" si="6"/>
        <v>1440</v>
      </c>
      <c r="AF45" s="58">
        <f t="shared" si="20"/>
        <v>17.529999999999998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21.889999999999997</v>
      </c>
      <c r="G46" s="187">
        <f t="shared" si="14"/>
        <v>17.529999999999998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31.179999245245352</v>
      </c>
      <c r="AC46" s="58">
        <f t="shared" si="26"/>
        <v>31.179999245245352</v>
      </c>
      <c r="AD46" s="86">
        <v>46</v>
      </c>
      <c r="AE46" s="92">
        <f t="shared" si="6"/>
        <v>1500</v>
      </c>
      <c r="AF46" s="94">
        <f t="shared" si="20"/>
        <v>17.529999999999998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21.889999999999997</v>
      </c>
      <c r="G47" s="187">
        <f t="shared" si="14"/>
        <v>17.529999999999998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31.179999245245352</v>
      </c>
      <c r="AC47" s="58">
        <f t="shared" ref="AC47:AC69" si="27">AC46</f>
        <v>31.179999245245352</v>
      </c>
      <c r="AE47" s="57">
        <f t="shared" si="6"/>
        <v>1560</v>
      </c>
      <c r="AF47" s="58">
        <f t="shared" si="20"/>
        <v>17.529999999999998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21.889999999999997</v>
      </c>
      <c r="G48" s="187">
        <f t="shared" si="14"/>
        <v>17.529999999999998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31.179999245245352</v>
      </c>
      <c r="AC48" s="58">
        <f t="shared" si="27"/>
        <v>31.179999245245352</v>
      </c>
      <c r="AE48" s="57">
        <f t="shared" si="6"/>
        <v>1620</v>
      </c>
      <c r="AF48" s="58">
        <f t="shared" si="20"/>
        <v>17.529999999999998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21.889999999999997</v>
      </c>
      <c r="G49" s="187">
        <f t="shared" si="14"/>
        <v>17.529999999999998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31.179999245245352</v>
      </c>
      <c r="AC49" s="58">
        <f t="shared" si="27"/>
        <v>31.179999245245352</v>
      </c>
      <c r="AE49" s="57">
        <f t="shared" si="6"/>
        <v>1680</v>
      </c>
      <c r="AF49" s="58">
        <f t="shared" si="20"/>
        <v>17.529999999999998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21.889999999999997</v>
      </c>
      <c r="G50" s="187">
        <f t="shared" si="14"/>
        <v>17.529999999999998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31.179999245245352</v>
      </c>
      <c r="AC50" s="58">
        <f t="shared" si="27"/>
        <v>31.179999245245352</v>
      </c>
      <c r="AE50" s="57">
        <f t="shared" si="6"/>
        <v>1740</v>
      </c>
      <c r="AF50" s="58">
        <f t="shared" si="20"/>
        <v>17.529999999999998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21.889999999999997</v>
      </c>
      <c r="G51" s="187">
        <f t="shared" si="14"/>
        <v>17.529999999999998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31.179999245245352</v>
      </c>
      <c r="AC51" s="58">
        <f t="shared" si="27"/>
        <v>31.179999245245352</v>
      </c>
      <c r="AE51" s="57">
        <f t="shared" si="6"/>
        <v>1800</v>
      </c>
      <c r="AF51" s="58">
        <f t="shared" si="20"/>
        <v>17.529999999999998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21.889999999999997</v>
      </c>
      <c r="G52" s="187">
        <f t="shared" si="14"/>
        <v>17.529999999999998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31.179999245245352</v>
      </c>
      <c r="AC52" s="58">
        <f t="shared" si="27"/>
        <v>31.179999245245352</v>
      </c>
      <c r="AE52" s="57">
        <f t="shared" si="6"/>
        <v>1860</v>
      </c>
      <c r="AF52" s="58">
        <f t="shared" si="20"/>
        <v>17.529999999999998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21.889999999999997</v>
      </c>
      <c r="G53" s="187">
        <f t="shared" si="14"/>
        <v>17.529999999999998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31.179999245245352</v>
      </c>
      <c r="AC53" s="58">
        <f t="shared" si="27"/>
        <v>31.179999245245352</v>
      </c>
      <c r="AE53" s="57">
        <f t="shared" si="6"/>
        <v>1920</v>
      </c>
      <c r="AF53" s="58">
        <f t="shared" si="20"/>
        <v>17.529999999999998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21.889999999999997</v>
      </c>
      <c r="G54" s="187">
        <f t="shared" si="14"/>
        <v>17.529999999999998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31.179999245245352</v>
      </c>
      <c r="AC54" s="58">
        <f t="shared" si="27"/>
        <v>31.179999245245352</v>
      </c>
      <c r="AE54" s="57">
        <f t="shared" si="6"/>
        <v>1980</v>
      </c>
      <c r="AF54" s="58">
        <f t="shared" si="20"/>
        <v>17.529999999999998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21.889999999999997</v>
      </c>
      <c r="G55" s="187">
        <f t="shared" si="14"/>
        <v>17.529999999999998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31.179999245245352</v>
      </c>
      <c r="AC55" s="58">
        <f t="shared" si="27"/>
        <v>31.179999245245352</v>
      </c>
      <c r="AE55" s="57">
        <f t="shared" si="6"/>
        <v>2040</v>
      </c>
      <c r="AF55" s="58">
        <f t="shared" si="20"/>
        <v>17.529999999999998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21.889999999999997</v>
      </c>
      <c r="G56" s="187">
        <f t="shared" si="14"/>
        <v>17.529999999999998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31.179999245245352</v>
      </c>
      <c r="AC56" s="58">
        <f t="shared" si="27"/>
        <v>31.179999245245352</v>
      </c>
      <c r="AE56" s="57">
        <f t="shared" si="6"/>
        <v>2100</v>
      </c>
      <c r="AF56" s="58">
        <f t="shared" si="20"/>
        <v>17.529999999999998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21.889999999999997</v>
      </c>
      <c r="G57" s="187">
        <f t="shared" si="14"/>
        <v>17.529999999999998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31.179999245245352</v>
      </c>
      <c r="AC57" s="58">
        <f t="shared" si="27"/>
        <v>31.179999245245352</v>
      </c>
      <c r="AE57" s="57">
        <f t="shared" si="6"/>
        <v>2160</v>
      </c>
      <c r="AF57" s="58">
        <f t="shared" si="20"/>
        <v>17.529999999999998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21.889999999999997</v>
      </c>
      <c r="G58" s="187">
        <f t="shared" si="14"/>
        <v>17.529999999999998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31.179999245245352</v>
      </c>
      <c r="AC58" s="58">
        <f t="shared" si="27"/>
        <v>31.179999245245352</v>
      </c>
      <c r="AE58" s="57">
        <f t="shared" si="6"/>
        <v>2220</v>
      </c>
      <c r="AF58" s="58">
        <f t="shared" si="20"/>
        <v>17.529999999999998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21.889999999999997</v>
      </c>
      <c r="G59" s="187">
        <f t="shared" si="14"/>
        <v>17.529999999999998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31.179999245245352</v>
      </c>
      <c r="AC59" s="58">
        <f t="shared" si="27"/>
        <v>31.179999245245352</v>
      </c>
      <c r="AE59" s="57">
        <f t="shared" si="6"/>
        <v>2280</v>
      </c>
      <c r="AF59" s="58">
        <f t="shared" si="20"/>
        <v>17.529999999999998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21.889999999999997</v>
      </c>
      <c r="G60" s="187">
        <f t="shared" si="14"/>
        <v>17.529999999999998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31.179999245245352</v>
      </c>
      <c r="AC60" s="58">
        <f t="shared" si="27"/>
        <v>31.179999245245352</v>
      </c>
      <c r="AE60" s="57">
        <f t="shared" si="6"/>
        <v>2340</v>
      </c>
      <c r="AF60" s="58">
        <f t="shared" si="20"/>
        <v>17.529999999999998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21.889999999999997</v>
      </c>
      <c r="G61" s="187">
        <f t="shared" si="14"/>
        <v>17.529999999999998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31.179999245245352</v>
      </c>
      <c r="AC61" s="58">
        <f t="shared" si="27"/>
        <v>31.179999245245352</v>
      </c>
      <c r="AE61" s="57">
        <f t="shared" si="6"/>
        <v>2400</v>
      </c>
      <c r="AF61" s="58">
        <f t="shared" si="20"/>
        <v>17.529999999999998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21.889999999999997</v>
      </c>
      <c r="G62" s="187">
        <f t="shared" si="14"/>
        <v>17.529999999999998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31.179999245245352</v>
      </c>
      <c r="AC62" s="58">
        <f t="shared" si="27"/>
        <v>31.179999245245352</v>
      </c>
      <c r="AE62" s="57">
        <f t="shared" si="6"/>
        <v>2460</v>
      </c>
      <c r="AF62" s="58">
        <f t="shared" si="20"/>
        <v>17.529999999999998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21.889999999999997</v>
      </c>
      <c r="G63" s="187">
        <f t="shared" si="14"/>
        <v>17.529999999999998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31.179999245245352</v>
      </c>
      <c r="AC63" s="58">
        <f t="shared" si="27"/>
        <v>31.179999245245352</v>
      </c>
      <c r="AE63" s="57">
        <f t="shared" si="6"/>
        <v>2520</v>
      </c>
      <c r="AF63" s="58">
        <f t="shared" si="20"/>
        <v>17.529999999999998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21.889999999999997</v>
      </c>
      <c r="G64" s="187">
        <f t="shared" si="14"/>
        <v>17.529999999999998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31.179999245245352</v>
      </c>
      <c r="AC64" s="58">
        <f t="shared" si="27"/>
        <v>31.179999245245352</v>
      </c>
      <c r="AE64" s="57">
        <f t="shared" si="6"/>
        <v>2580</v>
      </c>
      <c r="AF64" s="58">
        <f t="shared" si="20"/>
        <v>17.529999999999998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21.889999999999997</v>
      </c>
      <c r="G65" s="187">
        <f t="shared" si="14"/>
        <v>17.529999999999998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31.179999245245352</v>
      </c>
      <c r="AC65" s="58">
        <f t="shared" si="27"/>
        <v>31.179999245245352</v>
      </c>
      <c r="AE65" s="57">
        <f t="shared" si="6"/>
        <v>2640</v>
      </c>
      <c r="AF65" s="58">
        <f t="shared" si="20"/>
        <v>17.529999999999998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21.889999999999997</v>
      </c>
      <c r="G66" s="187">
        <f t="shared" si="14"/>
        <v>17.529999999999998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31.179999245245352</v>
      </c>
      <c r="AC66" s="58">
        <f t="shared" si="27"/>
        <v>31.179999245245352</v>
      </c>
      <c r="AE66" s="57">
        <f t="shared" si="6"/>
        <v>2700</v>
      </c>
      <c r="AF66" s="58">
        <f t="shared" si="20"/>
        <v>17.529999999999998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21.889999999999997</v>
      </c>
      <c r="G67" s="187">
        <f t="shared" si="14"/>
        <v>17.529999999999998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31.179999245245352</v>
      </c>
      <c r="AC67" s="58">
        <f t="shared" si="27"/>
        <v>31.179999245245352</v>
      </c>
      <c r="AE67" s="57">
        <f>AA67</f>
        <v>2760</v>
      </c>
      <c r="AF67" s="58">
        <f t="shared" si="20"/>
        <v>17.529999999999998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21.889999999999997</v>
      </c>
      <c r="G68" s="187">
        <f t="shared" si="14"/>
        <v>17.529999999999998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31.179999245245352</v>
      </c>
      <c r="AC68" s="58">
        <f t="shared" si="27"/>
        <v>31.179999245245352</v>
      </c>
      <c r="AE68" s="57">
        <f>AA68</f>
        <v>2820</v>
      </c>
      <c r="AF68" s="58">
        <f t="shared" si="20"/>
        <v>17.529999999999998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21.889999999999997</v>
      </c>
      <c r="G69" s="187">
        <f t="shared" si="14"/>
        <v>17.529999999999998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31.179999245245352</v>
      </c>
      <c r="AC69" s="58">
        <f t="shared" si="27"/>
        <v>31.179999245245352</v>
      </c>
      <c r="AE69" s="57">
        <f>AA69</f>
        <v>2880</v>
      </c>
      <c r="AF69" s="58">
        <f t="shared" si="20"/>
        <v>17.529999999999998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21.889999999999997</v>
      </c>
      <c r="G70" s="187">
        <f t="shared" si="14"/>
        <v>17.529999999999998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21.889999999999997</v>
      </c>
      <c r="G71" s="187">
        <f t="shared" si="14"/>
        <v>17.529999999999998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21.889999999999997</v>
      </c>
      <c r="G72" s="187">
        <f t="shared" si="14"/>
        <v>17.529999999999998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21.889999999999997</v>
      </c>
      <c r="G73" s="187">
        <f t="shared" si="14"/>
        <v>17.529999999999998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21.889999999999997</v>
      </c>
      <c r="G74" s="187">
        <f t="shared" si="14"/>
        <v>17.529999999999998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21.889999999999997</v>
      </c>
      <c r="G75" s="187">
        <f>AF67</f>
        <v>17.529999999999998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21.889999999999997</v>
      </c>
      <c r="G76" s="187">
        <f>AF68</f>
        <v>17.529999999999998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21.889999999999997</v>
      </c>
      <c r="G77" s="187">
        <f>AF69</f>
        <v>17.529999999999998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16.099576976474687</v>
      </c>
      <c r="G78" s="187">
        <f>H114</f>
        <v>11.739576976474686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15.13305781025414</v>
      </c>
      <c r="G79" s="187">
        <f>H115</f>
        <v>10.773057810254139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14.246112150007761</v>
      </c>
      <c r="G80" s="187">
        <f>H116</f>
        <v>9.8861121500077598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13.432188710386711</v>
      </c>
      <c r="G81" s="187">
        <f>H117</f>
        <v>9.0721887103867118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12.68527557324985</v>
      </c>
      <c r="G82" s="187">
        <f>H118</f>
        <v>8.3252755732498507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10.793662066175767</v>
      </c>
      <c r="G83" s="187">
        <f>H121</f>
        <v>6.4336620661757671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10.435508140940641</v>
      </c>
      <c r="G84" s="187">
        <f>H124</f>
        <v>6.0755081409406406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9.4762963512217517</v>
      </c>
      <c r="G85" s="187">
        <f>H126</f>
        <v>5.1162963512217514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9.0550717625138724</v>
      </c>
      <c r="G86" s="187">
        <f t="shared" ref="G86:G92" si="36">H127</f>
        <v>4.6950717625138711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8.6685265867938153</v>
      </c>
      <c r="G87" s="187">
        <f t="shared" si="36"/>
        <v>4.3085265867938149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8.5468842830916643</v>
      </c>
      <c r="G88" s="187">
        <f t="shared" si="36"/>
        <v>4.1868842830916639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8.4286762973058345</v>
      </c>
      <c r="G89" s="187">
        <f t="shared" si="36"/>
        <v>4.0686762973058332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8.3138056685995796</v>
      </c>
      <c r="G90" s="187">
        <f t="shared" si="36"/>
        <v>3.9538056685995793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8.2021781736240928</v>
      </c>
      <c r="G91" s="187">
        <f t="shared" si="36"/>
        <v>3.842178173624093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8.0937022492312138</v>
      </c>
      <c r="G92" s="187">
        <f t="shared" si="36"/>
        <v>3.7337022492312144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7.9882889173681839</v>
      </c>
      <c r="G93" s="187">
        <f>H134</f>
        <v>3.6282889173681836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7.8858517120928457</v>
      </c>
      <c r="G94" s="187">
        <f>H135</f>
        <v>3.5258517120928459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7.7863066086494204</v>
      </c>
      <c r="G95" s="187">
        <f>H136</f>
        <v>3.4263066086494196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7.6895719545466656</v>
      </c>
      <c r="G96" s="187">
        <f>H137</f>
        <v>3.3295719545466653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7.4154483540260845</v>
      </c>
      <c r="G97" s="187">
        <f>H138</f>
        <v>3.0554483540260846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7.3291841128430555</v>
      </c>
      <c r="G98" s="187">
        <f>H140</f>
        <v>2.9691841128430556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6.8604041621270113</v>
      </c>
      <c r="G99" s="187">
        <f>H142</f>
        <v>2.5004041621270114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6.465636005170337</v>
      </c>
      <c r="G100" s="187">
        <f>H144</f>
        <v>2.1056360051703367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6.1331945312785319</v>
      </c>
      <c r="G101" s="191">
        <f>H146</f>
        <v>1.7731945312785313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17.529999999999998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17.529999999999998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15.191225842644519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17.529999999999998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13.940532485914229</v>
      </c>
      <c r="I112" s="385"/>
      <c r="J112" s="387">
        <f>H111-H112</f>
        <v>1.2506933567302898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17.529999999999998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12.792808691270109</v>
      </c>
      <c r="I113" s="385"/>
      <c r="J113" s="387">
        <f t="shared" ref="J113:J146" si="42">H112-H113</f>
        <v>1.1477237946441203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17.529999999999998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11.739576976474686</v>
      </c>
      <c r="I114" s="390"/>
      <c r="J114" s="387">
        <f t="shared" si="42"/>
        <v>1.0532317147954231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17.529999999999998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10.773057810254139</v>
      </c>
      <c r="I115" s="390"/>
      <c r="J115" s="387">
        <f t="shared" si="42"/>
        <v>0.96651916622054657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17.529999999999998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9.8861121500077598</v>
      </c>
      <c r="I116" s="390"/>
      <c r="J116" s="387">
        <f t="shared" si="42"/>
        <v>0.88694566024637922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17.529999999999998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9.0721887103867118</v>
      </c>
      <c r="I117" s="390"/>
      <c r="J117" s="387">
        <f t="shared" si="42"/>
        <v>0.81392343962104796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17.529999999999998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8.3252755732498507</v>
      </c>
      <c r="I118" s="390"/>
      <c r="J118" s="387">
        <f t="shared" si="42"/>
        <v>0.74691313713686114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17.529999999999998</v>
      </c>
      <c r="E119" s="382">
        <f t="shared" si="40"/>
        <v>0.71</v>
      </c>
      <c r="F119" s="383"/>
      <c r="G119" s="375">
        <v>9</v>
      </c>
      <c r="H119" s="391">
        <f t="shared" si="38"/>
        <v>7.6398557815709465</v>
      </c>
      <c r="I119" s="392"/>
      <c r="J119" s="387">
        <f t="shared" si="42"/>
        <v>0.68541979167890421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17.529999999999998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7.010866589298832</v>
      </c>
      <c r="I120" s="385"/>
      <c r="J120" s="387">
        <f t="shared" si="42"/>
        <v>0.62898919227211447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17.529999999999998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6.4336620661757671</v>
      </c>
      <c r="I121" s="390"/>
      <c r="J121" s="387">
        <f t="shared" si="42"/>
        <v>0.57720452312306492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17.529999999999998</v>
      </c>
      <c r="E122" s="382">
        <f t="shared" si="40"/>
        <v>0.62</v>
      </c>
      <c r="F122" s="383"/>
      <c r="G122" s="375">
        <v>14</v>
      </c>
      <c r="H122" s="384">
        <f t="shared" si="38"/>
        <v>5.9039787813005171</v>
      </c>
      <c r="I122" s="385"/>
      <c r="J122" s="387">
        <f t="shared" si="42"/>
        <v>0.52968328487524996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17.529999999999998</v>
      </c>
      <c r="E123" s="382">
        <f t="shared" si="40"/>
        <v>0.37</v>
      </c>
      <c r="F123" s="383"/>
      <c r="G123" s="375">
        <v>15</v>
      </c>
      <c r="H123" s="384">
        <f t="shared" si="38"/>
        <v>2.8853553634257687</v>
      </c>
      <c r="I123" s="385"/>
      <c r="J123" s="387">
        <f t="shared" si="42"/>
        <v>3.0186234178747484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17.529999999999998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6.0755081409406406</v>
      </c>
      <c r="I124" s="390"/>
      <c r="J124" s="387">
        <f t="shared" si="42"/>
        <v>-3.1901527775148719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17.529999999999998</v>
      </c>
      <c r="E125" s="382">
        <f t="shared" si="40"/>
        <v>0.6</v>
      </c>
      <c r="F125" s="383"/>
      <c r="G125" s="375">
        <v>18</v>
      </c>
      <c r="H125" s="384">
        <f t="shared" si="38"/>
        <v>5.5753116624375938</v>
      </c>
      <c r="I125" s="385"/>
      <c r="J125" s="387">
        <f t="shared" si="42"/>
        <v>0.50019647850304683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17.529999999999998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5.1162963512217514</v>
      </c>
      <c r="I126" s="390"/>
      <c r="J126" s="387">
        <f t="shared" si="42"/>
        <v>0.45901531121584238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17.529999999999998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4.6950717625138711</v>
      </c>
      <c r="I127" s="390"/>
      <c r="J127" s="387">
        <f t="shared" si="42"/>
        <v>0.42122458870788027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17.529999999999998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4.3085265867938149</v>
      </c>
      <c r="I128" s="390"/>
      <c r="J128" s="387">
        <f t="shared" si="42"/>
        <v>0.3865451757200562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17.529999999999998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4.1868842830916639</v>
      </c>
      <c r="I129" s="390"/>
      <c r="J129" s="387">
        <f t="shared" si="42"/>
        <v>0.12164230370215101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17.529999999999998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4.0686762973058332</v>
      </c>
      <c r="I130" s="390"/>
      <c r="J130" s="387">
        <f t="shared" si="42"/>
        <v>0.11820798578583069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17.529999999999998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3.9538056685995793</v>
      </c>
      <c r="I131" s="390"/>
      <c r="J131" s="387">
        <f t="shared" si="42"/>
        <v>0.11487062870625397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17.529999999999998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3.842178173624093</v>
      </c>
      <c r="I132" s="390"/>
      <c r="J132" s="387">
        <f t="shared" si="42"/>
        <v>0.1116274949754863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17.529999999999998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3.7337022492312144</v>
      </c>
      <c r="I133" s="390"/>
      <c r="J133" s="387">
        <f t="shared" si="42"/>
        <v>0.10847592439287856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17.529999999999998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3.6282889173681836</v>
      </c>
      <c r="I134" s="390"/>
      <c r="J134" s="387">
        <f t="shared" si="42"/>
        <v>0.10541333186303081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17.529999999999998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3.5258517120928459</v>
      </c>
      <c r="I135" s="390"/>
      <c r="J135" s="387">
        <f t="shared" si="42"/>
        <v>0.10243720527533773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17.529999999999998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3.4263066086494196</v>
      </c>
      <c r="I136" s="390"/>
      <c r="J136" s="387">
        <f t="shared" si="42"/>
        <v>9.9545103443426264E-2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17.529999999999998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3.3295719545466653</v>
      </c>
      <c r="I137" s="390"/>
      <c r="J137" s="387">
        <f t="shared" si="42"/>
        <v>9.6734654102754281E-2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17.529999999999998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3.0554483540260846</v>
      </c>
      <c r="I138" s="390"/>
      <c r="J138" s="387">
        <f t="shared" si="42"/>
        <v>0.27412360052058071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17.529999999999998</v>
      </c>
      <c r="E139" s="382">
        <f t="shared" si="40"/>
        <v>0.36</v>
      </c>
      <c r="F139" s="383"/>
      <c r="G139" s="375">
        <v>150</v>
      </c>
      <c r="H139" s="384">
        <f t="shared" si="38"/>
        <v>2.8038933447202861</v>
      </c>
      <c r="I139" s="385"/>
      <c r="J139" s="387">
        <f t="shared" si="42"/>
        <v>0.25155500930579855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17.529999999999998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2.9691841128430556</v>
      </c>
      <c r="I140" s="390"/>
      <c r="J140" s="387">
        <f t="shared" si="42"/>
        <v>-0.16529076812276955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17.529999999999998</v>
      </c>
      <c r="E141" s="382">
        <f t="shared" si="40"/>
        <v>0.35</v>
      </c>
      <c r="F141" s="383"/>
      <c r="G141" s="375">
        <v>210</v>
      </c>
      <c r="H141" s="384">
        <f t="shared" si="38"/>
        <v>2.7247312369982786</v>
      </c>
      <c r="I141" s="385"/>
      <c r="J141" s="387">
        <f t="shared" si="42"/>
        <v>0.24445287584477704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17.529999999999998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2.5004041621270114</v>
      </c>
      <c r="I142" s="390"/>
      <c r="J142" s="387">
        <f t="shared" si="42"/>
        <v>0.22432707487126713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17.529999999999998</v>
      </c>
      <c r="E143" s="382">
        <f>C143/100</f>
        <v>0.28999999999999998</v>
      </c>
      <c r="F143" s="383"/>
      <c r="G143" s="375">
        <v>270</v>
      </c>
      <c r="H143" s="384">
        <f t="shared" si="38"/>
        <v>2.2945459313886922</v>
      </c>
      <c r="I143" s="385"/>
      <c r="J143" s="387">
        <f t="shared" si="42"/>
        <v>0.20585823073831921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17.529999999999998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2.1056360051703367</v>
      </c>
      <c r="I144" s="390"/>
      <c r="J144" s="387">
        <f t="shared" si="42"/>
        <v>0.18890992621835556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17.529999999999998</v>
      </c>
      <c r="E145" s="382">
        <f>C145/100</f>
        <v>0.23</v>
      </c>
      <c r="F145" s="383"/>
      <c r="G145" s="375">
        <v>330</v>
      </c>
      <c r="H145" s="384">
        <f t="shared" si="38"/>
        <v>1.9322790298585799</v>
      </c>
      <c r="I145" s="385"/>
      <c r="J145" s="387">
        <f t="shared" si="42"/>
        <v>0.17335697531175676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17.529999999999998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1.7731945312785313</v>
      </c>
      <c r="I146" s="390"/>
      <c r="J146" s="387">
        <f t="shared" si="42"/>
        <v>0.15908449858004858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2.9689999999999999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4.3854245881675915</v>
      </c>
      <c r="C31" s="158">
        <v>1</v>
      </c>
    </row>
    <row r="32" spans="1:3">
      <c r="A32" s="156">
        <f>LongTest!D11</f>
        <v>2</v>
      </c>
      <c r="B32" s="160">
        <f>LongTest!G11</f>
        <v>5.9828076277300184</v>
      </c>
      <c r="C32" s="158">
        <v>1</v>
      </c>
    </row>
    <row r="33" spans="1:3">
      <c r="A33" s="156">
        <f>LongTest!D12</f>
        <v>3</v>
      </c>
      <c r="B33" s="160">
        <f>LongTest!G12</f>
        <v>6.9172168051620169</v>
      </c>
      <c r="C33" s="158">
        <v>1</v>
      </c>
    </row>
    <row r="34" spans="1:3">
      <c r="A34" s="156">
        <f>LongTest!D13</f>
        <v>4</v>
      </c>
      <c r="B34" s="160">
        <f>LongTest!G13</f>
        <v>7.5801906672924417</v>
      </c>
      <c r="C34" s="158">
        <v>1</v>
      </c>
    </row>
    <row r="35" spans="1:3">
      <c r="A35" s="156">
        <f>LongTest!D14</f>
        <v>5</v>
      </c>
      <c r="B35" s="160">
        <f>LongTest!G14</f>
        <v>8.0944331460241585</v>
      </c>
      <c r="C35" s="158">
        <v>1</v>
      </c>
    </row>
    <row r="36" spans="1:3">
      <c r="A36" s="156">
        <f>LongTest!D15</f>
        <v>10</v>
      </c>
      <c r="B36" s="160">
        <f>LongTest!G15</f>
        <v>9.6918161855865819</v>
      </c>
      <c r="C36" s="158">
        <v>1</v>
      </c>
    </row>
    <row r="37" spans="1:3">
      <c r="A37" s="156">
        <f>LongTest!D16</f>
        <v>15</v>
      </c>
      <c r="B37" s="160">
        <f>LongTest!G16</f>
        <v>10.62622536301858</v>
      </c>
      <c r="C37" s="158">
        <v>1</v>
      </c>
    </row>
    <row r="38" spans="1:3">
      <c r="A38" s="156">
        <f>LongTest!D17</f>
        <v>20</v>
      </c>
      <c r="B38" s="160">
        <f>LongTest!G17</f>
        <v>11.289199225149009</v>
      </c>
      <c r="C38" s="158">
        <v>1</v>
      </c>
    </row>
    <row r="39" spans="1:3">
      <c r="A39" s="156">
        <f>LongTest!D18</f>
        <v>25</v>
      </c>
      <c r="B39" s="160">
        <f>LongTest!G18</f>
        <v>11.803441703880722</v>
      </c>
      <c r="C39" s="158">
        <v>1</v>
      </c>
    </row>
    <row r="40" spans="1:3">
      <c r="A40" s="156">
        <f>LongTest!D19</f>
        <v>30</v>
      </c>
      <c r="B40" s="160">
        <f>LongTest!G19</f>
        <v>12.223608402581007</v>
      </c>
      <c r="C40" s="158">
        <v>1</v>
      </c>
    </row>
    <row r="41" spans="1:3">
      <c r="A41" s="156">
        <f>LongTest!D20</f>
        <v>35</v>
      </c>
      <c r="B41" s="160">
        <f>LongTest!G20</f>
        <v>12.57885428455107</v>
      </c>
      <c r="C41" s="158">
        <v>1</v>
      </c>
    </row>
    <row r="42" spans="1:3">
      <c r="A42" s="156">
        <f>LongTest!D21</f>
        <v>40</v>
      </c>
      <c r="B42" s="160">
        <f>LongTest!G21</f>
        <v>12.886582264711436</v>
      </c>
      <c r="C42" s="158">
        <v>1</v>
      </c>
    </row>
    <row r="43" spans="1:3">
      <c r="A43" s="156">
        <f>LongTest!D22</f>
        <v>45</v>
      </c>
      <c r="B43" s="160">
        <f>LongTest!G22</f>
        <v>13.158017580013006</v>
      </c>
      <c r="C43" s="158">
        <v>1</v>
      </c>
    </row>
    <row r="44" spans="1:3">
      <c r="A44" s="156">
        <f>LongTest!D23</f>
        <v>50</v>
      </c>
      <c r="B44" s="160">
        <f>LongTest!G23</f>
        <v>13.400824743443149</v>
      </c>
      <c r="C44" s="158">
        <v>1</v>
      </c>
    </row>
    <row r="45" spans="1:3">
      <c r="A45" s="156">
        <f>LongTest!D24</f>
        <v>55</v>
      </c>
      <c r="B45" s="160">
        <f>LongTest!G24</f>
        <v>13.620470540161367</v>
      </c>
      <c r="C45" s="158">
        <v>1</v>
      </c>
    </row>
    <row r="46" spans="1:3">
      <c r="A46" s="156">
        <f>LongTest!D25</f>
        <v>60</v>
      </c>
      <c r="B46" s="160">
        <f>LongTest!G25</f>
        <v>13.820991442143434</v>
      </c>
      <c r="C46" s="158">
        <v>1</v>
      </c>
    </row>
    <row r="47" spans="1:3">
      <c r="A47" s="156">
        <f>LongTest!D26</f>
        <v>75</v>
      </c>
      <c r="B47" s="160">
        <f>LongTest!G26</f>
        <v>14.335233920875147</v>
      </c>
      <c r="C47" s="158">
        <v>1</v>
      </c>
    </row>
    <row r="48" spans="1:3">
      <c r="A48" s="156">
        <f>LongTest!D27</f>
        <v>90</v>
      </c>
      <c r="B48" s="160">
        <f>LongTest!G27</f>
        <v>14.755400619575433</v>
      </c>
      <c r="C48" s="158">
        <v>1</v>
      </c>
    </row>
    <row r="49" spans="1:3">
      <c r="A49" s="156">
        <f>LongTest!D28</f>
        <v>105</v>
      </c>
      <c r="B49" s="160">
        <f>LongTest!G28</f>
        <v>15.110646501545492</v>
      </c>
      <c r="C49" s="158">
        <v>1</v>
      </c>
    </row>
    <row r="50" spans="1:3">
      <c r="A50" s="156">
        <f>LongTest!D29</f>
        <v>120</v>
      </c>
      <c r="B50" s="160">
        <f>LongTest!G29</f>
        <v>15.418374481705857</v>
      </c>
      <c r="C50" s="158">
        <v>1</v>
      </c>
    </row>
    <row r="51" spans="1:3">
      <c r="A51" s="156">
        <f>LongTest!D30</f>
        <v>140</v>
      </c>
      <c r="B51" s="160">
        <f>LongTest!G30</f>
        <v>15.773620363675921</v>
      </c>
      <c r="C51" s="158">
        <v>1</v>
      </c>
    </row>
    <row r="52" spans="1:3">
      <c r="A52" s="156">
        <f>LongTest!D31</f>
        <v>160</v>
      </c>
      <c r="B52" s="160">
        <f>LongTest!G31</f>
        <v>16.081348343836286</v>
      </c>
      <c r="C52" s="158">
        <v>1</v>
      </c>
    </row>
    <row r="53" spans="1:3">
      <c r="A53" s="156">
        <f>LongTest!D32</f>
        <v>180</v>
      </c>
      <c r="B53" s="160">
        <f>LongTest!G32</f>
        <v>16.352783659137856</v>
      </c>
      <c r="C53" s="158">
        <v>1</v>
      </c>
    </row>
    <row r="54" spans="1:3">
      <c r="A54" s="156">
        <f>LongTest!D33</f>
        <v>240</v>
      </c>
      <c r="B54" s="160">
        <f>LongTest!G33</f>
        <v>17.015757521268284</v>
      </c>
      <c r="C54" s="158">
        <v>1</v>
      </c>
    </row>
    <row r="55" spans="1:3">
      <c r="A55" s="156">
        <f>LongTest!D34</f>
        <v>300</v>
      </c>
      <c r="B55" s="160">
        <f>LongTest!G34</f>
        <v>17.529999999999998</v>
      </c>
      <c r="C55" s="158">
        <v>1</v>
      </c>
    </row>
    <row r="56" spans="1:3">
      <c r="A56" s="156">
        <f>LongTest!D35</f>
        <v>360</v>
      </c>
      <c r="B56" s="160">
        <f>LongTest!G35</f>
        <v>17.529999999999998</v>
      </c>
      <c r="C56" s="158">
        <v>1</v>
      </c>
    </row>
    <row r="57" spans="1:3">
      <c r="A57" s="156">
        <f>LongTest!D36</f>
        <v>420</v>
      </c>
      <c r="B57" s="160">
        <f>LongTest!G36</f>
        <v>17.529999999999998</v>
      </c>
      <c r="C57" s="158">
        <v>1</v>
      </c>
    </row>
    <row r="58" spans="1:3">
      <c r="A58" s="156">
        <f>LongTest!D37</f>
        <v>480</v>
      </c>
      <c r="B58" s="160">
        <f>LongTest!G37</f>
        <v>17.529999999999998</v>
      </c>
      <c r="C58" s="158">
        <v>1</v>
      </c>
    </row>
    <row r="59" spans="1:3">
      <c r="A59" s="156">
        <f>LongTest!D38</f>
        <v>540</v>
      </c>
      <c r="B59" s="160">
        <f>LongTest!G38</f>
        <v>17.529999999999998</v>
      </c>
      <c r="C59" s="158">
        <v>1</v>
      </c>
    </row>
    <row r="60" spans="1:3">
      <c r="A60" s="156">
        <f>LongTest!D39</f>
        <v>600</v>
      </c>
      <c r="B60" s="160">
        <f>LongTest!G39</f>
        <v>17.529999999999998</v>
      </c>
      <c r="C60" s="158">
        <v>1</v>
      </c>
    </row>
    <row r="61" spans="1:3">
      <c r="A61" s="156">
        <f>LongTest!D40</f>
        <v>660</v>
      </c>
      <c r="B61" s="160">
        <f>LongTest!G40</f>
        <v>17.529999999999998</v>
      </c>
      <c r="C61" s="158">
        <v>1</v>
      </c>
    </row>
    <row r="62" spans="1:3">
      <c r="A62" s="156">
        <f>LongTest!D41</f>
        <v>720</v>
      </c>
      <c r="B62" s="160">
        <f>LongTest!G41</f>
        <v>17.529999999999998</v>
      </c>
      <c r="C62" s="158">
        <v>1</v>
      </c>
    </row>
    <row r="63" spans="1:3">
      <c r="A63" s="156">
        <f>LongTest!D42</f>
        <v>780</v>
      </c>
      <c r="B63" s="160">
        <f>LongTest!G42</f>
        <v>17.529999999999998</v>
      </c>
      <c r="C63" s="158">
        <v>1</v>
      </c>
    </row>
    <row r="64" spans="1:3">
      <c r="A64" s="156">
        <f>LongTest!D43</f>
        <v>840</v>
      </c>
      <c r="B64" s="160">
        <f>LongTest!G43</f>
        <v>17.529999999999998</v>
      </c>
      <c r="C64" s="158">
        <v>1</v>
      </c>
    </row>
    <row r="65" spans="1:3">
      <c r="A65" s="156">
        <f>LongTest!D44</f>
        <v>900</v>
      </c>
      <c r="B65" s="160">
        <f>LongTest!G44</f>
        <v>17.529999999999998</v>
      </c>
      <c r="C65" s="158">
        <v>1</v>
      </c>
    </row>
    <row r="66" spans="1:3">
      <c r="A66" s="156">
        <f>LongTest!D45</f>
        <v>960</v>
      </c>
      <c r="B66" s="160">
        <f>LongTest!G45</f>
        <v>17.529999999999998</v>
      </c>
      <c r="C66" s="158">
        <v>1</v>
      </c>
    </row>
    <row r="67" spans="1:3">
      <c r="A67" s="156">
        <f>LongTest!D46</f>
        <v>1020</v>
      </c>
      <c r="B67" s="160">
        <f>LongTest!G46</f>
        <v>17.529999999999998</v>
      </c>
      <c r="C67" s="158">
        <v>1</v>
      </c>
    </row>
    <row r="68" spans="1:3">
      <c r="A68" s="156">
        <f>LongTest!D47</f>
        <v>1080</v>
      </c>
      <c r="B68" s="160">
        <f>LongTest!G47</f>
        <v>17.529999999999998</v>
      </c>
      <c r="C68" s="158">
        <v>1</v>
      </c>
    </row>
    <row r="69" spans="1:3">
      <c r="A69" s="156">
        <f>LongTest!D48</f>
        <v>1140</v>
      </c>
      <c r="B69" s="160">
        <f>LongTest!G48</f>
        <v>17.529999999999998</v>
      </c>
      <c r="C69" s="158">
        <v>1</v>
      </c>
    </row>
    <row r="70" spans="1:3">
      <c r="A70" s="156">
        <f>LongTest!D49</f>
        <v>1200</v>
      </c>
      <c r="B70" s="160">
        <f>LongTest!G49</f>
        <v>17.529999999999998</v>
      </c>
      <c r="C70" s="158">
        <v>1</v>
      </c>
    </row>
    <row r="71" spans="1:3">
      <c r="A71" s="156">
        <f>LongTest!D50</f>
        <v>1260</v>
      </c>
      <c r="B71" s="160">
        <f>LongTest!G50</f>
        <v>17.529999999999998</v>
      </c>
      <c r="C71" s="158">
        <v>1</v>
      </c>
    </row>
    <row r="72" spans="1:3">
      <c r="A72" s="156">
        <f>LongTest!D51</f>
        <v>1320</v>
      </c>
      <c r="B72" s="160">
        <f>LongTest!G51</f>
        <v>17.529999999999998</v>
      </c>
      <c r="C72" s="158">
        <v>1</v>
      </c>
    </row>
    <row r="73" spans="1:3">
      <c r="A73" s="156">
        <f>LongTest!D52</f>
        <v>1380</v>
      </c>
      <c r="B73" s="160">
        <f>LongTest!G52</f>
        <v>17.529999999999998</v>
      </c>
      <c r="C73" s="158">
        <v>1</v>
      </c>
    </row>
    <row r="74" spans="1:3">
      <c r="A74" s="156">
        <f>LongTest!D53</f>
        <v>1440</v>
      </c>
      <c r="B74" s="160">
        <f>LongTest!G53</f>
        <v>17.529999999999998</v>
      </c>
      <c r="C74" s="158">
        <v>1</v>
      </c>
    </row>
    <row r="75" spans="1:3">
      <c r="A75" s="156">
        <f>LongTest!D54</f>
        <v>1500</v>
      </c>
      <c r="B75" s="160">
        <f>LongTest!G54</f>
        <v>17.529999999999998</v>
      </c>
      <c r="C75" s="158">
        <v>1</v>
      </c>
    </row>
    <row r="76" spans="1:3">
      <c r="A76" s="156">
        <f>LongTest!D55</f>
        <v>1560</v>
      </c>
      <c r="B76" s="160">
        <f>LongTest!G55</f>
        <v>17.529999999999998</v>
      </c>
      <c r="C76" s="158">
        <v>1</v>
      </c>
    </row>
    <row r="77" spans="1:3">
      <c r="A77" s="156">
        <f>LongTest!D56</f>
        <v>1620</v>
      </c>
      <c r="B77" s="160">
        <f>LongTest!G56</f>
        <v>17.529999999999998</v>
      </c>
      <c r="C77" s="158">
        <v>1</v>
      </c>
    </row>
    <row r="78" spans="1:3">
      <c r="A78" s="156">
        <f>LongTest!D57</f>
        <v>1680</v>
      </c>
      <c r="B78" s="160">
        <f>LongTest!G57</f>
        <v>17.529999999999998</v>
      </c>
      <c r="C78" s="158">
        <v>1</v>
      </c>
    </row>
    <row r="79" spans="1:3">
      <c r="A79" s="156">
        <f>LongTest!D58</f>
        <v>1740</v>
      </c>
      <c r="B79" s="160">
        <f>LongTest!G58</f>
        <v>17.529999999999998</v>
      </c>
      <c r="C79" s="158">
        <v>1</v>
      </c>
    </row>
    <row r="80" spans="1:3">
      <c r="A80" s="156">
        <f>LongTest!D59</f>
        <v>1800</v>
      </c>
      <c r="B80" s="160">
        <f>LongTest!G59</f>
        <v>17.529999999999998</v>
      </c>
      <c r="C80" s="158">
        <v>1</v>
      </c>
    </row>
    <row r="81" spans="1:3">
      <c r="A81" s="156">
        <f>LongTest!D60</f>
        <v>1860</v>
      </c>
      <c r="B81" s="160">
        <f>LongTest!G60</f>
        <v>17.529999999999998</v>
      </c>
      <c r="C81" s="158">
        <v>1</v>
      </c>
    </row>
    <row r="82" spans="1:3">
      <c r="A82" s="156">
        <f>LongTest!D61</f>
        <v>1920</v>
      </c>
      <c r="B82" s="160">
        <f>LongTest!G61</f>
        <v>17.529999999999998</v>
      </c>
      <c r="C82" s="158">
        <v>1</v>
      </c>
    </row>
    <row r="83" spans="1:3">
      <c r="A83" s="156">
        <f>LongTest!D62</f>
        <v>1980</v>
      </c>
      <c r="B83" s="160">
        <f>LongTest!G62</f>
        <v>17.529999999999998</v>
      </c>
      <c r="C83" s="158">
        <v>1</v>
      </c>
    </row>
    <row r="84" spans="1:3">
      <c r="A84" s="156">
        <f>LongTest!D63</f>
        <v>2040</v>
      </c>
      <c r="B84" s="160">
        <f>LongTest!G63</f>
        <v>17.529999999999998</v>
      </c>
      <c r="C84" s="158">
        <v>1</v>
      </c>
    </row>
    <row r="85" spans="1:3">
      <c r="A85" s="156">
        <f>LongTest!D64</f>
        <v>2100</v>
      </c>
      <c r="B85" s="160">
        <f>LongTest!G64</f>
        <v>17.529999999999998</v>
      </c>
      <c r="C85" s="158">
        <v>1</v>
      </c>
    </row>
    <row r="86" spans="1:3">
      <c r="A86" s="156">
        <f>LongTest!D65</f>
        <v>2160</v>
      </c>
      <c r="B86" s="160">
        <f>LongTest!G65</f>
        <v>17.529999999999998</v>
      </c>
      <c r="C86" s="158">
        <v>1</v>
      </c>
    </row>
    <row r="87" spans="1:3">
      <c r="A87" s="156">
        <f>LongTest!D66</f>
        <v>2220</v>
      </c>
      <c r="B87" s="160">
        <f>LongTest!G66</f>
        <v>17.529999999999998</v>
      </c>
      <c r="C87" s="158">
        <v>1</v>
      </c>
    </row>
    <row r="88" spans="1:3">
      <c r="A88" s="156">
        <f>LongTest!D67</f>
        <v>2280</v>
      </c>
      <c r="B88" s="160">
        <f>LongTest!G67</f>
        <v>17.529999999999998</v>
      </c>
      <c r="C88" s="158">
        <v>1</v>
      </c>
    </row>
    <row r="89" spans="1:3">
      <c r="A89" s="156">
        <f>LongTest!D68</f>
        <v>2340</v>
      </c>
      <c r="B89" s="160">
        <f>LongTest!G68</f>
        <v>17.529999999999998</v>
      </c>
      <c r="C89" s="158">
        <v>1</v>
      </c>
    </row>
    <row r="90" spans="1:3">
      <c r="A90" s="156">
        <f>LongTest!D69</f>
        <v>2400</v>
      </c>
      <c r="B90" s="160">
        <f>LongTest!G69</f>
        <v>17.529999999999998</v>
      </c>
      <c r="C90" s="158">
        <v>1</v>
      </c>
    </row>
    <row r="91" spans="1:3">
      <c r="A91" s="156">
        <f>LongTest!D70</f>
        <v>2460</v>
      </c>
      <c r="B91" s="160">
        <f>LongTest!G70</f>
        <v>17.529999999999998</v>
      </c>
      <c r="C91" s="158">
        <v>1</v>
      </c>
    </row>
    <row r="92" spans="1:3">
      <c r="A92" s="156">
        <f>LongTest!D71</f>
        <v>2520</v>
      </c>
      <c r="B92" s="160">
        <f>LongTest!G71</f>
        <v>17.529999999999998</v>
      </c>
      <c r="C92" s="158">
        <v>1</v>
      </c>
    </row>
    <row r="93" spans="1:3">
      <c r="A93" s="156">
        <f>LongTest!D72</f>
        <v>2580</v>
      </c>
      <c r="B93" s="160">
        <f>LongTest!G72</f>
        <v>17.529999999999998</v>
      </c>
      <c r="C93" s="158">
        <v>1</v>
      </c>
    </row>
    <row r="94" spans="1:3">
      <c r="A94" s="156">
        <f>LongTest!D73</f>
        <v>2640</v>
      </c>
      <c r="B94" s="160">
        <f>LongTest!G73</f>
        <v>17.529999999999998</v>
      </c>
      <c r="C94" s="158">
        <v>1</v>
      </c>
    </row>
    <row r="95" spans="1:3">
      <c r="A95" s="156">
        <f>LongTest!D74</f>
        <v>2700</v>
      </c>
      <c r="B95" s="160">
        <f>LongTest!G74</f>
        <v>17.529999999999998</v>
      </c>
      <c r="C95" s="158">
        <v>1</v>
      </c>
    </row>
    <row r="96" spans="1:3">
      <c r="A96" s="156">
        <f>LongTest!D75</f>
        <v>2760</v>
      </c>
      <c r="B96" s="160">
        <f>LongTest!G75</f>
        <v>17.529999999999998</v>
      </c>
      <c r="C96" s="158">
        <v>1</v>
      </c>
    </row>
    <row r="97" spans="1:3">
      <c r="A97" s="156">
        <f>LongTest!D76</f>
        <v>2820</v>
      </c>
      <c r="B97" s="160">
        <f>LongTest!G76</f>
        <v>17.529999999999998</v>
      </c>
      <c r="C97" s="158">
        <v>1</v>
      </c>
    </row>
    <row r="98" spans="1:3">
      <c r="A98" s="156">
        <f>LongTest!D77</f>
        <v>2880</v>
      </c>
      <c r="B98" s="160">
        <f>LongTest!G77</f>
        <v>17.529999999999998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2.9689999999999999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17.529999999999998</v>
      </c>
      <c r="C32" s="158">
        <v>1</v>
      </c>
    </row>
    <row r="33" spans="1:3">
      <c r="A33" s="156">
        <f>$A$32+LongTest!D78</f>
        <v>2881</v>
      </c>
      <c r="B33" s="157">
        <f>LongTest!G78</f>
        <v>11.739576976474686</v>
      </c>
      <c r="C33" s="158">
        <v>1</v>
      </c>
    </row>
    <row r="34" spans="1:3">
      <c r="A34" s="156">
        <f>$A$32+LongTest!D79</f>
        <v>2882</v>
      </c>
      <c r="B34" s="157">
        <f>LongTest!G79</f>
        <v>10.773057810254139</v>
      </c>
      <c r="C34" s="158">
        <v>1</v>
      </c>
    </row>
    <row r="35" spans="1:3">
      <c r="A35" s="156">
        <f>$A$32+LongTest!D80</f>
        <v>2883</v>
      </c>
      <c r="B35" s="157">
        <f>LongTest!G80</f>
        <v>9.8861121500077598</v>
      </c>
      <c r="C35" s="158">
        <v>1</v>
      </c>
    </row>
    <row r="36" spans="1:3">
      <c r="A36" s="156">
        <f>$A$32+LongTest!D81</f>
        <v>2884</v>
      </c>
      <c r="B36" s="157">
        <f>LongTest!G81</f>
        <v>9.0721887103867118</v>
      </c>
      <c r="C36" s="158">
        <v>1</v>
      </c>
    </row>
    <row r="37" spans="1:3">
      <c r="A37" s="156">
        <f>$A$32+LongTest!D82</f>
        <v>2885</v>
      </c>
      <c r="B37" s="157">
        <f>LongTest!G82</f>
        <v>8.3252755732498507</v>
      </c>
      <c r="C37" s="158">
        <v>1</v>
      </c>
    </row>
    <row r="38" spans="1:3">
      <c r="A38" s="156">
        <f>$A$32+LongTest!D83</f>
        <v>2890</v>
      </c>
      <c r="B38" s="157">
        <f>LongTest!G83</f>
        <v>6.4336620661757671</v>
      </c>
      <c r="C38" s="158">
        <v>1</v>
      </c>
    </row>
    <row r="39" spans="1:3">
      <c r="A39" s="156">
        <f>$A$32+LongTest!D84</f>
        <v>2895</v>
      </c>
      <c r="B39" s="157">
        <f>LongTest!G84</f>
        <v>6.0755081409406406</v>
      </c>
      <c r="C39" s="158">
        <v>1</v>
      </c>
    </row>
    <row r="40" spans="1:3">
      <c r="A40" s="156">
        <f>$A$32+LongTest!D85</f>
        <v>2900</v>
      </c>
      <c r="B40" s="157">
        <f>LongTest!G85</f>
        <v>5.1162963512217514</v>
      </c>
      <c r="C40" s="158">
        <v>1</v>
      </c>
    </row>
    <row r="41" spans="1:3">
      <c r="A41" s="156">
        <f>$A$32+LongTest!D86</f>
        <v>2905</v>
      </c>
      <c r="B41" s="157">
        <f>LongTest!G86</f>
        <v>4.6950717625138711</v>
      </c>
      <c r="C41" s="158">
        <v>1</v>
      </c>
    </row>
    <row r="42" spans="1:3">
      <c r="A42" s="156">
        <f>$A$32+LongTest!D87</f>
        <v>2910</v>
      </c>
      <c r="B42" s="157">
        <f>LongTest!G87</f>
        <v>4.3085265867938149</v>
      </c>
      <c r="C42" s="158">
        <v>1</v>
      </c>
    </row>
    <row r="43" spans="1:3">
      <c r="A43" s="156">
        <f>$A$32+LongTest!D88</f>
        <v>2915</v>
      </c>
      <c r="B43" s="157">
        <f>LongTest!G88</f>
        <v>4.1868842830916639</v>
      </c>
      <c r="C43" s="158">
        <v>1</v>
      </c>
    </row>
    <row r="44" spans="1:3">
      <c r="A44" s="156">
        <f>$A$32+LongTest!D89</f>
        <v>2920</v>
      </c>
      <c r="B44" s="157">
        <f>LongTest!G89</f>
        <v>4.0686762973058332</v>
      </c>
      <c r="C44" s="158">
        <v>1</v>
      </c>
    </row>
    <row r="45" spans="1:3">
      <c r="A45" s="156">
        <f>$A$32+LongTest!D90</f>
        <v>2925</v>
      </c>
      <c r="B45" s="157">
        <f>LongTest!G90</f>
        <v>3.9538056685995793</v>
      </c>
      <c r="C45" s="158">
        <v>1</v>
      </c>
    </row>
    <row r="46" spans="1:3">
      <c r="A46" s="156">
        <f>$A$32+LongTest!D91</f>
        <v>2930</v>
      </c>
      <c r="B46" s="157">
        <f>LongTest!G91</f>
        <v>3.842178173624093</v>
      </c>
      <c r="C46" s="158">
        <v>1</v>
      </c>
    </row>
    <row r="47" spans="1:3">
      <c r="A47" s="156">
        <f>$A$32+LongTest!D92</f>
        <v>2935</v>
      </c>
      <c r="B47" s="157">
        <f>LongTest!G92</f>
        <v>3.7337022492312144</v>
      </c>
      <c r="C47" s="158">
        <v>1</v>
      </c>
    </row>
    <row r="48" spans="1:3">
      <c r="A48" s="156">
        <f>$A$32+LongTest!D93</f>
        <v>2940</v>
      </c>
      <c r="B48" s="157">
        <f>LongTest!G93</f>
        <v>3.6282889173681836</v>
      </c>
      <c r="C48" s="158">
        <v>1</v>
      </c>
    </row>
    <row r="49" spans="1:3">
      <c r="A49" s="156">
        <f>$A$32+LongTest!D94</f>
        <v>2955</v>
      </c>
      <c r="B49" s="157">
        <f>LongTest!G94</f>
        <v>3.5258517120928459</v>
      </c>
      <c r="C49" s="158">
        <v>1</v>
      </c>
    </row>
    <row r="50" spans="1:3">
      <c r="A50" s="156">
        <f>$A$32+LongTest!D95</f>
        <v>2970</v>
      </c>
      <c r="B50" s="157">
        <f>LongTest!G95</f>
        <v>3.4263066086494196</v>
      </c>
      <c r="C50" s="158">
        <v>1</v>
      </c>
    </row>
    <row r="51" spans="1:3">
      <c r="A51" s="156">
        <f>$A$32+LongTest!D96</f>
        <v>2985</v>
      </c>
      <c r="B51" s="157">
        <f>LongTest!G96</f>
        <v>3.3295719545466653</v>
      </c>
      <c r="C51" s="158">
        <v>1</v>
      </c>
    </row>
    <row r="52" spans="1:3">
      <c r="A52" s="156">
        <f>$A$32+LongTest!D97</f>
        <v>3000</v>
      </c>
      <c r="B52" s="157">
        <f>LongTest!G97</f>
        <v>3.0554483540260846</v>
      </c>
      <c r="C52" s="158">
        <v>1</v>
      </c>
    </row>
    <row r="53" spans="1:3">
      <c r="A53" s="156">
        <f>$A$32+LongTest!D98</f>
        <v>3060</v>
      </c>
      <c r="B53" s="157">
        <f>LongTest!G98</f>
        <v>2.9691841128430556</v>
      </c>
      <c r="C53" s="158">
        <v>1</v>
      </c>
    </row>
    <row r="54" spans="1:3">
      <c r="A54" s="156">
        <f>$A$32+LongTest!D99</f>
        <v>3120</v>
      </c>
      <c r="B54" s="157">
        <f>LongTest!G99</f>
        <v>2.5004041621270114</v>
      </c>
      <c r="C54" s="158">
        <v>1</v>
      </c>
    </row>
    <row r="55" spans="1:3">
      <c r="A55" s="156">
        <f>$A$32+LongTest!D100</f>
        <v>3180</v>
      </c>
      <c r="B55" s="157">
        <f>LongTest!G100</f>
        <v>2.1056360051703367</v>
      </c>
      <c r="C55" s="158">
        <v>1</v>
      </c>
    </row>
    <row r="56" spans="1:3">
      <c r="A56" s="156">
        <f>$A$32+LongTest!D101</f>
        <v>3240</v>
      </c>
      <c r="B56" s="157">
        <f>LongTest!G101</f>
        <v>1.7731945312785313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J32" sqref="J32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0.1</v>
      </c>
      <c r="M14" s="105">
        <f ca="1">myRandBetween(1,20,1)</f>
        <v>-17</v>
      </c>
      <c r="N14" s="106">
        <f ca="1">ROUND(myRandBetween(8,12,100), 2)</f>
        <v>0.12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-0.3</v>
      </c>
      <c r="M15" s="105">
        <f t="shared" ref="M15:M23" ca="1" si="6">myRandBetween(1,20,1)</f>
        <v>8</v>
      </c>
      <c r="N15" s="106">
        <f t="shared" ref="N15:N23" ca="1" si="7">ROUND(myRandBetween(8,12,100), 2)</f>
        <v>-0.08</v>
      </c>
      <c r="O15" s="6"/>
      <c r="P15" s="6">
        <f t="shared" ca="1" si="1"/>
        <v>2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-0.1</v>
      </c>
      <c r="M16" s="105">
        <f t="shared" ca="1" si="6"/>
        <v>6</v>
      </c>
      <c r="N16" s="106">
        <f t="shared" ca="1" si="7"/>
        <v>0.12</v>
      </c>
      <c r="O16" s="6"/>
      <c r="P16" s="6">
        <f t="shared" ca="1" si="1"/>
        <v>3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0.2</v>
      </c>
      <c r="M17" s="105">
        <f t="shared" ca="1" si="6"/>
        <v>2</v>
      </c>
      <c r="N17" s="106">
        <f t="shared" ca="1" si="7"/>
        <v>-0.09</v>
      </c>
      <c r="O17" s="6"/>
      <c r="P17" s="6">
        <f t="shared" ca="1" si="1"/>
        <v>2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0.2</v>
      </c>
      <c r="M18" s="105">
        <f t="shared" ca="1" si="6"/>
        <v>-3</v>
      </c>
      <c r="N18" s="106">
        <f t="shared" ca="1" si="7"/>
        <v>-0.1</v>
      </c>
      <c r="O18" s="6"/>
      <c r="P18" s="6">
        <f t="shared" ca="1" si="1"/>
        <v>1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-0.1</v>
      </c>
      <c r="M19" s="105">
        <f t="shared" ca="1" si="6"/>
        <v>7</v>
      </c>
      <c r="N19" s="106">
        <f t="shared" ca="1" si="7"/>
        <v>0.09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-0.3</v>
      </c>
      <c r="M20" s="105">
        <f t="shared" ca="1" si="6"/>
        <v>-8</v>
      </c>
      <c r="N20" s="106">
        <f t="shared" ca="1" si="7"/>
        <v>-0.09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0.2</v>
      </c>
      <c r="M21" s="105">
        <f t="shared" ca="1" si="6"/>
        <v>-3</v>
      </c>
      <c r="N21" s="106">
        <f t="shared" ca="1" si="7"/>
        <v>0.11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0.2</v>
      </c>
      <c r="M22" s="105">
        <f t="shared" ca="1" si="6"/>
        <v>-2</v>
      </c>
      <c r="N22" s="106">
        <f t="shared" ca="1" si="7"/>
        <v>-0.12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0.1</v>
      </c>
      <c r="M23" s="145">
        <f t="shared" ca="1" si="6"/>
        <v>18</v>
      </c>
      <c r="N23" s="122">
        <f t="shared" ca="1" si="7"/>
        <v>-0.09</v>
      </c>
      <c r="O23" s="6"/>
      <c r="P23" s="6">
        <f t="shared" ca="1" si="1"/>
        <v>1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2024-01-29T15:29:24Z</dcterms:modified>
</cp:coreProperties>
</file>