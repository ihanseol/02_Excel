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9AFBCED-0795-4C01-8BF5-392F700F939C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L20" i="11"/>
  <c r="M15" i="11"/>
  <c r="N16" i="11"/>
  <c r="L22" i="11"/>
  <c r="N14" i="11"/>
  <c r="N20" i="11"/>
  <c r="N22" i="11"/>
  <c r="M23" i="11"/>
  <c r="M19" i="11"/>
  <c r="N18" i="11"/>
  <c r="N19" i="11"/>
  <c r="L23" i="11"/>
  <c r="L21" i="11"/>
  <c r="M21" i="11"/>
  <c r="N15" i="11"/>
  <c r="L15" i="11"/>
  <c r="N17" i="11"/>
  <c r="M17" i="11"/>
  <c r="M18" i="11"/>
  <c r="L16" i="11"/>
  <c r="L18" i="11"/>
  <c r="L19" i="11"/>
  <c r="M22" i="11"/>
  <c r="M16" i="11"/>
  <c r="N23" i="11"/>
  <c r="M20" i="11"/>
  <c r="L14" i="11"/>
  <c r="M14" i="11"/>
  <c r="L17" i="11"/>
  <c r="N21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3" i="6" l="1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<sst xmlns="http://schemas.openxmlformats.org/spreadsheetml/2006/main" count="1111" uniqueCount="265">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</sst>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7" totalsRowShown="0" headerRowDxfId="20" dataDxfId="19" headerRowCellStyle="표준 2" dataCellStyle="표준 2">
  <autoFilter ref="J3:J17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24" sqref="J24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253</v>
      </c>
    </row>
    <row r="16" spans="3:10" ht="18" customHeight="1">
      <c r="D16" s="13" t="s">
        <v>110</v>
      </c>
      <c r="E16" s="11" t="s">
        <v>111</v>
      </c>
      <c r="J16" s="11" t="s">
        <v>254</v>
      </c>
    </row>
    <row r="17" spans="4:10" ht="18" customHeight="1">
      <c r="D17" s="13" t="s">
        <v>112</v>
      </c>
      <c r="E17" s="11" t="s">
        <v>113</v>
      </c>
      <c r="J17" s="12" t="s">
        <v>261</v>
      </c>
    </row>
    <row r="18" spans="4:10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R23" sqref="R2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239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245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262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263</v>
      </c>
      <c r="J45" s="447"/>
      <c r="K45" s="448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264</v>
      </c>
      <c r="J46" s="438"/>
      <c r="K46" s="439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260</v>
      </c>
      <c r="J47" s="450"/>
      <c r="K47" s="451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41" t="s">
        <v>219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주포지구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244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255</v>
      </c>
      <c r="R64" s="288" t="s">
        <v>256</v>
      </c>
      <c r="S64" s="288" t="s">
        <v>257</v>
      </c>
      <c r="T64" s="288" t="s">
        <v>258</v>
      </c>
      <c r="U64" s="288" t="s">
        <v>259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238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241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242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237</v>
      </c>
      <c r="E10" s="301">
        <v>0.32969999999999999</v>
      </c>
      <c r="H10" s="255" t="s">
        <v>214</v>
      </c>
      <c r="I10" s="261">
        <f>Input!I52</f>
        <v>12</v>
      </c>
      <c r="J10" s="305" t="s">
        <v>243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252</v>
      </c>
      <c r="F13" s="331">
        <f>D5</f>
        <v>16.829999999999998</v>
      </c>
      <c r="G13" s="430" t="s">
        <v>251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240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236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248</v>
      </c>
      <c r="L16" s="432" t="s">
        <v>178</v>
      </c>
      <c r="M16" s="432" t="s">
        <v>179</v>
      </c>
      <c r="N16" s="432" t="s">
        <v>246</v>
      </c>
      <c r="O16" s="432" t="s">
        <v>247</v>
      </c>
      <c r="P16" s="432" t="s">
        <v>249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Y5" sqref="Y5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248</v>
      </c>
      <c r="M16" s="432" t="s">
        <v>178</v>
      </c>
      <c r="N16" s="432" t="s">
        <v>179</v>
      </c>
      <c r="O16" s="432" t="s">
        <v>246</v>
      </c>
      <c r="P16" s="432" t="s">
        <v>247</v>
      </c>
      <c r="Q16" s="432" t="s">
        <v>249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J32" sqref="J32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-0.2</v>
      </c>
      <c r="M14" s="105">
        <f ca="1">myRandBetween(1,20,1)</f>
        <v>7</v>
      </c>
      <c r="N14" s="106">
        <f ca="1">ROUND(myRandBetween(8,12,100), 2)</f>
        <v>0.09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-0.3</v>
      </c>
      <c r="M15" s="105">
        <f t="shared" ref="M15:M23" ca="1" si="6">myRandBetween(1,20,1)</f>
        <v>-8</v>
      </c>
      <c r="N15" s="106">
        <f t="shared" ref="N15:N23" ca="1" si="7">ROUND(myRandBetween(8,12,100), 2)</f>
        <v>-0.1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0.3</v>
      </c>
      <c r="M16" s="105">
        <f t="shared" ca="1" si="6"/>
        <v>2</v>
      </c>
      <c r="N16" s="106">
        <f t="shared" ca="1" si="7"/>
        <v>0.08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-0.3</v>
      </c>
      <c r="M17" s="105">
        <f t="shared" ca="1" si="6"/>
        <v>15</v>
      </c>
      <c r="N17" s="106">
        <f t="shared" ca="1" si="7"/>
        <v>-0.08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0.1</v>
      </c>
      <c r="M18" s="105">
        <f t="shared" ca="1" si="6"/>
        <v>-17</v>
      </c>
      <c r="N18" s="106">
        <f t="shared" ca="1" si="7"/>
        <v>0.08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0.2</v>
      </c>
      <c r="M19" s="105">
        <f t="shared" ca="1" si="6"/>
        <v>-19</v>
      </c>
      <c r="N19" s="106">
        <f t="shared" ca="1" si="7"/>
        <v>0.11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-0.1</v>
      </c>
      <c r="M20" s="105">
        <f t="shared" ca="1" si="6"/>
        <v>7</v>
      </c>
      <c r="N20" s="106">
        <f t="shared" ca="1" si="7"/>
        <v>-0.11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-0.2</v>
      </c>
      <c r="M21" s="105">
        <f t="shared" ca="1" si="6"/>
        <v>12</v>
      </c>
      <c r="N21" s="106">
        <f t="shared" ca="1" si="7"/>
        <v>0.09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-0.3</v>
      </c>
      <c r="M22" s="105">
        <f t="shared" ca="1" si="6"/>
        <v>9</v>
      </c>
      <c r="N22" s="106">
        <f t="shared" ca="1" si="7"/>
        <v>-0.1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0.2</v>
      </c>
      <c r="M23" s="145">
        <f t="shared" ca="1" si="6"/>
        <v>-4</v>
      </c>
      <c r="N23" s="122">
        <f t="shared" ca="1" si="7"/>
        <v>-0.1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2024-02-15T12:57:23Z</dcterms:modified>
</cp:coreProperties>
</file>