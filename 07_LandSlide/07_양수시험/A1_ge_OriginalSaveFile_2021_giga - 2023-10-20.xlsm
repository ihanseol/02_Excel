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30D8F0C-09E7-4300-8037-EE10453EB52C}" xr6:coauthVersionLast="47" xr6:coauthVersionMax="47" xr10:uidLastSave="{00000000-0000-0000-0000-000000000000}"/>
  <bookViews>
    <workbookView xWindow="6810" yWindow="645" windowWidth="29355" windowHeight="19800" tabRatio="557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N23" i="11"/>
  <c r="L15" i="11"/>
  <c r="N18" i="11"/>
  <c r="M19" i="11"/>
  <c r="N19" i="11"/>
  <c r="M23" i="11"/>
  <c r="M21" i="11"/>
  <c r="L18" i="11"/>
  <c r="N16" i="11"/>
  <c r="M15" i="11"/>
  <c r="N21" i="11"/>
  <c r="L23" i="11"/>
  <c r="N22" i="11"/>
  <c r="M18" i="11"/>
  <c r="L16" i="11"/>
  <c r="M22" i="11"/>
  <c r="L14" i="11"/>
  <c r="N20" i="11"/>
  <c r="L22" i="11"/>
  <c r="L20" i="11"/>
  <c r="M17" i="11"/>
  <c r="M14" i="11"/>
  <c r="N14" i="11"/>
  <c r="L17" i="11"/>
  <c r="M20" i="11"/>
  <c r="L21" i="11"/>
  <c r="N15" i="11"/>
  <c r="L19" i="11"/>
  <c r="M16" i="11"/>
  <c r="N17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<sst xmlns="http://schemas.openxmlformats.org/spreadsheetml/2006/main" count="1109" uniqueCount="263">
  <si>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</si>
  <si>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</si>
  <si>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</si>
  <si>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</si>
  <si>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</si>
  <si>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</si>
  <si>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</si>
  <si>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</si>
  <si>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</si>
  <si>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</si>
  <si>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</si>
  <si>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</si>
  <si>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</si>
  <si>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</si>
  <si>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</si>
  <si>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</si>
  <si>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</si>
  <si>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</si>
  <si>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</si>
  <si>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</si>
  <si>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</si>
  <si>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</si>
  <si>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</si>
  <si>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</si>
  <si>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</si>
  <si>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</si>
  <si>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</si>
  <si>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</si>
  <si>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</si>
  <si>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</si>
  <si>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</si>
  <si>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</si>
  <si>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</si>
  <si>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</si>
  <si>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</si>
  <si>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</si>
  <si>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</si>
  <si>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</si>
  <si>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</si>
  <si>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</si>
  <si>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</si>
  <si>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</si>
  <si>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</si>
  <si>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</si>
  <si>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</si>
  <si>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</si>
  <si>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</si>
  <si>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</si>
  <si>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</si>
  <si>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</si>
  <si>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</si>
  <si>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</si>
  <si>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</si>
  <si>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</si>
  <si>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</si>
  <si>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</si>
  <si>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</si>
  <si>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</si>
  <si>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</si>
  <si>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</si>
  <si>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</si>
  <si>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</si>
  <si>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</si>
  <si>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</si>
  <si>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</si>
  <si>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</si>
  <si>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</si>
  <si>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</si>
  <si>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</si>
  <si>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</si>
  <si>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</si>
  <si>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</si>
  <si>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</si>
  <si>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</si>
  <si>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</si>
  <si>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</si>
  <si>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</si>
  <si>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</si>
  <si>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</si>
  <si>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</si>
  <si>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</si>
  <si>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</si>
  <si>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</si>
  <si>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</si>
  <si>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</si>
  <si>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</si>
  <si>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</si>
  <si>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</si>
  <si>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</si>
  <si>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</si>
  <si>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</si>
  <si>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</si>
  <si>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</si>
  <si>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</si>
  <si>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</si>
  <si>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</si>
  <si>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</si>
  <si>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</si>
  <si>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</si>
  <si>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</si>
  <si>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</si>
  <si>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</si>
  <si>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</si>
  <si>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</si>
  <si>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</si>
  <si>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</si>
  <si>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</si>
  <si>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</si>
  <si>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</si>
  <si>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</si>
  <si>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</si>
  <si>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</si>
  <si>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</si>
  <si>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</si>
  <si>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</si>
  <si>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</si>
  <si>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</si>
  <si>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</si>
  <si>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</si>
  <si>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</si>
  <si>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</si>
  <si>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</si>
  <si>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</si>
  <si>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</si>
  <si>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</si>
  <si>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</si>
  <si>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</si>
  <si>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</si>
  <si>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</si>
  <si>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</si>
  <si>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</si>
  <si>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</si>
  <si>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</si>
  <si>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</si>
  <si>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</si>
  <si>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</si>
  <si>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</si>
  <si>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</si>
  <si>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</si>
  <si>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</si>
  <si>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</si>
  <si>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</si>
  <si>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</si>
  <si>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</si>
  <si>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</si>
  <si>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</si>
  <si>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</si>
  <si>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</si>
  <si>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</si>
  <si>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</si>
  <si>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</si>
  <si>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</si>
  <si>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</si>
  <si>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</si>
  <si>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</si>
  <si>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</si>
  <si>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</si>
  <si>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</si>
  <si>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</si>
  <si>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</si>
  <si>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</si>
  <si>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</si>
  <si>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</si>
  <si>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</si>
  <si>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</si>
  <si>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</si>
  <si>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</si>
  <si>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</si>
  <si>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</si>
  <si>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</si>
  <si>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</si>
  <si>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</si>
  <si>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</si>
  <si>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</si>
  <si>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</si>
  <si>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</si>
  <si>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</si>
  <si>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</si>
  <si>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</si>
  <si>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</si>
  <si>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</si>
  <si>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</si>
  <si>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</si>
  <si>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</si>
  <si>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</si>
  <si>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</si>
  <si>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</si>
  <si>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</si>
  <si>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</si>
  <si>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</si>
  <si>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</si>
  <si>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</si>
  <si>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</si>
  <si>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</si>
  <si>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</si>
  <si>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</si>
  <si>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</si>
  <si>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</si>
  <si>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</si>
  <si>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</si>
  <si>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</si>
  <si>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</si>
  <si>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</si>
  <si>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</si>
  <si>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</si>
  <si>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</si>
  <si>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</si>
  <si>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</si>
  <si>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</si>
  <si>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</si>
  <si>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</si>
  <si>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</si>
  <si>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</si>
  <si>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</si>
  <si>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</si>
  <si>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</si>
  <si>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</si>
  <si>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</si>
  <si>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</si>
  <si>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</si>
  <si>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</si>
  <si>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</si>
  <si>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</si>
  <si>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</si>
  <si>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</si>
  <si>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</si>
  <si>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</si>
  <si>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</si>
  <si>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</si>
  <si>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</si>
  <si>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</si>
  <si>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</si>
  <si>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</si>
  <si>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</si>
  <si>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</si>
  <si>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</si>
  <si>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</si>
  <si>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</si>
  <si>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</si>
  <si>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</si>
  <si>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</si>
  <si>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</si>
  <si>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</si>
  <si>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</si>
  <si>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</si>
  <si>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</si>
  <si>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</si>
  <si>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</si>
  <si>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</si>
  <si>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</si>
  <si>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</si>
  <si>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</si>
  <si>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</si>
  <si>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</si>
  <si>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</si>
  <si>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</si>
  <si>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</si>
  <si>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</si>
  <si>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중앙호수공원 지하수 사후관리 및 영향조사 용역</t>
    <phoneticPr fontId="8" type="noConversion"/>
  </si>
  <si>
    <t>호수공원</t>
    <phoneticPr fontId="8" type="noConversion"/>
  </si>
  <si>
    <t>충청남도 서산시 읍내동 40번지(호수공원)</t>
    <phoneticPr fontId="8" type="noConversion"/>
  </si>
  <si>
    <t>(합)수도건설</t>
    <phoneticPr fontId="5" type="noConversion"/>
  </si>
  <si>
    <t>(합)수도건설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</si>
</sst>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 formatCode="\ 0.00\ ">
                  <c:v>24.13</c:v>
                </c:pt>
                <c:pt idx="21" formatCode="\ 0.00\ ">
                  <c:v>24.279999999999998</c:v>
                </c:pt>
                <c:pt idx="22" formatCode="\ 0.00\ ">
                  <c:v>24.419999999999998</c:v>
                </c:pt>
                <c:pt idx="23" formatCode="\ 0.00\ ">
                  <c:v>24.549999999999997</c:v>
                </c:pt>
                <c:pt idx="24" formatCode="\ 0.00\ ">
                  <c:v>24.679999999999996</c:v>
                </c:pt>
                <c:pt idx="25">
                  <c:v>28.76</c:v>
                </c:pt>
                <c:pt idx="26" formatCode="\ 0.00\ ">
                  <c:v>28.87</c:v>
                </c:pt>
                <c:pt idx="27">
                  <c:v>29.56</c:v>
                </c:pt>
                <c:pt idx="28" formatCode="\ 0.00\ ">
                  <c:v>29.66</c:v>
                </c:pt>
                <c:pt idx="29">
                  <c:v>30.36</c:v>
                </c:pt>
                <c:pt idx="30" formatCode="\ 0.00\ ">
                  <c:v>30.419999999999998</c:v>
                </c:pt>
                <c:pt idx="31" formatCode="\ 0.00\ ">
                  <c:v>30.47</c:v>
                </c:pt>
                <c:pt idx="32" formatCode="\ 0.00\ ">
                  <c:v>30.509999999999998</c:v>
                </c:pt>
                <c:pt idx="33" formatCode="\ 0.00\ ">
                  <c:v>30.54</c:v>
                </c:pt>
                <c:pt idx="34" formatCode="\ 0.00\ ">
                  <c:v>30.56</c:v>
                </c:pt>
                <c:pt idx="35">
                  <c:v>31.16</c:v>
                </c:pt>
                <c:pt idx="36" formatCode="\ 0.00\ ">
                  <c:v>31.23</c:v>
                </c:pt>
                <c:pt idx="37" formatCode="\ 0.00\ ">
                  <c:v>31.29</c:v>
                </c:pt>
                <c:pt idx="38" formatCode="\ 0.00\ ">
                  <c:v>31.34</c:v>
                </c:pt>
                <c:pt idx="39">
                  <c:v>31.96</c:v>
                </c:pt>
                <c:pt idx="40" formatCode="\ 0.00\ ">
                  <c:v>32.14</c:v>
                </c:pt>
                <c:pt idx="41" formatCode="\ 0.00\ ">
                  <c:v>32.299999999999997</c:v>
                </c:pt>
                <c:pt idx="42" formatCode="\ 0.00\ ">
                  <c:v>32.449999999999996</c:v>
                </c:pt>
                <c:pt idx="43" formatCode="\ 0.00\ ">
                  <c:v>32.589999999999996</c:v>
                </c:pt>
                <c:pt idx="44" formatCode="\ 0.00\ ">
                  <c:v>32.72</c:v>
                </c:pt>
                <c:pt idx="45">
                  <c:v>37.35</c:v>
                </c:pt>
                <c:pt idx="46" formatCode="\ 0.00\ ">
                  <c:v>37.46</c:v>
                </c:pt>
                <c:pt idx="47">
                  <c:v>38.25</c:v>
                </c:pt>
                <c:pt idx="48" formatCode="\ 0.00\ ">
                  <c:v>38.36</c:v>
                </c:pt>
                <c:pt idx="49">
                  <c:v>39.15</c:v>
                </c:pt>
                <c:pt idx="50" formatCode="\ 0.00\ ">
                  <c:v>39.22</c:v>
                </c:pt>
                <c:pt idx="51" formatCode="\ 0.00\ ">
                  <c:v>39.269999999999996</c:v>
                </c:pt>
                <c:pt idx="52" formatCode="\ 0.00\ ">
                  <c:v>39.309999999999995</c:v>
                </c:pt>
                <c:pt idx="53" formatCode="\ 0.00\ ">
                  <c:v>39.339999999999996</c:v>
                </c:pt>
                <c:pt idx="54" formatCode="\ 0.00\ ">
                  <c:v>39.36</c:v>
                </c:pt>
                <c:pt idx="55">
                  <c:v>40.049999999999997</c:v>
                </c:pt>
                <c:pt idx="56" formatCode="\ 0.00\ ">
                  <c:v>40.129999999999995</c:v>
                </c:pt>
                <c:pt idx="57" formatCode="\ 0.00\ ">
                  <c:v>40.19</c:v>
                </c:pt>
                <c:pt idx="58" formatCode="\ 0.00\ ">
                  <c:v>40.239999999999995</c:v>
                </c:pt>
                <c:pt idx="59">
                  <c:v>40.950000000000003</c:v>
                </c:pt>
                <c:pt idx="60" formatCode="\ 0.00\ ">
                  <c:v>41.14</c:v>
                </c:pt>
                <c:pt idx="61" formatCode="\ 0.00\ ">
                  <c:v>41.31</c:v>
                </c:pt>
                <c:pt idx="62" formatCode="\ 0.00\ ">
                  <c:v>41.47</c:v>
                </c:pt>
                <c:pt idx="63" formatCode="\ 0.00\ ">
                  <c:v>41.62</c:v>
                </c:pt>
                <c:pt idx="64" formatCode="\ 0.00\ ">
                  <c:v>41.76</c:v>
                </c:pt>
                <c:pt idx="65">
                  <c:v>46.96</c:v>
                </c:pt>
                <c:pt idx="66" formatCode="\ 0.00\ ">
                  <c:v>47.08</c:v>
                </c:pt>
                <c:pt idx="67" formatCode="\ 0.00\ ">
                  <c:v>47.96</c:v>
                </c:pt>
                <c:pt idx="68" formatCode="\ 0.00\ ">
                  <c:v>48.08</c:v>
                </c:pt>
                <c:pt idx="69" formatCode="\ 0.00\ ">
                  <c:v>48.96</c:v>
                </c:pt>
                <c:pt idx="70" formatCode="\ 0.00\ ">
                  <c:v>49.03</c:v>
                </c:pt>
                <c:pt idx="71" formatCode="\ 0.00\ ">
                  <c:v>49.08</c:v>
                </c:pt>
                <c:pt idx="72" formatCode="\ 0.00\ ">
                  <c:v>49.12</c:v>
                </c:pt>
                <c:pt idx="73" formatCode="\ 0.00\ ">
                  <c:v>49.15</c:v>
                </c:pt>
                <c:pt idx="74" formatCode="\ 0.00\ ">
                  <c:v>49.18</c:v>
                </c:pt>
                <c:pt idx="75" formatCode="\ 0.00\ ">
                  <c:v>49.96</c:v>
                </c:pt>
                <c:pt idx="76" formatCode="\ 0.00\ ">
                  <c:v>50.050000000000004</c:v>
                </c:pt>
                <c:pt idx="77" formatCode="\ 0.00\ ">
                  <c:v>50.120000000000005</c:v>
                </c:pt>
                <c:pt idx="78" formatCode="\ 0.00\ ">
                  <c:v>50.17</c:v>
                </c:pt>
                <c:pt idx="79" formatCode="\ 0.00\ ">
                  <c:v>50.97</c:v>
                </c:pt>
                <c:pt idx="80" formatCode="\ 0.00\ ">
                  <c:v>51.18</c:v>
                </c:pt>
                <c:pt idx="81" formatCode="\ 0.00\ ">
                  <c:v>51.37</c:v>
                </c:pt>
                <c:pt idx="82" formatCode="\ 0.00\ ">
                  <c:v>51.54</c:v>
                </c:pt>
                <c:pt idx="83" formatCode="\ 0.00\ ">
                  <c:v>51.699999999999996</c:v>
                </c:pt>
                <c:pt idx="84" formatCode="\ 0.00\ ">
                  <c:v>51.839999999999996</c:v>
                </c:pt>
                <c:pt idx="85" formatCode="\ 0.00\ ">
                  <c:v>57.08</c:v>
                </c:pt>
                <c:pt idx="86" formatCode="\ 0.00\ ">
                  <c:v>57.39</c:v>
                </c:pt>
                <c:pt idx="87" formatCode="\ 0.00\ ">
                  <c:v>59.37</c:v>
                </c:pt>
                <c:pt idx="88" formatCode="\ 0.00\ ">
                  <c:v>59.669999999999995</c:v>
                </c:pt>
                <c:pt idx="89" formatCode="\ 0.00\ ">
                  <c:v>61.67</c:v>
                </c:pt>
                <c:pt idx="90" formatCode="\ 0.00\ ">
                  <c:v>61.82</c:v>
                </c:pt>
                <c:pt idx="91" formatCode="\ 0.00\ ">
                  <c:v>61.95</c:v>
                </c:pt>
                <c:pt idx="92" formatCode="\ 0.00\ ">
                  <c:v>62.06</c:v>
                </c:pt>
                <c:pt idx="93" formatCode="\ 0.00\ ">
                  <c:v>62.14</c:v>
                </c:pt>
                <c:pt idx="94" formatCode="\ 0.00\ ">
                  <c:v>62.21</c:v>
                </c:pt>
                <c:pt idx="95" formatCode="\ 0.00\ ">
                  <c:v>63.96</c:v>
                </c:pt>
                <c:pt idx="96" formatCode="\ 0.00\ ">
                  <c:v>64.150000000000006</c:v>
                </c:pt>
                <c:pt idx="97" formatCode="\ 0.00\ ">
                  <c:v>64.31</c:v>
                </c:pt>
                <c:pt idx="98" formatCode="\ 0.00\ ">
                  <c:v>64.45</c:v>
                </c:pt>
                <c:pt idx="99" formatCode="\ 0.00\ ">
                  <c:v>66.260000000000005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0.255</c:v>
                </c:pt>
                <c:pt idx="1">
                  <c:v>0.26600000000000001</c:v>
                </c:pt>
                <c:pt idx="2">
                  <c:v>0.28000000000000003</c:v>
                </c:pt>
                <c:pt idx="3">
                  <c:v>0.29599999999999999</c:v>
                </c:pt>
                <c:pt idx="4">
                  <c:v>0.33400000000000002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2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80.389996469193719</c:v>
                </c:pt>
                <c:pt idx="2">
                  <c:v>76.25394907801271</c:v>
                </c:pt>
                <c:pt idx="3">
                  <c:v>72.495386300578531</c:v>
                </c:pt>
                <c:pt idx="4">
                  <c:v>69.139522998065473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23.97</c:v>
                </c:pt>
                <c:pt idx="1">
                  <c:v>31.96</c:v>
                </c:pt>
                <c:pt idx="2">
                  <c:v>40.950000000000003</c:v>
                </c:pt>
                <c:pt idx="3">
                  <c:v>50.97</c:v>
                </c:pt>
                <c:pt idx="4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0.255</c:v>
                </c:pt>
                <c:pt idx="2">
                  <c:v>0.26633333333333337</c:v>
                </c:pt>
                <c:pt idx="3">
                  <c:v>0.28009575923392616</c:v>
                </c:pt>
                <c:pt idx="4">
                  <c:v>0.2963372093023256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2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1.0044810721385389</c:v>
                </c:pt>
                <c:pt idx="1">
                  <c:v>4.329496664895025</c:v>
                </c:pt>
                <c:pt idx="2">
                  <c:v>6.2745061009706902</c:v>
                </c:pt>
                <c:pt idx="3">
                  <c:v>7.6545122576515112</c:v>
                </c:pt>
                <c:pt idx="4">
                  <c:v>8.724928192898382</c:v>
                </c:pt>
                <c:pt idx="5">
                  <c:v>12.049943785654868</c:v>
                </c:pt>
                <c:pt idx="6">
                  <c:v>13.99495322173054</c:v>
                </c:pt>
                <c:pt idx="7">
                  <c:v>15.374959378411354</c:v>
                </c:pt>
                <c:pt idx="8">
                  <c:v>16.445375313658218</c:v>
                </c:pt>
                <c:pt idx="9">
                  <c:v>17.319968814487019</c:v>
                </c:pt>
                <c:pt idx="10">
                  <c:v>18.059427083141586</c:v>
                </c:pt>
                <c:pt idx="11">
                  <c:v>18.69997497116784</c:v>
                </c:pt>
                <c:pt idx="12">
                  <c:v>19.264978250562699</c:v>
                </c:pt>
                <c:pt idx="13">
                  <c:v>19.770390906414704</c:v>
                </c:pt>
                <c:pt idx="14">
                  <c:v>20.227592266942203</c:v>
                </c:pt>
                <c:pt idx="15">
                  <c:v>20.644984407243513</c:v>
                </c:pt>
                <c:pt idx="16">
                  <c:v>21.715400342490376</c:v>
                </c:pt>
                <c:pt idx="17">
                  <c:v>22.589993843319185</c:v>
                </c:pt>
                <c:pt idx="18">
                  <c:v>23.329452111973744</c:v>
                </c:pt>
                <c:pt idx="19">
                  <c:v>23.97</c:v>
                </c:pt>
                <c:pt idx="20">
                  <c:v>28.205465475454808</c:v>
                </c:pt>
                <c:pt idx="21">
                  <c:v>28.659288522423076</c:v>
                </c:pt>
                <c:pt idx="22">
                  <c:v>29.081787671264316</c:v>
                </c:pt>
                <c:pt idx="23">
                  <c:v>30.198290012747897</c:v>
                </c:pt>
                <c:pt idx="24">
                  <c:v>31.96</c:v>
                </c:pt>
                <c:pt idx="25">
                  <c:v>38.229455961251688</c:v>
                </c:pt>
                <c:pt idx="26">
                  <c:v>38.522075438731264</c:v>
                </c:pt>
                <c:pt idx="27">
                  <c:v>38.803649998864515</c:v>
                </c:pt>
                <c:pt idx="28">
                  <c:v>39.589727980625852</c:v>
                </c:pt>
                <c:pt idx="29">
                  <c:v>40.950000000000003</c:v>
                </c:pt>
                <c:pt idx="30">
                  <c:v>48.685375729175504</c:v>
                </c:pt>
                <c:pt idx="31">
                  <c:v>48.919455179399861</c:v>
                </c:pt>
                <c:pt idx="32">
                  <c:v>49.147453951042138</c:v>
                </c:pt>
                <c:pt idx="33">
                  <c:v>49.797933651696653</c:v>
                </c:pt>
                <c:pt idx="34">
                  <c:v>50.97</c:v>
                </c:pt>
                <c:pt idx="35">
                  <c:v>64.215704269111157</c:v>
                </c:pt>
                <c:pt idx="36">
                  <c:v>64.419631973787901</c:v>
                </c:pt>
                <c:pt idx="37">
                  <c:v>64.619521239499207</c:v>
                </c:pt>
                <c:pt idx="38">
                  <c:v>65.196482730558202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32.499942154775795</c:v>
                </c:pt>
                <c:pt idx="1">
                  <c:v>28.783426818208749</c:v>
                </c:pt>
                <c:pt idx="2">
                  <c:v>25.491911814908722</c:v>
                </c:pt>
                <c:pt idx="3">
                  <c:v>22.57679643509255</c:v>
                </c:pt>
                <c:pt idx="4">
                  <c:v>19.995037679892921</c:v>
                </c:pt>
                <c:pt idx="5">
                  <c:v>13.889990734786947</c:v>
                </c:pt>
                <c:pt idx="6">
                  <c:v>12.809786630248885</c:v>
                </c:pt>
                <c:pt idx="7">
                  <c:v>10.04758561079826</c:v>
                </c:pt>
                <c:pt idx="8">
                  <c:v>8.8985987652166099</c:v>
                </c:pt>
                <c:pt idx="9">
                  <c:v>7.8810037606659868</c:v>
                </c:pt>
                <c:pt idx="10">
                  <c:v>7.5683551713698005</c:v>
                </c:pt>
                <c:pt idx="11">
                  <c:v>7.2681097153999499</c:v>
                </c:pt>
                <c:pt idx="12">
                  <c:v>6.9797753460254501</c:v>
                </c:pt>
                <c:pt idx="13">
                  <c:v>6.7028795365816602</c:v>
                </c:pt>
                <c:pt idx="14">
                  <c:v>6.4369685060865534</c:v>
                </c:pt>
                <c:pt idx="15">
                  <c:v>6.1816064755776532</c:v>
                </c:pt>
                <c:pt idx="16">
                  <c:v>5.936374953950998</c:v>
                </c:pt>
                <c:pt idx="17">
                  <c:v>5.7008720521316549</c:v>
                </c:pt>
                <c:pt idx="18">
                  <c:v>5.4747118244519282</c:v>
                </c:pt>
                <c:pt idx="19">
                  <c:v>4.8486537729648855</c:v>
                </c:pt>
                <c:pt idx="20">
                  <c:v>4.6563020360365188</c:v>
                </c:pt>
                <c:pt idx="21">
                  <c:v>3.6522539123590532</c:v>
                </c:pt>
                <c:pt idx="22">
                  <c:v>2.8647107805953755</c:v>
                </c:pt>
                <c:pt idx="23">
                  <c:v>2.2469872175887691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5" totalsRowShown="0" headerRowDxfId="20" dataDxfId="19" headerRowCellStyle="표준 2" dataCellStyle="표준 2">
  <autoFilter ref="J3:J15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I20" sqref="I20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261</v>
      </c>
    </row>
    <row r="16" spans="3:10" ht="18" customHeight="1">
      <c r="D16" s="13" t="s">
        <v>110</v>
      </c>
      <c r="E16" s="11" t="s">
        <v>111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2.2200000000000002</v>
      </c>
      <c r="E1" s="6">
        <v>1</v>
      </c>
      <c r="F1" s="6">
        <f>StepTest!G12</f>
        <v>2.2200000000000002</v>
      </c>
    </row>
    <row r="2" spans="1:6">
      <c r="A2" s="124">
        <v>2</v>
      </c>
      <c r="B2" s="6">
        <f t="shared" ref="B2:B20" si="0">F2</f>
        <v>4.32</v>
      </c>
      <c r="E2" s="6">
        <v>2</v>
      </c>
      <c r="F2" s="6">
        <f>StepTest!G13</f>
        <v>4.32</v>
      </c>
    </row>
    <row r="3" spans="1:6">
      <c r="A3" s="124">
        <v>3</v>
      </c>
      <c r="B3" s="6">
        <f t="shared" si="0"/>
        <v>6.27</v>
      </c>
      <c r="E3" s="6">
        <v>3</v>
      </c>
      <c r="F3" s="6">
        <f>StepTest!G14</f>
        <v>6.27</v>
      </c>
    </row>
    <row r="4" spans="1:6">
      <c r="A4" s="124">
        <v>4</v>
      </c>
      <c r="B4" s="6">
        <f t="shared" si="0"/>
        <v>7.65</v>
      </c>
      <c r="E4" s="6">
        <v>4</v>
      </c>
      <c r="F4" s="6">
        <f>StepTest!G15</f>
        <v>7.65</v>
      </c>
    </row>
    <row r="5" spans="1:6">
      <c r="A5" s="124">
        <v>5</v>
      </c>
      <c r="B5" s="6">
        <f t="shared" si="0"/>
        <v>8.7200000000000006</v>
      </c>
      <c r="E5" s="6">
        <v>5</v>
      </c>
      <c r="F5" s="6">
        <f>StepTest!G16</f>
        <v>8.7200000000000006</v>
      </c>
    </row>
    <row r="6" spans="1:6">
      <c r="A6" s="124">
        <v>10</v>
      </c>
      <c r="B6" s="6">
        <f t="shared" si="0"/>
        <v>12.04</v>
      </c>
      <c r="E6" s="6">
        <v>10</v>
      </c>
      <c r="F6" s="6">
        <f>StepTest!G17</f>
        <v>12.04</v>
      </c>
    </row>
    <row r="7" spans="1:6">
      <c r="A7" s="124">
        <v>15</v>
      </c>
      <c r="B7" s="6">
        <f t="shared" si="0"/>
        <v>13.99</v>
      </c>
      <c r="E7" s="6">
        <v>15</v>
      </c>
      <c r="F7" s="6">
        <f>StepTest!G18</f>
        <v>13.99</v>
      </c>
    </row>
    <row r="8" spans="1:6">
      <c r="A8" s="124">
        <v>20</v>
      </c>
      <c r="B8" s="6">
        <f t="shared" si="0"/>
        <v>15.37</v>
      </c>
      <c r="E8" s="6">
        <v>20</v>
      </c>
      <c r="F8" s="6">
        <f>StepTest!G19</f>
        <v>15.37</v>
      </c>
    </row>
    <row r="9" spans="1:6">
      <c r="A9" s="124">
        <v>25</v>
      </c>
      <c r="B9" s="6">
        <f t="shared" si="0"/>
        <v>16.440000000000001</v>
      </c>
      <c r="E9" s="6">
        <v>25</v>
      </c>
      <c r="F9" s="6">
        <f>StepTest!G20</f>
        <v>16.440000000000001</v>
      </c>
    </row>
    <row r="10" spans="1:6">
      <c r="A10" s="124">
        <v>30</v>
      </c>
      <c r="B10" s="6">
        <f t="shared" si="0"/>
        <v>17.309999999999999</v>
      </c>
      <c r="E10" s="6">
        <v>30</v>
      </c>
      <c r="F10" s="6">
        <f>StepTest!G21</f>
        <v>17.309999999999999</v>
      </c>
    </row>
    <row r="11" spans="1:6">
      <c r="A11" s="124">
        <v>35</v>
      </c>
      <c r="B11" s="6">
        <f t="shared" si="0"/>
        <v>18.05</v>
      </c>
      <c r="E11" s="6">
        <v>35</v>
      </c>
      <c r="F11" s="6">
        <f>StepTest!G22</f>
        <v>18.05</v>
      </c>
    </row>
    <row r="12" spans="1:6">
      <c r="A12" s="124">
        <v>40</v>
      </c>
      <c r="B12" s="6">
        <f t="shared" si="0"/>
        <v>18.690000000000001</v>
      </c>
      <c r="E12" s="6">
        <v>40</v>
      </c>
      <c r="F12" s="6">
        <f>StepTest!G23</f>
        <v>18.690000000000001</v>
      </c>
    </row>
    <row r="13" spans="1:6">
      <c r="A13" s="124">
        <v>45</v>
      </c>
      <c r="B13" s="6">
        <f t="shared" si="0"/>
        <v>19.260000000000002</v>
      </c>
      <c r="E13" s="6">
        <v>45</v>
      </c>
      <c r="F13" s="6">
        <f>StepTest!G24</f>
        <v>19.260000000000002</v>
      </c>
    </row>
    <row r="14" spans="1:6">
      <c r="A14" s="124">
        <v>50</v>
      </c>
      <c r="B14" s="6">
        <f t="shared" si="0"/>
        <v>19.77</v>
      </c>
      <c r="E14" s="6">
        <v>50</v>
      </c>
      <c r="F14" s="6">
        <f>StepTest!G25</f>
        <v>19.77</v>
      </c>
    </row>
    <row r="15" spans="1:6">
      <c r="A15" s="124">
        <v>55</v>
      </c>
      <c r="B15" s="6">
        <f t="shared" si="0"/>
        <v>20.22</v>
      </c>
      <c r="E15" s="6">
        <v>55</v>
      </c>
      <c r="F15" s="6">
        <f>StepTest!G26</f>
        <v>20.22</v>
      </c>
    </row>
    <row r="16" spans="1:6">
      <c r="A16" s="124">
        <v>60</v>
      </c>
      <c r="B16" s="6">
        <f t="shared" si="0"/>
        <v>20.64</v>
      </c>
      <c r="E16" s="6">
        <v>60</v>
      </c>
      <c r="F16" s="6">
        <f>StepTest!G27</f>
        <v>20.64</v>
      </c>
    </row>
    <row r="17" spans="1:6">
      <c r="A17" s="124">
        <v>75</v>
      </c>
      <c r="B17" s="6">
        <f t="shared" si="0"/>
        <v>21.71</v>
      </c>
      <c r="E17" s="6">
        <v>75</v>
      </c>
      <c r="F17" s="6">
        <f>StepTest!G28</f>
        <v>21.71</v>
      </c>
    </row>
    <row r="18" spans="1:6">
      <c r="A18" s="124">
        <v>90</v>
      </c>
      <c r="B18" s="6">
        <f t="shared" si="0"/>
        <v>22.58</v>
      </c>
      <c r="E18" s="6">
        <v>90</v>
      </c>
      <c r="F18" s="6">
        <f>StepTest!G29</f>
        <v>22.58</v>
      </c>
    </row>
    <row r="19" spans="1:6">
      <c r="A19" s="124">
        <v>105</v>
      </c>
      <c r="B19" s="6">
        <f t="shared" si="0"/>
        <v>23.32</v>
      </c>
      <c r="E19" s="6">
        <v>105</v>
      </c>
      <c r="F19" s="6">
        <f>StepTest!G30</f>
        <v>23.32</v>
      </c>
    </row>
    <row r="20" spans="1:6">
      <c r="A20" s="125">
        <v>120</v>
      </c>
      <c r="B20" s="126">
        <f t="shared" si="0"/>
        <v>23.97</v>
      </c>
      <c r="C20" s="126">
        <f>B26-B20</f>
        <v>4.7900000000000027</v>
      </c>
      <c r="D20" s="127">
        <f>C20/10</f>
        <v>0.47900000000000026</v>
      </c>
      <c r="E20" s="6">
        <v>120</v>
      </c>
      <c r="F20" s="6">
        <f>StepTest!G31</f>
        <v>23.97</v>
      </c>
    </row>
    <row r="21" spans="1:6">
      <c r="A21" s="124">
        <v>121</v>
      </c>
      <c r="B21" s="128">
        <f>B20+D21</f>
        <v>24.13</v>
      </c>
      <c r="D21" s="6">
        <v>0.16</v>
      </c>
      <c r="E21" s="6">
        <v>130</v>
      </c>
      <c r="F21" s="6">
        <f>StepTest!G32</f>
        <v>28.76</v>
      </c>
    </row>
    <row r="22" spans="1:6">
      <c r="A22" s="124">
        <v>122</v>
      </c>
      <c r="B22" s="128">
        <f>B21+D22</f>
        <v>24.279999999999998</v>
      </c>
      <c r="D22" s="6">
        <v>0.15</v>
      </c>
      <c r="E22" s="6">
        <v>140</v>
      </c>
      <c r="F22" s="6">
        <f>StepTest!G33</f>
        <v>29.56</v>
      </c>
    </row>
    <row r="23" spans="1:6">
      <c r="A23" s="124">
        <v>123</v>
      </c>
      <c r="B23" s="128">
        <f>B22+D23</f>
        <v>24.419999999999998</v>
      </c>
      <c r="D23" s="6">
        <v>0.14000000000000001</v>
      </c>
      <c r="E23" s="6">
        <v>150</v>
      </c>
      <c r="F23" s="6">
        <f>StepTest!G34</f>
        <v>30.36</v>
      </c>
    </row>
    <row r="24" spans="1:6">
      <c r="A24" s="124">
        <v>124</v>
      </c>
      <c r="B24" s="128">
        <f>B23+D24</f>
        <v>24.549999999999997</v>
      </c>
      <c r="D24" s="6">
        <v>0.13</v>
      </c>
      <c r="E24" s="6">
        <v>180</v>
      </c>
      <c r="F24" s="6">
        <f>StepTest!G35</f>
        <v>31.16</v>
      </c>
    </row>
    <row r="25" spans="1:6">
      <c r="A25" s="124">
        <v>125</v>
      </c>
      <c r="B25" s="128">
        <f>B24+D25</f>
        <v>24.679999999999996</v>
      </c>
      <c r="D25" s="6">
        <v>0.13</v>
      </c>
      <c r="E25" s="6">
        <v>240</v>
      </c>
      <c r="F25" s="6">
        <f>StepTest!G36</f>
        <v>31.96</v>
      </c>
    </row>
    <row r="26" spans="1:6">
      <c r="A26" s="124">
        <v>130</v>
      </c>
      <c r="B26" s="126">
        <f>F21</f>
        <v>28.76</v>
      </c>
      <c r="C26" s="126">
        <f>B28-B26</f>
        <v>0.79999999999999716</v>
      </c>
      <c r="D26" s="126">
        <f>C26/2</f>
        <v>0.39999999999999858</v>
      </c>
      <c r="E26" s="6">
        <v>250</v>
      </c>
      <c r="F26" s="6">
        <f>StepTest!G37</f>
        <v>37.35</v>
      </c>
    </row>
    <row r="27" spans="1:6">
      <c r="A27" s="124">
        <v>135</v>
      </c>
      <c r="B27" s="128">
        <f>B26+D27</f>
        <v>28.87</v>
      </c>
      <c r="D27" s="6">
        <v>0.11</v>
      </c>
      <c r="E27" s="6">
        <v>260</v>
      </c>
      <c r="F27" s="6">
        <f>StepTest!G38</f>
        <v>38.25</v>
      </c>
    </row>
    <row r="28" spans="1:6">
      <c r="A28" s="124">
        <v>140</v>
      </c>
      <c r="B28" s="126">
        <f>F22</f>
        <v>29.56</v>
      </c>
      <c r="C28" s="126">
        <f>B30-B28</f>
        <v>0.80000000000000071</v>
      </c>
      <c r="D28" s="126">
        <f>C28/2</f>
        <v>0.40000000000000036</v>
      </c>
      <c r="E28" s="6">
        <v>270</v>
      </c>
      <c r="F28" s="6">
        <f>StepTest!G39</f>
        <v>39.15</v>
      </c>
    </row>
    <row r="29" spans="1:6">
      <c r="A29" s="124">
        <v>145</v>
      </c>
      <c r="B29" s="128">
        <f>B28+D29</f>
        <v>29.66</v>
      </c>
      <c r="D29" s="6">
        <v>0.1</v>
      </c>
      <c r="E29" s="6">
        <v>300</v>
      </c>
      <c r="F29" s="6">
        <f>StepTest!G40</f>
        <v>40.049999999999997</v>
      </c>
    </row>
    <row r="30" spans="1:6">
      <c r="A30" s="124">
        <v>150</v>
      </c>
      <c r="B30" s="126">
        <f>F23</f>
        <v>30.36</v>
      </c>
      <c r="C30" s="126">
        <f>B36-B30</f>
        <v>0.80000000000000071</v>
      </c>
      <c r="D30" s="129">
        <f>C30/6</f>
        <v>0.13333333333333344</v>
      </c>
      <c r="E30" s="6">
        <v>360</v>
      </c>
      <c r="F30" s="6">
        <f>StepTest!G41</f>
        <v>40.950000000000003</v>
      </c>
    </row>
    <row r="31" spans="1:6">
      <c r="A31" s="124">
        <v>155</v>
      </c>
      <c r="B31" s="128">
        <f>B30+D31</f>
        <v>30.419999999999998</v>
      </c>
      <c r="D31" s="6">
        <v>0.06</v>
      </c>
    </row>
    <row r="32" spans="1:6">
      <c r="A32" s="124">
        <v>160</v>
      </c>
      <c r="B32" s="128">
        <f t="shared" ref="B32:B39" si="1">B31+D32</f>
        <v>30.47</v>
      </c>
      <c r="D32" s="6">
        <v>0.05</v>
      </c>
    </row>
    <row r="33" spans="1:4">
      <c r="A33" s="124">
        <v>165</v>
      </c>
      <c r="B33" s="128">
        <f t="shared" si="1"/>
        <v>30.509999999999998</v>
      </c>
      <c r="D33" s="6">
        <v>0.04</v>
      </c>
    </row>
    <row r="34" spans="1:4">
      <c r="A34" s="124">
        <v>170</v>
      </c>
      <c r="B34" s="128">
        <f t="shared" si="1"/>
        <v>30.54</v>
      </c>
      <c r="D34" s="6">
        <v>0.03</v>
      </c>
    </row>
    <row r="35" spans="1:4">
      <c r="A35" s="124">
        <v>175</v>
      </c>
      <c r="B35" s="128">
        <f t="shared" si="1"/>
        <v>30.56</v>
      </c>
      <c r="D35" s="6">
        <v>0.02</v>
      </c>
    </row>
    <row r="36" spans="1:4">
      <c r="A36" s="124">
        <v>180</v>
      </c>
      <c r="B36" s="126">
        <f>F24</f>
        <v>31.16</v>
      </c>
      <c r="C36" s="126">
        <f>B40-B36</f>
        <v>0.80000000000000071</v>
      </c>
      <c r="D36" s="126">
        <f>C36/4</f>
        <v>0.20000000000000018</v>
      </c>
    </row>
    <row r="37" spans="1:4">
      <c r="A37" s="124">
        <v>195</v>
      </c>
      <c r="B37" s="128">
        <f t="shared" si="1"/>
        <v>31.23</v>
      </c>
      <c r="D37" s="6">
        <v>7.0000000000000007E-2</v>
      </c>
    </row>
    <row r="38" spans="1:4">
      <c r="A38" s="124">
        <v>210</v>
      </c>
      <c r="B38" s="128">
        <f t="shared" si="1"/>
        <v>31.29</v>
      </c>
      <c r="D38" s="6">
        <v>0.06</v>
      </c>
    </row>
    <row r="39" spans="1:4">
      <c r="A39" s="124">
        <v>225</v>
      </c>
      <c r="B39" s="128">
        <f t="shared" si="1"/>
        <v>31.34</v>
      </c>
      <c r="D39" s="6">
        <v>0.05</v>
      </c>
    </row>
    <row r="40" spans="1:4">
      <c r="A40" s="125">
        <v>240</v>
      </c>
      <c r="B40" s="126">
        <f>F25</f>
        <v>31.96</v>
      </c>
      <c r="C40" s="126">
        <f>B46-B40</f>
        <v>5.3900000000000006</v>
      </c>
      <c r="D40" s="127">
        <f>C40/10</f>
        <v>0.53900000000000003</v>
      </c>
    </row>
    <row r="41" spans="1:4">
      <c r="A41" s="124">
        <v>241</v>
      </c>
      <c r="B41" s="128">
        <f>B40+D41</f>
        <v>32.14</v>
      </c>
      <c r="D41" s="6">
        <v>0.18</v>
      </c>
    </row>
    <row r="42" spans="1:4">
      <c r="A42" s="124">
        <v>242</v>
      </c>
      <c r="B42" s="128">
        <f>B41+D42</f>
        <v>32.299999999999997</v>
      </c>
      <c r="D42" s="6">
        <v>0.16</v>
      </c>
    </row>
    <row r="43" spans="1:4">
      <c r="A43" s="124">
        <v>243</v>
      </c>
      <c r="B43" s="128">
        <f>B42+D43</f>
        <v>32.449999999999996</v>
      </c>
      <c r="D43" s="6">
        <v>0.15</v>
      </c>
    </row>
    <row r="44" spans="1:4">
      <c r="A44" s="124">
        <v>244</v>
      </c>
      <c r="B44" s="128">
        <f>B43+D44</f>
        <v>32.589999999999996</v>
      </c>
      <c r="D44" s="6">
        <v>0.14000000000000001</v>
      </c>
    </row>
    <row r="45" spans="1:4">
      <c r="A45" s="124">
        <v>245</v>
      </c>
      <c r="B45" s="128">
        <f>B44+D45</f>
        <v>32.72</v>
      </c>
      <c r="D45" s="6">
        <v>0.13</v>
      </c>
    </row>
    <row r="46" spans="1:4">
      <c r="A46" s="124">
        <v>250</v>
      </c>
      <c r="B46" s="126">
        <f>F26</f>
        <v>37.35</v>
      </c>
      <c r="C46" s="126">
        <f>B48-B46</f>
        <v>0.89999999999999858</v>
      </c>
      <c r="D46" s="126">
        <f>C46/2</f>
        <v>0.44999999999999929</v>
      </c>
    </row>
    <row r="47" spans="1:4">
      <c r="A47" s="124">
        <v>255</v>
      </c>
      <c r="B47" s="128">
        <f>B46+D47</f>
        <v>37.46</v>
      </c>
      <c r="D47" s="6">
        <v>0.11</v>
      </c>
    </row>
    <row r="48" spans="1:4">
      <c r="A48" s="124">
        <v>260</v>
      </c>
      <c r="B48" s="126">
        <f>F27</f>
        <v>38.25</v>
      </c>
      <c r="C48" s="126">
        <f>B50-B48</f>
        <v>0.89999999999999858</v>
      </c>
      <c r="D48" s="126">
        <f>C48/2</f>
        <v>0.44999999999999929</v>
      </c>
    </row>
    <row r="49" spans="1:6">
      <c r="A49" s="124">
        <v>265</v>
      </c>
      <c r="B49" s="128">
        <f>B48+D49</f>
        <v>38.36</v>
      </c>
      <c r="D49" s="6">
        <v>0.11</v>
      </c>
    </row>
    <row r="50" spans="1:6">
      <c r="A50" s="124">
        <v>270</v>
      </c>
      <c r="B50" s="126">
        <f>F28</f>
        <v>39.15</v>
      </c>
      <c r="C50" s="126">
        <f>B56-B50</f>
        <v>0.89999999999999858</v>
      </c>
      <c r="D50" s="129">
        <f>C50/6</f>
        <v>0.14999999999999977</v>
      </c>
    </row>
    <row r="51" spans="1:6">
      <c r="A51" s="124">
        <v>275</v>
      </c>
      <c r="B51" s="128">
        <f>B50+D51</f>
        <v>39.22</v>
      </c>
      <c r="D51" s="6">
        <v>7.0000000000000007E-2</v>
      </c>
    </row>
    <row r="52" spans="1:6">
      <c r="A52" s="124">
        <v>280</v>
      </c>
      <c r="B52" s="128">
        <f>B51+D52</f>
        <v>39.269999999999996</v>
      </c>
      <c r="D52" s="6">
        <v>0.05</v>
      </c>
    </row>
    <row r="53" spans="1:6">
      <c r="A53" s="124">
        <v>285</v>
      </c>
      <c r="B53" s="128">
        <f>B52+D53</f>
        <v>39.309999999999995</v>
      </c>
      <c r="D53" s="6">
        <v>0.04</v>
      </c>
    </row>
    <row r="54" spans="1:6">
      <c r="A54" s="124">
        <v>290</v>
      </c>
      <c r="B54" s="128">
        <f>B53+D54</f>
        <v>39.339999999999996</v>
      </c>
      <c r="D54" s="6">
        <v>0.03</v>
      </c>
    </row>
    <row r="55" spans="1:6">
      <c r="A55" s="124">
        <v>295</v>
      </c>
      <c r="B55" s="128">
        <f>B54+D55</f>
        <v>39.36</v>
      </c>
      <c r="D55" s="6">
        <v>0.02</v>
      </c>
    </row>
    <row r="56" spans="1:6">
      <c r="A56" s="124">
        <v>300</v>
      </c>
      <c r="B56" s="126">
        <f>F29</f>
        <v>40.049999999999997</v>
      </c>
      <c r="C56" s="126">
        <f>B60-B56</f>
        <v>0.90000000000000568</v>
      </c>
      <c r="D56" s="126">
        <f>C56/4</f>
        <v>0.22500000000000142</v>
      </c>
    </row>
    <row r="57" spans="1:6">
      <c r="A57" s="124">
        <v>315</v>
      </c>
      <c r="B57" s="128">
        <f>B56+D57</f>
        <v>40.129999999999995</v>
      </c>
      <c r="D57" s="6">
        <v>0.08</v>
      </c>
    </row>
    <row r="58" spans="1:6">
      <c r="A58" s="124">
        <v>330</v>
      </c>
      <c r="B58" s="128">
        <f>B57+D58</f>
        <v>40.19</v>
      </c>
      <c r="D58" s="6">
        <v>0.06</v>
      </c>
    </row>
    <row r="59" spans="1:6">
      <c r="A59" s="124">
        <v>345</v>
      </c>
      <c r="B59" s="128">
        <f>B58+D59</f>
        <v>40.239999999999995</v>
      </c>
      <c r="D59" s="6">
        <v>0.05</v>
      </c>
    </row>
    <row r="60" spans="1:6">
      <c r="A60" s="125">
        <v>360</v>
      </c>
      <c r="B60" s="126">
        <f>F30</f>
        <v>40.950000000000003</v>
      </c>
      <c r="C60" s="126">
        <f>B66-B60</f>
        <v>6.009999999999998</v>
      </c>
      <c r="D60" s="127">
        <f>C60/10</f>
        <v>0.60099999999999976</v>
      </c>
    </row>
    <row r="61" spans="1:6">
      <c r="A61" s="124">
        <v>361</v>
      </c>
      <c r="B61" s="128">
        <f>B60+D61</f>
        <v>41.14</v>
      </c>
      <c r="D61" s="6">
        <v>0.19</v>
      </c>
    </row>
    <row r="62" spans="1:6">
      <c r="A62" s="124">
        <v>362</v>
      </c>
      <c r="B62" s="128">
        <f>B61+D62</f>
        <v>41.31</v>
      </c>
      <c r="D62" s="6">
        <v>0.17</v>
      </c>
    </row>
    <row r="63" spans="1:6">
      <c r="A63" s="124">
        <v>363</v>
      </c>
      <c r="B63" s="128">
        <f>B62+D63</f>
        <v>41.47</v>
      </c>
      <c r="D63" s="6">
        <v>0.16</v>
      </c>
      <c r="E63" s="6">
        <v>370</v>
      </c>
      <c r="F63" s="6">
        <f>StepTest!G42</f>
        <v>46.96</v>
      </c>
    </row>
    <row r="64" spans="1:6">
      <c r="A64" s="124">
        <v>364</v>
      </c>
      <c r="B64" s="128">
        <f>B63+D64</f>
        <v>41.62</v>
      </c>
      <c r="D64" s="6">
        <v>0.15</v>
      </c>
      <c r="E64" s="6">
        <v>380</v>
      </c>
      <c r="F64" s="6">
        <f>StepTest!G43</f>
        <v>47.96</v>
      </c>
    </row>
    <row r="65" spans="1:6">
      <c r="A65" s="124">
        <v>365</v>
      </c>
      <c r="B65" s="128">
        <f>B64+D65</f>
        <v>41.76</v>
      </c>
      <c r="D65" s="6">
        <v>0.14000000000000001</v>
      </c>
      <c r="E65" s="6">
        <v>390</v>
      </c>
      <c r="F65" s="6">
        <f>StepTest!G44</f>
        <v>48.96</v>
      </c>
    </row>
    <row r="66" spans="1:6">
      <c r="A66" s="124">
        <v>370</v>
      </c>
      <c r="B66" s="126">
        <f>F63</f>
        <v>46.96</v>
      </c>
      <c r="C66" s="130">
        <f>B68-B66</f>
        <v>1</v>
      </c>
      <c r="D66" s="126">
        <f>C66/2</f>
        <v>0.5</v>
      </c>
      <c r="E66" s="6">
        <v>420</v>
      </c>
      <c r="F66" s="6">
        <f>StepTest!G45</f>
        <v>49.96</v>
      </c>
    </row>
    <row r="67" spans="1:6">
      <c r="A67" s="124">
        <v>375</v>
      </c>
      <c r="B67" s="128">
        <f>B66+D67</f>
        <v>47.08</v>
      </c>
      <c r="D67" s="6">
        <v>0.12</v>
      </c>
      <c r="E67" s="6">
        <v>480</v>
      </c>
      <c r="F67" s="6">
        <f>StepTest!G46</f>
        <v>50.97</v>
      </c>
    </row>
    <row r="68" spans="1:6">
      <c r="A68" s="124">
        <v>380</v>
      </c>
      <c r="B68" s="131">
        <f>F64</f>
        <v>47.96</v>
      </c>
      <c r="C68" s="126">
        <f>B70-B68</f>
        <v>1</v>
      </c>
      <c r="D68" s="126">
        <f>C68/2</f>
        <v>0.5</v>
      </c>
      <c r="E68" s="6">
        <v>490</v>
      </c>
      <c r="F68" s="6">
        <f>StepTest!G47</f>
        <v>57.08</v>
      </c>
    </row>
    <row r="69" spans="1:6">
      <c r="A69" s="124">
        <v>385</v>
      </c>
      <c r="B69" s="128">
        <f>B68+D69</f>
        <v>48.08</v>
      </c>
      <c r="D69" s="6">
        <v>0.12</v>
      </c>
      <c r="E69" s="6">
        <v>500</v>
      </c>
      <c r="F69" s="6">
        <f>StepTest!G48</f>
        <v>59.37</v>
      </c>
    </row>
    <row r="70" spans="1:6">
      <c r="A70" s="124">
        <v>390</v>
      </c>
      <c r="B70" s="131">
        <f>F65</f>
        <v>48.96</v>
      </c>
      <c r="C70" s="126">
        <f>B76-B70</f>
        <v>1</v>
      </c>
      <c r="D70" s="129">
        <f>C70/6</f>
        <v>0.16666666666666666</v>
      </c>
      <c r="E70" s="6">
        <v>510</v>
      </c>
      <c r="F70" s="6">
        <f>StepTest!G49</f>
        <v>61.67</v>
      </c>
    </row>
    <row r="71" spans="1:6">
      <c r="A71" s="124">
        <v>395</v>
      </c>
      <c r="B71" s="128">
        <f>B70+D71</f>
        <v>49.03</v>
      </c>
      <c r="D71" s="6">
        <v>7.0000000000000007E-2</v>
      </c>
      <c r="E71" s="6">
        <v>540</v>
      </c>
      <c r="F71" s="6">
        <f>StepTest!G50</f>
        <v>63.96</v>
      </c>
    </row>
    <row r="72" spans="1:6">
      <c r="A72" s="124">
        <v>400</v>
      </c>
      <c r="B72" s="128">
        <f>B71+D72</f>
        <v>49.08</v>
      </c>
      <c r="D72" s="6">
        <v>0.05</v>
      </c>
      <c r="E72" s="6">
        <v>600</v>
      </c>
      <c r="F72" s="6">
        <f>StepTest!G51</f>
        <v>66.260000000000005</v>
      </c>
    </row>
    <row r="73" spans="1:6">
      <c r="A73" s="124">
        <v>405</v>
      </c>
      <c r="B73" s="128">
        <f>B72+D73</f>
        <v>49.12</v>
      </c>
      <c r="D73" s="6">
        <v>0.04</v>
      </c>
    </row>
    <row r="74" spans="1:6">
      <c r="A74" s="124">
        <v>410</v>
      </c>
      <c r="B74" s="128">
        <f>B73+D74</f>
        <v>49.15</v>
      </c>
      <c r="D74" s="6">
        <v>0.03</v>
      </c>
    </row>
    <row r="75" spans="1:6">
      <c r="A75" s="124">
        <v>415</v>
      </c>
      <c r="B75" s="128">
        <f>B74+D75</f>
        <v>49.18</v>
      </c>
      <c r="D75" s="6">
        <v>0.03</v>
      </c>
    </row>
    <row r="76" spans="1:6">
      <c r="A76" s="124">
        <v>420</v>
      </c>
      <c r="B76" s="131">
        <f>F66</f>
        <v>49.96</v>
      </c>
      <c r="C76" s="126">
        <f>B80-B76</f>
        <v>1.009999999999998</v>
      </c>
      <c r="D76" s="126">
        <f>C76/4</f>
        <v>0.2524999999999995</v>
      </c>
    </row>
    <row r="77" spans="1:6">
      <c r="A77" s="124">
        <v>435</v>
      </c>
      <c r="B77" s="128">
        <f>B76+D77</f>
        <v>50.050000000000004</v>
      </c>
      <c r="D77" s="6">
        <v>0.09</v>
      </c>
    </row>
    <row r="78" spans="1:6">
      <c r="A78" s="124">
        <v>450</v>
      </c>
      <c r="B78" s="128">
        <f>B77+D78</f>
        <v>50.120000000000005</v>
      </c>
      <c r="D78" s="6">
        <v>7.0000000000000007E-2</v>
      </c>
    </row>
    <row r="79" spans="1:6">
      <c r="A79" s="124">
        <v>465</v>
      </c>
      <c r="B79" s="128">
        <f>B78+D79</f>
        <v>50.17</v>
      </c>
      <c r="D79" s="6">
        <v>0.05</v>
      </c>
    </row>
    <row r="80" spans="1:6">
      <c r="A80" s="125">
        <v>480</v>
      </c>
      <c r="B80" s="131">
        <f>F67</f>
        <v>50.97</v>
      </c>
      <c r="C80" s="126">
        <f>B86-B80</f>
        <v>6.1099999999999994</v>
      </c>
      <c r="D80" s="127">
        <f>C80/10</f>
        <v>0.61099999999999999</v>
      </c>
    </row>
    <row r="81" spans="1:4">
      <c r="A81" s="124">
        <v>481</v>
      </c>
      <c r="B81" s="128">
        <f>B80+D81</f>
        <v>51.18</v>
      </c>
      <c r="D81" s="6">
        <v>0.21</v>
      </c>
    </row>
    <row r="82" spans="1:4">
      <c r="A82" s="124">
        <v>482</v>
      </c>
      <c r="B82" s="128">
        <f>B81+D82</f>
        <v>51.37</v>
      </c>
      <c r="D82" s="6">
        <v>0.19</v>
      </c>
    </row>
    <row r="83" spans="1:4">
      <c r="A83" s="124">
        <v>483</v>
      </c>
      <c r="B83" s="128">
        <f>B82+D83</f>
        <v>51.54</v>
      </c>
      <c r="D83" s="6">
        <v>0.17</v>
      </c>
    </row>
    <row r="84" spans="1:4">
      <c r="A84" s="124">
        <v>484</v>
      </c>
      <c r="B84" s="128">
        <f>B83+D84</f>
        <v>51.699999999999996</v>
      </c>
      <c r="D84" s="6">
        <v>0.16</v>
      </c>
    </row>
    <row r="85" spans="1:4">
      <c r="A85" s="124">
        <v>485</v>
      </c>
      <c r="B85" s="128">
        <f>B84+D85</f>
        <v>51.839999999999996</v>
      </c>
      <c r="D85" s="6">
        <v>0.14000000000000001</v>
      </c>
    </row>
    <row r="86" spans="1:4">
      <c r="A86" s="124">
        <v>490</v>
      </c>
      <c r="B86" s="131">
        <f>F68</f>
        <v>57.08</v>
      </c>
      <c r="C86" s="126">
        <f>B88-B86</f>
        <v>2.2899999999999991</v>
      </c>
      <c r="D86" s="126">
        <f>C86/2</f>
        <v>1.1449999999999996</v>
      </c>
    </row>
    <row r="87" spans="1:4">
      <c r="A87" s="124">
        <v>495</v>
      </c>
      <c r="B87" s="128">
        <f>B86+D87</f>
        <v>57.39</v>
      </c>
      <c r="D87" s="6">
        <v>0.31</v>
      </c>
    </row>
    <row r="88" spans="1:4">
      <c r="A88" s="124">
        <v>500</v>
      </c>
      <c r="B88" s="131">
        <f>F69</f>
        <v>59.37</v>
      </c>
      <c r="C88" s="126">
        <f>B90-B88</f>
        <v>2.3000000000000043</v>
      </c>
      <c r="D88" s="126">
        <f>C88/2</f>
        <v>1.1500000000000021</v>
      </c>
    </row>
    <row r="89" spans="1:4">
      <c r="A89" s="124">
        <v>505</v>
      </c>
      <c r="B89" s="128">
        <f>B88+D89</f>
        <v>59.669999999999995</v>
      </c>
      <c r="D89" s="6">
        <v>0.3</v>
      </c>
    </row>
    <row r="90" spans="1:4">
      <c r="A90" s="124">
        <v>510</v>
      </c>
      <c r="B90" s="131">
        <f>F70</f>
        <v>61.67</v>
      </c>
      <c r="C90" s="126">
        <f>B96-B90</f>
        <v>2.2899999999999991</v>
      </c>
      <c r="D90" s="129">
        <f>C90/6</f>
        <v>0.38166666666666654</v>
      </c>
    </row>
    <row r="91" spans="1:4">
      <c r="A91" s="124">
        <v>515</v>
      </c>
      <c r="B91" s="128">
        <f>B90+D91</f>
        <v>61.82</v>
      </c>
      <c r="D91" s="6">
        <v>0.15</v>
      </c>
    </row>
    <row r="92" spans="1:4">
      <c r="A92" s="124">
        <v>520</v>
      </c>
      <c r="B92" s="128">
        <f>B91+D92</f>
        <v>61.95</v>
      </c>
      <c r="D92" s="6">
        <v>0.13</v>
      </c>
    </row>
    <row r="93" spans="1:4">
      <c r="A93" s="124">
        <v>525</v>
      </c>
      <c r="B93" s="128">
        <f>B92+D93</f>
        <v>62.06</v>
      </c>
      <c r="D93" s="6">
        <v>0.11</v>
      </c>
    </row>
    <row r="94" spans="1:4">
      <c r="A94" s="124">
        <v>530</v>
      </c>
      <c r="B94" s="128">
        <f>B93+D94</f>
        <v>62.14</v>
      </c>
      <c r="D94" s="6">
        <v>0.08</v>
      </c>
    </row>
    <row r="95" spans="1:4">
      <c r="A95" s="124">
        <v>535</v>
      </c>
      <c r="B95" s="128">
        <f>B94+D95</f>
        <v>62.21</v>
      </c>
      <c r="D95" s="6">
        <v>7.0000000000000007E-2</v>
      </c>
    </row>
    <row r="96" spans="1:4">
      <c r="A96" s="124">
        <v>540</v>
      </c>
      <c r="B96" s="131">
        <f>F71</f>
        <v>63.96</v>
      </c>
      <c r="C96" s="126">
        <f>B100-B96</f>
        <v>2.3000000000000043</v>
      </c>
      <c r="D96" s="126">
        <f>C96/4</f>
        <v>0.57500000000000107</v>
      </c>
    </row>
    <row r="97" spans="1:4">
      <c r="A97" s="124">
        <v>555</v>
      </c>
      <c r="B97" s="128">
        <f>B96+D97</f>
        <v>64.150000000000006</v>
      </c>
      <c r="D97" s="6">
        <v>0.19</v>
      </c>
    </row>
    <row r="98" spans="1:4">
      <c r="A98" s="124">
        <v>570</v>
      </c>
      <c r="B98" s="128">
        <f>B97+D98</f>
        <v>64.31</v>
      </c>
      <c r="D98" s="6">
        <v>0.16</v>
      </c>
    </row>
    <row r="99" spans="1:4">
      <c r="A99" s="124">
        <v>585</v>
      </c>
      <c r="B99" s="128">
        <f>B98+D99</f>
        <v>64.45</v>
      </c>
      <c r="D99" s="6">
        <v>0.14000000000000001</v>
      </c>
    </row>
    <row r="100" spans="1:4">
      <c r="A100" s="125">
        <v>600</v>
      </c>
      <c r="B100" s="66">
        <f>F72</f>
        <v>66.260000000000005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R26" sqref="R26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5" s="210" customFormat="1">
      <c r="A2" s="278" t="s">
        <v>0</v>
      </c>
      <c r="B2" s="278" t="s">
        <v>244</v>
      </c>
      <c r="C2" s="4"/>
      <c r="D2" s="214">
        <f>D19</f>
        <v>84</v>
      </c>
      <c r="E2" s="3">
        <f>M51/3</f>
        <v>50</v>
      </c>
      <c r="F2" s="279" t="s">
        <v>2</v>
      </c>
      <c r="G2" s="3" t="s">
        <v>3</v>
      </c>
    </row>
    <row r="3" spans="1:15" s="210" customFormat="1">
      <c r="A3" s="215">
        <f>B3+$M$48</f>
        <v>29.09</v>
      </c>
      <c r="B3" s="299">
        <f>B20</f>
        <v>23.97</v>
      </c>
      <c r="C3" s="216"/>
      <c r="D3" s="300">
        <f t="shared" ref="D3:D7" si="0">D20</f>
        <v>94</v>
      </c>
      <c r="E3" s="4">
        <f>D3/12</f>
        <v>7.833333333333333</v>
      </c>
      <c r="F3" s="217">
        <f>INT(B3/D3*1000)/1000</f>
        <v>0.255</v>
      </c>
      <c r="G3" s="217">
        <f>1/F3</f>
        <v>3.9215686274509802</v>
      </c>
    </row>
    <row r="4" spans="1:15" s="210" customFormat="1">
      <c r="A4" s="215">
        <f>B4+$M$48</f>
        <v>37.08</v>
      </c>
      <c r="B4" s="216">
        <f>B21</f>
        <v>31.96</v>
      </c>
      <c r="C4" s="216"/>
      <c r="D4" s="214">
        <f t="shared" si="0"/>
        <v>120</v>
      </c>
      <c r="E4" s="4">
        <f>D4/12</f>
        <v>10</v>
      </c>
      <c r="F4" s="217">
        <f>INT(B4/D4*1000)/1000</f>
        <v>0.26600000000000001</v>
      </c>
      <c r="G4" s="217">
        <f t="shared" ref="G4:G7" si="1">1/F4</f>
        <v>3.7593984962406015</v>
      </c>
    </row>
    <row r="5" spans="1:15" s="210" customFormat="1">
      <c r="A5" s="215">
        <f>B5+$M$48</f>
        <v>46.07</v>
      </c>
      <c r="B5" s="216">
        <f>B22</f>
        <v>40.950000000000003</v>
      </c>
      <c r="C5" s="216"/>
      <c r="D5" s="214">
        <f t="shared" si="0"/>
        <v>146.19999999999999</v>
      </c>
      <c r="E5" s="4">
        <f>D5/12</f>
        <v>12.183333333333332</v>
      </c>
      <c r="F5" s="217">
        <f>INT(B5/D5*1000)/1000</f>
        <v>0.28000000000000003</v>
      </c>
      <c r="G5" s="217">
        <f t="shared" si="1"/>
        <v>3.5714285714285712</v>
      </c>
    </row>
    <row r="6" spans="1:15" s="210" customFormat="1">
      <c r="A6" s="215">
        <f>B6+$M$48</f>
        <v>56.089999999999996</v>
      </c>
      <c r="B6" s="299">
        <f>B23</f>
        <v>50.97</v>
      </c>
      <c r="C6" s="216"/>
      <c r="D6" s="214">
        <f>D23</f>
        <v>172</v>
      </c>
      <c r="E6" s="4">
        <f>D6/12</f>
        <v>14.333333333333334</v>
      </c>
      <c r="F6" s="217">
        <f>INT(B6/D6*1000)/1000</f>
        <v>0.29599999999999999</v>
      </c>
      <c r="G6" s="217">
        <f t="shared" si="1"/>
        <v>3.3783783783783785</v>
      </c>
    </row>
    <row r="7" spans="1:15" s="210" customFormat="1">
      <c r="A7" s="215">
        <f>B7+$M$48</f>
        <v>71.38000000000001</v>
      </c>
      <c r="B7" s="216">
        <f>B24</f>
        <v>66.260000000000005</v>
      </c>
      <c r="C7" s="216"/>
      <c r="D7" s="214">
        <f t="shared" si="0"/>
        <v>197.79999999999998</v>
      </c>
      <c r="E7" s="4">
        <f>D7/12</f>
        <v>16.483333333333331</v>
      </c>
      <c r="F7" s="217">
        <f>INT(B7/D7*1000)/1000</f>
        <v>0.33400000000000002</v>
      </c>
      <c r="G7" s="217">
        <f t="shared" si="1"/>
        <v>2.9940119760479038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3.9215686274509807</v>
      </c>
      <c r="B10" s="219">
        <f>B20/D20</f>
        <v>0.255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2">D21/B21</f>
        <v>3.7546933667083855</v>
      </c>
      <c r="B11" s="219">
        <f t="shared" ref="B11:B14" si="3">B21/D21</f>
        <v>0.26633333333333337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2"/>
        <v>3.5702075702075695</v>
      </c>
      <c r="B12" s="219">
        <f t="shared" si="3"/>
        <v>0.28009575923392616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2"/>
        <v>3.3745340396311558</v>
      </c>
      <c r="B13" s="219">
        <f t="shared" si="3"/>
        <v>0.2963372093023256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2"/>
        <v>2.9852097796559005</v>
      </c>
      <c r="B14" s="219">
        <f t="shared" si="3"/>
        <v>0.33498483316481298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50.97</v>
      </c>
      <c r="C17" s="4"/>
      <c r="D17" s="284">
        <f>M47</f>
        <v>172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84</v>
      </c>
      <c r="E19" s="4"/>
      <c r="F19" s="216"/>
      <c r="G19" s="216"/>
    </row>
    <row r="20" spans="1:21" s="210" customFormat="1">
      <c r="A20" s="278" t="s">
        <v>250</v>
      </c>
      <c r="B20" s="223">
        <f>INT(B$17*C20*100)/100</f>
        <v>23.97</v>
      </c>
      <c r="C20" s="4">
        <f>0.48*E9</f>
        <v>0.47039999999999998</v>
      </c>
      <c r="D20" s="241">
        <f>INT(D$17*E20)</f>
        <v>94</v>
      </c>
      <c r="E20" s="285">
        <f>0.55*E14</f>
        <v>0.55000000000000004</v>
      </c>
      <c r="F20" s="217">
        <f>B20/D20</f>
        <v>0.255</v>
      </c>
      <c r="G20" s="4">
        <f>F20-F19</f>
        <v>0.255</v>
      </c>
    </row>
    <row r="21" spans="1:21" s="210" customFormat="1" ht="16.5">
      <c r="A21" s="216">
        <f>B21-B20</f>
        <v>7.990000000000002</v>
      </c>
      <c r="B21" s="223">
        <f>INT(B$17*C21*100)/100</f>
        <v>31.96</v>
      </c>
      <c r="C21" s="4">
        <f>0.64*E10</f>
        <v>0.62719999999999998</v>
      </c>
      <c r="D21" s="241">
        <f>INT(D$17*E21)</f>
        <v>120</v>
      </c>
      <c r="E21" s="285">
        <f>0.7*E15</f>
        <v>0.7</v>
      </c>
      <c r="F21" s="217">
        <f>B21/D21</f>
        <v>0.26633333333333337</v>
      </c>
      <c r="G21" s="4">
        <f>F21-F20</f>
        <v>1.1333333333333362E-2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8.990000000000002</v>
      </c>
      <c r="B22" s="223">
        <f>INT(B$17*C22*100)/100</f>
        <v>40.950000000000003</v>
      </c>
      <c r="C22" s="4">
        <f>0.82*E11</f>
        <v>0.80359999999999998</v>
      </c>
      <c r="D22" s="242">
        <f>(D$17*E22)</f>
        <v>146.19999999999999</v>
      </c>
      <c r="E22" s="285">
        <f>0.85*E16</f>
        <v>0.85</v>
      </c>
      <c r="F22" s="217">
        <f>B22/D22</f>
        <v>0.28009575923392616</v>
      </c>
      <c r="G22" s="4">
        <f>F22-F21</f>
        <v>1.376242590059279E-2</v>
      </c>
    </row>
    <row r="23" spans="1:21" s="210" customFormat="1">
      <c r="A23" s="216">
        <f>B23-B22</f>
        <v>10.019999999999996</v>
      </c>
      <c r="B23" s="223">
        <f>INT(B$17*C23*100)/100</f>
        <v>50.97</v>
      </c>
      <c r="C23" s="4">
        <v>1</v>
      </c>
      <c r="D23" s="241">
        <f>D$17*E23</f>
        <v>172</v>
      </c>
      <c r="E23" s="283">
        <v>1</v>
      </c>
      <c r="F23" s="217">
        <f>B23/D23</f>
        <v>0.2963372093023256</v>
      </c>
      <c r="G23" s="4">
        <f>F23-F22</f>
        <v>1.6241450068399443E-2</v>
      </c>
      <c r="O23" s="225"/>
      <c r="Q23" s="225"/>
      <c r="S23" s="225"/>
      <c r="U23" s="225"/>
    </row>
    <row r="24" spans="1:21" s="210" customFormat="1">
      <c r="A24" s="216">
        <f>B24-B23</f>
        <v>15.290000000000006</v>
      </c>
      <c r="B24" s="223">
        <f>INT(B$17*C24*100)/100</f>
        <v>66.260000000000005</v>
      </c>
      <c r="C24" s="4">
        <f>1.3*E12</f>
        <v>1.3</v>
      </c>
      <c r="D24" s="241">
        <f>D$17*E24</f>
        <v>197.79999999999998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0.33498483316481298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150</v>
      </c>
      <c r="D26" s="4"/>
      <c r="E26" s="4"/>
      <c r="F26" s="228">
        <f>M50/M51</f>
        <v>0.38186666666666669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155.43861573077609</v>
      </c>
      <c r="D27" s="216">
        <f>(C27/D6)*100</f>
        <v>90.371288215567489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5.2939999999999997E-4</v>
      </c>
      <c r="B31" s="277">
        <v>0.20400280000000001</v>
      </c>
      <c r="C31" s="4"/>
      <c r="D31" s="214">
        <f t="shared" ref="D31:D36" si="4">D19</f>
        <v>84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5.2939999999999997E-4</v>
      </c>
      <c r="B32" s="4">
        <f t="shared" si="5"/>
        <v>0.20400280000000001</v>
      </c>
      <c r="C32" s="4"/>
      <c r="D32" s="214">
        <f t="shared" si="4"/>
        <v>94</v>
      </c>
      <c r="E32" s="4"/>
      <c r="F32" s="230">
        <f>B32*D32/(B32*D32+A32*D32*D32)*100</f>
        <v>80.389996469193719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5.2939999999999997E-4</v>
      </c>
      <c r="B33" s="4">
        <f t="shared" si="5"/>
        <v>0.20400280000000001</v>
      </c>
      <c r="C33" s="4"/>
      <c r="D33" s="214">
        <f t="shared" si="4"/>
        <v>120</v>
      </c>
      <c r="E33" s="4"/>
      <c r="F33" s="230">
        <f>B33*D33/(B33*D33+A33*D33*D33)*100</f>
        <v>76.25394907801271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5.2939999999999997E-4</v>
      </c>
      <c r="B34" s="4">
        <f t="shared" si="5"/>
        <v>0.20400280000000001</v>
      </c>
      <c r="C34" s="4"/>
      <c r="D34" s="214">
        <f t="shared" si="4"/>
        <v>146.19999999999999</v>
      </c>
      <c r="E34" s="4"/>
      <c r="F34" s="230">
        <f>B34*D34/(B34*D34+A34*D34*D34)*100</f>
        <v>72.495386300578531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5.2939999999999997E-4</v>
      </c>
      <c r="B35" s="4">
        <f>B34</f>
        <v>0.20400280000000001</v>
      </c>
      <c r="C35" s="4"/>
      <c r="D35" s="214">
        <f t="shared" si="4"/>
        <v>172</v>
      </c>
      <c r="E35" s="4"/>
      <c r="F35" s="230">
        <f>B35*D35/(B35*D35+A35*D35*D35)*100</f>
        <v>69.139522998065473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197.79999999999998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74.569713711462612</v>
      </c>
      <c r="G37" s="4"/>
      <c r="P37" s="263">
        <v>5.2939999999999997E-4</v>
      </c>
      <c r="Q37" s="263">
        <v>0.14399999999999999</v>
      </c>
    </row>
    <row r="38" spans="1:21" s="210" customFormat="1" ht="13.5" customHeight="1">
      <c r="A38" s="286">
        <v>72.15100000000001</v>
      </c>
      <c r="B38" s="277">
        <v>0.14399999999999999</v>
      </c>
      <c r="C38" s="277">
        <v>93.751000000000005</v>
      </c>
      <c r="D38" s="4"/>
      <c r="E38" s="4" t="s">
        <v>21</v>
      </c>
      <c r="F38" s="4"/>
      <c r="G38" s="4"/>
      <c r="P38" s="263">
        <v>0.20400280000000001</v>
      </c>
      <c r="Q38" s="263">
        <v>93.751000000000005</v>
      </c>
    </row>
    <row r="39" spans="1:21" s="210" customFormat="1" ht="13.5" customHeight="1">
      <c r="A39" s="211"/>
      <c r="B39" s="4" t="s">
        <v>22</v>
      </c>
      <c r="C39" s="216">
        <f>(C38-A38)/B38</f>
        <v>149.99999999999997</v>
      </c>
      <c r="D39" s="4">
        <f>C38-B38*M51</f>
        <v>72.15100000000001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258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259</v>
      </c>
      <c r="J45" s="447"/>
      <c r="K45" s="448"/>
      <c r="L45" s="267" t="s">
        <v>34</v>
      </c>
      <c r="M45" s="272">
        <v>200</v>
      </c>
      <c r="N45" s="272">
        <f>M44</f>
        <v>250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0.20400280000000001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260</v>
      </c>
      <c r="J46" s="438"/>
      <c r="K46" s="439"/>
      <c r="L46" s="267" t="s">
        <v>38</v>
      </c>
      <c r="M46" s="235">
        <f>IF(I52&gt;M48, M45-I52,M45-M48)</f>
        <v>188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262</v>
      </c>
      <c r="J47" s="450"/>
      <c r="K47" s="451"/>
      <c r="L47" s="267" t="s">
        <v>42</v>
      </c>
      <c r="M47" s="236">
        <f>INT((M51*100)/M53)</f>
        <v>172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219</v>
      </c>
      <c r="K48" s="441"/>
      <c r="L48" s="267" t="s">
        <v>44</v>
      </c>
      <c r="M48" s="273">
        <v>5.12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호수공원</v>
      </c>
      <c r="J49" s="442"/>
      <c r="K49" s="442"/>
      <c r="L49" s="267" t="s">
        <v>48</v>
      </c>
      <c r="M49" s="273">
        <v>62.4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57.28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150</v>
      </c>
      <c r="N51" s="12"/>
      <c r="O51" s="210">
        <f>M51</f>
        <v>150</v>
      </c>
      <c r="P51" s="208">
        <f>ROUND((O51/O52)*100,1)</f>
        <v>172.4</v>
      </c>
    </row>
    <row r="52" spans="1:24" s="210" customFormat="1" ht="16.5">
      <c r="A52" s="211" t="s">
        <v>53</v>
      </c>
      <c r="B52" s="408">
        <f>INT(10^((INT(5.46*A44*A46*1000))/1000)*1000)/1000</f>
        <v>6.1376200516479673E+44</v>
      </c>
      <c r="C52" s="408">
        <f>INT(B52*B51*1000)/1000</f>
        <v>3.0688100258239837E+41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50.97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249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57.28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0.24159574468085107</v>
      </c>
      <c r="J58" s="265" t="s">
        <v>69</v>
      </c>
      <c r="K58" s="397">
        <f>INT((6*I57*I58*I60/I59)^0.5)</f>
        <v>16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20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18.113637503862758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20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236</v>
      </c>
      <c r="R64" s="288" t="s">
        <v>238</v>
      </c>
      <c r="S64" s="288" t="s">
        <v>239</v>
      </c>
      <c r="T64" s="288" t="s">
        <v>240</v>
      </c>
      <c r="U64" s="288" t="s">
        <v>241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R20" sqref="R20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호수공원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서산시 읍내동 40번지(호수공원)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3.9230466098093886</v>
      </c>
      <c r="C4" s="320">
        <f>LongTest!B10</f>
        <v>150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0.20400280000000001</v>
      </c>
      <c r="I4" s="315">
        <f>Input!M48</f>
        <v>5.12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1.7010000000000001</v>
      </c>
      <c r="E5" s="318" t="s">
        <v>243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0.2795222547976513</v>
      </c>
      <c r="D6" s="246"/>
      <c r="E6" s="245">
        <f>1.15*LOG((2.25*D5*(1/1440))/(F4*E4^2))</f>
        <v>2.9114944556680324</v>
      </c>
      <c r="F6" s="247" t="s">
        <v>121</v>
      </c>
      <c r="G6" s="428">
        <f>C6-E6</f>
        <v>-2.631972200870381</v>
      </c>
      <c r="H6" s="36"/>
      <c r="I6" s="315">
        <f>Input!M49</f>
        <v>62.4</v>
      </c>
      <c r="J6" s="308">
        <f>MAX(C13,C18,C23)</f>
        <v>86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5.823332170968349E-2</v>
      </c>
      <c r="G7" s="248" t="s">
        <v>124</v>
      </c>
      <c r="H7" s="36">
        <f>F4*EXP(4*G4*D4*H4)</f>
        <v>5.8106879051951728E-2</v>
      </c>
      <c r="I7" s="323" t="s">
        <v>125</v>
      </c>
      <c r="J7" s="309">
        <f>ROUND((C13+C18+C23)/3,1)</f>
        <v>78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1.738</v>
      </c>
      <c r="D8" s="252"/>
      <c r="E8" s="252"/>
      <c r="F8" s="253"/>
      <c r="G8" s="252"/>
      <c r="H8" s="254"/>
      <c r="I8" s="324">
        <f>Input!M45</f>
        <v>200</v>
      </c>
      <c r="J8" s="304" t="s">
        <v>246</v>
      </c>
      <c r="K8" s="310">
        <f>ROUND(SQRT(C7/F7),4)</f>
        <v>2.4439000000000002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247</v>
      </c>
      <c r="K9" s="311">
        <f>ROUND(SQRT(C7/H7),4)</f>
        <v>2.4466000000000001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7.3669872175887692</v>
      </c>
      <c r="D10" s="25" t="s">
        <v>242</v>
      </c>
      <c r="E10" s="301">
        <v>7.8950000000000006E-2</v>
      </c>
      <c r="H10" s="255" t="s">
        <v>214</v>
      </c>
      <c r="I10" s="261">
        <f>Input!I52</f>
        <v>12</v>
      </c>
      <c r="J10" s="305" t="s">
        <v>248</v>
      </c>
      <c r="K10" s="312">
        <f>ROUND(E4*SQRT(E10/F4),4)</f>
        <v>1.5707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55.033012782411227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70.2</v>
      </c>
      <c r="D13" s="26"/>
      <c r="E13" s="430" t="s">
        <v>257</v>
      </c>
      <c r="F13" s="331">
        <f>D5</f>
        <v>1.7010000000000001</v>
      </c>
      <c r="G13" s="430" t="s">
        <v>256</v>
      </c>
      <c r="H13" s="302">
        <v>1.41</v>
      </c>
      <c r="I13" s="329">
        <v>51.36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255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57.28</v>
      </c>
      <c r="C16" s="256">
        <f>I8-IF(I4&gt;I10,I4,I10)</f>
        <v>188</v>
      </c>
      <c r="D16" s="258">
        <f>(F13+H13)/2</f>
        <v>1.5554999999999999</v>
      </c>
      <c r="E16" s="31">
        <f>INT(D16/C16*100000)/100000</f>
        <v>8.2699999999999996E-3</v>
      </c>
      <c r="F16" s="32">
        <v>1440</v>
      </c>
      <c r="G16" s="260">
        <v>1020</v>
      </c>
      <c r="H16" s="258">
        <f>INT(G16/F16*10000)/10000</f>
        <v>0.70830000000000004</v>
      </c>
      <c r="I16" s="303">
        <v>4.0840000000000001E-4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86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245</v>
      </c>
      <c r="O20" s="15"/>
    </row>
    <row r="21" spans="1:15" ht="22.7" customHeight="1" thickBot="1">
      <c r="A21" s="15"/>
      <c r="B21" s="37">
        <f t="shared" ref="B21:I21" si="0">B16</f>
        <v>57.28</v>
      </c>
      <c r="C21" s="257">
        <f t="shared" si="0"/>
        <v>188</v>
      </c>
      <c r="D21" s="32">
        <f t="shared" si="0"/>
        <v>1.5554999999999999</v>
      </c>
      <c r="E21" s="258">
        <f t="shared" si="0"/>
        <v>8.2699999999999996E-3</v>
      </c>
      <c r="F21" s="32">
        <f t="shared" si="0"/>
        <v>1440</v>
      </c>
      <c r="G21" s="32">
        <f>G16</f>
        <v>1020</v>
      </c>
      <c r="H21" s="32">
        <f t="shared" si="0"/>
        <v>0.70830000000000004</v>
      </c>
      <c r="I21" s="38">
        <f t="shared" si="0"/>
        <v>4.0840000000000001E-4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77.900000000000006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57.28</v>
      </c>
      <c r="C26" s="32">
        <f t="shared" si="1"/>
        <v>188</v>
      </c>
      <c r="D26" s="32">
        <f t="shared" si="1"/>
        <v>1.5554999999999999</v>
      </c>
      <c r="E26" s="31">
        <f t="shared" si="1"/>
        <v>8.2699999999999996E-3</v>
      </c>
      <c r="F26" s="32">
        <f t="shared" si="1"/>
        <v>1440</v>
      </c>
      <c r="G26" s="32">
        <f t="shared" si="1"/>
        <v>1020</v>
      </c>
      <c r="H26" s="258">
        <f>INT(G16/F16*10000)/10000</f>
        <v>0.70830000000000004</v>
      </c>
      <c r="I26" s="38">
        <f t="shared" si="1"/>
        <v>4.0840000000000001E-4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1.5554999999999999</v>
      </c>
      <c r="D28" s="426">
        <f>(C28/C16)*(100/86400)</f>
        <v>9.576315011820329E-6</v>
      </c>
      <c r="E28" s="205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4.0840000000000001E-4</v>
      </c>
      <c r="D29" s="16">
        <f>(C28*100)/(C16*86400)</f>
        <v>9.5763150118203307E-6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78.033333333333331</v>
      </c>
      <c r="D30" s="15"/>
      <c r="E30" s="420">
        <f>(C13+C18)/2</f>
        <v>78.099999999999994</v>
      </c>
      <c r="F30" s="421">
        <f>MAX(C13,C18)</f>
        <v>86</v>
      </c>
      <c r="G30" s="422">
        <f>ROUND(C4/(G4*F30^2*I16),3)</f>
        <v>15.807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94</v>
      </c>
    </row>
    <row r="3" spans="1:2" ht="20.100000000000001" customHeight="1">
      <c r="A3" s="43" t="s">
        <v>146</v>
      </c>
      <c r="B3" s="199">
        <f>StepTest!G31</f>
        <v>23.97</v>
      </c>
    </row>
    <row r="4" spans="1:2" ht="20.100000000000001" customHeight="1">
      <c r="A4" s="43" t="s">
        <v>147</v>
      </c>
      <c r="B4" s="200">
        <f>StepTest!G46</f>
        <v>50.97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155.43861573077609</v>
      </c>
    </row>
    <row r="8" spans="1:2" ht="20.100000000000001" customHeight="1">
      <c r="A8" s="43" t="s">
        <v>150</v>
      </c>
      <c r="B8" s="200">
        <f>INT(B7)</f>
        <v>155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0.90116279069767447</v>
      </c>
    </row>
    <row r="12" spans="1:2" ht="17.25" thickBot="1"/>
    <row r="13" spans="1:2" ht="24.95" customHeight="1">
      <c r="A13" s="45" t="s">
        <v>151</v>
      </c>
      <c r="B13" s="202">
        <f>Input!$D$6</f>
        <v>172</v>
      </c>
    </row>
    <row r="14" spans="1:2" ht="24.95" customHeight="1">
      <c r="A14" s="46" t="s">
        <v>52</v>
      </c>
      <c r="B14" s="203">
        <f>B8</f>
        <v>155</v>
      </c>
    </row>
    <row r="15" spans="1:2" ht="24.95" customHeight="1" thickBot="1">
      <c r="A15" s="47" t="s">
        <v>152</v>
      </c>
      <c r="B15" s="20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중앙호수공원 지하수 사후관리 및 영향조사 용역</v>
      </c>
      <c r="D4" s="347"/>
      <c r="E4" s="347"/>
      <c r="F4" s="347"/>
      <c r="G4" s="347"/>
      <c r="H4" s="348"/>
      <c r="I4" s="349"/>
      <c r="P4" s="52">
        <v>1</v>
      </c>
      <c r="Q4" s="416">
        <v>-1.2200000000000002</v>
      </c>
      <c r="R4" s="56">
        <f>B12</f>
        <v>94</v>
      </c>
      <c r="S4" s="52">
        <f>$R$4</f>
        <v>94</v>
      </c>
      <c r="T4" s="344">
        <v>1.5576214228834944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27.54177188880702</v>
      </c>
      <c r="Z4" s="59">
        <f>Z22</f>
        <v>26.537290816668481</v>
      </c>
      <c r="AA4" s="58">
        <f>$Z$4</f>
        <v>26.537290816668481</v>
      </c>
      <c r="AB4" s="58">
        <f>X4</f>
        <v>1</v>
      </c>
      <c r="AC4" s="58">
        <f>Y4-AA4</f>
        <v>1.0044810721385389</v>
      </c>
      <c r="AD4" s="60">
        <f>INT((AC4-AE4)*100)/100</f>
        <v>2.2200000000000002</v>
      </c>
      <c r="AE4" s="61">
        <f>Q4</f>
        <v>-1.2200000000000002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호수공원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94</v>
      </c>
      <c r="T5" s="52">
        <f>$T4</f>
        <v>1.5576214228834944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30.866787481563506</v>
      </c>
      <c r="AA5" s="58">
        <f t="shared" ref="AA5:AA23" si="5">$Z$4</f>
        <v>26.537290816668481</v>
      </c>
      <c r="AB5" s="58">
        <f t="shared" ref="AB5:AB43" si="6">X5</f>
        <v>2</v>
      </c>
      <c r="AC5" s="58">
        <f t="shared" ref="AC5:AC43" si="7">Y5-AA5</f>
        <v>4.329496664895025</v>
      </c>
      <c r="AD5" s="60">
        <f t="shared" ref="AD5:AD16" si="8">INT((AC5-AE5)*100)/100</f>
        <v>4.32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서산시 읍내동 40번지(호수공원)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94</v>
      </c>
      <c r="T6" s="52">
        <f t="shared" ref="T6:T51" si="10">$T5</f>
        <v>1.5576214228834944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32.811796917639171</v>
      </c>
      <c r="AA6" s="58">
        <f t="shared" si="5"/>
        <v>26.537290816668481</v>
      </c>
      <c r="AB6" s="58">
        <f t="shared" si="6"/>
        <v>3</v>
      </c>
      <c r="AC6" s="58">
        <f t="shared" si="7"/>
        <v>6.2745061009706902</v>
      </c>
      <c r="AD6" s="60">
        <f t="shared" si="8"/>
        <v>6.27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(합)수도건설</v>
      </c>
      <c r="D7" s="356"/>
      <c r="E7" s="347"/>
      <c r="F7" s="357"/>
      <c r="G7" s="358" t="str">
        <f>Input!I49</f>
        <v>호수공원</v>
      </c>
      <c r="H7" s="359"/>
      <c r="I7" s="360"/>
      <c r="P7" s="52">
        <v>4</v>
      </c>
      <c r="Q7" s="416"/>
      <c r="S7" s="52">
        <f t="shared" si="3"/>
        <v>94</v>
      </c>
      <c r="T7" s="52">
        <f t="shared" si="10"/>
        <v>1.5576214228834944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34.191803074319992</v>
      </c>
      <c r="AA7" s="58">
        <f t="shared" si="5"/>
        <v>26.537290816668481</v>
      </c>
      <c r="AB7" s="58">
        <f t="shared" si="6"/>
        <v>4</v>
      </c>
      <c r="AC7" s="58">
        <f t="shared" si="7"/>
        <v>7.6545122576515112</v>
      </c>
      <c r="AD7" s="60">
        <f t="shared" si="8"/>
        <v>7.65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호수공원</v>
      </c>
      <c r="H8" s="359"/>
      <c r="I8" s="363"/>
      <c r="K8" s="63"/>
      <c r="P8" s="52">
        <v>5</v>
      </c>
      <c r="Q8" s="416"/>
      <c r="S8" s="52">
        <f t="shared" si="3"/>
        <v>94</v>
      </c>
      <c r="T8" s="52">
        <f t="shared" si="10"/>
        <v>1.5576214228834944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35.262219009566863</v>
      </c>
      <c r="AA8" s="58">
        <f t="shared" si="5"/>
        <v>26.537290816668481</v>
      </c>
      <c r="AB8" s="58">
        <f t="shared" si="6"/>
        <v>5</v>
      </c>
      <c r="AC8" s="58">
        <f t="shared" si="7"/>
        <v>8.724928192898382</v>
      </c>
      <c r="AD8" s="60">
        <f t="shared" si="8"/>
        <v>8.7200000000000006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200</v>
      </c>
      <c r="H9" s="476"/>
      <c r="I9" s="345"/>
      <c r="P9" s="52">
        <v>10</v>
      </c>
      <c r="Q9" s="416"/>
      <c r="S9" s="52">
        <f t="shared" si="3"/>
        <v>94</v>
      </c>
      <c r="T9" s="52">
        <f t="shared" si="10"/>
        <v>1.5576214228834944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38.587234602323349</v>
      </c>
      <c r="AA9" s="58">
        <f t="shared" si="5"/>
        <v>26.537290816668481</v>
      </c>
      <c r="AB9" s="58">
        <f t="shared" si="6"/>
        <v>10</v>
      </c>
      <c r="AC9" s="58">
        <f t="shared" si="7"/>
        <v>12.049943785654868</v>
      </c>
      <c r="AD9" s="60">
        <f t="shared" si="8"/>
        <v>12.04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5.12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94</v>
      </c>
      <c r="T10" s="52">
        <f t="shared" si="10"/>
        <v>1.5576214228834944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40.532244038399021</v>
      </c>
      <c r="AA10" s="58">
        <f t="shared" si="5"/>
        <v>26.537290816668481</v>
      </c>
      <c r="AB10" s="58">
        <f t="shared" si="6"/>
        <v>15</v>
      </c>
      <c r="AC10" s="58">
        <f t="shared" si="7"/>
        <v>13.99495322173054</v>
      </c>
      <c r="AD10" s="60">
        <f t="shared" si="8"/>
        <v>13.99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0.12000000000000011</v>
      </c>
      <c r="P11" s="52">
        <v>20</v>
      </c>
      <c r="Q11" s="416"/>
      <c r="S11" s="52">
        <f t="shared" si="3"/>
        <v>94</v>
      </c>
      <c r="T11" s="52">
        <f t="shared" si="10"/>
        <v>1.5576214228834944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41.912250195079835</v>
      </c>
      <c r="AA11" s="58">
        <f t="shared" si="5"/>
        <v>26.537290816668481</v>
      </c>
      <c r="AB11" s="58">
        <f t="shared" si="6"/>
        <v>20</v>
      </c>
      <c r="AC11" s="58">
        <f t="shared" si="7"/>
        <v>15.374959378411354</v>
      </c>
      <c r="AD11" s="60">
        <f t="shared" si="8"/>
        <v>15.37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94</v>
      </c>
      <c r="C12" s="369">
        <v>44992.479166666664</v>
      </c>
      <c r="D12" s="469">
        <v>1</v>
      </c>
      <c r="E12" s="469"/>
      <c r="F12" s="370">
        <f>G12+$D$10</f>
        <v>7.34</v>
      </c>
      <c r="G12" s="470">
        <f>AD4</f>
        <v>2.2200000000000002</v>
      </c>
      <c r="H12" s="470"/>
      <c r="I12" s="345" t="s">
        <v>177</v>
      </c>
      <c r="J12" s="65"/>
      <c r="P12" s="52">
        <v>25</v>
      </c>
      <c r="Q12" s="416"/>
      <c r="S12" s="52">
        <f t="shared" si="3"/>
        <v>94</v>
      </c>
      <c r="T12" s="52">
        <f t="shared" si="10"/>
        <v>1.5576214228834944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42.982666130326699</v>
      </c>
      <c r="AA12" s="58">
        <f t="shared" si="5"/>
        <v>26.537290816668481</v>
      </c>
      <c r="AB12" s="58">
        <f t="shared" si="6"/>
        <v>25</v>
      </c>
      <c r="AC12" s="58">
        <f t="shared" si="7"/>
        <v>16.445375313658218</v>
      </c>
      <c r="AD12" s="60">
        <f t="shared" si="8"/>
        <v>16.440000000000001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9.4400000000000013</v>
      </c>
      <c r="G13" s="470">
        <f t="shared" ref="G13:G51" si="14">AD5</f>
        <v>4.32</v>
      </c>
      <c r="H13" s="470"/>
      <c r="I13" s="371"/>
      <c r="J13" s="372">
        <f>G13-G12</f>
        <v>2.1</v>
      </c>
      <c r="P13" s="52">
        <v>30</v>
      </c>
      <c r="Q13" s="416"/>
      <c r="S13" s="52">
        <f t="shared" si="3"/>
        <v>94</v>
      </c>
      <c r="T13" s="52">
        <f t="shared" si="10"/>
        <v>1.5576214228834944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43.8572596311555</v>
      </c>
      <c r="AA13" s="58">
        <f t="shared" si="5"/>
        <v>26.537290816668481</v>
      </c>
      <c r="AB13" s="58">
        <f t="shared" si="6"/>
        <v>30</v>
      </c>
      <c r="AC13" s="58">
        <f t="shared" si="7"/>
        <v>17.319968814487019</v>
      </c>
      <c r="AD13" s="60">
        <f t="shared" si="8"/>
        <v>17.309999999999999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11.39</v>
      </c>
      <c r="G14" s="470">
        <f t="shared" si="14"/>
        <v>6.27</v>
      </c>
      <c r="H14" s="470"/>
      <c r="I14" s="371"/>
      <c r="J14" s="372">
        <f t="shared" ref="J14:J51" si="15">G14-G13</f>
        <v>1.9499999999999993</v>
      </c>
      <c r="Q14" s="416"/>
      <c r="S14" s="52">
        <f t="shared" si="3"/>
        <v>94</v>
      </c>
      <c r="T14" s="52">
        <f t="shared" si="10"/>
        <v>1.5576214228834944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44.596717899810066</v>
      </c>
      <c r="AA14" s="58">
        <f t="shared" si="5"/>
        <v>26.537290816668481</v>
      </c>
      <c r="AB14" s="58">
        <f t="shared" si="6"/>
        <v>35</v>
      </c>
      <c r="AC14" s="58">
        <f t="shared" si="7"/>
        <v>18.059427083141586</v>
      </c>
      <c r="AD14" s="60">
        <f t="shared" si="8"/>
        <v>18.05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12.77</v>
      </c>
      <c r="G15" s="470">
        <f t="shared" si="14"/>
        <v>7.65</v>
      </c>
      <c r="H15" s="470"/>
      <c r="I15" s="371"/>
      <c r="J15" s="372">
        <f t="shared" si="15"/>
        <v>1.3800000000000008</v>
      </c>
      <c r="Q15" s="416"/>
      <c r="S15" s="52">
        <f t="shared" si="3"/>
        <v>94</v>
      </c>
      <c r="T15" s="52">
        <f t="shared" si="10"/>
        <v>1.5576214228834944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45.237265787836321</v>
      </c>
      <c r="AA15" s="58">
        <f t="shared" si="5"/>
        <v>26.537290816668481</v>
      </c>
      <c r="AB15" s="58">
        <f t="shared" si="6"/>
        <v>40</v>
      </c>
      <c r="AC15" s="58">
        <f t="shared" si="7"/>
        <v>18.69997497116784</v>
      </c>
      <c r="AD15" s="60">
        <f t="shared" si="8"/>
        <v>18.690000000000001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13.84</v>
      </c>
      <c r="G16" s="470">
        <f t="shared" si="14"/>
        <v>8.7200000000000006</v>
      </c>
      <c r="H16" s="470"/>
      <c r="I16" s="371"/>
      <c r="J16" s="372">
        <f t="shared" si="15"/>
        <v>1.0700000000000003</v>
      </c>
      <c r="K16" s="431" t="s">
        <v>253</v>
      </c>
      <c r="L16" s="432" t="s">
        <v>178</v>
      </c>
      <c r="M16" s="432" t="s">
        <v>179</v>
      </c>
      <c r="N16" s="432" t="s">
        <v>251</v>
      </c>
      <c r="O16" s="432" t="s">
        <v>252</v>
      </c>
      <c r="P16" s="432" t="s">
        <v>254</v>
      </c>
      <c r="S16" s="52">
        <f t="shared" si="3"/>
        <v>94</v>
      </c>
      <c r="T16" s="52">
        <f t="shared" si="10"/>
        <v>1.5576214228834944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45.80226906723118</v>
      </c>
      <c r="AA16" s="58">
        <f t="shared" si="5"/>
        <v>26.537290816668481</v>
      </c>
      <c r="AB16" s="58">
        <f t="shared" si="6"/>
        <v>45</v>
      </c>
      <c r="AC16" s="58">
        <f t="shared" si="7"/>
        <v>19.264978250562699</v>
      </c>
      <c r="AD16" s="60">
        <f t="shared" si="8"/>
        <v>19.260000000000002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17.16</v>
      </c>
      <c r="G17" s="470">
        <f t="shared" si="14"/>
        <v>12.04</v>
      </c>
      <c r="H17" s="470"/>
      <c r="I17" s="371"/>
      <c r="J17" s="372">
        <f t="shared" si="15"/>
        <v>3.3199999999999985</v>
      </c>
      <c r="K17" s="417">
        <f>D12</f>
        <v>1</v>
      </c>
      <c r="L17" s="418">
        <f>INT(B12/1440*10000)/10000</f>
        <v>6.5199999999999994E-2</v>
      </c>
      <c r="M17" s="418">
        <f>K17*L17</f>
        <v>6.5199999999999994E-2</v>
      </c>
      <c r="N17" s="418">
        <f>INT((D9/2000)^2*3.14159*100000)/100000</f>
        <v>4.9079999999999999E-2</v>
      </c>
      <c r="O17" s="418">
        <f>INT(M17/N17*100)/100</f>
        <v>1.32</v>
      </c>
      <c r="P17" s="419">
        <f>INT((G12-O17)*100)/100</f>
        <v>0.9</v>
      </c>
      <c r="S17" s="52">
        <f t="shared" si="3"/>
        <v>94</v>
      </c>
      <c r="T17" s="52">
        <f t="shared" si="10"/>
        <v>1.5576214228834944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46.307681723083185</v>
      </c>
      <c r="AA17" s="58">
        <f t="shared" si="5"/>
        <v>26.537290816668481</v>
      </c>
      <c r="AB17" s="58">
        <f t="shared" si="6"/>
        <v>50</v>
      </c>
      <c r="AC17" s="58">
        <f t="shared" si="7"/>
        <v>19.770390906414704</v>
      </c>
      <c r="AD17" s="60">
        <f t="shared" ref="AD17:AD22" si="16">INT(AC17*100)/100</f>
        <v>19.77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19.11</v>
      </c>
      <c r="G18" s="470">
        <f t="shared" si="14"/>
        <v>13.99</v>
      </c>
      <c r="H18" s="470"/>
      <c r="I18" s="371"/>
      <c r="J18" s="372">
        <f t="shared" si="15"/>
        <v>1.9500000000000011</v>
      </c>
      <c r="K18" s="417">
        <f>D13</f>
        <v>2</v>
      </c>
      <c r="L18" s="418">
        <f>L17</f>
        <v>6.5199999999999994E-2</v>
      </c>
      <c r="M18" s="418">
        <f t="shared" ref="M18:M32" si="17">K18*L18</f>
        <v>0.13039999999999999</v>
      </c>
      <c r="N18" s="418">
        <f>N17</f>
        <v>4.9079999999999999E-2</v>
      </c>
      <c r="O18" s="418">
        <f>INT(M18/N18*100)/100</f>
        <v>2.65</v>
      </c>
      <c r="P18" s="419">
        <f>INT((G13-O18)*100*0.98)/100</f>
        <v>1.63</v>
      </c>
      <c r="S18" s="52">
        <f t="shared" si="3"/>
        <v>94</v>
      </c>
      <c r="T18" s="52">
        <f t="shared" si="10"/>
        <v>1.5576214228834944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46.764883083610684</v>
      </c>
      <c r="AA18" s="58">
        <f t="shared" si="5"/>
        <v>26.537290816668481</v>
      </c>
      <c r="AB18" s="58">
        <f t="shared" si="6"/>
        <v>55</v>
      </c>
      <c r="AC18" s="58">
        <f t="shared" si="7"/>
        <v>20.227592266942203</v>
      </c>
      <c r="AD18" s="60">
        <f t="shared" si="16"/>
        <v>20.22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20.49</v>
      </c>
      <c r="G19" s="470">
        <f t="shared" si="14"/>
        <v>15.37</v>
      </c>
      <c r="H19" s="470"/>
      <c r="I19" s="371"/>
      <c r="J19" s="372">
        <f t="shared" si="15"/>
        <v>1.379999999999999</v>
      </c>
      <c r="K19" s="417">
        <f t="shared" ref="K19:K32" si="18">D14</f>
        <v>3</v>
      </c>
      <c r="L19" s="418">
        <f>L18</f>
        <v>6.5199999999999994E-2</v>
      </c>
      <c r="M19" s="418">
        <f t="shared" si="17"/>
        <v>0.1956</v>
      </c>
      <c r="N19" s="418">
        <f t="shared" ref="N19:N32" si="19">N18</f>
        <v>4.9079999999999999E-2</v>
      </c>
      <c r="O19" s="418">
        <f>INT(M19/N19*100)/100</f>
        <v>3.98</v>
      </c>
      <c r="P19" s="419">
        <f>INT((G14-O19)*100*0.95)/100</f>
        <v>2.17</v>
      </c>
      <c r="S19" s="52">
        <f t="shared" si="3"/>
        <v>94</v>
      </c>
      <c r="T19" s="52">
        <f t="shared" si="10"/>
        <v>1.5576214228834944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47.182275223911994</v>
      </c>
      <c r="AA19" s="58">
        <f t="shared" si="5"/>
        <v>26.537290816668481</v>
      </c>
      <c r="AB19" s="58">
        <f t="shared" si="6"/>
        <v>60</v>
      </c>
      <c r="AC19" s="58">
        <f t="shared" si="7"/>
        <v>20.644984407243513</v>
      </c>
      <c r="AD19" s="60">
        <f t="shared" si="16"/>
        <v>20.64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21.560000000000002</v>
      </c>
      <c r="G20" s="470">
        <f t="shared" si="14"/>
        <v>16.440000000000001</v>
      </c>
      <c r="H20" s="470"/>
      <c r="I20" s="371"/>
      <c r="J20" s="372">
        <f t="shared" si="15"/>
        <v>1.0700000000000021</v>
      </c>
      <c r="K20" s="417">
        <f t="shared" si="18"/>
        <v>4</v>
      </c>
      <c r="L20" s="418">
        <f>L19</f>
        <v>6.5199999999999994E-2</v>
      </c>
      <c r="M20" s="418">
        <f t="shared" si="17"/>
        <v>0.26079999999999998</v>
      </c>
      <c r="N20" s="418">
        <f t="shared" si="19"/>
        <v>4.9079999999999999E-2</v>
      </c>
      <c r="O20" s="418">
        <f>INT(M20/N20*100)/100</f>
        <v>5.31</v>
      </c>
      <c r="P20" s="419">
        <f>INT((G15-O20)*100*0.91)/100</f>
        <v>2.12</v>
      </c>
      <c r="S20" s="52">
        <f t="shared" si="3"/>
        <v>94</v>
      </c>
      <c r="T20" s="52">
        <f t="shared" si="10"/>
        <v>1.5576214228834944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48.252691159158857</v>
      </c>
      <c r="AA20" s="58">
        <f t="shared" si="5"/>
        <v>26.537290816668481</v>
      </c>
      <c r="AB20" s="58">
        <f t="shared" si="6"/>
        <v>75</v>
      </c>
      <c r="AC20" s="58">
        <f t="shared" si="7"/>
        <v>21.715400342490376</v>
      </c>
      <c r="AD20" s="60">
        <f t="shared" si="16"/>
        <v>21.71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22.43</v>
      </c>
      <c r="G21" s="470">
        <f t="shared" si="14"/>
        <v>17.309999999999999</v>
      </c>
      <c r="H21" s="470"/>
      <c r="I21" s="371"/>
      <c r="J21" s="372">
        <f t="shared" si="15"/>
        <v>0.86999999999999744</v>
      </c>
      <c r="K21" s="417">
        <f t="shared" si="18"/>
        <v>5</v>
      </c>
      <c r="L21" s="417">
        <f>L20</f>
        <v>6.5199999999999994E-2</v>
      </c>
      <c r="M21" s="418">
        <f t="shared" si="17"/>
        <v>0.32599999999999996</v>
      </c>
      <c r="N21" s="418">
        <f t="shared" si="19"/>
        <v>4.9079999999999999E-2</v>
      </c>
      <c r="O21" s="417">
        <f>INT(M21/N21*100)/100</f>
        <v>6.64</v>
      </c>
      <c r="P21" s="419">
        <f>INT((G16-O21)*100*0.86)/100</f>
        <v>1.78</v>
      </c>
      <c r="S21" s="52">
        <f t="shared" si="3"/>
        <v>94</v>
      </c>
      <c r="T21" s="52">
        <f t="shared" si="10"/>
        <v>1.5576214228834944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49.127284659987666</v>
      </c>
      <c r="AA21" s="58">
        <f t="shared" si="5"/>
        <v>26.537290816668481</v>
      </c>
      <c r="AB21" s="58">
        <f t="shared" si="6"/>
        <v>90</v>
      </c>
      <c r="AC21" s="58">
        <f t="shared" si="7"/>
        <v>22.589993843319185</v>
      </c>
      <c r="AD21" s="60">
        <f t="shared" si="16"/>
        <v>22.58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23.17</v>
      </c>
      <c r="G22" s="470">
        <f t="shared" si="14"/>
        <v>18.05</v>
      </c>
      <c r="H22" s="470"/>
      <c r="I22" s="345"/>
      <c r="J22" s="372">
        <f t="shared" si="15"/>
        <v>0.74000000000000199</v>
      </c>
      <c r="K22" s="417">
        <f t="shared" si="18"/>
        <v>10</v>
      </c>
      <c r="L22" s="417">
        <f t="shared" ref="L22:L32" si="20">L21</f>
        <v>6.5199999999999994E-2</v>
      </c>
      <c r="M22" s="418">
        <f t="shared" si="17"/>
        <v>0.65199999999999991</v>
      </c>
      <c r="N22" s="418">
        <f t="shared" si="19"/>
        <v>4.9079999999999999E-2</v>
      </c>
      <c r="O22" s="417">
        <f t="shared" ref="O22:O30" si="21">INT(M22/N22*100)/100</f>
        <v>13.28</v>
      </c>
      <c r="P22" s="419">
        <f>INT((G17-O22)*100*0.8)/100</f>
        <v>-1</v>
      </c>
      <c r="S22" s="52">
        <f t="shared" si="3"/>
        <v>94</v>
      </c>
      <c r="T22" s="52">
        <f t="shared" si="10"/>
        <v>1.5576214228834944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49.866742928642225</v>
      </c>
      <c r="Z22" s="58">
        <f>Y23-Z23</f>
        <v>26.537290816668481</v>
      </c>
      <c r="AA22" s="58">
        <f t="shared" si="5"/>
        <v>26.537290816668481</v>
      </c>
      <c r="AB22" s="58">
        <f t="shared" si="6"/>
        <v>105</v>
      </c>
      <c r="AC22" s="58">
        <f t="shared" si="7"/>
        <v>23.329452111973744</v>
      </c>
      <c r="AD22" s="60">
        <f t="shared" si="16"/>
        <v>23.32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23.810000000000002</v>
      </c>
      <c r="G23" s="470">
        <f t="shared" si="14"/>
        <v>18.690000000000001</v>
      </c>
      <c r="H23" s="470"/>
      <c r="I23" s="345"/>
      <c r="J23" s="372">
        <f t="shared" si="15"/>
        <v>0.64000000000000057</v>
      </c>
      <c r="K23" s="417">
        <f t="shared" si="18"/>
        <v>15</v>
      </c>
      <c r="L23" s="417">
        <f t="shared" si="20"/>
        <v>6.5199999999999994E-2</v>
      </c>
      <c r="M23" s="418">
        <f t="shared" si="17"/>
        <v>0.97799999999999987</v>
      </c>
      <c r="N23" s="418">
        <f t="shared" si="19"/>
        <v>4.9079999999999999E-2</v>
      </c>
      <c r="O23" s="417">
        <f t="shared" si="21"/>
        <v>19.920000000000002</v>
      </c>
      <c r="P23" s="419">
        <f t="shared" ref="P23:P32" si="22">INT((G18-O23)*100)/100</f>
        <v>-5.93</v>
      </c>
      <c r="S23" s="52">
        <f t="shared" si="3"/>
        <v>94</v>
      </c>
      <c r="T23" s="52">
        <f t="shared" si="10"/>
        <v>1.5576214228834944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50.50729081666848</v>
      </c>
      <c r="Z23" s="58">
        <f>Input!B20</f>
        <v>23.97</v>
      </c>
      <c r="AA23" s="58">
        <f t="shared" si="5"/>
        <v>26.537290816668481</v>
      </c>
      <c r="AB23" s="58">
        <f t="shared" si="6"/>
        <v>120</v>
      </c>
      <c r="AC23" s="58">
        <f t="shared" si="7"/>
        <v>23.97</v>
      </c>
      <c r="AD23" s="60">
        <f>INT((AC$3+AE23)*100)/100</f>
        <v>23.97</v>
      </c>
      <c r="AE23" s="58">
        <f>AG$23*AF23</f>
        <v>23.97</v>
      </c>
      <c r="AF23" s="58">
        <v>1</v>
      </c>
      <c r="AG23" s="58">
        <f>AC23-AC3</f>
        <v>23.97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24.380000000000003</v>
      </c>
      <c r="G24" s="470">
        <f t="shared" si="14"/>
        <v>19.260000000000002</v>
      </c>
      <c r="H24" s="470"/>
      <c r="I24" s="345"/>
      <c r="J24" s="372">
        <f t="shared" si="15"/>
        <v>0.57000000000000028</v>
      </c>
      <c r="K24" s="417">
        <f t="shared" si="18"/>
        <v>20</v>
      </c>
      <c r="L24" s="417">
        <f t="shared" si="20"/>
        <v>6.5199999999999994E-2</v>
      </c>
      <c r="M24" s="418">
        <f t="shared" si="17"/>
        <v>1.3039999999999998</v>
      </c>
      <c r="N24" s="418">
        <f t="shared" si="19"/>
        <v>4.9079999999999999E-2</v>
      </c>
      <c r="O24" s="417">
        <f t="shared" si="21"/>
        <v>26.56</v>
      </c>
      <c r="P24" s="419">
        <f t="shared" si="22"/>
        <v>-11.19</v>
      </c>
      <c r="R24" s="56">
        <f>B32</f>
        <v>120</v>
      </c>
      <c r="S24" s="52">
        <f>$R$24</f>
        <v>120</v>
      </c>
      <c r="T24" s="52">
        <f t="shared" si="10"/>
        <v>1.5576214228834944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64.967558764082426</v>
      </c>
      <c r="Z24" s="58">
        <f>Z27</f>
        <v>36.762093288627618</v>
      </c>
      <c r="AA24" s="58">
        <f>$Z$24</f>
        <v>36.762093288627618</v>
      </c>
      <c r="AB24" s="58">
        <f t="shared" si="6"/>
        <v>130</v>
      </c>
      <c r="AC24" s="58">
        <f t="shared" si="7"/>
        <v>28.205465475454808</v>
      </c>
      <c r="AD24" s="60">
        <f>INT((AC$23+AE24)*100)/100</f>
        <v>28.76</v>
      </c>
      <c r="AE24" s="58">
        <f>AF24*AG$28</f>
        <v>4.7940000000000014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24.89</v>
      </c>
      <c r="G25" s="470">
        <f t="shared" si="14"/>
        <v>19.77</v>
      </c>
      <c r="H25" s="470"/>
      <c r="I25" s="345"/>
      <c r="J25" s="372">
        <f t="shared" si="15"/>
        <v>0.50999999999999801</v>
      </c>
      <c r="K25" s="417">
        <f t="shared" si="18"/>
        <v>25</v>
      </c>
      <c r="L25" s="417">
        <f t="shared" si="20"/>
        <v>6.5199999999999994E-2</v>
      </c>
      <c r="M25" s="418">
        <f t="shared" si="17"/>
        <v>1.63</v>
      </c>
      <c r="N25" s="418">
        <f t="shared" si="19"/>
        <v>4.9079999999999999E-2</v>
      </c>
      <c r="O25" s="417">
        <f t="shared" si="21"/>
        <v>33.21</v>
      </c>
      <c r="P25" s="419">
        <f t="shared" si="22"/>
        <v>-16.77</v>
      </c>
      <c r="S25" s="52">
        <f>$R$24</f>
        <v>120</v>
      </c>
      <c r="T25" s="52">
        <f t="shared" si="10"/>
        <v>1.5576214228834944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65.421381811050693</v>
      </c>
      <c r="AA25" s="58">
        <f>$Z$24</f>
        <v>36.762093288627618</v>
      </c>
      <c r="AB25" s="58">
        <f t="shared" si="6"/>
        <v>140</v>
      </c>
      <c r="AC25" s="58">
        <f t="shared" si="7"/>
        <v>28.659288522423076</v>
      </c>
      <c r="AD25" s="60">
        <f>INT((AC$23+AE25)*100)/100</f>
        <v>29.56</v>
      </c>
      <c r="AE25" s="58">
        <f>AF25*AG$28</f>
        <v>5.5930000000000009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25.34</v>
      </c>
      <c r="G26" s="470">
        <f t="shared" si="14"/>
        <v>20.22</v>
      </c>
      <c r="H26" s="470"/>
      <c r="I26" s="345"/>
      <c r="J26" s="372">
        <f t="shared" si="15"/>
        <v>0.44999999999999929</v>
      </c>
      <c r="K26" s="417">
        <f t="shared" si="18"/>
        <v>30</v>
      </c>
      <c r="L26" s="417">
        <f t="shared" si="20"/>
        <v>6.5199999999999994E-2</v>
      </c>
      <c r="M26" s="418">
        <f t="shared" si="17"/>
        <v>1.9559999999999997</v>
      </c>
      <c r="N26" s="418">
        <f t="shared" si="19"/>
        <v>4.9079999999999999E-2</v>
      </c>
      <c r="O26" s="418">
        <f t="shared" si="21"/>
        <v>39.85</v>
      </c>
      <c r="P26" s="419">
        <f t="shared" si="22"/>
        <v>-22.54</v>
      </c>
      <c r="S26" s="52">
        <f>$R$24</f>
        <v>120</v>
      </c>
      <c r="T26" s="52">
        <f t="shared" si="10"/>
        <v>1.5576214228834944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65.843880959891933</v>
      </c>
      <c r="AA26" s="58">
        <f>$Z$24</f>
        <v>36.762093288627618</v>
      </c>
      <c r="AB26" s="58">
        <f t="shared" si="6"/>
        <v>150</v>
      </c>
      <c r="AC26" s="58">
        <f t="shared" si="7"/>
        <v>29.081787671264316</v>
      </c>
      <c r="AD26" s="60">
        <f>INT((AC$23+AE26)*100)/100</f>
        <v>30.36</v>
      </c>
      <c r="AE26" s="58">
        <f>AF26*AG$28</f>
        <v>6.3920000000000021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25.76</v>
      </c>
      <c r="G27" s="470">
        <f t="shared" si="14"/>
        <v>20.64</v>
      </c>
      <c r="H27" s="470"/>
      <c r="I27" s="345"/>
      <c r="J27" s="372">
        <f t="shared" si="15"/>
        <v>0.42000000000000171</v>
      </c>
      <c r="K27" s="417">
        <f t="shared" si="18"/>
        <v>35</v>
      </c>
      <c r="L27" s="417">
        <f t="shared" si="20"/>
        <v>6.5199999999999994E-2</v>
      </c>
      <c r="M27" s="418">
        <f t="shared" si="17"/>
        <v>2.2819999999999996</v>
      </c>
      <c r="N27" s="418">
        <f t="shared" si="19"/>
        <v>4.9079999999999999E-2</v>
      </c>
      <c r="O27" s="418">
        <f t="shared" si="21"/>
        <v>46.49</v>
      </c>
      <c r="P27" s="419">
        <f t="shared" si="22"/>
        <v>-28.44</v>
      </c>
      <c r="S27" s="52">
        <f>$R$24</f>
        <v>120</v>
      </c>
      <c r="T27" s="52">
        <f t="shared" si="10"/>
        <v>1.5576214228834944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66.960383301375515</v>
      </c>
      <c r="Z27" s="58">
        <f>Y28-Z28</f>
        <v>36.762093288627618</v>
      </c>
      <c r="AA27" s="58">
        <f>$Z$24</f>
        <v>36.762093288627618</v>
      </c>
      <c r="AB27" s="58">
        <f t="shared" si="6"/>
        <v>180</v>
      </c>
      <c r="AC27" s="58">
        <f t="shared" si="7"/>
        <v>30.198290012747897</v>
      </c>
      <c r="AD27" s="60">
        <f>INT((AC$23+AE27)*100)/100</f>
        <v>31.16</v>
      </c>
      <c r="AE27" s="58">
        <f>AF27*AG$28</f>
        <v>7.1910000000000016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26.830000000000002</v>
      </c>
      <c r="G28" s="470">
        <f t="shared" si="14"/>
        <v>21.71</v>
      </c>
      <c r="H28" s="470"/>
      <c r="I28" s="345"/>
      <c r="J28" s="372">
        <f t="shared" si="15"/>
        <v>1.0700000000000003</v>
      </c>
      <c r="K28" s="417">
        <f t="shared" si="18"/>
        <v>40</v>
      </c>
      <c r="L28" s="417">
        <f t="shared" si="20"/>
        <v>6.5199999999999994E-2</v>
      </c>
      <c r="M28" s="418">
        <f t="shared" si="17"/>
        <v>2.6079999999999997</v>
      </c>
      <c r="N28" s="418">
        <f t="shared" si="19"/>
        <v>4.9079999999999999E-2</v>
      </c>
      <c r="O28" s="418">
        <f t="shared" si="21"/>
        <v>53.13</v>
      </c>
      <c r="P28" s="419">
        <f t="shared" si="22"/>
        <v>-34.44</v>
      </c>
      <c r="S28" s="52">
        <f>$R$24</f>
        <v>120</v>
      </c>
      <c r="T28" s="52">
        <f t="shared" si="10"/>
        <v>1.5576214228834944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68.722093288627619</v>
      </c>
      <c r="Z28" s="58">
        <f>Input!B21</f>
        <v>31.96</v>
      </c>
      <c r="AA28" s="58">
        <f>$Z$24</f>
        <v>36.762093288627618</v>
      </c>
      <c r="AB28" s="58">
        <f t="shared" si="6"/>
        <v>240</v>
      </c>
      <c r="AC28" s="58">
        <f t="shared" si="7"/>
        <v>31.96</v>
      </c>
      <c r="AD28" s="60">
        <f>INT((AC$23+AE28)*100)/100</f>
        <v>31.96</v>
      </c>
      <c r="AE28" s="58">
        <f>AF28*AG$28</f>
        <v>7.990000000000002</v>
      </c>
      <c r="AF28" s="58">
        <v>1</v>
      </c>
      <c r="AG28" s="58">
        <f>AC28-AC23</f>
        <v>7.990000000000002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27.7</v>
      </c>
      <c r="G29" s="470">
        <f t="shared" si="14"/>
        <v>22.58</v>
      </c>
      <c r="H29" s="470"/>
      <c r="I29" s="345"/>
      <c r="J29" s="372">
        <f t="shared" si="15"/>
        <v>0.86999999999999744</v>
      </c>
      <c r="K29" s="417">
        <f t="shared" si="18"/>
        <v>45</v>
      </c>
      <c r="L29" s="417">
        <f t="shared" si="20"/>
        <v>6.5199999999999994E-2</v>
      </c>
      <c r="M29" s="418">
        <f t="shared" si="17"/>
        <v>2.9339999999999997</v>
      </c>
      <c r="N29" s="418">
        <f t="shared" si="19"/>
        <v>4.9079999999999999E-2</v>
      </c>
      <c r="O29" s="418">
        <f t="shared" si="21"/>
        <v>59.77</v>
      </c>
      <c r="P29" s="419">
        <f t="shared" si="22"/>
        <v>-40.51</v>
      </c>
      <c r="R29" s="56">
        <f>B37</f>
        <v>146.19999999999999</v>
      </c>
      <c r="S29" s="52">
        <f>$R$29</f>
        <v>146.19999999999999</v>
      </c>
      <c r="T29" s="52">
        <f t="shared" si="10"/>
        <v>1.5576214228834944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84.030983372019676</v>
      </c>
      <c r="Z29" s="58">
        <f>Z32</f>
        <v>45.801527410767989</v>
      </c>
      <c r="AA29" s="58">
        <f>$Z$29</f>
        <v>45.801527410767989</v>
      </c>
      <c r="AB29" s="58">
        <f t="shared" si="6"/>
        <v>250</v>
      </c>
      <c r="AC29" s="58">
        <f t="shared" si="7"/>
        <v>38.229455961251688</v>
      </c>
      <c r="AD29" s="60">
        <f>INT((AC$28+AE29)*100)/100</f>
        <v>37.35</v>
      </c>
      <c r="AE29" s="58">
        <f>AF29*AG$33</f>
        <v>5.394000000000001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28.44</v>
      </c>
      <c r="G30" s="470">
        <f t="shared" si="14"/>
        <v>23.32</v>
      </c>
      <c r="H30" s="470"/>
      <c r="I30" s="345"/>
      <c r="J30" s="372">
        <f t="shared" si="15"/>
        <v>0.74000000000000199</v>
      </c>
      <c r="K30" s="417">
        <f t="shared" si="18"/>
        <v>50</v>
      </c>
      <c r="L30" s="417">
        <f t="shared" si="20"/>
        <v>6.5199999999999994E-2</v>
      </c>
      <c r="M30" s="418">
        <f t="shared" si="17"/>
        <v>3.26</v>
      </c>
      <c r="N30" s="418">
        <f t="shared" si="19"/>
        <v>4.9079999999999999E-2</v>
      </c>
      <c r="O30" s="418">
        <f t="shared" si="21"/>
        <v>66.42</v>
      </c>
      <c r="P30" s="419">
        <f t="shared" si="22"/>
        <v>-46.65</v>
      </c>
      <c r="R30" s="52" t="s">
        <v>21</v>
      </c>
      <c r="S30" s="52">
        <f>$R$29</f>
        <v>146.19999999999999</v>
      </c>
      <c r="T30" s="52">
        <f t="shared" si="10"/>
        <v>1.5576214228834944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84.323602849499252</v>
      </c>
      <c r="AA30" s="58">
        <f>$Z$29</f>
        <v>45.801527410767989</v>
      </c>
      <c r="AB30" s="58">
        <f t="shared" si="6"/>
        <v>260</v>
      </c>
      <c r="AC30" s="58">
        <f t="shared" si="7"/>
        <v>38.522075438731264</v>
      </c>
      <c r="AD30" s="60">
        <f>INT((AC$28+AE30)*100)/100</f>
        <v>38.25</v>
      </c>
      <c r="AE30" s="58">
        <f>AF30*AG$33</f>
        <v>6.293000000000001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29.09</v>
      </c>
      <c r="G31" s="470">
        <f t="shared" si="14"/>
        <v>23.97</v>
      </c>
      <c r="H31" s="470"/>
      <c r="I31" s="345"/>
      <c r="J31" s="372">
        <f t="shared" si="15"/>
        <v>0.64999999999999858</v>
      </c>
      <c r="K31" s="417">
        <f t="shared" si="18"/>
        <v>55</v>
      </c>
      <c r="L31" s="417">
        <f t="shared" si="20"/>
        <v>6.5199999999999994E-2</v>
      </c>
      <c r="M31" s="418">
        <f t="shared" si="17"/>
        <v>3.5859999999999999</v>
      </c>
      <c r="N31" s="418">
        <f t="shared" si="19"/>
        <v>4.9079999999999999E-2</v>
      </c>
      <c r="O31" s="418">
        <f>INT(M31/N31*100)/100</f>
        <v>73.06</v>
      </c>
      <c r="P31" s="419">
        <f t="shared" si="22"/>
        <v>-52.84</v>
      </c>
      <c r="S31" s="52">
        <f>$R$29</f>
        <v>146.19999999999999</v>
      </c>
      <c r="T31" s="52">
        <f t="shared" si="10"/>
        <v>1.5576214228834944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84.605177409632503</v>
      </c>
      <c r="AA31" s="58">
        <f>$Z$29</f>
        <v>45.801527410767989</v>
      </c>
      <c r="AB31" s="58">
        <f t="shared" si="6"/>
        <v>270</v>
      </c>
      <c r="AC31" s="58">
        <f t="shared" si="7"/>
        <v>38.803649998864515</v>
      </c>
      <c r="AD31" s="60">
        <f>INT((AC$28+AE31)*100)/100</f>
        <v>39.15</v>
      </c>
      <c r="AE31" s="58">
        <f>AF31*AG$33</f>
        <v>7.1920000000000019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120</v>
      </c>
      <c r="C32" s="369">
        <f>$C$12+D32/1440</f>
        <v>44992.569444444445</v>
      </c>
      <c r="D32" s="469">
        <v>130</v>
      </c>
      <c r="E32" s="469"/>
      <c r="F32" s="370">
        <f t="shared" si="13"/>
        <v>33.880000000000003</v>
      </c>
      <c r="G32" s="470">
        <f t="shared" si="14"/>
        <v>28.76</v>
      </c>
      <c r="H32" s="470"/>
      <c r="I32" s="345"/>
      <c r="J32" s="372">
        <f t="shared" si="15"/>
        <v>4.7900000000000027</v>
      </c>
      <c r="K32" s="417">
        <f t="shared" si="18"/>
        <v>60</v>
      </c>
      <c r="L32" s="417">
        <f t="shared" si="20"/>
        <v>6.5199999999999994E-2</v>
      </c>
      <c r="M32" s="418">
        <f t="shared" si="17"/>
        <v>3.9119999999999995</v>
      </c>
      <c r="N32" s="418">
        <f t="shared" si="19"/>
        <v>4.9079999999999999E-2</v>
      </c>
      <c r="O32" s="418">
        <f>INT(M32/N32*100)/100</f>
        <v>79.7</v>
      </c>
      <c r="P32" s="419">
        <f t="shared" si="22"/>
        <v>-59.06</v>
      </c>
      <c r="S32" s="52">
        <f>$R$29</f>
        <v>146.19999999999999</v>
      </c>
      <c r="T32" s="52">
        <f t="shared" si="10"/>
        <v>1.5576214228834944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85.391255391393841</v>
      </c>
      <c r="Z32" s="58">
        <f>Y33-Z33</f>
        <v>45.801527410767989</v>
      </c>
      <c r="AA32" s="58">
        <f>$Z$29</f>
        <v>45.801527410767989</v>
      </c>
      <c r="AB32" s="58">
        <f t="shared" si="6"/>
        <v>300</v>
      </c>
      <c r="AC32" s="58">
        <f t="shared" si="7"/>
        <v>39.589727980625852</v>
      </c>
      <c r="AD32" s="60">
        <f>INT((AC$28+AE32)*100)/100</f>
        <v>40.049999999999997</v>
      </c>
      <c r="AE32" s="58">
        <f>AF32*AG$33</f>
        <v>8.0910000000000029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34.68</v>
      </c>
      <c r="G33" s="470">
        <f t="shared" si="14"/>
        <v>29.56</v>
      </c>
      <c r="H33" s="470"/>
      <c r="I33" s="345"/>
      <c r="J33" s="372">
        <f t="shared" si="15"/>
        <v>0.79999999999999716</v>
      </c>
      <c r="L33" s="67" t="s">
        <v>21</v>
      </c>
      <c r="P33" s="59"/>
      <c r="S33" s="52">
        <f>$R$29</f>
        <v>146.19999999999999</v>
      </c>
      <c r="T33" s="52">
        <f t="shared" si="10"/>
        <v>1.5576214228834944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86.751527410767991</v>
      </c>
      <c r="Z33" s="58">
        <f>Input!B22</f>
        <v>40.950000000000003</v>
      </c>
      <c r="AA33" s="58">
        <f>$Z$29</f>
        <v>45.801527410767989</v>
      </c>
      <c r="AB33" s="58">
        <f t="shared" si="6"/>
        <v>360</v>
      </c>
      <c r="AC33" s="58">
        <f t="shared" si="7"/>
        <v>40.950000000000003</v>
      </c>
      <c r="AD33" s="60">
        <f>INT((AC$28+AE33)*100)/100</f>
        <v>40.950000000000003</v>
      </c>
      <c r="AE33" s="58">
        <f>AF33*AG$33</f>
        <v>8.990000000000002</v>
      </c>
      <c r="AF33" s="58">
        <v>1</v>
      </c>
      <c r="AG33" s="58">
        <f>AC33-AC28</f>
        <v>8.990000000000002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35.479999999999997</v>
      </c>
      <c r="G34" s="470">
        <f t="shared" si="14"/>
        <v>30.36</v>
      </c>
      <c r="H34" s="470"/>
      <c r="I34" s="345"/>
      <c r="J34" s="372">
        <f t="shared" si="15"/>
        <v>0.80000000000000071</v>
      </c>
      <c r="L34" s="67" t="s">
        <v>21</v>
      </c>
      <c r="R34" s="52">
        <f>B42</f>
        <v>172</v>
      </c>
      <c r="S34" s="52">
        <f>$R$34</f>
        <v>172</v>
      </c>
      <c r="T34" s="52">
        <f t="shared" si="10"/>
        <v>1.5576214228834944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102.30111386082665</v>
      </c>
      <c r="Z34" s="58">
        <f>Z37</f>
        <v>53.615738131651142</v>
      </c>
      <c r="AA34" s="58">
        <f>$Z$34</f>
        <v>53.615738131651142</v>
      </c>
      <c r="AB34" s="58">
        <f t="shared" si="6"/>
        <v>370</v>
      </c>
      <c r="AC34" s="58">
        <f t="shared" si="7"/>
        <v>48.685375729175504</v>
      </c>
      <c r="AD34" s="60">
        <f>INT((AC$33+AE34)*100)/100</f>
        <v>46.96</v>
      </c>
      <c r="AE34" s="58">
        <f>AG$38*AF34</f>
        <v>6.0119999999999978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36.28</v>
      </c>
      <c r="G35" s="470">
        <f t="shared" si="14"/>
        <v>31.16</v>
      </c>
      <c r="H35" s="470"/>
      <c r="I35" s="345"/>
      <c r="J35" s="372">
        <f t="shared" si="15"/>
        <v>0.80000000000000071</v>
      </c>
      <c r="L35" s="67" t="s">
        <v>21</v>
      </c>
      <c r="S35" s="52">
        <f>$R$34</f>
        <v>172</v>
      </c>
      <c r="T35" s="52">
        <f t="shared" si="10"/>
        <v>1.5576214228834944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102.535193311051</v>
      </c>
      <c r="AA35" s="58">
        <f>$Z$34</f>
        <v>53.615738131651142</v>
      </c>
      <c r="AB35" s="58">
        <f t="shared" si="6"/>
        <v>380</v>
      </c>
      <c r="AC35" s="58">
        <f t="shared" si="7"/>
        <v>48.919455179399861</v>
      </c>
      <c r="AD35" s="60">
        <f>INT((AC$33+AE35)*100)/100</f>
        <v>47.96</v>
      </c>
      <c r="AE35" s="58">
        <f>AG$38*AF35</f>
        <v>7.0139999999999967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37.08</v>
      </c>
      <c r="G36" s="470">
        <f t="shared" si="14"/>
        <v>31.96</v>
      </c>
      <c r="H36" s="470"/>
      <c r="I36" s="345"/>
      <c r="J36" s="372">
        <f t="shared" si="15"/>
        <v>0.80000000000000071</v>
      </c>
      <c r="L36" s="67" t="s">
        <v>21</v>
      </c>
      <c r="S36" s="52">
        <f>$R$34</f>
        <v>172</v>
      </c>
      <c r="T36" s="52">
        <f t="shared" si="10"/>
        <v>1.5576214228834944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102.76319208269328</v>
      </c>
      <c r="AA36" s="58">
        <f>$Z$34</f>
        <v>53.615738131651142</v>
      </c>
      <c r="AB36" s="58">
        <f t="shared" si="6"/>
        <v>390</v>
      </c>
      <c r="AC36" s="58">
        <f t="shared" si="7"/>
        <v>49.147453951042138</v>
      </c>
      <c r="AD36" s="60">
        <f>INT((AC$33+AE36)*100)/100</f>
        <v>48.96</v>
      </c>
      <c r="AE36" s="58">
        <f>AG$38*AF36</f>
        <v>8.0159999999999965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146.19999999999999</v>
      </c>
      <c r="C37" s="369">
        <f>$C$12+D37/1440</f>
        <v>44992.652777777774</v>
      </c>
      <c r="D37" s="469">
        <v>250</v>
      </c>
      <c r="E37" s="469"/>
      <c r="F37" s="370">
        <f t="shared" si="13"/>
        <v>42.47</v>
      </c>
      <c r="G37" s="470">
        <f t="shared" si="14"/>
        <v>37.35</v>
      </c>
      <c r="H37" s="470"/>
      <c r="I37" s="345"/>
      <c r="J37" s="372">
        <f t="shared" si="15"/>
        <v>5.3900000000000006</v>
      </c>
      <c r="L37" s="67" t="s">
        <v>21</v>
      </c>
      <c r="S37" s="52">
        <f>$R$34</f>
        <v>172</v>
      </c>
      <c r="T37" s="52">
        <f t="shared" si="10"/>
        <v>1.5576214228834944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103.41367178334779</v>
      </c>
      <c r="Z37" s="58">
        <f>Y38-Z38</f>
        <v>53.615738131651142</v>
      </c>
      <c r="AA37" s="58">
        <f>$Z$34</f>
        <v>53.615738131651142</v>
      </c>
      <c r="AB37" s="58">
        <f t="shared" si="6"/>
        <v>420</v>
      </c>
      <c r="AC37" s="58">
        <f t="shared" si="7"/>
        <v>49.797933651696653</v>
      </c>
      <c r="AD37" s="60">
        <f>INT((AC$33+AE37)*100)/100</f>
        <v>49.96</v>
      </c>
      <c r="AE37" s="58">
        <f>AG$38*AF37</f>
        <v>9.0179999999999971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43.37</v>
      </c>
      <c r="G38" s="470">
        <f t="shared" si="14"/>
        <v>38.25</v>
      </c>
      <c r="H38" s="470"/>
      <c r="I38" s="345"/>
      <c r="J38" s="372">
        <f t="shared" si="15"/>
        <v>0.89999999999999858</v>
      </c>
      <c r="L38" s="67" t="s">
        <v>21</v>
      </c>
      <c r="S38" s="52">
        <f>$R$34</f>
        <v>172</v>
      </c>
      <c r="T38" s="52">
        <f t="shared" si="10"/>
        <v>1.5576214228834944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104.58573813165114</v>
      </c>
      <c r="Z38" s="58">
        <f>Input!B23</f>
        <v>50.97</v>
      </c>
      <c r="AA38" s="58">
        <f>$Z$34</f>
        <v>53.615738131651142</v>
      </c>
      <c r="AB38" s="58">
        <f t="shared" si="6"/>
        <v>480</v>
      </c>
      <c r="AC38" s="58">
        <f t="shared" si="7"/>
        <v>50.97</v>
      </c>
      <c r="AD38" s="60">
        <f>INT((AC$33+AE38)*100)/100</f>
        <v>50.97</v>
      </c>
      <c r="AE38" s="58">
        <f>AG$38*AF38</f>
        <v>10.019999999999996</v>
      </c>
      <c r="AF38" s="58">
        <v>1</v>
      </c>
      <c r="AG38" s="58">
        <f>AC38-AC33</f>
        <v>10.019999999999996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44.269999999999996</v>
      </c>
      <c r="G39" s="470">
        <f t="shared" si="14"/>
        <v>39.15</v>
      </c>
      <c r="H39" s="470"/>
      <c r="I39" s="345"/>
      <c r="J39" s="372">
        <f t="shared" si="15"/>
        <v>0.89999999999999858</v>
      </c>
      <c r="K39" s="61" t="s">
        <v>21</v>
      </c>
      <c r="L39" s="67" t="s">
        <v>21</v>
      </c>
      <c r="R39" s="56">
        <f>B47</f>
        <v>197.79999999999998</v>
      </c>
      <c r="S39" s="52">
        <f>$R$39</f>
        <v>197.79999999999998</v>
      </c>
      <c r="T39" s="52">
        <f t="shared" si="10"/>
        <v>1.5576214228834944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120.48173154595499</v>
      </c>
      <c r="Z39" s="58">
        <f>Z42</f>
        <v>56.266027276843829</v>
      </c>
      <c r="AA39" s="58">
        <f>$Z$39</f>
        <v>56.266027276843829</v>
      </c>
      <c r="AB39" s="58">
        <f t="shared" si="6"/>
        <v>490</v>
      </c>
      <c r="AC39" s="58">
        <f t="shared" si="7"/>
        <v>64.215704269111157</v>
      </c>
      <c r="AD39" s="60">
        <f>INT((AC$38+AE39)*100)/100</f>
        <v>57.08</v>
      </c>
      <c r="AE39" s="58">
        <f>AG$43*AF39</f>
        <v>6.1160000000000032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45.169999999999995</v>
      </c>
      <c r="G40" s="470">
        <f t="shared" si="14"/>
        <v>40.049999999999997</v>
      </c>
      <c r="H40" s="470"/>
      <c r="I40" s="345"/>
      <c r="J40" s="372">
        <f t="shared" si="15"/>
        <v>0.89999999999999858</v>
      </c>
      <c r="K40" s="61" t="s">
        <v>21</v>
      </c>
      <c r="L40" s="67" t="s">
        <v>21</v>
      </c>
      <c r="S40" s="52">
        <f>$R$39</f>
        <v>197.79999999999998</v>
      </c>
      <c r="T40" s="52">
        <f t="shared" si="10"/>
        <v>1.5576214228834944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120.68565925063173</v>
      </c>
      <c r="AA40" s="58">
        <f>$Z$39</f>
        <v>56.266027276843829</v>
      </c>
      <c r="AB40" s="58">
        <f t="shared" si="6"/>
        <v>500</v>
      </c>
      <c r="AC40" s="58">
        <f t="shared" si="7"/>
        <v>64.419631973787901</v>
      </c>
      <c r="AD40" s="60">
        <f>INT((AC$38+AE40)*100)/100</f>
        <v>59.37</v>
      </c>
      <c r="AE40" s="58">
        <f>AG$43*AF40</f>
        <v>8.4095000000000049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46.07</v>
      </c>
      <c r="G41" s="470">
        <f t="shared" si="14"/>
        <v>40.950000000000003</v>
      </c>
      <c r="H41" s="470"/>
      <c r="I41" s="345"/>
      <c r="J41" s="372">
        <f t="shared" si="15"/>
        <v>0.90000000000000568</v>
      </c>
      <c r="K41" s="61" t="s">
        <v>21</v>
      </c>
      <c r="L41" s="67" t="s">
        <v>21</v>
      </c>
      <c r="S41" s="52">
        <f>$R$39</f>
        <v>197.79999999999998</v>
      </c>
      <c r="T41" s="52">
        <f t="shared" si="10"/>
        <v>1.5576214228834944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120.88554851634304</v>
      </c>
      <c r="AA41" s="58">
        <f>$Z$39</f>
        <v>56.266027276843829</v>
      </c>
      <c r="AB41" s="58">
        <f t="shared" si="6"/>
        <v>510</v>
      </c>
      <c r="AC41" s="58">
        <f t="shared" si="7"/>
        <v>64.619521239499207</v>
      </c>
      <c r="AD41" s="60">
        <f>INT((AC$38+AE41)*100)/100</f>
        <v>61.67</v>
      </c>
      <c r="AE41" s="58">
        <f>AG$43*AF41</f>
        <v>10.703000000000003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172</v>
      </c>
      <c r="C42" s="369">
        <f>$C$12+D42/1440</f>
        <v>44992.736111111109</v>
      </c>
      <c r="D42" s="469">
        <v>370</v>
      </c>
      <c r="E42" s="469"/>
      <c r="F42" s="370">
        <f t="shared" si="13"/>
        <v>52.08</v>
      </c>
      <c r="G42" s="470">
        <f t="shared" si="14"/>
        <v>46.96</v>
      </c>
      <c r="H42" s="470"/>
      <c r="I42" s="345"/>
      <c r="J42" s="372">
        <f t="shared" si="15"/>
        <v>6.009999999999998</v>
      </c>
      <c r="K42" s="61" t="s">
        <v>21</v>
      </c>
      <c r="L42" s="67" t="s">
        <v>21</v>
      </c>
      <c r="S42" s="52">
        <f>$R$39</f>
        <v>197.79999999999998</v>
      </c>
      <c r="T42" s="52">
        <f t="shared" si="10"/>
        <v>1.5576214228834944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121.46251000740203</v>
      </c>
      <c r="Z42" s="58">
        <f>Y43-Z43</f>
        <v>56.266027276843829</v>
      </c>
      <c r="AA42" s="58">
        <f>$Z$39</f>
        <v>56.266027276843829</v>
      </c>
      <c r="AB42" s="58">
        <f t="shared" si="6"/>
        <v>540</v>
      </c>
      <c r="AC42" s="58">
        <f t="shared" si="7"/>
        <v>65.196482730558202</v>
      </c>
      <c r="AD42" s="60">
        <f>INT((AC$38+AE42)*100)/100</f>
        <v>63.96</v>
      </c>
      <c r="AE42" s="58">
        <f>AG$43*AF42</f>
        <v>12.996500000000005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53.08</v>
      </c>
      <c r="G43" s="470">
        <f t="shared" si="14"/>
        <v>47.96</v>
      </c>
      <c r="H43" s="470"/>
      <c r="I43" s="345"/>
      <c r="J43" s="372">
        <f t="shared" si="15"/>
        <v>1</v>
      </c>
      <c r="K43" s="61" t="s">
        <v>21</v>
      </c>
      <c r="L43" s="67" t="s">
        <v>21</v>
      </c>
      <c r="S43" s="52">
        <f>$R$39</f>
        <v>197.79999999999998</v>
      </c>
      <c r="T43" s="52">
        <f t="shared" si="10"/>
        <v>1.5576214228834944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122.52602727684383</v>
      </c>
      <c r="Z43" s="58">
        <f>Input!B24</f>
        <v>66.260000000000005</v>
      </c>
      <c r="AA43" s="58">
        <f>$Z$39</f>
        <v>56.266027276843829</v>
      </c>
      <c r="AB43" s="58">
        <f t="shared" si="6"/>
        <v>600</v>
      </c>
      <c r="AC43" s="58">
        <f t="shared" si="7"/>
        <v>66.260000000000005</v>
      </c>
      <c r="AD43" s="60">
        <f>INT((AC$38+AE43)*100)/100</f>
        <v>66.260000000000005</v>
      </c>
      <c r="AE43" s="58">
        <f>AG$43*AF43</f>
        <v>15.290000000000006</v>
      </c>
      <c r="AF43" s="58">
        <v>1</v>
      </c>
      <c r="AG43" s="58">
        <f>AC43-AC38</f>
        <v>15.290000000000006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54.08</v>
      </c>
      <c r="G44" s="470">
        <f t="shared" si="14"/>
        <v>48.96</v>
      </c>
      <c r="H44" s="470"/>
      <c r="I44" s="345"/>
      <c r="J44" s="372">
        <f t="shared" si="15"/>
        <v>1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55.08</v>
      </c>
      <c r="G45" s="470">
        <f t="shared" si="14"/>
        <v>49.96</v>
      </c>
      <c r="H45" s="470"/>
      <c r="I45" s="345"/>
      <c r="J45" s="372">
        <f t="shared" si="15"/>
        <v>1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56.089999999999996</v>
      </c>
      <c r="G46" s="470">
        <f t="shared" si="14"/>
        <v>50.97</v>
      </c>
      <c r="H46" s="470"/>
      <c r="I46" s="345"/>
      <c r="J46" s="372">
        <f t="shared" si="15"/>
        <v>1.009999999999998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197.79999999999998</v>
      </c>
      <c r="C47" s="369">
        <f>$C$12+D47/1440</f>
        <v>44992.819444444445</v>
      </c>
      <c r="D47" s="469">
        <v>490</v>
      </c>
      <c r="E47" s="469"/>
      <c r="F47" s="370">
        <f t="shared" si="13"/>
        <v>62.199999999999996</v>
      </c>
      <c r="G47" s="470">
        <f t="shared" si="14"/>
        <v>57.08</v>
      </c>
      <c r="H47" s="470"/>
      <c r="I47" s="345"/>
      <c r="J47" s="372">
        <f t="shared" si="15"/>
        <v>6.1099999999999994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64.489999999999995</v>
      </c>
      <c r="G48" s="470">
        <f t="shared" si="14"/>
        <v>59.37</v>
      </c>
      <c r="H48" s="470"/>
      <c r="I48" s="345"/>
      <c r="J48" s="372">
        <f t="shared" si="15"/>
        <v>2.2899999999999991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66.790000000000006</v>
      </c>
      <c r="G49" s="470">
        <f t="shared" si="14"/>
        <v>61.67</v>
      </c>
      <c r="H49" s="470"/>
      <c r="I49" s="345"/>
      <c r="J49" s="372">
        <f t="shared" si="15"/>
        <v>2.3000000000000043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69.08</v>
      </c>
      <c r="G50" s="470">
        <f t="shared" si="14"/>
        <v>63.96</v>
      </c>
      <c r="H50" s="470"/>
      <c r="I50" s="345"/>
      <c r="J50" s="372">
        <f t="shared" si="15"/>
        <v>2.2899999999999991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71.38000000000001</v>
      </c>
      <c r="G51" s="470">
        <f t="shared" si="14"/>
        <v>66.260000000000005</v>
      </c>
      <c r="H51" s="470"/>
      <c r="I51" s="345" t="s">
        <v>180</v>
      </c>
      <c r="J51" s="372">
        <f t="shared" si="15"/>
        <v>2.3000000000000043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33" sqref="S33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-8.0386911957775311</v>
      </c>
      <c r="N1" s="483" t="s">
        <v>183</v>
      </c>
      <c r="O1" s="483"/>
      <c r="P1" s="70">
        <f>StepTest!G41</f>
        <v>40.950000000000003</v>
      </c>
      <c r="Q1" s="71" t="s">
        <v>184</v>
      </c>
      <c r="R1" s="72">
        <f>G35</f>
        <v>48.988691195777534</v>
      </c>
      <c r="S1" s="73">
        <f>D7/2000</f>
        <v>0.125</v>
      </c>
      <c r="T1" s="74">
        <v>1.041843865003617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중앙호수공원 지하수 사후관리 및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62.4</v>
      </c>
      <c r="T2" s="52">
        <v>44</v>
      </c>
      <c r="U2" s="56">
        <f>B10</f>
        <v>150</v>
      </c>
      <c r="V2" s="56">
        <f>U2</f>
        <v>150</v>
      </c>
      <c r="W2" s="52">
        <f>T1</f>
        <v>1.041843865003617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42.507752459642347</v>
      </c>
      <c r="AC2" s="58">
        <f>1.6*V2/(4*PI()*W2)*LOG10((2.25*W2*Z2)/(X2*X2*Y2))</f>
        <v>42.507752459642347</v>
      </c>
      <c r="AD2" s="75">
        <v>0</v>
      </c>
      <c r="AE2" s="57">
        <f>AA2</f>
        <v>1</v>
      </c>
      <c r="AF2" s="58">
        <f t="shared" ref="AF2:AF14" si="1">AC2-$P$3-O3</f>
        <v>3.9230466098093886</v>
      </c>
      <c r="AG2" s="58">
        <f>AC2</f>
        <v>42.507752459642347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호수공원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1.8</v>
      </c>
      <c r="N3" s="79"/>
      <c r="O3" s="334">
        <v>-1.7952941057090173</v>
      </c>
      <c r="P3" s="336">
        <v>40.379999955541976</v>
      </c>
      <c r="V3" s="56">
        <f>V2</f>
        <v>150</v>
      </c>
      <c r="W3" s="52">
        <f>W$2</f>
        <v>1.041843865003617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48.026093175160753</v>
      </c>
      <c r="AC3" s="58">
        <f t="shared" ref="AC3:AC38" si="5">1.6*V3/(4*PI()*W3)*LOG10((2.25*W3*Z3)/(X3*X3*Y3))</f>
        <v>48.026093175160753</v>
      </c>
      <c r="AD3" s="58">
        <f>AB69</f>
        <v>97.659999955541977</v>
      </c>
      <c r="AE3" s="57">
        <f t="shared" ref="AE3:AE66" si="6">AA3</f>
        <v>2</v>
      </c>
      <c r="AF3" s="58">
        <f t="shared" si="1"/>
        <v>7.646093219618777</v>
      </c>
      <c r="AG3" s="58">
        <f t="shared" ref="AG3:AG16" si="7">AC3</f>
        <v>48.026093175160753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서산시 읍내동 40번지(호수공원)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3.4</v>
      </c>
      <c r="N4" s="79"/>
      <c r="O4" s="335"/>
      <c r="P4" s="335"/>
      <c r="V4" s="56">
        <f t="shared" ref="V4:V67" si="8">V3</f>
        <v>150</v>
      </c>
      <c r="W4" s="52">
        <f t="shared" ref="W4:W67" si="9">W$2</f>
        <v>1.041843865003617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51.254115559941781</v>
      </c>
      <c r="AC4" s="58">
        <f>1.6*V4/(4*PI()*W4)*LOG10((2.25*W4*Z4)/(X4*X4*Y4))</f>
        <v>51.254115559941781</v>
      </c>
      <c r="AD4" s="58">
        <f>AC69</f>
        <v>97.659999955541977</v>
      </c>
      <c r="AE4" s="57">
        <f t="shared" si="6"/>
        <v>3</v>
      </c>
      <c r="AF4" s="58">
        <f t="shared" si="1"/>
        <v>10.874115604399805</v>
      </c>
      <c r="AG4" s="58">
        <f t="shared" si="7"/>
        <v>51.254115559941781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(합)수도건설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4.51</v>
      </c>
      <c r="N5" s="79"/>
      <c r="O5" s="335"/>
      <c r="P5" s="335"/>
      <c r="V5" s="56">
        <f t="shared" si="8"/>
        <v>150</v>
      </c>
      <c r="W5" s="52">
        <f t="shared" si="9"/>
        <v>1.041843865003617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53.544433890679173</v>
      </c>
      <c r="AC5" s="58">
        <f t="shared" si="5"/>
        <v>53.544433890679173</v>
      </c>
      <c r="AD5" s="58">
        <f>AF69</f>
        <v>57.28</v>
      </c>
      <c r="AE5" s="57">
        <f t="shared" si="6"/>
        <v>4</v>
      </c>
      <c r="AF5" s="58">
        <f t="shared" si="1"/>
        <v>13.164433935137197</v>
      </c>
      <c r="AG5" s="58">
        <f t="shared" si="7"/>
        <v>53.544433890679173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4.68</v>
      </c>
      <c r="N6" s="79"/>
      <c r="O6" s="335"/>
      <c r="P6" s="335"/>
      <c r="V6" s="56">
        <f t="shared" si="8"/>
        <v>150</v>
      </c>
      <c r="W6" s="52">
        <f t="shared" si="9"/>
        <v>1.041843865003617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55.320942804165384</v>
      </c>
      <c r="AC6" s="58">
        <f t="shared" si="5"/>
        <v>55.320942804165384</v>
      </c>
      <c r="AE6" s="57">
        <f t="shared" si="6"/>
        <v>5</v>
      </c>
      <c r="AF6" s="58">
        <f t="shared" si="1"/>
        <v>14.940942848623408</v>
      </c>
      <c r="AG6" s="58">
        <f t="shared" si="7"/>
        <v>55.320942804165384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200</v>
      </c>
      <c r="H7" s="165"/>
      <c r="I7" s="165"/>
      <c r="J7" s="166"/>
      <c r="M7" s="59">
        <f t="shared" si="2"/>
        <v>4.34</v>
      </c>
      <c r="N7" s="79"/>
      <c r="O7" s="335"/>
      <c r="P7" s="335"/>
      <c r="V7" s="56">
        <f t="shared" si="8"/>
        <v>150</v>
      </c>
      <c r="W7" s="52">
        <f t="shared" si="9"/>
        <v>1.041843865003617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60.839283519683804</v>
      </c>
      <c r="AC7" s="58">
        <f t="shared" si="5"/>
        <v>60.839283519683804</v>
      </c>
      <c r="AE7" s="57">
        <f t="shared" si="6"/>
        <v>10</v>
      </c>
      <c r="AF7" s="58">
        <f t="shared" si="1"/>
        <v>20.459283564141828</v>
      </c>
      <c r="AG7" s="58">
        <f t="shared" si="7"/>
        <v>60.839283519683804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5.12</v>
      </c>
      <c r="E8" s="176"/>
      <c r="F8" s="177" t="s">
        <v>189</v>
      </c>
      <c r="G8" s="181">
        <f>F77</f>
        <v>62.4</v>
      </c>
      <c r="H8" s="173">
        <f>Input!C40</f>
        <v>150</v>
      </c>
      <c r="I8" s="173"/>
      <c r="J8" s="163"/>
      <c r="K8" s="374">
        <f>Input!M50</f>
        <v>57.28</v>
      </c>
      <c r="L8" s="415">
        <f>G10-K11</f>
        <v>0.20000000000000018</v>
      </c>
      <c r="M8" s="59">
        <f t="shared" si="2"/>
        <v>-0.76</v>
      </c>
      <c r="N8" s="79"/>
      <c r="O8" s="335"/>
      <c r="P8" s="335"/>
      <c r="V8" s="56">
        <f t="shared" si="8"/>
        <v>150</v>
      </c>
      <c r="W8" s="52">
        <f t="shared" si="9"/>
        <v>1.041843865003617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64.067305904464817</v>
      </c>
      <c r="AC8" s="58">
        <f t="shared" si="5"/>
        <v>64.067305904464817</v>
      </c>
      <c r="AE8" s="57">
        <f t="shared" si="6"/>
        <v>15</v>
      </c>
      <c r="AF8" s="58">
        <f t="shared" si="1"/>
        <v>23.687305948922841</v>
      </c>
      <c r="AG8" s="58">
        <f t="shared" si="7"/>
        <v>64.067305904464817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57.28</v>
      </c>
      <c r="M9" s="59">
        <f t="shared" si="2"/>
        <v>-8.1300000000000008</v>
      </c>
      <c r="N9" s="79"/>
      <c r="O9" s="335"/>
      <c r="P9" s="335"/>
      <c r="V9" s="56">
        <f t="shared" si="8"/>
        <v>150</v>
      </c>
      <c r="W9" s="52">
        <f t="shared" si="9"/>
        <v>1.041843865003617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66.357624235202209</v>
      </c>
      <c r="AC9" s="58">
        <f t="shared" si="5"/>
        <v>66.357624235202209</v>
      </c>
      <c r="AE9" s="57">
        <f t="shared" si="6"/>
        <v>20</v>
      </c>
      <c r="AF9" s="58">
        <f t="shared" si="1"/>
        <v>25.977624279660233</v>
      </c>
      <c r="AG9" s="58">
        <f t="shared" si="7"/>
        <v>66.357624235202209</v>
      </c>
    </row>
    <row r="10" spans="1:38" s="52" customFormat="1" ht="21" customHeight="1">
      <c r="A10" s="183">
        <v>1</v>
      </c>
      <c r="B10" s="184">
        <f>Input!C26</f>
        <v>150</v>
      </c>
      <c r="C10" s="185">
        <v>45209.444444444445</v>
      </c>
      <c r="D10" s="186">
        <v>1</v>
      </c>
      <c r="E10" s="176">
        <f>D10/1440</f>
        <v>6.9444444444444447E-4</v>
      </c>
      <c r="F10" s="187">
        <f>G10+D$8</f>
        <v>9.0430466098093891</v>
      </c>
      <c r="G10" s="188">
        <f>AF2</f>
        <v>3.9230466098093886</v>
      </c>
      <c r="H10" s="189"/>
      <c r="I10" s="189"/>
      <c r="J10" s="189"/>
      <c r="K10" s="80">
        <f>K8-K9</f>
        <v>0</v>
      </c>
      <c r="L10" s="76">
        <f>K10+Q17</f>
        <v>1.8</v>
      </c>
      <c r="M10" s="59">
        <f t="shared" si="2"/>
        <v>-16.45</v>
      </c>
      <c r="N10" s="79"/>
      <c r="O10" s="335"/>
      <c r="P10" s="335"/>
      <c r="V10" s="56">
        <f t="shared" si="8"/>
        <v>150</v>
      </c>
      <c r="W10" s="52">
        <f t="shared" si="9"/>
        <v>1.041843865003617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68.13413314868842</v>
      </c>
      <c r="AC10" s="58">
        <f t="shared" si="5"/>
        <v>68.13413314868842</v>
      </c>
      <c r="AE10" s="57">
        <f t="shared" si="6"/>
        <v>25</v>
      </c>
      <c r="AF10" s="58">
        <f t="shared" si="1"/>
        <v>27.754133193146444</v>
      </c>
      <c r="AG10" s="58">
        <f t="shared" si="7"/>
        <v>68.13413314868842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12.766093219618778</v>
      </c>
      <c r="G11" s="187">
        <f>AF3</f>
        <v>7.646093219618777</v>
      </c>
      <c r="H11" s="189"/>
      <c r="I11" s="189"/>
      <c r="J11" s="189"/>
      <c r="K11" s="81">
        <f>G11-G10</f>
        <v>3.7230466098093884</v>
      </c>
      <c r="L11" s="76" t="s">
        <v>21</v>
      </c>
      <c r="N11" s="79"/>
      <c r="O11" s="335"/>
      <c r="V11" s="56">
        <f t="shared" si="8"/>
        <v>150</v>
      </c>
      <c r="W11" s="52">
        <f t="shared" si="9"/>
        <v>1.041843865003617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69.585646619983237</v>
      </c>
      <c r="AC11" s="58">
        <f t="shared" si="5"/>
        <v>69.585646619983237</v>
      </c>
      <c r="AE11" s="57">
        <f t="shared" si="6"/>
        <v>30</v>
      </c>
      <c r="AF11" s="58">
        <f t="shared" si="1"/>
        <v>29.205646664441261</v>
      </c>
      <c r="AG11" s="58">
        <f t="shared" si="7"/>
        <v>69.585646619983237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15.994115604399806</v>
      </c>
      <c r="G12" s="187">
        <f t="shared" ref="G12:G74" si="14">AF4</f>
        <v>10.874115604399805</v>
      </c>
      <c r="H12" s="189"/>
      <c r="I12" s="189"/>
      <c r="J12" s="189"/>
      <c r="K12" s="81">
        <f t="shared" ref="K12:K47" si="15">G12-G11</f>
        <v>3.2280223847810277</v>
      </c>
      <c r="L12" s="76" t="s">
        <v>21</v>
      </c>
      <c r="N12" s="79"/>
      <c r="O12" s="335"/>
      <c r="V12" s="56">
        <f t="shared" si="8"/>
        <v>150</v>
      </c>
      <c r="W12" s="52">
        <f t="shared" si="9"/>
        <v>1.041843865003617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70.812883773466893</v>
      </c>
      <c r="AC12" s="58">
        <f t="shared" si="5"/>
        <v>70.812883773466893</v>
      </c>
      <c r="AE12" s="57">
        <f t="shared" si="6"/>
        <v>35</v>
      </c>
      <c r="AF12" s="58">
        <f t="shared" si="1"/>
        <v>30.432883817924917</v>
      </c>
      <c r="AG12" s="58">
        <f t="shared" si="7"/>
        <v>70.812883773466893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18.284433935137198</v>
      </c>
      <c r="G13" s="187">
        <f t="shared" si="14"/>
        <v>13.164433935137197</v>
      </c>
      <c r="H13" s="189"/>
      <c r="I13" s="189"/>
      <c r="J13" s="189"/>
      <c r="K13" s="81">
        <f t="shared" si="15"/>
        <v>2.2903183307373922</v>
      </c>
      <c r="L13" s="76" t="s">
        <v>21</v>
      </c>
      <c r="M13" s="337">
        <v>0</v>
      </c>
      <c r="N13" s="79"/>
      <c r="O13" s="335"/>
      <c r="V13" s="56">
        <f t="shared" si="8"/>
        <v>150</v>
      </c>
      <c r="W13" s="52">
        <f t="shared" si="9"/>
        <v>1.041843865003617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71.875964950720629</v>
      </c>
      <c r="AC13" s="58">
        <f t="shared" si="5"/>
        <v>71.875964950720629</v>
      </c>
      <c r="AE13" s="57">
        <f t="shared" si="6"/>
        <v>40</v>
      </c>
      <c r="AF13" s="58">
        <f t="shared" si="1"/>
        <v>31.495964995178653</v>
      </c>
      <c r="AG13" s="58">
        <f t="shared" si="7"/>
        <v>71.875964950720629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20.060942848623409</v>
      </c>
      <c r="G14" s="187">
        <f t="shared" si="14"/>
        <v>14.940942848623408</v>
      </c>
      <c r="H14" s="189"/>
      <c r="I14" s="189"/>
      <c r="J14" s="189"/>
      <c r="K14" s="81">
        <f t="shared" si="15"/>
        <v>1.7765089134862109</v>
      </c>
      <c r="L14" s="76" t="s">
        <v>21</v>
      </c>
      <c r="N14" s="79"/>
      <c r="O14" s="335"/>
      <c r="V14" s="56">
        <f t="shared" si="8"/>
        <v>150</v>
      </c>
      <c r="W14" s="52">
        <f t="shared" si="9"/>
        <v>1.041843865003617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72.813669004764265</v>
      </c>
      <c r="AC14" s="58">
        <f t="shared" si="5"/>
        <v>72.813669004764265</v>
      </c>
      <c r="AE14" s="57">
        <f t="shared" si="6"/>
        <v>45</v>
      </c>
      <c r="AF14" s="58">
        <f t="shared" si="1"/>
        <v>32.433669049222289</v>
      </c>
      <c r="AG14" s="58">
        <f t="shared" si="7"/>
        <v>72.813669004764265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25.579283564141829</v>
      </c>
      <c r="G15" s="187">
        <f t="shared" si="14"/>
        <v>20.459283564141828</v>
      </c>
      <c r="H15" s="189"/>
      <c r="I15" s="189"/>
      <c r="J15" s="189"/>
      <c r="K15" s="81">
        <f t="shared" si="15"/>
        <v>5.5183407155184199</v>
      </c>
      <c r="L15" s="76" t="s">
        <v>21</v>
      </c>
      <c r="N15" s="82"/>
      <c r="O15" s="54"/>
      <c r="V15" s="56">
        <f t="shared" si="8"/>
        <v>150</v>
      </c>
      <c r="W15" s="52">
        <f t="shared" si="9"/>
        <v>1.041843865003617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73.65247386420684</v>
      </c>
      <c r="AC15" s="58">
        <f t="shared" si="5"/>
        <v>73.65247386420684</v>
      </c>
      <c r="AE15" s="57">
        <f t="shared" si="6"/>
        <v>50</v>
      </c>
      <c r="AF15" s="58">
        <f>AC15-$P$3</f>
        <v>33.272473908664864</v>
      </c>
      <c r="AG15" s="58">
        <f t="shared" si="7"/>
        <v>73.65247386420684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28.807305948922842</v>
      </c>
      <c r="G16" s="187">
        <f t="shared" si="14"/>
        <v>23.687305948922841</v>
      </c>
      <c r="H16" s="189"/>
      <c r="I16" s="189"/>
      <c r="J16" s="189"/>
      <c r="K16" s="81">
        <f t="shared" si="15"/>
        <v>3.2280223847810134</v>
      </c>
      <c r="L16" s="431" t="s">
        <v>253</v>
      </c>
      <c r="M16" s="432" t="s">
        <v>178</v>
      </c>
      <c r="N16" s="432" t="s">
        <v>179</v>
      </c>
      <c r="O16" s="432" t="s">
        <v>251</v>
      </c>
      <c r="P16" s="432" t="s">
        <v>252</v>
      </c>
      <c r="Q16" s="432" t="s">
        <v>254</v>
      </c>
      <c r="V16" s="56">
        <f t="shared" si="8"/>
        <v>150</v>
      </c>
      <c r="W16" s="52">
        <f t="shared" si="9"/>
        <v>1.041843865003617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74.411265157843346</v>
      </c>
      <c r="AC16" s="58">
        <f t="shared" si="5"/>
        <v>74.411265157843346</v>
      </c>
      <c r="AE16" s="57">
        <f t="shared" si="6"/>
        <v>55</v>
      </c>
      <c r="AF16" s="58">
        <f>AC16-$P$3</f>
        <v>34.03126520230137</v>
      </c>
      <c r="AG16" s="58">
        <f t="shared" si="7"/>
        <v>74.411265157843346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31.097624279660234</v>
      </c>
      <c r="G17" s="187">
        <f t="shared" si="14"/>
        <v>25.977624279660233</v>
      </c>
      <c r="H17" s="189"/>
      <c r="I17" s="189"/>
      <c r="J17" s="189"/>
      <c r="K17" s="81">
        <f t="shared" si="15"/>
        <v>2.2903183307373922</v>
      </c>
      <c r="L17" s="417">
        <f>D10</f>
        <v>1</v>
      </c>
      <c r="M17" s="418">
        <f>INT(B10/1440*10000)/10000</f>
        <v>0.1041</v>
      </c>
      <c r="N17" s="418">
        <f>L17*M17</f>
        <v>0.1041</v>
      </c>
      <c r="O17" s="418">
        <f>INT((D7/2/1000)^2*PI()*100000)/100000</f>
        <v>4.9079999999999999E-2</v>
      </c>
      <c r="P17" s="418">
        <f>INT(N17/O17*100)/100</f>
        <v>2.12</v>
      </c>
      <c r="Q17" s="419">
        <f>INT((G10-P17)*100)/100</f>
        <v>1.8</v>
      </c>
      <c r="V17" s="56">
        <f t="shared" si="8"/>
        <v>150</v>
      </c>
      <c r="W17" s="52">
        <f t="shared" si="9"/>
        <v>1.041843865003617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75.103987335501643</v>
      </c>
      <c r="AC17" s="58">
        <f t="shared" si="5"/>
        <v>75.103987335501643</v>
      </c>
      <c r="AE17" s="57">
        <f t="shared" si="6"/>
        <v>60</v>
      </c>
      <c r="AF17" s="58">
        <f>AC17-$P$3</f>
        <v>34.723987379959667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32.874133193146442</v>
      </c>
      <c r="G18" s="187">
        <f t="shared" si="14"/>
        <v>27.754133193146444</v>
      </c>
      <c r="H18" s="189"/>
      <c r="I18" s="189"/>
      <c r="J18" s="189"/>
      <c r="K18" s="81">
        <f t="shared" si="15"/>
        <v>1.7765089134862109</v>
      </c>
      <c r="L18" s="417">
        <f t="shared" ref="L18:L31" si="16">D11</f>
        <v>2</v>
      </c>
      <c r="M18" s="418">
        <f>M17</f>
        <v>0.1041</v>
      </c>
      <c r="N18" s="418">
        <f>L18*M18</f>
        <v>0.2082</v>
      </c>
      <c r="O18" s="418">
        <f>O17</f>
        <v>4.9079999999999999E-2</v>
      </c>
      <c r="P18" s="418">
        <f>INT(N18/O18*100)/100</f>
        <v>4.24</v>
      </c>
      <c r="Q18" s="419">
        <f t="shared" ref="Q18:Q27" si="17">INT((G11-P18)*100)/100</f>
        <v>3.4</v>
      </c>
      <c r="V18" s="56">
        <f t="shared" si="8"/>
        <v>150</v>
      </c>
      <c r="W18" s="52">
        <f t="shared" si="9"/>
        <v>1.041843865003617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76.880496248987868</v>
      </c>
      <c r="AC18" s="58">
        <f t="shared" si="5"/>
        <v>76.880496248987868</v>
      </c>
      <c r="AE18" s="57">
        <f t="shared" si="6"/>
        <v>75</v>
      </c>
      <c r="AF18" s="58">
        <f>AC18-$P$3</f>
        <v>36.500496293445892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34.325646664441258</v>
      </c>
      <c r="G19" s="187">
        <f t="shared" si="14"/>
        <v>29.205646664441261</v>
      </c>
      <c r="H19" s="189"/>
      <c r="I19" s="189"/>
      <c r="J19" s="189"/>
      <c r="K19" s="81">
        <f t="shared" si="15"/>
        <v>1.4515134712948168</v>
      </c>
      <c r="L19" s="417">
        <f t="shared" si="16"/>
        <v>3</v>
      </c>
      <c r="M19" s="418">
        <f>M18</f>
        <v>0.1041</v>
      </c>
      <c r="N19" s="418">
        <f t="shared" ref="N19:N27" si="18">L19*M19</f>
        <v>0.31230000000000002</v>
      </c>
      <c r="O19" s="418">
        <f t="shared" ref="O19:O31" si="19">O18</f>
        <v>4.9079999999999999E-2</v>
      </c>
      <c r="P19" s="418">
        <f>INT(N19/O19*100)/100</f>
        <v>6.36</v>
      </c>
      <c r="Q19" s="419">
        <f t="shared" si="17"/>
        <v>4.51</v>
      </c>
      <c r="V19" s="56">
        <f t="shared" si="8"/>
        <v>150</v>
      </c>
      <c r="W19" s="52">
        <f t="shared" si="9"/>
        <v>1.041843865003617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78.33200972028267</v>
      </c>
      <c r="AC19" s="58">
        <f t="shared" si="5"/>
        <v>78.33200972028267</v>
      </c>
      <c r="AE19" s="57">
        <f t="shared" si="6"/>
        <v>90</v>
      </c>
      <c r="AF19" s="58">
        <f>AC19-$P$3</f>
        <v>37.952009764740694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35.552883817924915</v>
      </c>
      <c r="G20" s="187">
        <f t="shared" si="14"/>
        <v>30.432883817924917</v>
      </c>
      <c r="H20" s="189"/>
      <c r="I20" s="189"/>
      <c r="J20" s="189"/>
      <c r="K20" s="81">
        <f t="shared" si="15"/>
        <v>1.2272371534836566</v>
      </c>
      <c r="L20" s="417">
        <f t="shared" si="16"/>
        <v>4</v>
      </c>
      <c r="M20" s="418">
        <f>M19</f>
        <v>0.1041</v>
      </c>
      <c r="N20" s="418">
        <f>L20*M20</f>
        <v>0.41639999999999999</v>
      </c>
      <c r="O20" s="418">
        <f>O19</f>
        <v>4.9079999999999999E-2</v>
      </c>
      <c r="P20" s="418">
        <f>INT(N20/O20*100)/100</f>
        <v>8.48</v>
      </c>
      <c r="Q20" s="419">
        <f t="shared" si="17"/>
        <v>4.68</v>
      </c>
      <c r="V20" s="56">
        <f t="shared" si="8"/>
        <v>150</v>
      </c>
      <c r="W20" s="52">
        <f t="shared" si="9"/>
        <v>1.041843865003617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79.559246873766327</v>
      </c>
      <c r="AC20" s="58">
        <f t="shared" si="5"/>
        <v>79.559246873766327</v>
      </c>
      <c r="AE20" s="57">
        <f t="shared" si="6"/>
        <v>105</v>
      </c>
      <c r="AF20" s="58">
        <f t="shared" ref="AF20:AF69" si="20">AC20-$P$3</f>
        <v>39.179246918224351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36.615964995178651</v>
      </c>
      <c r="G21" s="187">
        <f t="shared" si="14"/>
        <v>31.495964995178653</v>
      </c>
      <c r="H21" s="189"/>
      <c r="I21" s="189"/>
      <c r="J21" s="189"/>
      <c r="K21" s="81">
        <f t="shared" si="15"/>
        <v>1.0630811772537356</v>
      </c>
      <c r="L21" s="417">
        <f t="shared" si="16"/>
        <v>5</v>
      </c>
      <c r="M21" s="418">
        <f>M20</f>
        <v>0.1041</v>
      </c>
      <c r="N21" s="418">
        <f t="shared" si="18"/>
        <v>0.52049999999999996</v>
      </c>
      <c r="O21" s="418">
        <f t="shared" si="19"/>
        <v>4.9079999999999999E-2</v>
      </c>
      <c r="P21" s="418">
        <f>INT(N21/O21*100)/100</f>
        <v>10.6</v>
      </c>
      <c r="Q21" s="419">
        <f t="shared" si="17"/>
        <v>4.34</v>
      </c>
      <c r="V21" s="56">
        <f t="shared" si="8"/>
        <v>150</v>
      </c>
      <c r="W21" s="52">
        <f t="shared" si="9"/>
        <v>1.041843865003617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80.622328051020062</v>
      </c>
      <c r="AC21" s="58">
        <f t="shared" si="5"/>
        <v>80.622328051020062</v>
      </c>
      <c r="AE21" s="57">
        <f t="shared" si="6"/>
        <v>120</v>
      </c>
      <c r="AF21" s="58">
        <f t="shared" si="20"/>
        <v>40.242328095478086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37.553669049222286</v>
      </c>
      <c r="G22" s="187">
        <f t="shared" si="14"/>
        <v>32.433669049222289</v>
      </c>
      <c r="H22" s="189"/>
      <c r="I22" s="189"/>
      <c r="J22" s="189"/>
      <c r="K22" s="81">
        <f t="shared" si="15"/>
        <v>0.93770405404363544</v>
      </c>
      <c r="L22" s="417">
        <f t="shared" si="16"/>
        <v>10</v>
      </c>
      <c r="M22" s="418">
        <f t="shared" ref="M22:M31" si="21">M21</f>
        <v>0.1041</v>
      </c>
      <c r="N22" s="418">
        <f>L22*M22</f>
        <v>1.0409999999999999</v>
      </c>
      <c r="O22" s="418">
        <f>O21</f>
        <v>4.9079999999999999E-2</v>
      </c>
      <c r="P22" s="418">
        <f t="shared" ref="P22:P27" si="22">INT(N22/O22*100)/100</f>
        <v>21.21</v>
      </c>
      <c r="Q22" s="419">
        <f t="shared" si="17"/>
        <v>-0.76</v>
      </c>
      <c r="V22" s="56">
        <f t="shared" si="8"/>
        <v>150</v>
      </c>
      <c r="W22" s="52">
        <f t="shared" si="9"/>
        <v>1.041843865003617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81.849565204503719</v>
      </c>
      <c r="AC22" s="58">
        <f t="shared" si="5"/>
        <v>81.849565204503719</v>
      </c>
      <c r="AE22" s="57">
        <f t="shared" si="6"/>
        <v>140</v>
      </c>
      <c r="AF22" s="58">
        <f t="shared" si="20"/>
        <v>41.469565248961743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38.392473908664861</v>
      </c>
      <c r="G23" s="187">
        <f t="shared" si="14"/>
        <v>33.272473908664864</v>
      </c>
      <c r="H23" s="189"/>
      <c r="I23" s="189"/>
      <c r="J23" s="189"/>
      <c r="K23" s="81">
        <f t="shared" si="15"/>
        <v>0.83880485944257543</v>
      </c>
      <c r="L23" s="417">
        <f t="shared" si="16"/>
        <v>15</v>
      </c>
      <c r="M23" s="418">
        <f t="shared" si="21"/>
        <v>0.1041</v>
      </c>
      <c r="N23" s="418">
        <f t="shared" si="18"/>
        <v>1.5614999999999999</v>
      </c>
      <c r="O23" s="418">
        <f t="shared" si="19"/>
        <v>4.9079999999999999E-2</v>
      </c>
      <c r="P23" s="418">
        <f t="shared" si="22"/>
        <v>31.81</v>
      </c>
      <c r="Q23" s="419">
        <f t="shared" si="17"/>
        <v>-8.1300000000000008</v>
      </c>
      <c r="V23" s="56">
        <f t="shared" si="8"/>
        <v>150</v>
      </c>
      <c r="W23" s="52">
        <f t="shared" si="9"/>
        <v>1.041843865003617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82.912646381757469</v>
      </c>
      <c r="AC23" s="58">
        <f t="shared" si="5"/>
        <v>82.912646381757469</v>
      </c>
      <c r="AE23" s="57">
        <f t="shared" si="6"/>
        <v>160</v>
      </c>
      <c r="AF23" s="58">
        <f t="shared" si="20"/>
        <v>42.532646426215493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39.151265202301367</v>
      </c>
      <c r="G24" s="187">
        <f t="shared" si="14"/>
        <v>34.03126520230137</v>
      </c>
      <c r="H24" s="189"/>
      <c r="I24" s="189"/>
      <c r="J24" s="189"/>
      <c r="K24" s="81">
        <f t="shared" si="15"/>
        <v>0.75879129363650577</v>
      </c>
      <c r="L24" s="417">
        <f t="shared" si="16"/>
        <v>20</v>
      </c>
      <c r="M24" s="418">
        <f t="shared" si="21"/>
        <v>0.1041</v>
      </c>
      <c r="N24" s="418">
        <f t="shared" si="18"/>
        <v>2.0819999999999999</v>
      </c>
      <c r="O24" s="418">
        <f t="shared" si="19"/>
        <v>4.9079999999999999E-2</v>
      </c>
      <c r="P24" s="418">
        <f t="shared" si="22"/>
        <v>42.42</v>
      </c>
      <c r="Q24" s="419">
        <f t="shared" si="17"/>
        <v>-16.45</v>
      </c>
      <c r="V24" s="56">
        <f t="shared" si="8"/>
        <v>150</v>
      </c>
      <c r="W24" s="52">
        <f t="shared" si="9"/>
        <v>1.041843865003617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83.85035043580109</v>
      </c>
      <c r="AC24" s="58">
        <f t="shared" si="5"/>
        <v>83.85035043580109</v>
      </c>
      <c r="AE24" s="57">
        <f t="shared" si="6"/>
        <v>180</v>
      </c>
      <c r="AF24" s="58">
        <f t="shared" si="20"/>
        <v>43.470350480259114</v>
      </c>
    </row>
    <row r="25" spans="1:32" s="52" customFormat="1" ht="21" customHeight="1">
      <c r="A25" s="183"/>
      <c r="B25" s="183"/>
      <c r="C25" s="185">
        <f>$C$10+D25/1440</f>
        <v>45209.486111111109</v>
      </c>
      <c r="D25" s="186">
        <v>60</v>
      </c>
      <c r="E25" s="176">
        <f t="shared" si="12"/>
        <v>4.1666666666666664E-2</v>
      </c>
      <c r="F25" s="187">
        <f t="shared" si="13"/>
        <v>39.843987379959664</v>
      </c>
      <c r="G25" s="187">
        <f t="shared" si="14"/>
        <v>34.723987379959667</v>
      </c>
      <c r="H25" s="189"/>
      <c r="I25" s="189"/>
      <c r="J25" s="189"/>
      <c r="K25" s="81">
        <f t="shared" si="15"/>
        <v>0.6927221776582968</v>
      </c>
      <c r="L25" s="417">
        <f t="shared" si="16"/>
        <v>25</v>
      </c>
      <c r="M25" s="418">
        <f t="shared" si="21"/>
        <v>0.1041</v>
      </c>
      <c r="N25" s="418">
        <f t="shared" si="18"/>
        <v>2.6025</v>
      </c>
      <c r="O25" s="418">
        <f t="shared" si="19"/>
        <v>4.9079999999999999E-2</v>
      </c>
      <c r="P25" s="418">
        <f t="shared" si="22"/>
        <v>53.02</v>
      </c>
      <c r="Q25" s="419">
        <f t="shared" si="17"/>
        <v>-25.27</v>
      </c>
      <c r="V25" s="56">
        <f t="shared" si="8"/>
        <v>150</v>
      </c>
      <c r="W25" s="52">
        <f t="shared" si="9"/>
        <v>1.041843865003617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86.140668766538482</v>
      </c>
      <c r="AC25" s="58">
        <f t="shared" si="5"/>
        <v>86.140668766538482</v>
      </c>
      <c r="AE25" s="57">
        <f t="shared" si="6"/>
        <v>240</v>
      </c>
      <c r="AF25" s="58">
        <f t="shared" si="20"/>
        <v>45.760668810996506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41.620496293445889</v>
      </c>
      <c r="G26" s="187">
        <f t="shared" si="14"/>
        <v>36.500496293445892</v>
      </c>
      <c r="H26" s="189"/>
      <c r="I26" s="189"/>
      <c r="J26" s="189"/>
      <c r="K26" s="81">
        <f t="shared" si="15"/>
        <v>1.7765089134862251</v>
      </c>
      <c r="L26" s="417">
        <f t="shared" si="16"/>
        <v>30</v>
      </c>
      <c r="M26" s="418">
        <f t="shared" si="21"/>
        <v>0.1041</v>
      </c>
      <c r="N26" s="418">
        <f t="shared" si="18"/>
        <v>3.1229999999999998</v>
      </c>
      <c r="O26" s="418">
        <f t="shared" si="19"/>
        <v>4.9079999999999999E-2</v>
      </c>
      <c r="P26" s="418">
        <f t="shared" si="22"/>
        <v>63.63</v>
      </c>
      <c r="Q26" s="419">
        <f t="shared" si="17"/>
        <v>-34.43</v>
      </c>
      <c r="V26" s="56">
        <f t="shared" si="8"/>
        <v>150</v>
      </c>
      <c r="W26" s="52">
        <f t="shared" si="9"/>
        <v>1.041843865003617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87.917177680024693</v>
      </c>
      <c r="AC26" s="58">
        <f t="shared" si="5"/>
        <v>87.917177680024693</v>
      </c>
      <c r="AE26" s="57">
        <f t="shared" si="6"/>
        <v>300</v>
      </c>
      <c r="AF26" s="58">
        <f t="shared" si="20"/>
        <v>47.537177724482717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43.072009764740692</v>
      </c>
      <c r="G27" s="187">
        <f t="shared" si="14"/>
        <v>37.952009764740694</v>
      </c>
      <c r="H27" s="189"/>
      <c r="I27" s="189"/>
      <c r="J27" s="189"/>
      <c r="K27" s="81">
        <f t="shared" si="15"/>
        <v>1.4515134712948026</v>
      </c>
      <c r="L27" s="417">
        <f t="shared" si="16"/>
        <v>35</v>
      </c>
      <c r="M27" s="418">
        <f t="shared" si="21"/>
        <v>0.1041</v>
      </c>
      <c r="N27" s="418">
        <f t="shared" si="18"/>
        <v>3.6435</v>
      </c>
      <c r="O27" s="418">
        <f t="shared" si="19"/>
        <v>4.9079999999999999E-2</v>
      </c>
      <c r="P27" s="418">
        <f t="shared" si="22"/>
        <v>74.23</v>
      </c>
      <c r="Q27" s="419">
        <f t="shared" si="17"/>
        <v>-43.8</v>
      </c>
      <c r="V27" s="56">
        <f t="shared" si="8"/>
        <v>150</v>
      </c>
      <c r="W27" s="52">
        <f t="shared" si="9"/>
        <v>1.041843865003617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89.36869115131951</v>
      </c>
      <c r="AC27" s="58">
        <f t="shared" si="5"/>
        <v>89.36869115131951</v>
      </c>
      <c r="AE27" s="57">
        <f t="shared" si="6"/>
        <v>360</v>
      </c>
      <c r="AF27" s="58">
        <f t="shared" si="20"/>
        <v>48.988691195777534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44.299246918224348</v>
      </c>
      <c r="G28" s="187">
        <f t="shared" si="14"/>
        <v>39.179246918224351</v>
      </c>
      <c r="H28" s="189"/>
      <c r="I28" s="189"/>
      <c r="J28" s="189"/>
      <c r="K28" s="81">
        <f t="shared" si="15"/>
        <v>1.2272371534836566</v>
      </c>
      <c r="L28" s="417">
        <f t="shared" si="16"/>
        <v>40</v>
      </c>
      <c r="M28" s="418">
        <f t="shared" si="21"/>
        <v>0.1041</v>
      </c>
      <c r="N28" s="418">
        <f>L28*M28</f>
        <v>4.1639999999999997</v>
      </c>
      <c r="O28" s="418">
        <f t="shared" si="19"/>
        <v>4.9079999999999999E-2</v>
      </c>
      <c r="P28" s="418">
        <f>INT(N28/O28*100)/100</f>
        <v>84.84</v>
      </c>
      <c r="Q28" s="419">
        <f>INT((G21-P28)*100)/100</f>
        <v>-53.35</v>
      </c>
      <c r="S28"/>
      <c r="V28" s="56">
        <f t="shared" si="8"/>
        <v>150</v>
      </c>
      <c r="W28" s="52">
        <f t="shared" si="9"/>
        <v>1.041843865003617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90.595928304803152</v>
      </c>
      <c r="AC28" s="58">
        <f t="shared" si="5"/>
        <v>90.595928304803152</v>
      </c>
      <c r="AE28" s="57">
        <f t="shared" si="6"/>
        <v>420</v>
      </c>
      <c r="AF28" s="58">
        <f t="shared" si="20"/>
        <v>50.215928349261176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45.362328095478084</v>
      </c>
      <c r="G29" s="187">
        <f t="shared" si="14"/>
        <v>40.242328095478086</v>
      </c>
      <c r="H29" s="189"/>
      <c r="I29" s="189"/>
      <c r="J29" s="189"/>
      <c r="K29" s="81">
        <f t="shared" si="15"/>
        <v>1.0630811772537356</v>
      </c>
      <c r="L29" s="417">
        <f t="shared" si="16"/>
        <v>45</v>
      </c>
      <c r="M29" s="418">
        <f t="shared" si="21"/>
        <v>0.1041</v>
      </c>
      <c r="N29" s="418">
        <f>L29*M29</f>
        <v>4.6844999999999999</v>
      </c>
      <c r="O29" s="418">
        <f t="shared" si="19"/>
        <v>4.9079999999999999E-2</v>
      </c>
      <c r="P29" s="418">
        <f>INT(N29/O29*100)/100</f>
        <v>95.44</v>
      </c>
      <c r="Q29" s="419">
        <f>INT((G22-P29)*100)/100</f>
        <v>-63.01</v>
      </c>
      <c r="V29" s="56">
        <f t="shared" si="8"/>
        <v>150</v>
      </c>
      <c r="W29" s="52">
        <f t="shared" si="9"/>
        <v>1.041843865003617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91.659009482056888</v>
      </c>
      <c r="AC29" s="58">
        <f t="shared" si="5"/>
        <v>91.659009482056888</v>
      </c>
      <c r="AE29" s="57">
        <f t="shared" si="6"/>
        <v>480</v>
      </c>
      <c r="AF29" s="58">
        <f t="shared" si="20"/>
        <v>51.279009526514912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46.58956524896174</v>
      </c>
      <c r="G30" s="187">
        <f t="shared" si="14"/>
        <v>41.469565248961743</v>
      </c>
      <c r="H30" s="189"/>
      <c r="I30" s="189"/>
      <c r="J30" s="189"/>
      <c r="K30" s="81">
        <f t="shared" si="15"/>
        <v>1.2272371534836566</v>
      </c>
      <c r="L30" s="417">
        <f t="shared" si="16"/>
        <v>50</v>
      </c>
      <c r="M30" s="418">
        <f t="shared" si="21"/>
        <v>0.1041</v>
      </c>
      <c r="N30" s="418">
        <f>L30*M30</f>
        <v>5.2050000000000001</v>
      </c>
      <c r="O30" s="418">
        <f t="shared" si="19"/>
        <v>4.9079999999999999E-2</v>
      </c>
      <c r="P30" s="418">
        <f>INT(N30/O30*100)/100</f>
        <v>106.05</v>
      </c>
      <c r="Q30" s="419">
        <f>INT((G23-P30)*100)/100</f>
        <v>-72.78</v>
      </c>
      <c r="V30" s="56">
        <f t="shared" si="8"/>
        <v>150</v>
      </c>
      <c r="W30" s="52">
        <f t="shared" si="9"/>
        <v>1.041843865003617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92.596713536100538</v>
      </c>
      <c r="AC30" s="58">
        <f t="shared" si="5"/>
        <v>92.596713536100538</v>
      </c>
      <c r="AE30" s="57">
        <f t="shared" si="6"/>
        <v>540</v>
      </c>
      <c r="AF30" s="58">
        <f t="shared" si="20"/>
        <v>52.216713580558562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47.65264642621549</v>
      </c>
      <c r="G31" s="187">
        <f t="shared" si="14"/>
        <v>42.532646426215493</v>
      </c>
      <c r="H31" s="189"/>
      <c r="I31" s="189"/>
      <c r="J31" s="189"/>
      <c r="K31" s="81">
        <f t="shared" si="15"/>
        <v>1.0630811772537498</v>
      </c>
      <c r="L31" s="417">
        <f t="shared" si="16"/>
        <v>55</v>
      </c>
      <c r="M31" s="418">
        <f t="shared" si="21"/>
        <v>0.1041</v>
      </c>
      <c r="N31" s="418">
        <f>L31*M31</f>
        <v>5.7255000000000003</v>
      </c>
      <c r="O31" s="418">
        <f t="shared" si="19"/>
        <v>4.9079999999999999E-2</v>
      </c>
      <c r="P31" s="418">
        <f>INT(N31/O31*100)/100</f>
        <v>116.65</v>
      </c>
      <c r="Q31" s="419">
        <f>INT((G24-P31)*100)/100</f>
        <v>-82.62</v>
      </c>
      <c r="V31" s="56">
        <f t="shared" si="8"/>
        <v>150</v>
      </c>
      <c r="W31" s="52">
        <f t="shared" si="9"/>
        <v>1.041843865003617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93.435518395543113</v>
      </c>
      <c r="AC31" s="58">
        <f t="shared" si="5"/>
        <v>93.435518395543113</v>
      </c>
      <c r="AE31" s="57">
        <f t="shared" si="6"/>
        <v>600</v>
      </c>
      <c r="AF31" s="58">
        <f t="shared" si="20"/>
        <v>53.055518440001137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48.590350480259112</v>
      </c>
      <c r="G32" s="187">
        <f t="shared" si="14"/>
        <v>43.470350480259114</v>
      </c>
      <c r="H32" s="189"/>
      <c r="I32" s="189"/>
      <c r="J32" s="189"/>
      <c r="K32" s="81">
        <f t="shared" si="15"/>
        <v>0.93770405404362123</v>
      </c>
      <c r="L32" s="83" t="s">
        <v>21</v>
      </c>
      <c r="O32" s="85"/>
      <c r="V32" s="56">
        <f t="shared" si="8"/>
        <v>150</v>
      </c>
      <c r="W32" s="52">
        <f t="shared" si="9"/>
        <v>1.041843865003617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94.194309689179619</v>
      </c>
      <c r="AC32" s="58">
        <f t="shared" si="5"/>
        <v>94.194309689179619</v>
      </c>
      <c r="AE32" s="57">
        <f t="shared" si="6"/>
        <v>660</v>
      </c>
      <c r="AF32" s="58">
        <f t="shared" si="20"/>
        <v>53.814309733637643</v>
      </c>
    </row>
    <row r="33" spans="1:32" s="52" customFormat="1" ht="21" customHeight="1">
      <c r="A33" s="183"/>
      <c r="B33" s="183"/>
      <c r="C33" s="185">
        <f>$C$10+D33/1440</f>
        <v>45209.611111111109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50.880668810996504</v>
      </c>
      <c r="G33" s="187">
        <f t="shared" si="14"/>
        <v>45.760668810996506</v>
      </c>
      <c r="H33" s="189"/>
      <c r="I33" s="189"/>
      <c r="J33" s="189"/>
      <c r="K33" s="81">
        <f t="shared" si="15"/>
        <v>2.2903183307373922</v>
      </c>
      <c r="L33" s="76" t="s">
        <v>21</v>
      </c>
      <c r="O33" s="85"/>
      <c r="V33" s="56">
        <f t="shared" si="8"/>
        <v>150</v>
      </c>
      <c r="W33" s="52">
        <f t="shared" si="9"/>
        <v>1.041843865003617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94.887031866837916</v>
      </c>
      <c r="AC33" s="58">
        <f t="shared" si="5"/>
        <v>94.887031866837916</v>
      </c>
      <c r="AE33" s="57">
        <f t="shared" si="6"/>
        <v>720</v>
      </c>
      <c r="AF33" s="58">
        <f t="shared" si="20"/>
        <v>54.50703191129594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52.657177724482715</v>
      </c>
      <c r="G34" s="187">
        <f t="shared" si="14"/>
        <v>47.537177724482717</v>
      </c>
      <c r="H34" s="189"/>
      <c r="I34" s="189"/>
      <c r="J34" s="189"/>
      <c r="K34" s="81">
        <f t="shared" si="15"/>
        <v>1.7765089134862109</v>
      </c>
      <c r="L34" s="76" t="s">
        <v>21</v>
      </c>
      <c r="P34" s="85"/>
      <c r="V34" s="56">
        <f t="shared" si="8"/>
        <v>150</v>
      </c>
      <c r="W34" s="52">
        <f t="shared" si="9"/>
        <v>1.041843865003617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95.524274497441127</v>
      </c>
      <c r="AC34" s="58">
        <f t="shared" si="5"/>
        <v>95.524274497441127</v>
      </c>
      <c r="AE34" s="57">
        <f t="shared" si="6"/>
        <v>780</v>
      </c>
      <c r="AF34" s="58">
        <f t="shared" si="20"/>
        <v>55.144274541899151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54.108691195777531</v>
      </c>
      <c r="G35" s="187">
        <f t="shared" si="14"/>
        <v>48.988691195777534</v>
      </c>
      <c r="H35" s="189"/>
      <c r="I35" s="189"/>
      <c r="J35" s="189"/>
      <c r="K35" s="81">
        <f t="shared" si="15"/>
        <v>1.4515134712948168</v>
      </c>
      <c r="L35" s="76" t="s">
        <v>21</v>
      </c>
      <c r="O35" s="85"/>
      <c r="V35" s="56">
        <f t="shared" si="8"/>
        <v>150</v>
      </c>
      <c r="W35" s="52">
        <f t="shared" si="9"/>
        <v>1.041843865003617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96.114269020321572</v>
      </c>
      <c r="AC35" s="58">
        <f t="shared" si="5"/>
        <v>96.114269020321572</v>
      </c>
      <c r="AE35" s="57">
        <f t="shared" si="6"/>
        <v>840</v>
      </c>
      <c r="AF35" s="58">
        <f t="shared" si="20"/>
        <v>55.734269064779596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55.335928349261174</v>
      </c>
      <c r="G36" s="187">
        <f t="shared" si="14"/>
        <v>50.215928349261176</v>
      </c>
      <c r="H36" s="189"/>
      <c r="I36" s="189"/>
      <c r="J36" s="189"/>
      <c r="K36" s="81">
        <f t="shared" si="15"/>
        <v>1.2272371534836424</v>
      </c>
      <c r="L36" s="76" t="s">
        <v>21</v>
      </c>
      <c r="V36" s="56">
        <f t="shared" si="8"/>
        <v>150</v>
      </c>
      <c r="W36" s="52">
        <f t="shared" si="9"/>
        <v>1.041843865003617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96.663540780324126</v>
      </c>
      <c r="AC36" s="58">
        <f t="shared" si="5"/>
        <v>96.663540780324126</v>
      </c>
      <c r="AE36" s="57">
        <f t="shared" si="6"/>
        <v>900</v>
      </c>
      <c r="AF36" s="58">
        <f t="shared" si="20"/>
        <v>56.28354082478215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56.399009526514909</v>
      </c>
      <c r="G37" s="187">
        <f t="shared" si="14"/>
        <v>51.279009526514912</v>
      </c>
      <c r="H37" s="189"/>
      <c r="I37" s="189"/>
      <c r="J37" s="189"/>
      <c r="K37" s="81">
        <f t="shared" si="15"/>
        <v>1.0630811772537356</v>
      </c>
      <c r="L37" s="76" t="s">
        <v>21</v>
      </c>
      <c r="V37" s="56">
        <f t="shared" si="8"/>
        <v>150</v>
      </c>
      <c r="W37" s="52">
        <f t="shared" si="9"/>
        <v>1.041843865003617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97.177350197575308</v>
      </c>
      <c r="AC37" s="58">
        <f t="shared" si="5"/>
        <v>97.177350197575308</v>
      </c>
      <c r="AD37" s="52">
        <v>37</v>
      </c>
      <c r="AE37" s="57">
        <f t="shared" si="6"/>
        <v>960</v>
      </c>
      <c r="AF37" s="58">
        <f t="shared" si="20"/>
        <v>56.797350242033332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57.336713580558559</v>
      </c>
      <c r="G38" s="187">
        <f t="shared" si="14"/>
        <v>52.216713580558562</v>
      </c>
      <c r="H38" s="189"/>
      <c r="I38" s="189"/>
      <c r="J38" s="189"/>
      <c r="K38" s="81">
        <f t="shared" si="15"/>
        <v>0.93770405404364965</v>
      </c>
      <c r="L38" s="76" t="s">
        <v>21</v>
      </c>
      <c r="V38" s="56">
        <f t="shared" si="8"/>
        <v>150</v>
      </c>
      <c r="W38" s="52">
        <f t="shared" si="9"/>
        <v>1.041843865003617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97.659999955541977</v>
      </c>
      <c r="AC38" s="58">
        <f t="shared" si="5"/>
        <v>97.659999955541977</v>
      </c>
      <c r="AD38" s="53" t="s">
        <v>40</v>
      </c>
      <c r="AE38" s="57">
        <f t="shared" si="6"/>
        <v>1020</v>
      </c>
      <c r="AF38" s="58">
        <f t="shared" si="20"/>
        <v>57.28</v>
      </c>
    </row>
    <row r="39" spans="1:32" s="52" customFormat="1" ht="21" customHeight="1">
      <c r="A39" s="183"/>
      <c r="B39" s="183"/>
      <c r="C39" s="185">
        <f>$C$10+D39/1440</f>
        <v>45209.861111111109</v>
      </c>
      <c r="D39" s="186">
        <f t="shared" si="23"/>
        <v>600</v>
      </c>
      <c r="E39" s="176">
        <f t="shared" si="12"/>
        <v>0.41666666666666669</v>
      </c>
      <c r="F39" s="187">
        <f t="shared" si="13"/>
        <v>58.175518440001134</v>
      </c>
      <c r="G39" s="187">
        <f t="shared" si="14"/>
        <v>53.055518440001137</v>
      </c>
      <c r="H39" s="189"/>
      <c r="I39" s="189"/>
      <c r="J39" s="189"/>
      <c r="K39" s="81">
        <f t="shared" si="15"/>
        <v>0.83880485944257543</v>
      </c>
      <c r="L39" s="76" t="s">
        <v>21</v>
      </c>
      <c r="V39" s="56">
        <f t="shared" si="8"/>
        <v>150</v>
      </c>
      <c r="W39" s="52">
        <f t="shared" si="9"/>
        <v>1.041843865003617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97.659999955541977</v>
      </c>
      <c r="AC39" s="58">
        <f t="shared" ref="AC39:AC40" si="24">AC38</f>
        <v>97.659999955541977</v>
      </c>
      <c r="AD39" s="86">
        <v>39</v>
      </c>
      <c r="AE39" s="57">
        <f t="shared" si="6"/>
        <v>1080</v>
      </c>
      <c r="AF39" s="58">
        <f t="shared" si="20"/>
        <v>57.28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58.93430973363764</v>
      </c>
      <c r="G40" s="187">
        <f t="shared" si="14"/>
        <v>53.814309733637643</v>
      </c>
      <c r="H40" s="189"/>
      <c r="I40" s="189"/>
      <c r="J40" s="189"/>
      <c r="K40" s="81">
        <f t="shared" si="15"/>
        <v>0.75879129363650577</v>
      </c>
      <c r="L40" s="76" t="s">
        <v>21</v>
      </c>
      <c r="V40" s="56">
        <f t="shared" si="8"/>
        <v>150</v>
      </c>
      <c r="W40" s="52">
        <f t="shared" si="9"/>
        <v>1.041843865003617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97.659999955541977</v>
      </c>
      <c r="AC40" s="58">
        <f t="shared" si="24"/>
        <v>97.659999955541977</v>
      </c>
      <c r="AD40" s="86">
        <v>40</v>
      </c>
      <c r="AE40" s="57">
        <f t="shared" si="6"/>
        <v>1140</v>
      </c>
      <c r="AF40" s="58">
        <f t="shared" si="20"/>
        <v>57.28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59.627031911295937</v>
      </c>
      <c r="G41" s="187">
        <f t="shared" si="14"/>
        <v>54.50703191129594</v>
      </c>
      <c r="H41" s="189"/>
      <c r="I41" s="189"/>
      <c r="J41" s="189"/>
      <c r="K41" s="81">
        <f t="shared" si="15"/>
        <v>0.6927221776582968</v>
      </c>
      <c r="L41" s="76" t="s">
        <v>21</v>
      </c>
      <c r="V41" s="87">
        <f t="shared" si="8"/>
        <v>150</v>
      </c>
      <c r="W41" s="88">
        <f t="shared" si="9"/>
        <v>1.041843865003617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97.659999955541977</v>
      </c>
      <c r="AC41" s="58">
        <f t="shared" ref="AC41:AC46" si="25">AC40</f>
        <v>97.659999955541977</v>
      </c>
      <c r="AD41" s="91">
        <v>41</v>
      </c>
      <c r="AE41" s="57">
        <f t="shared" si="6"/>
        <v>1200</v>
      </c>
      <c r="AF41" s="58">
        <f t="shared" si="20"/>
        <v>57.28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60.264274541899148</v>
      </c>
      <c r="G42" s="187">
        <f t="shared" si="14"/>
        <v>55.144274541899151</v>
      </c>
      <c r="H42" s="189"/>
      <c r="I42" s="189"/>
      <c r="J42" s="189"/>
      <c r="K42" s="81">
        <f t="shared" si="15"/>
        <v>0.63724263060321107</v>
      </c>
      <c r="L42" s="76" t="s">
        <v>21</v>
      </c>
      <c r="V42" s="56">
        <f t="shared" si="8"/>
        <v>150</v>
      </c>
      <c r="W42" s="52">
        <f t="shared" si="9"/>
        <v>1.041843865003617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97.659999955541977</v>
      </c>
      <c r="AC42" s="58">
        <f t="shared" si="25"/>
        <v>97.659999955541977</v>
      </c>
      <c r="AD42" s="86">
        <v>42</v>
      </c>
      <c r="AE42" s="57">
        <f t="shared" si="6"/>
        <v>1260</v>
      </c>
      <c r="AF42" s="58">
        <f t="shared" si="20"/>
        <v>57.28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60.854269064779594</v>
      </c>
      <c r="G43" s="187">
        <f t="shared" si="14"/>
        <v>55.734269064779596</v>
      </c>
      <c r="H43" s="189"/>
      <c r="I43" s="189"/>
      <c r="J43" s="189"/>
      <c r="K43" s="81">
        <f t="shared" si="15"/>
        <v>0.58999452288044552</v>
      </c>
      <c r="L43" s="76" t="s">
        <v>21</v>
      </c>
      <c r="V43" s="87">
        <f t="shared" si="8"/>
        <v>150</v>
      </c>
      <c r="W43" s="88">
        <f t="shared" si="9"/>
        <v>1.041843865003617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97.659999955541977</v>
      </c>
      <c r="AC43" s="58">
        <f t="shared" si="25"/>
        <v>97.659999955541977</v>
      </c>
      <c r="AD43" s="91">
        <v>43</v>
      </c>
      <c r="AE43" s="57">
        <f t="shared" si="6"/>
        <v>1320</v>
      </c>
      <c r="AF43" s="58">
        <f t="shared" si="20"/>
        <v>57.28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61.403540824782148</v>
      </c>
      <c r="G44" s="187">
        <f t="shared" si="14"/>
        <v>56.28354082478215</v>
      </c>
      <c r="H44" s="189"/>
      <c r="I44" s="189"/>
      <c r="J44" s="189"/>
      <c r="K44" s="81">
        <f t="shared" si="15"/>
        <v>0.54927176000255429</v>
      </c>
      <c r="L44" s="76" t="s">
        <v>21</v>
      </c>
      <c r="V44" s="56">
        <f t="shared" si="8"/>
        <v>150</v>
      </c>
      <c r="W44" s="52">
        <f t="shared" si="9"/>
        <v>1.041843865003617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97.659999955541977</v>
      </c>
      <c r="AC44" s="58">
        <f t="shared" si="25"/>
        <v>97.659999955541977</v>
      </c>
      <c r="AD44" s="86">
        <v>44</v>
      </c>
      <c r="AE44" s="57">
        <f t="shared" si="6"/>
        <v>1380</v>
      </c>
      <c r="AF44" s="58">
        <f t="shared" si="20"/>
        <v>57.28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45210.111111111109</v>
      </c>
      <c r="D45" s="186">
        <f t="shared" si="23"/>
        <v>960</v>
      </c>
      <c r="E45" s="176">
        <f t="shared" si="12"/>
        <v>0.66666666666666663</v>
      </c>
      <c r="F45" s="187">
        <f t="shared" si="13"/>
        <v>61.917350242033329</v>
      </c>
      <c r="G45" s="187">
        <f t="shared" si="14"/>
        <v>56.797350242033332</v>
      </c>
      <c r="H45" s="189"/>
      <c r="I45" s="189"/>
      <c r="J45" s="189"/>
      <c r="K45" s="81">
        <f t="shared" si="15"/>
        <v>0.51380941725118134</v>
      </c>
      <c r="L45" s="76" t="s">
        <v>21</v>
      </c>
      <c r="V45" s="87">
        <f t="shared" si="8"/>
        <v>150</v>
      </c>
      <c r="W45" s="88">
        <f t="shared" si="9"/>
        <v>1.041843865003617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97.659999955541977</v>
      </c>
      <c r="AC45" s="58">
        <f t="shared" si="25"/>
        <v>97.659999955541977</v>
      </c>
      <c r="AD45" s="91">
        <v>45</v>
      </c>
      <c r="AE45" s="57">
        <f t="shared" si="6"/>
        <v>1440</v>
      </c>
      <c r="AF45" s="58">
        <f t="shared" si="20"/>
        <v>57.28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62.4</v>
      </c>
      <c r="G46" s="187">
        <f t="shared" si="14"/>
        <v>57.28</v>
      </c>
      <c r="H46" s="189"/>
      <c r="I46" s="189"/>
      <c r="J46" s="189"/>
      <c r="K46" s="81">
        <f t="shared" si="15"/>
        <v>0.48264975796666931</v>
      </c>
      <c r="L46" s="76" t="s">
        <v>21</v>
      </c>
      <c r="V46" s="56">
        <f t="shared" si="8"/>
        <v>150</v>
      </c>
      <c r="W46" s="52">
        <f t="shared" si="9"/>
        <v>1.041843865003617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97.659999955541977</v>
      </c>
      <c r="AC46" s="58">
        <f t="shared" si="25"/>
        <v>97.659999955541977</v>
      </c>
      <c r="AD46" s="86">
        <v>46</v>
      </c>
      <c r="AE46" s="92">
        <f t="shared" si="6"/>
        <v>1500</v>
      </c>
      <c r="AF46" s="94">
        <f t="shared" si="20"/>
        <v>57.28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62.4</v>
      </c>
      <c r="G47" s="187">
        <f t="shared" si="14"/>
        <v>57.28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150</v>
      </c>
      <c r="W47" s="52">
        <f t="shared" si="9"/>
        <v>1.041843865003617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97.659999955541977</v>
      </c>
      <c r="AC47" s="58">
        <f t="shared" ref="AC47:AC69" si="26">AC46</f>
        <v>97.659999955541977</v>
      </c>
      <c r="AE47" s="57">
        <f t="shared" si="6"/>
        <v>1560</v>
      </c>
      <c r="AF47" s="58">
        <f t="shared" si="20"/>
        <v>57.28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62.4</v>
      </c>
      <c r="G48" s="187">
        <f t="shared" si="14"/>
        <v>57.28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150</v>
      </c>
      <c r="W48" s="52">
        <f t="shared" si="9"/>
        <v>1.041843865003617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97.659999955541977</v>
      </c>
      <c r="AC48" s="58">
        <f t="shared" si="26"/>
        <v>97.659999955541977</v>
      </c>
      <c r="AE48" s="57">
        <f t="shared" si="6"/>
        <v>1620</v>
      </c>
      <c r="AF48" s="58">
        <f t="shared" si="20"/>
        <v>57.28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62.4</v>
      </c>
      <c r="G49" s="187">
        <f t="shared" si="14"/>
        <v>57.28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150</v>
      </c>
      <c r="W49" s="52">
        <f t="shared" si="9"/>
        <v>1.041843865003617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97.659999955541977</v>
      </c>
      <c r="AC49" s="58">
        <f t="shared" si="26"/>
        <v>97.659999955541977</v>
      </c>
      <c r="AE49" s="57">
        <f t="shared" si="6"/>
        <v>1680</v>
      </c>
      <c r="AF49" s="58">
        <f t="shared" si="20"/>
        <v>57.28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62.4</v>
      </c>
      <c r="G50" s="187">
        <f t="shared" si="14"/>
        <v>57.28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150</v>
      </c>
      <c r="W50" s="52">
        <f t="shared" si="9"/>
        <v>1.041843865003617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97.659999955541977</v>
      </c>
      <c r="AC50" s="58">
        <f t="shared" si="26"/>
        <v>97.659999955541977</v>
      </c>
      <c r="AE50" s="57">
        <f t="shared" si="6"/>
        <v>1740</v>
      </c>
      <c r="AF50" s="58">
        <f t="shared" si="20"/>
        <v>57.28</v>
      </c>
    </row>
    <row r="51" spans="1:32" s="52" customFormat="1" ht="21" customHeight="1">
      <c r="A51" s="183"/>
      <c r="B51" s="183"/>
      <c r="C51" s="185">
        <f>$C$10+D51/1440</f>
        <v>45210.361111111109</v>
      </c>
      <c r="D51" s="186">
        <f t="shared" si="23"/>
        <v>1320</v>
      </c>
      <c r="E51" s="176">
        <f t="shared" si="12"/>
        <v>0.91666666666666663</v>
      </c>
      <c r="F51" s="187">
        <f t="shared" si="13"/>
        <v>62.4</v>
      </c>
      <c r="G51" s="187">
        <f t="shared" si="14"/>
        <v>57.28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150</v>
      </c>
      <c r="W51" s="52">
        <f t="shared" si="9"/>
        <v>1.041843865003617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97.659999955541977</v>
      </c>
      <c r="AC51" s="58">
        <f t="shared" si="26"/>
        <v>97.659999955541977</v>
      </c>
      <c r="AE51" s="57">
        <f t="shared" si="6"/>
        <v>1800</v>
      </c>
      <c r="AF51" s="58">
        <f t="shared" si="20"/>
        <v>57.28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62.4</v>
      </c>
      <c r="G52" s="187">
        <f t="shared" si="14"/>
        <v>57.28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150</v>
      </c>
      <c r="W52" s="52">
        <f t="shared" si="9"/>
        <v>1.041843865003617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97.659999955541977</v>
      </c>
      <c r="AC52" s="58">
        <f t="shared" si="26"/>
        <v>97.659999955541977</v>
      </c>
      <c r="AE52" s="57">
        <f t="shared" si="6"/>
        <v>1860</v>
      </c>
      <c r="AF52" s="58">
        <f t="shared" si="20"/>
        <v>57.28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62.4</v>
      </c>
      <c r="G53" s="187">
        <f t="shared" si="14"/>
        <v>57.28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150</v>
      </c>
      <c r="W53" s="52">
        <f t="shared" si="9"/>
        <v>1.041843865003617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97.659999955541977</v>
      </c>
      <c r="AC53" s="58">
        <f t="shared" si="26"/>
        <v>97.659999955541977</v>
      </c>
      <c r="AE53" s="57">
        <f t="shared" si="6"/>
        <v>1920</v>
      </c>
      <c r="AF53" s="58">
        <f t="shared" si="20"/>
        <v>57.28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62.4</v>
      </c>
      <c r="G54" s="187">
        <f t="shared" si="14"/>
        <v>57.28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150</v>
      </c>
      <c r="W54" s="52">
        <f t="shared" si="9"/>
        <v>1.041843865003617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97.659999955541977</v>
      </c>
      <c r="AC54" s="58">
        <f t="shared" si="26"/>
        <v>97.659999955541977</v>
      </c>
      <c r="AE54" s="57">
        <f t="shared" si="6"/>
        <v>1980</v>
      </c>
      <c r="AF54" s="58">
        <f t="shared" si="20"/>
        <v>57.28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62.4</v>
      </c>
      <c r="G55" s="187">
        <f t="shared" si="14"/>
        <v>57.28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150</v>
      </c>
      <c r="W55" s="52">
        <f t="shared" si="9"/>
        <v>1.041843865003617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97.659999955541977</v>
      </c>
      <c r="AC55" s="58">
        <f t="shared" si="26"/>
        <v>97.659999955541977</v>
      </c>
      <c r="AE55" s="57">
        <f t="shared" si="6"/>
        <v>2040</v>
      </c>
      <c r="AF55" s="58">
        <f t="shared" si="20"/>
        <v>57.28</v>
      </c>
    </row>
    <row r="56" spans="1:32" s="52" customFormat="1" ht="21.6" customHeight="1">
      <c r="A56" s="183"/>
      <c r="B56" s="183"/>
      <c r="C56" s="185">
        <f>$C$10+D56/1440</f>
        <v>45210.569444444445</v>
      </c>
      <c r="D56" s="186">
        <f t="shared" si="23"/>
        <v>1620</v>
      </c>
      <c r="E56" s="176">
        <f t="shared" si="12"/>
        <v>1.125</v>
      </c>
      <c r="F56" s="187">
        <f t="shared" si="13"/>
        <v>62.4</v>
      </c>
      <c r="G56" s="187">
        <f t="shared" si="14"/>
        <v>57.28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150</v>
      </c>
      <c r="W56" s="52">
        <f t="shared" si="9"/>
        <v>1.041843865003617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97.659999955541977</v>
      </c>
      <c r="AC56" s="58">
        <f t="shared" si="26"/>
        <v>97.659999955541977</v>
      </c>
      <c r="AE56" s="57">
        <f t="shared" si="6"/>
        <v>2100</v>
      </c>
      <c r="AF56" s="58">
        <f t="shared" si="20"/>
        <v>57.28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62.4</v>
      </c>
      <c r="G57" s="187">
        <f t="shared" si="14"/>
        <v>57.28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150</v>
      </c>
      <c r="W57" s="52">
        <f t="shared" si="9"/>
        <v>1.041843865003617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97.659999955541977</v>
      </c>
      <c r="AC57" s="58">
        <f t="shared" si="26"/>
        <v>97.659999955541977</v>
      </c>
      <c r="AE57" s="57">
        <f t="shared" si="6"/>
        <v>2160</v>
      </c>
      <c r="AF57" s="58">
        <f t="shared" si="20"/>
        <v>57.28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62.4</v>
      </c>
      <c r="G58" s="187">
        <f t="shared" si="14"/>
        <v>57.28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150</v>
      </c>
      <c r="W58" s="52">
        <f t="shared" si="9"/>
        <v>1.041843865003617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97.659999955541977</v>
      </c>
      <c r="AC58" s="58">
        <f t="shared" si="26"/>
        <v>97.659999955541977</v>
      </c>
      <c r="AE58" s="57">
        <f t="shared" si="6"/>
        <v>2220</v>
      </c>
      <c r="AF58" s="58">
        <f t="shared" si="20"/>
        <v>57.28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62.4</v>
      </c>
      <c r="G59" s="187">
        <f t="shared" si="14"/>
        <v>57.28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150</v>
      </c>
      <c r="W59" s="52">
        <f t="shared" si="9"/>
        <v>1.041843865003617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97.659999955541977</v>
      </c>
      <c r="AC59" s="58">
        <f t="shared" si="26"/>
        <v>97.659999955541977</v>
      </c>
      <c r="AE59" s="57">
        <f t="shared" si="6"/>
        <v>2280</v>
      </c>
      <c r="AF59" s="58">
        <f t="shared" si="20"/>
        <v>57.28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62.4</v>
      </c>
      <c r="G60" s="187">
        <f t="shared" si="14"/>
        <v>57.28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150</v>
      </c>
      <c r="W60" s="52">
        <f t="shared" si="9"/>
        <v>1.041843865003617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97.659999955541977</v>
      </c>
      <c r="AC60" s="58">
        <f t="shared" si="26"/>
        <v>97.659999955541977</v>
      </c>
      <c r="AE60" s="57">
        <f t="shared" si="6"/>
        <v>2340</v>
      </c>
      <c r="AF60" s="58">
        <f t="shared" si="20"/>
        <v>57.28</v>
      </c>
    </row>
    <row r="61" spans="1:32" s="52" customFormat="1" ht="21.6" customHeight="1">
      <c r="A61" s="183"/>
      <c r="B61" s="183"/>
      <c r="C61" s="185">
        <f>$C$10+D61/1440</f>
        <v>45210.777777777781</v>
      </c>
      <c r="D61" s="186">
        <f t="shared" si="23"/>
        <v>1920</v>
      </c>
      <c r="E61" s="176">
        <f t="shared" si="12"/>
        <v>1.3333333333333333</v>
      </c>
      <c r="F61" s="187">
        <f t="shared" si="13"/>
        <v>62.4</v>
      </c>
      <c r="G61" s="187">
        <f t="shared" si="14"/>
        <v>57.28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150</v>
      </c>
      <c r="W61" s="52">
        <f t="shared" si="9"/>
        <v>1.041843865003617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97.659999955541977</v>
      </c>
      <c r="AC61" s="58">
        <f t="shared" si="26"/>
        <v>97.659999955541977</v>
      </c>
      <c r="AE61" s="57">
        <f t="shared" si="6"/>
        <v>2400</v>
      </c>
      <c r="AF61" s="58">
        <f t="shared" si="20"/>
        <v>57.28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62.4</v>
      </c>
      <c r="G62" s="187">
        <f t="shared" si="14"/>
        <v>57.28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150</v>
      </c>
      <c r="W62" s="52">
        <f t="shared" si="9"/>
        <v>1.041843865003617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97.659999955541977</v>
      </c>
      <c r="AC62" s="58">
        <f t="shared" si="26"/>
        <v>97.659999955541977</v>
      </c>
      <c r="AE62" s="57">
        <f t="shared" si="6"/>
        <v>2460</v>
      </c>
      <c r="AF62" s="58">
        <f t="shared" si="20"/>
        <v>57.28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62.4</v>
      </c>
      <c r="G63" s="187">
        <f t="shared" si="14"/>
        <v>57.28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150</v>
      </c>
      <c r="W63" s="52">
        <f t="shared" si="9"/>
        <v>1.041843865003617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97.659999955541977</v>
      </c>
      <c r="AC63" s="58">
        <f t="shared" si="26"/>
        <v>97.659999955541977</v>
      </c>
      <c r="AE63" s="57">
        <f t="shared" si="6"/>
        <v>2520</v>
      </c>
      <c r="AF63" s="58">
        <f t="shared" si="20"/>
        <v>57.28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7">F63</f>
        <v>62.4</v>
      </c>
      <c r="G64" s="187">
        <f t="shared" si="14"/>
        <v>57.28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150</v>
      </c>
      <c r="W64" s="52">
        <f t="shared" si="9"/>
        <v>1.041843865003617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97.659999955541977</v>
      </c>
      <c r="AC64" s="58">
        <f t="shared" si="26"/>
        <v>97.659999955541977</v>
      </c>
      <c r="AE64" s="57">
        <f t="shared" si="6"/>
        <v>2580</v>
      </c>
      <c r="AF64" s="58">
        <f t="shared" si="20"/>
        <v>57.28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7"/>
        <v>62.4</v>
      </c>
      <c r="G65" s="187">
        <f t="shared" si="14"/>
        <v>57.28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150</v>
      </c>
      <c r="W65" s="52">
        <f t="shared" si="9"/>
        <v>1.041843865003617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97.659999955541977</v>
      </c>
      <c r="AC65" s="58">
        <f t="shared" si="26"/>
        <v>97.659999955541977</v>
      </c>
      <c r="AE65" s="57">
        <f t="shared" si="6"/>
        <v>2640</v>
      </c>
      <c r="AF65" s="58">
        <f t="shared" si="20"/>
        <v>57.28</v>
      </c>
    </row>
    <row r="66" spans="1:32" s="52" customFormat="1" ht="21.6" customHeight="1">
      <c r="A66" s="183"/>
      <c r="B66" s="183"/>
      <c r="C66" s="185">
        <f>$C$10+D66/1440</f>
        <v>45210.986111111109</v>
      </c>
      <c r="D66" s="186">
        <f t="shared" si="23"/>
        <v>2220</v>
      </c>
      <c r="E66" s="176">
        <f t="shared" si="12"/>
        <v>1.5416666666666667</v>
      </c>
      <c r="F66" s="187">
        <f t="shared" si="27"/>
        <v>62.4</v>
      </c>
      <c r="G66" s="187">
        <f t="shared" si="14"/>
        <v>57.28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150</v>
      </c>
      <c r="W66" s="52">
        <f t="shared" si="9"/>
        <v>1.041843865003617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97.659999955541977</v>
      </c>
      <c r="AC66" s="58">
        <f t="shared" si="26"/>
        <v>97.659999955541977</v>
      </c>
      <c r="AE66" s="57">
        <f t="shared" si="6"/>
        <v>2700</v>
      </c>
      <c r="AF66" s="58">
        <f t="shared" si="20"/>
        <v>57.28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7"/>
        <v>62.4</v>
      </c>
      <c r="G67" s="187">
        <f t="shared" si="14"/>
        <v>57.28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150</v>
      </c>
      <c r="W67" s="52">
        <f t="shared" si="9"/>
        <v>1.041843865003617</v>
      </c>
      <c r="X67" s="52">
        <f t="shared" si="10"/>
        <v>0.125</v>
      </c>
      <c r="Y67" s="52">
        <f t="shared" si="11"/>
        <v>5.0000000000000001E-4</v>
      </c>
      <c r="Z67" s="52">
        <f t="shared" ref="Z67:Z79" si="28">E75</f>
        <v>1.9166666666666667</v>
      </c>
      <c r="AA67" s="57">
        <f t="shared" ref="AA67:AA79" si="29">D75</f>
        <v>2760</v>
      </c>
      <c r="AB67" s="77">
        <f>AC67+AD$2</f>
        <v>97.659999955541977</v>
      </c>
      <c r="AC67" s="58">
        <f t="shared" si="26"/>
        <v>97.659999955541977</v>
      </c>
      <c r="AE67" s="57">
        <f>AA67</f>
        <v>2760</v>
      </c>
      <c r="AF67" s="58">
        <f t="shared" si="20"/>
        <v>57.28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7"/>
        <v>62.4</v>
      </c>
      <c r="G68" s="187">
        <f t="shared" si="14"/>
        <v>57.28</v>
      </c>
      <c r="H68" s="189"/>
      <c r="I68" s="189"/>
      <c r="J68" s="189"/>
      <c r="K68" s="52" t="s">
        <v>21</v>
      </c>
      <c r="L68" s="76" t="s">
        <v>21</v>
      </c>
      <c r="V68" s="56">
        <f>V67</f>
        <v>150</v>
      </c>
      <c r="W68" s="52">
        <f t="shared" ref="W68:W83" si="30">W$2</f>
        <v>1.041843865003617</v>
      </c>
      <c r="X68" s="52">
        <f t="shared" ref="X68:X83" si="31">X67</f>
        <v>0.125</v>
      </c>
      <c r="Y68" s="52">
        <f t="shared" ref="Y68:Y83" si="32">Y$2</f>
        <v>5.0000000000000001E-4</v>
      </c>
      <c r="Z68" s="52">
        <f t="shared" si="28"/>
        <v>1.9583333333333333</v>
      </c>
      <c r="AA68" s="57">
        <f t="shared" si="29"/>
        <v>2820</v>
      </c>
      <c r="AB68" s="77">
        <f>AC68+AD$2</f>
        <v>97.659999955541977</v>
      </c>
      <c r="AC68" s="58">
        <f t="shared" si="26"/>
        <v>97.659999955541977</v>
      </c>
      <c r="AE68" s="57">
        <f>AA68</f>
        <v>2820</v>
      </c>
      <c r="AF68" s="58">
        <f t="shared" si="20"/>
        <v>57.28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7"/>
        <v>62.4</v>
      </c>
      <c r="G69" s="187">
        <f t="shared" si="14"/>
        <v>57.28</v>
      </c>
      <c r="H69" s="189"/>
      <c r="I69" s="189"/>
      <c r="J69" s="189"/>
      <c r="K69" s="52" t="s">
        <v>21</v>
      </c>
      <c r="L69" s="76" t="s">
        <v>21</v>
      </c>
      <c r="V69" s="56">
        <f>V68</f>
        <v>150</v>
      </c>
      <c r="W69" s="52">
        <f t="shared" si="30"/>
        <v>1.041843865003617</v>
      </c>
      <c r="X69" s="52">
        <f t="shared" si="31"/>
        <v>0.125</v>
      </c>
      <c r="Y69" s="52">
        <f t="shared" si="32"/>
        <v>5.0000000000000001E-4</v>
      </c>
      <c r="Z69" s="52">
        <f t="shared" si="28"/>
        <v>2</v>
      </c>
      <c r="AA69" s="57">
        <f t="shared" si="29"/>
        <v>2880</v>
      </c>
      <c r="AB69" s="77">
        <f>AC69+AD$2</f>
        <v>97.659999955541977</v>
      </c>
      <c r="AC69" s="58">
        <f t="shared" si="26"/>
        <v>97.659999955541977</v>
      </c>
      <c r="AE69" s="57">
        <f>AA69</f>
        <v>2880</v>
      </c>
      <c r="AF69" s="58">
        <f t="shared" si="20"/>
        <v>57.28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7"/>
        <v>62.4</v>
      </c>
      <c r="G70" s="187">
        <f t="shared" si="14"/>
        <v>57.28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0"/>
        <v>1.041843865003617</v>
      </c>
      <c r="X70" s="52">
        <f t="shared" si="31"/>
        <v>0.125</v>
      </c>
      <c r="Y70" s="52">
        <f t="shared" si="32"/>
        <v>5.0000000000000001E-4</v>
      </c>
      <c r="Z70" s="52">
        <f t="shared" si="28"/>
        <v>6.9444444444444447E-4</v>
      </c>
      <c r="AA70" s="57">
        <f t="shared" si="29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45211.194444444445</v>
      </c>
      <c r="D71" s="186">
        <f t="shared" si="23"/>
        <v>2520</v>
      </c>
      <c r="E71" s="176">
        <f t="shared" si="12"/>
        <v>1.75</v>
      </c>
      <c r="F71" s="187">
        <f t="shared" si="27"/>
        <v>62.4</v>
      </c>
      <c r="G71" s="187">
        <f t="shared" si="14"/>
        <v>57.28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0"/>
        <v>1.041843865003617</v>
      </c>
      <c r="X71" s="52">
        <f t="shared" si="31"/>
        <v>0.125</v>
      </c>
      <c r="Y71" s="52">
        <f t="shared" si="32"/>
        <v>5.0000000000000001E-4</v>
      </c>
      <c r="Z71" s="52">
        <f t="shared" si="28"/>
        <v>1.3888888888888889E-3</v>
      </c>
      <c r="AA71" s="57">
        <f t="shared" si="29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7"/>
        <v>62.4</v>
      </c>
      <c r="G72" s="187">
        <f t="shared" si="14"/>
        <v>57.28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0"/>
        <v>1.041843865003617</v>
      </c>
      <c r="X72" s="52">
        <f t="shared" si="31"/>
        <v>0.125</v>
      </c>
      <c r="Y72" s="52">
        <f t="shared" si="32"/>
        <v>5.0000000000000001E-4</v>
      </c>
      <c r="Z72" s="52">
        <f t="shared" si="28"/>
        <v>2.0833333333333333E-3</v>
      </c>
      <c r="AA72" s="57">
        <f t="shared" si="29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7"/>
        <v>62.4</v>
      </c>
      <c r="G73" s="187">
        <f t="shared" si="14"/>
        <v>57.28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0"/>
        <v>1.041843865003617</v>
      </c>
      <c r="X73" s="52">
        <f t="shared" si="31"/>
        <v>0.125</v>
      </c>
      <c r="Y73" s="52">
        <f t="shared" si="32"/>
        <v>5.0000000000000001E-4</v>
      </c>
      <c r="Z73" s="52">
        <f t="shared" si="28"/>
        <v>2.7777777777777779E-3</v>
      </c>
      <c r="AA73" s="57">
        <f t="shared" si="29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7"/>
        <v>62.4</v>
      </c>
      <c r="G74" s="187">
        <f t="shared" si="14"/>
        <v>57.28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0"/>
        <v>1.041843865003617</v>
      </c>
      <c r="X74" s="52">
        <f t="shared" si="31"/>
        <v>0.125</v>
      </c>
      <c r="Y74" s="52">
        <f t="shared" si="32"/>
        <v>5.0000000000000001E-4</v>
      </c>
      <c r="Z74" s="52">
        <f t="shared" si="28"/>
        <v>3.472222222222222E-3</v>
      </c>
      <c r="AA74" s="57">
        <f t="shared" si="29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7"/>
        <v>62.4</v>
      </c>
      <c r="G75" s="187">
        <f>AF67</f>
        <v>57.28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0"/>
        <v>1.041843865003617</v>
      </c>
      <c r="X75" s="52">
        <f t="shared" si="31"/>
        <v>0.125</v>
      </c>
      <c r="Y75" s="52">
        <f t="shared" si="32"/>
        <v>5.0000000000000001E-4</v>
      </c>
      <c r="Z75" s="52">
        <f t="shared" si="28"/>
        <v>6.9444444444444441E-3</v>
      </c>
      <c r="AA75" s="57">
        <f t="shared" si="29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7"/>
        <v>62.4</v>
      </c>
      <c r="G76" s="187">
        <f>AF68</f>
        <v>57.28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0"/>
        <v>1.041843865003617</v>
      </c>
      <c r="X76" s="52">
        <f t="shared" si="31"/>
        <v>0.125</v>
      </c>
      <c r="Y76" s="52">
        <f t="shared" si="32"/>
        <v>5.0000000000000001E-4</v>
      </c>
      <c r="Z76" s="52">
        <f t="shared" si="28"/>
        <v>1.0416666666666666E-2</v>
      </c>
      <c r="AA76" s="57">
        <f t="shared" si="29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45211.444444444445</v>
      </c>
      <c r="D77" s="186">
        <f>D76+60</f>
        <v>2880</v>
      </c>
      <c r="E77" s="176">
        <f>D77/1440</f>
        <v>2</v>
      </c>
      <c r="F77" s="188">
        <f t="shared" si="27"/>
        <v>62.4</v>
      </c>
      <c r="G77" s="187">
        <f>AF69</f>
        <v>57.28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0"/>
        <v>1.041843865003617</v>
      </c>
      <c r="X77" s="52">
        <f t="shared" si="31"/>
        <v>0.125</v>
      </c>
      <c r="Y77" s="52">
        <f t="shared" si="32"/>
        <v>5.0000000000000001E-4</v>
      </c>
      <c r="Z77" s="52">
        <f t="shared" si="28"/>
        <v>1.3888888888888888E-2</v>
      </c>
      <c r="AA77" s="57">
        <f t="shared" si="29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45211.445138888892</v>
      </c>
      <c r="D78" s="186">
        <v>1</v>
      </c>
      <c r="E78" s="176">
        <f t="shared" ref="E78:E101" si="33">D78/1440</f>
        <v>6.9444444444444447E-4</v>
      </c>
      <c r="F78" s="187">
        <f>G78+D$8</f>
        <v>37.619942154775792</v>
      </c>
      <c r="G78" s="187">
        <f>H114</f>
        <v>32.499942154775795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0"/>
        <v>1.041843865003617</v>
      </c>
      <c r="X78" s="52">
        <f t="shared" si="31"/>
        <v>0.125</v>
      </c>
      <c r="Y78" s="52">
        <f t="shared" si="32"/>
        <v>5.0000000000000001E-4</v>
      </c>
      <c r="Z78" s="52">
        <f t="shared" si="28"/>
        <v>1.7361111111111112E-2</v>
      </c>
      <c r="AA78" s="57">
        <f t="shared" si="29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3"/>
        <v>1.3888888888888889E-3</v>
      </c>
      <c r="F79" s="187">
        <f t="shared" ref="F79:F101" si="34">G79+D$8</f>
        <v>33.90342681820875</v>
      </c>
      <c r="G79" s="187">
        <f>H115</f>
        <v>28.783426818208749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0"/>
        <v>1.041843865003617</v>
      </c>
      <c r="X79" s="52">
        <f t="shared" si="31"/>
        <v>0.125</v>
      </c>
      <c r="Y79" s="52">
        <f t="shared" si="32"/>
        <v>5.0000000000000001E-4</v>
      </c>
      <c r="Z79" s="52">
        <f t="shared" si="28"/>
        <v>2.0833333333333332E-2</v>
      </c>
      <c r="AA79" s="57">
        <f t="shared" si="29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3"/>
        <v>2.0833333333333333E-3</v>
      </c>
      <c r="F80" s="187">
        <f t="shared" si="34"/>
        <v>30.611911814908723</v>
      </c>
      <c r="G80" s="187">
        <f>H116</f>
        <v>25.491911814908722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0"/>
        <v>1.041843865003617</v>
      </c>
      <c r="X80" s="52">
        <f t="shared" si="31"/>
        <v>0.125</v>
      </c>
      <c r="Y80" s="52">
        <f t="shared" si="32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3"/>
        <v>2.7777777777777779E-3</v>
      </c>
      <c r="F81" s="187">
        <f t="shared" si="34"/>
        <v>27.696796435092551</v>
      </c>
      <c r="G81" s="187">
        <f>H117</f>
        <v>22.57679643509255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0"/>
        <v>1.041843865003617</v>
      </c>
      <c r="X81" s="52">
        <f t="shared" si="31"/>
        <v>0.125</v>
      </c>
      <c r="Y81" s="52">
        <f t="shared" si="32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3"/>
        <v>3.472222222222222E-3</v>
      </c>
      <c r="F82" s="187">
        <f t="shared" si="34"/>
        <v>25.115037679892922</v>
      </c>
      <c r="G82" s="187">
        <f>H118</f>
        <v>19.995037679892921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0"/>
        <v>1.041843865003617</v>
      </c>
      <c r="X82" s="52">
        <f t="shared" si="31"/>
        <v>0.125</v>
      </c>
      <c r="Y82" s="52">
        <f t="shared" si="32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3"/>
        <v>6.9444444444444441E-3</v>
      </c>
      <c r="F83" s="187">
        <f t="shared" si="34"/>
        <v>19.009990734786946</v>
      </c>
      <c r="G83" s="187">
        <f>H121</f>
        <v>13.889990734786947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0"/>
        <v>1.041843865003617</v>
      </c>
      <c r="X83" s="52">
        <f t="shared" si="31"/>
        <v>0.125</v>
      </c>
      <c r="Y83" s="52">
        <f t="shared" si="32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3"/>
        <v>1.0416666666666666E-2</v>
      </c>
      <c r="F84" s="187">
        <f t="shared" si="34"/>
        <v>17.929786630248884</v>
      </c>
      <c r="G84" s="187">
        <f>H124</f>
        <v>12.809786630248885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3"/>
        <v>1.3888888888888888E-2</v>
      </c>
      <c r="F85" s="187">
        <f t="shared" si="34"/>
        <v>15.167585610798259</v>
      </c>
      <c r="G85" s="187">
        <f>H126</f>
        <v>10.04758561079826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3"/>
        <v>1.7361111111111112E-2</v>
      </c>
      <c r="F86" s="187">
        <f t="shared" si="34"/>
        <v>14.018598765216609</v>
      </c>
      <c r="G86" s="187">
        <f t="shared" ref="G86:G92" si="35">H127</f>
        <v>8.8985987652166099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3"/>
        <v>2.0833333333333332E-2</v>
      </c>
      <c r="F87" s="187">
        <f t="shared" si="34"/>
        <v>13.001003760665988</v>
      </c>
      <c r="G87" s="187">
        <f t="shared" si="35"/>
        <v>7.8810037606659868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3"/>
        <v>2.4305555555555556E-2</v>
      </c>
      <c r="F88" s="187">
        <f t="shared" si="34"/>
        <v>12.6883551713698</v>
      </c>
      <c r="G88" s="187">
        <f t="shared" si="35"/>
        <v>7.5683551713698005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3"/>
        <v>2.7777777777777776E-2</v>
      </c>
      <c r="F89" s="187">
        <f t="shared" si="34"/>
        <v>12.388109715399949</v>
      </c>
      <c r="G89" s="187">
        <f t="shared" si="35"/>
        <v>7.2681097153999499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3"/>
        <v>3.125E-2</v>
      </c>
      <c r="F90" s="187">
        <f t="shared" si="34"/>
        <v>12.099775346025449</v>
      </c>
      <c r="G90" s="187">
        <f t="shared" si="35"/>
        <v>6.9797753460254501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3"/>
        <v>3.4722222222222224E-2</v>
      </c>
      <c r="F91" s="187">
        <f t="shared" si="34"/>
        <v>11.822879536581659</v>
      </c>
      <c r="G91" s="187">
        <f t="shared" si="35"/>
        <v>6.7028795365816602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3"/>
        <v>3.8194444444444448E-2</v>
      </c>
      <c r="F92" s="187">
        <f t="shared" si="34"/>
        <v>11.556968506086553</v>
      </c>
      <c r="G92" s="187">
        <f t="shared" si="35"/>
        <v>6.4369685060865534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45211.486111111109</v>
      </c>
      <c r="D93" s="186">
        <v>60</v>
      </c>
      <c r="E93" s="176">
        <f t="shared" si="33"/>
        <v>4.1666666666666664E-2</v>
      </c>
      <c r="F93" s="187">
        <f t="shared" si="34"/>
        <v>11.301606475577653</v>
      </c>
      <c r="G93" s="187">
        <f>H134</f>
        <v>6.1816064755776532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3"/>
        <v>5.2083333333333336E-2</v>
      </c>
      <c r="F94" s="187">
        <f t="shared" si="34"/>
        <v>11.056374953950998</v>
      </c>
      <c r="G94" s="187">
        <f>H135</f>
        <v>5.936374953950998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3"/>
        <v>6.25E-2</v>
      </c>
      <c r="F95" s="187">
        <f t="shared" si="34"/>
        <v>10.820872052131655</v>
      </c>
      <c r="G95" s="187">
        <f>H136</f>
        <v>5.7008720521316549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3"/>
        <v>7.2916666666666671E-2</v>
      </c>
      <c r="F96" s="187">
        <f t="shared" si="34"/>
        <v>10.594711824451927</v>
      </c>
      <c r="G96" s="187">
        <f>H137</f>
        <v>5.4747118244519282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45211.527777777781</v>
      </c>
      <c r="D97" s="186">
        <v>120</v>
      </c>
      <c r="E97" s="176">
        <f t="shared" si="33"/>
        <v>8.3333333333333329E-2</v>
      </c>
      <c r="F97" s="187">
        <f t="shared" si="34"/>
        <v>9.9686537729648848</v>
      </c>
      <c r="G97" s="187">
        <f>H138</f>
        <v>4.8486537729648855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3"/>
        <v>0.125</v>
      </c>
      <c r="F98" s="187">
        <f t="shared" si="34"/>
        <v>9.7763020360365189</v>
      </c>
      <c r="G98" s="187">
        <f>H140</f>
        <v>4.6563020360365188</v>
      </c>
      <c r="H98" s="482"/>
      <c r="I98" s="482"/>
      <c r="J98" s="482"/>
      <c r="K98" s="81"/>
      <c r="L98" s="76" t="s">
        <v>21</v>
      </c>
      <c r="V98" s="56" t="str">
        <f t="shared" ref="V98:V103" si="36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45211.611111111109</v>
      </c>
      <c r="D99" s="186">
        <v>240</v>
      </c>
      <c r="E99" s="176">
        <f t="shared" si="33"/>
        <v>0.16666666666666666</v>
      </c>
      <c r="F99" s="187">
        <f t="shared" si="34"/>
        <v>8.7722539123590533</v>
      </c>
      <c r="G99" s="187">
        <f>H142</f>
        <v>3.6522539123590532</v>
      </c>
      <c r="H99" s="482"/>
      <c r="I99" s="482"/>
      <c r="J99" s="482"/>
      <c r="V99" s="56" t="str">
        <f t="shared" si="36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3"/>
        <v>0.20833333333333334</v>
      </c>
      <c r="F100" s="187">
        <f t="shared" si="34"/>
        <v>7.9847107805953756</v>
      </c>
      <c r="G100" s="187">
        <f>H144</f>
        <v>2.8647107805953755</v>
      </c>
      <c r="H100" s="482"/>
      <c r="I100" s="482"/>
      <c r="J100" s="482"/>
      <c r="V100" s="56" t="str">
        <f t="shared" si="36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45211.694444444445</v>
      </c>
      <c r="D101" s="186">
        <v>360</v>
      </c>
      <c r="E101" s="176">
        <f t="shared" si="33"/>
        <v>0.25</v>
      </c>
      <c r="F101" s="188">
        <f t="shared" si="34"/>
        <v>7.3669872175887692</v>
      </c>
      <c r="G101" s="191">
        <f>H146</f>
        <v>2.2469872175887691</v>
      </c>
      <c r="H101" s="482"/>
      <c r="I101" s="482"/>
      <c r="J101" s="482"/>
      <c r="V101" s="56" t="str">
        <f t="shared" si="36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6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6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57.28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57.28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7">D111^E111</f>
        <v>46.78459333681117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8">C111-C$110</f>
        <v>92</v>
      </c>
      <c r="D112" s="380">
        <f>D111</f>
        <v>57.28</v>
      </c>
      <c r="E112" s="382">
        <f t="shared" ref="E112:E141" si="39">C112/100</f>
        <v>0.92</v>
      </c>
      <c r="F112" s="386"/>
      <c r="G112" s="375">
        <v>2</v>
      </c>
      <c r="H112" s="384">
        <f t="shared" si="37"/>
        <v>41.434563548350148</v>
      </c>
      <c r="I112" s="385"/>
      <c r="J112" s="387">
        <f>H111-H112</f>
        <v>5.350029788461022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8"/>
        <v>89</v>
      </c>
      <c r="D113" s="380">
        <f t="shared" ref="D113:D146" si="40">D112</f>
        <v>57.28</v>
      </c>
      <c r="E113" s="382">
        <f t="shared" si="39"/>
        <v>0.89</v>
      </c>
      <c r="F113" s="383" t="s">
        <v>21</v>
      </c>
      <c r="G113" s="375">
        <v>3</v>
      </c>
      <c r="H113" s="384">
        <f t="shared" si="37"/>
        <v>36.696333856800493</v>
      </c>
      <c r="I113" s="385"/>
      <c r="J113" s="387">
        <f t="shared" ref="J113:J146" si="41">H112-H113</f>
        <v>4.7382296915496553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8"/>
        <v>86</v>
      </c>
      <c r="D114" s="380">
        <f t="shared" si="40"/>
        <v>57.28</v>
      </c>
      <c r="E114" s="382">
        <f t="shared" si="39"/>
        <v>0.86</v>
      </c>
      <c r="F114" s="386">
        <v>1</v>
      </c>
      <c r="G114" s="388">
        <v>4</v>
      </c>
      <c r="H114" s="389">
        <f t="shared" si="37"/>
        <v>32.499942154775795</v>
      </c>
      <c r="I114" s="390"/>
      <c r="J114" s="387">
        <f t="shared" si="41"/>
        <v>4.1963917020246981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8"/>
        <v>83</v>
      </c>
      <c r="D115" s="380">
        <f t="shared" si="40"/>
        <v>57.28</v>
      </c>
      <c r="E115" s="382">
        <f t="shared" si="39"/>
        <v>0.83</v>
      </c>
      <c r="F115" s="386">
        <v>2</v>
      </c>
      <c r="G115" s="388">
        <v>5</v>
      </c>
      <c r="H115" s="389">
        <f t="shared" si="37"/>
        <v>28.783426818208749</v>
      </c>
      <c r="I115" s="390"/>
      <c r="J115" s="387">
        <f t="shared" si="41"/>
        <v>3.7165153365670456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8"/>
        <v>80</v>
      </c>
      <c r="D116" s="380">
        <f t="shared" si="40"/>
        <v>57.28</v>
      </c>
      <c r="E116" s="382">
        <f t="shared" si="39"/>
        <v>0.8</v>
      </c>
      <c r="F116" s="386">
        <v>3</v>
      </c>
      <c r="G116" s="388">
        <v>6</v>
      </c>
      <c r="H116" s="389">
        <f t="shared" si="37"/>
        <v>25.491911814908722</v>
      </c>
      <c r="I116" s="390"/>
      <c r="J116" s="387">
        <f t="shared" si="41"/>
        <v>3.2915150033000273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8"/>
        <v>77</v>
      </c>
      <c r="D117" s="380">
        <f t="shared" si="40"/>
        <v>57.28</v>
      </c>
      <c r="E117" s="382">
        <f t="shared" si="39"/>
        <v>0.77</v>
      </c>
      <c r="F117" s="386">
        <v>4</v>
      </c>
      <c r="G117" s="388">
        <v>7</v>
      </c>
      <c r="H117" s="389">
        <f t="shared" si="37"/>
        <v>22.57679643509255</v>
      </c>
      <c r="I117" s="390"/>
      <c r="J117" s="387">
        <f t="shared" si="41"/>
        <v>2.9151153798161715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8"/>
        <v>74</v>
      </c>
      <c r="D118" s="380">
        <f t="shared" si="40"/>
        <v>57.28</v>
      </c>
      <c r="E118" s="382">
        <f t="shared" si="39"/>
        <v>0.74</v>
      </c>
      <c r="F118" s="386">
        <v>5</v>
      </c>
      <c r="G118" s="388">
        <v>8</v>
      </c>
      <c r="H118" s="389">
        <f t="shared" si="37"/>
        <v>19.995037679892921</v>
      </c>
      <c r="I118" s="390"/>
      <c r="J118" s="387">
        <f t="shared" si="41"/>
        <v>2.5817587551996297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8"/>
        <v>71</v>
      </c>
      <c r="D119" s="380">
        <f t="shared" si="40"/>
        <v>57.28</v>
      </c>
      <c r="E119" s="382">
        <f t="shared" si="39"/>
        <v>0.71</v>
      </c>
      <c r="F119" s="383"/>
      <c r="G119" s="375">
        <v>9</v>
      </c>
      <c r="H119" s="391">
        <f t="shared" si="37"/>
        <v>17.708514711985483</v>
      </c>
      <c r="I119" s="392"/>
      <c r="J119" s="387">
        <f t="shared" si="41"/>
        <v>2.2865229679074375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0"/>
        <v>57.28</v>
      </c>
      <c r="E120" s="382">
        <f t="shared" si="39"/>
        <v>0.68</v>
      </c>
      <c r="F120" s="383" t="s">
        <v>21</v>
      </c>
      <c r="G120" s="375">
        <v>10</v>
      </c>
      <c r="H120" s="384">
        <f t="shared" si="37"/>
        <v>15.683465984160419</v>
      </c>
      <c r="I120" s="385"/>
      <c r="J120" s="387">
        <f t="shared" si="41"/>
        <v>2.0250487278250642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2">C120-A$120</f>
        <v>65</v>
      </c>
      <c r="D121" s="380">
        <f t="shared" si="40"/>
        <v>57.28</v>
      </c>
      <c r="E121" s="382">
        <f t="shared" si="39"/>
        <v>0.65</v>
      </c>
      <c r="F121" s="386">
        <v>10</v>
      </c>
      <c r="G121" s="388">
        <v>12</v>
      </c>
      <c r="H121" s="389">
        <f t="shared" si="37"/>
        <v>13.889990734786947</v>
      </c>
      <c r="I121" s="390"/>
      <c r="J121" s="387">
        <f t="shared" si="41"/>
        <v>1.793475249373472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2"/>
        <v>62</v>
      </c>
      <c r="D122" s="380">
        <f t="shared" si="40"/>
        <v>57.28</v>
      </c>
      <c r="E122" s="382">
        <f t="shared" si="39"/>
        <v>0.62</v>
      </c>
      <c r="F122" s="383"/>
      <c r="G122" s="375">
        <v>14</v>
      </c>
      <c r="H122" s="384">
        <f t="shared" si="37"/>
        <v>12.301607489525569</v>
      </c>
      <c r="I122" s="385"/>
      <c r="J122" s="387">
        <f t="shared" si="41"/>
        <v>1.5883832452613778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0"/>
        <v>57.28</v>
      </c>
      <c r="E123" s="382">
        <f t="shared" si="39"/>
        <v>0.37</v>
      </c>
      <c r="F123" s="383"/>
      <c r="G123" s="375">
        <v>15</v>
      </c>
      <c r="H123" s="384">
        <f t="shared" si="37"/>
        <v>4.4715811163270782</v>
      </c>
      <c r="I123" s="385"/>
      <c r="J123" s="387">
        <f t="shared" si="41"/>
        <v>7.8300263731984909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0"/>
        <v>57.28</v>
      </c>
      <c r="E124" s="382">
        <f t="shared" si="39"/>
        <v>0.63</v>
      </c>
      <c r="F124" s="386">
        <v>15</v>
      </c>
      <c r="G124" s="388">
        <v>16</v>
      </c>
      <c r="H124" s="389">
        <f t="shared" si="37"/>
        <v>12.809786630248885</v>
      </c>
      <c r="I124" s="390"/>
      <c r="J124" s="387">
        <f t="shared" si="41"/>
        <v>-8.3382055139218068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2"/>
        <v>60</v>
      </c>
      <c r="D125" s="380">
        <f t="shared" si="40"/>
        <v>57.28</v>
      </c>
      <c r="E125" s="382">
        <f t="shared" si="39"/>
        <v>0.6</v>
      </c>
      <c r="F125" s="383"/>
      <c r="G125" s="375">
        <v>18</v>
      </c>
      <c r="H125" s="384">
        <f t="shared" si="37"/>
        <v>11.34492960857337</v>
      </c>
      <c r="I125" s="385"/>
      <c r="J125" s="387">
        <f t="shared" si="41"/>
        <v>1.464857021675515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2"/>
        <v>57</v>
      </c>
      <c r="D126" s="380">
        <f t="shared" si="40"/>
        <v>57.28</v>
      </c>
      <c r="E126" s="382">
        <f t="shared" si="39"/>
        <v>0.56999999999999995</v>
      </c>
      <c r="F126" s="386">
        <v>20</v>
      </c>
      <c r="G126" s="388">
        <v>20</v>
      </c>
      <c r="H126" s="389">
        <f t="shared" si="37"/>
        <v>10.04758561079826</v>
      </c>
      <c r="I126" s="390"/>
      <c r="J126" s="387">
        <f t="shared" si="41"/>
        <v>1.2973439977751102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2"/>
        <v>54</v>
      </c>
      <c r="D127" s="380">
        <f t="shared" si="40"/>
        <v>57.28</v>
      </c>
      <c r="E127" s="382">
        <f t="shared" si="39"/>
        <v>0.54</v>
      </c>
      <c r="F127" s="386">
        <v>25</v>
      </c>
      <c r="G127" s="388">
        <v>25</v>
      </c>
      <c r="H127" s="389">
        <f t="shared" si="37"/>
        <v>8.8985987652166099</v>
      </c>
      <c r="I127" s="390"/>
      <c r="J127" s="387">
        <f t="shared" si="41"/>
        <v>1.1489868455816499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2"/>
        <v>51</v>
      </c>
      <c r="D128" s="380">
        <f t="shared" si="40"/>
        <v>57.28</v>
      </c>
      <c r="E128" s="382">
        <f t="shared" si="39"/>
        <v>0.51</v>
      </c>
      <c r="F128" s="386">
        <v>30</v>
      </c>
      <c r="G128" s="388">
        <v>30</v>
      </c>
      <c r="H128" s="389">
        <f>D128^E128</f>
        <v>7.8810037606659868</v>
      </c>
      <c r="I128" s="390"/>
      <c r="J128" s="387">
        <f t="shared" si="41"/>
        <v>1.017595004550623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0"/>
        <v>57.28</v>
      </c>
      <c r="E129" s="382">
        <f t="shared" si="39"/>
        <v>0.5</v>
      </c>
      <c r="F129" s="386">
        <v>35</v>
      </c>
      <c r="G129" s="388">
        <v>35</v>
      </c>
      <c r="H129" s="389">
        <f t="shared" si="37"/>
        <v>7.5683551713698005</v>
      </c>
      <c r="I129" s="390"/>
      <c r="J129" s="387">
        <f t="shared" si="41"/>
        <v>0.31264858929618633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0"/>
        <v>57.28</v>
      </c>
      <c r="E130" s="382">
        <f t="shared" si="39"/>
        <v>0.49</v>
      </c>
      <c r="F130" s="386">
        <v>40</v>
      </c>
      <c r="G130" s="388">
        <v>40</v>
      </c>
      <c r="H130" s="389">
        <f t="shared" si="37"/>
        <v>7.2681097153999499</v>
      </c>
      <c r="I130" s="390"/>
      <c r="J130" s="387">
        <f t="shared" si="41"/>
        <v>0.30024545596985064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0"/>
        <v>57.28</v>
      </c>
      <c r="E131" s="382">
        <f t="shared" si="39"/>
        <v>0.48</v>
      </c>
      <c r="F131" s="386">
        <v>45</v>
      </c>
      <c r="G131" s="388">
        <v>45</v>
      </c>
      <c r="H131" s="389">
        <f t="shared" si="37"/>
        <v>6.9797753460254501</v>
      </c>
      <c r="I131" s="390"/>
      <c r="J131" s="387">
        <f t="shared" si="41"/>
        <v>0.28833436937449974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0"/>
        <v>57.28</v>
      </c>
      <c r="E132" s="382">
        <f t="shared" si="39"/>
        <v>0.47</v>
      </c>
      <c r="F132" s="386">
        <v>50</v>
      </c>
      <c r="G132" s="388">
        <v>50</v>
      </c>
      <c r="H132" s="389">
        <f t="shared" si="37"/>
        <v>6.7028795365816602</v>
      </c>
      <c r="I132" s="390"/>
      <c r="J132" s="387">
        <f t="shared" si="41"/>
        <v>0.27689580944378989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0"/>
        <v>57.28</v>
      </c>
      <c r="E133" s="382">
        <f t="shared" si="39"/>
        <v>0.46</v>
      </c>
      <c r="F133" s="386">
        <v>55</v>
      </c>
      <c r="G133" s="388">
        <v>55</v>
      </c>
      <c r="H133" s="389">
        <f t="shared" si="37"/>
        <v>6.4369685060865534</v>
      </c>
      <c r="I133" s="390"/>
      <c r="J133" s="387">
        <f t="shared" si="41"/>
        <v>0.26591103049510689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0"/>
        <v>57.28</v>
      </c>
      <c r="E134" s="382">
        <f t="shared" si="39"/>
        <v>0.45</v>
      </c>
      <c r="F134" s="386">
        <v>60</v>
      </c>
      <c r="G134" s="388">
        <v>60</v>
      </c>
      <c r="H134" s="389">
        <f t="shared" si="37"/>
        <v>6.1816064755776532</v>
      </c>
      <c r="I134" s="390"/>
      <c r="J134" s="387">
        <f t="shared" si="41"/>
        <v>0.25536203050890016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0"/>
        <v>57.28</v>
      </c>
      <c r="E135" s="382">
        <f t="shared" si="39"/>
        <v>0.44</v>
      </c>
      <c r="F135" s="386">
        <v>75</v>
      </c>
      <c r="G135" s="388">
        <v>75</v>
      </c>
      <c r="H135" s="389">
        <f t="shared" si="37"/>
        <v>5.936374953950998</v>
      </c>
      <c r="I135" s="390"/>
      <c r="J135" s="387">
        <f t="shared" si="41"/>
        <v>0.24523152162665518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0"/>
        <v>57.28</v>
      </c>
      <c r="E136" s="382">
        <f t="shared" si="39"/>
        <v>0.43</v>
      </c>
      <c r="F136" s="386">
        <v>90</v>
      </c>
      <c r="G136" s="388">
        <v>90</v>
      </c>
      <c r="H136" s="389">
        <f t="shared" si="37"/>
        <v>5.7008720521316549</v>
      </c>
      <c r="I136" s="390"/>
      <c r="J136" s="387">
        <f t="shared" si="41"/>
        <v>0.23550290181934308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0"/>
        <v>57.28</v>
      </c>
      <c r="E137" s="382">
        <f t="shared" si="39"/>
        <v>0.42</v>
      </c>
      <c r="F137" s="386">
        <v>105</v>
      </c>
      <c r="G137" s="388">
        <v>105</v>
      </c>
      <c r="H137" s="389">
        <f t="shared" si="37"/>
        <v>5.4747118244519282</v>
      </c>
      <c r="I137" s="390"/>
      <c r="J137" s="387">
        <f t="shared" si="41"/>
        <v>0.22616022767972677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0"/>
        <v>57.28</v>
      </c>
      <c r="E138" s="382">
        <f t="shared" si="39"/>
        <v>0.39</v>
      </c>
      <c r="F138" s="386">
        <v>120</v>
      </c>
      <c r="G138" s="388">
        <v>120</v>
      </c>
      <c r="H138" s="389">
        <f t="shared" si="37"/>
        <v>4.8486537729648855</v>
      </c>
      <c r="I138" s="390"/>
      <c r="J138" s="387">
        <f t="shared" si="41"/>
        <v>0.62605805148704263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3">C138-A$138</f>
        <v>36</v>
      </c>
      <c r="D139" s="380">
        <f t="shared" si="40"/>
        <v>57.28</v>
      </c>
      <c r="E139" s="382">
        <f t="shared" si="39"/>
        <v>0.36</v>
      </c>
      <c r="F139" s="383"/>
      <c r="G139" s="375">
        <v>150</v>
      </c>
      <c r="H139" s="384">
        <f t="shared" si="37"/>
        <v>4.2941882904384912</v>
      </c>
      <c r="I139" s="385"/>
      <c r="J139" s="387">
        <f t="shared" si="41"/>
        <v>0.55446548252639438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0"/>
        <v>57.28</v>
      </c>
      <c r="E140" s="382">
        <f t="shared" si="39"/>
        <v>0.38</v>
      </c>
      <c r="F140" s="386">
        <v>180</v>
      </c>
      <c r="G140" s="388">
        <v>180</v>
      </c>
      <c r="H140" s="389">
        <f t="shared" si="37"/>
        <v>4.6563020360365188</v>
      </c>
      <c r="I140" s="390"/>
      <c r="J140" s="387">
        <f t="shared" si="41"/>
        <v>-0.36211374559802767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3"/>
        <v>35</v>
      </c>
      <c r="D141" s="380">
        <f t="shared" si="40"/>
        <v>57.28</v>
      </c>
      <c r="E141" s="382">
        <f t="shared" si="39"/>
        <v>0.35</v>
      </c>
      <c r="F141" s="383"/>
      <c r="G141" s="375">
        <v>210</v>
      </c>
      <c r="H141" s="384">
        <f t="shared" si="37"/>
        <v>4.1238328443621226</v>
      </c>
      <c r="I141" s="385"/>
      <c r="J141" s="387">
        <f t="shared" si="41"/>
        <v>0.53246919167439621</v>
      </c>
      <c r="AA141" s="57"/>
      <c r="AB141" s="95"/>
    </row>
    <row r="142" spans="1:28" s="52" customFormat="1" ht="17.25" customHeight="1">
      <c r="A142" s="375"/>
      <c r="B142" s="375"/>
      <c r="C142" s="375">
        <f t="shared" si="43"/>
        <v>32</v>
      </c>
      <c r="D142" s="380">
        <f t="shared" si="40"/>
        <v>57.28</v>
      </c>
      <c r="E142" s="382">
        <f>C142/100</f>
        <v>0.32</v>
      </c>
      <c r="F142" s="386">
        <v>240</v>
      </c>
      <c r="G142" s="388">
        <v>240</v>
      </c>
      <c r="H142" s="389">
        <f t="shared" si="37"/>
        <v>3.6522539123590532</v>
      </c>
      <c r="I142" s="390"/>
      <c r="J142" s="387">
        <f t="shared" si="41"/>
        <v>0.47157893200306944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3"/>
        <v>29</v>
      </c>
      <c r="D143" s="380">
        <f t="shared" si="40"/>
        <v>57.28</v>
      </c>
      <c r="E143" s="382">
        <f>C143/100</f>
        <v>0.28999999999999998</v>
      </c>
      <c r="F143" s="383"/>
      <c r="G143" s="375">
        <v>270</v>
      </c>
      <c r="H143" s="384">
        <f t="shared" si="37"/>
        <v>3.2346021635135616</v>
      </c>
      <c r="I143" s="385"/>
      <c r="J143" s="387">
        <f t="shared" si="41"/>
        <v>0.41765174884549161</v>
      </c>
      <c r="AA143" s="57"/>
      <c r="AB143" s="95"/>
    </row>
    <row r="144" spans="1:28" s="52" customFormat="1" ht="17.25" customHeight="1">
      <c r="A144" s="375"/>
      <c r="B144" s="375"/>
      <c r="C144" s="375">
        <f t="shared" si="43"/>
        <v>26</v>
      </c>
      <c r="D144" s="380">
        <f t="shared" si="40"/>
        <v>57.28</v>
      </c>
      <c r="E144" s="382">
        <f>C144/100</f>
        <v>0.26</v>
      </c>
      <c r="F144" s="386">
        <v>300</v>
      </c>
      <c r="G144" s="388">
        <v>300</v>
      </c>
      <c r="H144" s="389">
        <f t="shared" si="37"/>
        <v>2.8647107805953755</v>
      </c>
      <c r="I144" s="390"/>
      <c r="J144" s="387">
        <f t="shared" si="41"/>
        <v>0.36989138291818602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3"/>
        <v>23</v>
      </c>
      <c r="D145" s="380">
        <f t="shared" si="40"/>
        <v>57.28</v>
      </c>
      <c r="E145" s="382">
        <f>C145/100</f>
        <v>0.23</v>
      </c>
      <c r="F145" s="383"/>
      <c r="G145" s="375">
        <v>330</v>
      </c>
      <c r="H145" s="384">
        <f t="shared" si="37"/>
        <v>2.5371181498082729</v>
      </c>
      <c r="I145" s="385"/>
      <c r="J145" s="387">
        <f t="shared" si="41"/>
        <v>0.32759263078710266</v>
      </c>
      <c r="AA145" s="57"/>
      <c r="AB145" s="95"/>
    </row>
    <row r="146" spans="1:28" s="52" customFormat="1" ht="17.25" customHeight="1">
      <c r="A146" s="375"/>
      <c r="B146" s="375"/>
      <c r="C146" s="375">
        <f t="shared" si="43"/>
        <v>20</v>
      </c>
      <c r="D146" s="380">
        <f t="shared" si="40"/>
        <v>57.28</v>
      </c>
      <c r="E146" s="382">
        <f>C146/100</f>
        <v>0.2</v>
      </c>
      <c r="F146" s="386">
        <v>360</v>
      </c>
      <c r="G146" s="388">
        <v>360</v>
      </c>
      <c r="H146" s="389">
        <f t="shared" si="37"/>
        <v>2.2469872175887691</v>
      </c>
      <c r="I146" s="390"/>
      <c r="J146" s="387">
        <f t="shared" si="41"/>
        <v>0.29013093221950381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30" sqref="O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94</v>
      </c>
      <c r="C24" s="157"/>
    </row>
    <row r="25" spans="1:3">
      <c r="A25" s="158">
        <f>StepTest!D31</f>
        <v>120</v>
      </c>
      <c r="B25" s="158">
        <f>Input!D4</f>
        <v>120</v>
      </c>
      <c r="C25" s="157"/>
    </row>
    <row r="26" spans="1:3">
      <c r="A26" s="158">
        <f>StepTest!D36</f>
        <v>240</v>
      </c>
      <c r="B26" s="158">
        <f>Input!D5</f>
        <v>146.19999999999999</v>
      </c>
      <c r="C26" s="157"/>
    </row>
    <row r="27" spans="1:3">
      <c r="A27" s="158">
        <f>StepTest!D41</f>
        <v>360</v>
      </c>
      <c r="B27" s="158">
        <f>Input!D6</f>
        <v>172</v>
      </c>
      <c r="C27" s="157"/>
    </row>
    <row r="28" spans="1:3">
      <c r="A28" s="158">
        <f>StepTest!D46</f>
        <v>480</v>
      </c>
      <c r="B28" s="158">
        <f>Input!D7</f>
        <v>197.79999999999998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2.2200000000000002</v>
      </c>
      <c r="C35" s="158">
        <v>1</v>
      </c>
    </row>
    <row r="36" spans="1:3">
      <c r="A36" s="156">
        <f>Sheet1!A2</f>
        <v>2</v>
      </c>
      <c r="B36" s="157">
        <f>Sheet1!B2</f>
        <v>4.32</v>
      </c>
      <c r="C36" s="158">
        <v>1</v>
      </c>
    </row>
    <row r="37" spans="1:3">
      <c r="A37" s="156">
        <f>Sheet1!A3</f>
        <v>3</v>
      </c>
      <c r="B37" s="157">
        <f>Sheet1!B3</f>
        <v>6.27</v>
      </c>
      <c r="C37" s="158">
        <v>1</v>
      </c>
    </row>
    <row r="38" spans="1:3">
      <c r="A38" s="156">
        <f>Sheet1!A4</f>
        <v>4</v>
      </c>
      <c r="B38" s="157">
        <f>Sheet1!B4</f>
        <v>7.65</v>
      </c>
      <c r="C38" s="158">
        <v>1</v>
      </c>
    </row>
    <row r="39" spans="1:3">
      <c r="A39" s="156">
        <f>Sheet1!A5</f>
        <v>5</v>
      </c>
      <c r="B39" s="157">
        <f>Sheet1!B5</f>
        <v>8.7200000000000006</v>
      </c>
      <c r="C39" s="158">
        <v>1</v>
      </c>
    </row>
    <row r="40" spans="1:3">
      <c r="A40" s="156">
        <f>Sheet1!A6</f>
        <v>10</v>
      </c>
      <c r="B40" s="157">
        <f>Sheet1!B6</f>
        <v>12.04</v>
      </c>
      <c r="C40" s="158">
        <v>1</v>
      </c>
    </row>
    <row r="41" spans="1:3">
      <c r="A41" s="156">
        <f>Sheet1!A7</f>
        <v>15</v>
      </c>
      <c r="B41" s="157">
        <f>Sheet1!B7</f>
        <v>13.99</v>
      </c>
      <c r="C41" s="158">
        <v>1</v>
      </c>
    </row>
    <row r="42" spans="1:3">
      <c r="A42" s="156">
        <f>Sheet1!A8</f>
        <v>20</v>
      </c>
      <c r="B42" s="157">
        <f>Sheet1!B8</f>
        <v>15.37</v>
      </c>
      <c r="C42" s="158">
        <v>1</v>
      </c>
    </row>
    <row r="43" spans="1:3">
      <c r="A43" s="156">
        <f>Sheet1!A9</f>
        <v>25</v>
      </c>
      <c r="B43" s="157">
        <f>Sheet1!B9</f>
        <v>16.440000000000001</v>
      </c>
      <c r="C43" s="158">
        <v>1</v>
      </c>
    </row>
    <row r="44" spans="1:3">
      <c r="A44" s="156">
        <f>Sheet1!A10</f>
        <v>30</v>
      </c>
      <c r="B44" s="157">
        <f>Sheet1!B10</f>
        <v>17.309999999999999</v>
      </c>
      <c r="C44" s="158">
        <v>1</v>
      </c>
    </row>
    <row r="45" spans="1:3">
      <c r="A45" s="156">
        <f>Sheet1!A11</f>
        <v>35</v>
      </c>
      <c r="B45" s="157">
        <f>Sheet1!B11</f>
        <v>18.05</v>
      </c>
      <c r="C45" s="158">
        <v>1</v>
      </c>
    </row>
    <row r="46" spans="1:3">
      <c r="A46" s="156">
        <f>Sheet1!A12</f>
        <v>40</v>
      </c>
      <c r="B46" s="157">
        <f>Sheet1!B12</f>
        <v>18.690000000000001</v>
      </c>
      <c r="C46" s="158">
        <v>1</v>
      </c>
    </row>
    <row r="47" spans="1:3">
      <c r="A47" s="156">
        <f>Sheet1!A13</f>
        <v>45</v>
      </c>
      <c r="B47" s="157">
        <f>Sheet1!B13</f>
        <v>19.260000000000002</v>
      </c>
      <c r="C47" s="158">
        <v>1</v>
      </c>
    </row>
    <row r="48" spans="1:3">
      <c r="A48" s="156">
        <f>Sheet1!A14</f>
        <v>50</v>
      </c>
      <c r="B48" s="157">
        <f>Sheet1!B14</f>
        <v>19.77</v>
      </c>
      <c r="C48" s="158">
        <v>1</v>
      </c>
    </row>
    <row r="49" spans="1:3">
      <c r="A49" s="156">
        <f>Sheet1!A15</f>
        <v>55</v>
      </c>
      <c r="B49" s="157">
        <f>Sheet1!B15</f>
        <v>20.22</v>
      </c>
      <c r="C49" s="158">
        <v>1</v>
      </c>
    </row>
    <row r="50" spans="1:3">
      <c r="A50" s="156">
        <f>Sheet1!A16</f>
        <v>60</v>
      </c>
      <c r="B50" s="157">
        <f>Sheet1!B16</f>
        <v>20.64</v>
      </c>
      <c r="C50" s="158">
        <v>1</v>
      </c>
    </row>
    <row r="51" spans="1:3">
      <c r="A51" s="156">
        <f>Sheet1!A17</f>
        <v>75</v>
      </c>
      <c r="B51" s="157">
        <f>Sheet1!B17</f>
        <v>21.71</v>
      </c>
      <c r="C51" s="158">
        <v>1</v>
      </c>
    </row>
    <row r="52" spans="1:3">
      <c r="A52" s="156">
        <f>Sheet1!A18</f>
        <v>90</v>
      </c>
      <c r="B52" s="157">
        <f>Sheet1!B18</f>
        <v>22.58</v>
      </c>
      <c r="C52" s="158">
        <v>1</v>
      </c>
    </row>
    <row r="53" spans="1:3">
      <c r="A53" s="156">
        <f>Sheet1!A19</f>
        <v>105</v>
      </c>
      <c r="B53" s="157">
        <f>Sheet1!B19</f>
        <v>23.32</v>
      </c>
      <c r="C53" s="158">
        <v>1</v>
      </c>
    </row>
    <row r="54" spans="1:3">
      <c r="A54" s="156">
        <f>Sheet1!A20</f>
        <v>120</v>
      </c>
      <c r="B54" s="157">
        <f>Sheet1!B20</f>
        <v>23.97</v>
      </c>
      <c r="C54" s="158">
        <v>1</v>
      </c>
    </row>
    <row r="55" spans="1:3">
      <c r="A55" s="156">
        <f>Sheet1!A21</f>
        <v>121</v>
      </c>
      <c r="B55" s="157">
        <f>Sheet1!B21</f>
        <v>24.13</v>
      </c>
      <c r="C55" s="158">
        <v>1</v>
      </c>
    </row>
    <row r="56" spans="1:3">
      <c r="A56" s="156">
        <f>Sheet1!A22</f>
        <v>122</v>
      </c>
      <c r="B56" s="157">
        <f>Sheet1!B22</f>
        <v>24.279999999999998</v>
      </c>
      <c r="C56" s="158">
        <v>1</v>
      </c>
    </row>
    <row r="57" spans="1:3">
      <c r="A57" s="156">
        <f>Sheet1!A23</f>
        <v>123</v>
      </c>
      <c r="B57" s="157">
        <f>Sheet1!B23</f>
        <v>24.419999999999998</v>
      </c>
      <c r="C57" s="158">
        <v>1</v>
      </c>
    </row>
    <row r="58" spans="1:3">
      <c r="A58" s="156">
        <f>Sheet1!A24</f>
        <v>124</v>
      </c>
      <c r="B58" s="157">
        <f>Sheet1!B24</f>
        <v>24.549999999999997</v>
      </c>
      <c r="C58" s="158">
        <v>1</v>
      </c>
    </row>
    <row r="59" spans="1:3">
      <c r="A59" s="156">
        <f>Sheet1!A25</f>
        <v>125</v>
      </c>
      <c r="B59" s="157">
        <f>Sheet1!B25</f>
        <v>24.679999999999996</v>
      </c>
      <c r="C59" s="158">
        <v>1</v>
      </c>
    </row>
    <row r="60" spans="1:3">
      <c r="A60" s="156">
        <f>Sheet1!A26</f>
        <v>130</v>
      </c>
      <c r="B60" s="157">
        <f>Sheet1!B26</f>
        <v>28.76</v>
      </c>
      <c r="C60" s="158">
        <v>1</v>
      </c>
    </row>
    <row r="61" spans="1:3">
      <c r="A61" s="156">
        <f>Sheet1!A27</f>
        <v>135</v>
      </c>
      <c r="B61" s="157">
        <f>Sheet1!B27</f>
        <v>28.87</v>
      </c>
      <c r="C61" s="158">
        <v>1</v>
      </c>
    </row>
    <row r="62" spans="1:3">
      <c r="A62" s="156">
        <f>Sheet1!A28</f>
        <v>140</v>
      </c>
      <c r="B62" s="157">
        <f>Sheet1!B28</f>
        <v>29.56</v>
      </c>
      <c r="C62" s="158">
        <v>1</v>
      </c>
    </row>
    <row r="63" spans="1:3">
      <c r="A63" s="156">
        <f>Sheet1!A29</f>
        <v>145</v>
      </c>
      <c r="B63" s="157">
        <f>Sheet1!B29</f>
        <v>29.66</v>
      </c>
      <c r="C63" s="158">
        <v>1</v>
      </c>
    </row>
    <row r="64" spans="1:3">
      <c r="A64" s="156">
        <f>Sheet1!A30</f>
        <v>150</v>
      </c>
      <c r="B64" s="157">
        <f>Sheet1!B30</f>
        <v>30.36</v>
      </c>
      <c r="C64" s="158">
        <v>1</v>
      </c>
    </row>
    <row r="65" spans="1:3">
      <c r="A65" s="156">
        <f>Sheet1!A31</f>
        <v>155</v>
      </c>
      <c r="B65" s="157">
        <f>Sheet1!B31</f>
        <v>30.419999999999998</v>
      </c>
      <c r="C65" s="158">
        <v>1</v>
      </c>
    </row>
    <row r="66" spans="1:3">
      <c r="A66" s="156">
        <f>Sheet1!A32</f>
        <v>160</v>
      </c>
      <c r="B66" s="157">
        <f>Sheet1!B32</f>
        <v>30.47</v>
      </c>
      <c r="C66" s="158">
        <v>1</v>
      </c>
    </row>
    <row r="67" spans="1:3">
      <c r="A67" s="156">
        <f>Sheet1!A33</f>
        <v>165</v>
      </c>
      <c r="B67" s="157">
        <f>Sheet1!B33</f>
        <v>30.509999999999998</v>
      </c>
      <c r="C67" s="158">
        <v>1</v>
      </c>
    </row>
    <row r="68" spans="1:3">
      <c r="A68" s="156">
        <f>Sheet1!A34</f>
        <v>170</v>
      </c>
      <c r="B68" s="157">
        <f>Sheet1!B34</f>
        <v>30.54</v>
      </c>
      <c r="C68" s="158">
        <v>1</v>
      </c>
    </row>
    <row r="69" spans="1:3">
      <c r="A69" s="156">
        <f>Sheet1!A35</f>
        <v>175</v>
      </c>
      <c r="B69" s="157">
        <f>Sheet1!B35</f>
        <v>30.56</v>
      </c>
      <c r="C69" s="158">
        <v>1</v>
      </c>
    </row>
    <row r="70" spans="1:3">
      <c r="A70" s="156">
        <f>Sheet1!A36</f>
        <v>180</v>
      </c>
      <c r="B70" s="157">
        <f>Sheet1!B36</f>
        <v>31.16</v>
      </c>
      <c r="C70" s="158">
        <v>1</v>
      </c>
    </row>
    <row r="71" spans="1:3">
      <c r="A71" s="156">
        <f>Sheet1!A37</f>
        <v>195</v>
      </c>
      <c r="B71" s="157">
        <f>Sheet1!B37</f>
        <v>31.23</v>
      </c>
      <c r="C71" s="158">
        <v>1</v>
      </c>
    </row>
    <row r="72" spans="1:3">
      <c r="A72" s="156">
        <f>Sheet1!A38</f>
        <v>210</v>
      </c>
      <c r="B72" s="157">
        <f>Sheet1!B38</f>
        <v>31.29</v>
      </c>
      <c r="C72" s="158">
        <v>1</v>
      </c>
    </row>
    <row r="73" spans="1:3">
      <c r="A73" s="156">
        <f>Sheet1!A39</f>
        <v>225</v>
      </c>
      <c r="B73" s="157">
        <f>Sheet1!B39</f>
        <v>31.34</v>
      </c>
      <c r="C73" s="158">
        <v>1</v>
      </c>
    </row>
    <row r="74" spans="1:3">
      <c r="A74" s="156">
        <f>Sheet1!A40</f>
        <v>240</v>
      </c>
      <c r="B74" s="157">
        <f>Sheet1!B40</f>
        <v>31.96</v>
      </c>
      <c r="C74" s="158">
        <v>1</v>
      </c>
    </row>
    <row r="75" spans="1:3">
      <c r="A75" s="156">
        <f>Sheet1!A41</f>
        <v>241</v>
      </c>
      <c r="B75" s="157">
        <f>Sheet1!B41</f>
        <v>32.14</v>
      </c>
      <c r="C75" s="158">
        <v>1</v>
      </c>
    </row>
    <row r="76" spans="1:3">
      <c r="A76" s="156">
        <f>Sheet1!A42</f>
        <v>242</v>
      </c>
      <c r="B76" s="157">
        <f>Sheet1!B42</f>
        <v>32.299999999999997</v>
      </c>
      <c r="C76" s="158">
        <v>1</v>
      </c>
    </row>
    <row r="77" spans="1:3">
      <c r="A77" s="156">
        <f>Sheet1!A43</f>
        <v>243</v>
      </c>
      <c r="B77" s="157">
        <f>Sheet1!B43</f>
        <v>32.449999999999996</v>
      </c>
      <c r="C77" s="158">
        <v>1</v>
      </c>
    </row>
    <row r="78" spans="1:3">
      <c r="A78" s="156">
        <f>Sheet1!A44</f>
        <v>244</v>
      </c>
      <c r="B78" s="157">
        <f>Sheet1!B44</f>
        <v>32.589999999999996</v>
      </c>
      <c r="C78" s="158">
        <v>1</v>
      </c>
    </row>
    <row r="79" spans="1:3">
      <c r="A79" s="156">
        <f>Sheet1!A45</f>
        <v>245</v>
      </c>
      <c r="B79" s="157">
        <f>Sheet1!B45</f>
        <v>32.72</v>
      </c>
      <c r="C79" s="158">
        <v>1</v>
      </c>
    </row>
    <row r="80" spans="1:3">
      <c r="A80" s="156">
        <f>Sheet1!A46</f>
        <v>250</v>
      </c>
      <c r="B80" s="157">
        <f>Sheet1!B46</f>
        <v>37.35</v>
      </c>
      <c r="C80" s="158">
        <v>1</v>
      </c>
    </row>
    <row r="81" spans="1:3">
      <c r="A81" s="156">
        <f>Sheet1!A47</f>
        <v>255</v>
      </c>
      <c r="B81" s="157">
        <f>Sheet1!B47</f>
        <v>37.46</v>
      </c>
      <c r="C81" s="158">
        <v>1</v>
      </c>
    </row>
    <row r="82" spans="1:3">
      <c r="A82" s="156">
        <f>Sheet1!A48</f>
        <v>260</v>
      </c>
      <c r="B82" s="157">
        <f>Sheet1!B48</f>
        <v>38.25</v>
      </c>
      <c r="C82" s="158">
        <v>1</v>
      </c>
    </row>
    <row r="83" spans="1:3">
      <c r="A83" s="156">
        <f>Sheet1!A49</f>
        <v>265</v>
      </c>
      <c r="B83" s="157">
        <f>Sheet1!B49</f>
        <v>38.36</v>
      </c>
      <c r="C83" s="158">
        <v>1</v>
      </c>
    </row>
    <row r="84" spans="1:3">
      <c r="A84" s="156">
        <f>Sheet1!A50</f>
        <v>270</v>
      </c>
      <c r="B84" s="157">
        <f>Sheet1!B50</f>
        <v>39.15</v>
      </c>
      <c r="C84" s="158">
        <v>1</v>
      </c>
    </row>
    <row r="85" spans="1:3">
      <c r="A85" s="156">
        <f>Sheet1!A51</f>
        <v>275</v>
      </c>
      <c r="B85" s="157">
        <f>Sheet1!B51</f>
        <v>39.22</v>
      </c>
      <c r="C85" s="158">
        <v>1</v>
      </c>
    </row>
    <row r="86" spans="1:3">
      <c r="A86" s="156">
        <f>Sheet1!A52</f>
        <v>280</v>
      </c>
      <c r="B86" s="157">
        <f>Sheet1!B52</f>
        <v>39.269999999999996</v>
      </c>
      <c r="C86" s="158">
        <v>1</v>
      </c>
    </row>
    <row r="87" spans="1:3">
      <c r="A87" s="156">
        <f>Sheet1!A53</f>
        <v>285</v>
      </c>
      <c r="B87" s="157">
        <f>Sheet1!B53</f>
        <v>39.309999999999995</v>
      </c>
      <c r="C87" s="158">
        <v>1</v>
      </c>
    </row>
    <row r="88" spans="1:3">
      <c r="A88" s="156">
        <f>Sheet1!A54</f>
        <v>290</v>
      </c>
      <c r="B88" s="157">
        <f>Sheet1!B54</f>
        <v>39.339999999999996</v>
      </c>
      <c r="C88" s="158">
        <v>1</v>
      </c>
    </row>
    <row r="89" spans="1:3">
      <c r="A89" s="156">
        <f>Sheet1!A55</f>
        <v>295</v>
      </c>
      <c r="B89" s="157">
        <f>Sheet1!B55</f>
        <v>39.36</v>
      </c>
      <c r="C89" s="158">
        <v>1</v>
      </c>
    </row>
    <row r="90" spans="1:3">
      <c r="A90" s="156">
        <f>Sheet1!A56</f>
        <v>300</v>
      </c>
      <c r="B90" s="157">
        <f>Sheet1!B56</f>
        <v>40.049999999999997</v>
      </c>
      <c r="C90" s="158">
        <v>1</v>
      </c>
    </row>
    <row r="91" spans="1:3">
      <c r="A91" s="156">
        <f>Sheet1!A57</f>
        <v>315</v>
      </c>
      <c r="B91" s="157">
        <f>Sheet1!B57</f>
        <v>40.129999999999995</v>
      </c>
      <c r="C91" s="158">
        <v>1</v>
      </c>
    </row>
    <row r="92" spans="1:3">
      <c r="A92" s="156">
        <f>Sheet1!A58</f>
        <v>330</v>
      </c>
      <c r="B92" s="157">
        <f>Sheet1!B58</f>
        <v>40.19</v>
      </c>
      <c r="C92" s="158">
        <v>1</v>
      </c>
    </row>
    <row r="93" spans="1:3">
      <c r="A93" s="156">
        <f>Sheet1!A59</f>
        <v>345</v>
      </c>
      <c r="B93" s="157">
        <f>Sheet1!B59</f>
        <v>40.239999999999995</v>
      </c>
      <c r="C93" s="158">
        <v>1</v>
      </c>
    </row>
    <row r="94" spans="1:3">
      <c r="A94" s="156">
        <f>Sheet1!A60</f>
        <v>360</v>
      </c>
      <c r="B94" s="157">
        <f>Sheet1!B60</f>
        <v>40.950000000000003</v>
      </c>
      <c r="C94" s="158">
        <v>1</v>
      </c>
    </row>
    <row r="95" spans="1:3">
      <c r="A95" s="156">
        <f>Sheet1!A61</f>
        <v>361</v>
      </c>
      <c r="B95" s="157">
        <f>Sheet1!B61</f>
        <v>41.14</v>
      </c>
      <c r="C95" s="158">
        <v>1</v>
      </c>
    </row>
    <row r="96" spans="1:3">
      <c r="A96" s="156">
        <f>Sheet1!A62</f>
        <v>362</v>
      </c>
      <c r="B96" s="157">
        <f>Sheet1!B62</f>
        <v>41.31</v>
      </c>
      <c r="C96" s="158">
        <v>1</v>
      </c>
    </row>
    <row r="97" spans="1:3">
      <c r="A97" s="156">
        <f>Sheet1!A63</f>
        <v>363</v>
      </c>
      <c r="B97" s="157">
        <f>Sheet1!B63</f>
        <v>41.47</v>
      </c>
      <c r="C97" s="158">
        <v>1</v>
      </c>
    </row>
    <row r="98" spans="1:3">
      <c r="A98" s="156">
        <f>Sheet1!A64</f>
        <v>364</v>
      </c>
      <c r="B98" s="157">
        <f>Sheet1!B64</f>
        <v>41.62</v>
      </c>
      <c r="C98" s="158">
        <v>1</v>
      </c>
    </row>
    <row r="99" spans="1:3">
      <c r="A99" s="156">
        <f>Sheet1!A65</f>
        <v>365</v>
      </c>
      <c r="B99" s="157">
        <f>Sheet1!B65</f>
        <v>41.76</v>
      </c>
      <c r="C99" s="158">
        <v>1</v>
      </c>
    </row>
    <row r="100" spans="1:3">
      <c r="A100" s="156">
        <f>Sheet1!A66</f>
        <v>370</v>
      </c>
      <c r="B100" s="157">
        <f>Sheet1!B66</f>
        <v>46.96</v>
      </c>
      <c r="C100" s="158">
        <v>1</v>
      </c>
    </row>
    <row r="101" spans="1:3">
      <c r="A101" s="156">
        <f>Sheet1!A67</f>
        <v>375</v>
      </c>
      <c r="B101" s="157">
        <f>Sheet1!B67</f>
        <v>47.08</v>
      </c>
      <c r="C101" s="158">
        <v>1</v>
      </c>
    </row>
    <row r="102" spans="1:3">
      <c r="A102" s="156">
        <f>Sheet1!A68</f>
        <v>380</v>
      </c>
      <c r="B102" s="157">
        <f>Sheet1!B68</f>
        <v>47.96</v>
      </c>
      <c r="C102" s="158">
        <v>1</v>
      </c>
    </row>
    <row r="103" spans="1:3">
      <c r="A103" s="156">
        <f>Sheet1!A69</f>
        <v>385</v>
      </c>
      <c r="B103" s="157">
        <f>Sheet1!B69</f>
        <v>48.08</v>
      </c>
      <c r="C103" s="158">
        <v>1</v>
      </c>
    </row>
    <row r="104" spans="1:3">
      <c r="A104" s="156">
        <f>Sheet1!A70</f>
        <v>390</v>
      </c>
      <c r="B104" s="157">
        <f>Sheet1!B70</f>
        <v>48.96</v>
      </c>
      <c r="C104" s="158">
        <v>1</v>
      </c>
    </row>
    <row r="105" spans="1:3">
      <c r="A105" s="156">
        <f>Sheet1!A71</f>
        <v>395</v>
      </c>
      <c r="B105" s="157">
        <f>Sheet1!B71</f>
        <v>49.03</v>
      </c>
      <c r="C105" s="158">
        <v>1</v>
      </c>
    </row>
    <row r="106" spans="1:3">
      <c r="A106" s="156">
        <f>Sheet1!A72</f>
        <v>400</v>
      </c>
      <c r="B106" s="157">
        <f>Sheet1!B72</f>
        <v>49.08</v>
      </c>
      <c r="C106" s="158">
        <v>1</v>
      </c>
    </row>
    <row r="107" spans="1:3">
      <c r="A107" s="156">
        <f>Sheet1!A73</f>
        <v>405</v>
      </c>
      <c r="B107" s="157">
        <f>Sheet1!B73</f>
        <v>49.12</v>
      </c>
      <c r="C107" s="158">
        <v>1</v>
      </c>
    </row>
    <row r="108" spans="1:3">
      <c r="A108" s="156">
        <f>Sheet1!A74</f>
        <v>410</v>
      </c>
      <c r="B108" s="157">
        <f>Sheet1!B74</f>
        <v>49.15</v>
      </c>
      <c r="C108" s="158">
        <v>1</v>
      </c>
    </row>
    <row r="109" spans="1:3">
      <c r="A109" s="156">
        <f>Sheet1!A75</f>
        <v>415</v>
      </c>
      <c r="B109" s="157">
        <f>Sheet1!B75</f>
        <v>49.18</v>
      </c>
      <c r="C109" s="158">
        <v>1</v>
      </c>
    </row>
    <row r="110" spans="1:3">
      <c r="A110" s="156">
        <f>Sheet1!A76</f>
        <v>420</v>
      </c>
      <c r="B110" s="157">
        <f>Sheet1!B76</f>
        <v>49.96</v>
      </c>
      <c r="C110" s="158">
        <v>1</v>
      </c>
    </row>
    <row r="111" spans="1:3">
      <c r="A111" s="156">
        <f>Sheet1!A77</f>
        <v>435</v>
      </c>
      <c r="B111" s="157">
        <f>Sheet1!B77</f>
        <v>50.050000000000004</v>
      </c>
      <c r="C111" s="158">
        <v>1</v>
      </c>
    </row>
    <row r="112" spans="1:3">
      <c r="A112" s="156">
        <f>Sheet1!A78</f>
        <v>450</v>
      </c>
      <c r="B112" s="157">
        <f>Sheet1!B78</f>
        <v>50.120000000000005</v>
      </c>
      <c r="C112" s="158">
        <v>1</v>
      </c>
    </row>
    <row r="113" spans="1:3">
      <c r="A113" s="156">
        <f>Sheet1!A79</f>
        <v>465</v>
      </c>
      <c r="B113" s="157">
        <f>Sheet1!B79</f>
        <v>50.17</v>
      </c>
      <c r="C113" s="158">
        <v>1</v>
      </c>
    </row>
    <row r="114" spans="1:3">
      <c r="A114" s="156">
        <f>Sheet1!A80</f>
        <v>480</v>
      </c>
      <c r="B114" s="157">
        <f>Sheet1!B80</f>
        <v>50.97</v>
      </c>
      <c r="C114" s="158">
        <v>1</v>
      </c>
    </row>
    <row r="115" spans="1:3">
      <c r="A115" s="156">
        <f>Sheet1!A81</f>
        <v>481</v>
      </c>
      <c r="B115" s="157">
        <f>Sheet1!B81</f>
        <v>51.18</v>
      </c>
      <c r="C115" s="158">
        <v>1</v>
      </c>
    </row>
    <row r="116" spans="1:3">
      <c r="A116" s="156">
        <f>Sheet1!A82</f>
        <v>482</v>
      </c>
      <c r="B116" s="157">
        <f>Sheet1!B82</f>
        <v>51.37</v>
      </c>
      <c r="C116" s="158">
        <v>1</v>
      </c>
    </row>
    <row r="117" spans="1:3">
      <c r="A117" s="156">
        <f>Sheet1!A83</f>
        <v>483</v>
      </c>
      <c r="B117" s="157">
        <f>Sheet1!B83</f>
        <v>51.54</v>
      </c>
      <c r="C117" s="158">
        <v>1</v>
      </c>
    </row>
    <row r="118" spans="1:3">
      <c r="A118" s="156">
        <f>Sheet1!A84</f>
        <v>484</v>
      </c>
      <c r="B118" s="157">
        <f>Sheet1!B84</f>
        <v>51.699999999999996</v>
      </c>
      <c r="C118" s="158">
        <v>1</v>
      </c>
    </row>
    <row r="119" spans="1:3">
      <c r="A119" s="156">
        <f>Sheet1!A85</f>
        <v>485</v>
      </c>
      <c r="B119" s="157">
        <f>Sheet1!B85</f>
        <v>51.839999999999996</v>
      </c>
      <c r="C119" s="158">
        <v>1</v>
      </c>
    </row>
    <row r="120" spans="1:3">
      <c r="A120" s="156">
        <f>Sheet1!A86</f>
        <v>490</v>
      </c>
      <c r="B120" s="157">
        <f>Sheet1!B86</f>
        <v>57.08</v>
      </c>
      <c r="C120" s="158">
        <v>1</v>
      </c>
    </row>
    <row r="121" spans="1:3">
      <c r="A121" s="156">
        <f>Sheet1!A87</f>
        <v>495</v>
      </c>
      <c r="B121" s="157">
        <f>Sheet1!B87</f>
        <v>57.39</v>
      </c>
      <c r="C121" s="158">
        <v>1</v>
      </c>
    </row>
    <row r="122" spans="1:3">
      <c r="A122" s="156">
        <f>Sheet1!A88</f>
        <v>500</v>
      </c>
      <c r="B122" s="157">
        <f>Sheet1!B88</f>
        <v>59.37</v>
      </c>
      <c r="C122" s="158">
        <v>1</v>
      </c>
    </row>
    <row r="123" spans="1:3">
      <c r="A123" s="156">
        <f>Sheet1!A89</f>
        <v>505</v>
      </c>
      <c r="B123" s="157">
        <f>Sheet1!B89</f>
        <v>59.669999999999995</v>
      </c>
      <c r="C123" s="158">
        <v>1</v>
      </c>
    </row>
    <row r="124" spans="1:3">
      <c r="A124" s="156">
        <f>Sheet1!A90</f>
        <v>510</v>
      </c>
      <c r="B124" s="157">
        <f>Sheet1!B90</f>
        <v>61.67</v>
      </c>
      <c r="C124" s="158">
        <v>1</v>
      </c>
    </row>
    <row r="125" spans="1:3">
      <c r="A125" s="156">
        <f>Sheet1!A91</f>
        <v>515</v>
      </c>
      <c r="B125" s="157">
        <f>Sheet1!B91</f>
        <v>61.82</v>
      </c>
      <c r="C125" s="158">
        <v>1</v>
      </c>
    </row>
    <row r="126" spans="1:3">
      <c r="A126" s="156">
        <f>Sheet1!A92</f>
        <v>520</v>
      </c>
      <c r="B126" s="157">
        <f>Sheet1!B92</f>
        <v>61.95</v>
      </c>
      <c r="C126" s="158">
        <v>1</v>
      </c>
    </row>
    <row r="127" spans="1:3">
      <c r="A127" s="156">
        <f>Sheet1!A93</f>
        <v>525</v>
      </c>
      <c r="B127" s="157">
        <f>Sheet1!B93</f>
        <v>62.06</v>
      </c>
      <c r="C127" s="158">
        <v>1</v>
      </c>
    </row>
    <row r="128" spans="1:3">
      <c r="A128" s="156">
        <f>Sheet1!A94</f>
        <v>530</v>
      </c>
      <c r="B128" s="157">
        <f>Sheet1!B94</f>
        <v>62.14</v>
      </c>
      <c r="C128" s="158">
        <v>1</v>
      </c>
    </row>
    <row r="129" spans="1:3">
      <c r="A129" s="156">
        <f>Sheet1!A95</f>
        <v>535</v>
      </c>
      <c r="B129" s="157">
        <f>Sheet1!B95</f>
        <v>62.21</v>
      </c>
      <c r="C129" s="158">
        <v>1</v>
      </c>
    </row>
    <row r="130" spans="1:3">
      <c r="A130" s="156">
        <f>Sheet1!A96</f>
        <v>540</v>
      </c>
      <c r="B130" s="157">
        <f>Sheet1!B96</f>
        <v>63.96</v>
      </c>
      <c r="C130" s="158">
        <v>1</v>
      </c>
    </row>
    <row r="131" spans="1:3">
      <c r="A131" s="156">
        <f>Sheet1!A97</f>
        <v>555</v>
      </c>
      <c r="B131" s="157">
        <f>Sheet1!B97</f>
        <v>64.150000000000006</v>
      </c>
      <c r="C131" s="158">
        <v>1</v>
      </c>
    </row>
    <row r="132" spans="1:3">
      <c r="A132" s="156">
        <f>Sheet1!A98</f>
        <v>570</v>
      </c>
      <c r="B132" s="157">
        <f>Sheet1!B98</f>
        <v>64.31</v>
      </c>
      <c r="C132" s="158">
        <v>1</v>
      </c>
    </row>
    <row r="133" spans="1:3">
      <c r="A133" s="156">
        <f>Sheet1!A99</f>
        <v>585</v>
      </c>
      <c r="B133" s="157">
        <f>Sheet1!B99</f>
        <v>64.45</v>
      </c>
      <c r="C133" s="158">
        <v>1</v>
      </c>
    </row>
    <row r="134" spans="1:3">
      <c r="A134" s="156">
        <f>Sheet1!A100</f>
        <v>600</v>
      </c>
      <c r="B134" s="157">
        <f>Sheet1!B100</f>
        <v>66.260000000000005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5" sqref="I2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1.738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3.9230466098093886</v>
      </c>
      <c r="C31" s="158">
        <v>1</v>
      </c>
    </row>
    <row r="32" spans="1:3">
      <c r="A32" s="156">
        <f>LongTest!D11</f>
        <v>2</v>
      </c>
      <c r="B32" s="160">
        <f>LongTest!G11</f>
        <v>7.646093219618777</v>
      </c>
      <c r="C32" s="158">
        <v>1</v>
      </c>
    </row>
    <row r="33" spans="1:3">
      <c r="A33" s="156">
        <f>LongTest!D12</f>
        <v>3</v>
      </c>
      <c r="B33" s="160">
        <f>LongTest!G12</f>
        <v>10.874115604399805</v>
      </c>
      <c r="C33" s="158">
        <v>1</v>
      </c>
    </row>
    <row r="34" spans="1:3">
      <c r="A34" s="156">
        <f>LongTest!D13</f>
        <v>4</v>
      </c>
      <c r="B34" s="160">
        <f>LongTest!G13</f>
        <v>13.164433935137197</v>
      </c>
      <c r="C34" s="158">
        <v>1</v>
      </c>
    </row>
    <row r="35" spans="1:3">
      <c r="A35" s="156">
        <f>LongTest!D14</f>
        <v>5</v>
      </c>
      <c r="B35" s="160">
        <f>LongTest!G14</f>
        <v>14.940942848623408</v>
      </c>
      <c r="C35" s="158">
        <v>1</v>
      </c>
    </row>
    <row r="36" spans="1:3">
      <c r="A36" s="156">
        <f>LongTest!D15</f>
        <v>10</v>
      </c>
      <c r="B36" s="160">
        <f>LongTest!G15</f>
        <v>20.459283564141828</v>
      </c>
      <c r="C36" s="158">
        <v>1</v>
      </c>
    </row>
    <row r="37" spans="1:3">
      <c r="A37" s="156">
        <f>LongTest!D16</f>
        <v>15</v>
      </c>
      <c r="B37" s="160">
        <f>LongTest!G16</f>
        <v>23.687305948922841</v>
      </c>
      <c r="C37" s="158">
        <v>1</v>
      </c>
    </row>
    <row r="38" spans="1:3">
      <c r="A38" s="156">
        <f>LongTest!D17</f>
        <v>20</v>
      </c>
      <c r="B38" s="160">
        <f>LongTest!G17</f>
        <v>25.977624279660233</v>
      </c>
      <c r="C38" s="158">
        <v>1</v>
      </c>
    </row>
    <row r="39" spans="1:3">
      <c r="A39" s="156">
        <f>LongTest!D18</f>
        <v>25</v>
      </c>
      <c r="B39" s="160">
        <f>LongTest!G18</f>
        <v>27.754133193146444</v>
      </c>
      <c r="C39" s="158">
        <v>1</v>
      </c>
    </row>
    <row r="40" spans="1:3">
      <c r="A40" s="156">
        <f>LongTest!D19</f>
        <v>30</v>
      </c>
      <c r="B40" s="160">
        <f>LongTest!G19</f>
        <v>29.205646664441261</v>
      </c>
      <c r="C40" s="158">
        <v>1</v>
      </c>
    </row>
    <row r="41" spans="1:3">
      <c r="A41" s="156">
        <f>LongTest!D20</f>
        <v>35</v>
      </c>
      <c r="B41" s="160">
        <f>LongTest!G20</f>
        <v>30.432883817924917</v>
      </c>
      <c r="C41" s="158">
        <v>1</v>
      </c>
    </row>
    <row r="42" spans="1:3">
      <c r="A42" s="156">
        <f>LongTest!D21</f>
        <v>40</v>
      </c>
      <c r="B42" s="160">
        <f>LongTest!G21</f>
        <v>31.495964995178653</v>
      </c>
      <c r="C42" s="158">
        <v>1</v>
      </c>
    </row>
    <row r="43" spans="1:3">
      <c r="A43" s="156">
        <f>LongTest!D22</f>
        <v>45</v>
      </c>
      <c r="B43" s="160">
        <f>LongTest!G22</f>
        <v>32.433669049222289</v>
      </c>
      <c r="C43" s="158">
        <v>1</v>
      </c>
    </row>
    <row r="44" spans="1:3">
      <c r="A44" s="156">
        <f>LongTest!D23</f>
        <v>50</v>
      </c>
      <c r="B44" s="160">
        <f>LongTest!G23</f>
        <v>33.272473908664864</v>
      </c>
      <c r="C44" s="158">
        <v>1</v>
      </c>
    </row>
    <row r="45" spans="1:3">
      <c r="A45" s="156">
        <f>LongTest!D24</f>
        <v>55</v>
      </c>
      <c r="B45" s="160">
        <f>LongTest!G24</f>
        <v>34.03126520230137</v>
      </c>
      <c r="C45" s="158">
        <v>1</v>
      </c>
    </row>
    <row r="46" spans="1:3">
      <c r="A46" s="156">
        <f>LongTest!D25</f>
        <v>60</v>
      </c>
      <c r="B46" s="160">
        <f>LongTest!G25</f>
        <v>34.723987379959667</v>
      </c>
      <c r="C46" s="158">
        <v>1</v>
      </c>
    </row>
    <row r="47" spans="1:3">
      <c r="A47" s="156">
        <f>LongTest!D26</f>
        <v>75</v>
      </c>
      <c r="B47" s="160">
        <f>LongTest!G26</f>
        <v>36.500496293445892</v>
      </c>
      <c r="C47" s="158">
        <v>1</v>
      </c>
    </row>
    <row r="48" spans="1:3">
      <c r="A48" s="156">
        <f>LongTest!D27</f>
        <v>90</v>
      </c>
      <c r="B48" s="160">
        <f>LongTest!G27</f>
        <v>37.952009764740694</v>
      </c>
      <c r="C48" s="158">
        <v>1</v>
      </c>
    </row>
    <row r="49" spans="1:3">
      <c r="A49" s="156">
        <f>LongTest!D28</f>
        <v>105</v>
      </c>
      <c r="B49" s="160">
        <f>LongTest!G28</f>
        <v>39.179246918224351</v>
      </c>
      <c r="C49" s="158">
        <v>1</v>
      </c>
    </row>
    <row r="50" spans="1:3">
      <c r="A50" s="156">
        <f>LongTest!D29</f>
        <v>120</v>
      </c>
      <c r="B50" s="160">
        <f>LongTest!G29</f>
        <v>40.242328095478086</v>
      </c>
      <c r="C50" s="158">
        <v>1</v>
      </c>
    </row>
    <row r="51" spans="1:3">
      <c r="A51" s="156">
        <f>LongTest!D30</f>
        <v>140</v>
      </c>
      <c r="B51" s="160">
        <f>LongTest!G30</f>
        <v>41.469565248961743</v>
      </c>
      <c r="C51" s="158">
        <v>1</v>
      </c>
    </row>
    <row r="52" spans="1:3">
      <c r="A52" s="156">
        <f>LongTest!D31</f>
        <v>160</v>
      </c>
      <c r="B52" s="160">
        <f>LongTest!G31</f>
        <v>42.532646426215493</v>
      </c>
      <c r="C52" s="158">
        <v>1</v>
      </c>
    </row>
    <row r="53" spans="1:3">
      <c r="A53" s="156">
        <f>LongTest!D32</f>
        <v>180</v>
      </c>
      <c r="B53" s="160">
        <f>LongTest!G32</f>
        <v>43.470350480259114</v>
      </c>
      <c r="C53" s="158">
        <v>1</v>
      </c>
    </row>
    <row r="54" spans="1:3">
      <c r="A54" s="156">
        <f>LongTest!D33</f>
        <v>240</v>
      </c>
      <c r="B54" s="160">
        <f>LongTest!G33</f>
        <v>45.760668810996506</v>
      </c>
      <c r="C54" s="158">
        <v>1</v>
      </c>
    </row>
    <row r="55" spans="1:3">
      <c r="A55" s="156">
        <f>LongTest!D34</f>
        <v>300</v>
      </c>
      <c r="B55" s="160">
        <f>LongTest!G34</f>
        <v>47.537177724482717</v>
      </c>
      <c r="C55" s="158">
        <v>1</v>
      </c>
    </row>
    <row r="56" spans="1:3">
      <c r="A56" s="156">
        <f>LongTest!D35</f>
        <v>360</v>
      </c>
      <c r="B56" s="160">
        <f>LongTest!G35</f>
        <v>48.988691195777534</v>
      </c>
      <c r="C56" s="158">
        <v>1</v>
      </c>
    </row>
    <row r="57" spans="1:3">
      <c r="A57" s="156">
        <f>LongTest!D36</f>
        <v>420</v>
      </c>
      <c r="B57" s="160">
        <f>LongTest!G36</f>
        <v>50.215928349261176</v>
      </c>
      <c r="C57" s="158">
        <v>1</v>
      </c>
    </row>
    <row r="58" spans="1:3">
      <c r="A58" s="156">
        <f>LongTest!D37</f>
        <v>480</v>
      </c>
      <c r="B58" s="160">
        <f>LongTest!G37</f>
        <v>51.279009526514912</v>
      </c>
      <c r="C58" s="158">
        <v>1</v>
      </c>
    </row>
    <row r="59" spans="1:3">
      <c r="A59" s="156">
        <f>LongTest!D38</f>
        <v>540</v>
      </c>
      <c r="B59" s="160">
        <f>LongTest!G38</f>
        <v>52.216713580558562</v>
      </c>
      <c r="C59" s="158">
        <v>1</v>
      </c>
    </row>
    <row r="60" spans="1:3">
      <c r="A60" s="156">
        <f>LongTest!D39</f>
        <v>600</v>
      </c>
      <c r="B60" s="160">
        <f>LongTest!G39</f>
        <v>53.055518440001137</v>
      </c>
      <c r="C60" s="158">
        <v>1</v>
      </c>
    </row>
    <row r="61" spans="1:3">
      <c r="A61" s="156">
        <f>LongTest!D40</f>
        <v>660</v>
      </c>
      <c r="B61" s="160">
        <f>LongTest!G40</f>
        <v>53.814309733637643</v>
      </c>
      <c r="C61" s="158">
        <v>1</v>
      </c>
    </row>
    <row r="62" spans="1:3">
      <c r="A62" s="156">
        <f>LongTest!D41</f>
        <v>720</v>
      </c>
      <c r="B62" s="160">
        <f>LongTest!G41</f>
        <v>54.50703191129594</v>
      </c>
      <c r="C62" s="158">
        <v>1</v>
      </c>
    </row>
    <row r="63" spans="1:3">
      <c r="A63" s="156">
        <f>LongTest!D42</f>
        <v>780</v>
      </c>
      <c r="B63" s="160">
        <f>LongTest!G42</f>
        <v>55.144274541899151</v>
      </c>
      <c r="C63" s="158">
        <v>1</v>
      </c>
    </row>
    <row r="64" spans="1:3">
      <c r="A64" s="156">
        <f>LongTest!D43</f>
        <v>840</v>
      </c>
      <c r="B64" s="160">
        <f>LongTest!G43</f>
        <v>55.734269064779596</v>
      </c>
      <c r="C64" s="158">
        <v>1</v>
      </c>
    </row>
    <row r="65" spans="1:3">
      <c r="A65" s="156">
        <f>LongTest!D44</f>
        <v>900</v>
      </c>
      <c r="B65" s="160">
        <f>LongTest!G44</f>
        <v>56.28354082478215</v>
      </c>
      <c r="C65" s="158">
        <v>1</v>
      </c>
    </row>
    <row r="66" spans="1:3">
      <c r="A66" s="156">
        <f>LongTest!D45</f>
        <v>960</v>
      </c>
      <c r="B66" s="160">
        <f>LongTest!G45</f>
        <v>56.797350242033332</v>
      </c>
      <c r="C66" s="158">
        <v>1</v>
      </c>
    </row>
    <row r="67" spans="1:3">
      <c r="A67" s="156">
        <f>LongTest!D46</f>
        <v>1020</v>
      </c>
      <c r="B67" s="160">
        <f>LongTest!G46</f>
        <v>57.28</v>
      </c>
      <c r="C67" s="158">
        <v>1</v>
      </c>
    </row>
    <row r="68" spans="1:3">
      <c r="A68" s="156">
        <f>LongTest!D47</f>
        <v>1080</v>
      </c>
      <c r="B68" s="160">
        <f>LongTest!G47</f>
        <v>57.28</v>
      </c>
      <c r="C68" s="158">
        <v>1</v>
      </c>
    </row>
    <row r="69" spans="1:3">
      <c r="A69" s="156">
        <f>LongTest!D48</f>
        <v>1140</v>
      </c>
      <c r="B69" s="160">
        <f>LongTest!G48</f>
        <v>57.28</v>
      </c>
      <c r="C69" s="158">
        <v>1</v>
      </c>
    </row>
    <row r="70" spans="1:3">
      <c r="A70" s="156">
        <f>LongTest!D49</f>
        <v>1200</v>
      </c>
      <c r="B70" s="160">
        <f>LongTest!G49</f>
        <v>57.28</v>
      </c>
      <c r="C70" s="158">
        <v>1</v>
      </c>
    </row>
    <row r="71" spans="1:3">
      <c r="A71" s="156">
        <f>LongTest!D50</f>
        <v>1260</v>
      </c>
      <c r="B71" s="160">
        <f>LongTest!G50</f>
        <v>57.28</v>
      </c>
      <c r="C71" s="158">
        <v>1</v>
      </c>
    </row>
    <row r="72" spans="1:3">
      <c r="A72" s="156">
        <f>LongTest!D51</f>
        <v>1320</v>
      </c>
      <c r="B72" s="160">
        <f>LongTest!G51</f>
        <v>57.28</v>
      </c>
      <c r="C72" s="158">
        <v>1</v>
      </c>
    </row>
    <row r="73" spans="1:3">
      <c r="A73" s="156">
        <f>LongTest!D52</f>
        <v>1380</v>
      </c>
      <c r="B73" s="160">
        <f>LongTest!G52</f>
        <v>57.28</v>
      </c>
      <c r="C73" s="158">
        <v>1</v>
      </c>
    </row>
    <row r="74" spans="1:3">
      <c r="A74" s="156">
        <f>LongTest!D53</f>
        <v>1440</v>
      </c>
      <c r="B74" s="160">
        <f>LongTest!G53</f>
        <v>57.28</v>
      </c>
      <c r="C74" s="158">
        <v>1</v>
      </c>
    </row>
    <row r="75" spans="1:3">
      <c r="A75" s="156">
        <f>LongTest!D54</f>
        <v>1500</v>
      </c>
      <c r="B75" s="160">
        <f>LongTest!G54</f>
        <v>57.28</v>
      </c>
      <c r="C75" s="158">
        <v>1</v>
      </c>
    </row>
    <row r="76" spans="1:3">
      <c r="A76" s="156">
        <f>LongTest!D55</f>
        <v>1560</v>
      </c>
      <c r="B76" s="160">
        <f>LongTest!G55</f>
        <v>57.28</v>
      </c>
      <c r="C76" s="158">
        <v>1</v>
      </c>
    </row>
    <row r="77" spans="1:3">
      <c r="A77" s="156">
        <f>LongTest!D56</f>
        <v>1620</v>
      </c>
      <c r="B77" s="160">
        <f>LongTest!G56</f>
        <v>57.28</v>
      </c>
      <c r="C77" s="158">
        <v>1</v>
      </c>
    </row>
    <row r="78" spans="1:3">
      <c r="A78" s="156">
        <f>LongTest!D57</f>
        <v>1680</v>
      </c>
      <c r="B78" s="160">
        <f>LongTest!G57</f>
        <v>57.28</v>
      </c>
      <c r="C78" s="158">
        <v>1</v>
      </c>
    </row>
    <row r="79" spans="1:3">
      <c r="A79" s="156">
        <f>LongTest!D58</f>
        <v>1740</v>
      </c>
      <c r="B79" s="160">
        <f>LongTest!G58</f>
        <v>57.28</v>
      </c>
      <c r="C79" s="158">
        <v>1</v>
      </c>
    </row>
    <row r="80" spans="1:3">
      <c r="A80" s="156">
        <f>LongTest!D59</f>
        <v>1800</v>
      </c>
      <c r="B80" s="160">
        <f>LongTest!G59</f>
        <v>57.28</v>
      </c>
      <c r="C80" s="158">
        <v>1</v>
      </c>
    </row>
    <row r="81" spans="1:3">
      <c r="A81" s="156">
        <f>LongTest!D60</f>
        <v>1860</v>
      </c>
      <c r="B81" s="160">
        <f>LongTest!G60</f>
        <v>57.28</v>
      </c>
      <c r="C81" s="158">
        <v>1</v>
      </c>
    </row>
    <row r="82" spans="1:3">
      <c r="A82" s="156">
        <f>LongTest!D61</f>
        <v>1920</v>
      </c>
      <c r="B82" s="160">
        <f>LongTest!G61</f>
        <v>57.28</v>
      </c>
      <c r="C82" s="158">
        <v>1</v>
      </c>
    </row>
    <row r="83" spans="1:3">
      <c r="A83" s="156">
        <f>LongTest!D62</f>
        <v>1980</v>
      </c>
      <c r="B83" s="160">
        <f>LongTest!G62</f>
        <v>57.28</v>
      </c>
      <c r="C83" s="158">
        <v>1</v>
      </c>
    </row>
    <row r="84" spans="1:3">
      <c r="A84" s="156">
        <f>LongTest!D63</f>
        <v>2040</v>
      </c>
      <c r="B84" s="160">
        <f>LongTest!G63</f>
        <v>57.28</v>
      </c>
      <c r="C84" s="158">
        <v>1</v>
      </c>
    </row>
    <row r="85" spans="1:3">
      <c r="A85" s="156">
        <f>LongTest!D64</f>
        <v>2100</v>
      </c>
      <c r="B85" s="160">
        <f>LongTest!G64</f>
        <v>57.28</v>
      </c>
      <c r="C85" s="158">
        <v>1</v>
      </c>
    </row>
    <row r="86" spans="1:3">
      <c r="A86" s="156">
        <f>LongTest!D65</f>
        <v>2160</v>
      </c>
      <c r="B86" s="160">
        <f>LongTest!G65</f>
        <v>57.28</v>
      </c>
      <c r="C86" s="158">
        <v>1</v>
      </c>
    </row>
    <row r="87" spans="1:3">
      <c r="A87" s="156">
        <f>LongTest!D66</f>
        <v>2220</v>
      </c>
      <c r="B87" s="160">
        <f>LongTest!G66</f>
        <v>57.28</v>
      </c>
      <c r="C87" s="158">
        <v>1</v>
      </c>
    </row>
    <row r="88" spans="1:3">
      <c r="A88" s="156">
        <f>LongTest!D67</f>
        <v>2280</v>
      </c>
      <c r="B88" s="160">
        <f>LongTest!G67</f>
        <v>57.28</v>
      </c>
      <c r="C88" s="158">
        <v>1</v>
      </c>
    </row>
    <row r="89" spans="1:3">
      <c r="A89" s="156">
        <f>LongTest!D68</f>
        <v>2340</v>
      </c>
      <c r="B89" s="160">
        <f>LongTest!G68</f>
        <v>57.28</v>
      </c>
      <c r="C89" s="158">
        <v>1</v>
      </c>
    </row>
    <row r="90" spans="1:3">
      <c r="A90" s="156">
        <f>LongTest!D69</f>
        <v>2400</v>
      </c>
      <c r="B90" s="160">
        <f>LongTest!G69</f>
        <v>57.28</v>
      </c>
      <c r="C90" s="158">
        <v>1</v>
      </c>
    </row>
    <row r="91" spans="1:3">
      <c r="A91" s="156">
        <f>LongTest!D70</f>
        <v>2460</v>
      </c>
      <c r="B91" s="160">
        <f>LongTest!G70</f>
        <v>57.28</v>
      </c>
      <c r="C91" s="158">
        <v>1</v>
      </c>
    </row>
    <row r="92" spans="1:3">
      <c r="A92" s="156">
        <f>LongTest!D71</f>
        <v>2520</v>
      </c>
      <c r="B92" s="160">
        <f>LongTest!G71</f>
        <v>57.28</v>
      </c>
      <c r="C92" s="158">
        <v>1</v>
      </c>
    </row>
    <row r="93" spans="1:3">
      <c r="A93" s="156">
        <f>LongTest!D72</f>
        <v>2580</v>
      </c>
      <c r="B93" s="160">
        <f>LongTest!G72</f>
        <v>57.28</v>
      </c>
      <c r="C93" s="158">
        <v>1</v>
      </c>
    </row>
    <row r="94" spans="1:3">
      <c r="A94" s="156">
        <f>LongTest!D73</f>
        <v>2640</v>
      </c>
      <c r="B94" s="160">
        <f>LongTest!G73</f>
        <v>57.28</v>
      </c>
      <c r="C94" s="158">
        <v>1</v>
      </c>
    </row>
    <row r="95" spans="1:3">
      <c r="A95" s="156">
        <f>LongTest!D74</f>
        <v>2700</v>
      </c>
      <c r="B95" s="160">
        <f>LongTest!G74</f>
        <v>57.28</v>
      </c>
      <c r="C95" s="158">
        <v>1</v>
      </c>
    </row>
    <row r="96" spans="1:3">
      <c r="A96" s="156">
        <f>LongTest!D75</f>
        <v>2760</v>
      </c>
      <c r="B96" s="160">
        <f>LongTest!G75</f>
        <v>57.28</v>
      </c>
      <c r="C96" s="158">
        <v>1</v>
      </c>
    </row>
    <row r="97" spans="1:3">
      <c r="A97" s="156">
        <f>LongTest!D76</f>
        <v>2820</v>
      </c>
      <c r="B97" s="160">
        <f>LongTest!G76</f>
        <v>57.28</v>
      </c>
      <c r="C97" s="158">
        <v>1</v>
      </c>
    </row>
    <row r="98" spans="1:3">
      <c r="A98" s="156">
        <f>LongTest!D77</f>
        <v>2880</v>
      </c>
      <c r="B98" s="160">
        <f>LongTest!G77</f>
        <v>57.28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K35" sqref="K3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1.738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57.28</v>
      </c>
      <c r="C32" s="158">
        <v>1</v>
      </c>
    </row>
    <row r="33" spans="1:3">
      <c r="A33" s="156">
        <f>$A$32+LongTest!D78</f>
        <v>2881</v>
      </c>
      <c r="B33" s="157">
        <f>LongTest!G78</f>
        <v>32.499942154775795</v>
      </c>
      <c r="C33" s="158">
        <v>1</v>
      </c>
    </row>
    <row r="34" spans="1:3">
      <c r="A34" s="156">
        <f>$A$32+LongTest!D79</f>
        <v>2882</v>
      </c>
      <c r="B34" s="157">
        <f>LongTest!G79</f>
        <v>28.783426818208749</v>
      </c>
      <c r="C34" s="158">
        <v>1</v>
      </c>
    </row>
    <row r="35" spans="1:3">
      <c r="A35" s="156">
        <f>$A$32+LongTest!D80</f>
        <v>2883</v>
      </c>
      <c r="B35" s="157">
        <f>LongTest!G80</f>
        <v>25.491911814908722</v>
      </c>
      <c r="C35" s="158">
        <v>1</v>
      </c>
    </row>
    <row r="36" spans="1:3">
      <c r="A36" s="156">
        <f>$A$32+LongTest!D81</f>
        <v>2884</v>
      </c>
      <c r="B36" s="157">
        <f>LongTest!G81</f>
        <v>22.57679643509255</v>
      </c>
      <c r="C36" s="158">
        <v>1</v>
      </c>
    </row>
    <row r="37" spans="1:3">
      <c r="A37" s="156">
        <f>$A$32+LongTest!D82</f>
        <v>2885</v>
      </c>
      <c r="B37" s="157">
        <f>LongTest!G82</f>
        <v>19.995037679892921</v>
      </c>
      <c r="C37" s="158">
        <v>1</v>
      </c>
    </row>
    <row r="38" spans="1:3">
      <c r="A38" s="156">
        <f>$A$32+LongTest!D83</f>
        <v>2890</v>
      </c>
      <c r="B38" s="157">
        <f>LongTest!G83</f>
        <v>13.889990734786947</v>
      </c>
      <c r="C38" s="158">
        <v>1</v>
      </c>
    </row>
    <row r="39" spans="1:3">
      <c r="A39" s="156">
        <f>$A$32+LongTest!D84</f>
        <v>2895</v>
      </c>
      <c r="B39" s="157">
        <f>LongTest!G84</f>
        <v>12.809786630248885</v>
      </c>
      <c r="C39" s="158">
        <v>1</v>
      </c>
    </row>
    <row r="40" spans="1:3">
      <c r="A40" s="156">
        <f>$A$32+LongTest!D85</f>
        <v>2900</v>
      </c>
      <c r="B40" s="157">
        <f>LongTest!G85</f>
        <v>10.04758561079826</v>
      </c>
      <c r="C40" s="158">
        <v>1</v>
      </c>
    </row>
    <row r="41" spans="1:3">
      <c r="A41" s="156">
        <f>$A$32+LongTest!D86</f>
        <v>2905</v>
      </c>
      <c r="B41" s="157">
        <f>LongTest!G86</f>
        <v>8.8985987652166099</v>
      </c>
      <c r="C41" s="158">
        <v>1</v>
      </c>
    </row>
    <row r="42" spans="1:3">
      <c r="A42" s="156">
        <f>$A$32+LongTest!D87</f>
        <v>2910</v>
      </c>
      <c r="B42" s="157">
        <f>LongTest!G87</f>
        <v>7.8810037606659868</v>
      </c>
      <c r="C42" s="158">
        <v>1</v>
      </c>
    </row>
    <row r="43" spans="1:3">
      <c r="A43" s="156">
        <f>$A$32+LongTest!D88</f>
        <v>2915</v>
      </c>
      <c r="B43" s="157">
        <f>LongTest!G88</f>
        <v>7.5683551713698005</v>
      </c>
      <c r="C43" s="158">
        <v>1</v>
      </c>
    </row>
    <row r="44" spans="1:3">
      <c r="A44" s="156">
        <f>$A$32+LongTest!D89</f>
        <v>2920</v>
      </c>
      <c r="B44" s="157">
        <f>LongTest!G89</f>
        <v>7.2681097153999499</v>
      </c>
      <c r="C44" s="158">
        <v>1</v>
      </c>
    </row>
    <row r="45" spans="1:3">
      <c r="A45" s="156">
        <f>$A$32+LongTest!D90</f>
        <v>2925</v>
      </c>
      <c r="B45" s="157">
        <f>LongTest!G90</f>
        <v>6.9797753460254501</v>
      </c>
      <c r="C45" s="158">
        <v>1</v>
      </c>
    </row>
    <row r="46" spans="1:3">
      <c r="A46" s="156">
        <f>$A$32+LongTest!D91</f>
        <v>2930</v>
      </c>
      <c r="B46" s="157">
        <f>LongTest!G91</f>
        <v>6.7028795365816602</v>
      </c>
      <c r="C46" s="158">
        <v>1</v>
      </c>
    </row>
    <row r="47" spans="1:3">
      <c r="A47" s="156">
        <f>$A$32+LongTest!D92</f>
        <v>2935</v>
      </c>
      <c r="B47" s="157">
        <f>LongTest!G92</f>
        <v>6.4369685060865534</v>
      </c>
      <c r="C47" s="158">
        <v>1</v>
      </c>
    </row>
    <row r="48" spans="1:3">
      <c r="A48" s="156">
        <f>$A$32+LongTest!D93</f>
        <v>2940</v>
      </c>
      <c r="B48" s="157">
        <f>LongTest!G93</f>
        <v>6.1816064755776532</v>
      </c>
      <c r="C48" s="158">
        <v>1</v>
      </c>
    </row>
    <row r="49" spans="1:3">
      <c r="A49" s="156">
        <f>$A$32+LongTest!D94</f>
        <v>2955</v>
      </c>
      <c r="B49" s="157">
        <f>LongTest!G94</f>
        <v>5.936374953950998</v>
      </c>
      <c r="C49" s="158">
        <v>1</v>
      </c>
    </row>
    <row r="50" spans="1:3">
      <c r="A50" s="156">
        <f>$A$32+LongTest!D95</f>
        <v>2970</v>
      </c>
      <c r="B50" s="157">
        <f>LongTest!G95</f>
        <v>5.7008720521316549</v>
      </c>
      <c r="C50" s="158">
        <v>1</v>
      </c>
    </row>
    <row r="51" spans="1:3">
      <c r="A51" s="156">
        <f>$A$32+LongTest!D96</f>
        <v>2985</v>
      </c>
      <c r="B51" s="157">
        <f>LongTest!G96</f>
        <v>5.4747118244519282</v>
      </c>
      <c r="C51" s="158">
        <v>1</v>
      </c>
    </row>
    <row r="52" spans="1:3">
      <c r="A52" s="156">
        <f>$A$32+LongTest!D97</f>
        <v>3000</v>
      </c>
      <c r="B52" s="157">
        <f>LongTest!G97</f>
        <v>4.8486537729648855</v>
      </c>
      <c r="C52" s="158">
        <v>1</v>
      </c>
    </row>
    <row r="53" spans="1:3">
      <c r="A53" s="156">
        <f>$A$32+LongTest!D98</f>
        <v>3060</v>
      </c>
      <c r="B53" s="157">
        <f>LongTest!G98</f>
        <v>4.6563020360365188</v>
      </c>
      <c r="C53" s="158">
        <v>1</v>
      </c>
    </row>
    <row r="54" spans="1:3">
      <c r="A54" s="156">
        <f>$A$32+LongTest!D99</f>
        <v>3120</v>
      </c>
      <c r="B54" s="157">
        <f>LongTest!G99</f>
        <v>3.6522539123590532</v>
      </c>
      <c r="C54" s="158">
        <v>1</v>
      </c>
    </row>
    <row r="55" spans="1:3">
      <c r="A55" s="156">
        <f>$A$32+LongTest!D100</f>
        <v>3180</v>
      </c>
      <c r="B55" s="157">
        <f>LongTest!G100</f>
        <v>2.8647107805953755</v>
      </c>
      <c r="C55" s="158">
        <v>1</v>
      </c>
    </row>
    <row r="56" spans="1:3">
      <c r="A56" s="156">
        <f>$A$32+LongTest!D101</f>
        <v>3240</v>
      </c>
      <c r="B56" s="157">
        <f>LongTest!G101</f>
        <v>2.2469872175887691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abSelected="1" workbookViewId="0">
      <selection activeCell="O6" sqref="O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45209.444444444445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14.9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190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7.1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45209.447916666664</v>
      </c>
      <c r="C14" s="108">
        <v>5</v>
      </c>
      <c r="D14" s="109">
        <f t="shared" ref="D14:D20" si="0">baseTemp+H14</f>
        <v>15.1</v>
      </c>
      <c r="E14" s="110">
        <f>$C$8+I14</f>
        <v>191</v>
      </c>
      <c r="F14" s="111">
        <f>$C$9+J14</f>
        <v>7.2299999999999995</v>
      </c>
      <c r="H14" s="112">
        <v>0.2</v>
      </c>
      <c r="I14" s="113">
        <v>1</v>
      </c>
      <c r="J14" s="114">
        <v>0.13</v>
      </c>
      <c r="L14" s="104">
        <f ca="1">ROUND(myRandBetween(1,3,10), 1)</f>
        <v>-0.2</v>
      </c>
      <c r="M14" s="105">
        <f ca="1">myRandBetween(1,20,1)</f>
        <v>2</v>
      </c>
      <c r="N14" s="106">
        <f ca="1">ROUND(myRandBetween(8,12,100), 2)</f>
        <v>-0.08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45209.465277777781</v>
      </c>
      <c r="C15" s="114">
        <v>30</v>
      </c>
      <c r="D15" s="116">
        <f t="shared" si="0"/>
        <v>15.200000000000001</v>
      </c>
      <c r="E15" s="117">
        <f t="shared" ref="E15:E20" si="3">$C$8+I15</f>
        <v>191</v>
      </c>
      <c r="F15" s="118">
        <f t="shared" ref="F15:F20" si="4">$C$9+J15</f>
        <v>6.97</v>
      </c>
      <c r="H15" s="112">
        <v>0.3</v>
      </c>
      <c r="I15" s="113">
        <v>1</v>
      </c>
      <c r="J15" s="114">
        <v>-0.13</v>
      </c>
      <c r="L15" s="104">
        <f t="shared" ref="L15:L23" ca="1" si="5">ROUND(myRandBetween(1,3,10), 1)</f>
        <v>-0.2</v>
      </c>
      <c r="M15" s="105">
        <f t="shared" ref="M15:M23" ca="1" si="6">myRandBetween(1,20,1)</f>
        <v>-6</v>
      </c>
      <c r="N15" s="106">
        <f t="shared" ref="N15:N23" ca="1" si="7">ROUND(myRandBetween(8,12,100), 2)</f>
        <v>-0.09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45209.486111111109</v>
      </c>
      <c r="C16" s="114">
        <v>60</v>
      </c>
      <c r="D16" s="116">
        <f t="shared" si="0"/>
        <v>14.6</v>
      </c>
      <c r="E16" s="117">
        <f t="shared" si="3"/>
        <v>187</v>
      </c>
      <c r="F16" s="118">
        <f t="shared" si="4"/>
        <v>7.1899999999999995</v>
      </c>
      <c r="H16" s="112">
        <v>-0.3</v>
      </c>
      <c r="I16" s="113">
        <v>-3</v>
      </c>
      <c r="J16" s="114">
        <v>0.09</v>
      </c>
      <c r="L16" s="104">
        <f t="shared" ca="1" si="5"/>
        <v>-0.3</v>
      </c>
      <c r="M16" s="105">
        <f t="shared" ca="1" si="6"/>
        <v>7</v>
      </c>
      <c r="N16" s="106">
        <f t="shared" ca="1" si="7"/>
        <v>-0.09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45209.527777777781</v>
      </c>
      <c r="C17" s="114">
        <v>120</v>
      </c>
      <c r="D17" s="116">
        <f t="shared" si="0"/>
        <v>15.200000000000001</v>
      </c>
      <c r="E17" s="117">
        <f t="shared" si="3"/>
        <v>188</v>
      </c>
      <c r="F17" s="118">
        <f t="shared" si="4"/>
        <v>7.21</v>
      </c>
      <c r="H17" s="112">
        <v>0.3</v>
      </c>
      <c r="I17" s="113">
        <v>-2</v>
      </c>
      <c r="J17" s="114">
        <v>0.11</v>
      </c>
      <c r="L17" s="104">
        <f t="shared" ca="1" si="5"/>
        <v>0.1</v>
      </c>
      <c r="M17" s="105">
        <f t="shared" ca="1" si="6"/>
        <v>-1</v>
      </c>
      <c r="N17" s="106">
        <f t="shared" ca="1" si="7"/>
        <v>0.12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45209.611111111109</v>
      </c>
      <c r="C18" s="114">
        <v>240</v>
      </c>
      <c r="D18" s="116">
        <f t="shared" si="0"/>
        <v>14.8</v>
      </c>
      <c r="E18" s="117">
        <f t="shared" si="3"/>
        <v>192</v>
      </c>
      <c r="F18" s="118">
        <f t="shared" si="4"/>
        <v>7.2299999999999995</v>
      </c>
      <c r="H18" s="112">
        <v>-0.1</v>
      </c>
      <c r="I18" s="113">
        <v>2</v>
      </c>
      <c r="J18" s="114">
        <v>0.13</v>
      </c>
      <c r="L18" s="104">
        <f t="shared" ca="1" si="5"/>
        <v>-0.3</v>
      </c>
      <c r="M18" s="105">
        <f t="shared" ca="1" si="6"/>
        <v>-4</v>
      </c>
      <c r="N18" s="106">
        <f t="shared" ca="1" si="7"/>
        <v>0.08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45209.777777777781</v>
      </c>
      <c r="C19" s="114">
        <v>480</v>
      </c>
      <c r="D19" s="116">
        <f t="shared" si="0"/>
        <v>15</v>
      </c>
      <c r="E19" s="117">
        <f t="shared" si="3"/>
        <v>192</v>
      </c>
      <c r="F19" s="118">
        <f t="shared" si="4"/>
        <v>7.17</v>
      </c>
      <c r="H19" s="112">
        <v>0.1</v>
      </c>
      <c r="I19" s="113">
        <v>2</v>
      </c>
      <c r="J19" s="114">
        <v>7.0000000000000007E-2</v>
      </c>
      <c r="L19" s="104">
        <f t="shared" ca="1" si="5"/>
        <v>0.3</v>
      </c>
      <c r="M19" s="105">
        <f t="shared" ca="1" si="6"/>
        <v>-6</v>
      </c>
      <c r="N19" s="106">
        <f t="shared" ca="1" si="7"/>
        <v>0.08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45210.444444444445</v>
      </c>
      <c r="C20" s="114">
        <v>1440</v>
      </c>
      <c r="D20" s="116">
        <f t="shared" si="0"/>
        <v>15.1</v>
      </c>
      <c r="E20" s="117">
        <f t="shared" si="3"/>
        <v>192</v>
      </c>
      <c r="F20" s="118">
        <f t="shared" si="4"/>
        <v>7.2299999999999995</v>
      </c>
      <c r="H20" s="112">
        <v>0.2</v>
      </c>
      <c r="I20" s="113">
        <v>2</v>
      </c>
      <c r="J20" s="114">
        <v>0.13</v>
      </c>
      <c r="L20" s="104">
        <f t="shared" ca="1" si="5"/>
        <v>0.2</v>
      </c>
      <c r="M20" s="105">
        <f t="shared" ca="1" si="6"/>
        <v>20</v>
      </c>
      <c r="N20" s="106">
        <f t="shared" ca="1" si="7"/>
        <v>0.09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45210.611111111109</v>
      </c>
      <c r="C21" s="114">
        <v>1680</v>
      </c>
      <c r="D21" s="116">
        <f>$D$20</f>
        <v>15.1</v>
      </c>
      <c r="E21" s="117">
        <f>$E$20</f>
        <v>192</v>
      </c>
      <c r="F21" s="118">
        <f>$F$20</f>
        <v>7.2299999999999995</v>
      </c>
      <c r="H21" s="112">
        <v>0.2</v>
      </c>
      <c r="I21" s="113">
        <v>1</v>
      </c>
      <c r="J21" s="114">
        <v>-0.12</v>
      </c>
      <c r="L21" s="104">
        <f t="shared" ca="1" si="5"/>
        <v>0.2</v>
      </c>
      <c r="M21" s="105">
        <f t="shared" ca="1" si="6"/>
        <v>15</v>
      </c>
      <c r="N21" s="106">
        <f t="shared" ca="1" si="7"/>
        <v>0.1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45210.777777777781</v>
      </c>
      <c r="C22" s="114">
        <v>1920</v>
      </c>
      <c r="D22" s="116">
        <f t="shared" ref="D22:D23" si="8">$D$20</f>
        <v>15.1</v>
      </c>
      <c r="E22" s="117">
        <f t="shared" ref="E22:E23" si="9">$E$20</f>
        <v>192</v>
      </c>
      <c r="F22" s="118">
        <f t="shared" ref="F22:F23" si="10">$F$20</f>
        <v>7.2299999999999995</v>
      </c>
      <c r="H22" s="112">
        <v>0.3</v>
      </c>
      <c r="I22" s="113">
        <v>-2</v>
      </c>
      <c r="J22" s="114">
        <v>0.13</v>
      </c>
      <c r="L22" s="104">
        <f t="shared" ca="1" si="5"/>
        <v>-0.3</v>
      </c>
      <c r="M22" s="105">
        <f t="shared" ca="1" si="6"/>
        <v>-4</v>
      </c>
      <c r="N22" s="106">
        <f t="shared" ca="1" si="7"/>
        <v>0.09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45211.444444444445</v>
      </c>
      <c r="C23" s="114">
        <v>2880</v>
      </c>
      <c r="D23" s="116">
        <f t="shared" si="8"/>
        <v>15.1</v>
      </c>
      <c r="E23" s="117">
        <f t="shared" si="9"/>
        <v>192</v>
      </c>
      <c r="F23" s="118">
        <f t="shared" si="10"/>
        <v>7.2299999999999995</v>
      </c>
      <c r="H23" s="119">
        <v>0.1</v>
      </c>
      <c r="I23" s="120">
        <v>1</v>
      </c>
      <c r="J23" s="121">
        <v>-0.1</v>
      </c>
      <c r="L23" s="144">
        <f t="shared" ca="1" si="5"/>
        <v>-0.2</v>
      </c>
      <c r="M23" s="145">
        <f t="shared" ca="1" si="6"/>
        <v>-5</v>
      </c>
      <c r="N23" s="122">
        <f t="shared" ca="1" si="7"/>
        <v>0.11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15.200000000000001</v>
      </c>
      <c r="E24" s="136">
        <f t="shared" ref="E24:F24" si="11">MAX(E14:E23)</f>
        <v>192</v>
      </c>
      <c r="F24" s="134">
        <f t="shared" si="11"/>
        <v>7.2299999999999995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14.6</v>
      </c>
      <c r="E25" s="136">
        <f t="shared" ref="E25:F25" si="12">MIN(E14:E23)</f>
        <v>187</v>
      </c>
      <c r="F25" s="134">
        <f t="shared" si="12"/>
        <v>6.97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5</v>
      </c>
      <c r="F26" s="139">
        <f t="shared" si="13"/>
        <v>0.25999999999999979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2023-06-23T22:00:19Z</cp:lastPrinted>
  <dcterms:created xsi:type="dcterms:W3CDTF">2022-01-08T04:40:11Z</dcterms:created>
  <dcterms:modified xsi:type="dcterms:W3CDTF">2023-10-20T00:49:57Z</dcterms:modified>
</cp:coreProperties>
</file>