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7_ihanseol - 2022\22_농업용 - 논산시, 관정개발 2개공 - 마인지오\02_논산시 연무읍 황화정리 577-1\04_양수시험\"/>
    </mc:Choice>
  </mc:AlternateContent>
  <xr:revisionPtr revIDLastSave="0" documentId="13_ncr:1_{D25D4900-E9AE-485E-B8A7-03DECFEFF15E}" xr6:coauthVersionLast="47" xr6:coauthVersionMax="47" xr10:uidLastSave="{00000000-0000-0000-0000-000000000000}"/>
  <bookViews>
    <workbookView xWindow="3495" yWindow="1095" windowWidth="27855" windowHeight="18360" tabRatio="538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A28" i="10"/>
  <c r="A27" i="9"/>
  <c r="AC35" i="7"/>
  <c r="AC36" i="7" s="1"/>
  <c r="AC37" i="7" s="1"/>
  <c r="AC38" i="7" s="1"/>
  <c r="M16" i="11" a="1"/>
  <c r="M15" i="11" a="1"/>
  <c r="L23" i="11" a="1"/>
  <c r="M23" i="11" a="1"/>
  <c r="L19" i="11" a="1"/>
  <c r="M21" i="11" a="1"/>
  <c r="L15" i="11" a="1"/>
  <c r="L16" i="11" a="1"/>
  <c r="L21" i="11" a="1"/>
  <c r="L20" i="11" a="1"/>
  <c r="L17" i="11" a="1"/>
  <c r="M19" i="11" a="1"/>
  <c r="M20" i="11" a="1"/>
  <c r="M22" i="11" a="1"/>
  <c r="M18" i="11" a="1"/>
  <c r="M17" i="11" a="1"/>
  <c r="L22" i="11" a="1"/>
  <c r="L18" i="11" a="1"/>
  <c r="L14" i="11" a="1"/>
  <c r="M21" i="11" l="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4" i="11" a="1"/>
  <c r="N20" i="11" a="1"/>
  <c r="N15" i="11" a="1"/>
  <c r="N22" i="11" a="1"/>
  <c r="N16" i="11" a="1"/>
  <c r="N18" i="11" a="1"/>
  <c r="N19" i="11" a="1"/>
  <c r="M14" i="11" a="1"/>
  <c r="N17" i="11" a="1"/>
  <c r="N23" i="11" a="1"/>
  <c r="N21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A30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E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E24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M19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F24" i="11" l="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8" i="7"/>
  <c r="P18" i="7" s="1"/>
  <c r="N17" i="7"/>
  <c r="P17" i="7" s="1"/>
  <c r="M20" i="7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Y19" i="6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N20" i="7"/>
  <c r="P20" i="7" s="1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N22" i="7"/>
  <c r="P22" i="7" s="1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<sst xmlns="http://schemas.openxmlformats.org/spreadsheetml/2006/main" count="1095" uniqueCount="244">
  <si>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</si>
  <si>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</si>
  <si>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</si>
  <si>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</si>
  <si>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</si>
  <si>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</si>
  <si>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</si>
  <si>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</si>
  <si>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</si>
  <si>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</si>
  <si>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</si>
  <si>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</si>
  <si>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</si>
  <si>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</si>
  <si>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</si>
  <si>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</si>
  <si>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</si>
  <si>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</si>
  <si>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</si>
  <si>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</si>
  <si>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</si>
  <si>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</si>
  <si>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</si>
  <si>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</si>
  <si>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</si>
  <si>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</si>
  <si>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</si>
  <si>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</si>
  <si>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</si>
  <si>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</si>
  <si>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</si>
  <si>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</si>
  <si>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</si>
  <si>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</si>
  <si>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</si>
  <si>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</si>
  <si>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</si>
  <si>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</si>
  <si>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</si>
  <si>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</si>
  <si>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</si>
  <si>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</si>
  <si>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</si>
  <si>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</si>
  <si>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</si>
  <si>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</si>
  <si>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</si>
  <si>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</si>
  <si>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</si>
  <si>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</si>
  <si>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</si>
  <si>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</si>
  <si>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</si>
  <si>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공  번 : W - 1</t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</si>
  <si>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</si>
  <si>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</si>
  <si>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</si>
  <si>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</si>
  <si>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</si>
  <si>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</si>
  <si>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</si>
  <si>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</si>
  <si>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</si>
  <si>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</si>
  <si>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</si>
  <si>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</si>
  <si>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</si>
  <si>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</si>
  <si>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</si>
  <si>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</si>
  <si>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</si>
  <si>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</si>
  <si>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</si>
  <si>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</si>
  <si>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</si>
  <si>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</si>
  <si>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</si>
  <si>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</si>
  <si>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</si>
  <si>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</si>
  <si>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</si>
  <si>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</si>
  <si>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</si>
  <si>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</si>
  <si>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</si>
  <si>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</si>
  <si>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</si>
  <si>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</si>
  <si>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</si>
  <si>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</si>
  <si>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</si>
  <si>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</si>
  <si>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</si>
  <si>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</si>
  <si>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</si>
  <si>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</si>
  <si>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</si>
  <si>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</si>
  <si>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</si>
  <si>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</si>
  <si>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</si>
  <si>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</si>
  <si>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</si>
  <si>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</si>
  <si>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</si>
  <si>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</si>
  <si>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</si>
  <si>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</si>
  <si>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</si>
  <si>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</si>
  <si>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</si>
  <si>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</si>
  <si>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</si>
  <si>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</si>
  <si>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</si>
  <si>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</si>
  <si>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</si>
  <si>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</si>
  <si>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</si>
  <si>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</si>
  <si>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</si>
  <si>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</si>
  <si>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</si>
  <si>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</si>
  <si>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</si>
  <si>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</si>
  <si>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</si>
  <si>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</si>
  <si>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</si>
  <si>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</si>
  <si>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</si>
  <si>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</si>
  <si>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</si>
  <si>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</si>
  <si>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</si>
  <si>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</si>
  <si>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</si>
  <si>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</si>
  <si>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</si>
  <si>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</si>
  <si>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</si>
  <si>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</si>
  <si>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</si>
  <si>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</si>
  <si>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</si>
  <si>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</si>
  <si>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</si>
  <si>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</si>
  <si>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</si>
  <si>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</si>
  <si>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</si>
  <si>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</si>
  <si>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</si>
  <si>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</si>
  <si>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</si>
  <si>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</si>
  <si>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</si>
  <si>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</si>
  <si>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</si>
  <si>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</si>
  <si>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</si>
  <si>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</si>
  <si>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</si>
  <si>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</si>
  <si>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</si>
  <si>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</si>
  <si>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</si>
  <si>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</si>
  <si>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</si>
  <si>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</si>
  <si>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</si>
  <si>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</si>
  <si>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</si>
  <si>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</si>
  <si>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</si>
  <si>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</si>
  <si>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</si>
  <si>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</si>
  <si>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</si>
  <si>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</si>
  <si>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</si>
  <si>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</si>
  <si>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</si>
  <si>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</si>
  <si>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</si>
  <si>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</si>
  <si>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</si>
  <si>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</si>
  <si>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</si>
  <si>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</si>
  <si>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</si>
  <si>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</si>
  <si>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</si>
  <si>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</si>
  <si>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</si>
  <si>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</si>
  <si>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</si>
  <si>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</si>
  <si>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</si>
  <si>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</si>
  <si>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</si>
  <si>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</si>
  <si>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</si>
  <si>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</si>
  <si>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</si>
  <si>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</si>
  <si>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</si>
  <si>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</si>
  <si>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</si>
  <si>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</si>
  <si>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</si>
  <si>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</si>
  <si>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</si>
  <si>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</si>
  <si>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</si>
  <si>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</si>
  <si>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</si>
  <si>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</si>
  <si>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</si>
  <si>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</si>
  <si>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</si>
  <si>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</si>
  <si>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</si>
  <si>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</si>
  <si>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수질 1번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</si>
  <si>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</si>
  <si>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</si>
  <si>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</si>
  <si>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</si>
  <si>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</si>
  <si>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</si>
  <si>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</si>
  <si>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</si>
  <si>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</si>
  <si>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</si>
  <si>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</si>
  <si>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</si>
  <si>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</si>
  <si>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</si>
  <si>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</si>
  <si>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  마인지오주식회사</t>
    <phoneticPr fontId="8" type="noConversion"/>
  </si>
  <si>
    <t xml:space="preserve">  논산시 연무읍 황화정리 577-1</t>
    <phoneticPr fontId="8" type="noConversion"/>
  </si>
  <si>
    <t xml:space="preserve">  황화정지구</t>
    <phoneticPr fontId="8" type="noConversion"/>
  </si>
  <si>
    <t xml:space="preserve">  연무읍 황화4지구 농업용 관정개발(대형) 사업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</si>
</sst>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86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178" fontId="38" fillId="32" borderId="86" xfId="6" applyNumberFormat="1" applyFont="1" applyFill="1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1.3</c:v>
                </c:pt>
                <c:pt idx="2">
                  <c:v>1.48</c:v>
                </c:pt>
                <c:pt idx="3">
                  <c:v>1.61</c:v>
                </c:pt>
                <c:pt idx="4">
                  <c:v>1.71</c:v>
                </c:pt>
                <c:pt idx="5">
                  <c:v>2.02</c:v>
                </c:pt>
                <c:pt idx="6">
                  <c:v>2.19</c:v>
                </c:pt>
                <c:pt idx="7">
                  <c:v>2.3199999999999998</c:v>
                </c:pt>
                <c:pt idx="8">
                  <c:v>2.42</c:v>
                </c:pt>
                <c:pt idx="9">
                  <c:v>2.5</c:v>
                </c:pt>
                <c:pt idx="10">
                  <c:v>2.57</c:v>
                </c:pt>
                <c:pt idx="11">
                  <c:v>2.63</c:v>
                </c:pt>
                <c:pt idx="12">
                  <c:v>2.68</c:v>
                </c:pt>
                <c:pt idx="13">
                  <c:v>2.73</c:v>
                </c:pt>
                <c:pt idx="14">
                  <c:v>2.77</c:v>
                </c:pt>
                <c:pt idx="15">
                  <c:v>2.81</c:v>
                </c:pt>
                <c:pt idx="16">
                  <c:v>2.91</c:v>
                </c:pt>
                <c:pt idx="17">
                  <c:v>2.99</c:v>
                </c:pt>
                <c:pt idx="18">
                  <c:v>3.06</c:v>
                </c:pt>
                <c:pt idx="19">
                  <c:v>3.12</c:v>
                </c:pt>
                <c:pt idx="20" formatCode="\ 0.00\ ">
                  <c:v>3.2800000000000002</c:v>
                </c:pt>
                <c:pt idx="21" formatCode="\ 0.00\ ">
                  <c:v>3.43</c:v>
                </c:pt>
                <c:pt idx="22" formatCode="\ 0.00\ ">
                  <c:v>3.5700000000000003</c:v>
                </c:pt>
                <c:pt idx="23" formatCode="\ 0.00\ ">
                  <c:v>3.7</c:v>
                </c:pt>
                <c:pt idx="24" formatCode="\ 0.00\ ">
                  <c:v>3.83</c:v>
                </c:pt>
                <c:pt idx="25">
                  <c:v>3.74</c:v>
                </c:pt>
                <c:pt idx="26" formatCode="\ 0.00\ ">
                  <c:v>3.85</c:v>
                </c:pt>
                <c:pt idx="27">
                  <c:v>3.84</c:v>
                </c:pt>
                <c:pt idx="28" formatCode="\ 0.00\ ">
                  <c:v>3.94</c:v>
                </c:pt>
                <c:pt idx="29">
                  <c:v>3.95</c:v>
                </c:pt>
                <c:pt idx="30" formatCode="\ 0.00\ ">
                  <c:v>4.01</c:v>
                </c:pt>
                <c:pt idx="31" formatCode="\ 0.00\ ">
                  <c:v>4.0599999999999996</c:v>
                </c:pt>
                <c:pt idx="32" formatCode="\ 0.00\ ">
                  <c:v>4.0999999999999996</c:v>
                </c:pt>
                <c:pt idx="33" formatCode="\ 0.00\ ">
                  <c:v>4.13</c:v>
                </c:pt>
                <c:pt idx="34" formatCode="\ 0.00\ ">
                  <c:v>4.1499999999999995</c:v>
                </c:pt>
                <c:pt idx="35">
                  <c:v>4.05</c:v>
                </c:pt>
                <c:pt idx="36" formatCode="\ 0.00\ ">
                  <c:v>4.12</c:v>
                </c:pt>
                <c:pt idx="37" formatCode="\ 0.00\ ">
                  <c:v>4.18</c:v>
                </c:pt>
                <c:pt idx="38" formatCode="\ 0.00\ ">
                  <c:v>4.2299999999999995</c:v>
                </c:pt>
                <c:pt idx="39">
                  <c:v>4.16</c:v>
                </c:pt>
                <c:pt idx="40" formatCode="\ 0.00\ ">
                  <c:v>4.34</c:v>
                </c:pt>
                <c:pt idx="41" formatCode="\ 0.00\ ">
                  <c:v>4.5</c:v>
                </c:pt>
                <c:pt idx="42" formatCode="\ 0.00\ ">
                  <c:v>4.6500000000000004</c:v>
                </c:pt>
                <c:pt idx="43" formatCode="\ 0.00\ ">
                  <c:v>4.79</c:v>
                </c:pt>
                <c:pt idx="44" formatCode="\ 0.00\ ">
                  <c:v>4.92</c:v>
                </c:pt>
                <c:pt idx="45">
                  <c:v>4.8600000000000003</c:v>
                </c:pt>
                <c:pt idx="46" formatCode="\ 0.00\ ">
                  <c:v>4.9700000000000006</c:v>
                </c:pt>
                <c:pt idx="47">
                  <c:v>4.97</c:v>
                </c:pt>
                <c:pt idx="48" formatCode="\ 0.00\ ">
                  <c:v>5.08</c:v>
                </c:pt>
                <c:pt idx="49">
                  <c:v>5.09</c:v>
                </c:pt>
                <c:pt idx="50" formatCode="\ 0.00\ ">
                  <c:v>5.16</c:v>
                </c:pt>
                <c:pt idx="51" formatCode="\ 0.00\ ">
                  <c:v>5.21</c:v>
                </c:pt>
                <c:pt idx="52" formatCode="\ 0.00\ ">
                  <c:v>5.25</c:v>
                </c:pt>
                <c:pt idx="53" formatCode="\ 0.00\ ">
                  <c:v>5.28</c:v>
                </c:pt>
                <c:pt idx="54" formatCode="\ 0.00\ ">
                  <c:v>5.3</c:v>
                </c:pt>
                <c:pt idx="55">
                  <c:v>5.21</c:v>
                </c:pt>
                <c:pt idx="56" formatCode="\ 0.00\ ">
                  <c:v>5.29</c:v>
                </c:pt>
                <c:pt idx="57" formatCode="\ 0.00\ ">
                  <c:v>5.35</c:v>
                </c:pt>
                <c:pt idx="58" formatCode="\ 0.00\ ">
                  <c:v>5.3999999999999995</c:v>
                </c:pt>
                <c:pt idx="59">
                  <c:v>5.33</c:v>
                </c:pt>
                <c:pt idx="60" formatCode="\ 0.00\ ">
                  <c:v>5.5200000000000005</c:v>
                </c:pt>
                <c:pt idx="61" formatCode="\ 0.00\ ">
                  <c:v>5.69</c:v>
                </c:pt>
                <c:pt idx="62" formatCode="\ 0.00\ ">
                  <c:v>5.8500000000000005</c:v>
                </c:pt>
                <c:pt idx="63" formatCode="\ 0.00\ ">
                  <c:v>6.0000000000000009</c:v>
                </c:pt>
                <c:pt idx="64" formatCode="\ 0.00\ ">
                  <c:v>6.1400000000000006</c:v>
                </c:pt>
                <c:pt idx="65">
                  <c:v>6.11</c:v>
                </c:pt>
                <c:pt idx="66" formatCode="\ 0.00\ ">
                  <c:v>6.23</c:v>
                </c:pt>
                <c:pt idx="67" formatCode="\ 0.00\ ">
                  <c:v>6.24</c:v>
                </c:pt>
                <c:pt idx="68" formatCode="\ 0.00\ ">
                  <c:v>6.36</c:v>
                </c:pt>
                <c:pt idx="69" formatCode="\ 0.00\ ">
                  <c:v>6.37</c:v>
                </c:pt>
                <c:pt idx="70" formatCode="\ 0.00\ ">
                  <c:v>6.44</c:v>
                </c:pt>
                <c:pt idx="71" formatCode="\ 0.00\ ">
                  <c:v>6.49</c:v>
                </c:pt>
                <c:pt idx="72" formatCode="\ 0.00\ ">
                  <c:v>6.53</c:v>
                </c:pt>
                <c:pt idx="73" formatCode="\ 0.00\ ">
                  <c:v>6.5600000000000005</c:v>
                </c:pt>
                <c:pt idx="74" formatCode="\ 0.00\ ">
                  <c:v>6.5900000000000007</c:v>
                </c:pt>
                <c:pt idx="75" formatCode="\ 0.00\ ">
                  <c:v>6.5</c:v>
                </c:pt>
                <c:pt idx="76" formatCode="\ 0.00\ ">
                  <c:v>6.59</c:v>
                </c:pt>
                <c:pt idx="77" formatCode="\ 0.00\ ">
                  <c:v>6.66</c:v>
                </c:pt>
                <c:pt idx="78" formatCode="\ 0.00\ ">
                  <c:v>6.71</c:v>
                </c:pt>
                <c:pt idx="79" formatCode="\ 0.00\ ">
                  <c:v>6.64</c:v>
                </c:pt>
                <c:pt idx="80" formatCode="\ 0.00\ ">
                  <c:v>6.85</c:v>
                </c:pt>
                <c:pt idx="81" formatCode="\ 0.00\ ">
                  <c:v>7.04</c:v>
                </c:pt>
                <c:pt idx="82" formatCode="\ 0.00\ ">
                  <c:v>7.21</c:v>
                </c:pt>
                <c:pt idx="83" formatCode="\ 0.00\ ">
                  <c:v>7.37</c:v>
                </c:pt>
                <c:pt idx="84" formatCode="\ 0.00\ ">
                  <c:v>7.51</c:v>
                </c:pt>
                <c:pt idx="85" formatCode="\ 0.00\ ">
                  <c:v>7.43</c:v>
                </c:pt>
                <c:pt idx="86" formatCode="\ 0.00\ ">
                  <c:v>7.7399999999999993</c:v>
                </c:pt>
                <c:pt idx="87" formatCode="\ 0.00\ ">
                  <c:v>7.73</c:v>
                </c:pt>
                <c:pt idx="88" formatCode="\ 0.00\ ">
                  <c:v>8.0300000000000011</c:v>
                </c:pt>
                <c:pt idx="89" formatCode="\ 0.00\ ">
                  <c:v>8.0299999999999994</c:v>
                </c:pt>
                <c:pt idx="90" formatCode="\ 0.00\ ">
                  <c:v>8.18</c:v>
                </c:pt>
                <c:pt idx="91" formatCode="\ 0.00\ ">
                  <c:v>8.31</c:v>
                </c:pt>
                <c:pt idx="92" formatCode="\ 0.00\ ">
                  <c:v>8.42</c:v>
                </c:pt>
                <c:pt idx="93" formatCode="\ 0.00\ ">
                  <c:v>8.5</c:v>
                </c:pt>
                <c:pt idx="94" formatCode="\ 0.00\ ">
                  <c:v>8.57</c:v>
                </c:pt>
                <c:pt idx="95" formatCode="\ 0.00\ ">
                  <c:v>8.33</c:v>
                </c:pt>
                <c:pt idx="96" formatCode="\ 0.00\ ">
                  <c:v>8.52</c:v>
                </c:pt>
                <c:pt idx="97" formatCode="\ 0.00\ ">
                  <c:v>8.68</c:v>
                </c:pt>
                <c:pt idx="98" formatCode="\ 0.00\ ">
                  <c:v>8.82</c:v>
                </c:pt>
                <c:pt idx="99" formatCode="\ 0.00\ ">
                  <c:v>8.6300000000000008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115</c:v>
                </c:pt>
                <c:pt idx="1">
                  <c:v>147</c:v>
                </c:pt>
                <c:pt idx="2">
                  <c:v>178.5</c:v>
                </c:pt>
                <c:pt idx="3">
                  <c:v>210</c:v>
                </c:pt>
                <c:pt idx="4">
                  <c:v>241.49999999999997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2.7E-2</c:v>
                </c:pt>
                <c:pt idx="1">
                  <c:v>2.8000000000000001E-2</c:v>
                </c:pt>
                <c:pt idx="2">
                  <c:v>2.9000000000000001E-2</c:v>
                </c:pt>
                <c:pt idx="3">
                  <c:v>3.1E-2</c:v>
                </c:pt>
                <c:pt idx="4">
                  <c:v>3.5000000000000003E-2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83.66666666666663"/>
          <c:min val="72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1.083333333333329"/>
      </c:valAx>
      <c:valAx>
        <c:axId val="1"/>
        <c:scaling>
          <c:orientation val="minMax"/>
          <c:max val="3.7666666666666668E-2"/>
          <c:min val="2.433333333333333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33333333333333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103</c:v>
                </c:pt>
                <c:pt idx="1">
                  <c:v>115</c:v>
                </c:pt>
                <c:pt idx="2">
                  <c:v>147</c:v>
                </c:pt>
                <c:pt idx="3">
                  <c:v>178.5</c:v>
                </c:pt>
                <c:pt idx="4">
                  <c:v>210</c:v>
                </c:pt>
                <c:pt idx="5">
                  <c:v>241.49999999999997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79.74706541002692</c:v>
                </c:pt>
                <c:pt idx="2">
                  <c:v>75.4926047860056</c:v>
                </c:pt>
                <c:pt idx="3">
                  <c:v>71.725860479230619</c:v>
                </c:pt>
                <c:pt idx="4">
                  <c:v>68.317139871489871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83.66666666666663"/>
          <c:min val="72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1.08333333333332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115</c:v>
                </c:pt>
                <c:pt idx="1">
                  <c:v>147</c:v>
                </c:pt>
                <c:pt idx="2">
                  <c:v>178.5</c:v>
                </c:pt>
                <c:pt idx="3">
                  <c:v>210</c:v>
                </c:pt>
                <c:pt idx="4">
                  <c:v>241.49999999999997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3.12</c:v>
                </c:pt>
                <c:pt idx="1">
                  <c:v>4.16</c:v>
                </c:pt>
                <c:pt idx="2">
                  <c:v>5.33</c:v>
                </c:pt>
                <c:pt idx="3">
                  <c:v>6.64</c:v>
                </c:pt>
                <c:pt idx="4">
                  <c:v>8.6300000000000008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103</c:v>
                </c:pt>
                <c:pt idx="1">
                  <c:v>115</c:v>
                </c:pt>
                <c:pt idx="2">
                  <c:v>147</c:v>
                </c:pt>
                <c:pt idx="3">
                  <c:v>178.5</c:v>
                </c:pt>
                <c:pt idx="4">
                  <c:v>210</c:v>
                </c:pt>
                <c:pt idx="5">
                  <c:v>241.49999999999997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2.7130434782608695E-2</c:v>
                </c:pt>
                <c:pt idx="2">
                  <c:v>2.8299319727891157E-2</c:v>
                </c:pt>
                <c:pt idx="3">
                  <c:v>2.9859943977591036E-2</c:v>
                </c:pt>
                <c:pt idx="4">
                  <c:v>3.1619047619047616E-2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83.66666666666663"/>
          <c:min val="72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1.083333333333329"/>
      </c:valAx>
      <c:valAx>
        <c:axId val="1"/>
        <c:scaling>
          <c:orientation val="minMax"/>
          <c:max val="3.7666666666666668E-2"/>
          <c:min val="2.433333333333333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33333333333333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1.3</c:v>
                </c:pt>
                <c:pt idx="2">
                  <c:v>1.48</c:v>
                </c:pt>
                <c:pt idx="3">
                  <c:v>1.61</c:v>
                </c:pt>
                <c:pt idx="4">
                  <c:v>1.71</c:v>
                </c:pt>
                <c:pt idx="5">
                  <c:v>2.02</c:v>
                </c:pt>
                <c:pt idx="6">
                  <c:v>2.19</c:v>
                </c:pt>
                <c:pt idx="7">
                  <c:v>2.3199999999999998</c:v>
                </c:pt>
                <c:pt idx="8">
                  <c:v>2.42</c:v>
                </c:pt>
                <c:pt idx="9">
                  <c:v>2.5</c:v>
                </c:pt>
                <c:pt idx="10">
                  <c:v>2.57</c:v>
                </c:pt>
                <c:pt idx="11">
                  <c:v>2.63</c:v>
                </c:pt>
                <c:pt idx="12">
                  <c:v>2.68</c:v>
                </c:pt>
                <c:pt idx="13">
                  <c:v>2.73</c:v>
                </c:pt>
                <c:pt idx="14">
                  <c:v>2.77</c:v>
                </c:pt>
                <c:pt idx="15">
                  <c:v>2.81</c:v>
                </c:pt>
                <c:pt idx="16">
                  <c:v>2.91</c:v>
                </c:pt>
                <c:pt idx="17">
                  <c:v>2.99</c:v>
                </c:pt>
                <c:pt idx="18">
                  <c:v>3.06</c:v>
                </c:pt>
                <c:pt idx="19">
                  <c:v>3.12</c:v>
                </c:pt>
                <c:pt idx="20">
                  <c:v>3.74</c:v>
                </c:pt>
                <c:pt idx="21">
                  <c:v>3.84</c:v>
                </c:pt>
                <c:pt idx="22">
                  <c:v>3.95</c:v>
                </c:pt>
                <c:pt idx="23">
                  <c:v>4.05</c:v>
                </c:pt>
                <c:pt idx="24">
                  <c:v>4.16</c:v>
                </c:pt>
                <c:pt idx="25">
                  <c:v>4.8600000000000003</c:v>
                </c:pt>
                <c:pt idx="26">
                  <c:v>4.97</c:v>
                </c:pt>
                <c:pt idx="27">
                  <c:v>5.09</c:v>
                </c:pt>
                <c:pt idx="28">
                  <c:v>5.21</c:v>
                </c:pt>
                <c:pt idx="29">
                  <c:v>5.33</c:v>
                </c:pt>
                <c:pt idx="30">
                  <c:v>6.11</c:v>
                </c:pt>
                <c:pt idx="31">
                  <c:v>6.24</c:v>
                </c:pt>
                <c:pt idx="32">
                  <c:v>6.37</c:v>
                </c:pt>
                <c:pt idx="33">
                  <c:v>6.5</c:v>
                </c:pt>
                <c:pt idx="34">
                  <c:v>6.64</c:v>
                </c:pt>
                <c:pt idx="35">
                  <c:v>7.43</c:v>
                </c:pt>
                <c:pt idx="36">
                  <c:v>7.73</c:v>
                </c:pt>
                <c:pt idx="37">
                  <c:v>8.0299999999999994</c:v>
                </c:pt>
                <c:pt idx="38">
                  <c:v>8.33</c:v>
                </c:pt>
                <c:pt idx="39">
                  <c:v>8.6300000000000008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1.0009597230599736</c:v>
                </c:pt>
                <c:pt idx="1">
                  <c:v>1.3077606268251696</c:v>
                </c:pt>
                <c:pt idx="2">
                  <c:v>1.4872276507151696</c:v>
                </c:pt>
                <c:pt idx="3">
                  <c:v>1.6145615305903656</c:v>
                </c:pt>
                <c:pt idx="4">
                  <c:v>1.7133293610492162</c:v>
                </c:pt>
                <c:pt idx="5">
                  <c:v>2.0201302648144122</c:v>
                </c:pt>
                <c:pt idx="6">
                  <c:v>2.1995972887044113</c:v>
                </c:pt>
                <c:pt idx="7">
                  <c:v>2.3269311685796081</c:v>
                </c:pt>
                <c:pt idx="8">
                  <c:v>2.4256989990384579</c:v>
                </c:pt>
                <c:pt idx="9">
                  <c:v>2.5063981924696073</c:v>
                </c:pt>
                <c:pt idx="10">
                  <c:v>2.5746283883261603</c:v>
                </c:pt>
                <c:pt idx="11">
                  <c:v>2.6337320723448041</c:v>
                </c:pt>
                <c:pt idx="12">
                  <c:v>2.6858652163596073</c:v>
                </c:pt>
                <c:pt idx="13">
                  <c:v>2.7324999028036538</c:v>
                </c:pt>
                <c:pt idx="14">
                  <c:v>2.7746861081610339</c:v>
                </c:pt>
                <c:pt idx="15">
                  <c:v>2.8131990962348032</c:v>
                </c:pt>
                <c:pt idx="16">
                  <c:v>2.9119669266936539</c:v>
                </c:pt>
                <c:pt idx="17">
                  <c:v>2.9926661201248024</c:v>
                </c:pt>
                <c:pt idx="18">
                  <c:v>3.0608963159813563</c:v>
                </c:pt>
                <c:pt idx="19">
                  <c:v>3.12</c:v>
                </c:pt>
                <c:pt idx="20">
                  <c:v>3.8131152939375577</c:v>
                </c:pt>
                <c:pt idx="21">
                  <c:v>3.8550443994559087</c:v>
                </c:pt>
                <c:pt idx="22">
                  <c:v>3.8940794628171069</c:v>
                </c:pt>
                <c:pt idx="23">
                  <c:v>3.9972340839856191</c:v>
                </c:pt>
                <c:pt idx="24">
                  <c:v>4.16</c:v>
                </c:pt>
                <c:pt idx="25">
                  <c:v>5.0794816343050417</c:v>
                </c:pt>
                <c:pt idx="26">
                  <c:v>5.1064271835130679</c:v>
                </c:pt>
                <c:pt idx="27">
                  <c:v>5.1323556734111087</c:v>
                </c:pt>
                <c:pt idx="28">
                  <c:v>5.2047408171525209</c:v>
                </c:pt>
                <c:pt idx="29">
                  <c:v>5.33</c:v>
                </c:pt>
                <c:pt idx="30">
                  <c:v>6.4296228363142705</c:v>
                </c:pt>
                <c:pt idx="31">
                  <c:v>6.4511777902050236</c:v>
                </c:pt>
                <c:pt idx="32">
                  <c:v>6.4721728113620989</c:v>
                </c:pt>
                <c:pt idx="33">
                  <c:v>6.5320715335311741</c:v>
                </c:pt>
                <c:pt idx="34">
                  <c:v>6.64</c:v>
                </c:pt>
                <c:pt idx="35">
                  <c:v>8.4417532308960226</c:v>
                </c:pt>
                <c:pt idx="36">
                  <c:v>8.4605316937945858</c:v>
                </c:pt>
                <c:pt idx="37">
                  <c:v>8.4789382813935141</c:v>
                </c:pt>
                <c:pt idx="38">
                  <c:v>8.5320671584675001</c:v>
                </c:pt>
                <c:pt idx="39">
                  <c:v>8.6300000000000008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1.3</c:v>
                </c:pt>
                <c:pt idx="2">
                  <c:v>1.48</c:v>
                </c:pt>
                <c:pt idx="3">
                  <c:v>1.61</c:v>
                </c:pt>
                <c:pt idx="4">
                  <c:v>1.71</c:v>
                </c:pt>
                <c:pt idx="5">
                  <c:v>2.02</c:v>
                </c:pt>
                <c:pt idx="6">
                  <c:v>2.19</c:v>
                </c:pt>
                <c:pt idx="7">
                  <c:v>2.3199999999999998</c:v>
                </c:pt>
                <c:pt idx="8">
                  <c:v>2.42</c:v>
                </c:pt>
                <c:pt idx="9">
                  <c:v>2.5</c:v>
                </c:pt>
                <c:pt idx="10">
                  <c:v>2.57</c:v>
                </c:pt>
                <c:pt idx="11">
                  <c:v>2.63</c:v>
                </c:pt>
                <c:pt idx="12">
                  <c:v>2.68</c:v>
                </c:pt>
                <c:pt idx="13">
                  <c:v>2.73</c:v>
                </c:pt>
                <c:pt idx="14">
                  <c:v>2.77</c:v>
                </c:pt>
                <c:pt idx="15">
                  <c:v>2.81</c:v>
                </c:pt>
                <c:pt idx="16">
                  <c:v>2.91</c:v>
                </c:pt>
                <c:pt idx="17">
                  <c:v>2.99</c:v>
                </c:pt>
                <c:pt idx="18">
                  <c:v>3.06</c:v>
                </c:pt>
                <c:pt idx="19">
                  <c:v>3.12</c:v>
                </c:pt>
                <c:pt idx="20">
                  <c:v>3.74</c:v>
                </c:pt>
                <c:pt idx="21">
                  <c:v>3.84</c:v>
                </c:pt>
                <c:pt idx="22">
                  <c:v>3.95</c:v>
                </c:pt>
                <c:pt idx="23">
                  <c:v>4.05</c:v>
                </c:pt>
                <c:pt idx="24">
                  <c:v>4.16</c:v>
                </c:pt>
                <c:pt idx="25">
                  <c:v>4.8600000000000003</c:v>
                </c:pt>
                <c:pt idx="26">
                  <c:v>4.97</c:v>
                </c:pt>
                <c:pt idx="27">
                  <c:v>5.09</c:v>
                </c:pt>
                <c:pt idx="28">
                  <c:v>5.21</c:v>
                </c:pt>
                <c:pt idx="29">
                  <c:v>5.33</c:v>
                </c:pt>
                <c:pt idx="30">
                  <c:v>6.11</c:v>
                </c:pt>
                <c:pt idx="31">
                  <c:v>6.24</c:v>
                </c:pt>
                <c:pt idx="32">
                  <c:v>6.37</c:v>
                </c:pt>
                <c:pt idx="33">
                  <c:v>6.5</c:v>
                </c:pt>
                <c:pt idx="34">
                  <c:v>6.64</c:v>
                </c:pt>
                <c:pt idx="35">
                  <c:v>7.43</c:v>
                </c:pt>
                <c:pt idx="36">
                  <c:v>7.73</c:v>
                </c:pt>
                <c:pt idx="37">
                  <c:v>8.0299999999999994</c:v>
                </c:pt>
                <c:pt idx="38">
                  <c:v>8.33</c:v>
                </c:pt>
                <c:pt idx="39">
                  <c:v>8.6300000000000008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2.5847536761324266</c:v>
                </c:pt>
                <c:pt idx="1">
                  <c:v>3.0735543128850695</c:v>
                </c:pt>
                <c:pt idx="2">
                  <c:v>3.3594843557139891</c:v>
                </c:pt>
                <c:pt idx="3">
                  <c:v>3.5623549496377116</c:v>
                </c:pt>
                <c:pt idx="4">
                  <c:v>3.7197136074072192</c:v>
                </c:pt>
                <c:pt idx="5">
                  <c:v>4.2085142441598622</c:v>
                </c:pt>
                <c:pt idx="6">
                  <c:v>4.4944442869887817</c:v>
                </c:pt>
                <c:pt idx="7">
                  <c:v>4.6973148809125052</c:v>
                </c:pt>
                <c:pt idx="8">
                  <c:v>4.8546735386820128</c:v>
                </c:pt>
                <c:pt idx="9">
                  <c:v>4.9832449237414247</c:v>
                </c:pt>
                <c:pt idx="10">
                  <c:v>5.0919504808996434</c:v>
                </c:pt>
                <c:pt idx="11">
                  <c:v>5.1861155176651481</c:v>
                </c:pt>
                <c:pt idx="12">
                  <c:v>5.2691749665703442</c:v>
                </c:pt>
                <c:pt idx="13">
                  <c:v>5.3434741754346566</c:v>
                </c:pt>
                <c:pt idx="14">
                  <c:v>5.3616059853993567</c:v>
                </c:pt>
                <c:pt idx="15">
                  <c:v>5.4720455604940677</c:v>
                </c:pt>
                <c:pt idx="16">
                  <c:v>5.6294042182635762</c:v>
                </c:pt>
                <c:pt idx="17">
                  <c:v>5.7579756033229872</c:v>
                </c:pt>
                <c:pt idx="18">
                  <c:v>5.8666811604812041</c:v>
                </c:pt>
                <c:pt idx="19">
                  <c:v>5.9608461972467106</c:v>
                </c:pt>
                <c:pt idx="20">
                  <c:v>6.0695517544049276</c:v>
                </c:pt>
                <c:pt idx="21">
                  <c:v>6.163716791170434</c:v>
                </c:pt>
                <c:pt idx="22">
                  <c:v>6.2467762400756301</c:v>
                </c:pt>
                <c:pt idx="23">
                  <c:v>6.4496468339993536</c:v>
                </c:pt>
                <c:pt idx="24">
                  <c:v>6.6070054917688621</c:v>
                </c:pt>
                <c:pt idx="25">
                  <c:v>6.7355768768282731</c:v>
                </c:pt>
                <c:pt idx="26">
                  <c:v>6.8442824339864901</c:v>
                </c:pt>
                <c:pt idx="27">
                  <c:v>6.9384474707519965</c:v>
                </c:pt>
                <c:pt idx="28">
                  <c:v>7.0215069196571926</c:v>
                </c:pt>
                <c:pt idx="29">
                  <c:v>7.0958061285215033</c:v>
                </c:pt>
                <c:pt idx="30">
                  <c:v>7.1630179384862034</c:v>
                </c:pt>
                <c:pt idx="31">
                  <c:v>7.2243775135809161</c:v>
                </c:pt>
                <c:pt idx="32">
                  <c:v>7.2808228509862039</c:v>
                </c:pt>
                <c:pt idx="33">
                  <c:v>7.2808228509862039</c:v>
                </c:pt>
                <c:pt idx="34">
                  <c:v>7.2808228509862039</c:v>
                </c:pt>
                <c:pt idx="35">
                  <c:v>7.2808228509862039</c:v>
                </c:pt>
                <c:pt idx="36">
                  <c:v>7.2808228509862039</c:v>
                </c:pt>
                <c:pt idx="37">
                  <c:v>7.2808228509862039</c:v>
                </c:pt>
                <c:pt idx="38">
                  <c:v>7.2808228509862039</c:v>
                </c:pt>
                <c:pt idx="39">
                  <c:v>7.2808228509862039</c:v>
                </c:pt>
                <c:pt idx="40">
                  <c:v>7.2808228509862039</c:v>
                </c:pt>
                <c:pt idx="41">
                  <c:v>7.2808228509862039</c:v>
                </c:pt>
                <c:pt idx="42">
                  <c:v>7.2808228509862039</c:v>
                </c:pt>
                <c:pt idx="43">
                  <c:v>7.2808228509862039</c:v>
                </c:pt>
                <c:pt idx="44">
                  <c:v>7.2808228509862039</c:v>
                </c:pt>
                <c:pt idx="45">
                  <c:v>7.2808228509862039</c:v>
                </c:pt>
                <c:pt idx="46">
                  <c:v>7.2808228509862039</c:v>
                </c:pt>
                <c:pt idx="47">
                  <c:v>7.2808228509862039</c:v>
                </c:pt>
                <c:pt idx="48">
                  <c:v>7.2808228509862039</c:v>
                </c:pt>
                <c:pt idx="49">
                  <c:v>7.2808228509862039</c:v>
                </c:pt>
                <c:pt idx="50">
                  <c:v>7.2808228509862039</c:v>
                </c:pt>
                <c:pt idx="51">
                  <c:v>7.2808228509862039</c:v>
                </c:pt>
                <c:pt idx="52">
                  <c:v>7.2808228509862039</c:v>
                </c:pt>
                <c:pt idx="53">
                  <c:v>7.2808228509862039</c:v>
                </c:pt>
                <c:pt idx="54">
                  <c:v>7.2808228509862039</c:v>
                </c:pt>
                <c:pt idx="55">
                  <c:v>7.2808228509862039</c:v>
                </c:pt>
                <c:pt idx="56">
                  <c:v>7.2808228509862039</c:v>
                </c:pt>
                <c:pt idx="57">
                  <c:v>7.2808228509862039</c:v>
                </c:pt>
                <c:pt idx="58">
                  <c:v>7.2808228509862039</c:v>
                </c:pt>
                <c:pt idx="59">
                  <c:v>7.2808228509862039</c:v>
                </c:pt>
                <c:pt idx="60">
                  <c:v>7.2808228509862039</c:v>
                </c:pt>
                <c:pt idx="61">
                  <c:v>7.2808228509862039</c:v>
                </c:pt>
                <c:pt idx="62">
                  <c:v>7.2808228509862039</c:v>
                </c:pt>
                <c:pt idx="63">
                  <c:v>7.2808228509862039</c:v>
                </c:pt>
                <c:pt idx="64">
                  <c:v>7.2808228509862039</c:v>
                </c:pt>
                <c:pt idx="65">
                  <c:v>7.2808228509862039</c:v>
                </c:pt>
                <c:pt idx="66">
                  <c:v>7.2808228509862039</c:v>
                </c:pt>
                <c:pt idx="67">
                  <c:v>7.2808228509862039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2.5847536761324266</c:v>
                </c:pt>
                <c:pt idx="1">
                  <c:v>3.0735543128850695</c:v>
                </c:pt>
                <c:pt idx="2">
                  <c:v>3.3594843557139891</c:v>
                </c:pt>
                <c:pt idx="3">
                  <c:v>3.5623549496377116</c:v>
                </c:pt>
                <c:pt idx="4">
                  <c:v>3.7197136074072192</c:v>
                </c:pt>
                <c:pt idx="5">
                  <c:v>4.2085142441598622</c:v>
                </c:pt>
                <c:pt idx="6">
                  <c:v>4.4944442869887817</c:v>
                </c:pt>
                <c:pt idx="7">
                  <c:v>4.6973148809125052</c:v>
                </c:pt>
                <c:pt idx="8">
                  <c:v>4.8546735386820128</c:v>
                </c:pt>
                <c:pt idx="9">
                  <c:v>4.9832449237414247</c:v>
                </c:pt>
                <c:pt idx="10">
                  <c:v>5.0919504808996434</c:v>
                </c:pt>
                <c:pt idx="11">
                  <c:v>5.1861155176651481</c:v>
                </c:pt>
                <c:pt idx="12">
                  <c:v>5.2691749665703442</c:v>
                </c:pt>
                <c:pt idx="13">
                  <c:v>5.3434741754346566</c:v>
                </c:pt>
                <c:pt idx="14">
                  <c:v>5.3616059853993567</c:v>
                </c:pt>
                <c:pt idx="15">
                  <c:v>5.4720455604940677</c:v>
                </c:pt>
                <c:pt idx="16">
                  <c:v>5.6294042182635762</c:v>
                </c:pt>
                <c:pt idx="17">
                  <c:v>5.7579756033229872</c:v>
                </c:pt>
                <c:pt idx="18">
                  <c:v>5.8666811604812041</c:v>
                </c:pt>
                <c:pt idx="19">
                  <c:v>5.9608461972467106</c:v>
                </c:pt>
                <c:pt idx="20">
                  <c:v>6.0695517544049276</c:v>
                </c:pt>
                <c:pt idx="21">
                  <c:v>6.163716791170434</c:v>
                </c:pt>
                <c:pt idx="22">
                  <c:v>6.2467762400756301</c:v>
                </c:pt>
                <c:pt idx="23">
                  <c:v>6.4496468339993536</c:v>
                </c:pt>
                <c:pt idx="24">
                  <c:v>6.6070054917688621</c:v>
                </c:pt>
                <c:pt idx="25">
                  <c:v>6.7355768768282731</c:v>
                </c:pt>
                <c:pt idx="26">
                  <c:v>6.8442824339864901</c:v>
                </c:pt>
                <c:pt idx="27">
                  <c:v>6.9384474707519965</c:v>
                </c:pt>
                <c:pt idx="28">
                  <c:v>7.0215069196571926</c:v>
                </c:pt>
                <c:pt idx="29">
                  <c:v>7.0958061285215033</c:v>
                </c:pt>
                <c:pt idx="30">
                  <c:v>7.1630179384862034</c:v>
                </c:pt>
                <c:pt idx="31">
                  <c:v>7.2243775135809161</c:v>
                </c:pt>
                <c:pt idx="32">
                  <c:v>7.2808228509862039</c:v>
                </c:pt>
                <c:pt idx="33">
                  <c:v>7.2808228509862039</c:v>
                </c:pt>
                <c:pt idx="34">
                  <c:v>7.2808228509862039</c:v>
                </c:pt>
                <c:pt idx="35">
                  <c:v>7.2808228509862039</c:v>
                </c:pt>
                <c:pt idx="36">
                  <c:v>7.2808228509862039</c:v>
                </c:pt>
                <c:pt idx="37">
                  <c:v>7.2808228509862039</c:v>
                </c:pt>
                <c:pt idx="38">
                  <c:v>7.2808228509862039</c:v>
                </c:pt>
                <c:pt idx="39">
                  <c:v>7.2808228509862039</c:v>
                </c:pt>
                <c:pt idx="40">
                  <c:v>7.2808228509862039</c:v>
                </c:pt>
                <c:pt idx="41">
                  <c:v>7.2808228509862039</c:v>
                </c:pt>
                <c:pt idx="42">
                  <c:v>7.2808228509862039</c:v>
                </c:pt>
                <c:pt idx="43">
                  <c:v>7.2808228509862039</c:v>
                </c:pt>
                <c:pt idx="44">
                  <c:v>7.2808228509862039</c:v>
                </c:pt>
                <c:pt idx="45">
                  <c:v>7.2808228509862039</c:v>
                </c:pt>
                <c:pt idx="46">
                  <c:v>7.2808228509862039</c:v>
                </c:pt>
                <c:pt idx="47">
                  <c:v>7.2808228509862039</c:v>
                </c:pt>
                <c:pt idx="48">
                  <c:v>7.2808228509862039</c:v>
                </c:pt>
                <c:pt idx="49">
                  <c:v>7.2808228509862039</c:v>
                </c:pt>
                <c:pt idx="50">
                  <c:v>7.2808228509862039</c:v>
                </c:pt>
                <c:pt idx="51">
                  <c:v>7.2808228509862039</c:v>
                </c:pt>
                <c:pt idx="52">
                  <c:v>7.2808228509862039</c:v>
                </c:pt>
                <c:pt idx="53">
                  <c:v>7.2808228509862039</c:v>
                </c:pt>
                <c:pt idx="54">
                  <c:v>7.2808228509862039</c:v>
                </c:pt>
                <c:pt idx="55">
                  <c:v>7.2808228509862039</c:v>
                </c:pt>
                <c:pt idx="56">
                  <c:v>7.2808228509862039</c:v>
                </c:pt>
                <c:pt idx="57">
                  <c:v>7.2808228509862039</c:v>
                </c:pt>
                <c:pt idx="58">
                  <c:v>7.2808228509862039</c:v>
                </c:pt>
                <c:pt idx="59">
                  <c:v>7.2808228509862039</c:v>
                </c:pt>
                <c:pt idx="60">
                  <c:v>7.2808228509862039</c:v>
                </c:pt>
                <c:pt idx="61">
                  <c:v>7.2808228509862039</c:v>
                </c:pt>
                <c:pt idx="62">
                  <c:v>7.2808228509862039</c:v>
                </c:pt>
                <c:pt idx="63">
                  <c:v>7.2808228509862039</c:v>
                </c:pt>
                <c:pt idx="64">
                  <c:v>7.2808228509862039</c:v>
                </c:pt>
                <c:pt idx="65">
                  <c:v>7.2808228509862039</c:v>
                </c:pt>
                <c:pt idx="66">
                  <c:v>7.2808228509862039</c:v>
                </c:pt>
                <c:pt idx="67">
                  <c:v>7.2808228509862039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5.5141071288462618</c:v>
                </c:pt>
                <c:pt idx="1">
                  <c:v>5.1952898882318248</c:v>
                </c:pt>
                <c:pt idx="2">
                  <c:v>4.8949061728532826</c:v>
                </c:pt>
                <c:pt idx="3">
                  <c:v>4.6118901844747286</c:v>
                </c:pt>
                <c:pt idx="4">
                  <c:v>4.3452377476841715</c:v>
                </c:pt>
                <c:pt idx="5">
                  <c:v>3.634270943507532</c:v>
                </c:pt>
                <c:pt idx="6">
                  <c:v>3.4927997925706422</c:v>
                </c:pt>
                <c:pt idx="7">
                  <c:v>3.1005794529733692</c:v>
                </c:pt>
                <c:pt idx="8">
                  <c:v>2.9213086911973618</c:v>
                </c:pt>
                <c:pt idx="9">
                  <c:v>2.7524030906807853</c:v>
                </c:pt>
                <c:pt idx="10">
                  <c:v>2.698299992770671</c:v>
                </c:pt>
                <c:pt idx="11">
                  <c:v>2.6452603819687437</c:v>
                </c:pt>
                <c:pt idx="12">
                  <c:v>2.5932633536526617</c:v>
                </c:pt>
                <c:pt idx="13">
                  <c:v>2.5422884141154891</c:v>
                </c:pt>
                <c:pt idx="14">
                  <c:v>2.4923154724884626</c:v>
                </c:pt>
                <c:pt idx="15">
                  <c:v>2.4433248328225323</c:v>
                </c:pt>
                <c:pt idx="16">
                  <c:v>2.395297186325553</c:v>
                </c:pt>
                <c:pt idx="17">
                  <c:v>2.3482136037520656</c:v>
                </c:pt>
                <c:pt idx="18">
                  <c:v>2.3020555279426693</c:v>
                </c:pt>
                <c:pt idx="19">
                  <c:v>2.168954198205999</c:v>
                </c:pt>
                <c:pt idx="20">
                  <c:v>2.126319766590437</c:v>
                </c:pt>
                <c:pt idx="21">
                  <c:v>1.8875468879621162</c:v>
                </c:pt>
                <c:pt idx="22">
                  <c:v>1.6755867627419407</c:v>
                </c:pt>
                <c:pt idx="23">
                  <c:v>1.4874284805222631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266700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314325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304800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266700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266700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314325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266700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twoCellAnchor editAs="oneCell">
    <xdr:from>
      <xdr:col>9</xdr:col>
      <xdr:colOff>76200</xdr:colOff>
      <xdr:row>21</xdr:row>
      <xdr:rowOff>171450</xdr:rowOff>
    </xdr:from>
    <xdr:to>
      <xdr:col>10</xdr:col>
      <xdr:colOff>586232</xdr:colOff>
      <xdr:row>23</xdr:row>
      <xdr:rowOff>67056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3200" y="5962650"/>
          <a:ext cx="1281557" cy="37185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76200</xdr:colOff>
      <xdr:row>17</xdr:row>
      <xdr:rowOff>66675</xdr:rowOff>
    </xdr:from>
    <xdr:to>
      <xdr:col>10</xdr:col>
      <xdr:colOff>661416</xdr:colOff>
      <xdr:row>17</xdr:row>
      <xdr:rowOff>241935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63200" y="4714875"/>
          <a:ext cx="1356741" cy="1752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152400</xdr:colOff>
      <xdr:row>12</xdr:row>
      <xdr:rowOff>85725</xdr:rowOff>
    </xdr:from>
    <xdr:to>
      <xdr:col>10</xdr:col>
      <xdr:colOff>670941</xdr:colOff>
      <xdr:row>12</xdr:row>
      <xdr:rowOff>260985</xdr:rowOff>
    </xdr:to>
    <xdr:pic>
      <xdr:nvPicPr>
        <xdr:cNvPr id="8" name="Picture 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39400" y="3419475"/>
          <a:ext cx="1290066" cy="1752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619125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17</xdr:col>
          <xdr:colOff>619125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409575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390525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409575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523875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8</xdr:col>
          <xdr:colOff>523875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571500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8</xdr:col>
          <xdr:colOff>571500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8</xdr:col>
          <xdr:colOff>571500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8</xdr:col>
          <xdr:colOff>552450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523875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8</xdr:col>
          <xdr:colOff>533400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4</xdr:col>
          <xdr:colOff>971550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4</xdr:col>
          <xdr:colOff>971550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4</xdr:col>
          <xdr:colOff>971550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8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32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8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40.emf"/><Relationship Id="rId4" Type="http://schemas.openxmlformats.org/officeDocument/2006/relationships/control" Target="../activeX/activeX29.xml"/><Relationship Id="rId9" Type="http://schemas.openxmlformats.org/officeDocument/2006/relationships/image" Target="../media/image4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3.375" style="106" customWidth="1"/>
    <col min="3" max="3" width="14.75" style="106" customWidth="1"/>
    <col min="4" max="4" width="16.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70</v>
      </c>
      <c r="E3" s="105" t="s">
        <v>92</v>
      </c>
      <c r="F3" s="105" t="s">
        <v>39</v>
      </c>
      <c r="G3" s="106" t="s">
        <v>93</v>
      </c>
      <c r="H3" s="107" t="s">
        <v>94</v>
      </c>
    </row>
    <row r="4" spans="3:8" ht="18" customHeight="1">
      <c r="C4" s="106">
        <v>1</v>
      </c>
      <c r="D4" s="108" t="s">
        <v>95</v>
      </c>
      <c r="E4" s="106" t="s">
        <v>71</v>
      </c>
      <c r="F4" s="106">
        <v>150</v>
      </c>
      <c r="G4" s="106">
        <v>5.0000000000000001E-4</v>
      </c>
      <c r="H4" s="106" t="s">
        <v>96</v>
      </c>
    </row>
    <row r="5" spans="3:8" ht="18" customHeight="1">
      <c r="C5" s="106">
        <v>2</v>
      </c>
      <c r="D5" s="106" t="s">
        <v>97</v>
      </c>
      <c r="E5" s="106" t="s">
        <v>98</v>
      </c>
      <c r="F5" s="106">
        <v>200</v>
      </c>
      <c r="G5" s="106">
        <v>0.1</v>
      </c>
      <c r="H5" s="109" t="s">
        <v>99</v>
      </c>
    </row>
    <row r="6" spans="3:8" ht="18" customHeight="1">
      <c r="C6" s="106">
        <v>3</v>
      </c>
      <c r="D6" s="106" t="s">
        <v>100</v>
      </c>
      <c r="E6" s="106" t="s">
        <v>101</v>
      </c>
      <c r="F6" s="106">
        <v>250</v>
      </c>
      <c r="H6" s="109" t="s">
        <v>102</v>
      </c>
    </row>
    <row r="7" spans="3:8" ht="18" customHeight="1">
      <c r="C7" s="106">
        <v>5</v>
      </c>
      <c r="D7" s="106" t="s">
        <v>103</v>
      </c>
      <c r="E7" s="106" t="s">
        <v>104</v>
      </c>
      <c r="H7" s="109" t="s">
        <v>105</v>
      </c>
    </row>
    <row r="8" spans="3:8" ht="18" customHeight="1">
      <c r="C8" s="106">
        <v>7.5</v>
      </c>
      <c r="D8" s="106" t="s">
        <v>106</v>
      </c>
      <c r="E8" s="106" t="s">
        <v>107</v>
      </c>
      <c r="H8" s="108"/>
    </row>
    <row r="9" spans="3:8" ht="18" customHeight="1">
      <c r="C9" s="106">
        <v>10</v>
      </c>
      <c r="D9" s="108" t="s">
        <v>108</v>
      </c>
      <c r="E9" s="106" t="s">
        <v>109</v>
      </c>
      <c r="H9" s="108"/>
    </row>
    <row r="10" spans="3:8" ht="18" customHeight="1">
      <c r="C10" s="106">
        <v>15</v>
      </c>
      <c r="D10" s="108" t="s">
        <v>110</v>
      </c>
      <c r="E10" s="106" t="s">
        <v>111</v>
      </c>
      <c r="H10" s="108"/>
    </row>
    <row r="11" spans="3:8" ht="18" customHeight="1">
      <c r="C11" s="106">
        <v>20</v>
      </c>
      <c r="D11" s="106" t="s">
        <v>112</v>
      </c>
      <c r="E11" s="106" t="s">
        <v>113</v>
      </c>
      <c r="H11" s="108"/>
    </row>
    <row r="12" spans="3:8" ht="18" customHeight="1">
      <c r="C12" s="106">
        <v>25</v>
      </c>
      <c r="D12" s="108" t="s">
        <v>114</v>
      </c>
      <c r="E12" s="106" t="s">
        <v>115</v>
      </c>
      <c r="H12" s="108"/>
    </row>
    <row r="13" spans="3:8" ht="18" customHeight="1">
      <c r="C13" s="106">
        <v>30</v>
      </c>
      <c r="D13" s="108" t="s">
        <v>116</v>
      </c>
      <c r="E13" s="106" t="s">
        <v>117</v>
      </c>
      <c r="H13" s="108"/>
    </row>
    <row r="14" spans="3:8" ht="18" customHeight="1">
      <c r="D14" s="108" t="s">
        <v>118</v>
      </c>
      <c r="E14" s="106" t="s">
        <v>119</v>
      </c>
      <c r="H14" s="108"/>
    </row>
    <row r="15" spans="3:8" ht="18" customHeight="1">
      <c r="D15" s="108" t="s">
        <v>120</v>
      </c>
      <c r="E15" s="106" t="s">
        <v>121</v>
      </c>
    </row>
    <row r="16" spans="3:8" ht="18" customHeight="1">
      <c r="D16" s="108" t="s">
        <v>122</v>
      </c>
      <c r="E16" s="106" t="s">
        <v>123</v>
      </c>
    </row>
    <row r="17" spans="4:5" ht="18" customHeight="1">
      <c r="D17" s="108" t="s">
        <v>124</v>
      </c>
      <c r="E17" s="106" t="s">
        <v>125</v>
      </c>
    </row>
    <row r="18" spans="4:5" ht="18" customHeight="1">
      <c r="D18" s="108" t="s">
        <v>126</v>
      </c>
      <c r="E18" s="106" t="s">
        <v>127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</v>
      </c>
      <c r="E1" s="23">
        <v>1</v>
      </c>
      <c r="F1" s="23">
        <f>StepTest!G12</f>
        <v>1</v>
      </c>
    </row>
    <row r="2" spans="1:6">
      <c r="A2" s="392">
        <v>2</v>
      </c>
      <c r="B2" s="23">
        <f t="shared" ref="B2:B20" si="0">F2</f>
        <v>1.3</v>
      </c>
      <c r="E2" s="23">
        <v>2</v>
      </c>
      <c r="F2" s="23">
        <f>StepTest!G13</f>
        <v>1.3</v>
      </c>
    </row>
    <row r="3" spans="1:6">
      <c r="A3" s="392">
        <v>3</v>
      </c>
      <c r="B3" s="23">
        <f t="shared" si="0"/>
        <v>1.48</v>
      </c>
      <c r="E3" s="23">
        <v>3</v>
      </c>
      <c r="F3" s="23">
        <f>StepTest!G14</f>
        <v>1.48</v>
      </c>
    </row>
    <row r="4" spans="1:6">
      <c r="A4" s="392">
        <v>4</v>
      </c>
      <c r="B4" s="23">
        <f t="shared" si="0"/>
        <v>1.61</v>
      </c>
      <c r="E4" s="23">
        <v>4</v>
      </c>
      <c r="F4" s="23">
        <f>StepTest!G15</f>
        <v>1.61</v>
      </c>
    </row>
    <row r="5" spans="1:6">
      <c r="A5" s="392">
        <v>5</v>
      </c>
      <c r="B5" s="23">
        <f t="shared" si="0"/>
        <v>1.71</v>
      </c>
      <c r="E5" s="23">
        <v>5</v>
      </c>
      <c r="F5" s="23">
        <f>StepTest!G16</f>
        <v>1.71</v>
      </c>
    </row>
    <row r="6" spans="1:6">
      <c r="A6" s="392">
        <v>10</v>
      </c>
      <c r="B6" s="23">
        <f t="shared" si="0"/>
        <v>2.02</v>
      </c>
      <c r="E6" s="23">
        <v>10</v>
      </c>
      <c r="F6" s="23">
        <f>StepTest!G17</f>
        <v>2.02</v>
      </c>
    </row>
    <row r="7" spans="1:6">
      <c r="A7" s="392">
        <v>15</v>
      </c>
      <c r="B7" s="23">
        <f t="shared" si="0"/>
        <v>2.19</v>
      </c>
      <c r="E7" s="23">
        <v>15</v>
      </c>
      <c r="F7" s="23">
        <f>StepTest!G18</f>
        <v>2.19</v>
      </c>
    </row>
    <row r="8" spans="1:6">
      <c r="A8" s="392">
        <v>20</v>
      </c>
      <c r="B8" s="23">
        <f t="shared" si="0"/>
        <v>2.3199999999999998</v>
      </c>
      <c r="E8" s="23">
        <v>20</v>
      </c>
      <c r="F8" s="23">
        <f>StepTest!G19</f>
        <v>2.3199999999999998</v>
      </c>
    </row>
    <row r="9" spans="1:6">
      <c r="A9" s="392">
        <v>25</v>
      </c>
      <c r="B9" s="23">
        <f t="shared" si="0"/>
        <v>2.42</v>
      </c>
      <c r="E9" s="23">
        <v>25</v>
      </c>
      <c r="F9" s="23">
        <f>StepTest!G20</f>
        <v>2.42</v>
      </c>
    </row>
    <row r="10" spans="1:6">
      <c r="A10" s="392">
        <v>30</v>
      </c>
      <c r="B10" s="23">
        <f t="shared" si="0"/>
        <v>2.5</v>
      </c>
      <c r="E10" s="23">
        <v>30</v>
      </c>
      <c r="F10" s="23">
        <f>StepTest!G21</f>
        <v>2.5</v>
      </c>
    </row>
    <row r="11" spans="1:6">
      <c r="A11" s="392">
        <v>35</v>
      </c>
      <c r="B11" s="23">
        <f t="shared" si="0"/>
        <v>2.57</v>
      </c>
      <c r="E11" s="23">
        <v>35</v>
      </c>
      <c r="F11" s="23">
        <f>StepTest!G22</f>
        <v>2.57</v>
      </c>
    </row>
    <row r="12" spans="1:6">
      <c r="A12" s="392">
        <v>40</v>
      </c>
      <c r="B12" s="23">
        <f t="shared" si="0"/>
        <v>2.63</v>
      </c>
      <c r="E12" s="23">
        <v>40</v>
      </c>
      <c r="F12" s="23">
        <f>StepTest!G23</f>
        <v>2.63</v>
      </c>
    </row>
    <row r="13" spans="1:6">
      <c r="A13" s="392">
        <v>45</v>
      </c>
      <c r="B13" s="23">
        <f t="shared" si="0"/>
        <v>2.68</v>
      </c>
      <c r="E13" s="23">
        <v>45</v>
      </c>
      <c r="F13" s="23">
        <f>StepTest!G24</f>
        <v>2.68</v>
      </c>
    </row>
    <row r="14" spans="1:6">
      <c r="A14" s="392">
        <v>50</v>
      </c>
      <c r="B14" s="23">
        <f t="shared" si="0"/>
        <v>2.73</v>
      </c>
      <c r="E14" s="23">
        <v>50</v>
      </c>
      <c r="F14" s="23">
        <f>StepTest!G25</f>
        <v>2.73</v>
      </c>
    </row>
    <row r="15" spans="1:6">
      <c r="A15" s="392">
        <v>55</v>
      </c>
      <c r="B15" s="23">
        <f t="shared" si="0"/>
        <v>2.77</v>
      </c>
      <c r="E15" s="23">
        <v>55</v>
      </c>
      <c r="F15" s="23">
        <f>StepTest!G26</f>
        <v>2.77</v>
      </c>
    </row>
    <row r="16" spans="1:6">
      <c r="A16" s="392">
        <v>60</v>
      </c>
      <c r="B16" s="23">
        <f t="shared" si="0"/>
        <v>2.81</v>
      </c>
      <c r="E16" s="23">
        <v>60</v>
      </c>
      <c r="F16" s="23">
        <f>StepTest!G27</f>
        <v>2.81</v>
      </c>
    </row>
    <row r="17" spans="1:6">
      <c r="A17" s="392">
        <v>75</v>
      </c>
      <c r="B17" s="23">
        <f t="shared" si="0"/>
        <v>2.91</v>
      </c>
      <c r="E17" s="23">
        <v>75</v>
      </c>
      <c r="F17" s="23">
        <f>StepTest!G28</f>
        <v>2.91</v>
      </c>
    </row>
    <row r="18" spans="1:6">
      <c r="A18" s="392">
        <v>90</v>
      </c>
      <c r="B18" s="23">
        <f t="shared" si="0"/>
        <v>2.99</v>
      </c>
      <c r="E18" s="23">
        <v>90</v>
      </c>
      <c r="F18" s="23">
        <f>StepTest!G29</f>
        <v>2.99</v>
      </c>
    </row>
    <row r="19" spans="1:6">
      <c r="A19" s="392">
        <v>105</v>
      </c>
      <c r="B19" s="23">
        <f t="shared" si="0"/>
        <v>3.06</v>
      </c>
      <c r="E19" s="23">
        <v>105</v>
      </c>
      <c r="F19" s="23">
        <f>StepTest!G30</f>
        <v>3.06</v>
      </c>
    </row>
    <row r="20" spans="1:6">
      <c r="A20" s="393">
        <v>120</v>
      </c>
      <c r="B20" s="394">
        <f t="shared" si="0"/>
        <v>3.12</v>
      </c>
      <c r="C20" s="394">
        <f>B26-B20</f>
        <v>0.62000000000000011</v>
      </c>
      <c r="D20" s="395">
        <f>C20/10</f>
        <v>6.2000000000000013E-2</v>
      </c>
      <c r="E20" s="23">
        <v>120</v>
      </c>
      <c r="F20" s="23">
        <f>StepTest!G31</f>
        <v>3.12</v>
      </c>
    </row>
    <row r="21" spans="1:6">
      <c r="A21" s="392">
        <v>121</v>
      </c>
      <c r="B21" s="396">
        <f>B20+D21</f>
        <v>3.2800000000000002</v>
      </c>
      <c r="D21" s="23">
        <v>0.16</v>
      </c>
      <c r="E21" s="23">
        <v>130</v>
      </c>
      <c r="F21" s="23">
        <f>StepTest!G32</f>
        <v>3.74</v>
      </c>
    </row>
    <row r="22" spans="1:6">
      <c r="A22" s="392">
        <v>122</v>
      </c>
      <c r="B22" s="396">
        <f>B21+D22</f>
        <v>3.43</v>
      </c>
      <c r="D22" s="23">
        <v>0.15</v>
      </c>
      <c r="E22" s="23">
        <v>140</v>
      </c>
      <c r="F22" s="23">
        <f>StepTest!G33</f>
        <v>3.84</v>
      </c>
    </row>
    <row r="23" spans="1:6">
      <c r="A23" s="392">
        <v>123</v>
      </c>
      <c r="B23" s="396">
        <f>B22+D23</f>
        <v>3.5700000000000003</v>
      </c>
      <c r="D23" s="23">
        <v>0.14000000000000001</v>
      </c>
      <c r="E23" s="23">
        <v>150</v>
      </c>
      <c r="F23" s="23">
        <f>StepTest!G34</f>
        <v>3.95</v>
      </c>
    </row>
    <row r="24" spans="1:6">
      <c r="A24" s="392">
        <v>124</v>
      </c>
      <c r="B24" s="396">
        <f>B23+D24</f>
        <v>3.7</v>
      </c>
      <c r="D24" s="23">
        <v>0.13</v>
      </c>
      <c r="E24" s="23">
        <v>180</v>
      </c>
      <c r="F24" s="23">
        <f>StepTest!G35</f>
        <v>4.05</v>
      </c>
    </row>
    <row r="25" spans="1:6">
      <c r="A25" s="392">
        <v>125</v>
      </c>
      <c r="B25" s="396">
        <f>B24+D25</f>
        <v>3.83</v>
      </c>
      <c r="D25" s="23">
        <v>0.13</v>
      </c>
      <c r="E25" s="23">
        <v>240</v>
      </c>
      <c r="F25" s="23">
        <f>StepTest!G36</f>
        <v>4.16</v>
      </c>
    </row>
    <row r="26" spans="1:6">
      <c r="A26" s="392">
        <v>130</v>
      </c>
      <c r="B26" s="394">
        <f>F21</f>
        <v>3.74</v>
      </c>
      <c r="C26" s="394">
        <f>B28-B26</f>
        <v>9.9999999999999645E-2</v>
      </c>
      <c r="D26" s="394">
        <f>C26/2</f>
        <v>4.9999999999999822E-2</v>
      </c>
      <c r="E26" s="23">
        <v>250</v>
      </c>
      <c r="F26" s="23">
        <f>StepTest!G37</f>
        <v>4.8600000000000003</v>
      </c>
    </row>
    <row r="27" spans="1:6">
      <c r="A27" s="392">
        <v>135</v>
      </c>
      <c r="B27" s="396">
        <f>B26+D27</f>
        <v>3.85</v>
      </c>
      <c r="D27" s="23">
        <v>0.11</v>
      </c>
      <c r="E27" s="23">
        <v>260</v>
      </c>
      <c r="F27" s="23">
        <f>StepTest!G38</f>
        <v>4.97</v>
      </c>
    </row>
    <row r="28" spans="1:6">
      <c r="A28" s="392">
        <v>140</v>
      </c>
      <c r="B28" s="394">
        <f>F22</f>
        <v>3.84</v>
      </c>
      <c r="C28" s="394">
        <f>B30-B28</f>
        <v>0.11000000000000032</v>
      </c>
      <c r="D28" s="394">
        <f>C28/2</f>
        <v>5.500000000000016E-2</v>
      </c>
      <c r="E28" s="23">
        <v>270</v>
      </c>
      <c r="F28" s="23">
        <f>StepTest!G39</f>
        <v>5.09</v>
      </c>
    </row>
    <row r="29" spans="1:6">
      <c r="A29" s="392">
        <v>145</v>
      </c>
      <c r="B29" s="396">
        <f>B28+D29</f>
        <v>3.94</v>
      </c>
      <c r="D29" s="23">
        <v>0.1</v>
      </c>
      <c r="E29" s="23">
        <v>300</v>
      </c>
      <c r="F29" s="23">
        <f>StepTest!G40</f>
        <v>5.21</v>
      </c>
    </row>
    <row r="30" spans="1:6">
      <c r="A30" s="392">
        <v>150</v>
      </c>
      <c r="B30" s="394">
        <f>F23</f>
        <v>3.95</v>
      </c>
      <c r="C30" s="394">
        <f>B36-B30</f>
        <v>9.9999999999999645E-2</v>
      </c>
      <c r="D30" s="397">
        <f>C30/6</f>
        <v>1.6666666666666607E-2</v>
      </c>
      <c r="E30" s="23">
        <v>360</v>
      </c>
      <c r="F30" s="23">
        <f>StepTest!G41</f>
        <v>5.33</v>
      </c>
    </row>
    <row r="31" spans="1:6">
      <c r="A31" s="392">
        <v>155</v>
      </c>
      <c r="B31" s="396">
        <f>B30+D31</f>
        <v>4.01</v>
      </c>
      <c r="D31" s="23">
        <v>0.06</v>
      </c>
    </row>
    <row r="32" spans="1:6">
      <c r="A32" s="392">
        <v>160</v>
      </c>
      <c r="B32" s="396">
        <f t="shared" ref="B32:B39" si="1">B31+D32</f>
        <v>4.0599999999999996</v>
      </c>
      <c r="D32" s="23">
        <v>0.05</v>
      </c>
    </row>
    <row r="33" spans="1:4">
      <c r="A33" s="392">
        <v>165</v>
      </c>
      <c r="B33" s="396">
        <f t="shared" si="1"/>
        <v>4.0999999999999996</v>
      </c>
      <c r="D33" s="23">
        <v>0.04</v>
      </c>
    </row>
    <row r="34" spans="1:4">
      <c r="A34" s="392">
        <v>170</v>
      </c>
      <c r="B34" s="396">
        <f t="shared" si="1"/>
        <v>4.13</v>
      </c>
      <c r="D34" s="23">
        <v>0.03</v>
      </c>
    </row>
    <row r="35" spans="1:4">
      <c r="A35" s="392">
        <v>175</v>
      </c>
      <c r="B35" s="396">
        <f t="shared" si="1"/>
        <v>4.1499999999999995</v>
      </c>
      <c r="D35" s="23">
        <v>0.02</v>
      </c>
    </row>
    <row r="36" spans="1:4">
      <c r="A36" s="392">
        <v>180</v>
      </c>
      <c r="B36" s="394">
        <f>F24</f>
        <v>4.05</v>
      </c>
      <c r="C36" s="394">
        <f>B40-B36</f>
        <v>0.11000000000000032</v>
      </c>
      <c r="D36" s="394">
        <f>C36/4</f>
        <v>2.750000000000008E-2</v>
      </c>
    </row>
    <row r="37" spans="1:4">
      <c r="A37" s="392">
        <v>195</v>
      </c>
      <c r="B37" s="396">
        <f t="shared" si="1"/>
        <v>4.12</v>
      </c>
      <c r="D37" s="23">
        <v>7.0000000000000007E-2</v>
      </c>
    </row>
    <row r="38" spans="1:4">
      <c r="A38" s="392">
        <v>210</v>
      </c>
      <c r="B38" s="396">
        <f t="shared" si="1"/>
        <v>4.18</v>
      </c>
      <c r="D38" s="23">
        <v>0.06</v>
      </c>
    </row>
    <row r="39" spans="1:4">
      <c r="A39" s="392">
        <v>225</v>
      </c>
      <c r="B39" s="396">
        <f t="shared" si="1"/>
        <v>4.2299999999999995</v>
      </c>
      <c r="D39" s="23">
        <v>0.05</v>
      </c>
    </row>
    <row r="40" spans="1:4">
      <c r="A40" s="393">
        <v>240</v>
      </c>
      <c r="B40" s="394">
        <f>F25</f>
        <v>4.16</v>
      </c>
      <c r="C40" s="394">
        <f>B46-B40</f>
        <v>0.70000000000000018</v>
      </c>
      <c r="D40" s="395">
        <f>C40/10</f>
        <v>7.0000000000000021E-2</v>
      </c>
    </row>
    <row r="41" spans="1:4">
      <c r="A41" s="392">
        <v>241</v>
      </c>
      <c r="B41" s="396">
        <f>B40+D41</f>
        <v>4.34</v>
      </c>
      <c r="D41" s="23">
        <v>0.18</v>
      </c>
    </row>
    <row r="42" spans="1:4">
      <c r="A42" s="392">
        <v>242</v>
      </c>
      <c r="B42" s="396">
        <f>B41+D42</f>
        <v>4.5</v>
      </c>
      <c r="D42" s="23">
        <v>0.16</v>
      </c>
    </row>
    <row r="43" spans="1:4">
      <c r="A43" s="392">
        <v>243</v>
      </c>
      <c r="B43" s="396">
        <f>B42+D43</f>
        <v>4.6500000000000004</v>
      </c>
      <c r="D43" s="23">
        <v>0.15</v>
      </c>
    </row>
    <row r="44" spans="1:4">
      <c r="A44" s="392">
        <v>244</v>
      </c>
      <c r="B44" s="396">
        <f>B43+D44</f>
        <v>4.79</v>
      </c>
      <c r="D44" s="23">
        <v>0.14000000000000001</v>
      </c>
    </row>
    <row r="45" spans="1:4">
      <c r="A45" s="392">
        <v>245</v>
      </c>
      <c r="B45" s="396">
        <f>B44+D45</f>
        <v>4.92</v>
      </c>
      <c r="D45" s="23">
        <v>0.13</v>
      </c>
    </row>
    <row r="46" spans="1:4">
      <c r="A46" s="392">
        <v>250</v>
      </c>
      <c r="B46" s="394">
        <f>F26</f>
        <v>4.8600000000000003</v>
      </c>
      <c r="C46" s="394">
        <f>B48-B46</f>
        <v>0.10999999999999943</v>
      </c>
      <c r="D46" s="394">
        <f>C46/2</f>
        <v>5.4999999999999716E-2</v>
      </c>
    </row>
    <row r="47" spans="1:4">
      <c r="A47" s="392">
        <v>255</v>
      </c>
      <c r="B47" s="396">
        <f>B46+D47</f>
        <v>4.9700000000000006</v>
      </c>
      <c r="D47" s="23">
        <v>0.11</v>
      </c>
    </row>
    <row r="48" spans="1:4">
      <c r="A48" s="392">
        <v>260</v>
      </c>
      <c r="B48" s="394">
        <f>F27</f>
        <v>4.97</v>
      </c>
      <c r="C48" s="394">
        <f>B50-B48</f>
        <v>0.12000000000000011</v>
      </c>
      <c r="D48" s="394">
        <f>C48/2</f>
        <v>6.0000000000000053E-2</v>
      </c>
    </row>
    <row r="49" spans="1:6">
      <c r="A49" s="392">
        <v>265</v>
      </c>
      <c r="B49" s="396">
        <f>B48+D49</f>
        <v>5.08</v>
      </c>
      <c r="D49" s="23">
        <v>0.11</v>
      </c>
    </row>
    <row r="50" spans="1:6">
      <c r="A50" s="392">
        <v>270</v>
      </c>
      <c r="B50" s="394">
        <f>F28</f>
        <v>5.09</v>
      </c>
      <c r="C50" s="394">
        <f>B56-B50</f>
        <v>0.12000000000000011</v>
      </c>
      <c r="D50" s="397">
        <f>C50/6</f>
        <v>2.0000000000000018E-2</v>
      </c>
    </row>
    <row r="51" spans="1:6">
      <c r="A51" s="392">
        <v>275</v>
      </c>
      <c r="B51" s="396">
        <f>B50+D51</f>
        <v>5.16</v>
      </c>
      <c r="D51" s="23">
        <v>7.0000000000000007E-2</v>
      </c>
    </row>
    <row r="52" spans="1:6">
      <c r="A52" s="392">
        <v>280</v>
      </c>
      <c r="B52" s="396">
        <f>B51+D52</f>
        <v>5.21</v>
      </c>
      <c r="D52" s="23">
        <v>0.05</v>
      </c>
    </row>
    <row r="53" spans="1:6">
      <c r="A53" s="392">
        <v>285</v>
      </c>
      <c r="B53" s="396">
        <f>B52+D53</f>
        <v>5.25</v>
      </c>
      <c r="D53" s="23">
        <v>0.04</v>
      </c>
    </row>
    <row r="54" spans="1:6">
      <c r="A54" s="392">
        <v>290</v>
      </c>
      <c r="B54" s="396">
        <f>B53+D54</f>
        <v>5.28</v>
      </c>
      <c r="D54" s="23">
        <v>0.03</v>
      </c>
    </row>
    <row r="55" spans="1:6">
      <c r="A55" s="392">
        <v>295</v>
      </c>
      <c r="B55" s="396">
        <f>B54+D55</f>
        <v>5.3</v>
      </c>
      <c r="D55" s="23">
        <v>0.02</v>
      </c>
    </row>
    <row r="56" spans="1:6">
      <c r="A56" s="392">
        <v>300</v>
      </c>
      <c r="B56" s="394">
        <f>F29</f>
        <v>5.21</v>
      </c>
      <c r="C56" s="394">
        <f>B60-B56</f>
        <v>0.12000000000000011</v>
      </c>
      <c r="D56" s="394">
        <f>C56/4</f>
        <v>3.0000000000000027E-2</v>
      </c>
    </row>
    <row r="57" spans="1:6">
      <c r="A57" s="392">
        <v>315</v>
      </c>
      <c r="B57" s="396">
        <f>B56+D57</f>
        <v>5.29</v>
      </c>
      <c r="D57" s="23">
        <v>0.08</v>
      </c>
    </row>
    <row r="58" spans="1:6">
      <c r="A58" s="392">
        <v>330</v>
      </c>
      <c r="B58" s="396">
        <f>B57+D58</f>
        <v>5.35</v>
      </c>
      <c r="D58" s="23">
        <v>0.06</v>
      </c>
    </row>
    <row r="59" spans="1:6">
      <c r="A59" s="392">
        <v>345</v>
      </c>
      <c r="B59" s="396">
        <f>B58+D59</f>
        <v>5.3999999999999995</v>
      </c>
      <c r="D59" s="23">
        <v>0.05</v>
      </c>
    </row>
    <row r="60" spans="1:6">
      <c r="A60" s="393">
        <v>360</v>
      </c>
      <c r="B60" s="394">
        <f>F30</f>
        <v>5.33</v>
      </c>
      <c r="C60" s="394">
        <f>B66-B60</f>
        <v>0.78000000000000025</v>
      </c>
      <c r="D60" s="395">
        <f>C60/10</f>
        <v>7.8000000000000028E-2</v>
      </c>
    </row>
    <row r="61" spans="1:6">
      <c r="A61" s="392">
        <v>361</v>
      </c>
      <c r="B61" s="396">
        <f>B60+D61</f>
        <v>5.5200000000000005</v>
      </c>
      <c r="D61" s="23">
        <v>0.19</v>
      </c>
    </row>
    <row r="62" spans="1:6">
      <c r="A62" s="392">
        <v>362</v>
      </c>
      <c r="B62" s="396">
        <f>B61+D62</f>
        <v>5.69</v>
      </c>
      <c r="D62" s="23">
        <v>0.17</v>
      </c>
    </row>
    <row r="63" spans="1:6">
      <c r="A63" s="392">
        <v>363</v>
      </c>
      <c r="B63" s="396">
        <f>B62+D63</f>
        <v>5.8500000000000005</v>
      </c>
      <c r="D63" s="23">
        <v>0.16</v>
      </c>
      <c r="E63" s="23">
        <v>370</v>
      </c>
      <c r="F63" s="23">
        <f>StepTest!G42</f>
        <v>6.11</v>
      </c>
    </row>
    <row r="64" spans="1:6">
      <c r="A64" s="392">
        <v>364</v>
      </c>
      <c r="B64" s="396">
        <f>B63+D64</f>
        <v>6.0000000000000009</v>
      </c>
      <c r="D64" s="23">
        <v>0.15</v>
      </c>
      <c r="E64" s="23">
        <v>380</v>
      </c>
      <c r="F64" s="23">
        <f>StepTest!G43</f>
        <v>6.24</v>
      </c>
    </row>
    <row r="65" spans="1:6">
      <c r="A65" s="392">
        <v>365</v>
      </c>
      <c r="B65" s="396">
        <f>B64+D65</f>
        <v>6.1400000000000006</v>
      </c>
      <c r="D65" s="23">
        <v>0.14000000000000001</v>
      </c>
      <c r="E65" s="23">
        <v>390</v>
      </c>
      <c r="F65" s="23">
        <f>StepTest!G44</f>
        <v>6.37</v>
      </c>
    </row>
    <row r="66" spans="1:6">
      <c r="A66" s="392">
        <v>370</v>
      </c>
      <c r="B66" s="394">
        <f>F63</f>
        <v>6.11</v>
      </c>
      <c r="C66" s="398">
        <f>B68-B66</f>
        <v>0.12999999999999989</v>
      </c>
      <c r="D66" s="394">
        <f>C66/2</f>
        <v>6.4999999999999947E-2</v>
      </c>
      <c r="E66" s="23">
        <v>420</v>
      </c>
      <c r="F66" s="23">
        <f>StepTest!G45</f>
        <v>6.5</v>
      </c>
    </row>
    <row r="67" spans="1:6">
      <c r="A67" s="392">
        <v>375</v>
      </c>
      <c r="B67" s="396">
        <f>B66+D67</f>
        <v>6.23</v>
      </c>
      <c r="D67" s="23">
        <v>0.12</v>
      </c>
      <c r="E67" s="23">
        <v>480</v>
      </c>
      <c r="F67" s="23">
        <f>StepTest!G46</f>
        <v>6.64</v>
      </c>
    </row>
    <row r="68" spans="1:6">
      <c r="A68" s="392">
        <v>380</v>
      </c>
      <c r="B68" s="399">
        <f>F64</f>
        <v>6.24</v>
      </c>
      <c r="C68" s="394">
        <f>B70-B68</f>
        <v>0.12999999999999989</v>
      </c>
      <c r="D68" s="394">
        <f>C68/2</f>
        <v>6.4999999999999947E-2</v>
      </c>
      <c r="E68" s="23">
        <v>490</v>
      </c>
      <c r="F68" s="23">
        <f>StepTest!G47</f>
        <v>7.43</v>
      </c>
    </row>
    <row r="69" spans="1:6">
      <c r="A69" s="392">
        <v>385</v>
      </c>
      <c r="B69" s="396">
        <f>B68+D69</f>
        <v>6.36</v>
      </c>
      <c r="D69" s="23">
        <v>0.12</v>
      </c>
      <c r="E69" s="23">
        <v>500</v>
      </c>
      <c r="F69" s="23">
        <f>StepTest!G48</f>
        <v>7.73</v>
      </c>
    </row>
    <row r="70" spans="1:6">
      <c r="A70" s="392">
        <v>390</v>
      </c>
      <c r="B70" s="399">
        <f>F65</f>
        <v>6.37</v>
      </c>
      <c r="C70" s="394">
        <f>B76-B70</f>
        <v>0.12999999999999989</v>
      </c>
      <c r="D70" s="397">
        <f>C70/6</f>
        <v>2.166666666666665E-2</v>
      </c>
      <c r="E70" s="23">
        <v>510</v>
      </c>
      <c r="F70" s="23">
        <f>StepTest!G49</f>
        <v>8.0299999999999994</v>
      </c>
    </row>
    <row r="71" spans="1:6">
      <c r="A71" s="392">
        <v>395</v>
      </c>
      <c r="B71" s="396">
        <f>B70+D71</f>
        <v>6.44</v>
      </c>
      <c r="D71" s="23">
        <v>7.0000000000000007E-2</v>
      </c>
      <c r="E71" s="23">
        <v>540</v>
      </c>
      <c r="F71" s="23">
        <f>StepTest!G50</f>
        <v>8.33</v>
      </c>
    </row>
    <row r="72" spans="1:6">
      <c r="A72" s="392">
        <v>400</v>
      </c>
      <c r="B72" s="396">
        <f>B71+D72</f>
        <v>6.49</v>
      </c>
      <c r="D72" s="23">
        <v>0.05</v>
      </c>
      <c r="E72" s="23">
        <v>600</v>
      </c>
      <c r="F72" s="23">
        <f>StepTest!G51</f>
        <v>8.6300000000000008</v>
      </c>
    </row>
    <row r="73" spans="1:6">
      <c r="A73" s="392">
        <v>405</v>
      </c>
      <c r="B73" s="396">
        <f>B72+D73</f>
        <v>6.53</v>
      </c>
      <c r="D73" s="23">
        <v>0.04</v>
      </c>
    </row>
    <row r="74" spans="1:6">
      <c r="A74" s="392">
        <v>410</v>
      </c>
      <c r="B74" s="396">
        <f>B73+D74</f>
        <v>6.5600000000000005</v>
      </c>
      <c r="D74" s="23">
        <v>0.03</v>
      </c>
    </row>
    <row r="75" spans="1:6">
      <c r="A75" s="392">
        <v>415</v>
      </c>
      <c r="B75" s="396">
        <f>B74+D75</f>
        <v>6.5900000000000007</v>
      </c>
      <c r="D75" s="23">
        <v>0.03</v>
      </c>
    </row>
    <row r="76" spans="1:6">
      <c r="A76" s="392">
        <v>420</v>
      </c>
      <c r="B76" s="399">
        <f>F66</f>
        <v>6.5</v>
      </c>
      <c r="C76" s="394">
        <f>B80-B76</f>
        <v>0.13999999999999968</v>
      </c>
      <c r="D76" s="394">
        <f>C76/4</f>
        <v>3.499999999999992E-2</v>
      </c>
    </row>
    <row r="77" spans="1:6">
      <c r="A77" s="392">
        <v>435</v>
      </c>
      <c r="B77" s="396">
        <f>B76+D77</f>
        <v>6.59</v>
      </c>
      <c r="D77" s="23">
        <v>0.09</v>
      </c>
    </row>
    <row r="78" spans="1:6">
      <c r="A78" s="392">
        <v>450</v>
      </c>
      <c r="B78" s="396">
        <f>B77+D78</f>
        <v>6.66</v>
      </c>
      <c r="D78" s="23">
        <v>7.0000000000000007E-2</v>
      </c>
    </row>
    <row r="79" spans="1:6">
      <c r="A79" s="392">
        <v>465</v>
      </c>
      <c r="B79" s="396">
        <f>B78+D79</f>
        <v>6.71</v>
      </c>
      <c r="D79" s="23">
        <v>0.05</v>
      </c>
    </row>
    <row r="80" spans="1:6">
      <c r="A80" s="393">
        <v>480</v>
      </c>
      <c r="B80" s="399">
        <f>F67</f>
        <v>6.64</v>
      </c>
      <c r="C80" s="394">
        <f>B86-B80</f>
        <v>0.79</v>
      </c>
      <c r="D80" s="395">
        <f>C80/10</f>
        <v>7.9000000000000001E-2</v>
      </c>
    </row>
    <row r="81" spans="1:4">
      <c r="A81" s="392">
        <v>481</v>
      </c>
      <c r="B81" s="396">
        <f>B80+D81</f>
        <v>6.85</v>
      </c>
      <c r="D81" s="23">
        <v>0.21</v>
      </c>
    </row>
    <row r="82" spans="1:4">
      <c r="A82" s="392">
        <v>482</v>
      </c>
      <c r="B82" s="396">
        <f>B81+D82</f>
        <v>7.04</v>
      </c>
      <c r="D82" s="23">
        <v>0.19</v>
      </c>
    </row>
    <row r="83" spans="1:4">
      <c r="A83" s="392">
        <v>483</v>
      </c>
      <c r="B83" s="396">
        <f>B82+D83</f>
        <v>7.21</v>
      </c>
      <c r="D83" s="23">
        <v>0.17</v>
      </c>
    </row>
    <row r="84" spans="1:4">
      <c r="A84" s="392">
        <v>484</v>
      </c>
      <c r="B84" s="396">
        <f>B83+D84</f>
        <v>7.37</v>
      </c>
      <c r="D84" s="23">
        <v>0.16</v>
      </c>
    </row>
    <row r="85" spans="1:4">
      <c r="A85" s="392">
        <v>485</v>
      </c>
      <c r="B85" s="396">
        <f>B84+D85</f>
        <v>7.51</v>
      </c>
      <c r="D85" s="23">
        <v>0.14000000000000001</v>
      </c>
    </row>
    <row r="86" spans="1:4">
      <c r="A86" s="392">
        <v>490</v>
      </c>
      <c r="B86" s="399">
        <f>F68</f>
        <v>7.43</v>
      </c>
      <c r="C86" s="394">
        <f>B88-B86</f>
        <v>0.30000000000000071</v>
      </c>
      <c r="D86" s="394">
        <f>C86/2</f>
        <v>0.15000000000000036</v>
      </c>
    </row>
    <row r="87" spans="1:4">
      <c r="A87" s="392">
        <v>495</v>
      </c>
      <c r="B87" s="396">
        <f>B86+D87</f>
        <v>7.7399999999999993</v>
      </c>
      <c r="D87" s="23">
        <v>0.31</v>
      </c>
    </row>
    <row r="88" spans="1:4">
      <c r="A88" s="392">
        <v>500</v>
      </c>
      <c r="B88" s="399">
        <f>F69</f>
        <v>7.73</v>
      </c>
      <c r="C88" s="394">
        <f>B90-B88</f>
        <v>0.29999999999999893</v>
      </c>
      <c r="D88" s="394">
        <f>C88/2</f>
        <v>0.14999999999999947</v>
      </c>
    </row>
    <row r="89" spans="1:4">
      <c r="A89" s="392">
        <v>505</v>
      </c>
      <c r="B89" s="396">
        <f>B88+D89</f>
        <v>8.0300000000000011</v>
      </c>
      <c r="D89" s="23">
        <v>0.3</v>
      </c>
    </row>
    <row r="90" spans="1:4">
      <c r="A90" s="392">
        <v>510</v>
      </c>
      <c r="B90" s="399">
        <f>F70</f>
        <v>8.0299999999999994</v>
      </c>
      <c r="C90" s="394">
        <f>B96-B90</f>
        <v>0.30000000000000071</v>
      </c>
      <c r="D90" s="397">
        <f>C90/6</f>
        <v>5.0000000000000121E-2</v>
      </c>
    </row>
    <row r="91" spans="1:4">
      <c r="A91" s="392">
        <v>515</v>
      </c>
      <c r="B91" s="396">
        <f>B90+D91</f>
        <v>8.18</v>
      </c>
      <c r="D91" s="23">
        <v>0.15</v>
      </c>
    </row>
    <row r="92" spans="1:4">
      <c r="A92" s="392">
        <v>520</v>
      </c>
      <c r="B92" s="396">
        <f>B91+D92</f>
        <v>8.31</v>
      </c>
      <c r="D92" s="23">
        <v>0.13</v>
      </c>
    </row>
    <row r="93" spans="1:4">
      <c r="A93" s="392">
        <v>525</v>
      </c>
      <c r="B93" s="396">
        <f>B92+D93</f>
        <v>8.42</v>
      </c>
      <c r="D93" s="23">
        <v>0.11</v>
      </c>
    </row>
    <row r="94" spans="1:4">
      <c r="A94" s="392">
        <v>530</v>
      </c>
      <c r="B94" s="396">
        <f>B93+D94</f>
        <v>8.5</v>
      </c>
      <c r="D94" s="23">
        <v>0.08</v>
      </c>
    </row>
    <row r="95" spans="1:4">
      <c r="A95" s="392">
        <v>535</v>
      </c>
      <c r="B95" s="396">
        <f>B94+D95</f>
        <v>8.57</v>
      </c>
      <c r="D95" s="23">
        <v>7.0000000000000007E-2</v>
      </c>
    </row>
    <row r="96" spans="1:4">
      <c r="A96" s="392">
        <v>540</v>
      </c>
      <c r="B96" s="399">
        <f>F71</f>
        <v>8.33</v>
      </c>
      <c r="C96" s="394">
        <f>B100-B96</f>
        <v>0.30000000000000071</v>
      </c>
      <c r="D96" s="394">
        <f>C96/4</f>
        <v>7.5000000000000178E-2</v>
      </c>
    </row>
    <row r="97" spans="1:4">
      <c r="A97" s="392">
        <v>555</v>
      </c>
      <c r="B97" s="396">
        <f>B96+D97</f>
        <v>8.52</v>
      </c>
      <c r="D97" s="23">
        <v>0.19</v>
      </c>
    </row>
    <row r="98" spans="1:4">
      <c r="A98" s="392">
        <v>570</v>
      </c>
      <c r="B98" s="396">
        <f>B97+D98</f>
        <v>8.68</v>
      </c>
      <c r="D98" s="23">
        <v>0.16</v>
      </c>
    </row>
    <row r="99" spans="1:4">
      <c r="A99" s="392">
        <v>585</v>
      </c>
      <c r="B99" s="396">
        <f>B98+D99</f>
        <v>8.82</v>
      </c>
      <c r="D99" s="23">
        <v>0.14000000000000001</v>
      </c>
    </row>
    <row r="100" spans="1:4">
      <c r="A100" s="393">
        <v>600</v>
      </c>
      <c r="B100" s="270">
        <f>F72</f>
        <v>8.6300000000000008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79"/>
  <sheetViews>
    <sheetView zoomScaleNormal="100" workbookViewId="0"/>
  </sheetViews>
  <sheetFormatPr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5" style="3" bestFit="1" customWidth="1"/>
    <col min="10" max="10" width="9" style="3"/>
    <col min="11" max="11" width="11.125" style="3" customWidth="1"/>
    <col min="12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5" style="3" bestFit="1" customWidth="1"/>
    <col min="22" max="16384" width="9" style="3"/>
  </cols>
  <sheetData>
    <row r="1" spans="1:19">
      <c r="E1" s="2">
        <f>SUM(E3:E6)</f>
        <v>54.208333333333336</v>
      </c>
      <c r="F1" s="2"/>
      <c r="G1" s="2">
        <f>E1/E2</f>
        <v>0.88866120218579236</v>
      </c>
    </row>
    <row r="2" spans="1:19">
      <c r="A2" s="4" t="s">
        <v>0</v>
      </c>
      <c r="B2" s="4" t="s">
        <v>1</v>
      </c>
      <c r="D2" s="5">
        <f>D19</f>
        <v>103</v>
      </c>
      <c r="E2" s="2">
        <f>M51/3</f>
        <v>61</v>
      </c>
      <c r="F2" s="6" t="s">
        <v>2</v>
      </c>
      <c r="G2" s="7" t="s">
        <v>3</v>
      </c>
    </row>
    <row r="3" spans="1:19">
      <c r="A3" s="8">
        <f>B3+$M$48</f>
        <v>3.12</v>
      </c>
      <c r="B3" s="9">
        <f>B20</f>
        <v>3.12</v>
      </c>
      <c r="C3" s="10"/>
      <c r="D3" s="11">
        <f t="shared" ref="D3:D7" si="0">D20</f>
        <v>115</v>
      </c>
      <c r="E3" s="1">
        <f>D3/12</f>
        <v>9.5833333333333339</v>
      </c>
      <c r="F3" s="12">
        <f>INT(B3/D3*1000)/1000</f>
        <v>2.7E-2</v>
      </c>
      <c r="G3" s="12">
        <f>1/F3</f>
        <v>37.037037037037038</v>
      </c>
    </row>
    <row r="4" spans="1:19">
      <c r="A4" s="8">
        <f>B4+$M$48</f>
        <v>4.16</v>
      </c>
      <c r="B4" s="10">
        <f>B21</f>
        <v>4.16</v>
      </c>
      <c r="C4" s="10"/>
      <c r="D4" s="5">
        <f t="shared" si="0"/>
        <v>147</v>
      </c>
      <c r="E4" s="1">
        <f>D4/12</f>
        <v>12.25</v>
      </c>
      <c r="F4" s="12">
        <f>INT(B4/D4*1000)/1000</f>
        <v>2.8000000000000001E-2</v>
      </c>
      <c r="G4" s="12">
        <f t="shared" ref="G4:G7" si="1">1/F4</f>
        <v>35.714285714285715</v>
      </c>
    </row>
    <row r="5" spans="1:19">
      <c r="A5" s="8">
        <f>B5+$M$48</f>
        <v>5.33</v>
      </c>
      <c r="B5" s="10">
        <f>B22</f>
        <v>5.33</v>
      </c>
      <c r="C5" s="10"/>
      <c r="D5" s="5">
        <f t="shared" si="0"/>
        <v>178.5</v>
      </c>
      <c r="E5" s="1">
        <f>D5/12</f>
        <v>14.875</v>
      </c>
      <c r="F5" s="12">
        <f>INT(B5/D5*1000)/1000</f>
        <v>2.9000000000000001E-2</v>
      </c>
      <c r="G5" s="12">
        <f t="shared" si="1"/>
        <v>34.482758620689651</v>
      </c>
    </row>
    <row r="6" spans="1:19">
      <c r="A6" s="8">
        <f>B6+$M$48</f>
        <v>6.64</v>
      </c>
      <c r="B6" s="9">
        <f>B23</f>
        <v>6.64</v>
      </c>
      <c r="C6" s="10"/>
      <c r="D6" s="5">
        <f>D23</f>
        <v>210</v>
      </c>
      <c r="E6" s="1">
        <f>D6/12</f>
        <v>17.5</v>
      </c>
      <c r="F6" s="12">
        <f>INT(B6/D6*1000)/1000</f>
        <v>3.1E-2</v>
      </c>
      <c r="G6" s="12">
        <f t="shared" si="1"/>
        <v>32.258064516129032</v>
      </c>
    </row>
    <row r="7" spans="1:19">
      <c r="A7" s="8">
        <f>B7+$M$48</f>
        <v>8.6300000000000008</v>
      </c>
      <c r="B7" s="10">
        <f>B24</f>
        <v>8.6300000000000008</v>
      </c>
      <c r="C7" s="10"/>
      <c r="D7" s="5">
        <f t="shared" si="0"/>
        <v>241.49999999999997</v>
      </c>
      <c r="E7" s="1">
        <f>D7/12</f>
        <v>20.124999999999996</v>
      </c>
      <c r="F7" s="12">
        <f>INT(B7/D7*1000)/1000</f>
        <v>3.5000000000000003E-2</v>
      </c>
      <c r="G7" s="12">
        <f t="shared" si="1"/>
        <v>28.571428571428569</v>
      </c>
    </row>
    <row r="8" spans="1:19">
      <c r="B8" s="1" t="s">
        <v>4</v>
      </c>
      <c r="E8" s="456" t="s">
        <v>5</v>
      </c>
      <c r="F8" s="456"/>
      <c r="G8" s="456"/>
    </row>
    <row r="9" spans="1:19">
      <c r="A9" s="13" t="s">
        <v>6</v>
      </c>
      <c r="B9" s="13" t="s">
        <v>2</v>
      </c>
      <c r="E9" s="14">
        <v>0.98</v>
      </c>
      <c r="F9" s="455" t="s">
        <v>7</v>
      </c>
      <c r="G9" s="455"/>
    </row>
    <row r="10" spans="1:19">
      <c r="A10" s="15">
        <f>D20/B20</f>
        <v>36.858974358974358</v>
      </c>
      <c r="B10" s="15">
        <f>B20/D20</f>
        <v>2.7130434782608695E-2</v>
      </c>
      <c r="E10" s="14">
        <v>0.98</v>
      </c>
      <c r="F10" s="455" t="s">
        <v>8</v>
      </c>
      <c r="G10" s="455"/>
    </row>
    <row r="11" spans="1:19">
      <c r="A11" s="15">
        <f t="shared" ref="A11:A14" si="2">D21/B21</f>
        <v>35.33653846153846</v>
      </c>
      <c r="B11" s="15">
        <f t="shared" ref="B11:B14" si="3">B21/D21</f>
        <v>2.8299319727891157E-2</v>
      </c>
      <c r="D11" s="1" t="s">
        <v>4</v>
      </c>
      <c r="E11" s="14">
        <v>0.98</v>
      </c>
      <c r="F11" s="455" t="s">
        <v>9</v>
      </c>
      <c r="G11" s="455"/>
    </row>
    <row r="12" spans="1:19">
      <c r="A12" s="15">
        <f t="shared" si="2"/>
        <v>33.489681050656657</v>
      </c>
      <c r="B12" s="15">
        <f t="shared" si="3"/>
        <v>2.9859943977591036E-2</v>
      </c>
      <c r="E12" s="14">
        <v>1</v>
      </c>
      <c r="F12" s="455" t="s">
        <v>10</v>
      </c>
      <c r="G12" s="455"/>
    </row>
    <row r="13" spans="1:19">
      <c r="A13" s="15">
        <f t="shared" si="2"/>
        <v>31.626506024096386</v>
      </c>
      <c r="B13" s="15">
        <f t="shared" si="3"/>
        <v>3.1619047619047616E-2</v>
      </c>
      <c r="D13" s="1" t="s">
        <v>4</v>
      </c>
      <c r="E13" s="456" t="s">
        <v>11</v>
      </c>
      <c r="F13" s="456"/>
      <c r="G13" s="456"/>
    </row>
    <row r="14" spans="1:19">
      <c r="A14" s="15">
        <f t="shared" si="2"/>
        <v>27.983777520278093</v>
      </c>
      <c r="B14" s="15">
        <f t="shared" si="3"/>
        <v>3.5734989648033136E-2</v>
      </c>
      <c r="E14" s="16">
        <v>1</v>
      </c>
      <c r="F14" s="455" t="s">
        <v>7</v>
      </c>
      <c r="G14" s="455"/>
    </row>
    <row r="15" spans="1:19">
      <c r="E15" s="16">
        <v>1</v>
      </c>
      <c r="F15" s="455" t="s">
        <v>8</v>
      </c>
      <c r="G15" s="455"/>
    </row>
    <row r="16" spans="1:19">
      <c r="B16" s="17" t="s">
        <v>12</v>
      </c>
      <c r="D16" s="18" t="s">
        <v>13</v>
      </c>
      <c r="E16" s="16">
        <v>1</v>
      </c>
      <c r="F16" s="455" t="s">
        <v>9</v>
      </c>
      <c r="G16" s="455"/>
      <c r="R16" s="3">
        <v>0.128</v>
      </c>
      <c r="S16" s="3">
        <f>ROUNDDOWN(R16,1)</f>
        <v>0.1</v>
      </c>
    </row>
    <row r="17" spans="1:21">
      <c r="B17" s="19">
        <f>M52</f>
        <v>6.64</v>
      </c>
      <c r="D17" s="20">
        <f>M47</f>
        <v>210</v>
      </c>
      <c r="E17" s="16">
        <v>1</v>
      </c>
      <c r="F17" s="455" t="s">
        <v>10</v>
      </c>
      <c r="G17" s="455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103</v>
      </c>
      <c r="F19" s="10"/>
      <c r="G19" s="10"/>
    </row>
    <row r="20" spans="1:21">
      <c r="A20" s="27" t="s">
        <v>14</v>
      </c>
      <c r="B20" s="28">
        <f>INT(B$17*C20*100)/100</f>
        <v>3.12</v>
      </c>
      <c r="C20" s="1">
        <f>0.48*E9</f>
        <v>0.47039999999999998</v>
      </c>
      <c r="D20" s="29">
        <f>INT(D$17*E20)</f>
        <v>115</v>
      </c>
      <c r="E20" s="30">
        <f>0.55*E14</f>
        <v>0.55000000000000004</v>
      </c>
      <c r="F20" s="12">
        <f>B20/D20</f>
        <v>2.7130434782608695E-2</v>
      </c>
      <c r="G20" s="1">
        <f>F20-F19</f>
        <v>2.7130434782608695E-2</v>
      </c>
    </row>
    <row r="21" spans="1:21">
      <c r="A21" s="10">
        <f>B21-B20</f>
        <v>1.04</v>
      </c>
      <c r="B21" s="28">
        <f>INT(B$17*C21*100)/100</f>
        <v>4.16</v>
      </c>
      <c r="C21" s="1">
        <f>0.64*E10</f>
        <v>0.62719999999999998</v>
      </c>
      <c r="D21" s="29">
        <f>INT(D$17*E21)</f>
        <v>147</v>
      </c>
      <c r="E21" s="30">
        <f>0.7*E15</f>
        <v>0.7</v>
      </c>
      <c r="F21" s="12">
        <f>B21/D21</f>
        <v>2.8299319727891157E-2</v>
      </c>
      <c r="G21" s="1">
        <f>F21-F20</f>
        <v>1.1688849452824619E-3</v>
      </c>
      <c r="N21" s="31" t="s">
        <v>15</v>
      </c>
      <c r="O21" s="441" t="s">
        <v>16</v>
      </c>
      <c r="P21" s="441"/>
      <c r="Q21" s="441" t="s">
        <v>17</v>
      </c>
      <c r="R21" s="441"/>
      <c r="S21" s="441" t="s">
        <v>18</v>
      </c>
      <c r="T21" s="441"/>
      <c r="U21" s="32" t="s">
        <v>19</v>
      </c>
    </row>
    <row r="22" spans="1:21">
      <c r="A22" s="10">
        <f>B22-B21</f>
        <v>1.17</v>
      </c>
      <c r="B22" s="28">
        <f>INT(B$17*C22*100)/100</f>
        <v>5.33</v>
      </c>
      <c r="C22" s="1">
        <f>0.82*E11</f>
        <v>0.80359999999999998</v>
      </c>
      <c r="D22" s="33">
        <f>(D$17*E22)</f>
        <v>178.5</v>
      </c>
      <c r="E22" s="30">
        <f>0.85*E16</f>
        <v>0.85</v>
      </c>
      <c r="F22" s="12">
        <f>B22/D22</f>
        <v>2.9859943977591036E-2</v>
      </c>
      <c r="G22" s="1">
        <f>F22-F21</f>
        <v>1.5606242496998789E-3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1.3099999999999996</v>
      </c>
      <c r="B23" s="28">
        <f>INT(B$17*C23*100)/100</f>
        <v>6.64</v>
      </c>
      <c r="C23" s="1">
        <v>1</v>
      </c>
      <c r="D23" s="29">
        <f>D$17*E23</f>
        <v>210</v>
      </c>
      <c r="E23" s="30">
        <v>1</v>
      </c>
      <c r="F23" s="12">
        <f>B23/D23</f>
        <v>3.1619047619047616E-2</v>
      </c>
      <c r="G23" s="1">
        <f>F23-F22</f>
        <v>1.7591036414565803E-3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1.9900000000000011</v>
      </c>
      <c r="B24" s="28">
        <f>INT(B$17*C24*100)/100</f>
        <v>8.6300000000000008</v>
      </c>
      <c r="C24" s="1">
        <f>1.3*E12</f>
        <v>1.3</v>
      </c>
      <c r="D24" s="29">
        <f>D$17*E24</f>
        <v>241.49999999999997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3.5734989648033136E-2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2" t="s">
        <v>22</v>
      </c>
      <c r="B26" s="442"/>
      <c r="C26" s="40">
        <f>INT(M51*1)</f>
        <v>183</v>
      </c>
      <c r="F26" s="41">
        <f>M50/M51</f>
        <v>4.0819672131147539E-2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2" t="s">
        <v>23</v>
      </c>
      <c r="B27" s="442"/>
      <c r="C27" s="42">
        <f>SafeYield!B7</f>
        <v>190.2713927984143</v>
      </c>
      <c r="D27" s="10">
        <f>(C27/D6)*100</f>
        <v>90.60542514210205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80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4.7500000000000003E-5</v>
      </c>
      <c r="B31" s="45">
        <v>2.1508900000000001E-2</v>
      </c>
      <c r="D31" s="5">
        <f t="shared" ref="D31:D36" si="4">D19</f>
        <v>103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4.7500000000000003E-5</v>
      </c>
      <c r="B32" s="1">
        <f t="shared" si="5"/>
        <v>2.1508900000000001E-2</v>
      </c>
      <c r="D32" s="5">
        <f t="shared" si="4"/>
        <v>115</v>
      </c>
      <c r="F32" s="44">
        <f>B32*D32/(B32*D32+A32*D32*D32)*100</f>
        <v>79.74706541002692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4.7500000000000003E-5</v>
      </c>
      <c r="B33" s="1">
        <f t="shared" si="5"/>
        <v>2.1508900000000001E-2</v>
      </c>
      <c r="D33" s="5">
        <f t="shared" si="4"/>
        <v>147</v>
      </c>
      <c r="F33" s="44">
        <f>B33*D33/(B33*D33+A33*D33*D33)*100</f>
        <v>75.4926047860056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4.7500000000000003E-5</v>
      </c>
      <c r="B34" s="1">
        <f t="shared" si="5"/>
        <v>2.1508900000000001E-2</v>
      </c>
      <c r="D34" s="5">
        <f t="shared" si="4"/>
        <v>178.5</v>
      </c>
      <c r="F34" s="44">
        <f>B34*D34/(B34*D34+A34*D34*D34)*100</f>
        <v>71.725860479230619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4.7500000000000003E-5</v>
      </c>
      <c r="B35" s="1">
        <f>B34</f>
        <v>2.1508900000000001E-2</v>
      </c>
      <c r="D35" s="5">
        <f t="shared" si="4"/>
        <v>210</v>
      </c>
      <c r="F35" s="44">
        <f>B35*D35/(B35*D35+A35*D35*D35)*100</f>
        <v>68.317139871489871</v>
      </c>
      <c r="G35" s="44"/>
    </row>
    <row r="36" spans="1:21">
      <c r="D36" s="5">
        <f t="shared" si="4"/>
        <v>241.49999999999997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73.820667636688256</v>
      </c>
      <c r="P37" s="3">
        <v>4.7500000000000003E-5</v>
      </c>
      <c r="Q37" s="3">
        <v>0.12</v>
      </c>
    </row>
    <row r="38" spans="1:21">
      <c r="A38" s="54">
        <v>71.418000000000006</v>
      </c>
      <c r="B38" s="4">
        <v>0.12</v>
      </c>
      <c r="C38" s="4">
        <v>93.378</v>
      </c>
      <c r="E38" s="1" t="s">
        <v>30</v>
      </c>
      <c r="P38" s="3">
        <v>2.1508900000000001E-2</v>
      </c>
      <c r="Q38" s="3">
        <v>93.378</v>
      </c>
    </row>
    <row r="39" spans="1:21">
      <c r="A39" s="55"/>
      <c r="B39" s="56" t="s">
        <v>31</v>
      </c>
      <c r="C39" s="10">
        <f>(C38-A38)/B38</f>
        <v>182.99999999999994</v>
      </c>
      <c r="D39" s="1">
        <f>C38-B38*M51</f>
        <v>71.418000000000006</v>
      </c>
    </row>
    <row r="40" spans="1:21">
      <c r="A40" s="55" t="s">
        <v>32</v>
      </c>
      <c r="B40" s="56" t="s">
        <v>31</v>
      </c>
      <c r="C40" s="1">
        <f>INT(C39)</f>
        <v>183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0.53400000000000003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3" t="s">
        <v>243</v>
      </c>
      <c r="J44" s="444"/>
      <c r="K44" s="445"/>
      <c r="L44" s="64" t="s">
        <v>39</v>
      </c>
      <c r="M44" s="65">
        <v>250</v>
      </c>
      <c r="N44" s="64" t="s">
        <v>40</v>
      </c>
      <c r="Q44" s="66">
        <v>491</v>
      </c>
      <c r="R44" s="67">
        <v>22.89</v>
      </c>
      <c r="S44" s="67">
        <v>16.04</v>
      </c>
      <c r="T44" s="68">
        <v>31.25</v>
      </c>
      <c r="U44" s="3">
        <v>3.2000000000000001E-2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242</v>
      </c>
      <c r="J45" s="69"/>
      <c r="K45" s="402"/>
      <c r="L45" s="64" t="s">
        <v>43</v>
      </c>
      <c r="M45" s="70">
        <v>83</v>
      </c>
      <c r="N45" s="70">
        <f>M44</f>
        <v>250</v>
      </c>
      <c r="Q45" s="66">
        <v>625</v>
      </c>
      <c r="R45" s="67">
        <v>28.229999999999997</v>
      </c>
      <c r="S45" s="67">
        <v>21.38</v>
      </c>
      <c r="T45" s="68">
        <v>29.411764705882351</v>
      </c>
      <c r="U45" s="3">
        <v>3.4000000000000002E-2</v>
      </c>
    </row>
    <row r="46" spans="1:21" ht="16.5">
      <c r="A46" s="1">
        <f>B34</f>
        <v>2.1508900000000001E-2</v>
      </c>
      <c r="B46" s="43" t="s">
        <v>44</v>
      </c>
      <c r="C46" s="446" t="s">
        <v>45</v>
      </c>
      <c r="D46" s="446"/>
      <c r="H46" s="63" t="s">
        <v>46</v>
      </c>
      <c r="I46" s="402" t="s">
        <v>241</v>
      </c>
      <c r="J46" s="69"/>
      <c r="K46" s="402"/>
      <c r="L46" s="64" t="s">
        <v>47</v>
      </c>
      <c r="M46" s="71">
        <f>IF(I52&gt;M48, M45-I52,M45-M48)</f>
        <v>65</v>
      </c>
      <c r="N46" s="72"/>
      <c r="Q46" s="66">
        <v>760</v>
      </c>
      <c r="R46" s="67">
        <v>34.25</v>
      </c>
      <c r="S46" s="67">
        <v>27.4</v>
      </c>
      <c r="T46" s="68">
        <v>27.777777777777779</v>
      </c>
      <c r="U46" s="3">
        <v>3.5999999999999997E-2</v>
      </c>
    </row>
    <row r="47" spans="1:21" ht="16.5">
      <c r="A47" s="1">
        <f>120/1440</f>
        <v>8.3333333333333329E-2</v>
      </c>
      <c r="B47" s="43" t="s">
        <v>48</v>
      </c>
      <c r="C47" s="446" t="s">
        <v>49</v>
      </c>
      <c r="D47" s="446"/>
      <c r="H47" s="63" t="s">
        <v>50</v>
      </c>
      <c r="I47" s="402" t="s">
        <v>240</v>
      </c>
      <c r="J47" s="69"/>
      <c r="K47" s="65"/>
      <c r="L47" s="64" t="s">
        <v>51</v>
      </c>
      <c r="M47" s="73">
        <f>INT((M51*100)/M53)</f>
        <v>210</v>
      </c>
      <c r="N47" s="72"/>
      <c r="Q47" s="66">
        <v>894</v>
      </c>
      <c r="R47" s="67">
        <v>40.950000000000003</v>
      </c>
      <c r="S47" s="67">
        <v>34.1</v>
      </c>
      <c r="T47" s="68">
        <v>26.315789473684212</v>
      </c>
      <c r="U47" s="3">
        <v>3.7999999999999999E-2</v>
      </c>
    </row>
    <row r="48" spans="1:21" ht="16.5">
      <c r="B48" s="43"/>
      <c r="H48" s="63" t="s">
        <v>52</v>
      </c>
      <c r="I48" s="74">
        <v>5</v>
      </c>
      <c r="J48" s="447" t="s">
        <v>53</v>
      </c>
      <c r="K48" s="447"/>
      <c r="L48" s="75" t="s">
        <v>54</v>
      </c>
      <c r="M48" s="76">
        <v>0</v>
      </c>
      <c r="N48" s="72"/>
      <c r="Q48" s="66">
        <v>1028</v>
      </c>
      <c r="R48" s="67">
        <v>51.18</v>
      </c>
      <c r="S48" s="67">
        <v>44.33</v>
      </c>
      <c r="T48" s="68">
        <v>23.255813953488374</v>
      </c>
      <c r="U48" s="3">
        <v>4.2999999999999997E-2</v>
      </c>
    </row>
    <row r="49" spans="1:17" ht="16.5">
      <c r="A49" s="56" t="s">
        <v>55</v>
      </c>
      <c r="B49" s="12">
        <f>INT(SQRT(B54)*1000)/1000</f>
        <v>0.53300000000000003</v>
      </c>
      <c r="C49" s="43" t="s">
        <v>56</v>
      </c>
      <c r="D49" s="77" t="s">
        <v>30</v>
      </c>
      <c r="H49" s="448" t="s">
        <v>57</v>
      </c>
      <c r="I49" s="451" t="str">
        <f>I45</f>
        <v xml:space="preserve">  황화정지구</v>
      </c>
      <c r="J49" s="451"/>
      <c r="K49" s="451"/>
      <c r="L49" s="64" t="s">
        <v>58</v>
      </c>
      <c r="M49" s="76">
        <v>7.47</v>
      </c>
      <c r="N49" s="72"/>
    </row>
    <row r="50" spans="1:17" ht="16.5">
      <c r="A50" s="56" t="s">
        <v>59</v>
      </c>
      <c r="B50" s="1">
        <f>INT(2.25*A44*A47*1000)/1000</f>
        <v>7.5389999999999997</v>
      </c>
      <c r="C50" s="1">
        <f>B50</f>
        <v>7.5389999999999997</v>
      </c>
      <c r="H50" s="449"/>
      <c r="I50" s="451"/>
      <c r="J50" s="451"/>
      <c r="K50" s="451"/>
      <c r="L50" s="64" t="s">
        <v>60</v>
      </c>
      <c r="M50" s="78">
        <f>M49-M48</f>
        <v>7.47</v>
      </c>
      <c r="N50" s="72"/>
    </row>
    <row r="51" spans="1:17" ht="16.5">
      <c r="A51" s="56" t="s">
        <v>61</v>
      </c>
      <c r="B51" s="1">
        <f>A45</f>
        <v>5.0000000000000001E-4</v>
      </c>
      <c r="C51" s="43" t="s">
        <v>44</v>
      </c>
      <c r="D51" s="10" t="s">
        <v>30</v>
      </c>
      <c r="H51" s="450"/>
      <c r="I51" s="452" t="s">
        <v>62</v>
      </c>
      <c r="J51" s="453"/>
      <c r="K51" s="454"/>
      <c r="L51" s="79" t="s">
        <v>63</v>
      </c>
      <c r="M51" s="80">
        <v>183</v>
      </c>
      <c r="N51" s="72"/>
      <c r="Q51" s="3">
        <v>491</v>
      </c>
    </row>
    <row r="52" spans="1:17" ht="16.5">
      <c r="A52" s="81" t="s">
        <v>64</v>
      </c>
      <c r="B52" s="1">
        <f>INT(10^((INT(5.46*A44*A46*1000))/1000)*1000)/1000</f>
        <v>52722.985999999997</v>
      </c>
      <c r="C52" s="1">
        <f>INT(B52*B51*1000)/1000</f>
        <v>26.361000000000001</v>
      </c>
      <c r="H52" s="82" t="s">
        <v>65</v>
      </c>
      <c r="I52" s="74">
        <v>18</v>
      </c>
      <c r="J52" s="82" t="s">
        <v>66</v>
      </c>
      <c r="K52" s="83">
        <v>0</v>
      </c>
      <c r="L52" s="84" t="s">
        <v>67</v>
      </c>
      <c r="M52" s="71">
        <f>INT(M50*0.89*100)/100</f>
        <v>6.64</v>
      </c>
      <c r="N52" s="85"/>
      <c r="Q52" s="3">
        <v>625</v>
      </c>
    </row>
    <row r="53" spans="1:17" ht="16.5">
      <c r="H53" s="72"/>
      <c r="I53" s="440" t="s">
        <v>68</v>
      </c>
      <c r="J53" s="440"/>
      <c r="K53" s="440"/>
      <c r="L53" s="440"/>
      <c r="M53" s="86">
        <v>87</v>
      </c>
      <c r="N53" s="72"/>
      <c r="Q53" s="3">
        <v>760</v>
      </c>
    </row>
    <row r="54" spans="1:17" ht="18.75" customHeight="1">
      <c r="A54" s="56" t="s">
        <v>69</v>
      </c>
      <c r="B54" s="1">
        <f>INT(C50/C52*1000)/1000</f>
        <v>0.28499999999999998</v>
      </c>
      <c r="H54" s="87" t="s">
        <v>70</v>
      </c>
      <c r="I54" s="88" t="s">
        <v>71</v>
      </c>
      <c r="Q54" s="3">
        <v>894</v>
      </c>
    </row>
    <row r="55" spans="1:17">
      <c r="A55" s="56"/>
      <c r="Q55" s="3">
        <v>1028</v>
      </c>
    </row>
    <row r="56" spans="1:17">
      <c r="A56" s="56"/>
    </row>
    <row r="57" spans="1:17">
      <c r="A57" s="24"/>
      <c r="B57" s="17" t="s">
        <v>72</v>
      </c>
      <c r="C57" s="17" t="s">
        <v>73</v>
      </c>
      <c r="D57" s="428" t="s">
        <v>74</v>
      </c>
      <c r="E57" s="428"/>
      <c r="F57" s="428" t="s">
        <v>73</v>
      </c>
      <c r="G57" s="429"/>
      <c r="H57" s="89" t="s">
        <v>75</v>
      </c>
      <c r="I57" s="90">
        <f>M50</f>
        <v>7.47</v>
      </c>
      <c r="J57" s="91" t="s">
        <v>76</v>
      </c>
      <c r="K57" s="89" t="s">
        <v>77</v>
      </c>
      <c r="L57" s="432" t="s">
        <v>78</v>
      </c>
      <c r="M57" s="432"/>
      <c r="Q57" s="3">
        <v>22.89</v>
      </c>
    </row>
    <row r="58" spans="1:17">
      <c r="A58" s="17" t="s">
        <v>79</v>
      </c>
      <c r="B58" s="92">
        <v>40.21</v>
      </c>
      <c r="C58" s="17"/>
      <c r="D58" s="428">
        <v>0.22439999999999999</v>
      </c>
      <c r="E58" s="428"/>
      <c r="F58" s="428"/>
      <c r="G58" s="429"/>
      <c r="H58" s="89" t="s">
        <v>80</v>
      </c>
      <c r="I58" s="93">
        <f>C62/M46</f>
        <v>0.69876923076923081</v>
      </c>
      <c r="J58" s="94" t="s">
        <v>81</v>
      </c>
      <c r="K58" s="95">
        <f>INT((6*I57*I58*I60/I59)^0.5)</f>
        <v>10</v>
      </c>
      <c r="L58" s="89" t="s">
        <v>82</v>
      </c>
      <c r="M58" s="89" t="s">
        <v>83</v>
      </c>
      <c r="Q58" s="3">
        <v>28.229999999999997</v>
      </c>
    </row>
    <row r="59" spans="1:17">
      <c r="A59" s="17" t="s">
        <v>84</v>
      </c>
      <c r="B59" s="92">
        <v>59.61</v>
      </c>
      <c r="C59" s="433">
        <f>B59</f>
        <v>59.61</v>
      </c>
      <c r="D59" s="434">
        <v>0.15190000000000001</v>
      </c>
      <c r="E59" s="435"/>
      <c r="F59" s="436">
        <f>INT((D59+D60)/1*10000000)/10000000</f>
        <v>0.15190000000000001</v>
      </c>
      <c r="G59" s="437"/>
      <c r="H59" s="96" t="s">
        <v>41</v>
      </c>
      <c r="I59" s="91">
        <f>F62</f>
        <v>0.15190000000000001</v>
      </c>
      <c r="J59" s="94" t="s">
        <v>85</v>
      </c>
      <c r="K59" s="95">
        <f>INT(3*(I57*I58*I60/I59)^0.5)</f>
        <v>12</v>
      </c>
      <c r="L59" s="95"/>
      <c r="M59" s="95"/>
      <c r="Q59" s="3">
        <v>34.25</v>
      </c>
    </row>
    <row r="60" spans="1:17">
      <c r="A60" s="17" t="s">
        <v>86</v>
      </c>
      <c r="B60" s="92"/>
      <c r="C60" s="433"/>
      <c r="D60" s="434"/>
      <c r="E60" s="435"/>
      <c r="F60" s="438"/>
      <c r="G60" s="439"/>
      <c r="H60" s="97">
        <f>LongTest!AE33</f>
        <v>720</v>
      </c>
      <c r="I60" s="98">
        <f>INT(H60/1440*10000)/10000</f>
        <v>0.5</v>
      </c>
      <c r="J60" s="94" t="s">
        <v>87</v>
      </c>
      <c r="K60" s="95">
        <f>(2.25*I61*I60/I59)^0.5</f>
        <v>18.340912511588275</v>
      </c>
      <c r="L60" s="99"/>
      <c r="M60" s="99"/>
      <c r="Q60" s="3">
        <v>40.950000000000003</v>
      </c>
    </row>
    <row r="61" spans="1:17">
      <c r="A61" s="17" t="s">
        <v>88</v>
      </c>
      <c r="B61" s="92">
        <v>31.23</v>
      </c>
      <c r="C61" s="17">
        <f>B61</f>
        <v>31.23</v>
      </c>
      <c r="D61" s="428"/>
      <c r="E61" s="428"/>
      <c r="F61" s="428"/>
      <c r="G61" s="429"/>
      <c r="H61" s="89" t="s">
        <v>37</v>
      </c>
      <c r="I61" s="91">
        <f>C62</f>
        <v>45.42</v>
      </c>
      <c r="J61" s="94" t="s">
        <v>89</v>
      </c>
      <c r="K61" s="95">
        <f>((K58+K59+K60)/3)</f>
        <v>13.446970837196091</v>
      </c>
      <c r="L61" s="100"/>
      <c r="M61" s="99"/>
      <c r="Q61" s="3">
        <v>51.18</v>
      </c>
    </row>
    <row r="62" spans="1:17">
      <c r="A62" s="101" t="s">
        <v>73</v>
      </c>
      <c r="B62" s="101"/>
      <c r="C62" s="102">
        <f>INT((C58+C59+C61)*1000/2)/1000</f>
        <v>45.42</v>
      </c>
      <c r="D62" s="430"/>
      <c r="E62" s="430"/>
      <c r="F62" s="431">
        <f>F59</f>
        <v>0.15190000000000001</v>
      </c>
      <c r="G62" s="431"/>
      <c r="H62" s="94" t="s">
        <v>90</v>
      </c>
      <c r="I62" s="99">
        <v>70.33</v>
      </c>
      <c r="J62" s="94" t="s">
        <v>91</v>
      </c>
      <c r="K62" s="103">
        <f>MAX(K58:K60)</f>
        <v>18.340912511588275</v>
      </c>
      <c r="L62" s="100"/>
      <c r="M62" s="104"/>
    </row>
    <row r="63" spans="1:17">
      <c r="Q63" s="3">
        <v>16.04</v>
      </c>
    </row>
    <row r="64" spans="1:17">
      <c r="Q64" s="3">
        <v>21.38</v>
      </c>
    </row>
    <row r="65" spans="17:17">
      <c r="Q65" s="3">
        <v>27.4</v>
      </c>
    </row>
    <row r="66" spans="17:17">
      <c r="Q66" s="3">
        <v>34.1</v>
      </c>
    </row>
    <row r="67" spans="17:17">
      <c r="Q67" s="3">
        <v>44.33</v>
      </c>
    </row>
    <row r="69" spans="17:17">
      <c r="Q69" s="68">
        <v>31.25</v>
      </c>
    </row>
    <row r="70" spans="17:17">
      <c r="Q70" s="68">
        <v>29.411764705882351</v>
      </c>
    </row>
    <row r="71" spans="17:17">
      <c r="Q71" s="68">
        <v>27.777777777777779</v>
      </c>
    </row>
    <row r="72" spans="17:17">
      <c r="Q72" s="68">
        <v>26.315789473684212</v>
      </c>
    </row>
    <row r="73" spans="17:17">
      <c r="Q73" s="68">
        <v>23.255813953488374</v>
      </c>
    </row>
    <row r="75" spans="17:17">
      <c r="Q75" s="3">
        <v>3.2000000000000001E-2</v>
      </c>
    </row>
    <row r="76" spans="17:17">
      <c r="Q76" s="3">
        <v>3.4000000000000002E-2</v>
      </c>
    </row>
    <row r="77" spans="17:17">
      <c r="Q77" s="3">
        <v>3.5999999999999997E-2</v>
      </c>
    </row>
    <row r="78" spans="17:17">
      <c r="Q78" s="3">
        <v>3.7999999999999999E-2</v>
      </c>
    </row>
    <row r="79" spans="17:17">
      <c r="Q79" s="3">
        <v>4.2999999999999997E-2</v>
      </c>
    </row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SkinFactor">
    <tabColor rgb="FFC00000"/>
  </sheetPr>
  <dimension ref="A1:O113"/>
  <sheetViews>
    <sheetView tabSelected="1" zoomScaleNormal="100" workbookViewId="0"/>
  </sheetViews>
  <sheetFormatPr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  황화정지구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 xml:space="preserve">  논산시 연무읍 황화정리 577-1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128</v>
      </c>
      <c r="C3" s="116" t="s">
        <v>13</v>
      </c>
      <c r="D3" s="116" t="s">
        <v>37</v>
      </c>
      <c r="E3" s="116" t="s">
        <v>129</v>
      </c>
      <c r="F3" s="116" t="s">
        <v>41</v>
      </c>
      <c r="G3" s="116" t="s">
        <v>130</v>
      </c>
      <c r="H3" s="404" t="s">
        <v>44</v>
      </c>
      <c r="I3" s="117" t="s">
        <v>131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2.5847536761324266</v>
      </c>
      <c r="C4" s="119">
        <f>LongTest!B10</f>
        <v>183</v>
      </c>
      <c r="D4" s="120">
        <v>19.03</v>
      </c>
      <c r="E4" s="121">
        <f>Input!M44/2000</f>
        <v>0.125</v>
      </c>
      <c r="F4" s="122">
        <v>5.0000000000000001E-4</v>
      </c>
      <c r="G4" s="122">
        <f>PI()</f>
        <v>3.1415926535897931</v>
      </c>
      <c r="H4" s="405">
        <f>Input!$A$46</f>
        <v>2.1508900000000001E-2</v>
      </c>
      <c r="I4" s="123">
        <f>Input!M48</f>
        <v>0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16.63</v>
      </c>
      <c r="E5" s="127" t="s">
        <v>132</v>
      </c>
      <c r="F5" s="128"/>
      <c r="G5" s="128"/>
      <c r="H5" s="406"/>
      <c r="I5" s="129" t="s">
        <v>58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133</v>
      </c>
      <c r="C6" s="131">
        <f>(2*G4*B4*D5)/(C4)</f>
        <v>1.4758431011519551</v>
      </c>
      <c r="D6" s="132"/>
      <c r="E6" s="131">
        <f>1.15*LOG((2.25*D5*(1/1440))/(F4*E4^2))</f>
        <v>4.0502105816160254</v>
      </c>
      <c r="F6" s="133" t="s">
        <v>134</v>
      </c>
      <c r="G6" s="134">
        <f>C6-E6</f>
        <v>-2.5743674804640704</v>
      </c>
      <c r="H6" s="406"/>
      <c r="I6" s="420">
        <f>Input!M49</f>
        <v>7.47</v>
      </c>
      <c r="J6" s="425">
        <f>MAX(C13,C18,C23)</f>
        <v>137.80000000000001</v>
      </c>
      <c r="K6" s="424" t="s">
        <v>237</v>
      </c>
      <c r="M6" s="135"/>
      <c r="N6" s="110"/>
      <c r="O6" s="110"/>
    </row>
    <row r="7" spans="1:15" ht="22.7" customHeight="1" thickBot="1">
      <c r="A7" s="110"/>
      <c r="B7" s="136" t="s">
        <v>135</v>
      </c>
      <c r="C7" s="137">
        <f>2.25*D4*(120/1440)</f>
        <v>3.5681250000000002</v>
      </c>
      <c r="D7" s="138"/>
      <c r="E7" s="139" t="s">
        <v>136</v>
      </c>
      <c r="F7" s="140">
        <f>F4*10^(5.46*D4*H4)</f>
        <v>8.5867031291618379E-2</v>
      </c>
      <c r="G7" s="141" t="s">
        <v>137</v>
      </c>
      <c r="H7" s="406">
        <f>F4*EXP(4*G4*D4*H4)</f>
        <v>8.5665386534968052E-2</v>
      </c>
      <c r="I7" s="421" t="s">
        <v>138</v>
      </c>
      <c r="J7" s="426">
        <f>ROUND((C13+C18+C23)/3,1)</f>
        <v>102.5</v>
      </c>
      <c r="K7" s="423" t="s">
        <v>238</v>
      </c>
      <c r="L7" s="110"/>
      <c r="M7" s="135"/>
      <c r="N7" s="110"/>
      <c r="O7" s="110"/>
    </row>
    <row r="8" spans="1:15" ht="22.7" customHeight="1" thickBot="1">
      <c r="A8" s="110"/>
      <c r="B8" s="142" t="s">
        <v>139</v>
      </c>
      <c r="C8" s="400">
        <f>ROUND(E4*EXP(-1*G6),3)</f>
        <v>1.64</v>
      </c>
      <c r="D8" s="407"/>
      <c r="E8" s="407"/>
      <c r="F8" s="143"/>
      <c r="G8" s="407"/>
      <c r="H8" s="408"/>
      <c r="I8" s="144">
        <f>Input!M45</f>
        <v>83</v>
      </c>
      <c r="J8" s="422" t="s">
        <v>140</v>
      </c>
      <c r="K8" s="427">
        <f>ROUND(SQRT(C7/F7),4)</f>
        <v>6.4462000000000002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142</v>
      </c>
      <c r="J9" s="142" t="s">
        <v>141</v>
      </c>
      <c r="K9" s="411">
        <f>ROUND(SQRT(C7/H7),4)</f>
        <v>6.4538000000000002</v>
      </c>
      <c r="L9" s="110"/>
      <c r="M9" s="110"/>
      <c r="N9" s="110"/>
      <c r="O9" s="110"/>
    </row>
    <row r="10" spans="1:15" ht="22.7" customHeight="1" thickBot="1">
      <c r="A10" s="110"/>
      <c r="B10" s="110" t="s">
        <v>143</v>
      </c>
      <c r="C10" s="146">
        <f>LongTest!F101</f>
        <v>1.4874284805222631</v>
      </c>
      <c r="D10" s="147" t="s">
        <v>144</v>
      </c>
      <c r="E10" s="148">
        <v>0.14530000000000001</v>
      </c>
      <c r="H10" s="410" t="s">
        <v>236</v>
      </c>
      <c r="I10" s="150">
        <f>Input!I52</f>
        <v>18</v>
      </c>
      <c r="J10" s="409" t="s">
        <v>145</v>
      </c>
      <c r="K10" s="412">
        <f>ROUND(E4*SQRT(E10/F4),4)</f>
        <v>2.1309</v>
      </c>
      <c r="L10" s="110"/>
      <c r="M10" s="110"/>
      <c r="N10" s="110"/>
      <c r="O10" s="110"/>
    </row>
    <row r="11" spans="1:15" ht="22.7" customHeight="1">
      <c r="A11" s="110"/>
      <c r="B11" s="110" t="s">
        <v>146</v>
      </c>
      <c r="C11" s="146">
        <f>I6-C10</f>
        <v>5.9825715194777365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147</v>
      </c>
      <c r="C13" s="403">
        <f>ROUND(SQRT(6*B16*E16*H16/I16),1)</f>
        <v>76.3</v>
      </c>
      <c r="D13" s="152"/>
      <c r="E13" s="153" t="s">
        <v>148</v>
      </c>
      <c r="F13" s="154">
        <f>D5</f>
        <v>16.63</v>
      </c>
      <c r="G13" s="153" t="s">
        <v>149</v>
      </c>
      <c r="H13" s="155">
        <v>8.8379999999999992</v>
      </c>
      <c r="I13" s="156">
        <v>43.65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150</v>
      </c>
      <c r="C15" s="159" t="s">
        <v>151</v>
      </c>
      <c r="D15" s="159" t="s">
        <v>152</v>
      </c>
      <c r="E15" s="159" t="s">
        <v>80</v>
      </c>
      <c r="F15" s="159" t="s">
        <v>153</v>
      </c>
      <c r="G15" s="159" t="s">
        <v>154</v>
      </c>
      <c r="H15" s="159" t="s">
        <v>155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7.47</v>
      </c>
      <c r="C16" s="164">
        <f>I8-IF(I4&gt;I10,I4,I10)</f>
        <v>65</v>
      </c>
      <c r="D16" s="165">
        <f>(F13+H13)/2</f>
        <v>12.733999999999998</v>
      </c>
      <c r="E16" s="166">
        <f>INT(D16/C16*100000)/100000</f>
        <v>0.19589999999999999</v>
      </c>
      <c r="F16" s="167">
        <v>1440</v>
      </c>
      <c r="G16" s="168">
        <v>780</v>
      </c>
      <c r="H16" s="169">
        <f>INT(G16/F16*10000)/10000</f>
        <v>0.54159999999999997</v>
      </c>
      <c r="I16" s="170">
        <v>8.1740000000000003E-4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156</v>
      </c>
      <c r="C18" s="403">
        <f>ROUND(3*SQRT(B21*E21*H21/I21),1)</f>
        <v>93.4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157</v>
      </c>
      <c r="C20" s="178" t="s">
        <v>47</v>
      </c>
      <c r="D20" s="178" t="s">
        <v>158</v>
      </c>
      <c r="E20" s="178" t="s">
        <v>80</v>
      </c>
      <c r="F20" s="178" t="s">
        <v>153</v>
      </c>
      <c r="G20" s="178" t="s">
        <v>159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7.47</v>
      </c>
      <c r="C21" s="183">
        <f t="shared" si="0"/>
        <v>65</v>
      </c>
      <c r="D21" s="184">
        <f t="shared" si="0"/>
        <v>12.733999999999998</v>
      </c>
      <c r="E21" s="169">
        <f t="shared" si="0"/>
        <v>0.19589999999999999</v>
      </c>
      <c r="F21" s="184">
        <f t="shared" si="0"/>
        <v>1440</v>
      </c>
      <c r="G21" s="184">
        <f>G16</f>
        <v>780</v>
      </c>
      <c r="H21" s="185">
        <f t="shared" si="0"/>
        <v>0.54159999999999997</v>
      </c>
      <c r="I21" s="186">
        <f t="shared" si="0"/>
        <v>8.1740000000000003E-4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160</v>
      </c>
      <c r="C23" s="403">
        <f>ROUND(SQRT((2.25*D26*H26)/I26),1)</f>
        <v>137.80000000000001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157</v>
      </c>
      <c r="C25" s="159" t="s">
        <v>47</v>
      </c>
      <c r="D25" s="159" t="s">
        <v>158</v>
      </c>
      <c r="E25" s="159" t="s">
        <v>80</v>
      </c>
      <c r="F25" s="159" t="s">
        <v>153</v>
      </c>
      <c r="G25" s="159" t="s">
        <v>159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7.47</v>
      </c>
      <c r="C26" s="167">
        <f t="shared" si="1"/>
        <v>65</v>
      </c>
      <c r="D26" s="192">
        <f t="shared" si="1"/>
        <v>12.733999999999998</v>
      </c>
      <c r="E26" s="166">
        <f t="shared" si="1"/>
        <v>0.19589999999999999</v>
      </c>
      <c r="F26" s="167">
        <f t="shared" si="1"/>
        <v>1440</v>
      </c>
      <c r="G26" s="167">
        <f t="shared" si="1"/>
        <v>780</v>
      </c>
      <c r="H26" s="165">
        <f>INT(G16/F16*10000)/10000</f>
        <v>0.54159999999999997</v>
      </c>
      <c r="I26" s="193">
        <f t="shared" si="1"/>
        <v>8.1740000000000003E-4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161</v>
      </c>
      <c r="C27" s="195">
        <f>D16</f>
        <v>12.733999999999998</v>
      </c>
      <c r="D27" s="196">
        <f>(C27/C16)*(100/86400)</f>
        <v>2.267450142450142E-4</v>
      </c>
      <c r="E27" s="110" t="s">
        <v>162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163</v>
      </c>
      <c r="C28" s="110">
        <f>I21</f>
        <v>8.1740000000000003E-4</v>
      </c>
      <c r="D28" s="110">
        <f>C27/C16*100/86400</f>
        <v>2.2674501424501422E-4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164</v>
      </c>
      <c r="C29" s="197">
        <f>(C13+C18+C23)/3</f>
        <v>102.5</v>
      </c>
      <c r="D29" s="110"/>
      <c r="E29" s="198">
        <f>(C13+C18)/2</f>
        <v>84.85</v>
      </c>
      <c r="F29" s="199">
        <f>MAX(C13,C18)</f>
        <v>93.4</v>
      </c>
      <c r="G29" s="149">
        <f>ROUND(C4/(G4*F29^2*I16),3)</f>
        <v>8.1690000000000005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RowHeight="16.5"/>
  <cols>
    <col min="1" max="1" width="20.75" style="201" bestFit="1" customWidth="1"/>
    <col min="2" max="2" width="8.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165</v>
      </c>
      <c r="B2" s="203">
        <f>StepTest!B12</f>
        <v>115</v>
      </c>
    </row>
    <row r="3" spans="1:2" ht="20.100000000000001" customHeight="1">
      <c r="A3" s="204" t="s">
        <v>166</v>
      </c>
      <c r="B3" s="205">
        <f>StepTest!G31</f>
        <v>3.12</v>
      </c>
    </row>
    <row r="4" spans="1:2" ht="20.100000000000001" customHeight="1">
      <c r="A4" s="204" t="s">
        <v>167</v>
      </c>
      <c r="B4" s="206">
        <f>StepTest!G46</f>
        <v>6.64</v>
      </c>
    </row>
    <row r="5" spans="1:2" ht="20.100000000000001" customHeight="1">
      <c r="A5" s="207" t="s">
        <v>168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169</v>
      </c>
      <c r="B7" s="206">
        <f>B2*(B4/B3)^(2/3)</f>
        <v>190.2713927984143</v>
      </c>
    </row>
    <row r="8" spans="1:2" ht="20.100000000000001" customHeight="1">
      <c r="A8" s="204" t="s">
        <v>170</v>
      </c>
      <c r="B8" s="206">
        <f>INT(B7)</f>
        <v>190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0.90476190476190477</v>
      </c>
    </row>
    <row r="12" spans="1:2" ht="17.25" thickBot="1"/>
    <row r="13" spans="1:2" ht="24.95" customHeight="1">
      <c r="A13" s="209" t="s">
        <v>171</v>
      </c>
      <c r="B13" s="210">
        <f>Input!$D$6</f>
        <v>210</v>
      </c>
    </row>
    <row r="14" spans="1:2" ht="24.95" customHeight="1">
      <c r="A14" s="211" t="s">
        <v>63</v>
      </c>
      <c r="B14" s="212">
        <f>B8</f>
        <v>190</v>
      </c>
    </row>
    <row r="15" spans="1:2" ht="24.95" customHeight="1" thickBot="1">
      <c r="A15" s="213" t="s">
        <v>172</v>
      </c>
      <c r="B15" s="214">
        <f>Input!$M$51</f>
        <v>183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StepTest">
    <tabColor rgb="FF00B050"/>
  </sheetPr>
  <dimension ref="A1:EF715"/>
  <sheetViews>
    <sheetView showGridLines="0" zoomScaleNormal="100" zoomScaleSheetLayoutView="100" workbookViewId="0"/>
  </sheetViews>
  <sheetFormatPr defaultRowHeight="13.5"/>
  <cols>
    <col min="1" max="1" width="5.25" style="216" customWidth="1"/>
    <col min="2" max="2" width="15.875" style="216" customWidth="1"/>
    <col min="3" max="3" width="10.75" style="216" customWidth="1"/>
    <col min="4" max="4" width="8.75" style="216" customWidth="1"/>
    <col min="5" max="5" width="4.25" style="216" customWidth="1"/>
    <col min="6" max="6" width="11.75" style="216" customWidth="1"/>
    <col min="7" max="7" width="7.875" style="216" customWidth="1"/>
    <col min="8" max="8" width="6.625" style="216" customWidth="1"/>
    <col min="9" max="9" width="10.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5" style="216" bestFit="1" customWidth="1"/>
    <col min="21" max="21" width="7.5" style="219" bestFit="1" customWidth="1"/>
    <col min="22" max="23" width="8.75" style="216" customWidth="1"/>
    <col min="24" max="24" width="8.125" style="216" bestFit="1" customWidth="1"/>
    <col min="25" max="25" width="5.5" style="216" bestFit="1" customWidth="1"/>
    <col min="26" max="26" width="9" style="23" bestFit="1" customWidth="1"/>
    <col min="27" max="27" width="6.375" style="23" bestFit="1" customWidth="1"/>
    <col min="28" max="28" width="6.375" style="23" customWidth="1"/>
    <col min="29" max="29" width="5.5" style="23" bestFit="1" customWidth="1"/>
    <col min="30" max="30" width="6.75" style="23" bestFit="1" customWidth="1"/>
    <col min="31" max="34" width="5.5" style="23" customWidth="1"/>
    <col min="35" max="16384" width="9" style="216"/>
  </cols>
  <sheetData>
    <row r="1" spans="1:136" ht="22.5">
      <c r="A1" s="215" t="s">
        <v>173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174</v>
      </c>
      <c r="T2" s="223" t="s">
        <v>175</v>
      </c>
      <c r="U2" s="224"/>
      <c r="V2" s="223"/>
    </row>
    <row r="3" spans="1:136" s="221" customFormat="1" ht="22.5">
      <c r="A3" s="225" t="s">
        <v>176</v>
      </c>
      <c r="B3" s="226"/>
      <c r="C3" s="226"/>
      <c r="D3" s="226"/>
      <c r="E3" s="226"/>
      <c r="F3" s="226"/>
      <c r="G3" s="226"/>
      <c r="H3" s="227"/>
      <c r="I3" s="226"/>
      <c r="Q3" s="228" t="s">
        <v>177</v>
      </c>
      <c r="S3" s="229" t="s">
        <v>13</v>
      </c>
      <c r="T3" s="229" t="s">
        <v>37</v>
      </c>
      <c r="U3" s="230" t="s">
        <v>178</v>
      </c>
      <c r="V3" s="229" t="s">
        <v>41</v>
      </c>
      <c r="W3" s="229" t="s">
        <v>179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59" t="s">
        <v>180</v>
      </c>
      <c r="B4" s="459"/>
      <c r="C4" s="231" t="str">
        <f>Input!I44</f>
        <v xml:space="preserve">  연무읍 황화4지구 농업용 관정개발(대형) 사업</v>
      </c>
      <c r="D4" s="232"/>
      <c r="E4" s="232"/>
      <c r="F4" s="232"/>
      <c r="G4" s="232"/>
      <c r="H4" s="233"/>
      <c r="I4" s="234"/>
      <c r="P4" s="221">
        <v>1</v>
      </c>
      <c r="Q4" s="235"/>
      <c r="R4" s="236">
        <f>B12</f>
        <v>115</v>
      </c>
      <c r="S4" s="221">
        <f>$R$4</f>
        <v>115</v>
      </c>
      <c r="T4" s="237">
        <v>20.652324965819684</v>
      </c>
      <c r="U4" s="238">
        <f>Input!M44/2/1000</f>
        <v>0.125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3.6853196045213243</v>
      </c>
      <c r="Z4" s="241">
        <f>Z22</f>
        <v>2.6843598814613507</v>
      </c>
      <c r="AA4" s="240">
        <f>$Z$4</f>
        <v>2.6843598814613507</v>
      </c>
      <c r="AB4" s="240">
        <f>X4</f>
        <v>1</v>
      </c>
      <c r="AC4" s="240">
        <f>Y4-AA4</f>
        <v>1.0009597230599736</v>
      </c>
      <c r="AD4" s="242">
        <f>INT((AC4-AE4)*100)/100</f>
        <v>1</v>
      </c>
      <c r="AE4" s="243">
        <f>Q4</f>
        <v>0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59" t="s">
        <v>181</v>
      </c>
      <c r="B5" s="459"/>
      <c r="C5" s="244" t="str">
        <f>Input!I45</f>
        <v xml:space="preserve">  황화정지구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115</v>
      </c>
      <c r="T5" s="221">
        <f>$T4</f>
        <v>20.652324965819684</v>
      </c>
      <c r="U5" s="248">
        <f>$U4</f>
        <v>0.125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3.9921205082865203</v>
      </c>
      <c r="AA5" s="240">
        <f t="shared" ref="AA5:AA23" si="5">$Z$4</f>
        <v>2.6843598814613507</v>
      </c>
      <c r="AB5" s="240">
        <f t="shared" ref="AB5:AB43" si="6">X5</f>
        <v>2</v>
      </c>
      <c r="AC5" s="240">
        <f t="shared" ref="AC5:AC43" si="7">Y5-AA5</f>
        <v>1.3077606268251696</v>
      </c>
      <c r="AD5" s="242">
        <f t="shared" ref="AD5:AD16" si="8">INT((AC5-AE5)*100)/100</f>
        <v>1.3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59" t="s">
        <v>182</v>
      </c>
      <c r="B6" s="459"/>
      <c r="C6" s="249" t="str">
        <f>Input!I46</f>
        <v xml:space="preserve">  논산시 연무읍 황화정리 577-1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115</v>
      </c>
      <c r="T6" s="221">
        <f t="shared" ref="T6:T51" si="10">$T5</f>
        <v>20.652324965819684</v>
      </c>
      <c r="U6" s="248">
        <f t="shared" ref="U6:U51" si="11">$U5</f>
        <v>0.125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4.1715875321765203</v>
      </c>
      <c r="AA6" s="240">
        <f t="shared" si="5"/>
        <v>2.6843598814613507</v>
      </c>
      <c r="AB6" s="240">
        <f t="shared" si="6"/>
        <v>3</v>
      </c>
      <c r="AC6" s="240">
        <f t="shared" si="7"/>
        <v>1.4872276507151696</v>
      </c>
      <c r="AD6" s="242">
        <f t="shared" si="8"/>
        <v>1.48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59" t="s">
        <v>183</v>
      </c>
      <c r="B7" s="459"/>
      <c r="C7" s="250" t="str">
        <f>Input!I47</f>
        <v xml:space="preserve">  마인지오주식회사</v>
      </c>
      <c r="D7" s="251"/>
      <c r="E7" s="232"/>
      <c r="F7" s="252"/>
      <c r="G7" s="253" t="str">
        <f>Input!I49</f>
        <v xml:space="preserve">  황화정지구</v>
      </c>
      <c r="H7" s="254"/>
      <c r="I7" s="255"/>
      <c r="P7" s="221">
        <v>4</v>
      </c>
      <c r="Q7" s="235"/>
      <c r="S7" s="221">
        <f t="shared" si="3"/>
        <v>115</v>
      </c>
      <c r="T7" s="221">
        <f t="shared" si="10"/>
        <v>20.652324965819684</v>
      </c>
      <c r="U7" s="248">
        <f t="shared" si="11"/>
        <v>0.125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4.2989214120517163</v>
      </c>
      <c r="AA7" s="240">
        <f t="shared" si="5"/>
        <v>2.6843598814613507</v>
      </c>
      <c r="AB7" s="240">
        <f t="shared" si="6"/>
        <v>4</v>
      </c>
      <c r="AC7" s="240">
        <f t="shared" si="7"/>
        <v>1.6145615305903656</v>
      </c>
      <c r="AD7" s="242">
        <f t="shared" si="8"/>
        <v>1.61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184</v>
      </c>
      <c r="B8" s="256"/>
      <c r="C8" s="460">
        <f>Input!I48</f>
        <v>5</v>
      </c>
      <c r="D8" s="461"/>
      <c r="E8" s="462"/>
      <c r="F8" s="257" t="s">
        <v>185</v>
      </c>
      <c r="G8" s="253" t="str">
        <f>G7</f>
        <v xml:space="preserve">  황화정지구</v>
      </c>
      <c r="H8" s="254"/>
      <c r="I8" s="258"/>
      <c r="K8" s="259"/>
      <c r="P8" s="221">
        <v>5</v>
      </c>
      <c r="Q8" s="235"/>
      <c r="S8" s="221">
        <f t="shared" si="3"/>
        <v>115</v>
      </c>
      <c r="T8" s="221">
        <f t="shared" si="10"/>
        <v>20.652324965819684</v>
      </c>
      <c r="U8" s="248">
        <f t="shared" si="11"/>
        <v>0.125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4.3976892425105669</v>
      </c>
      <c r="AA8" s="240">
        <f t="shared" si="5"/>
        <v>2.6843598814613507</v>
      </c>
      <c r="AB8" s="240">
        <f t="shared" si="6"/>
        <v>5</v>
      </c>
      <c r="AC8" s="240">
        <f t="shared" si="7"/>
        <v>1.7133293610492162</v>
      </c>
      <c r="AD8" s="242">
        <f t="shared" si="8"/>
        <v>1.71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186</v>
      </c>
      <c r="B9" s="256"/>
      <c r="C9" s="260" t="s">
        <v>187</v>
      </c>
      <c r="D9" s="463">
        <f>Input!M44</f>
        <v>250</v>
      </c>
      <c r="E9" s="463"/>
      <c r="F9" s="261" t="s">
        <v>188</v>
      </c>
      <c r="G9" s="464">
        <f>Input!M45</f>
        <v>83</v>
      </c>
      <c r="H9" s="464"/>
      <c r="I9" s="261"/>
      <c r="P9" s="221">
        <v>10</v>
      </c>
      <c r="Q9" s="235"/>
      <c r="S9" s="221">
        <f t="shared" si="3"/>
        <v>115</v>
      </c>
      <c r="T9" s="221">
        <f t="shared" si="10"/>
        <v>20.652324965819684</v>
      </c>
      <c r="U9" s="248">
        <f t="shared" si="11"/>
        <v>0.125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4.7044901462757629</v>
      </c>
      <c r="AA9" s="240">
        <f t="shared" si="5"/>
        <v>2.6843598814613507</v>
      </c>
      <c r="AB9" s="240">
        <f t="shared" si="6"/>
        <v>10</v>
      </c>
      <c r="AC9" s="240">
        <f t="shared" si="7"/>
        <v>2.0201302648144122</v>
      </c>
      <c r="AD9" s="242">
        <f t="shared" si="8"/>
        <v>2.02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189</v>
      </c>
      <c r="B10" s="256"/>
      <c r="C10" s="260" t="s">
        <v>239</v>
      </c>
      <c r="D10" s="465">
        <f>Input!M48</f>
        <v>0</v>
      </c>
      <c r="E10" s="466"/>
      <c r="F10" s="262" t="s">
        <v>4</v>
      </c>
      <c r="G10" s="467" t="s">
        <v>4</v>
      </c>
      <c r="H10" s="467"/>
      <c r="I10" s="247"/>
      <c r="P10" s="221">
        <v>15</v>
      </c>
      <c r="Q10" s="235"/>
      <c r="S10" s="221">
        <f t="shared" si="3"/>
        <v>115</v>
      </c>
      <c r="T10" s="221">
        <f t="shared" si="10"/>
        <v>20.652324965819684</v>
      </c>
      <c r="U10" s="248">
        <f t="shared" si="11"/>
        <v>0.125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4.883957170165762</v>
      </c>
      <c r="AA10" s="240">
        <f t="shared" si="5"/>
        <v>2.6843598814613507</v>
      </c>
      <c r="AB10" s="240">
        <f t="shared" si="6"/>
        <v>15</v>
      </c>
      <c r="AC10" s="240">
        <f t="shared" si="7"/>
        <v>2.1995972887044113</v>
      </c>
      <c r="AD10" s="242">
        <f t="shared" si="8"/>
        <v>2.19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190</v>
      </c>
      <c r="B11" s="263" t="s">
        <v>191</v>
      </c>
      <c r="C11" s="260" t="s">
        <v>192</v>
      </c>
      <c r="D11" s="468" t="s">
        <v>193</v>
      </c>
      <c r="E11" s="468"/>
      <c r="F11" s="263" t="s">
        <v>194</v>
      </c>
      <c r="G11" s="469" t="s">
        <v>195</v>
      </c>
      <c r="H11" s="469"/>
      <c r="I11" s="261" t="s">
        <v>196</v>
      </c>
      <c r="J11" s="264">
        <f>G12-J13</f>
        <v>0.7</v>
      </c>
      <c r="P11" s="221">
        <v>20</v>
      </c>
      <c r="Q11" s="235"/>
      <c r="S11" s="221">
        <f t="shared" si="3"/>
        <v>115</v>
      </c>
      <c r="T11" s="221">
        <f t="shared" si="10"/>
        <v>20.652324965819684</v>
      </c>
      <c r="U11" s="248">
        <f t="shared" si="11"/>
        <v>0.125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5.0112910500409589</v>
      </c>
      <c r="AA11" s="240">
        <f t="shared" si="5"/>
        <v>2.6843598814613507</v>
      </c>
      <c r="AB11" s="240">
        <f t="shared" si="6"/>
        <v>20</v>
      </c>
      <c r="AC11" s="240">
        <f t="shared" si="7"/>
        <v>2.3269311685796081</v>
      </c>
      <c r="AD11" s="242">
        <f t="shared" si="8"/>
        <v>2.3199999999999998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115</v>
      </c>
      <c r="C12" s="267">
        <v>44725.048611111117</v>
      </c>
      <c r="D12" s="457">
        <v>1</v>
      </c>
      <c r="E12" s="457"/>
      <c r="F12" s="268">
        <f>G12+$D$10</f>
        <v>1</v>
      </c>
      <c r="G12" s="458">
        <f>AD4</f>
        <v>1</v>
      </c>
      <c r="H12" s="458"/>
      <c r="I12" s="261" t="s">
        <v>197</v>
      </c>
      <c r="J12" s="269"/>
      <c r="P12" s="221">
        <v>25</v>
      </c>
      <c r="Q12" s="235"/>
      <c r="S12" s="221">
        <f t="shared" si="3"/>
        <v>115</v>
      </c>
      <c r="T12" s="221">
        <f t="shared" si="10"/>
        <v>20.652324965819684</v>
      </c>
      <c r="U12" s="248">
        <f t="shared" si="11"/>
        <v>0.125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5.1100588804998086</v>
      </c>
      <c r="AA12" s="240">
        <f t="shared" si="5"/>
        <v>2.6843598814613507</v>
      </c>
      <c r="AB12" s="240">
        <f t="shared" si="6"/>
        <v>25</v>
      </c>
      <c r="AC12" s="240">
        <f t="shared" si="7"/>
        <v>2.4256989990384579</v>
      </c>
      <c r="AD12" s="242">
        <f t="shared" si="8"/>
        <v>2.42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57">
        <v>2</v>
      </c>
      <c r="E13" s="457"/>
      <c r="F13" s="268">
        <f t="shared" ref="F13:F51" si="13">G13+$D$10</f>
        <v>1.3</v>
      </c>
      <c r="G13" s="458">
        <f t="shared" ref="G13:G51" si="14">AD5</f>
        <v>1.3</v>
      </c>
      <c r="H13" s="458"/>
      <c r="I13" s="270"/>
      <c r="J13" s="269">
        <f>G13-G12</f>
        <v>0.30000000000000004</v>
      </c>
      <c r="P13" s="221">
        <v>30</v>
      </c>
      <c r="Q13" s="235"/>
      <c r="S13" s="221">
        <f t="shared" si="3"/>
        <v>115</v>
      </c>
      <c r="T13" s="221">
        <f t="shared" si="10"/>
        <v>20.652324965819684</v>
      </c>
      <c r="U13" s="248">
        <f t="shared" si="11"/>
        <v>0.125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5.190758073930958</v>
      </c>
      <c r="AA13" s="240">
        <f t="shared" si="5"/>
        <v>2.6843598814613507</v>
      </c>
      <c r="AB13" s="240">
        <f t="shared" si="6"/>
        <v>30</v>
      </c>
      <c r="AC13" s="240">
        <f t="shared" si="7"/>
        <v>2.5063981924696073</v>
      </c>
      <c r="AD13" s="242">
        <f t="shared" si="8"/>
        <v>2.5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57">
        <v>3</v>
      </c>
      <c r="E14" s="457"/>
      <c r="F14" s="268">
        <f t="shared" si="13"/>
        <v>1.48</v>
      </c>
      <c r="G14" s="458">
        <f t="shared" si="14"/>
        <v>1.48</v>
      </c>
      <c r="H14" s="458"/>
      <c r="I14" s="270"/>
      <c r="J14" s="269">
        <f t="shared" ref="J14:J51" si="15">G14-G13</f>
        <v>0.17999999999999994</v>
      </c>
      <c r="Q14" s="235"/>
      <c r="S14" s="221">
        <f t="shared" si="3"/>
        <v>115</v>
      </c>
      <c r="T14" s="221">
        <f t="shared" si="10"/>
        <v>20.652324965819684</v>
      </c>
      <c r="U14" s="248">
        <f t="shared" si="11"/>
        <v>0.125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5.258988269787511</v>
      </c>
      <c r="AA14" s="240">
        <f t="shared" si="5"/>
        <v>2.6843598814613507</v>
      </c>
      <c r="AB14" s="240">
        <f t="shared" si="6"/>
        <v>35</v>
      </c>
      <c r="AC14" s="240">
        <f t="shared" si="7"/>
        <v>2.5746283883261603</v>
      </c>
      <c r="AD14" s="242">
        <f t="shared" si="8"/>
        <v>2.57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57">
        <v>4</v>
      </c>
      <c r="E15" s="457"/>
      <c r="F15" s="268">
        <f t="shared" si="13"/>
        <v>1.61</v>
      </c>
      <c r="G15" s="458">
        <f t="shared" si="14"/>
        <v>1.61</v>
      </c>
      <c r="H15" s="458"/>
      <c r="I15" s="270"/>
      <c r="J15" s="269">
        <f t="shared" si="15"/>
        <v>0.13000000000000012</v>
      </c>
      <c r="Q15" s="235"/>
      <c r="S15" s="221">
        <f t="shared" si="3"/>
        <v>115</v>
      </c>
      <c r="T15" s="221">
        <f t="shared" si="10"/>
        <v>20.652324965819684</v>
      </c>
      <c r="U15" s="248">
        <f t="shared" si="11"/>
        <v>0.125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5.3180919538061548</v>
      </c>
      <c r="AA15" s="240">
        <f t="shared" si="5"/>
        <v>2.6843598814613507</v>
      </c>
      <c r="AB15" s="240">
        <f t="shared" si="6"/>
        <v>40</v>
      </c>
      <c r="AC15" s="240">
        <f t="shared" si="7"/>
        <v>2.6337320723448041</v>
      </c>
      <c r="AD15" s="242">
        <f t="shared" si="8"/>
        <v>2.63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57">
        <v>5</v>
      </c>
      <c r="E16" s="457"/>
      <c r="F16" s="268">
        <f t="shared" si="13"/>
        <v>1.71</v>
      </c>
      <c r="G16" s="458">
        <f t="shared" si="14"/>
        <v>1.71</v>
      </c>
      <c r="H16" s="458"/>
      <c r="I16" s="270"/>
      <c r="J16" s="269">
        <f t="shared" si="15"/>
        <v>9.9999999999999867E-2</v>
      </c>
      <c r="L16" s="229" t="s">
        <v>198</v>
      </c>
      <c r="M16" s="229" t="s">
        <v>199</v>
      </c>
      <c r="S16" s="221">
        <f t="shared" si="3"/>
        <v>115</v>
      </c>
      <c r="T16" s="221">
        <f t="shared" si="10"/>
        <v>20.652324965819684</v>
      </c>
      <c r="U16" s="248">
        <f t="shared" si="11"/>
        <v>0.125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5.370225097820958</v>
      </c>
      <c r="AA16" s="240">
        <f t="shared" si="5"/>
        <v>2.6843598814613507</v>
      </c>
      <c r="AB16" s="240">
        <f t="shared" si="6"/>
        <v>45</v>
      </c>
      <c r="AC16" s="240">
        <f t="shared" si="7"/>
        <v>2.6858652163596073</v>
      </c>
      <c r="AD16" s="242">
        <f t="shared" si="8"/>
        <v>2.68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57">
        <v>10</v>
      </c>
      <c r="E17" s="457"/>
      <c r="F17" s="268">
        <f t="shared" si="13"/>
        <v>2.02</v>
      </c>
      <c r="G17" s="458">
        <f t="shared" si="14"/>
        <v>2.02</v>
      </c>
      <c r="H17" s="458"/>
      <c r="I17" s="270"/>
      <c r="J17" s="269">
        <f t="shared" si="15"/>
        <v>0.31000000000000005</v>
      </c>
      <c r="K17" s="228">
        <f>D12</f>
        <v>1</v>
      </c>
      <c r="L17" s="221">
        <f>INT(B12/1440*10000)/10000</f>
        <v>7.9799999999999996E-2</v>
      </c>
      <c r="M17" s="221">
        <f>K17*L17</f>
        <v>7.9799999999999996E-2</v>
      </c>
      <c r="N17" s="221">
        <f>INT((8*2.54/2/100)^2*3.14159*100000)/100000</f>
        <v>3.2419999999999997E-2</v>
      </c>
      <c r="O17" s="221">
        <f>INT(M17/N17*100)/100</f>
        <v>2.46</v>
      </c>
      <c r="P17" s="241">
        <f>INT((G12-O17)*100)/100</f>
        <v>-1.46</v>
      </c>
      <c r="S17" s="221">
        <f t="shared" si="3"/>
        <v>115</v>
      </c>
      <c r="T17" s="221">
        <f t="shared" si="10"/>
        <v>20.652324965819684</v>
      </c>
      <c r="U17" s="248">
        <f t="shared" si="11"/>
        <v>0.125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5.4168597842650046</v>
      </c>
      <c r="AA17" s="240">
        <f t="shared" si="5"/>
        <v>2.6843598814613507</v>
      </c>
      <c r="AB17" s="240">
        <f t="shared" si="6"/>
        <v>50</v>
      </c>
      <c r="AC17" s="240">
        <f t="shared" si="7"/>
        <v>2.7324999028036538</v>
      </c>
      <c r="AD17" s="242">
        <f t="shared" ref="AD17:AD22" si="16">INT(AC17*100)/100</f>
        <v>2.73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57">
        <v>15</v>
      </c>
      <c r="E18" s="457"/>
      <c r="F18" s="268">
        <f t="shared" si="13"/>
        <v>2.19</v>
      </c>
      <c r="G18" s="458">
        <f t="shared" si="14"/>
        <v>2.19</v>
      </c>
      <c r="H18" s="458"/>
      <c r="I18" s="270"/>
      <c r="J18" s="269">
        <f t="shared" si="15"/>
        <v>0.16999999999999993</v>
      </c>
      <c r="K18" s="228">
        <f>D13</f>
        <v>2</v>
      </c>
      <c r="L18" s="221">
        <f>L17</f>
        <v>7.9799999999999996E-2</v>
      </c>
      <c r="M18" s="221">
        <f t="shared" ref="M18:M32" si="17">K18*L18</f>
        <v>0.15959999999999999</v>
      </c>
      <c r="N18" s="221">
        <f>N17</f>
        <v>3.2419999999999997E-2</v>
      </c>
      <c r="O18" s="221">
        <f>INT(M18/N18*100)/100</f>
        <v>4.92</v>
      </c>
      <c r="P18" s="241">
        <f>INT((G13-O18)*100*0.98)/100</f>
        <v>-3.55</v>
      </c>
      <c r="S18" s="221">
        <f t="shared" si="3"/>
        <v>115</v>
      </c>
      <c r="T18" s="221">
        <f t="shared" si="10"/>
        <v>20.652324965819684</v>
      </c>
      <c r="U18" s="248">
        <f t="shared" si="11"/>
        <v>0.125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5.4590459896223846</v>
      </c>
      <c r="AA18" s="240">
        <f t="shared" si="5"/>
        <v>2.6843598814613507</v>
      </c>
      <c r="AB18" s="240">
        <f t="shared" si="6"/>
        <v>55</v>
      </c>
      <c r="AC18" s="240">
        <f t="shared" si="7"/>
        <v>2.7746861081610339</v>
      </c>
      <c r="AD18" s="242">
        <f t="shared" si="16"/>
        <v>2.77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57">
        <v>20</v>
      </c>
      <c r="E19" s="457"/>
      <c r="F19" s="268">
        <f t="shared" si="13"/>
        <v>2.3199999999999998</v>
      </c>
      <c r="G19" s="458">
        <f t="shared" si="14"/>
        <v>2.3199999999999998</v>
      </c>
      <c r="H19" s="458"/>
      <c r="I19" s="270"/>
      <c r="J19" s="269">
        <f t="shared" si="15"/>
        <v>0.12999999999999989</v>
      </c>
      <c r="K19" s="228">
        <f t="shared" ref="K19:K32" si="18">D14</f>
        <v>3</v>
      </c>
      <c r="L19" s="221">
        <f>L18</f>
        <v>7.9799999999999996E-2</v>
      </c>
      <c r="M19" s="221">
        <f t="shared" si="17"/>
        <v>0.2394</v>
      </c>
      <c r="N19" s="221">
        <f t="shared" ref="N19:N32" si="19">N18</f>
        <v>3.2419999999999997E-2</v>
      </c>
      <c r="O19" s="221">
        <f>INT(M19/N19*100)/100</f>
        <v>7.38</v>
      </c>
      <c r="P19" s="241">
        <f>INT((G14-O19)*100*0.95)/100</f>
        <v>-5.61</v>
      </c>
      <c r="S19" s="221">
        <f t="shared" si="3"/>
        <v>115</v>
      </c>
      <c r="T19" s="221">
        <f t="shared" si="10"/>
        <v>20.652324965819684</v>
      </c>
      <c r="U19" s="248">
        <f t="shared" si="11"/>
        <v>0.125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5.497558977696154</v>
      </c>
      <c r="AA19" s="240">
        <f t="shared" si="5"/>
        <v>2.6843598814613507</v>
      </c>
      <c r="AB19" s="240">
        <f t="shared" si="6"/>
        <v>60</v>
      </c>
      <c r="AC19" s="240">
        <f t="shared" si="7"/>
        <v>2.8131990962348032</v>
      </c>
      <c r="AD19" s="242">
        <f t="shared" si="16"/>
        <v>2.81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57">
        <v>25</v>
      </c>
      <c r="E20" s="457"/>
      <c r="F20" s="268">
        <f t="shared" si="13"/>
        <v>2.42</v>
      </c>
      <c r="G20" s="458">
        <f t="shared" si="14"/>
        <v>2.42</v>
      </c>
      <c r="H20" s="458"/>
      <c r="I20" s="270"/>
      <c r="J20" s="269">
        <f t="shared" si="15"/>
        <v>0.10000000000000009</v>
      </c>
      <c r="K20" s="228">
        <f t="shared" si="18"/>
        <v>4</v>
      </c>
      <c r="L20" s="221">
        <f>L19</f>
        <v>7.9799999999999996E-2</v>
      </c>
      <c r="M20" s="221">
        <f t="shared" si="17"/>
        <v>0.31919999999999998</v>
      </c>
      <c r="N20" s="221">
        <f t="shared" si="19"/>
        <v>3.2419999999999997E-2</v>
      </c>
      <c r="O20" s="221">
        <f>INT(M20/N20*100)/100</f>
        <v>9.84</v>
      </c>
      <c r="P20" s="241">
        <f>INT((G15-O20)*100*0.91)/100</f>
        <v>-7.49</v>
      </c>
      <c r="S20" s="221">
        <f t="shared" si="3"/>
        <v>115</v>
      </c>
      <c r="T20" s="221">
        <f t="shared" si="10"/>
        <v>20.652324965819684</v>
      </c>
      <c r="U20" s="248">
        <f t="shared" si="11"/>
        <v>0.125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5.5963268081550046</v>
      </c>
      <c r="AA20" s="240">
        <f t="shared" si="5"/>
        <v>2.6843598814613507</v>
      </c>
      <c r="AB20" s="240">
        <f t="shared" si="6"/>
        <v>75</v>
      </c>
      <c r="AC20" s="240">
        <f t="shared" si="7"/>
        <v>2.9119669266936539</v>
      </c>
      <c r="AD20" s="242">
        <f t="shared" si="16"/>
        <v>2.91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57">
        <v>30</v>
      </c>
      <c r="E21" s="457"/>
      <c r="F21" s="268">
        <f t="shared" si="13"/>
        <v>2.5</v>
      </c>
      <c r="G21" s="458">
        <f t="shared" si="14"/>
        <v>2.5</v>
      </c>
      <c r="H21" s="458"/>
      <c r="I21" s="270"/>
      <c r="J21" s="269">
        <f t="shared" si="15"/>
        <v>8.0000000000000071E-2</v>
      </c>
      <c r="K21" s="228">
        <f t="shared" si="18"/>
        <v>5</v>
      </c>
      <c r="L21" s="228">
        <f>L20</f>
        <v>7.9799999999999996E-2</v>
      </c>
      <c r="M21" s="221">
        <f t="shared" si="17"/>
        <v>0.39899999999999997</v>
      </c>
      <c r="N21" s="221">
        <f t="shared" si="19"/>
        <v>3.2419999999999997E-2</v>
      </c>
      <c r="O21" s="228">
        <f>INT(M21/N21*100)/100</f>
        <v>12.3</v>
      </c>
      <c r="P21" s="241">
        <f>INT((G16-O21)*100*0.86)/100</f>
        <v>-9.11</v>
      </c>
      <c r="S21" s="221">
        <f t="shared" si="3"/>
        <v>115</v>
      </c>
      <c r="T21" s="221">
        <f t="shared" si="10"/>
        <v>20.652324965819684</v>
      </c>
      <c r="U21" s="248">
        <f t="shared" si="11"/>
        <v>0.125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5.6770260015861531</v>
      </c>
      <c r="AA21" s="240">
        <f t="shared" si="5"/>
        <v>2.6843598814613507</v>
      </c>
      <c r="AB21" s="240">
        <f t="shared" si="6"/>
        <v>90</v>
      </c>
      <c r="AC21" s="240">
        <f t="shared" si="7"/>
        <v>2.9926661201248024</v>
      </c>
      <c r="AD21" s="242">
        <f t="shared" si="16"/>
        <v>2.99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57">
        <v>35</v>
      </c>
      <c r="E22" s="457"/>
      <c r="F22" s="268">
        <f t="shared" si="13"/>
        <v>2.57</v>
      </c>
      <c r="G22" s="458">
        <f t="shared" si="14"/>
        <v>2.57</v>
      </c>
      <c r="H22" s="458"/>
      <c r="I22" s="261"/>
      <c r="J22" s="269">
        <f t="shared" si="15"/>
        <v>6.999999999999984E-2</v>
      </c>
      <c r="K22" s="228">
        <f t="shared" si="18"/>
        <v>10</v>
      </c>
      <c r="L22" s="228">
        <f t="shared" ref="L22:L32" si="20">L21</f>
        <v>7.9799999999999996E-2</v>
      </c>
      <c r="M22" s="221">
        <f t="shared" si="17"/>
        <v>0.79799999999999993</v>
      </c>
      <c r="N22" s="221">
        <f t="shared" si="19"/>
        <v>3.2419999999999997E-2</v>
      </c>
      <c r="O22" s="228">
        <f t="shared" ref="O22:O30" si="21">INT(M22/N22*100)/100</f>
        <v>24.61</v>
      </c>
      <c r="P22" s="241">
        <f>INT((G17-O22)*100*0.8)/100</f>
        <v>-18.079999999999998</v>
      </c>
      <c r="S22" s="221">
        <f t="shared" si="3"/>
        <v>115</v>
      </c>
      <c r="T22" s="221">
        <f t="shared" si="10"/>
        <v>20.652324965819684</v>
      </c>
      <c r="U22" s="248">
        <f t="shared" si="11"/>
        <v>0.125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5.745256197442707</v>
      </c>
      <c r="Z22" s="240">
        <f>Y23-Z23</f>
        <v>2.6843598814613507</v>
      </c>
      <c r="AA22" s="240">
        <f t="shared" si="5"/>
        <v>2.6843598814613507</v>
      </c>
      <c r="AB22" s="240">
        <f t="shared" si="6"/>
        <v>105</v>
      </c>
      <c r="AC22" s="240">
        <f t="shared" si="7"/>
        <v>3.0608963159813563</v>
      </c>
      <c r="AD22" s="242">
        <f t="shared" si="16"/>
        <v>3.06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57">
        <v>40</v>
      </c>
      <c r="E23" s="457"/>
      <c r="F23" s="268">
        <f t="shared" si="13"/>
        <v>2.63</v>
      </c>
      <c r="G23" s="458">
        <f t="shared" si="14"/>
        <v>2.63</v>
      </c>
      <c r="H23" s="458"/>
      <c r="I23" s="261"/>
      <c r="J23" s="269">
        <f t="shared" si="15"/>
        <v>6.0000000000000053E-2</v>
      </c>
      <c r="K23" s="228">
        <f t="shared" si="18"/>
        <v>15</v>
      </c>
      <c r="L23" s="228">
        <f t="shared" si="20"/>
        <v>7.9799999999999996E-2</v>
      </c>
      <c r="M23" s="221">
        <f t="shared" si="17"/>
        <v>1.1969999999999998</v>
      </c>
      <c r="N23" s="221">
        <f t="shared" si="19"/>
        <v>3.2419999999999997E-2</v>
      </c>
      <c r="O23" s="228">
        <f t="shared" si="21"/>
        <v>36.92</v>
      </c>
      <c r="P23" s="241">
        <f t="shared" ref="P23:P32" si="22">INT((G18-O23)*100)/100</f>
        <v>-34.729999999999997</v>
      </c>
      <c r="S23" s="221">
        <f t="shared" si="3"/>
        <v>115</v>
      </c>
      <c r="T23" s="221">
        <f t="shared" si="10"/>
        <v>20.652324965819684</v>
      </c>
      <c r="U23" s="248">
        <f t="shared" si="11"/>
        <v>0.125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5.8043598814613508</v>
      </c>
      <c r="Z23" s="240">
        <f>Input!B20</f>
        <v>3.12</v>
      </c>
      <c r="AA23" s="240">
        <f t="shared" si="5"/>
        <v>2.6843598814613507</v>
      </c>
      <c r="AB23" s="240">
        <f t="shared" si="6"/>
        <v>120</v>
      </c>
      <c r="AC23" s="240">
        <f t="shared" si="7"/>
        <v>3.12</v>
      </c>
      <c r="AD23" s="242">
        <f>INT((AC$3+AE23)*100)/100</f>
        <v>3.12</v>
      </c>
      <c r="AE23" s="240">
        <f>AG$23*AF23</f>
        <v>3.12</v>
      </c>
      <c r="AF23" s="240">
        <v>1</v>
      </c>
      <c r="AG23" s="240">
        <f>AC23-AC3</f>
        <v>3.12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57">
        <v>45</v>
      </c>
      <c r="E24" s="457"/>
      <c r="F24" s="268">
        <f t="shared" si="13"/>
        <v>2.68</v>
      </c>
      <c r="G24" s="458">
        <f t="shared" si="14"/>
        <v>2.68</v>
      </c>
      <c r="H24" s="458"/>
      <c r="I24" s="261"/>
      <c r="J24" s="269">
        <f t="shared" si="15"/>
        <v>5.0000000000000266E-2</v>
      </c>
      <c r="K24" s="228">
        <f t="shared" si="18"/>
        <v>20</v>
      </c>
      <c r="L24" s="228">
        <f t="shared" si="20"/>
        <v>7.9799999999999996E-2</v>
      </c>
      <c r="M24" s="221">
        <f t="shared" si="17"/>
        <v>1.5959999999999999</v>
      </c>
      <c r="N24" s="221">
        <f t="shared" si="19"/>
        <v>3.2419999999999997E-2</v>
      </c>
      <c r="O24" s="228">
        <f t="shared" si="21"/>
        <v>49.22</v>
      </c>
      <c r="P24" s="241">
        <f t="shared" si="22"/>
        <v>-46.9</v>
      </c>
      <c r="R24" s="236">
        <f>B32</f>
        <v>147</v>
      </c>
      <c r="S24" s="221">
        <f>$R$24</f>
        <v>147</v>
      </c>
      <c r="T24" s="221">
        <f t="shared" si="10"/>
        <v>20.652324965819684</v>
      </c>
      <c r="U24" s="248">
        <f t="shared" si="11"/>
        <v>0.125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7.4647729933140976</v>
      </c>
      <c r="Z24" s="240">
        <f>Z27</f>
        <v>3.6516576993765399</v>
      </c>
      <c r="AA24" s="240">
        <f>$Z$24</f>
        <v>3.6516576993765399</v>
      </c>
      <c r="AB24" s="240">
        <f t="shared" si="6"/>
        <v>130</v>
      </c>
      <c r="AC24" s="240">
        <f t="shared" si="7"/>
        <v>3.8131152939375577</v>
      </c>
      <c r="AD24" s="242">
        <f>INT((AC$23+AE24)*100)/100</f>
        <v>3.74</v>
      </c>
      <c r="AE24" s="240">
        <f>AF24*AG$28</f>
        <v>0.624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57">
        <v>50</v>
      </c>
      <c r="E25" s="457"/>
      <c r="F25" s="268">
        <f t="shared" si="13"/>
        <v>2.73</v>
      </c>
      <c r="G25" s="458">
        <f t="shared" si="14"/>
        <v>2.73</v>
      </c>
      <c r="H25" s="458"/>
      <c r="I25" s="261"/>
      <c r="J25" s="269">
        <f t="shared" si="15"/>
        <v>4.9999999999999822E-2</v>
      </c>
      <c r="K25" s="228">
        <f t="shared" si="18"/>
        <v>25</v>
      </c>
      <c r="L25" s="228">
        <f t="shared" si="20"/>
        <v>7.9799999999999996E-2</v>
      </c>
      <c r="M25" s="221">
        <f t="shared" si="17"/>
        <v>1.9949999999999999</v>
      </c>
      <c r="N25" s="221">
        <f t="shared" si="19"/>
        <v>3.2419999999999997E-2</v>
      </c>
      <c r="O25" s="228">
        <f t="shared" si="21"/>
        <v>61.53</v>
      </c>
      <c r="P25" s="241">
        <f t="shared" si="22"/>
        <v>-59.11</v>
      </c>
      <c r="S25" s="221">
        <f>$R$24</f>
        <v>147</v>
      </c>
      <c r="T25" s="221">
        <f t="shared" si="10"/>
        <v>20.652324965819684</v>
      </c>
      <c r="U25" s="248">
        <f t="shared" si="11"/>
        <v>0.125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7.5067020988324487</v>
      </c>
      <c r="AA25" s="240">
        <f>$Z$24</f>
        <v>3.6516576993765399</v>
      </c>
      <c r="AB25" s="240">
        <f t="shared" si="6"/>
        <v>140</v>
      </c>
      <c r="AC25" s="240">
        <f t="shared" si="7"/>
        <v>3.8550443994559087</v>
      </c>
      <c r="AD25" s="242">
        <f>INT((AC$23+AE25)*100)/100</f>
        <v>3.84</v>
      </c>
      <c r="AE25" s="240">
        <f>AF25*AG$28</f>
        <v>0.72799999999999998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57">
        <v>55</v>
      </c>
      <c r="E26" s="457"/>
      <c r="F26" s="268">
        <f t="shared" si="13"/>
        <v>2.77</v>
      </c>
      <c r="G26" s="458">
        <f t="shared" si="14"/>
        <v>2.77</v>
      </c>
      <c r="H26" s="458"/>
      <c r="I26" s="261"/>
      <c r="J26" s="269">
        <f t="shared" si="15"/>
        <v>4.0000000000000036E-2</v>
      </c>
      <c r="K26" s="228">
        <f t="shared" si="18"/>
        <v>30</v>
      </c>
      <c r="L26" s="228">
        <f t="shared" si="20"/>
        <v>7.9799999999999996E-2</v>
      </c>
      <c r="M26" s="221">
        <f t="shared" si="17"/>
        <v>2.3939999999999997</v>
      </c>
      <c r="N26" s="221">
        <f t="shared" si="19"/>
        <v>3.2419999999999997E-2</v>
      </c>
      <c r="O26" s="221">
        <f t="shared" si="21"/>
        <v>73.84</v>
      </c>
      <c r="P26" s="241">
        <f t="shared" si="22"/>
        <v>-71.34</v>
      </c>
      <c r="S26" s="221">
        <f>$R$24</f>
        <v>147</v>
      </c>
      <c r="T26" s="221">
        <f t="shared" si="10"/>
        <v>20.652324965819684</v>
      </c>
      <c r="U26" s="248">
        <f t="shared" si="11"/>
        <v>0.125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7.5457371621936469</v>
      </c>
      <c r="AA26" s="240">
        <f>$Z$24</f>
        <v>3.6516576993765399</v>
      </c>
      <c r="AB26" s="240">
        <f t="shared" si="6"/>
        <v>150</v>
      </c>
      <c r="AC26" s="240">
        <f t="shared" si="7"/>
        <v>3.8940794628171069</v>
      </c>
      <c r="AD26" s="242">
        <f>INT((AC$23+AE26)*100)/100</f>
        <v>3.95</v>
      </c>
      <c r="AE26" s="240">
        <f>AF26*AG$28</f>
        <v>0.83200000000000007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57">
        <v>60</v>
      </c>
      <c r="E27" s="457"/>
      <c r="F27" s="268">
        <f t="shared" si="13"/>
        <v>2.81</v>
      </c>
      <c r="G27" s="458">
        <f t="shared" si="14"/>
        <v>2.81</v>
      </c>
      <c r="H27" s="458"/>
      <c r="I27" s="261"/>
      <c r="J27" s="269">
        <f t="shared" si="15"/>
        <v>4.0000000000000036E-2</v>
      </c>
      <c r="K27" s="228">
        <f t="shared" si="18"/>
        <v>35</v>
      </c>
      <c r="L27" s="228">
        <f t="shared" si="20"/>
        <v>7.9799999999999996E-2</v>
      </c>
      <c r="M27" s="221">
        <f t="shared" si="17"/>
        <v>2.7929999999999997</v>
      </c>
      <c r="N27" s="221">
        <f t="shared" si="19"/>
        <v>3.2419999999999997E-2</v>
      </c>
      <c r="O27" s="221">
        <f t="shared" si="21"/>
        <v>86.15</v>
      </c>
      <c r="P27" s="241">
        <f t="shared" si="22"/>
        <v>-83.58</v>
      </c>
      <c r="S27" s="221">
        <f>$R$24</f>
        <v>147</v>
      </c>
      <c r="T27" s="221">
        <f t="shared" si="10"/>
        <v>20.652324965819684</v>
      </c>
      <c r="U27" s="248">
        <f t="shared" si="11"/>
        <v>0.125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7.648891783362159</v>
      </c>
      <c r="Z27" s="240">
        <f>Y28-Z28</f>
        <v>3.6516576993765399</v>
      </c>
      <c r="AA27" s="240">
        <f>$Z$24</f>
        <v>3.6516576993765399</v>
      </c>
      <c r="AB27" s="240">
        <f t="shared" si="6"/>
        <v>180</v>
      </c>
      <c r="AC27" s="240">
        <f t="shared" si="7"/>
        <v>3.9972340839856191</v>
      </c>
      <c r="AD27" s="242">
        <f>INT((AC$23+AE27)*100)/100</f>
        <v>4.05</v>
      </c>
      <c r="AE27" s="240">
        <f>AF27*AG$28</f>
        <v>0.93600000000000005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57">
        <v>75</v>
      </c>
      <c r="E28" s="457"/>
      <c r="F28" s="268">
        <f t="shared" si="13"/>
        <v>2.91</v>
      </c>
      <c r="G28" s="458">
        <f t="shared" si="14"/>
        <v>2.91</v>
      </c>
      <c r="H28" s="458"/>
      <c r="I28" s="261"/>
      <c r="J28" s="269">
        <f t="shared" si="15"/>
        <v>0.10000000000000009</v>
      </c>
      <c r="K28" s="228">
        <f t="shared" si="18"/>
        <v>40</v>
      </c>
      <c r="L28" s="228">
        <f t="shared" si="20"/>
        <v>7.9799999999999996E-2</v>
      </c>
      <c r="M28" s="221">
        <f t="shared" si="17"/>
        <v>3.1919999999999997</v>
      </c>
      <c r="N28" s="221">
        <f t="shared" si="19"/>
        <v>3.2419999999999997E-2</v>
      </c>
      <c r="O28" s="221">
        <f t="shared" si="21"/>
        <v>98.45</v>
      </c>
      <c r="P28" s="241">
        <f t="shared" si="22"/>
        <v>-95.82</v>
      </c>
      <c r="S28" s="221">
        <f>$R$24</f>
        <v>147</v>
      </c>
      <c r="T28" s="221">
        <f t="shared" si="10"/>
        <v>20.652324965819684</v>
      </c>
      <c r="U28" s="248">
        <f t="shared" si="11"/>
        <v>0.125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7.8116576993765401</v>
      </c>
      <c r="Z28" s="240">
        <f>Input!B21</f>
        <v>4.16</v>
      </c>
      <c r="AA28" s="240">
        <f>$Z$24</f>
        <v>3.6516576993765399</v>
      </c>
      <c r="AB28" s="240">
        <f t="shared" si="6"/>
        <v>240</v>
      </c>
      <c r="AC28" s="240">
        <f t="shared" si="7"/>
        <v>4.16</v>
      </c>
      <c r="AD28" s="242">
        <f>INT((AC$23+AE28)*100)/100</f>
        <v>4.16</v>
      </c>
      <c r="AE28" s="240">
        <f>AF28*AG$28</f>
        <v>1.04</v>
      </c>
      <c r="AF28" s="240">
        <v>1</v>
      </c>
      <c r="AG28" s="240">
        <f>AC28-AC23</f>
        <v>1.04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57">
        <v>90</v>
      </c>
      <c r="E29" s="457"/>
      <c r="F29" s="268">
        <f t="shared" si="13"/>
        <v>2.99</v>
      </c>
      <c r="G29" s="458">
        <f t="shared" si="14"/>
        <v>2.99</v>
      </c>
      <c r="H29" s="458"/>
      <c r="I29" s="261"/>
      <c r="J29" s="269">
        <f t="shared" si="15"/>
        <v>8.0000000000000071E-2</v>
      </c>
      <c r="K29" s="228">
        <f t="shared" si="18"/>
        <v>45</v>
      </c>
      <c r="L29" s="228">
        <f t="shared" si="20"/>
        <v>7.9799999999999996E-2</v>
      </c>
      <c r="M29" s="221">
        <f t="shared" si="17"/>
        <v>3.5909999999999997</v>
      </c>
      <c r="N29" s="221">
        <f t="shared" si="19"/>
        <v>3.2419999999999997E-2</v>
      </c>
      <c r="O29" s="221">
        <f t="shared" si="21"/>
        <v>110.76</v>
      </c>
      <c r="P29" s="241">
        <f t="shared" si="22"/>
        <v>-108.08</v>
      </c>
      <c r="R29" s="236">
        <f>B37</f>
        <v>178.5</v>
      </c>
      <c r="S29" s="221">
        <f>$R$29</f>
        <v>178.5</v>
      </c>
      <c r="T29" s="221">
        <f t="shared" si="10"/>
        <v>20.652324965819684</v>
      </c>
      <c r="U29" s="248">
        <f t="shared" si="11"/>
        <v>0.125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9.5136300162815921</v>
      </c>
      <c r="Z29" s="240">
        <f>Z32</f>
        <v>4.4341483819765504</v>
      </c>
      <c r="AA29" s="240">
        <f>$Z$29</f>
        <v>4.4341483819765504</v>
      </c>
      <c r="AB29" s="240">
        <f t="shared" si="6"/>
        <v>250</v>
      </c>
      <c r="AC29" s="240">
        <f t="shared" si="7"/>
        <v>5.0794816343050417</v>
      </c>
      <c r="AD29" s="242">
        <f>INT((AC$28+AE29)*100)/100</f>
        <v>4.8600000000000003</v>
      </c>
      <c r="AE29" s="240">
        <f>AF29*AG$33</f>
        <v>0.70199999999999996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57">
        <v>105</v>
      </c>
      <c r="E30" s="457"/>
      <c r="F30" s="268">
        <f t="shared" si="13"/>
        <v>3.06</v>
      </c>
      <c r="G30" s="458">
        <f t="shared" si="14"/>
        <v>3.06</v>
      </c>
      <c r="H30" s="458"/>
      <c r="I30" s="261"/>
      <c r="J30" s="269">
        <f t="shared" si="15"/>
        <v>6.999999999999984E-2</v>
      </c>
      <c r="K30" s="228">
        <f t="shared" si="18"/>
        <v>50</v>
      </c>
      <c r="L30" s="228">
        <f t="shared" si="20"/>
        <v>7.9799999999999996E-2</v>
      </c>
      <c r="M30" s="221">
        <f t="shared" si="17"/>
        <v>3.9899999999999998</v>
      </c>
      <c r="N30" s="221">
        <f t="shared" si="19"/>
        <v>3.2419999999999997E-2</v>
      </c>
      <c r="O30" s="221">
        <f t="shared" si="21"/>
        <v>123.07</v>
      </c>
      <c r="P30" s="241">
        <f t="shared" si="22"/>
        <v>-120.34</v>
      </c>
      <c r="R30" s="221" t="s">
        <v>30</v>
      </c>
      <c r="S30" s="221">
        <f>$R$29</f>
        <v>178.5</v>
      </c>
      <c r="T30" s="221">
        <f t="shared" si="10"/>
        <v>20.652324965819684</v>
      </c>
      <c r="U30" s="248">
        <f t="shared" si="11"/>
        <v>0.125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9.5405755654896183</v>
      </c>
      <c r="AA30" s="240">
        <f>$Z$29</f>
        <v>4.4341483819765504</v>
      </c>
      <c r="AB30" s="240">
        <f t="shared" si="6"/>
        <v>260</v>
      </c>
      <c r="AC30" s="240">
        <f t="shared" si="7"/>
        <v>5.1064271835130679</v>
      </c>
      <c r="AD30" s="242">
        <f>INT((AC$28+AE30)*100)/100</f>
        <v>4.97</v>
      </c>
      <c r="AE30" s="240">
        <f>AF30*AG$33</f>
        <v>0.81899999999999995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57">
        <v>120</v>
      </c>
      <c r="E31" s="457"/>
      <c r="F31" s="268">
        <f t="shared" si="13"/>
        <v>3.12</v>
      </c>
      <c r="G31" s="458">
        <f t="shared" si="14"/>
        <v>3.12</v>
      </c>
      <c r="H31" s="458"/>
      <c r="I31" s="261"/>
      <c r="J31" s="269">
        <f t="shared" si="15"/>
        <v>6.0000000000000053E-2</v>
      </c>
      <c r="K31" s="228">
        <f t="shared" si="18"/>
        <v>55</v>
      </c>
      <c r="L31" s="228">
        <f t="shared" si="20"/>
        <v>7.9799999999999996E-2</v>
      </c>
      <c r="M31" s="221">
        <f t="shared" si="17"/>
        <v>4.3889999999999993</v>
      </c>
      <c r="N31" s="221">
        <f t="shared" si="19"/>
        <v>3.2419999999999997E-2</v>
      </c>
      <c r="O31" s="221">
        <f>INT(M31/N31*100)/100</f>
        <v>135.37</v>
      </c>
      <c r="P31" s="241">
        <f t="shared" si="22"/>
        <v>-132.6</v>
      </c>
      <c r="S31" s="221">
        <f>$R$29</f>
        <v>178.5</v>
      </c>
      <c r="T31" s="221">
        <f t="shared" si="10"/>
        <v>20.652324965819684</v>
      </c>
      <c r="U31" s="248">
        <f t="shared" si="11"/>
        <v>0.125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9.566504055387659</v>
      </c>
      <c r="AA31" s="240">
        <f>$Z$29</f>
        <v>4.4341483819765504</v>
      </c>
      <c r="AB31" s="240">
        <f t="shared" si="6"/>
        <v>270</v>
      </c>
      <c r="AC31" s="240">
        <f t="shared" si="7"/>
        <v>5.1323556734111087</v>
      </c>
      <c r="AD31" s="242">
        <f>INT((AC$28+AE31)*100)/100</f>
        <v>5.09</v>
      </c>
      <c r="AE31" s="240">
        <f>AF31*AG$33</f>
        <v>0.93599999999999994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147</v>
      </c>
      <c r="C32" s="267">
        <f>$C$12+D32/1440</f>
        <v>44725.138888888898</v>
      </c>
      <c r="D32" s="457">
        <v>130</v>
      </c>
      <c r="E32" s="457"/>
      <c r="F32" s="268">
        <f t="shared" si="13"/>
        <v>3.74</v>
      </c>
      <c r="G32" s="458">
        <f t="shared" si="14"/>
        <v>3.74</v>
      </c>
      <c r="H32" s="458"/>
      <c r="I32" s="261"/>
      <c r="J32" s="269">
        <f t="shared" si="15"/>
        <v>0.62000000000000011</v>
      </c>
      <c r="K32" s="228">
        <f t="shared" si="18"/>
        <v>60</v>
      </c>
      <c r="L32" s="228">
        <f t="shared" si="20"/>
        <v>7.9799999999999996E-2</v>
      </c>
      <c r="M32" s="221">
        <f t="shared" si="17"/>
        <v>4.7879999999999994</v>
      </c>
      <c r="N32" s="221">
        <f t="shared" si="19"/>
        <v>3.2419999999999997E-2</v>
      </c>
      <c r="O32" s="221">
        <f>INT(M32/N32*100)/100</f>
        <v>147.68</v>
      </c>
      <c r="P32" s="241">
        <f t="shared" si="22"/>
        <v>-144.87</v>
      </c>
      <c r="S32" s="221">
        <f>$R$29</f>
        <v>178.5</v>
      </c>
      <c r="T32" s="221">
        <f t="shared" si="10"/>
        <v>20.652324965819684</v>
      </c>
      <c r="U32" s="248">
        <f t="shared" si="11"/>
        <v>0.125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9.6388891991290713</v>
      </c>
      <c r="Z32" s="240">
        <f>Y33-Z33</f>
        <v>4.4341483819765504</v>
      </c>
      <c r="AA32" s="240">
        <f>$Z$29</f>
        <v>4.4341483819765504</v>
      </c>
      <c r="AB32" s="240">
        <f t="shared" si="6"/>
        <v>300</v>
      </c>
      <c r="AC32" s="240">
        <f t="shared" si="7"/>
        <v>5.2047408171525209</v>
      </c>
      <c r="AD32" s="242">
        <f>INT((AC$28+AE32)*100)/100</f>
        <v>5.21</v>
      </c>
      <c r="AE32" s="240">
        <f>AF32*AG$33</f>
        <v>1.0529999999999999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57">
        <v>140</v>
      </c>
      <c r="E33" s="457"/>
      <c r="F33" s="268">
        <f t="shared" si="13"/>
        <v>3.84</v>
      </c>
      <c r="G33" s="458">
        <f t="shared" si="14"/>
        <v>3.84</v>
      </c>
      <c r="H33" s="458"/>
      <c r="I33" s="261"/>
      <c r="J33" s="269">
        <f t="shared" si="15"/>
        <v>9.9999999999999645E-2</v>
      </c>
      <c r="L33" s="271" t="s">
        <v>30</v>
      </c>
      <c r="P33" s="241"/>
      <c r="S33" s="221">
        <f>$R$29</f>
        <v>178.5</v>
      </c>
      <c r="T33" s="221">
        <f t="shared" si="10"/>
        <v>20.652324965819684</v>
      </c>
      <c r="U33" s="248">
        <f t="shared" si="11"/>
        <v>0.125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9.7641483819765504</v>
      </c>
      <c r="Z33" s="240">
        <f>Input!B22</f>
        <v>5.33</v>
      </c>
      <c r="AA33" s="240">
        <f>$Z$29</f>
        <v>4.4341483819765504</v>
      </c>
      <c r="AB33" s="240">
        <f t="shared" si="6"/>
        <v>360</v>
      </c>
      <c r="AC33" s="240">
        <f t="shared" si="7"/>
        <v>5.33</v>
      </c>
      <c r="AD33" s="242">
        <f>INT((AC$28+AE33)*100)/100</f>
        <v>5.33</v>
      </c>
      <c r="AE33" s="240">
        <f>AF33*AG$33</f>
        <v>1.17</v>
      </c>
      <c r="AF33" s="240">
        <v>1</v>
      </c>
      <c r="AG33" s="240">
        <f>AC33-AC28</f>
        <v>1.17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57">
        <v>150</v>
      </c>
      <c r="E34" s="457"/>
      <c r="F34" s="268">
        <f t="shared" si="13"/>
        <v>3.95</v>
      </c>
      <c r="G34" s="458">
        <f t="shared" si="14"/>
        <v>3.95</v>
      </c>
      <c r="H34" s="458"/>
      <c r="I34" s="261"/>
      <c r="J34" s="269">
        <f t="shared" si="15"/>
        <v>0.11000000000000032</v>
      </c>
      <c r="L34" s="271" t="s">
        <v>30</v>
      </c>
      <c r="R34" s="221">
        <f>B42</f>
        <v>210</v>
      </c>
      <c r="S34" s="221">
        <f>$R$34</f>
        <v>210</v>
      </c>
      <c r="T34" s="221">
        <f t="shared" si="10"/>
        <v>20.652324965819684</v>
      </c>
      <c r="U34" s="248">
        <f t="shared" si="11"/>
        <v>0.125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11.509378964038319</v>
      </c>
      <c r="Z34" s="240">
        <f>Z37</f>
        <v>5.0797561277240488</v>
      </c>
      <c r="AA34" s="240">
        <f>$Z$34</f>
        <v>5.0797561277240488</v>
      </c>
      <c r="AB34" s="240">
        <f t="shared" si="6"/>
        <v>370</v>
      </c>
      <c r="AC34" s="240">
        <f t="shared" si="7"/>
        <v>6.4296228363142705</v>
      </c>
      <c r="AD34" s="242">
        <f>INT((AC$33+AE34)*100)/100</f>
        <v>6.11</v>
      </c>
      <c r="AE34" s="240">
        <f>AG$38*AF34</f>
        <v>0.7859999999999997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57">
        <v>180</v>
      </c>
      <c r="E35" s="457"/>
      <c r="F35" s="268">
        <f t="shared" si="13"/>
        <v>4.05</v>
      </c>
      <c r="G35" s="458">
        <f t="shared" si="14"/>
        <v>4.05</v>
      </c>
      <c r="H35" s="458"/>
      <c r="I35" s="261"/>
      <c r="J35" s="269">
        <f t="shared" si="15"/>
        <v>9.9999999999999645E-2</v>
      </c>
      <c r="L35" s="271" t="s">
        <v>30</v>
      </c>
      <c r="S35" s="221">
        <f>$R$34</f>
        <v>210</v>
      </c>
      <c r="T35" s="221">
        <f t="shared" si="10"/>
        <v>20.652324965819684</v>
      </c>
      <c r="U35" s="248">
        <f t="shared" si="11"/>
        <v>0.125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11.530933917929072</v>
      </c>
      <c r="AA35" s="240">
        <f>$Z$34</f>
        <v>5.0797561277240488</v>
      </c>
      <c r="AB35" s="240">
        <f t="shared" si="6"/>
        <v>380</v>
      </c>
      <c r="AC35" s="240">
        <f t="shared" si="7"/>
        <v>6.4511777902050236</v>
      </c>
      <c r="AD35" s="242">
        <f>INT((AC$33+AE35)*100)/100</f>
        <v>6.24</v>
      </c>
      <c r="AE35" s="240">
        <f>AG$38*AF35</f>
        <v>0.9169999999999997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57">
        <v>240</v>
      </c>
      <c r="E36" s="457"/>
      <c r="F36" s="268">
        <f t="shared" si="13"/>
        <v>4.16</v>
      </c>
      <c r="G36" s="458">
        <f t="shared" si="14"/>
        <v>4.16</v>
      </c>
      <c r="H36" s="458"/>
      <c r="I36" s="261"/>
      <c r="J36" s="269">
        <f t="shared" si="15"/>
        <v>0.11000000000000032</v>
      </c>
      <c r="L36" s="271" t="s">
        <v>30</v>
      </c>
      <c r="S36" s="221">
        <f>$R$34</f>
        <v>210</v>
      </c>
      <c r="T36" s="221">
        <f t="shared" si="10"/>
        <v>20.652324965819684</v>
      </c>
      <c r="U36" s="248">
        <f t="shared" si="11"/>
        <v>0.125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11.551928939086148</v>
      </c>
      <c r="AA36" s="240">
        <f>$Z$34</f>
        <v>5.0797561277240488</v>
      </c>
      <c r="AB36" s="240">
        <f t="shared" si="6"/>
        <v>390</v>
      </c>
      <c r="AC36" s="240">
        <f t="shared" si="7"/>
        <v>6.4721728113620989</v>
      </c>
      <c r="AD36" s="242">
        <f>INT((AC$33+AE36)*100)/100</f>
        <v>6.37</v>
      </c>
      <c r="AE36" s="240">
        <f>AG$38*AF36</f>
        <v>1.0479999999999998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178.5</v>
      </c>
      <c r="C37" s="267">
        <f>$C$12+D37/1440</f>
        <v>44725.222222222226</v>
      </c>
      <c r="D37" s="457">
        <v>250</v>
      </c>
      <c r="E37" s="457"/>
      <c r="F37" s="268">
        <f t="shared" si="13"/>
        <v>4.8600000000000003</v>
      </c>
      <c r="G37" s="458">
        <f t="shared" si="14"/>
        <v>4.8600000000000003</v>
      </c>
      <c r="H37" s="458"/>
      <c r="I37" s="261"/>
      <c r="J37" s="269">
        <f t="shared" si="15"/>
        <v>0.70000000000000018</v>
      </c>
      <c r="L37" s="271" t="s">
        <v>30</v>
      </c>
      <c r="S37" s="221">
        <f>$R$34</f>
        <v>210</v>
      </c>
      <c r="T37" s="221">
        <f t="shared" si="10"/>
        <v>20.652324965819684</v>
      </c>
      <c r="U37" s="248">
        <f t="shared" si="11"/>
        <v>0.125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11.611827661255223</v>
      </c>
      <c r="Z37" s="240">
        <f>Y38-Z38</f>
        <v>5.0797561277240488</v>
      </c>
      <c r="AA37" s="240">
        <f>$Z$34</f>
        <v>5.0797561277240488</v>
      </c>
      <c r="AB37" s="240">
        <f t="shared" si="6"/>
        <v>420</v>
      </c>
      <c r="AC37" s="240">
        <f t="shared" si="7"/>
        <v>6.5320715335311741</v>
      </c>
      <c r="AD37" s="242">
        <f>INT((AC$33+AE37)*100)/100</f>
        <v>6.5</v>
      </c>
      <c r="AE37" s="240">
        <f>AG$38*AF37</f>
        <v>1.1789999999999996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57">
        <v>260</v>
      </c>
      <c r="E38" s="457"/>
      <c r="F38" s="268">
        <f t="shared" si="13"/>
        <v>4.97</v>
      </c>
      <c r="G38" s="458">
        <f t="shared" si="14"/>
        <v>4.97</v>
      </c>
      <c r="H38" s="458"/>
      <c r="I38" s="261"/>
      <c r="J38" s="269">
        <f t="shared" si="15"/>
        <v>0.10999999999999943</v>
      </c>
      <c r="L38" s="271" t="s">
        <v>30</v>
      </c>
      <c r="S38" s="221">
        <f>$R$34</f>
        <v>210</v>
      </c>
      <c r="T38" s="221">
        <f t="shared" si="10"/>
        <v>20.652324965819684</v>
      </c>
      <c r="U38" s="248">
        <f t="shared" si="11"/>
        <v>0.125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11.719756127724049</v>
      </c>
      <c r="Z38" s="240">
        <f>Input!B23</f>
        <v>6.64</v>
      </c>
      <c r="AA38" s="240">
        <f>$Z$34</f>
        <v>5.0797561277240488</v>
      </c>
      <c r="AB38" s="240">
        <f t="shared" si="6"/>
        <v>480</v>
      </c>
      <c r="AC38" s="240">
        <f t="shared" si="7"/>
        <v>6.64</v>
      </c>
      <c r="AD38" s="242">
        <f>INT((AC$33+AE38)*100)/100</f>
        <v>6.64</v>
      </c>
      <c r="AE38" s="240">
        <f>AG$38*AF38</f>
        <v>1.3099999999999996</v>
      </c>
      <c r="AF38" s="240">
        <v>1</v>
      </c>
      <c r="AG38" s="240">
        <f>AC38-AC33</f>
        <v>1.3099999999999996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57">
        <v>270</v>
      </c>
      <c r="E39" s="457"/>
      <c r="F39" s="268">
        <f t="shared" si="13"/>
        <v>5.09</v>
      </c>
      <c r="G39" s="458">
        <f t="shared" si="14"/>
        <v>5.09</v>
      </c>
      <c r="H39" s="458"/>
      <c r="I39" s="261"/>
      <c r="J39" s="269">
        <f t="shared" si="15"/>
        <v>0.12000000000000011</v>
      </c>
      <c r="K39" s="243" t="s">
        <v>30</v>
      </c>
      <c r="L39" s="271" t="s">
        <v>30</v>
      </c>
      <c r="R39" s="236">
        <f>B47</f>
        <v>241.49999999999997</v>
      </c>
      <c r="S39" s="221">
        <f>$R$39</f>
        <v>241.49999999999997</v>
      </c>
      <c r="T39" s="221">
        <f t="shared" si="10"/>
        <v>20.652324965819684</v>
      </c>
      <c r="U39" s="248">
        <f t="shared" si="11"/>
        <v>0.125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13.496885221742268</v>
      </c>
      <c r="Z39" s="240">
        <f>Z42</f>
        <v>5.0551319908462453</v>
      </c>
      <c r="AA39" s="240">
        <f>$Z$39</f>
        <v>5.0551319908462453</v>
      </c>
      <c r="AB39" s="240">
        <f t="shared" si="6"/>
        <v>490</v>
      </c>
      <c r="AC39" s="240">
        <f t="shared" si="7"/>
        <v>8.4417532308960226</v>
      </c>
      <c r="AD39" s="242">
        <f>INT((AC$38+AE39)*100)/100</f>
        <v>7.43</v>
      </c>
      <c r="AE39" s="240">
        <f>AG$43*AF39</f>
        <v>0.79600000000000048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57">
        <v>300</v>
      </c>
      <c r="E40" s="457"/>
      <c r="F40" s="268">
        <f t="shared" si="13"/>
        <v>5.21</v>
      </c>
      <c r="G40" s="458">
        <f t="shared" si="14"/>
        <v>5.21</v>
      </c>
      <c r="H40" s="458"/>
      <c r="I40" s="261"/>
      <c r="J40" s="269">
        <f t="shared" si="15"/>
        <v>0.12000000000000011</v>
      </c>
      <c r="K40" s="243" t="s">
        <v>30</v>
      </c>
      <c r="L40" s="271" t="s">
        <v>30</v>
      </c>
      <c r="S40" s="221">
        <f>$R$39</f>
        <v>241.49999999999997</v>
      </c>
      <c r="T40" s="221">
        <f t="shared" si="10"/>
        <v>20.652324965819684</v>
      </c>
      <c r="U40" s="248">
        <f t="shared" si="11"/>
        <v>0.125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13.515663684640831</v>
      </c>
      <c r="AA40" s="240">
        <f>$Z$39</f>
        <v>5.0551319908462453</v>
      </c>
      <c r="AB40" s="240">
        <f t="shared" si="6"/>
        <v>500</v>
      </c>
      <c r="AC40" s="240">
        <f t="shared" si="7"/>
        <v>8.4605316937945858</v>
      </c>
      <c r="AD40" s="242">
        <f>INT((AC$38+AE40)*100)/100</f>
        <v>7.73</v>
      </c>
      <c r="AE40" s="240">
        <f>AG$43*AF40</f>
        <v>1.0945000000000007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57">
        <v>360</v>
      </c>
      <c r="E41" s="457"/>
      <c r="F41" s="268">
        <f t="shared" si="13"/>
        <v>5.33</v>
      </c>
      <c r="G41" s="458">
        <f t="shared" si="14"/>
        <v>5.33</v>
      </c>
      <c r="H41" s="458"/>
      <c r="I41" s="261"/>
      <c r="J41" s="269">
        <f t="shared" si="15"/>
        <v>0.12000000000000011</v>
      </c>
      <c r="K41" s="243" t="s">
        <v>30</v>
      </c>
      <c r="L41" s="271" t="s">
        <v>30</v>
      </c>
      <c r="S41" s="221">
        <f>$R$39</f>
        <v>241.49999999999997</v>
      </c>
      <c r="T41" s="221">
        <f t="shared" si="10"/>
        <v>20.652324965819684</v>
      </c>
      <c r="U41" s="248">
        <f t="shared" si="11"/>
        <v>0.125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13.534070272239759</v>
      </c>
      <c r="AA41" s="240">
        <f>$Z$39</f>
        <v>5.0551319908462453</v>
      </c>
      <c r="AB41" s="240">
        <f t="shared" si="6"/>
        <v>510</v>
      </c>
      <c r="AC41" s="240">
        <f t="shared" si="7"/>
        <v>8.4789382813935141</v>
      </c>
      <c r="AD41" s="242">
        <f>INT((AC$38+AE41)*100)/100</f>
        <v>8.0299999999999994</v>
      </c>
      <c r="AE41" s="240">
        <f>AG$43*AF41</f>
        <v>1.3930000000000007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210</v>
      </c>
      <c r="C42" s="267">
        <f>$C$12+D42/1440</f>
        <v>44725.305555555562</v>
      </c>
      <c r="D42" s="457">
        <v>370</v>
      </c>
      <c r="E42" s="457"/>
      <c r="F42" s="268">
        <f t="shared" si="13"/>
        <v>6.11</v>
      </c>
      <c r="G42" s="458">
        <f t="shared" si="14"/>
        <v>6.11</v>
      </c>
      <c r="H42" s="458"/>
      <c r="I42" s="261"/>
      <c r="J42" s="269">
        <f t="shared" si="15"/>
        <v>0.78000000000000025</v>
      </c>
      <c r="K42" s="243" t="s">
        <v>30</v>
      </c>
      <c r="L42" s="271" t="s">
        <v>30</v>
      </c>
      <c r="S42" s="221">
        <f>$R$39</f>
        <v>241.49999999999997</v>
      </c>
      <c r="T42" s="221">
        <f t="shared" si="10"/>
        <v>20.652324965819684</v>
      </c>
      <c r="U42" s="248">
        <f t="shared" si="11"/>
        <v>0.125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13.587199149313745</v>
      </c>
      <c r="Z42" s="240">
        <f>Y43-Z43</f>
        <v>5.0551319908462453</v>
      </c>
      <c r="AA42" s="240">
        <f>$Z$39</f>
        <v>5.0551319908462453</v>
      </c>
      <c r="AB42" s="240">
        <f t="shared" si="6"/>
        <v>540</v>
      </c>
      <c r="AC42" s="240">
        <f t="shared" si="7"/>
        <v>8.5320671584675001</v>
      </c>
      <c r="AD42" s="242">
        <f>INT((AC$38+AE42)*100)/100</f>
        <v>8.33</v>
      </c>
      <c r="AE42" s="240">
        <f>AG$43*AF42</f>
        <v>1.6915000000000009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57">
        <v>380</v>
      </c>
      <c r="E43" s="457"/>
      <c r="F43" s="268">
        <f t="shared" si="13"/>
        <v>6.24</v>
      </c>
      <c r="G43" s="458">
        <f t="shared" si="14"/>
        <v>6.24</v>
      </c>
      <c r="H43" s="458"/>
      <c r="I43" s="261"/>
      <c r="J43" s="269">
        <f t="shared" si="15"/>
        <v>0.12999999999999989</v>
      </c>
      <c r="K43" s="243" t="s">
        <v>30</v>
      </c>
      <c r="L43" s="271" t="s">
        <v>30</v>
      </c>
      <c r="S43" s="221">
        <f>$R$39</f>
        <v>241.49999999999997</v>
      </c>
      <c r="T43" s="221">
        <f t="shared" si="10"/>
        <v>20.652324965819684</v>
      </c>
      <c r="U43" s="248">
        <f t="shared" si="11"/>
        <v>0.125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13.685131990846246</v>
      </c>
      <c r="Z43" s="240">
        <f>Input!B24</f>
        <v>8.6300000000000008</v>
      </c>
      <c r="AA43" s="240">
        <f>$Z$39</f>
        <v>5.0551319908462453</v>
      </c>
      <c r="AB43" s="240">
        <f t="shared" si="6"/>
        <v>600</v>
      </c>
      <c r="AC43" s="240">
        <f t="shared" si="7"/>
        <v>8.6300000000000008</v>
      </c>
      <c r="AD43" s="242">
        <f>INT((AC$38+AE43)*100)/100</f>
        <v>8.6300000000000008</v>
      </c>
      <c r="AE43" s="240">
        <f>AG$43*AF43</f>
        <v>1.9900000000000011</v>
      </c>
      <c r="AF43" s="240">
        <v>1</v>
      </c>
      <c r="AG43" s="240">
        <f>AC43-AC38</f>
        <v>1.9900000000000011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57">
        <v>390</v>
      </c>
      <c r="E44" s="457"/>
      <c r="F44" s="268">
        <f t="shared" si="13"/>
        <v>6.37</v>
      </c>
      <c r="G44" s="458">
        <f t="shared" si="14"/>
        <v>6.37</v>
      </c>
      <c r="H44" s="458"/>
      <c r="I44" s="261"/>
      <c r="J44" s="269">
        <f t="shared" si="15"/>
        <v>0.12999999999999989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57">
        <v>420</v>
      </c>
      <c r="E45" s="457"/>
      <c r="F45" s="268">
        <f t="shared" si="13"/>
        <v>6.5</v>
      </c>
      <c r="G45" s="458">
        <f t="shared" si="14"/>
        <v>6.5</v>
      </c>
      <c r="H45" s="458"/>
      <c r="I45" s="261"/>
      <c r="J45" s="269">
        <f t="shared" si="15"/>
        <v>0.12999999999999989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57">
        <v>480</v>
      </c>
      <c r="E46" s="457"/>
      <c r="F46" s="268">
        <f t="shared" si="13"/>
        <v>6.64</v>
      </c>
      <c r="G46" s="458">
        <f t="shared" si="14"/>
        <v>6.64</v>
      </c>
      <c r="H46" s="458"/>
      <c r="I46" s="261"/>
      <c r="J46" s="269">
        <f t="shared" si="15"/>
        <v>0.13999999999999968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241.49999999999997</v>
      </c>
      <c r="C47" s="267">
        <f>$C$12+D47/1440</f>
        <v>44725.388888888898</v>
      </c>
      <c r="D47" s="457">
        <v>490</v>
      </c>
      <c r="E47" s="457"/>
      <c r="F47" s="268">
        <f t="shared" si="13"/>
        <v>7.43</v>
      </c>
      <c r="G47" s="458">
        <f t="shared" si="14"/>
        <v>7.43</v>
      </c>
      <c r="H47" s="458"/>
      <c r="I47" s="261"/>
      <c r="J47" s="269">
        <f t="shared" si="15"/>
        <v>0.79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57">
        <v>500</v>
      </c>
      <c r="E48" s="457"/>
      <c r="F48" s="268">
        <f t="shared" si="13"/>
        <v>7.73</v>
      </c>
      <c r="G48" s="458">
        <f t="shared" si="14"/>
        <v>7.73</v>
      </c>
      <c r="H48" s="458"/>
      <c r="I48" s="261"/>
      <c r="J48" s="269">
        <f t="shared" si="15"/>
        <v>0.30000000000000071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57">
        <v>510</v>
      </c>
      <c r="E49" s="457"/>
      <c r="F49" s="268">
        <f t="shared" si="13"/>
        <v>8.0299999999999994</v>
      </c>
      <c r="G49" s="458">
        <f t="shared" si="14"/>
        <v>8.0299999999999994</v>
      </c>
      <c r="H49" s="458"/>
      <c r="I49" s="261"/>
      <c r="J49" s="269">
        <f t="shared" si="15"/>
        <v>0.29999999999999893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57">
        <v>540</v>
      </c>
      <c r="E50" s="457"/>
      <c r="F50" s="268">
        <f t="shared" si="13"/>
        <v>8.33</v>
      </c>
      <c r="G50" s="458">
        <f t="shared" si="14"/>
        <v>8.33</v>
      </c>
      <c r="H50" s="458"/>
      <c r="I50" s="261"/>
      <c r="J50" s="269">
        <f t="shared" si="15"/>
        <v>0.30000000000000071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57">
        <v>600</v>
      </c>
      <c r="E51" s="457"/>
      <c r="F51" s="268">
        <f t="shared" si="13"/>
        <v>8.6300000000000008</v>
      </c>
      <c r="G51" s="458">
        <f t="shared" si="14"/>
        <v>8.6300000000000008</v>
      </c>
      <c r="H51" s="458"/>
      <c r="I51" s="261" t="s">
        <v>200</v>
      </c>
      <c r="J51" s="269">
        <f t="shared" si="15"/>
        <v>0.30000000000000071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619125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17</xdr:col>
                <xdr:colOff>619125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LongTermTest">
    <tabColor rgb="FF00B050"/>
  </sheetPr>
  <dimension ref="A1:AL822"/>
  <sheetViews>
    <sheetView showGridLines="0" zoomScaleNormal="100" zoomScaleSheetLayoutView="85" workbookViewId="0"/>
  </sheetViews>
  <sheetFormatPr defaultRowHeight="12"/>
  <cols>
    <col min="1" max="1" width="5.25" style="216" customWidth="1"/>
    <col min="2" max="2" width="12.875" style="216" customWidth="1"/>
    <col min="3" max="3" width="10.125" style="216" customWidth="1"/>
    <col min="4" max="4" width="10.25" style="216" customWidth="1"/>
    <col min="5" max="5" width="0.125" style="216" customWidth="1"/>
    <col min="6" max="6" width="10.5" style="216" customWidth="1"/>
    <col min="7" max="7" width="11.75" style="216" customWidth="1"/>
    <col min="8" max="9" width="7.625" style="216" customWidth="1"/>
    <col min="10" max="10" width="7.625" style="217" customWidth="1"/>
    <col min="11" max="11" width="9" style="216" customWidth="1"/>
    <col min="12" max="12" width="13.62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8.5" style="216" bestFit="1" customWidth="1"/>
    <col min="18" max="20" width="9" style="216"/>
    <col min="21" max="21" width="10.125" style="216" bestFit="1" customWidth="1"/>
    <col min="22" max="23" width="5.625" style="216" bestFit="1" customWidth="1"/>
    <col min="24" max="24" width="5.5" style="216" customWidth="1"/>
    <col min="25" max="25" width="6.875" style="216" bestFit="1" customWidth="1"/>
    <col min="26" max="26" width="7.375" style="216" bestFit="1" customWidth="1"/>
    <col min="27" max="27" width="9.125" style="216" bestFit="1" customWidth="1"/>
    <col min="28" max="28" width="6.375" style="355" customWidth="1"/>
    <col min="29" max="29" width="6.75" style="216" bestFit="1" customWidth="1"/>
    <col min="30" max="30" width="6.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201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202</v>
      </c>
      <c r="M1" s="275">
        <f>P1-R1</f>
        <v>-1.405576876828273</v>
      </c>
      <c r="N1" s="471" t="s">
        <v>203</v>
      </c>
      <c r="O1" s="471"/>
      <c r="P1" s="276">
        <f>StepTest!G41</f>
        <v>5.33</v>
      </c>
      <c r="Q1" s="277" t="s">
        <v>204</v>
      </c>
      <c r="R1" s="278">
        <f>G35</f>
        <v>6.7355768768282731</v>
      </c>
      <c r="S1" s="279">
        <f>D7/2000</f>
        <v>0.125</v>
      </c>
      <c r="T1" s="280">
        <v>14.349580921871347</v>
      </c>
      <c r="V1" s="281" t="s">
        <v>13</v>
      </c>
      <c r="W1" s="281" t="s">
        <v>37</v>
      </c>
      <c r="X1" s="281" t="s">
        <v>178</v>
      </c>
      <c r="Y1" s="281" t="s">
        <v>41</v>
      </c>
      <c r="Z1" s="281" t="s">
        <v>179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 xml:space="preserve">  연무읍 황화4지구 농업용 관정개발(대형) 사업</v>
      </c>
      <c r="D2" s="286"/>
      <c r="E2" s="286"/>
      <c r="F2" s="287"/>
      <c r="G2" s="287"/>
      <c r="H2" s="287"/>
      <c r="I2" s="287"/>
      <c r="J2" s="288"/>
      <c r="O2" s="221" t="s">
        <v>205</v>
      </c>
      <c r="P2" s="289">
        <f>G8</f>
        <v>7.2808228509862039</v>
      </c>
      <c r="T2" s="221">
        <v>0</v>
      </c>
      <c r="U2" s="236">
        <f>B10</f>
        <v>183</v>
      </c>
      <c r="V2" s="236">
        <f>U2</f>
        <v>183</v>
      </c>
      <c r="W2" s="221">
        <f>T1</f>
        <v>14.349580921871347</v>
      </c>
      <c r="X2" s="221">
        <f>StepTest!U4</f>
        <v>0.125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5.6147516780998465</v>
      </c>
      <c r="AC2" s="240">
        <f>1.6*V2/(4*PI()*W2)*LOG10((2.25*W2*Z2)/(X2*X2*Y2))</f>
        <v>5.6147516780998465</v>
      </c>
      <c r="AD2" s="281">
        <v>0</v>
      </c>
      <c r="AE2" s="239">
        <f>AA2</f>
        <v>1</v>
      </c>
      <c r="AF2" s="240">
        <f>AC2-$P$3-O3</f>
        <v>2.5847536761324266</v>
      </c>
      <c r="AG2" s="240">
        <f>AC2</f>
        <v>5.6147516780998465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  황화정지구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58</v>
      </c>
      <c r="M3" s="241">
        <f t="shared" ref="M3:M10" si="1">Q17</f>
        <v>0</v>
      </c>
      <c r="N3" s="295"/>
      <c r="O3" s="296"/>
      <c r="P3" s="297">
        <v>3.02999800196742</v>
      </c>
      <c r="V3" s="236">
        <f>V2</f>
        <v>183</v>
      </c>
      <c r="W3" s="221">
        <f>W$2</f>
        <v>14.349580921871347</v>
      </c>
      <c r="X3" s="221">
        <f>X2</f>
        <v>0.125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6.1035523148524895</v>
      </c>
      <c r="AC3" s="240">
        <f t="shared" ref="AC3:AC34" si="4">1.6*V3/(4*PI()*W3)*LOG10((2.25*W3*Z3)/(X3*X3*Y3))</f>
        <v>6.1035523148524895</v>
      </c>
      <c r="AD3" s="240">
        <f>AB69</f>
        <v>10.310820852953624</v>
      </c>
      <c r="AE3" s="239">
        <f t="shared" ref="AE3:AE66" si="5">AA3</f>
        <v>2</v>
      </c>
      <c r="AF3" s="240">
        <f t="shared" ref="AF3:AF16" si="6">AC3-$P$3-O4</f>
        <v>3.0735543128850695</v>
      </c>
      <c r="AG3" s="240">
        <f t="shared" ref="AG3:AG16" si="7">AC3</f>
        <v>6.1035523148524895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 xml:space="preserve">  논산시 연무읍 황화정리 577-1</v>
      </c>
      <c r="D4" s="298"/>
      <c r="E4" s="298"/>
      <c r="F4" s="287"/>
      <c r="G4" s="287"/>
      <c r="H4" s="287"/>
      <c r="I4" s="287"/>
      <c r="J4" s="288"/>
      <c r="L4" s="294" t="s">
        <v>206</v>
      </c>
      <c r="M4" s="241">
        <f t="shared" si="1"/>
        <v>-2.1</v>
      </c>
      <c r="N4" s="295"/>
      <c r="O4" s="228"/>
      <c r="P4" s="228"/>
      <c r="V4" s="236">
        <f t="shared" ref="V4:V67" si="8">V3</f>
        <v>183</v>
      </c>
      <c r="W4" s="221">
        <f t="shared" ref="W4:W67" si="9">W$2</f>
        <v>14.349580921871347</v>
      </c>
      <c r="X4" s="221">
        <f t="shared" ref="X4:X67" si="10">X3</f>
        <v>0.125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6.389482357681409</v>
      </c>
      <c r="AC4" s="240">
        <f t="shared" si="4"/>
        <v>6.389482357681409</v>
      </c>
      <c r="AD4" s="240">
        <f>AC69</f>
        <v>10.310820852953624</v>
      </c>
      <c r="AE4" s="239">
        <f t="shared" si="5"/>
        <v>3</v>
      </c>
      <c r="AF4" s="240">
        <f t="shared" si="6"/>
        <v>3.3594843557139891</v>
      </c>
      <c r="AG4" s="240">
        <f t="shared" si="7"/>
        <v>6.389482357681409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  마인지오주식회사</v>
      </c>
      <c r="E5" s="286"/>
      <c r="F5" s="300" t="s">
        <v>189</v>
      </c>
      <c r="G5" s="301">
        <f>Input!I50</f>
        <v>0</v>
      </c>
      <c r="H5" s="302"/>
      <c r="I5" s="302"/>
      <c r="J5" s="302"/>
      <c r="L5" s="294" t="s">
        <v>207</v>
      </c>
      <c r="M5" s="241">
        <f t="shared" si="1"/>
        <v>-4.41</v>
      </c>
      <c r="N5" s="295"/>
      <c r="O5" s="228"/>
      <c r="P5" s="228"/>
      <c r="V5" s="236">
        <f t="shared" si="8"/>
        <v>183</v>
      </c>
      <c r="W5" s="221">
        <f t="shared" si="9"/>
        <v>14.349580921871347</v>
      </c>
      <c r="X5" s="221">
        <f t="shared" si="10"/>
        <v>0.125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6.5923529516051316</v>
      </c>
      <c r="AC5" s="240">
        <f t="shared" si="4"/>
        <v>6.5923529516051316</v>
      </c>
      <c r="AD5" s="240">
        <f>AF69</f>
        <v>7.2808228509862039</v>
      </c>
      <c r="AE5" s="239">
        <f t="shared" si="5"/>
        <v>4</v>
      </c>
      <c r="AF5" s="240">
        <f t="shared" si="6"/>
        <v>3.5623549496377116</v>
      </c>
      <c r="AG5" s="240">
        <f t="shared" si="7"/>
        <v>6.5923529516051316</v>
      </c>
    </row>
    <row r="6" spans="1:38" s="221" customFormat="1" ht="21.6" customHeight="1">
      <c r="A6" s="283" t="str">
        <f>StepTest!A8</f>
        <v>수중모타</v>
      </c>
      <c r="B6" s="284"/>
      <c r="C6" s="472">
        <f>StepTest!C8</f>
        <v>5</v>
      </c>
      <c r="D6" s="472"/>
      <c r="E6" s="473"/>
      <c r="F6" s="300" t="s">
        <v>185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-6.79</v>
      </c>
      <c r="N6" s="295"/>
      <c r="O6" s="228"/>
      <c r="P6" s="228"/>
      <c r="V6" s="236">
        <f t="shared" si="8"/>
        <v>183</v>
      </c>
      <c r="W6" s="221">
        <f t="shared" si="9"/>
        <v>14.349580921871347</v>
      </c>
      <c r="X6" s="221">
        <f t="shared" si="10"/>
        <v>0.125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6.7497116093746392</v>
      </c>
      <c r="AC6" s="240">
        <f t="shared" si="4"/>
        <v>6.7497116093746392</v>
      </c>
      <c r="AE6" s="239">
        <f t="shared" si="5"/>
        <v>5</v>
      </c>
      <c r="AF6" s="240">
        <f t="shared" si="6"/>
        <v>3.7197136074072192</v>
      </c>
      <c r="AG6" s="240">
        <f t="shared" si="7"/>
        <v>6.7497116093746392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250</v>
      </c>
      <c r="E7" s="306"/>
      <c r="F7" s="307" t="s">
        <v>188</v>
      </c>
      <c r="G7" s="308">
        <f>StepTest!G9</f>
        <v>83</v>
      </c>
      <c r="H7" s="287"/>
      <c r="I7" s="287"/>
      <c r="J7" s="288"/>
      <c r="M7" s="241">
        <f t="shared" si="1"/>
        <v>-9.2200000000000006</v>
      </c>
      <c r="N7" s="295"/>
      <c r="O7" s="228"/>
      <c r="P7" s="228"/>
      <c r="V7" s="236">
        <f t="shared" si="8"/>
        <v>183</v>
      </c>
      <c r="W7" s="221">
        <f t="shared" si="9"/>
        <v>14.349580921871347</v>
      </c>
      <c r="X7" s="221">
        <f t="shared" si="10"/>
        <v>0.125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7.2385122461272822</v>
      </c>
      <c r="AC7" s="240">
        <f t="shared" si="4"/>
        <v>7.2385122461272822</v>
      </c>
      <c r="AE7" s="239">
        <f t="shared" si="5"/>
        <v>10</v>
      </c>
      <c r="AF7" s="240">
        <f t="shared" si="6"/>
        <v>4.2085142441598622</v>
      </c>
      <c r="AG7" s="240">
        <f t="shared" si="7"/>
        <v>7.2385122461272822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208</v>
      </c>
      <c r="D8" s="310">
        <f>StepTest!D10</f>
        <v>0</v>
      </c>
      <c r="E8" s="306"/>
      <c r="F8" s="307" t="s">
        <v>209</v>
      </c>
      <c r="G8" s="311">
        <f>F77</f>
        <v>7.2808228509862039</v>
      </c>
      <c r="H8" s="302">
        <f>Input!C40</f>
        <v>183</v>
      </c>
      <c r="I8" s="302"/>
      <c r="J8" s="284"/>
      <c r="K8" s="312">
        <f>Input!M50</f>
        <v>7.47</v>
      </c>
      <c r="L8" s="303">
        <f>G10-K11</f>
        <v>2.0959530393797836</v>
      </c>
      <c r="M8" s="241">
        <f t="shared" si="1"/>
        <v>-21.67</v>
      </c>
      <c r="N8" s="295"/>
      <c r="O8" s="228"/>
      <c r="P8" s="228"/>
      <c r="V8" s="236">
        <f t="shared" si="8"/>
        <v>183</v>
      </c>
      <c r="W8" s="221">
        <f t="shared" si="9"/>
        <v>14.349580921871347</v>
      </c>
      <c r="X8" s="221">
        <f t="shared" si="10"/>
        <v>0.125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7.5244422889562017</v>
      </c>
      <c r="AC8" s="240">
        <f t="shared" si="4"/>
        <v>7.5244422889562017</v>
      </c>
      <c r="AE8" s="239">
        <f t="shared" si="5"/>
        <v>15</v>
      </c>
      <c r="AF8" s="240">
        <f t="shared" si="6"/>
        <v>4.4944442869887817</v>
      </c>
      <c r="AG8" s="240">
        <f t="shared" si="7"/>
        <v>7.5244422889562017</v>
      </c>
    </row>
    <row r="9" spans="1:38" s="221" customFormat="1" ht="21.6" customHeight="1">
      <c r="A9" s="307" t="s">
        <v>190</v>
      </c>
      <c r="B9" s="313" t="s">
        <v>191</v>
      </c>
      <c r="C9" s="309" t="s">
        <v>210</v>
      </c>
      <c r="D9" s="474" t="s">
        <v>193</v>
      </c>
      <c r="E9" s="474"/>
      <c r="F9" s="313" t="s">
        <v>194</v>
      </c>
      <c r="G9" s="313" t="s">
        <v>195</v>
      </c>
      <c r="H9" s="314"/>
      <c r="I9" s="314"/>
      <c r="J9" s="314"/>
      <c r="K9" s="289">
        <f>G8-D8</f>
        <v>7.2808228509862039</v>
      </c>
      <c r="M9" s="241">
        <f t="shared" si="1"/>
        <v>-34.32</v>
      </c>
      <c r="N9" s="295"/>
      <c r="O9" s="228"/>
      <c r="P9" s="228"/>
      <c r="V9" s="236">
        <f t="shared" si="8"/>
        <v>183</v>
      </c>
      <c r="W9" s="221">
        <f t="shared" si="9"/>
        <v>14.349580921871347</v>
      </c>
      <c r="X9" s="221">
        <f t="shared" si="10"/>
        <v>0.125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7.7273128828799251</v>
      </c>
      <c r="AC9" s="240">
        <f t="shared" si="4"/>
        <v>7.7273128828799251</v>
      </c>
      <c r="AE9" s="239">
        <f t="shared" si="5"/>
        <v>20</v>
      </c>
      <c r="AF9" s="240">
        <f t="shared" si="6"/>
        <v>4.6973148809125052</v>
      </c>
      <c r="AG9" s="240">
        <f t="shared" si="7"/>
        <v>7.7273128828799251</v>
      </c>
    </row>
    <row r="10" spans="1:38" s="221" customFormat="1" ht="21" customHeight="1">
      <c r="A10" s="315">
        <v>1</v>
      </c>
      <c r="B10" s="316">
        <f>Input!C26</f>
        <v>183</v>
      </c>
      <c r="C10" s="317">
        <v>44908.409722222219</v>
      </c>
      <c r="D10" s="318">
        <v>1</v>
      </c>
      <c r="E10" s="319">
        <f>D10/1440</f>
        <v>6.9444444444444447E-4</v>
      </c>
      <c r="F10" s="320">
        <f>G10+D$8</f>
        <v>2.5847536761324266</v>
      </c>
      <c r="G10" s="321">
        <f>AF2</f>
        <v>2.5847536761324266</v>
      </c>
      <c r="H10" s="322"/>
      <c r="I10" s="322"/>
      <c r="J10" s="322"/>
      <c r="K10" s="323">
        <f>K8-K9</f>
        <v>0.1891771490137959</v>
      </c>
      <c r="L10" s="289">
        <f>K10+Q17</f>
        <v>0.1891771490137959</v>
      </c>
      <c r="M10" s="241">
        <f t="shared" si="1"/>
        <v>-47.06</v>
      </c>
      <c r="N10" s="295"/>
      <c r="O10" s="228"/>
      <c r="P10" s="228"/>
      <c r="V10" s="236">
        <f t="shared" si="8"/>
        <v>183</v>
      </c>
      <c r="W10" s="221">
        <f t="shared" si="9"/>
        <v>14.349580921871347</v>
      </c>
      <c r="X10" s="221">
        <f t="shared" si="10"/>
        <v>0.125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7.8846715406494328</v>
      </c>
      <c r="AC10" s="240">
        <f t="shared" si="4"/>
        <v>7.8846715406494328</v>
      </c>
      <c r="AE10" s="239">
        <f t="shared" si="5"/>
        <v>25</v>
      </c>
      <c r="AF10" s="240">
        <f t="shared" si="6"/>
        <v>4.8546735386820128</v>
      </c>
      <c r="AG10" s="240">
        <f t="shared" si="7"/>
        <v>7.8846715406494328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3.0735543128850695</v>
      </c>
      <c r="G11" s="320">
        <f>AF3</f>
        <v>3.0735543128850695</v>
      </c>
      <c r="H11" s="322"/>
      <c r="I11" s="322"/>
      <c r="J11" s="322"/>
      <c r="K11" s="324">
        <f>G11-G10</f>
        <v>0.48880063675264296</v>
      </c>
      <c r="L11" s="289" t="s">
        <v>30</v>
      </c>
      <c r="N11" s="295"/>
      <c r="O11" s="228"/>
      <c r="V11" s="236">
        <f t="shared" si="8"/>
        <v>183</v>
      </c>
      <c r="W11" s="221">
        <f t="shared" si="9"/>
        <v>14.349580921871347</v>
      </c>
      <c r="X11" s="221">
        <f t="shared" si="10"/>
        <v>0.125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8.0132429257088447</v>
      </c>
      <c r="AC11" s="240">
        <f t="shared" si="4"/>
        <v>8.0132429257088447</v>
      </c>
      <c r="AE11" s="239">
        <f t="shared" si="5"/>
        <v>30</v>
      </c>
      <c r="AF11" s="240">
        <f t="shared" si="6"/>
        <v>4.9832449237414247</v>
      </c>
      <c r="AG11" s="240">
        <f t="shared" si="7"/>
        <v>8.0132429257088447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3.3594843557139891</v>
      </c>
      <c r="G12" s="320">
        <f t="shared" ref="G12:G74" si="14">AF4</f>
        <v>3.3594843557139891</v>
      </c>
      <c r="H12" s="322"/>
      <c r="I12" s="322"/>
      <c r="J12" s="322"/>
      <c r="K12" s="324">
        <f t="shared" ref="K12:K47" si="15">G12-G11</f>
        <v>0.28593004282891954</v>
      </c>
      <c r="L12" s="289" t="s">
        <v>30</v>
      </c>
      <c r="N12" s="295"/>
      <c r="O12" s="228"/>
      <c r="V12" s="236">
        <f t="shared" si="8"/>
        <v>183</v>
      </c>
      <c r="W12" s="221">
        <f t="shared" si="9"/>
        <v>14.349580921871347</v>
      </c>
      <c r="X12" s="221">
        <f t="shared" si="10"/>
        <v>0.125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8.1219484828670634</v>
      </c>
      <c r="AC12" s="240">
        <f t="shared" si="4"/>
        <v>8.1219484828670634</v>
      </c>
      <c r="AE12" s="239">
        <f t="shared" si="5"/>
        <v>35</v>
      </c>
      <c r="AF12" s="240">
        <f t="shared" si="6"/>
        <v>5.0919504808996434</v>
      </c>
      <c r="AG12" s="240">
        <f t="shared" si="7"/>
        <v>8.1219484828670634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3.5623549496377116</v>
      </c>
      <c r="G13" s="320">
        <f t="shared" si="14"/>
        <v>3.5623549496377116</v>
      </c>
      <c r="H13" s="322"/>
      <c r="I13" s="322"/>
      <c r="J13" s="322"/>
      <c r="K13" s="324">
        <f t="shared" si="15"/>
        <v>0.20287059392372253</v>
      </c>
      <c r="L13" s="289" t="s">
        <v>30</v>
      </c>
      <c r="N13" s="295"/>
      <c r="O13" s="228"/>
      <c r="V13" s="236">
        <f t="shared" si="8"/>
        <v>183</v>
      </c>
      <c r="W13" s="221">
        <f t="shared" si="9"/>
        <v>14.349580921871347</v>
      </c>
      <c r="X13" s="221">
        <f t="shared" si="10"/>
        <v>0.125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8.2161135196325681</v>
      </c>
      <c r="AC13" s="240">
        <f t="shared" si="4"/>
        <v>8.2161135196325681</v>
      </c>
      <c r="AE13" s="239">
        <f t="shared" si="5"/>
        <v>40</v>
      </c>
      <c r="AF13" s="240">
        <f t="shared" si="6"/>
        <v>5.1861155176651481</v>
      </c>
      <c r="AG13" s="240">
        <f t="shared" si="7"/>
        <v>8.2161135196325681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3.7197136074072192</v>
      </c>
      <c r="G14" s="320">
        <f t="shared" si="14"/>
        <v>3.7197136074072192</v>
      </c>
      <c r="H14" s="322"/>
      <c r="I14" s="322"/>
      <c r="J14" s="322"/>
      <c r="K14" s="324">
        <f t="shared" si="15"/>
        <v>0.15735865776950764</v>
      </c>
      <c r="L14" s="289" t="s">
        <v>30</v>
      </c>
      <c r="N14" s="295"/>
      <c r="O14" s="228"/>
      <c r="V14" s="236">
        <f t="shared" si="8"/>
        <v>183</v>
      </c>
      <c r="W14" s="221">
        <f t="shared" si="9"/>
        <v>14.349580921871347</v>
      </c>
      <c r="X14" s="221">
        <f t="shared" si="10"/>
        <v>0.125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8.2991729685377642</v>
      </c>
      <c r="AC14" s="240">
        <f t="shared" si="4"/>
        <v>8.2991729685377642</v>
      </c>
      <c r="AE14" s="239">
        <f t="shared" si="5"/>
        <v>45</v>
      </c>
      <c r="AF14" s="240">
        <f t="shared" si="6"/>
        <v>5.2691749665703442</v>
      </c>
      <c r="AG14" s="240">
        <f t="shared" si="7"/>
        <v>8.2991729685377642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4.2085142441598622</v>
      </c>
      <c r="G15" s="320">
        <f t="shared" si="14"/>
        <v>4.2085142441598622</v>
      </c>
      <c r="H15" s="322"/>
      <c r="I15" s="322"/>
      <c r="J15" s="322"/>
      <c r="K15" s="324">
        <f t="shared" si="15"/>
        <v>0.48880063675264296</v>
      </c>
      <c r="L15" s="289" t="s">
        <v>30</v>
      </c>
      <c r="N15" s="325"/>
      <c r="O15" s="229"/>
      <c r="V15" s="236">
        <f t="shared" si="8"/>
        <v>183</v>
      </c>
      <c r="W15" s="221">
        <f t="shared" si="9"/>
        <v>14.349580921871347</v>
      </c>
      <c r="X15" s="221">
        <f t="shared" si="10"/>
        <v>0.125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8.3734721774020766</v>
      </c>
      <c r="AC15" s="240">
        <f t="shared" si="4"/>
        <v>8.3734721774020766</v>
      </c>
      <c r="AE15" s="239">
        <f t="shared" si="5"/>
        <v>50</v>
      </c>
      <c r="AF15" s="240">
        <f t="shared" si="6"/>
        <v>5.3434741754346566</v>
      </c>
      <c r="AG15" s="240">
        <f t="shared" si="7"/>
        <v>8.3734721774020766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4.4944442869887817</v>
      </c>
      <c r="G16" s="320">
        <f t="shared" si="14"/>
        <v>4.4944442869887817</v>
      </c>
      <c r="H16" s="322"/>
      <c r="I16" s="322"/>
      <c r="J16" s="322"/>
      <c r="K16" s="324">
        <f t="shared" si="15"/>
        <v>0.28593004282891954</v>
      </c>
      <c r="L16" s="326"/>
      <c r="N16" s="327"/>
      <c r="O16" s="281"/>
      <c r="Q16" s="241"/>
      <c r="V16" s="236">
        <f t="shared" si="8"/>
        <v>183</v>
      </c>
      <c r="W16" s="221">
        <f t="shared" si="9"/>
        <v>14.349580921871347</v>
      </c>
      <c r="X16" s="221">
        <f t="shared" si="10"/>
        <v>0.125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8.4406839873667767</v>
      </c>
      <c r="AC16" s="240">
        <f t="shared" si="4"/>
        <v>8.4406839873667767</v>
      </c>
      <c r="AE16" s="239">
        <f t="shared" si="5"/>
        <v>55</v>
      </c>
      <c r="AF16" s="240">
        <f t="shared" si="6"/>
        <v>5.3616059853993567</v>
      </c>
      <c r="AG16" s="240">
        <f t="shared" si="7"/>
        <v>8.4406839873667767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4.6973148809125052</v>
      </c>
      <c r="G17" s="320">
        <f t="shared" si="14"/>
        <v>4.6973148809125052</v>
      </c>
      <c r="H17" s="322"/>
      <c r="I17" s="322"/>
      <c r="J17" s="322"/>
      <c r="K17" s="324">
        <f t="shared" si="15"/>
        <v>0.20287059392372342</v>
      </c>
      <c r="L17" s="228">
        <f>D10</f>
        <v>1</v>
      </c>
      <c r="M17" s="221">
        <f>INT(B10/1440*10000)/10000</f>
        <v>0.127</v>
      </c>
      <c r="N17" s="221">
        <f>L17*M17</f>
        <v>0.127</v>
      </c>
      <c r="O17" s="221">
        <f>INT((D7/2/1000)^2*PI()*100000)/100000</f>
        <v>4.9079999999999999E-2</v>
      </c>
      <c r="P17" s="221">
        <f>INT(N17/O17*100)/100</f>
        <v>2.58</v>
      </c>
      <c r="Q17" s="241">
        <f>INT((G10-P17)*100)/100</f>
        <v>0</v>
      </c>
      <c r="V17" s="236">
        <f t="shared" si="8"/>
        <v>183</v>
      </c>
      <c r="W17" s="221">
        <f t="shared" si="9"/>
        <v>14.349580921871347</v>
      </c>
      <c r="X17" s="221">
        <f t="shared" si="10"/>
        <v>0.125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8.5020435624614876</v>
      </c>
      <c r="AC17" s="240">
        <f t="shared" si="4"/>
        <v>8.5020435624614876</v>
      </c>
      <c r="AE17" s="239">
        <f t="shared" si="5"/>
        <v>60</v>
      </c>
      <c r="AF17" s="240">
        <f t="shared" ref="AF17:AF69" si="16">AC17-$P$3</f>
        <v>5.4720455604940677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4.8546735386820128</v>
      </c>
      <c r="G18" s="320">
        <f t="shared" si="14"/>
        <v>4.8546735386820128</v>
      </c>
      <c r="H18" s="322"/>
      <c r="I18" s="322"/>
      <c r="J18" s="322"/>
      <c r="K18" s="324">
        <f t="shared" si="15"/>
        <v>0.15735865776950764</v>
      </c>
      <c r="L18" s="228">
        <f t="shared" ref="L18:L31" si="17">D11</f>
        <v>2</v>
      </c>
      <c r="M18" s="221">
        <f>M17</f>
        <v>0.127</v>
      </c>
      <c r="N18" s="221">
        <f t="shared" ref="N18:N27" si="18">L18*M18</f>
        <v>0.254</v>
      </c>
      <c r="O18" s="221">
        <f>O17</f>
        <v>4.9079999999999999E-2</v>
      </c>
      <c r="P18" s="221">
        <f>INT(N18/O18*100)/100</f>
        <v>5.17</v>
      </c>
      <c r="Q18" s="241">
        <f t="shared" ref="Q18:Q27" si="19">INT((G11-P18)*100)/100</f>
        <v>-2.1</v>
      </c>
      <c r="V18" s="236">
        <f t="shared" si="8"/>
        <v>183</v>
      </c>
      <c r="W18" s="221">
        <f t="shared" si="9"/>
        <v>14.349580921871347</v>
      </c>
      <c r="X18" s="221">
        <f t="shared" si="10"/>
        <v>0.125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8.6594022202309962</v>
      </c>
      <c r="AC18" s="240">
        <f t="shared" si="4"/>
        <v>8.6594022202309962</v>
      </c>
      <c r="AE18" s="239">
        <f t="shared" si="5"/>
        <v>75</v>
      </c>
      <c r="AF18" s="240">
        <f t="shared" si="16"/>
        <v>5.6294042182635762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4.9832449237414247</v>
      </c>
      <c r="G19" s="320">
        <f t="shared" si="14"/>
        <v>4.9832449237414247</v>
      </c>
      <c r="H19" s="322"/>
      <c r="I19" s="322"/>
      <c r="J19" s="322"/>
      <c r="K19" s="324">
        <f t="shared" si="15"/>
        <v>0.1285713850594119</v>
      </c>
      <c r="L19" s="228">
        <f t="shared" si="17"/>
        <v>3</v>
      </c>
      <c r="M19" s="221">
        <f>M18</f>
        <v>0.127</v>
      </c>
      <c r="N19" s="221">
        <f t="shared" si="18"/>
        <v>0.38100000000000001</v>
      </c>
      <c r="O19" s="221">
        <f t="shared" ref="O19:O31" si="20">O18</f>
        <v>4.9079999999999999E-2</v>
      </c>
      <c r="P19" s="221">
        <f>INT(N19/O19*100)/100</f>
        <v>7.76</v>
      </c>
      <c r="Q19" s="241">
        <f t="shared" si="19"/>
        <v>-4.41</v>
      </c>
      <c r="V19" s="236">
        <f t="shared" si="8"/>
        <v>183</v>
      </c>
      <c r="W19" s="221">
        <f t="shared" si="9"/>
        <v>14.349580921871347</v>
      </c>
      <c r="X19" s="221">
        <f t="shared" si="10"/>
        <v>0.125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8.7879736052904072</v>
      </c>
      <c r="AC19" s="240">
        <f t="shared" si="4"/>
        <v>8.7879736052904072</v>
      </c>
      <c r="AE19" s="239">
        <f t="shared" si="5"/>
        <v>90</v>
      </c>
      <c r="AF19" s="240">
        <f t="shared" si="16"/>
        <v>5.7579756033229872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5.0919504808996434</v>
      </c>
      <c r="G20" s="320">
        <f t="shared" si="14"/>
        <v>5.0919504808996434</v>
      </c>
      <c r="H20" s="322"/>
      <c r="I20" s="322"/>
      <c r="J20" s="322"/>
      <c r="K20" s="324">
        <f t="shared" si="15"/>
        <v>0.10870555715821872</v>
      </c>
      <c r="L20" s="228">
        <f t="shared" si="17"/>
        <v>4</v>
      </c>
      <c r="M20" s="221">
        <f>M19</f>
        <v>0.127</v>
      </c>
      <c r="N20" s="221">
        <f t="shared" si="18"/>
        <v>0.50800000000000001</v>
      </c>
      <c r="O20" s="221">
        <f>O19</f>
        <v>4.9079999999999999E-2</v>
      </c>
      <c r="P20" s="221">
        <f>INT(N20/O20*100)/100</f>
        <v>10.35</v>
      </c>
      <c r="Q20" s="241">
        <f t="shared" si="19"/>
        <v>-6.79</v>
      </c>
      <c r="V20" s="236">
        <f t="shared" si="8"/>
        <v>183</v>
      </c>
      <c r="W20" s="221">
        <f t="shared" si="9"/>
        <v>14.349580921871347</v>
      </c>
      <c r="X20" s="221">
        <f t="shared" si="10"/>
        <v>0.125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8.8966791624486241</v>
      </c>
      <c r="AC20" s="240">
        <f t="shared" si="4"/>
        <v>8.8966791624486241</v>
      </c>
      <c r="AE20" s="239">
        <f t="shared" si="5"/>
        <v>105</v>
      </c>
      <c r="AF20" s="240">
        <f t="shared" si="16"/>
        <v>5.8666811604812041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5.1861155176651481</v>
      </c>
      <c r="G21" s="320">
        <f t="shared" si="14"/>
        <v>5.1861155176651481</v>
      </c>
      <c r="H21" s="322"/>
      <c r="I21" s="322"/>
      <c r="J21" s="322"/>
      <c r="K21" s="324">
        <f t="shared" si="15"/>
        <v>9.4165036765504695E-2</v>
      </c>
      <c r="L21" s="228">
        <f t="shared" si="17"/>
        <v>5</v>
      </c>
      <c r="M21" s="221">
        <f>M20</f>
        <v>0.127</v>
      </c>
      <c r="N21" s="221">
        <f t="shared" si="18"/>
        <v>0.63500000000000001</v>
      </c>
      <c r="O21" s="221">
        <f t="shared" si="20"/>
        <v>4.9079999999999999E-2</v>
      </c>
      <c r="P21" s="221">
        <f>INT(N21/O21*100)/100</f>
        <v>12.93</v>
      </c>
      <c r="Q21" s="241">
        <f t="shared" si="19"/>
        <v>-9.2200000000000006</v>
      </c>
      <c r="V21" s="236">
        <f t="shared" si="8"/>
        <v>183</v>
      </c>
      <c r="W21" s="221">
        <f t="shared" si="9"/>
        <v>14.349580921871347</v>
      </c>
      <c r="X21" s="221">
        <f t="shared" si="10"/>
        <v>0.125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8.9908441992141306</v>
      </c>
      <c r="AC21" s="240">
        <f t="shared" si="4"/>
        <v>8.9908441992141306</v>
      </c>
      <c r="AE21" s="239">
        <f t="shared" si="5"/>
        <v>120</v>
      </c>
      <c r="AF21" s="240">
        <f t="shared" si="16"/>
        <v>5.9608461972467106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5.2691749665703442</v>
      </c>
      <c r="G22" s="320">
        <f t="shared" si="14"/>
        <v>5.2691749665703442</v>
      </c>
      <c r="H22" s="322"/>
      <c r="I22" s="322"/>
      <c r="J22" s="322"/>
      <c r="K22" s="324">
        <f t="shared" si="15"/>
        <v>8.305944890519612E-2</v>
      </c>
      <c r="L22" s="228">
        <f t="shared" si="17"/>
        <v>10</v>
      </c>
      <c r="M22" s="221">
        <f t="shared" ref="M22:M31" si="21">M21</f>
        <v>0.127</v>
      </c>
      <c r="N22" s="221">
        <f t="shared" si="18"/>
        <v>1.27</v>
      </c>
      <c r="O22" s="221">
        <f t="shared" si="20"/>
        <v>4.9079999999999999E-2</v>
      </c>
      <c r="P22" s="221">
        <f t="shared" ref="P22:P27" si="22">INT(N22/O22*100)/100</f>
        <v>25.87</v>
      </c>
      <c r="Q22" s="241">
        <f t="shared" si="19"/>
        <v>-21.67</v>
      </c>
      <c r="V22" s="236">
        <f t="shared" si="8"/>
        <v>183</v>
      </c>
      <c r="W22" s="221">
        <f t="shared" si="9"/>
        <v>14.349580921871347</v>
      </c>
      <c r="X22" s="221">
        <f t="shared" si="10"/>
        <v>0.125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9.0995497563723475</v>
      </c>
      <c r="AC22" s="240">
        <f t="shared" si="4"/>
        <v>9.0995497563723475</v>
      </c>
      <c r="AE22" s="239">
        <f t="shared" si="5"/>
        <v>140</v>
      </c>
      <c r="AF22" s="240">
        <f t="shared" si="16"/>
        <v>6.0695517544049276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5.3434741754346566</v>
      </c>
      <c r="G23" s="320">
        <f t="shared" si="14"/>
        <v>5.3434741754346566</v>
      </c>
      <c r="H23" s="322"/>
      <c r="I23" s="322"/>
      <c r="J23" s="322"/>
      <c r="K23" s="324">
        <f t="shared" si="15"/>
        <v>7.4299208864312405E-2</v>
      </c>
      <c r="L23" s="228">
        <f t="shared" si="17"/>
        <v>15</v>
      </c>
      <c r="M23" s="221">
        <f t="shared" si="21"/>
        <v>0.127</v>
      </c>
      <c r="N23" s="221">
        <f t="shared" si="18"/>
        <v>1.905</v>
      </c>
      <c r="O23" s="221">
        <f t="shared" si="20"/>
        <v>4.9079999999999999E-2</v>
      </c>
      <c r="P23" s="221">
        <f t="shared" si="22"/>
        <v>38.81</v>
      </c>
      <c r="Q23" s="241">
        <f t="shared" si="19"/>
        <v>-34.32</v>
      </c>
      <c r="V23" s="236">
        <f t="shared" si="8"/>
        <v>183</v>
      </c>
      <c r="W23" s="221">
        <f t="shared" si="9"/>
        <v>14.349580921871347</v>
      </c>
      <c r="X23" s="221">
        <f t="shared" si="10"/>
        <v>0.125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9.193714793137854</v>
      </c>
      <c r="AC23" s="240">
        <f t="shared" si="4"/>
        <v>9.193714793137854</v>
      </c>
      <c r="AE23" s="239">
        <f t="shared" si="5"/>
        <v>160</v>
      </c>
      <c r="AF23" s="240">
        <f t="shared" si="16"/>
        <v>6.163716791170434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5.3616059853993567</v>
      </c>
      <c r="G24" s="320">
        <f t="shared" si="14"/>
        <v>5.3616059853993567</v>
      </c>
      <c r="H24" s="322"/>
      <c r="I24" s="322"/>
      <c r="J24" s="322"/>
      <c r="K24" s="324">
        <f t="shared" si="15"/>
        <v>1.8131809964700096E-2</v>
      </c>
      <c r="L24" s="228">
        <f t="shared" si="17"/>
        <v>20</v>
      </c>
      <c r="M24" s="221">
        <f t="shared" si="21"/>
        <v>0.127</v>
      </c>
      <c r="N24" s="221">
        <f t="shared" si="18"/>
        <v>2.54</v>
      </c>
      <c r="O24" s="221">
        <f t="shared" si="20"/>
        <v>4.9079999999999999E-2</v>
      </c>
      <c r="P24" s="221">
        <f t="shared" si="22"/>
        <v>51.75</v>
      </c>
      <c r="Q24" s="241">
        <f t="shared" si="19"/>
        <v>-47.06</v>
      </c>
      <c r="V24" s="236">
        <f t="shared" si="8"/>
        <v>183</v>
      </c>
      <c r="W24" s="221">
        <f t="shared" si="9"/>
        <v>14.349580921871347</v>
      </c>
      <c r="X24" s="221">
        <f t="shared" si="10"/>
        <v>0.125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9.2767742420430501</v>
      </c>
      <c r="AC24" s="240">
        <f t="shared" si="4"/>
        <v>9.2767742420430501</v>
      </c>
      <c r="AE24" s="239">
        <f t="shared" si="5"/>
        <v>180</v>
      </c>
      <c r="AF24" s="240">
        <f t="shared" si="16"/>
        <v>6.2467762400756301</v>
      </c>
    </row>
    <row r="25" spans="1:32" s="221" customFormat="1" ht="21" customHeight="1">
      <c r="A25" s="315"/>
      <c r="B25" s="315"/>
      <c r="C25" s="317">
        <f>$C$10+D25/1440</f>
        <v>44908.451388888883</v>
      </c>
      <c r="D25" s="318">
        <v>60</v>
      </c>
      <c r="E25" s="319">
        <f t="shared" si="12"/>
        <v>4.1666666666666664E-2</v>
      </c>
      <c r="F25" s="320">
        <f t="shared" si="13"/>
        <v>5.4720455604940677</v>
      </c>
      <c r="G25" s="320">
        <f t="shared" si="14"/>
        <v>5.4720455604940677</v>
      </c>
      <c r="H25" s="322"/>
      <c r="I25" s="322"/>
      <c r="J25" s="322"/>
      <c r="K25" s="324">
        <f t="shared" si="15"/>
        <v>0.11043957509471092</v>
      </c>
      <c r="L25" s="228">
        <f t="shared" si="17"/>
        <v>25</v>
      </c>
      <c r="M25" s="221">
        <f t="shared" si="21"/>
        <v>0.127</v>
      </c>
      <c r="N25" s="221">
        <f t="shared" si="18"/>
        <v>3.1749999999999998</v>
      </c>
      <c r="O25" s="221">
        <f t="shared" si="20"/>
        <v>4.9079999999999999E-2</v>
      </c>
      <c r="P25" s="221">
        <f t="shared" si="22"/>
        <v>64.69</v>
      </c>
      <c r="Q25" s="241">
        <f t="shared" si="19"/>
        <v>-59.84</v>
      </c>
      <c r="V25" s="236">
        <f t="shared" si="8"/>
        <v>183</v>
      </c>
      <c r="W25" s="221">
        <f t="shared" si="9"/>
        <v>14.349580921871347</v>
      </c>
      <c r="X25" s="221">
        <f t="shared" si="10"/>
        <v>0.125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9.4796448359667735</v>
      </c>
      <c r="AC25" s="240">
        <f t="shared" si="4"/>
        <v>9.4796448359667735</v>
      </c>
      <c r="AE25" s="239">
        <f t="shared" si="5"/>
        <v>240</v>
      </c>
      <c r="AF25" s="240">
        <f t="shared" si="16"/>
        <v>6.4496468339993536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5.6294042182635762</v>
      </c>
      <c r="G26" s="320">
        <f t="shared" si="14"/>
        <v>5.6294042182635762</v>
      </c>
      <c r="H26" s="322"/>
      <c r="I26" s="322"/>
      <c r="J26" s="322"/>
      <c r="K26" s="324">
        <f t="shared" si="15"/>
        <v>0.15735865776950853</v>
      </c>
      <c r="L26" s="228">
        <f t="shared" si="17"/>
        <v>30</v>
      </c>
      <c r="M26" s="221">
        <f t="shared" si="21"/>
        <v>0.127</v>
      </c>
      <c r="N26" s="221">
        <f t="shared" si="18"/>
        <v>3.81</v>
      </c>
      <c r="O26" s="221">
        <f t="shared" si="20"/>
        <v>4.9079999999999999E-2</v>
      </c>
      <c r="P26" s="221">
        <f t="shared" si="22"/>
        <v>77.62</v>
      </c>
      <c r="Q26" s="241">
        <f t="shared" si="19"/>
        <v>-72.64</v>
      </c>
      <c r="V26" s="236">
        <f t="shared" si="8"/>
        <v>183</v>
      </c>
      <c r="W26" s="221">
        <f t="shared" si="9"/>
        <v>14.349580921871347</v>
      </c>
      <c r="X26" s="221">
        <f t="shared" si="10"/>
        <v>0.125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9.6370034937362821</v>
      </c>
      <c r="AC26" s="240">
        <f t="shared" si="4"/>
        <v>9.6370034937362821</v>
      </c>
      <c r="AE26" s="239">
        <f t="shared" si="5"/>
        <v>300</v>
      </c>
      <c r="AF26" s="240">
        <f t="shared" si="16"/>
        <v>6.6070054917688621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5.7579756033229872</v>
      </c>
      <c r="G27" s="320">
        <f t="shared" si="14"/>
        <v>5.7579756033229872</v>
      </c>
      <c r="H27" s="322"/>
      <c r="I27" s="322"/>
      <c r="J27" s="322"/>
      <c r="K27" s="324">
        <f t="shared" si="15"/>
        <v>0.12857138505941101</v>
      </c>
      <c r="L27" s="228">
        <f t="shared" si="17"/>
        <v>35</v>
      </c>
      <c r="M27" s="221">
        <f t="shared" si="21"/>
        <v>0.127</v>
      </c>
      <c r="N27" s="221">
        <f t="shared" si="18"/>
        <v>4.4450000000000003</v>
      </c>
      <c r="O27" s="221">
        <f t="shared" si="20"/>
        <v>4.9079999999999999E-2</v>
      </c>
      <c r="P27" s="221">
        <f t="shared" si="22"/>
        <v>90.56</v>
      </c>
      <c r="Q27" s="241">
        <f t="shared" si="19"/>
        <v>-85.47</v>
      </c>
      <c r="V27" s="236">
        <f t="shared" si="8"/>
        <v>183</v>
      </c>
      <c r="W27" s="221">
        <f t="shared" si="9"/>
        <v>14.349580921871347</v>
      </c>
      <c r="X27" s="221">
        <f t="shared" si="10"/>
        <v>0.125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9.7655748787956931</v>
      </c>
      <c r="AC27" s="240">
        <f t="shared" si="4"/>
        <v>9.7655748787956931</v>
      </c>
      <c r="AE27" s="239">
        <f t="shared" si="5"/>
        <v>360</v>
      </c>
      <c r="AF27" s="240">
        <f t="shared" si="16"/>
        <v>6.7355768768282731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5.8666811604812041</v>
      </c>
      <c r="G28" s="320">
        <f t="shared" si="14"/>
        <v>5.8666811604812041</v>
      </c>
      <c r="H28" s="322"/>
      <c r="I28" s="322"/>
      <c r="J28" s="322"/>
      <c r="K28" s="324">
        <f t="shared" si="15"/>
        <v>0.10870555715821695</v>
      </c>
      <c r="L28" s="228">
        <f t="shared" si="17"/>
        <v>40</v>
      </c>
      <c r="M28" s="221">
        <f t="shared" si="21"/>
        <v>0.127</v>
      </c>
      <c r="N28" s="221">
        <f>L28*M28</f>
        <v>5.08</v>
      </c>
      <c r="O28" s="221">
        <f t="shared" si="20"/>
        <v>4.9079999999999999E-2</v>
      </c>
      <c r="P28" s="221">
        <f>INT(N28/O28*100)/100</f>
        <v>103.5</v>
      </c>
      <c r="Q28" s="241">
        <f>INT((G21-P28)*100)/100</f>
        <v>-98.32</v>
      </c>
      <c r="V28" s="236">
        <f t="shared" si="8"/>
        <v>183</v>
      </c>
      <c r="W28" s="221">
        <f t="shared" si="9"/>
        <v>14.349580921871347</v>
      </c>
      <c r="X28" s="221">
        <f t="shared" si="10"/>
        <v>0.125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9.87428043595391</v>
      </c>
      <c r="AC28" s="240">
        <f t="shared" si="4"/>
        <v>9.87428043595391</v>
      </c>
      <c r="AE28" s="239">
        <f t="shared" si="5"/>
        <v>420</v>
      </c>
      <c r="AF28" s="240">
        <f t="shared" si="16"/>
        <v>6.8442824339864901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5.9608461972467106</v>
      </c>
      <c r="G29" s="320">
        <f t="shared" si="14"/>
        <v>5.9608461972467106</v>
      </c>
      <c r="H29" s="322"/>
      <c r="I29" s="322"/>
      <c r="J29" s="322"/>
      <c r="K29" s="324">
        <f t="shared" si="15"/>
        <v>9.4165036765506471E-2</v>
      </c>
      <c r="L29" s="228">
        <f t="shared" si="17"/>
        <v>45</v>
      </c>
      <c r="M29" s="221">
        <f t="shared" si="21"/>
        <v>0.127</v>
      </c>
      <c r="N29" s="221">
        <f>L29*M29</f>
        <v>5.7149999999999999</v>
      </c>
      <c r="O29" s="221">
        <f t="shared" si="20"/>
        <v>4.9079999999999999E-2</v>
      </c>
      <c r="P29" s="221">
        <f>INT(N29/O29*100)/100</f>
        <v>116.44</v>
      </c>
      <c r="Q29" s="241">
        <f>INT((G22-P29)*100)/100</f>
        <v>-111.18</v>
      </c>
      <c r="V29" s="236">
        <f t="shared" si="8"/>
        <v>183</v>
      </c>
      <c r="W29" s="221">
        <f t="shared" si="9"/>
        <v>14.349580921871347</v>
      </c>
      <c r="X29" s="221">
        <f t="shared" si="10"/>
        <v>0.125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9.9684454727194165</v>
      </c>
      <c r="AC29" s="240">
        <f t="shared" si="4"/>
        <v>9.9684454727194165</v>
      </c>
      <c r="AE29" s="239">
        <f t="shared" si="5"/>
        <v>480</v>
      </c>
      <c r="AF29" s="240">
        <f t="shared" si="16"/>
        <v>6.9384474707519965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6.0695517544049276</v>
      </c>
      <c r="G30" s="320">
        <f t="shared" si="14"/>
        <v>6.0695517544049276</v>
      </c>
      <c r="H30" s="322"/>
      <c r="I30" s="322"/>
      <c r="J30" s="322"/>
      <c r="K30" s="324">
        <f t="shared" si="15"/>
        <v>0.10870555715821695</v>
      </c>
      <c r="L30" s="228">
        <f t="shared" si="17"/>
        <v>50</v>
      </c>
      <c r="M30" s="221">
        <f t="shared" si="21"/>
        <v>0.127</v>
      </c>
      <c r="N30" s="221">
        <f>L30*M30</f>
        <v>6.35</v>
      </c>
      <c r="O30" s="221">
        <f t="shared" si="20"/>
        <v>4.9079999999999999E-2</v>
      </c>
      <c r="P30" s="221">
        <f>INT(N30/O30*100)/100</f>
        <v>129.38</v>
      </c>
      <c r="Q30" s="241">
        <f>INT((G23-P30)*100)/100</f>
        <v>-124.04</v>
      </c>
      <c r="V30" s="236">
        <f t="shared" si="8"/>
        <v>183</v>
      </c>
      <c r="W30" s="221">
        <f t="shared" si="9"/>
        <v>14.349580921871347</v>
      </c>
      <c r="X30" s="221">
        <f t="shared" si="10"/>
        <v>0.125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10.051504921624613</v>
      </c>
      <c r="AC30" s="240">
        <f t="shared" si="4"/>
        <v>10.051504921624613</v>
      </c>
      <c r="AE30" s="239">
        <f t="shared" si="5"/>
        <v>540</v>
      </c>
      <c r="AF30" s="240">
        <f t="shared" si="16"/>
        <v>7.0215069196571926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6.163716791170434</v>
      </c>
      <c r="G31" s="320">
        <f t="shared" si="14"/>
        <v>6.163716791170434</v>
      </c>
      <c r="H31" s="322"/>
      <c r="I31" s="322"/>
      <c r="J31" s="322"/>
      <c r="K31" s="324">
        <f t="shared" si="15"/>
        <v>9.4165036765506471E-2</v>
      </c>
      <c r="L31" s="228">
        <f t="shared" si="17"/>
        <v>55</v>
      </c>
      <c r="M31" s="221">
        <f t="shared" si="21"/>
        <v>0.127</v>
      </c>
      <c r="N31" s="221">
        <f>L31*M31</f>
        <v>6.9850000000000003</v>
      </c>
      <c r="O31" s="221">
        <f t="shared" si="20"/>
        <v>4.9079999999999999E-2</v>
      </c>
      <c r="P31" s="221">
        <f>INT(N31/O31*100)/100</f>
        <v>142.31</v>
      </c>
      <c r="Q31" s="241">
        <f>INT((G24-P31)*100)/100</f>
        <v>-136.94999999999999</v>
      </c>
      <c r="V31" s="236">
        <f t="shared" si="8"/>
        <v>183</v>
      </c>
      <c r="W31" s="221">
        <f t="shared" si="9"/>
        <v>14.349580921871347</v>
      </c>
      <c r="X31" s="221">
        <f t="shared" si="10"/>
        <v>0.125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10.125804130488923</v>
      </c>
      <c r="AC31" s="240">
        <f t="shared" si="4"/>
        <v>10.125804130488923</v>
      </c>
      <c r="AE31" s="239">
        <f t="shared" si="5"/>
        <v>600</v>
      </c>
      <c r="AF31" s="240">
        <f t="shared" si="16"/>
        <v>7.0958061285215033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6.2467762400756301</v>
      </c>
      <c r="G32" s="320">
        <f t="shared" si="14"/>
        <v>6.2467762400756301</v>
      </c>
      <c r="H32" s="322"/>
      <c r="I32" s="322"/>
      <c r="J32" s="322"/>
      <c r="K32" s="324">
        <f t="shared" si="15"/>
        <v>8.305944890519612E-2</v>
      </c>
      <c r="L32" s="326" t="s">
        <v>30</v>
      </c>
      <c r="O32" s="329"/>
      <c r="V32" s="236">
        <f t="shared" si="8"/>
        <v>183</v>
      </c>
      <c r="W32" s="221">
        <f t="shared" si="9"/>
        <v>14.349580921871347</v>
      </c>
      <c r="X32" s="221">
        <f t="shared" si="10"/>
        <v>0.125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10.193015940453623</v>
      </c>
      <c r="AC32" s="240">
        <f t="shared" si="4"/>
        <v>10.193015940453623</v>
      </c>
      <c r="AE32" s="239">
        <f t="shared" si="5"/>
        <v>660</v>
      </c>
      <c r="AF32" s="240">
        <f t="shared" si="16"/>
        <v>7.1630179384862034</v>
      </c>
    </row>
    <row r="33" spans="1:32" s="221" customFormat="1" ht="21" customHeight="1">
      <c r="A33" s="315"/>
      <c r="B33" s="315"/>
      <c r="C33" s="317">
        <f>$C$10+D33/1440</f>
        <v>44908.576388888883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6.4496468339993536</v>
      </c>
      <c r="G33" s="320">
        <f t="shared" si="14"/>
        <v>6.4496468339993536</v>
      </c>
      <c r="H33" s="322"/>
      <c r="I33" s="322"/>
      <c r="J33" s="322"/>
      <c r="K33" s="324">
        <f t="shared" si="15"/>
        <v>0.20287059392372342</v>
      </c>
      <c r="L33" s="289" t="s">
        <v>30</v>
      </c>
      <c r="O33" s="329"/>
      <c r="V33" s="236">
        <f t="shared" si="8"/>
        <v>183</v>
      </c>
      <c r="W33" s="221">
        <f t="shared" si="9"/>
        <v>14.349580921871347</v>
      </c>
      <c r="X33" s="221">
        <f t="shared" si="10"/>
        <v>0.125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10.254375515548336</v>
      </c>
      <c r="AC33" s="240">
        <f t="shared" si="4"/>
        <v>10.254375515548336</v>
      </c>
      <c r="AE33" s="239">
        <f t="shared" si="5"/>
        <v>720</v>
      </c>
      <c r="AF33" s="240">
        <f t="shared" si="16"/>
        <v>7.2243775135809161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6.6070054917688621</v>
      </c>
      <c r="G34" s="320">
        <f t="shared" si="14"/>
        <v>6.6070054917688621</v>
      </c>
      <c r="H34" s="322"/>
      <c r="I34" s="322"/>
      <c r="J34" s="322"/>
      <c r="K34" s="324">
        <f t="shared" si="15"/>
        <v>0.15735865776950853</v>
      </c>
      <c r="L34" s="289" t="s">
        <v>30</v>
      </c>
      <c r="P34" s="329"/>
      <c r="V34" s="236">
        <f t="shared" si="8"/>
        <v>183</v>
      </c>
      <c r="W34" s="221">
        <f t="shared" si="9"/>
        <v>14.349580921871347</v>
      </c>
      <c r="X34" s="221">
        <f t="shared" si="10"/>
        <v>0.125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10.310820852953624</v>
      </c>
      <c r="AC34" s="240">
        <f t="shared" si="4"/>
        <v>10.310820852953624</v>
      </c>
      <c r="AE34" s="239">
        <f t="shared" si="5"/>
        <v>780</v>
      </c>
      <c r="AF34" s="240">
        <f t="shared" si="16"/>
        <v>7.2808228509862039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6.7355768768282731</v>
      </c>
      <c r="G35" s="320">
        <f t="shared" si="14"/>
        <v>6.7355768768282731</v>
      </c>
      <c r="H35" s="322"/>
      <c r="I35" s="322"/>
      <c r="J35" s="322"/>
      <c r="K35" s="324">
        <f t="shared" si="15"/>
        <v>0.12857138505941101</v>
      </c>
      <c r="L35" s="289" t="s">
        <v>30</v>
      </c>
      <c r="O35" s="329"/>
      <c r="V35" s="236">
        <f t="shared" si="8"/>
        <v>183</v>
      </c>
      <c r="W35" s="221">
        <f t="shared" si="9"/>
        <v>14.349580921871347</v>
      </c>
      <c r="X35" s="221">
        <f t="shared" si="10"/>
        <v>0.125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10.310820852953624</v>
      </c>
      <c r="AC35" s="240">
        <f t="shared" ref="AC35:AC38" si="24">AC34</f>
        <v>10.310820852953624</v>
      </c>
      <c r="AE35" s="239">
        <f t="shared" si="5"/>
        <v>840</v>
      </c>
      <c r="AF35" s="240">
        <f t="shared" si="16"/>
        <v>7.2808228509862039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6.8442824339864901</v>
      </c>
      <c r="G36" s="320">
        <f t="shared" si="14"/>
        <v>6.8442824339864901</v>
      </c>
      <c r="H36" s="322"/>
      <c r="I36" s="322"/>
      <c r="J36" s="322"/>
      <c r="K36" s="324">
        <f t="shared" si="15"/>
        <v>0.10870555715821695</v>
      </c>
      <c r="L36" s="289" t="s">
        <v>30</v>
      </c>
      <c r="V36" s="236">
        <f t="shared" si="8"/>
        <v>183</v>
      </c>
      <c r="W36" s="221">
        <f t="shared" si="9"/>
        <v>14.349580921871347</v>
      </c>
      <c r="X36" s="221">
        <f t="shared" si="10"/>
        <v>0.125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10.310820852953624</v>
      </c>
      <c r="AC36" s="240">
        <f t="shared" si="24"/>
        <v>10.310820852953624</v>
      </c>
      <c r="AE36" s="239">
        <f t="shared" si="5"/>
        <v>900</v>
      </c>
      <c r="AF36" s="240">
        <f t="shared" si="16"/>
        <v>7.2808228509862039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6.9384474707519965</v>
      </c>
      <c r="G37" s="320">
        <f t="shared" si="14"/>
        <v>6.9384474707519965</v>
      </c>
      <c r="H37" s="322"/>
      <c r="I37" s="322"/>
      <c r="J37" s="322"/>
      <c r="K37" s="324">
        <f t="shared" si="15"/>
        <v>9.4165036765506471E-2</v>
      </c>
      <c r="L37" s="289" t="s">
        <v>30</v>
      </c>
      <c r="V37" s="236">
        <f t="shared" si="8"/>
        <v>183</v>
      </c>
      <c r="W37" s="221">
        <f t="shared" si="9"/>
        <v>14.349580921871347</v>
      </c>
      <c r="X37" s="221">
        <f t="shared" si="10"/>
        <v>0.125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10.310820852953624</v>
      </c>
      <c r="AC37" s="240">
        <f t="shared" si="24"/>
        <v>10.310820852953624</v>
      </c>
      <c r="AD37" s="221">
        <v>37</v>
      </c>
      <c r="AE37" s="239">
        <f t="shared" si="5"/>
        <v>960</v>
      </c>
      <c r="AF37" s="240">
        <f t="shared" si="16"/>
        <v>7.2808228509862039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7.0215069196571926</v>
      </c>
      <c r="G38" s="320">
        <f t="shared" si="14"/>
        <v>7.0215069196571926</v>
      </c>
      <c r="H38" s="322"/>
      <c r="I38" s="322"/>
      <c r="J38" s="322"/>
      <c r="K38" s="324">
        <f t="shared" si="15"/>
        <v>8.305944890519612E-2</v>
      </c>
      <c r="L38" s="289" t="s">
        <v>30</v>
      </c>
      <c r="V38" s="236">
        <f t="shared" si="8"/>
        <v>183</v>
      </c>
      <c r="W38" s="221">
        <f t="shared" si="9"/>
        <v>14.349580921871347</v>
      </c>
      <c r="X38" s="221">
        <f t="shared" si="10"/>
        <v>0.125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10.310820852953624</v>
      </c>
      <c r="AC38" s="240">
        <f t="shared" si="24"/>
        <v>10.310820852953624</v>
      </c>
      <c r="AD38" s="228" t="s">
        <v>49</v>
      </c>
      <c r="AE38" s="239">
        <f t="shared" si="5"/>
        <v>1020</v>
      </c>
      <c r="AF38" s="240">
        <f t="shared" si="16"/>
        <v>7.2808228509862039</v>
      </c>
    </row>
    <row r="39" spans="1:32" s="221" customFormat="1" ht="21" customHeight="1">
      <c r="A39" s="315"/>
      <c r="B39" s="315"/>
      <c r="C39" s="317">
        <f>$C$10+D39/1440</f>
        <v>44908.826388888883</v>
      </c>
      <c r="D39" s="318">
        <f t="shared" si="23"/>
        <v>600</v>
      </c>
      <c r="E39" s="319">
        <f t="shared" si="12"/>
        <v>0.41666666666666669</v>
      </c>
      <c r="F39" s="320">
        <f t="shared" si="13"/>
        <v>7.0958061285215033</v>
      </c>
      <c r="G39" s="320">
        <f t="shared" si="14"/>
        <v>7.0958061285215033</v>
      </c>
      <c r="H39" s="322"/>
      <c r="I39" s="322"/>
      <c r="J39" s="322"/>
      <c r="K39" s="324">
        <f t="shared" si="15"/>
        <v>7.4299208864310629E-2</v>
      </c>
      <c r="L39" s="289" t="s">
        <v>30</v>
      </c>
      <c r="V39" s="236">
        <f t="shared" si="8"/>
        <v>183</v>
      </c>
      <c r="W39" s="221">
        <f t="shared" si="9"/>
        <v>14.349580921871347</v>
      </c>
      <c r="X39" s="221">
        <f t="shared" si="10"/>
        <v>0.125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10.310820852953624</v>
      </c>
      <c r="AC39" s="240">
        <f t="shared" ref="AC39:AC46" si="25">AC38</f>
        <v>10.310820852953624</v>
      </c>
      <c r="AD39" s="330">
        <v>39</v>
      </c>
      <c r="AE39" s="239">
        <f t="shared" si="5"/>
        <v>1080</v>
      </c>
      <c r="AF39" s="240">
        <f t="shared" si="16"/>
        <v>7.2808228509862039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7.1630179384862034</v>
      </c>
      <c r="G40" s="320">
        <f t="shared" si="14"/>
        <v>7.1630179384862034</v>
      </c>
      <c r="H40" s="322"/>
      <c r="I40" s="322"/>
      <c r="J40" s="322"/>
      <c r="K40" s="324">
        <f t="shared" si="15"/>
        <v>6.7211809964700109E-2</v>
      </c>
      <c r="L40" s="289" t="s">
        <v>30</v>
      </c>
      <c r="V40" s="236">
        <f t="shared" si="8"/>
        <v>183</v>
      </c>
      <c r="W40" s="221">
        <f t="shared" si="9"/>
        <v>14.349580921871347</v>
      </c>
      <c r="X40" s="221">
        <f t="shared" si="10"/>
        <v>0.125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10.310820852953624</v>
      </c>
      <c r="AC40" s="240">
        <f t="shared" si="25"/>
        <v>10.310820852953624</v>
      </c>
      <c r="AD40" s="330">
        <v>40</v>
      </c>
      <c r="AE40" s="239">
        <f t="shared" si="5"/>
        <v>1140</v>
      </c>
      <c r="AF40" s="240">
        <f t="shared" si="16"/>
        <v>7.2808228509862039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7.2243775135809161</v>
      </c>
      <c r="G41" s="320">
        <f t="shared" si="14"/>
        <v>7.2243775135809161</v>
      </c>
      <c r="H41" s="322"/>
      <c r="I41" s="322"/>
      <c r="J41" s="322"/>
      <c r="K41" s="324">
        <f t="shared" si="15"/>
        <v>6.1359575094712682E-2</v>
      </c>
      <c r="L41" s="289" t="s">
        <v>30</v>
      </c>
      <c r="V41" s="331">
        <f t="shared" si="8"/>
        <v>183</v>
      </c>
      <c r="W41" s="332">
        <f t="shared" si="9"/>
        <v>14.349580921871347</v>
      </c>
      <c r="X41" s="332">
        <f t="shared" si="10"/>
        <v>0.125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10.310820852953624</v>
      </c>
      <c r="AC41" s="240">
        <f t="shared" si="25"/>
        <v>10.310820852953624</v>
      </c>
      <c r="AD41" s="335">
        <v>41</v>
      </c>
      <c r="AE41" s="239">
        <f t="shared" si="5"/>
        <v>1200</v>
      </c>
      <c r="AF41" s="240">
        <f t="shared" si="16"/>
        <v>7.2808228509862039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7.2808228509862039</v>
      </c>
      <c r="G42" s="320">
        <f t="shared" si="14"/>
        <v>7.2808228509862039</v>
      </c>
      <c r="H42" s="322"/>
      <c r="I42" s="322"/>
      <c r="J42" s="322"/>
      <c r="K42" s="324">
        <f t="shared" si="15"/>
        <v>5.6445337405287788E-2</v>
      </c>
      <c r="L42" s="289" t="s">
        <v>30</v>
      </c>
      <c r="V42" s="236">
        <f t="shared" si="8"/>
        <v>183</v>
      </c>
      <c r="W42" s="221">
        <f t="shared" si="9"/>
        <v>14.349580921871347</v>
      </c>
      <c r="X42" s="221">
        <f t="shared" si="10"/>
        <v>0.125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10.310820852953624</v>
      </c>
      <c r="AC42" s="240">
        <f t="shared" si="25"/>
        <v>10.310820852953624</v>
      </c>
      <c r="AD42" s="330">
        <v>42</v>
      </c>
      <c r="AE42" s="239">
        <f t="shared" si="5"/>
        <v>1260</v>
      </c>
      <c r="AF42" s="240">
        <f t="shared" si="16"/>
        <v>7.2808228509862039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7.2808228509862039</v>
      </c>
      <c r="G43" s="320">
        <f t="shared" si="14"/>
        <v>7.2808228509862039</v>
      </c>
      <c r="H43" s="322"/>
      <c r="I43" s="322"/>
      <c r="J43" s="322"/>
      <c r="K43" s="324">
        <f t="shared" si="15"/>
        <v>0</v>
      </c>
      <c r="L43" s="289" t="s">
        <v>30</v>
      </c>
      <c r="V43" s="331">
        <f t="shared" si="8"/>
        <v>183</v>
      </c>
      <c r="W43" s="332">
        <f t="shared" si="9"/>
        <v>14.349580921871347</v>
      </c>
      <c r="X43" s="332">
        <f t="shared" si="10"/>
        <v>0.125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10.310820852953624</v>
      </c>
      <c r="AC43" s="240">
        <f t="shared" si="25"/>
        <v>10.310820852953624</v>
      </c>
      <c r="AD43" s="335">
        <v>43</v>
      </c>
      <c r="AE43" s="239">
        <f t="shared" si="5"/>
        <v>1320</v>
      </c>
      <c r="AF43" s="240">
        <f t="shared" si="16"/>
        <v>7.2808228509862039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7.2808228509862039</v>
      </c>
      <c r="G44" s="320">
        <f t="shared" si="14"/>
        <v>7.2808228509862039</v>
      </c>
      <c r="H44" s="322"/>
      <c r="I44" s="322"/>
      <c r="J44" s="322"/>
      <c r="K44" s="324">
        <f t="shared" si="15"/>
        <v>0</v>
      </c>
      <c r="L44" s="289" t="s">
        <v>30</v>
      </c>
      <c r="V44" s="236">
        <f t="shared" si="8"/>
        <v>183</v>
      </c>
      <c r="W44" s="221">
        <f t="shared" si="9"/>
        <v>14.349580921871347</v>
      </c>
      <c r="X44" s="221">
        <f t="shared" si="10"/>
        <v>0.125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10.310820852953624</v>
      </c>
      <c r="AC44" s="240">
        <f t="shared" si="25"/>
        <v>10.310820852953624</v>
      </c>
      <c r="AD44" s="330">
        <v>44</v>
      </c>
      <c r="AE44" s="239">
        <f t="shared" si="5"/>
        <v>1380</v>
      </c>
      <c r="AF44" s="240">
        <f t="shared" si="16"/>
        <v>7.2808228509862039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44909.076388888883</v>
      </c>
      <c r="D45" s="318">
        <f t="shared" si="23"/>
        <v>960</v>
      </c>
      <c r="E45" s="319">
        <f t="shared" si="12"/>
        <v>0.66666666666666663</v>
      </c>
      <c r="F45" s="320">
        <f t="shared" si="13"/>
        <v>7.2808228509862039</v>
      </c>
      <c r="G45" s="320">
        <f t="shared" si="14"/>
        <v>7.2808228509862039</v>
      </c>
      <c r="H45" s="322"/>
      <c r="I45" s="322"/>
      <c r="J45" s="322"/>
      <c r="K45" s="324">
        <f t="shared" si="15"/>
        <v>0</v>
      </c>
      <c r="L45" s="289" t="s">
        <v>30</v>
      </c>
      <c r="V45" s="331">
        <f t="shared" si="8"/>
        <v>183</v>
      </c>
      <c r="W45" s="332">
        <f t="shared" si="9"/>
        <v>14.349580921871347</v>
      </c>
      <c r="X45" s="332">
        <f t="shared" si="10"/>
        <v>0.125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10.310820852953624</v>
      </c>
      <c r="AC45" s="240">
        <f t="shared" si="25"/>
        <v>10.310820852953624</v>
      </c>
      <c r="AD45" s="335">
        <v>45</v>
      </c>
      <c r="AE45" s="239">
        <f t="shared" si="5"/>
        <v>1440</v>
      </c>
      <c r="AF45" s="240">
        <f t="shared" si="16"/>
        <v>7.2808228509862039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7.2808228509862039</v>
      </c>
      <c r="G46" s="320">
        <f t="shared" si="14"/>
        <v>7.2808228509862039</v>
      </c>
      <c r="H46" s="322"/>
      <c r="I46" s="322"/>
      <c r="J46" s="322"/>
      <c r="K46" s="324">
        <f t="shared" si="15"/>
        <v>0</v>
      </c>
      <c r="L46" s="289" t="s">
        <v>30</v>
      </c>
      <c r="V46" s="236">
        <f t="shared" si="8"/>
        <v>183</v>
      </c>
      <c r="W46" s="221">
        <f t="shared" si="9"/>
        <v>14.349580921871347</v>
      </c>
      <c r="X46" s="221">
        <f t="shared" si="10"/>
        <v>0.125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10.310820852953624</v>
      </c>
      <c r="AC46" s="240">
        <f t="shared" si="25"/>
        <v>10.310820852953624</v>
      </c>
      <c r="AD46" s="330">
        <v>46</v>
      </c>
      <c r="AE46" s="337">
        <f t="shared" si="5"/>
        <v>1500</v>
      </c>
      <c r="AF46" s="339">
        <f t="shared" si="16"/>
        <v>7.2808228509862039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7.2808228509862039</v>
      </c>
      <c r="G47" s="320">
        <f t="shared" si="14"/>
        <v>7.2808228509862039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183</v>
      </c>
      <c r="W47" s="221">
        <f t="shared" si="9"/>
        <v>14.349580921871347</v>
      </c>
      <c r="X47" s="221">
        <f t="shared" si="10"/>
        <v>0.125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10.310820852953624</v>
      </c>
      <c r="AC47" s="240">
        <f t="shared" ref="AC47:AC69" si="26">AC46</f>
        <v>10.310820852953624</v>
      </c>
      <c r="AE47" s="239">
        <f t="shared" si="5"/>
        <v>1560</v>
      </c>
      <c r="AF47" s="240">
        <f t="shared" si="16"/>
        <v>7.2808228509862039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7.2808228509862039</v>
      </c>
      <c r="G48" s="320">
        <f t="shared" si="14"/>
        <v>7.2808228509862039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183</v>
      </c>
      <c r="W48" s="221">
        <f t="shared" si="9"/>
        <v>14.349580921871347</v>
      </c>
      <c r="X48" s="221">
        <f t="shared" si="10"/>
        <v>0.125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10.310820852953624</v>
      </c>
      <c r="AC48" s="240">
        <f t="shared" si="26"/>
        <v>10.310820852953624</v>
      </c>
      <c r="AE48" s="239">
        <f t="shared" si="5"/>
        <v>1620</v>
      </c>
      <c r="AF48" s="240">
        <f t="shared" si="16"/>
        <v>7.2808228509862039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7.2808228509862039</v>
      </c>
      <c r="G49" s="320">
        <f t="shared" si="14"/>
        <v>7.2808228509862039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183</v>
      </c>
      <c r="W49" s="221">
        <f t="shared" si="9"/>
        <v>14.349580921871347</v>
      </c>
      <c r="X49" s="221">
        <f t="shared" si="10"/>
        <v>0.125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10.310820852953624</v>
      </c>
      <c r="AC49" s="240">
        <f t="shared" si="26"/>
        <v>10.310820852953624</v>
      </c>
      <c r="AE49" s="239">
        <f t="shared" si="5"/>
        <v>1680</v>
      </c>
      <c r="AF49" s="240">
        <f t="shared" si="16"/>
        <v>7.2808228509862039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7.2808228509862039</v>
      </c>
      <c r="G50" s="320">
        <f t="shared" si="14"/>
        <v>7.2808228509862039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183</v>
      </c>
      <c r="W50" s="221">
        <f t="shared" si="9"/>
        <v>14.349580921871347</v>
      </c>
      <c r="X50" s="221">
        <f t="shared" si="10"/>
        <v>0.125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10.310820852953624</v>
      </c>
      <c r="AC50" s="240">
        <f t="shared" si="26"/>
        <v>10.310820852953624</v>
      </c>
      <c r="AE50" s="239">
        <f t="shared" si="5"/>
        <v>1740</v>
      </c>
      <c r="AF50" s="240">
        <f t="shared" si="16"/>
        <v>7.2808228509862039</v>
      </c>
    </row>
    <row r="51" spans="1:32" s="221" customFormat="1" ht="21" customHeight="1">
      <c r="A51" s="315"/>
      <c r="B51" s="315"/>
      <c r="C51" s="317">
        <f>$C$10+D51/1440</f>
        <v>44909.326388888883</v>
      </c>
      <c r="D51" s="318">
        <f t="shared" si="23"/>
        <v>1320</v>
      </c>
      <c r="E51" s="319">
        <f t="shared" si="12"/>
        <v>0.91666666666666663</v>
      </c>
      <c r="F51" s="320">
        <f t="shared" si="13"/>
        <v>7.2808228509862039</v>
      </c>
      <c r="G51" s="320">
        <f t="shared" si="14"/>
        <v>7.2808228509862039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183</v>
      </c>
      <c r="W51" s="221">
        <f t="shared" si="9"/>
        <v>14.349580921871347</v>
      </c>
      <c r="X51" s="221">
        <f t="shared" si="10"/>
        <v>0.125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10.310820852953624</v>
      </c>
      <c r="AC51" s="240">
        <f t="shared" si="26"/>
        <v>10.310820852953624</v>
      </c>
      <c r="AE51" s="239">
        <f t="shared" si="5"/>
        <v>1800</v>
      </c>
      <c r="AF51" s="240">
        <f t="shared" si="16"/>
        <v>7.2808228509862039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7.2808228509862039</v>
      </c>
      <c r="G52" s="320">
        <f t="shared" si="14"/>
        <v>7.2808228509862039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183</v>
      </c>
      <c r="W52" s="221">
        <f t="shared" si="9"/>
        <v>14.349580921871347</v>
      </c>
      <c r="X52" s="221">
        <f t="shared" si="10"/>
        <v>0.125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10.310820852953624</v>
      </c>
      <c r="AC52" s="240">
        <f t="shared" si="26"/>
        <v>10.310820852953624</v>
      </c>
      <c r="AE52" s="239">
        <f t="shared" si="5"/>
        <v>1860</v>
      </c>
      <c r="AF52" s="240">
        <f t="shared" si="16"/>
        <v>7.2808228509862039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7.2808228509862039</v>
      </c>
      <c r="G53" s="320">
        <f t="shared" si="14"/>
        <v>7.2808228509862039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183</v>
      </c>
      <c r="W53" s="221">
        <f t="shared" si="9"/>
        <v>14.349580921871347</v>
      </c>
      <c r="X53" s="221">
        <f t="shared" si="10"/>
        <v>0.125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10.310820852953624</v>
      </c>
      <c r="AC53" s="240">
        <f t="shared" si="26"/>
        <v>10.310820852953624</v>
      </c>
      <c r="AE53" s="239">
        <f t="shared" si="5"/>
        <v>1920</v>
      </c>
      <c r="AF53" s="240">
        <f t="shared" si="16"/>
        <v>7.2808228509862039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7.2808228509862039</v>
      </c>
      <c r="G54" s="320">
        <f t="shared" si="14"/>
        <v>7.2808228509862039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183</v>
      </c>
      <c r="W54" s="221">
        <f t="shared" si="9"/>
        <v>14.349580921871347</v>
      </c>
      <c r="X54" s="221">
        <f t="shared" si="10"/>
        <v>0.125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10.310820852953624</v>
      </c>
      <c r="AC54" s="240">
        <f t="shared" si="26"/>
        <v>10.310820852953624</v>
      </c>
      <c r="AE54" s="239">
        <f t="shared" si="5"/>
        <v>1980</v>
      </c>
      <c r="AF54" s="240">
        <f t="shared" si="16"/>
        <v>7.2808228509862039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7.2808228509862039</v>
      </c>
      <c r="G55" s="320">
        <f t="shared" si="14"/>
        <v>7.2808228509862039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183</v>
      </c>
      <c r="W55" s="221">
        <f t="shared" si="9"/>
        <v>14.349580921871347</v>
      </c>
      <c r="X55" s="221">
        <f t="shared" si="10"/>
        <v>0.125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10.310820852953624</v>
      </c>
      <c r="AC55" s="240">
        <f t="shared" si="26"/>
        <v>10.310820852953624</v>
      </c>
      <c r="AE55" s="239">
        <f t="shared" si="5"/>
        <v>2040</v>
      </c>
      <c r="AF55" s="240">
        <f t="shared" si="16"/>
        <v>7.2808228509862039</v>
      </c>
    </row>
    <row r="56" spans="1:32" s="221" customFormat="1" ht="21.6" customHeight="1">
      <c r="A56" s="315"/>
      <c r="B56" s="315"/>
      <c r="C56" s="317">
        <f>$C$10+D56/1440</f>
        <v>44909.534722222219</v>
      </c>
      <c r="D56" s="318">
        <f t="shared" si="23"/>
        <v>1620</v>
      </c>
      <c r="E56" s="319">
        <f t="shared" si="12"/>
        <v>1.125</v>
      </c>
      <c r="F56" s="320">
        <f t="shared" si="13"/>
        <v>7.2808228509862039</v>
      </c>
      <c r="G56" s="320">
        <f t="shared" si="14"/>
        <v>7.2808228509862039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183</v>
      </c>
      <c r="W56" s="221">
        <f t="shared" si="9"/>
        <v>14.349580921871347</v>
      </c>
      <c r="X56" s="221">
        <f t="shared" si="10"/>
        <v>0.125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10.310820852953624</v>
      </c>
      <c r="AC56" s="240">
        <f t="shared" si="26"/>
        <v>10.310820852953624</v>
      </c>
      <c r="AE56" s="239">
        <f t="shared" si="5"/>
        <v>2100</v>
      </c>
      <c r="AF56" s="240">
        <f t="shared" si="16"/>
        <v>7.2808228509862039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7.2808228509862039</v>
      </c>
      <c r="G57" s="320">
        <f t="shared" si="14"/>
        <v>7.2808228509862039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183</v>
      </c>
      <c r="W57" s="221">
        <f t="shared" si="9"/>
        <v>14.349580921871347</v>
      </c>
      <c r="X57" s="221">
        <f t="shared" si="10"/>
        <v>0.125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10.310820852953624</v>
      </c>
      <c r="AC57" s="240">
        <f t="shared" si="26"/>
        <v>10.310820852953624</v>
      </c>
      <c r="AE57" s="239">
        <f t="shared" si="5"/>
        <v>2160</v>
      </c>
      <c r="AF57" s="240">
        <f t="shared" si="16"/>
        <v>7.2808228509862039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7.2808228509862039</v>
      </c>
      <c r="G58" s="320">
        <f t="shared" si="14"/>
        <v>7.2808228509862039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183</v>
      </c>
      <c r="W58" s="221">
        <f t="shared" si="9"/>
        <v>14.349580921871347</v>
      </c>
      <c r="X58" s="221">
        <f t="shared" si="10"/>
        <v>0.125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10.310820852953624</v>
      </c>
      <c r="AC58" s="240">
        <f t="shared" si="26"/>
        <v>10.310820852953624</v>
      </c>
      <c r="AE58" s="239">
        <f t="shared" si="5"/>
        <v>2220</v>
      </c>
      <c r="AF58" s="240">
        <f t="shared" si="16"/>
        <v>7.2808228509862039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7.2808228509862039</v>
      </c>
      <c r="G59" s="320">
        <f t="shared" si="14"/>
        <v>7.2808228509862039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183</v>
      </c>
      <c r="W59" s="221">
        <f t="shared" si="9"/>
        <v>14.349580921871347</v>
      </c>
      <c r="X59" s="221">
        <f t="shared" si="10"/>
        <v>0.125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10.310820852953624</v>
      </c>
      <c r="AC59" s="240">
        <f t="shared" si="26"/>
        <v>10.310820852953624</v>
      </c>
      <c r="AE59" s="239">
        <f t="shared" si="5"/>
        <v>2280</v>
      </c>
      <c r="AF59" s="240">
        <f t="shared" si="16"/>
        <v>7.2808228509862039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7.2808228509862039</v>
      </c>
      <c r="G60" s="320">
        <f t="shared" si="14"/>
        <v>7.2808228509862039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183</v>
      </c>
      <c r="W60" s="221">
        <f t="shared" si="9"/>
        <v>14.349580921871347</v>
      </c>
      <c r="X60" s="221">
        <f t="shared" si="10"/>
        <v>0.125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10.310820852953624</v>
      </c>
      <c r="AC60" s="240">
        <f t="shared" si="26"/>
        <v>10.310820852953624</v>
      </c>
      <c r="AE60" s="239">
        <f t="shared" si="5"/>
        <v>2340</v>
      </c>
      <c r="AF60" s="240">
        <f t="shared" si="16"/>
        <v>7.2808228509862039</v>
      </c>
    </row>
    <row r="61" spans="1:32" s="221" customFormat="1" ht="21.6" customHeight="1">
      <c r="A61" s="315"/>
      <c r="B61" s="315"/>
      <c r="C61" s="317">
        <f>$C$10+D61/1440</f>
        <v>44909.743055555555</v>
      </c>
      <c r="D61" s="318">
        <f t="shared" si="23"/>
        <v>1920</v>
      </c>
      <c r="E61" s="319">
        <f t="shared" si="12"/>
        <v>1.3333333333333333</v>
      </c>
      <c r="F61" s="320">
        <f t="shared" si="13"/>
        <v>7.2808228509862039</v>
      </c>
      <c r="G61" s="320">
        <f t="shared" si="14"/>
        <v>7.2808228509862039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183</v>
      </c>
      <c r="W61" s="221">
        <f t="shared" si="9"/>
        <v>14.349580921871347</v>
      </c>
      <c r="X61" s="221">
        <f t="shared" si="10"/>
        <v>0.125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10.310820852953624</v>
      </c>
      <c r="AC61" s="240">
        <f t="shared" si="26"/>
        <v>10.310820852953624</v>
      </c>
      <c r="AE61" s="239">
        <f t="shared" si="5"/>
        <v>2400</v>
      </c>
      <c r="AF61" s="240">
        <f t="shared" si="16"/>
        <v>7.2808228509862039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7.2808228509862039</v>
      </c>
      <c r="G62" s="320">
        <f t="shared" si="14"/>
        <v>7.2808228509862039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183</v>
      </c>
      <c r="W62" s="221">
        <f t="shared" si="9"/>
        <v>14.349580921871347</v>
      </c>
      <c r="X62" s="221">
        <f t="shared" si="10"/>
        <v>0.125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10.310820852953624</v>
      </c>
      <c r="AC62" s="240">
        <f t="shared" si="26"/>
        <v>10.310820852953624</v>
      </c>
      <c r="AE62" s="239">
        <f t="shared" si="5"/>
        <v>2460</v>
      </c>
      <c r="AF62" s="240">
        <f t="shared" si="16"/>
        <v>7.2808228509862039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7.2808228509862039</v>
      </c>
      <c r="G63" s="320">
        <f t="shared" si="14"/>
        <v>7.2808228509862039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183</v>
      </c>
      <c r="W63" s="221">
        <f t="shared" si="9"/>
        <v>14.349580921871347</v>
      </c>
      <c r="X63" s="221">
        <f t="shared" si="10"/>
        <v>0.125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10.310820852953624</v>
      </c>
      <c r="AC63" s="240">
        <f t="shared" si="26"/>
        <v>10.310820852953624</v>
      </c>
      <c r="AE63" s="239">
        <f t="shared" si="5"/>
        <v>2520</v>
      </c>
      <c r="AF63" s="240">
        <f t="shared" si="16"/>
        <v>7.2808228509862039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7">F63</f>
        <v>7.2808228509862039</v>
      </c>
      <c r="G64" s="320">
        <f t="shared" si="14"/>
        <v>7.2808228509862039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183</v>
      </c>
      <c r="W64" s="221">
        <f t="shared" si="9"/>
        <v>14.349580921871347</v>
      </c>
      <c r="X64" s="221">
        <f t="shared" si="10"/>
        <v>0.125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10.310820852953624</v>
      </c>
      <c r="AC64" s="240">
        <f t="shared" si="26"/>
        <v>10.310820852953624</v>
      </c>
      <c r="AE64" s="239">
        <f t="shared" si="5"/>
        <v>2580</v>
      </c>
      <c r="AF64" s="240">
        <f t="shared" si="16"/>
        <v>7.2808228509862039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7"/>
        <v>7.2808228509862039</v>
      </c>
      <c r="G65" s="320">
        <f t="shared" si="14"/>
        <v>7.2808228509862039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183</v>
      </c>
      <c r="W65" s="221">
        <f t="shared" si="9"/>
        <v>14.349580921871347</v>
      </c>
      <c r="X65" s="221">
        <f t="shared" si="10"/>
        <v>0.125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10.310820852953624</v>
      </c>
      <c r="AC65" s="240">
        <f t="shared" si="26"/>
        <v>10.310820852953624</v>
      </c>
      <c r="AE65" s="239">
        <f t="shared" si="5"/>
        <v>2640</v>
      </c>
      <c r="AF65" s="240">
        <f t="shared" si="16"/>
        <v>7.2808228509862039</v>
      </c>
    </row>
    <row r="66" spans="1:32" s="221" customFormat="1" ht="21.6" customHeight="1">
      <c r="A66" s="315"/>
      <c r="B66" s="315"/>
      <c r="C66" s="317">
        <f>$C$10+D66/1440</f>
        <v>44909.951388888883</v>
      </c>
      <c r="D66" s="318">
        <f t="shared" si="23"/>
        <v>2220</v>
      </c>
      <c r="E66" s="319">
        <f t="shared" si="12"/>
        <v>1.5416666666666667</v>
      </c>
      <c r="F66" s="320">
        <f t="shared" si="27"/>
        <v>7.2808228509862039</v>
      </c>
      <c r="G66" s="320">
        <f t="shared" si="14"/>
        <v>7.2808228509862039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183</v>
      </c>
      <c r="W66" s="221">
        <f t="shared" si="9"/>
        <v>14.349580921871347</v>
      </c>
      <c r="X66" s="221">
        <f t="shared" si="10"/>
        <v>0.125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10.310820852953624</v>
      </c>
      <c r="AC66" s="240">
        <f t="shared" si="26"/>
        <v>10.310820852953624</v>
      </c>
      <c r="AE66" s="239">
        <f t="shared" si="5"/>
        <v>2700</v>
      </c>
      <c r="AF66" s="240">
        <f t="shared" si="16"/>
        <v>7.2808228509862039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7"/>
        <v>7.2808228509862039</v>
      </c>
      <c r="G67" s="320">
        <f t="shared" si="14"/>
        <v>7.2808228509862039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183</v>
      </c>
      <c r="W67" s="221">
        <f t="shared" si="9"/>
        <v>14.349580921871347</v>
      </c>
      <c r="X67" s="221">
        <f t="shared" si="10"/>
        <v>0.125</v>
      </c>
      <c r="Y67" s="221">
        <f t="shared" si="11"/>
        <v>5.0000000000000001E-4</v>
      </c>
      <c r="Z67" s="221">
        <f t="shared" ref="Z67:Z79" si="28">E75</f>
        <v>1.9166666666666667</v>
      </c>
      <c r="AA67" s="239">
        <f t="shared" ref="AA67:AA79" si="29">D75</f>
        <v>2760</v>
      </c>
      <c r="AB67" s="290">
        <f>AC67+AD$2</f>
        <v>10.310820852953624</v>
      </c>
      <c r="AC67" s="240">
        <f t="shared" si="26"/>
        <v>10.310820852953624</v>
      </c>
      <c r="AE67" s="239">
        <f>AA67</f>
        <v>2760</v>
      </c>
      <c r="AF67" s="240">
        <f t="shared" si="16"/>
        <v>7.2808228509862039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7"/>
        <v>7.2808228509862039</v>
      </c>
      <c r="G68" s="320">
        <f t="shared" si="14"/>
        <v>7.2808228509862039</v>
      </c>
      <c r="H68" s="322"/>
      <c r="I68" s="322"/>
      <c r="J68" s="322"/>
      <c r="K68" s="221" t="s">
        <v>30</v>
      </c>
      <c r="L68" s="289" t="s">
        <v>30</v>
      </c>
      <c r="V68" s="236">
        <f>V67</f>
        <v>183</v>
      </c>
      <c r="W68" s="221">
        <f t="shared" ref="W68:W83" si="30">W$2</f>
        <v>14.349580921871347</v>
      </c>
      <c r="X68" s="221">
        <f t="shared" ref="X68:X83" si="31">X67</f>
        <v>0.125</v>
      </c>
      <c r="Y68" s="221">
        <f t="shared" ref="Y68:Y83" si="32">Y$2</f>
        <v>5.0000000000000001E-4</v>
      </c>
      <c r="Z68" s="221">
        <f t="shared" si="28"/>
        <v>1.9583333333333333</v>
      </c>
      <c r="AA68" s="239">
        <f t="shared" si="29"/>
        <v>2820</v>
      </c>
      <c r="AB68" s="290">
        <f>AC68+AD$2</f>
        <v>10.310820852953624</v>
      </c>
      <c r="AC68" s="240">
        <f t="shared" si="26"/>
        <v>10.310820852953624</v>
      </c>
      <c r="AE68" s="239">
        <f>AA68</f>
        <v>2820</v>
      </c>
      <c r="AF68" s="240">
        <f t="shared" si="16"/>
        <v>7.2808228509862039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7"/>
        <v>7.2808228509862039</v>
      </c>
      <c r="G69" s="320">
        <f t="shared" si="14"/>
        <v>7.2808228509862039</v>
      </c>
      <c r="H69" s="322"/>
      <c r="I69" s="322"/>
      <c r="J69" s="322"/>
      <c r="K69" s="221" t="s">
        <v>30</v>
      </c>
      <c r="L69" s="289" t="s">
        <v>30</v>
      </c>
      <c r="V69" s="236">
        <f>V68</f>
        <v>183</v>
      </c>
      <c r="W69" s="221">
        <f t="shared" si="30"/>
        <v>14.349580921871347</v>
      </c>
      <c r="X69" s="221">
        <f t="shared" si="31"/>
        <v>0.125</v>
      </c>
      <c r="Y69" s="221">
        <f t="shared" si="32"/>
        <v>5.0000000000000001E-4</v>
      </c>
      <c r="Z69" s="221">
        <f t="shared" si="28"/>
        <v>2</v>
      </c>
      <c r="AA69" s="239">
        <f t="shared" si="29"/>
        <v>2880</v>
      </c>
      <c r="AB69" s="290">
        <f>AC69+AD$2</f>
        <v>10.310820852953624</v>
      </c>
      <c r="AC69" s="240">
        <f t="shared" si="26"/>
        <v>10.310820852953624</v>
      </c>
      <c r="AE69" s="239">
        <f>AA69</f>
        <v>2880</v>
      </c>
      <c r="AF69" s="240">
        <f t="shared" si="16"/>
        <v>7.2808228509862039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7"/>
        <v>7.2808228509862039</v>
      </c>
      <c r="G70" s="320">
        <f t="shared" si="14"/>
        <v>7.2808228509862039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30"/>
        <v>14.349580921871347</v>
      </c>
      <c r="X70" s="221">
        <f t="shared" si="31"/>
        <v>0.125</v>
      </c>
      <c r="Y70" s="221">
        <f t="shared" si="32"/>
        <v>5.0000000000000001E-4</v>
      </c>
      <c r="Z70" s="221">
        <f t="shared" si="28"/>
        <v>6.9444444444444447E-4</v>
      </c>
      <c r="AA70" s="239">
        <f t="shared" si="29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44910.159722222219</v>
      </c>
      <c r="D71" s="318">
        <f t="shared" si="23"/>
        <v>2520</v>
      </c>
      <c r="E71" s="319">
        <f t="shared" si="12"/>
        <v>1.75</v>
      </c>
      <c r="F71" s="320">
        <f t="shared" si="27"/>
        <v>7.2808228509862039</v>
      </c>
      <c r="G71" s="320">
        <f t="shared" si="14"/>
        <v>7.2808228509862039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30"/>
        <v>14.349580921871347</v>
      </c>
      <c r="X71" s="221">
        <f t="shared" si="31"/>
        <v>0.125</v>
      </c>
      <c r="Y71" s="221">
        <f t="shared" si="32"/>
        <v>5.0000000000000001E-4</v>
      </c>
      <c r="Z71" s="221">
        <f t="shared" si="28"/>
        <v>1.3888888888888889E-3</v>
      </c>
      <c r="AA71" s="239">
        <f t="shared" si="29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7"/>
        <v>7.2808228509862039</v>
      </c>
      <c r="G72" s="320">
        <f t="shared" si="14"/>
        <v>7.2808228509862039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30"/>
        <v>14.349580921871347</v>
      </c>
      <c r="X72" s="221">
        <f t="shared" si="31"/>
        <v>0.125</v>
      </c>
      <c r="Y72" s="221">
        <f t="shared" si="32"/>
        <v>5.0000000000000001E-4</v>
      </c>
      <c r="Z72" s="221">
        <f t="shared" si="28"/>
        <v>2.0833333333333333E-3</v>
      </c>
      <c r="AA72" s="239">
        <f t="shared" si="29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7"/>
        <v>7.2808228509862039</v>
      </c>
      <c r="G73" s="320">
        <f t="shared" si="14"/>
        <v>7.2808228509862039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30"/>
        <v>14.349580921871347</v>
      </c>
      <c r="X73" s="221">
        <f t="shared" si="31"/>
        <v>0.125</v>
      </c>
      <c r="Y73" s="221">
        <f t="shared" si="32"/>
        <v>5.0000000000000001E-4</v>
      </c>
      <c r="Z73" s="221">
        <f t="shared" si="28"/>
        <v>2.7777777777777779E-3</v>
      </c>
      <c r="AA73" s="239">
        <f t="shared" si="29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7"/>
        <v>7.2808228509862039</v>
      </c>
      <c r="G74" s="320">
        <f t="shared" si="14"/>
        <v>7.2808228509862039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30"/>
        <v>14.349580921871347</v>
      </c>
      <c r="X74" s="221">
        <f t="shared" si="31"/>
        <v>0.125</v>
      </c>
      <c r="Y74" s="221">
        <f t="shared" si="32"/>
        <v>5.0000000000000001E-4</v>
      </c>
      <c r="Z74" s="221">
        <f t="shared" si="28"/>
        <v>3.472222222222222E-3</v>
      </c>
      <c r="AA74" s="239">
        <f t="shared" si="29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7"/>
        <v>7.2808228509862039</v>
      </c>
      <c r="G75" s="320">
        <f>AF67</f>
        <v>7.2808228509862039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30"/>
        <v>14.349580921871347</v>
      </c>
      <c r="X75" s="221">
        <f t="shared" si="31"/>
        <v>0.125</v>
      </c>
      <c r="Y75" s="221">
        <f t="shared" si="32"/>
        <v>5.0000000000000001E-4</v>
      </c>
      <c r="Z75" s="221">
        <f t="shared" si="28"/>
        <v>6.9444444444444441E-3</v>
      </c>
      <c r="AA75" s="239">
        <f t="shared" si="29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7"/>
        <v>7.2808228509862039</v>
      </c>
      <c r="G76" s="320">
        <f>AF68</f>
        <v>7.2808228509862039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30"/>
        <v>14.349580921871347</v>
      </c>
      <c r="X76" s="221">
        <f t="shared" si="31"/>
        <v>0.125</v>
      </c>
      <c r="Y76" s="221">
        <f t="shared" si="32"/>
        <v>5.0000000000000001E-4</v>
      </c>
      <c r="Z76" s="221">
        <f t="shared" si="28"/>
        <v>1.0416666666666666E-2</v>
      </c>
      <c r="AA76" s="239">
        <f t="shared" si="29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44910.409722222219</v>
      </c>
      <c r="D77" s="318">
        <f>D76+60</f>
        <v>2880</v>
      </c>
      <c r="E77" s="319">
        <f>D77/1440</f>
        <v>2</v>
      </c>
      <c r="F77" s="321">
        <f t="shared" si="27"/>
        <v>7.2808228509862039</v>
      </c>
      <c r="G77" s="320">
        <f>AF69</f>
        <v>7.2808228509862039</v>
      </c>
      <c r="H77" s="322" t="s">
        <v>200</v>
      </c>
      <c r="I77" s="322"/>
      <c r="J77" s="322"/>
      <c r="K77" s="221" t="s">
        <v>30</v>
      </c>
      <c r="L77" s="289" t="s">
        <v>30</v>
      </c>
      <c r="V77" s="236"/>
      <c r="W77" s="221">
        <f t="shared" si="30"/>
        <v>14.349580921871347</v>
      </c>
      <c r="X77" s="221">
        <f t="shared" si="31"/>
        <v>0.125</v>
      </c>
      <c r="Y77" s="221">
        <f t="shared" si="32"/>
        <v>5.0000000000000001E-4</v>
      </c>
      <c r="Z77" s="221">
        <f t="shared" si="28"/>
        <v>1.3888888888888888E-2</v>
      </c>
      <c r="AA77" s="239">
        <f t="shared" si="29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44910.410416666666</v>
      </c>
      <c r="D78" s="318">
        <v>1</v>
      </c>
      <c r="E78" s="319">
        <f t="shared" ref="E78:E101" si="33">D78/1440</f>
        <v>6.9444444444444447E-4</v>
      </c>
      <c r="F78" s="320">
        <f>G78+D$8</f>
        <v>5.5141071288462618</v>
      </c>
      <c r="G78" s="320">
        <f>H114</f>
        <v>5.5141071288462618</v>
      </c>
      <c r="H78" s="470" t="s">
        <v>211</v>
      </c>
      <c r="I78" s="470"/>
      <c r="J78" s="470"/>
      <c r="K78" s="221" t="s">
        <v>30</v>
      </c>
      <c r="L78" s="289"/>
      <c r="V78" s="236"/>
      <c r="W78" s="221">
        <f t="shared" si="30"/>
        <v>14.349580921871347</v>
      </c>
      <c r="X78" s="221">
        <f t="shared" si="31"/>
        <v>0.125</v>
      </c>
      <c r="Y78" s="221">
        <f t="shared" si="32"/>
        <v>5.0000000000000001E-4</v>
      </c>
      <c r="Z78" s="221">
        <f t="shared" si="28"/>
        <v>1.7361111111111112E-2</v>
      </c>
      <c r="AA78" s="239">
        <f t="shared" si="29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3"/>
        <v>1.3888888888888889E-3</v>
      </c>
      <c r="F79" s="320">
        <f t="shared" ref="F79:F101" si="34">G79+D$8</f>
        <v>5.1952898882318248</v>
      </c>
      <c r="G79" s="320">
        <f>H115</f>
        <v>5.1952898882318248</v>
      </c>
      <c r="H79" s="470"/>
      <c r="I79" s="470"/>
      <c r="J79" s="470"/>
      <c r="K79" s="221" t="s">
        <v>30</v>
      </c>
      <c r="L79" s="289" t="s">
        <v>30</v>
      </c>
      <c r="V79" s="236"/>
      <c r="W79" s="221">
        <f t="shared" si="30"/>
        <v>14.349580921871347</v>
      </c>
      <c r="X79" s="221">
        <f t="shared" si="31"/>
        <v>0.125</v>
      </c>
      <c r="Y79" s="221">
        <f t="shared" si="32"/>
        <v>5.0000000000000001E-4</v>
      </c>
      <c r="Z79" s="221">
        <f t="shared" si="28"/>
        <v>2.0833333333333332E-2</v>
      </c>
      <c r="AA79" s="239">
        <f t="shared" si="29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3"/>
        <v>2.0833333333333333E-3</v>
      </c>
      <c r="F80" s="320">
        <f t="shared" si="34"/>
        <v>4.8949061728532826</v>
      </c>
      <c r="G80" s="320">
        <f>H116</f>
        <v>4.8949061728532826</v>
      </c>
      <c r="H80" s="470"/>
      <c r="I80" s="470"/>
      <c r="J80" s="470"/>
      <c r="K80" s="221" t="s">
        <v>30</v>
      </c>
      <c r="L80" s="289" t="s">
        <v>30</v>
      </c>
      <c r="V80" s="236"/>
      <c r="W80" s="221">
        <f t="shared" si="30"/>
        <v>14.349580921871347</v>
      </c>
      <c r="X80" s="221">
        <f t="shared" si="31"/>
        <v>0.125</v>
      </c>
      <c r="Y80" s="221">
        <f t="shared" si="32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3"/>
        <v>2.7777777777777779E-3</v>
      </c>
      <c r="F81" s="320">
        <f t="shared" si="34"/>
        <v>4.6118901844747286</v>
      </c>
      <c r="G81" s="320">
        <f>H117</f>
        <v>4.6118901844747286</v>
      </c>
      <c r="H81" s="470"/>
      <c r="I81" s="470"/>
      <c r="J81" s="470"/>
      <c r="K81" s="221" t="s">
        <v>30</v>
      </c>
      <c r="L81" s="289" t="s">
        <v>30</v>
      </c>
      <c r="V81" s="236"/>
      <c r="W81" s="221">
        <f t="shared" si="30"/>
        <v>14.349580921871347</v>
      </c>
      <c r="X81" s="221">
        <f t="shared" si="31"/>
        <v>0.125</v>
      </c>
      <c r="Y81" s="221">
        <f t="shared" si="32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3"/>
        <v>3.472222222222222E-3</v>
      </c>
      <c r="F82" s="320">
        <f t="shared" si="34"/>
        <v>4.3452377476841715</v>
      </c>
      <c r="G82" s="320">
        <f>H118</f>
        <v>4.3452377476841715</v>
      </c>
      <c r="H82" s="470"/>
      <c r="I82" s="470"/>
      <c r="J82" s="470"/>
      <c r="K82" s="221" t="s">
        <v>30</v>
      </c>
      <c r="L82" s="289" t="s">
        <v>30</v>
      </c>
      <c r="V82" s="236"/>
      <c r="W82" s="221">
        <f t="shared" si="30"/>
        <v>14.349580921871347</v>
      </c>
      <c r="X82" s="221">
        <f t="shared" si="31"/>
        <v>0.125</v>
      </c>
      <c r="Y82" s="221">
        <f t="shared" si="32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3"/>
        <v>6.9444444444444441E-3</v>
      </c>
      <c r="F83" s="320">
        <f t="shared" si="34"/>
        <v>3.634270943507532</v>
      </c>
      <c r="G83" s="320">
        <f>H121</f>
        <v>3.634270943507532</v>
      </c>
      <c r="H83" s="470"/>
      <c r="I83" s="470"/>
      <c r="J83" s="470"/>
      <c r="K83" s="221" t="s">
        <v>30</v>
      </c>
      <c r="L83" s="289" t="s">
        <v>30</v>
      </c>
      <c r="V83" s="236"/>
      <c r="W83" s="221">
        <f t="shared" si="30"/>
        <v>14.349580921871347</v>
      </c>
      <c r="X83" s="221">
        <f t="shared" si="31"/>
        <v>0.125</v>
      </c>
      <c r="Y83" s="221">
        <f t="shared" si="32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3"/>
        <v>1.0416666666666666E-2</v>
      </c>
      <c r="F84" s="320">
        <f t="shared" si="34"/>
        <v>3.4927997925706422</v>
      </c>
      <c r="G84" s="320">
        <f>H124</f>
        <v>3.4927997925706422</v>
      </c>
      <c r="H84" s="470"/>
      <c r="I84" s="470"/>
      <c r="J84" s="470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3"/>
        <v>1.3888888888888888E-2</v>
      </c>
      <c r="F85" s="320">
        <f t="shared" si="34"/>
        <v>3.1005794529733692</v>
      </c>
      <c r="G85" s="320">
        <f>H126</f>
        <v>3.1005794529733692</v>
      </c>
      <c r="H85" s="470"/>
      <c r="I85" s="470"/>
      <c r="J85" s="470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3"/>
        <v>1.7361111111111112E-2</v>
      </c>
      <c r="F86" s="320">
        <f t="shared" si="34"/>
        <v>2.9213086911973618</v>
      </c>
      <c r="G86" s="320">
        <f t="shared" ref="G86:G92" si="35">H127</f>
        <v>2.9213086911973618</v>
      </c>
      <c r="H86" s="470"/>
      <c r="I86" s="470"/>
      <c r="J86" s="470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3"/>
        <v>2.0833333333333332E-2</v>
      </c>
      <c r="F87" s="320">
        <f t="shared" si="34"/>
        <v>2.7524030906807853</v>
      </c>
      <c r="G87" s="320">
        <f t="shared" si="35"/>
        <v>2.7524030906807853</v>
      </c>
      <c r="H87" s="470"/>
      <c r="I87" s="470"/>
      <c r="J87" s="470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3"/>
        <v>2.4305555555555556E-2</v>
      </c>
      <c r="F88" s="320">
        <f t="shared" si="34"/>
        <v>2.698299992770671</v>
      </c>
      <c r="G88" s="320">
        <f t="shared" si="35"/>
        <v>2.698299992770671</v>
      </c>
      <c r="H88" s="470"/>
      <c r="I88" s="470"/>
      <c r="J88" s="470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3"/>
        <v>2.7777777777777776E-2</v>
      </c>
      <c r="F89" s="320">
        <f t="shared" si="34"/>
        <v>2.6452603819687437</v>
      </c>
      <c r="G89" s="320">
        <f t="shared" si="35"/>
        <v>2.6452603819687437</v>
      </c>
      <c r="H89" s="470"/>
      <c r="I89" s="470"/>
      <c r="J89" s="470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3"/>
        <v>3.125E-2</v>
      </c>
      <c r="F90" s="320">
        <f t="shared" si="34"/>
        <v>2.5932633536526617</v>
      </c>
      <c r="G90" s="320">
        <f t="shared" si="35"/>
        <v>2.5932633536526617</v>
      </c>
      <c r="H90" s="470"/>
      <c r="I90" s="470"/>
      <c r="J90" s="470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3"/>
        <v>3.4722222222222224E-2</v>
      </c>
      <c r="F91" s="320">
        <f t="shared" si="34"/>
        <v>2.5422884141154891</v>
      </c>
      <c r="G91" s="320">
        <f t="shared" si="35"/>
        <v>2.5422884141154891</v>
      </c>
      <c r="H91" s="470"/>
      <c r="I91" s="470"/>
      <c r="J91" s="470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3"/>
        <v>3.8194444444444448E-2</v>
      </c>
      <c r="F92" s="320">
        <f t="shared" si="34"/>
        <v>2.4923154724884626</v>
      </c>
      <c r="G92" s="320">
        <f t="shared" si="35"/>
        <v>2.4923154724884626</v>
      </c>
      <c r="H92" s="470"/>
      <c r="I92" s="470"/>
      <c r="J92" s="470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44910.451388888883</v>
      </c>
      <c r="D93" s="318">
        <v>60</v>
      </c>
      <c r="E93" s="319">
        <f t="shared" si="33"/>
        <v>4.1666666666666664E-2</v>
      </c>
      <c r="F93" s="320">
        <f t="shared" si="34"/>
        <v>2.4433248328225323</v>
      </c>
      <c r="G93" s="320">
        <f>H134</f>
        <v>2.4433248328225323</v>
      </c>
      <c r="H93" s="470"/>
      <c r="I93" s="470"/>
      <c r="J93" s="470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3"/>
        <v>5.2083333333333336E-2</v>
      </c>
      <c r="F94" s="320">
        <f t="shared" si="34"/>
        <v>2.395297186325553</v>
      </c>
      <c r="G94" s="320">
        <f>H135</f>
        <v>2.395297186325553</v>
      </c>
      <c r="H94" s="470"/>
      <c r="I94" s="470"/>
      <c r="J94" s="470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3"/>
        <v>6.25E-2</v>
      </c>
      <c r="F95" s="320">
        <f t="shared" si="34"/>
        <v>2.3482136037520656</v>
      </c>
      <c r="G95" s="320">
        <f>H136</f>
        <v>2.3482136037520656</v>
      </c>
      <c r="H95" s="470"/>
      <c r="I95" s="470"/>
      <c r="J95" s="470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3"/>
        <v>7.2916666666666671E-2</v>
      </c>
      <c r="F96" s="320">
        <f t="shared" si="34"/>
        <v>2.3020555279426693</v>
      </c>
      <c r="G96" s="320">
        <f>H137</f>
        <v>2.3020555279426693</v>
      </c>
      <c r="H96" s="470"/>
      <c r="I96" s="470"/>
      <c r="J96" s="470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44910.493055555555</v>
      </c>
      <c r="D97" s="318">
        <v>120</v>
      </c>
      <c r="E97" s="319">
        <f t="shared" si="33"/>
        <v>8.3333333333333329E-2</v>
      </c>
      <c r="F97" s="320">
        <f t="shared" si="34"/>
        <v>2.168954198205999</v>
      </c>
      <c r="G97" s="320">
        <f>H138</f>
        <v>2.168954198205999</v>
      </c>
      <c r="H97" s="470"/>
      <c r="I97" s="470"/>
      <c r="J97" s="470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3"/>
        <v>0.125</v>
      </c>
      <c r="F98" s="320">
        <f t="shared" si="34"/>
        <v>2.126319766590437</v>
      </c>
      <c r="G98" s="320">
        <f>H140</f>
        <v>2.126319766590437</v>
      </c>
      <c r="H98" s="470"/>
      <c r="I98" s="470"/>
      <c r="J98" s="470"/>
      <c r="K98" s="324"/>
      <c r="L98" s="289" t="s">
        <v>30</v>
      </c>
      <c r="V98" s="236" t="str">
        <f t="shared" ref="V98:V103" si="36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44910.576388888883</v>
      </c>
      <c r="D99" s="318">
        <v>240</v>
      </c>
      <c r="E99" s="319">
        <f t="shared" si="33"/>
        <v>0.16666666666666666</v>
      </c>
      <c r="F99" s="320">
        <f t="shared" si="34"/>
        <v>1.8875468879621162</v>
      </c>
      <c r="G99" s="320">
        <f>H142</f>
        <v>1.8875468879621162</v>
      </c>
      <c r="H99" s="470"/>
      <c r="I99" s="470"/>
      <c r="J99" s="470"/>
      <c r="V99" s="236" t="str">
        <f t="shared" si="36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3"/>
        <v>0.20833333333333334</v>
      </c>
      <c r="F100" s="320">
        <f t="shared" si="34"/>
        <v>1.6755867627419407</v>
      </c>
      <c r="G100" s="320">
        <f>H144</f>
        <v>1.6755867627419407</v>
      </c>
      <c r="H100" s="470"/>
      <c r="I100" s="470"/>
      <c r="J100" s="470"/>
      <c r="V100" s="236" t="str">
        <f t="shared" si="36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44910.659722222219</v>
      </c>
      <c r="D101" s="318">
        <v>360</v>
      </c>
      <c r="E101" s="319">
        <f t="shared" si="33"/>
        <v>0.25</v>
      </c>
      <c r="F101" s="321">
        <f t="shared" si="34"/>
        <v>1.4874284805222631</v>
      </c>
      <c r="G101" s="341">
        <f>H146</f>
        <v>1.4874284805222631</v>
      </c>
      <c r="H101" s="470"/>
      <c r="I101" s="470"/>
      <c r="J101" s="470"/>
      <c r="V101" s="236" t="str">
        <f t="shared" si="36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6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6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7.2808228509862039</v>
      </c>
      <c r="F110" s="344" t="s">
        <v>212</v>
      </c>
      <c r="H110" s="345" t="s">
        <v>213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7.2808228509862039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7">D111^E111</f>
        <v>6.5928233787414401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8">C111-C$110</f>
        <v>92</v>
      </c>
      <c r="D112" s="346">
        <f>D111</f>
        <v>7.2808228509862039</v>
      </c>
      <c r="E112" s="281">
        <f t="shared" ref="E112:E141" si="39">C112/100</f>
        <v>0.92</v>
      </c>
      <c r="F112" s="349"/>
      <c r="G112" s="221">
        <v>2</v>
      </c>
      <c r="H112" s="348">
        <f t="shared" si="37"/>
        <v>6.2116364144053895</v>
      </c>
      <c r="I112" s="240"/>
      <c r="J112" s="241">
        <f>H111-H112</f>
        <v>0.38118696433605059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8"/>
        <v>89</v>
      </c>
      <c r="D113" s="346">
        <f t="shared" ref="D113:D146" si="40">D112</f>
        <v>7.2808228509862039</v>
      </c>
      <c r="E113" s="281">
        <f t="shared" si="39"/>
        <v>0.89</v>
      </c>
      <c r="F113" s="315" t="s">
        <v>30</v>
      </c>
      <c r="G113" s="221">
        <v>3</v>
      </c>
      <c r="H113" s="348">
        <f t="shared" si="37"/>
        <v>5.8524890973391646</v>
      </c>
      <c r="I113" s="240"/>
      <c r="J113" s="241">
        <f t="shared" ref="J113:J146" si="41">H112-H113</f>
        <v>0.35914731706622494</v>
      </c>
      <c r="AA113" s="239"/>
      <c r="AB113" s="340"/>
    </row>
    <row r="114" spans="1:28" s="221" customFormat="1" ht="17.25" customHeight="1">
      <c r="B114" s="221">
        <v>4</v>
      </c>
      <c r="C114" s="221">
        <f t="shared" si="38"/>
        <v>86</v>
      </c>
      <c r="D114" s="346">
        <f t="shared" si="40"/>
        <v>7.2808228509862039</v>
      </c>
      <c r="E114" s="281">
        <f t="shared" si="39"/>
        <v>0.86</v>
      </c>
      <c r="F114" s="349">
        <v>1</v>
      </c>
      <c r="G114" s="350">
        <v>4</v>
      </c>
      <c r="H114" s="351">
        <f t="shared" si="37"/>
        <v>5.5141071288462618</v>
      </c>
      <c r="I114" s="352"/>
      <c r="J114" s="241">
        <f t="shared" si="41"/>
        <v>0.33838196849290281</v>
      </c>
      <c r="AA114" s="239"/>
      <c r="AB114" s="340"/>
    </row>
    <row r="115" spans="1:28" s="221" customFormat="1" ht="17.25" customHeight="1">
      <c r="B115" s="221">
        <v>5</v>
      </c>
      <c r="C115" s="221">
        <f t="shared" si="38"/>
        <v>83</v>
      </c>
      <c r="D115" s="346">
        <f t="shared" si="40"/>
        <v>7.2808228509862039</v>
      </c>
      <c r="E115" s="281">
        <f t="shared" si="39"/>
        <v>0.83</v>
      </c>
      <c r="F115" s="349">
        <v>2</v>
      </c>
      <c r="G115" s="350">
        <v>5</v>
      </c>
      <c r="H115" s="351">
        <f t="shared" si="37"/>
        <v>5.1952898882318248</v>
      </c>
      <c r="I115" s="352"/>
      <c r="J115" s="241">
        <f t="shared" si="41"/>
        <v>0.31881724061443695</v>
      </c>
      <c r="AA115" s="239"/>
      <c r="AB115" s="340"/>
    </row>
    <row r="116" spans="1:28" s="221" customFormat="1" ht="17.25" customHeight="1">
      <c r="B116" s="221">
        <v>6</v>
      </c>
      <c r="C116" s="221">
        <f t="shared" si="38"/>
        <v>80</v>
      </c>
      <c r="D116" s="346">
        <f t="shared" si="40"/>
        <v>7.2808228509862039</v>
      </c>
      <c r="E116" s="281">
        <f t="shared" si="39"/>
        <v>0.8</v>
      </c>
      <c r="F116" s="349">
        <v>3</v>
      </c>
      <c r="G116" s="350">
        <v>6</v>
      </c>
      <c r="H116" s="351">
        <f t="shared" si="37"/>
        <v>4.8949061728532826</v>
      </c>
      <c r="I116" s="352"/>
      <c r="J116" s="241">
        <f t="shared" si="41"/>
        <v>0.30038371537854225</v>
      </c>
      <c r="AA116" s="239"/>
      <c r="AB116" s="340"/>
    </row>
    <row r="117" spans="1:28" s="221" customFormat="1" ht="17.25" customHeight="1">
      <c r="B117" s="221">
        <v>7</v>
      </c>
      <c r="C117" s="221">
        <f t="shared" si="38"/>
        <v>77</v>
      </c>
      <c r="D117" s="346">
        <f t="shared" si="40"/>
        <v>7.2808228509862039</v>
      </c>
      <c r="E117" s="281">
        <f t="shared" si="39"/>
        <v>0.77</v>
      </c>
      <c r="F117" s="349">
        <v>4</v>
      </c>
      <c r="G117" s="350">
        <v>7</v>
      </c>
      <c r="H117" s="351">
        <f t="shared" si="37"/>
        <v>4.6118901844747286</v>
      </c>
      <c r="I117" s="352"/>
      <c r="J117" s="241">
        <f t="shared" si="41"/>
        <v>0.28301598837855391</v>
      </c>
      <c r="AA117" s="239"/>
      <c r="AB117" s="340"/>
    </row>
    <row r="118" spans="1:28" s="221" customFormat="1" ht="17.25" customHeight="1">
      <c r="B118" s="221">
        <v>8</v>
      </c>
      <c r="C118" s="221">
        <f t="shared" si="38"/>
        <v>74</v>
      </c>
      <c r="D118" s="346">
        <f t="shared" si="40"/>
        <v>7.2808228509862039</v>
      </c>
      <c r="E118" s="281">
        <f t="shared" si="39"/>
        <v>0.74</v>
      </c>
      <c r="F118" s="349">
        <v>5</v>
      </c>
      <c r="G118" s="350">
        <v>8</v>
      </c>
      <c r="H118" s="351">
        <f t="shared" si="37"/>
        <v>4.3452377476841715</v>
      </c>
      <c r="I118" s="352"/>
      <c r="J118" s="241">
        <f t="shared" si="41"/>
        <v>0.26665243679055717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8"/>
        <v>71</v>
      </c>
      <c r="D119" s="346">
        <f t="shared" si="40"/>
        <v>7.2808228509862039</v>
      </c>
      <c r="E119" s="281">
        <f t="shared" si="39"/>
        <v>0.71</v>
      </c>
      <c r="F119" s="315"/>
      <c r="G119" s="221">
        <v>9</v>
      </c>
      <c r="H119" s="353">
        <f t="shared" si="37"/>
        <v>4.0940027469561002</v>
      </c>
      <c r="I119" s="354"/>
      <c r="J119" s="241">
        <f t="shared" si="41"/>
        <v>0.25123500072807126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40"/>
        <v>7.2808228509862039</v>
      </c>
      <c r="E120" s="281">
        <f t="shared" si="39"/>
        <v>0.68</v>
      </c>
      <c r="F120" s="315" t="s">
        <v>30</v>
      </c>
      <c r="G120" s="221">
        <v>10</v>
      </c>
      <c r="H120" s="348">
        <f t="shared" si="37"/>
        <v>3.8572937697176473</v>
      </c>
      <c r="I120" s="240"/>
      <c r="J120" s="241">
        <f t="shared" si="41"/>
        <v>0.23670897723845297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2">C120-A$120</f>
        <v>65</v>
      </c>
      <c r="D121" s="346">
        <f t="shared" si="40"/>
        <v>7.2808228509862039</v>
      </c>
      <c r="E121" s="281">
        <f t="shared" si="39"/>
        <v>0.65</v>
      </c>
      <c r="F121" s="349">
        <v>10</v>
      </c>
      <c r="G121" s="350">
        <v>12</v>
      </c>
      <c r="H121" s="351">
        <f t="shared" si="37"/>
        <v>3.634270943507532</v>
      </c>
      <c r="I121" s="352"/>
      <c r="J121" s="241">
        <f t="shared" si="41"/>
        <v>0.22302282621011527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2"/>
        <v>62</v>
      </c>
      <c r="D122" s="346">
        <f t="shared" si="40"/>
        <v>7.2808228509862039</v>
      </c>
      <c r="E122" s="281">
        <f t="shared" si="39"/>
        <v>0.62</v>
      </c>
      <c r="F122" s="315"/>
      <c r="G122" s="221">
        <v>14</v>
      </c>
      <c r="H122" s="348">
        <f t="shared" si="37"/>
        <v>3.4241429560056411</v>
      </c>
      <c r="I122" s="240"/>
      <c r="J122" s="241">
        <f t="shared" si="41"/>
        <v>0.21012798750189088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40"/>
        <v>7.2808228509862039</v>
      </c>
      <c r="E123" s="281">
        <f t="shared" si="39"/>
        <v>0.37</v>
      </c>
      <c r="F123" s="315"/>
      <c r="G123" s="221">
        <v>15</v>
      </c>
      <c r="H123" s="348">
        <f t="shared" si="37"/>
        <v>2.0845233862166603</v>
      </c>
      <c r="I123" s="240"/>
      <c r="J123" s="241">
        <f t="shared" si="41"/>
        <v>1.3396195697889808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40"/>
        <v>7.2808228509862039</v>
      </c>
      <c r="E124" s="281">
        <f t="shared" si="39"/>
        <v>0.63</v>
      </c>
      <c r="F124" s="349">
        <v>15</v>
      </c>
      <c r="G124" s="350">
        <v>16</v>
      </c>
      <c r="H124" s="351">
        <f t="shared" si="37"/>
        <v>3.4927997925706422</v>
      </c>
      <c r="I124" s="352"/>
      <c r="J124" s="241">
        <f t="shared" si="41"/>
        <v>-1.4082764063539819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2"/>
        <v>60</v>
      </c>
      <c r="D125" s="346">
        <f t="shared" si="40"/>
        <v>7.2808228509862039</v>
      </c>
      <c r="E125" s="281">
        <f t="shared" si="39"/>
        <v>0.6</v>
      </c>
      <c r="F125" s="315"/>
      <c r="G125" s="221">
        <v>18</v>
      </c>
      <c r="H125" s="348">
        <f t="shared" si="37"/>
        <v>3.2908514506422466</v>
      </c>
      <c r="I125" s="240"/>
      <c r="J125" s="241">
        <f t="shared" si="41"/>
        <v>0.20194834192839561</v>
      </c>
      <c r="AA125" s="239"/>
      <c r="AB125" s="340"/>
    </row>
    <row r="126" spans="1:28" s="221" customFormat="1" ht="17.25" customHeight="1">
      <c r="B126" s="221">
        <v>15</v>
      </c>
      <c r="C126" s="221">
        <f t="shared" si="42"/>
        <v>57</v>
      </c>
      <c r="D126" s="346">
        <f t="shared" si="40"/>
        <v>7.2808228509862039</v>
      </c>
      <c r="E126" s="281">
        <f t="shared" si="39"/>
        <v>0.56999999999999995</v>
      </c>
      <c r="F126" s="349">
        <v>20</v>
      </c>
      <c r="G126" s="350">
        <v>20</v>
      </c>
      <c r="H126" s="351">
        <f t="shared" si="37"/>
        <v>3.1005794529733692</v>
      </c>
      <c r="I126" s="352"/>
      <c r="J126" s="241">
        <f t="shared" si="41"/>
        <v>0.19027199766887737</v>
      </c>
      <c r="AA126" s="239"/>
      <c r="AB126" s="340"/>
    </row>
    <row r="127" spans="1:28" s="221" customFormat="1" ht="17.25" customHeight="1">
      <c r="B127" s="221">
        <v>16</v>
      </c>
      <c r="C127" s="221">
        <f t="shared" si="42"/>
        <v>54</v>
      </c>
      <c r="D127" s="346">
        <f t="shared" si="40"/>
        <v>7.2808228509862039</v>
      </c>
      <c r="E127" s="281">
        <f t="shared" si="39"/>
        <v>0.54</v>
      </c>
      <c r="F127" s="349">
        <v>25</v>
      </c>
      <c r="G127" s="350">
        <v>25</v>
      </c>
      <c r="H127" s="351">
        <f t="shared" si="37"/>
        <v>2.9213086911973618</v>
      </c>
      <c r="I127" s="352"/>
      <c r="J127" s="241">
        <f t="shared" si="41"/>
        <v>0.17927076177600743</v>
      </c>
      <c r="AA127" s="239"/>
      <c r="AB127" s="340"/>
    </row>
    <row r="128" spans="1:28" s="221" customFormat="1" ht="17.25" customHeight="1">
      <c r="B128" s="221">
        <v>17</v>
      </c>
      <c r="C128" s="221">
        <f t="shared" si="42"/>
        <v>51</v>
      </c>
      <c r="D128" s="346">
        <f t="shared" si="40"/>
        <v>7.2808228509862039</v>
      </c>
      <c r="E128" s="281">
        <f t="shared" si="39"/>
        <v>0.51</v>
      </c>
      <c r="F128" s="349">
        <v>30</v>
      </c>
      <c r="G128" s="350">
        <v>30</v>
      </c>
      <c r="H128" s="351">
        <f t="shared" si="37"/>
        <v>2.7524030906807853</v>
      </c>
      <c r="I128" s="352"/>
      <c r="J128" s="241">
        <f t="shared" si="41"/>
        <v>0.16890560051657655</v>
      </c>
      <c r="AA128" s="239"/>
      <c r="AB128" s="340"/>
    </row>
    <row r="129" spans="1:28" s="221" customFormat="1" ht="17.25" customHeight="1">
      <c r="C129" s="221">
        <v>50</v>
      </c>
      <c r="D129" s="346">
        <f t="shared" si="40"/>
        <v>7.2808228509862039</v>
      </c>
      <c r="E129" s="281">
        <f t="shared" si="39"/>
        <v>0.5</v>
      </c>
      <c r="F129" s="349">
        <v>35</v>
      </c>
      <c r="G129" s="350">
        <v>35</v>
      </c>
      <c r="H129" s="351">
        <f t="shared" si="37"/>
        <v>2.698299992770671</v>
      </c>
      <c r="I129" s="352"/>
      <c r="J129" s="241">
        <f t="shared" si="41"/>
        <v>5.4103097910114251E-2</v>
      </c>
      <c r="AA129" s="239"/>
      <c r="AB129" s="340"/>
    </row>
    <row r="130" spans="1:28" s="221" customFormat="1" ht="17.25" customHeight="1">
      <c r="C130" s="221">
        <v>49</v>
      </c>
      <c r="D130" s="346">
        <f t="shared" si="40"/>
        <v>7.2808228509862039</v>
      </c>
      <c r="E130" s="281">
        <f t="shared" si="39"/>
        <v>0.49</v>
      </c>
      <c r="F130" s="349">
        <v>40</v>
      </c>
      <c r="G130" s="350">
        <v>40</v>
      </c>
      <c r="H130" s="351">
        <f t="shared" si="37"/>
        <v>2.6452603819687437</v>
      </c>
      <c r="I130" s="352"/>
      <c r="J130" s="241">
        <f t="shared" si="41"/>
        <v>5.3039610801927317E-2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40"/>
        <v>7.2808228509862039</v>
      </c>
      <c r="E131" s="281">
        <f t="shared" si="39"/>
        <v>0.48</v>
      </c>
      <c r="F131" s="349">
        <v>45</v>
      </c>
      <c r="G131" s="350">
        <v>45</v>
      </c>
      <c r="H131" s="351">
        <f t="shared" si="37"/>
        <v>2.5932633536526617</v>
      </c>
      <c r="I131" s="352"/>
      <c r="J131" s="241">
        <f t="shared" si="41"/>
        <v>5.1997028316081995E-2</v>
      </c>
      <c r="AA131" s="239"/>
      <c r="AB131" s="340"/>
    </row>
    <row r="132" spans="1:28" s="221" customFormat="1" ht="17.25" customHeight="1">
      <c r="C132" s="221">
        <v>47</v>
      </c>
      <c r="D132" s="346">
        <f t="shared" si="40"/>
        <v>7.2808228509862039</v>
      </c>
      <c r="E132" s="281">
        <f t="shared" si="39"/>
        <v>0.47</v>
      </c>
      <c r="F132" s="349">
        <v>50</v>
      </c>
      <c r="G132" s="350">
        <v>50</v>
      </c>
      <c r="H132" s="351">
        <f t="shared" si="37"/>
        <v>2.5422884141154891</v>
      </c>
      <c r="I132" s="352"/>
      <c r="J132" s="241">
        <f t="shared" si="41"/>
        <v>5.0974939537172581E-2</v>
      </c>
      <c r="AA132" s="239"/>
      <c r="AB132" s="340"/>
    </row>
    <row r="133" spans="1:28" s="221" customFormat="1" ht="17.25" customHeight="1">
      <c r="C133" s="221">
        <v>46</v>
      </c>
      <c r="D133" s="346">
        <f t="shared" si="40"/>
        <v>7.2808228509862039</v>
      </c>
      <c r="E133" s="281">
        <f t="shared" si="39"/>
        <v>0.46</v>
      </c>
      <c r="F133" s="349">
        <v>55</v>
      </c>
      <c r="G133" s="350">
        <v>55</v>
      </c>
      <c r="H133" s="351">
        <f t="shared" si="37"/>
        <v>2.4923154724884626</v>
      </c>
      <c r="I133" s="352"/>
      <c r="J133" s="241">
        <f t="shared" si="41"/>
        <v>4.9972941627026479E-2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40"/>
        <v>7.2808228509862039</v>
      </c>
      <c r="E134" s="281">
        <f t="shared" si="39"/>
        <v>0.45</v>
      </c>
      <c r="F134" s="349">
        <v>60</v>
      </c>
      <c r="G134" s="350">
        <v>60</v>
      </c>
      <c r="H134" s="351">
        <f t="shared" si="37"/>
        <v>2.4433248328225323</v>
      </c>
      <c r="I134" s="352"/>
      <c r="J134" s="241">
        <f t="shared" si="41"/>
        <v>4.8990639665930313E-2</v>
      </c>
      <c r="AA134" s="239"/>
      <c r="AB134" s="340"/>
    </row>
    <row r="135" spans="1:28" s="221" customFormat="1" ht="17.25" customHeight="1">
      <c r="C135" s="221">
        <v>44</v>
      </c>
      <c r="D135" s="346">
        <f t="shared" si="40"/>
        <v>7.2808228509862039</v>
      </c>
      <c r="E135" s="281">
        <f t="shared" si="39"/>
        <v>0.44</v>
      </c>
      <c r="F135" s="349">
        <v>75</v>
      </c>
      <c r="G135" s="350">
        <v>75</v>
      </c>
      <c r="H135" s="351">
        <f t="shared" si="37"/>
        <v>2.395297186325553</v>
      </c>
      <c r="I135" s="352"/>
      <c r="J135" s="241">
        <f t="shared" si="41"/>
        <v>4.8027646496979326E-2</v>
      </c>
      <c r="AA135" s="239"/>
      <c r="AB135" s="340"/>
    </row>
    <row r="136" spans="1:28" s="221" customFormat="1" ht="17.25" customHeight="1">
      <c r="C136" s="221">
        <v>43</v>
      </c>
      <c r="D136" s="346">
        <f t="shared" si="40"/>
        <v>7.2808228509862039</v>
      </c>
      <c r="E136" s="281">
        <f t="shared" si="39"/>
        <v>0.43</v>
      </c>
      <c r="F136" s="349">
        <v>90</v>
      </c>
      <c r="G136" s="350">
        <v>90</v>
      </c>
      <c r="H136" s="351">
        <f t="shared" si="37"/>
        <v>2.3482136037520656</v>
      </c>
      <c r="I136" s="352"/>
      <c r="J136" s="241">
        <f t="shared" si="41"/>
        <v>4.7083582573487437E-2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40"/>
        <v>7.2808228509862039</v>
      </c>
      <c r="E137" s="281">
        <f t="shared" si="39"/>
        <v>0.42</v>
      </c>
      <c r="F137" s="349">
        <v>105</v>
      </c>
      <c r="G137" s="350">
        <v>105</v>
      </c>
      <c r="H137" s="351">
        <f t="shared" si="37"/>
        <v>2.3020555279426693</v>
      </c>
      <c r="I137" s="352"/>
      <c r="J137" s="241">
        <f t="shared" si="41"/>
        <v>4.6158075809396237E-2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40"/>
        <v>7.2808228509862039</v>
      </c>
      <c r="E138" s="281">
        <f t="shared" si="39"/>
        <v>0.39</v>
      </c>
      <c r="F138" s="349">
        <v>120</v>
      </c>
      <c r="G138" s="350">
        <v>120</v>
      </c>
      <c r="H138" s="351">
        <f t="shared" si="37"/>
        <v>2.168954198205999</v>
      </c>
      <c r="I138" s="352"/>
      <c r="J138" s="241">
        <f t="shared" si="41"/>
        <v>0.13310132973667033</v>
      </c>
      <c r="AA138" s="239"/>
      <c r="AB138" s="340"/>
    </row>
    <row r="139" spans="1:28" s="221" customFormat="1" ht="17.25" hidden="1" customHeight="1">
      <c r="C139" s="221">
        <f t="shared" ref="C139:C146" si="43">C138-A$138</f>
        <v>36</v>
      </c>
      <c r="D139" s="346">
        <f t="shared" si="40"/>
        <v>7.2808228509862039</v>
      </c>
      <c r="E139" s="281">
        <f t="shared" si="39"/>
        <v>0.36</v>
      </c>
      <c r="F139" s="315"/>
      <c r="G139" s="221">
        <v>150</v>
      </c>
      <c r="H139" s="348">
        <f t="shared" si="37"/>
        <v>2.0435485837822873</v>
      </c>
      <c r="I139" s="240"/>
      <c r="J139" s="241">
        <f t="shared" si="41"/>
        <v>0.12540561442371168</v>
      </c>
      <c r="AA139" s="239"/>
      <c r="AB139" s="340"/>
    </row>
    <row r="140" spans="1:28" s="221" customFormat="1" ht="17.25" customHeight="1">
      <c r="C140" s="221">
        <v>38</v>
      </c>
      <c r="D140" s="346">
        <f t="shared" si="40"/>
        <v>7.2808228509862039</v>
      </c>
      <c r="E140" s="281">
        <f t="shared" si="39"/>
        <v>0.38</v>
      </c>
      <c r="F140" s="349">
        <v>180</v>
      </c>
      <c r="G140" s="350">
        <v>180</v>
      </c>
      <c r="H140" s="351">
        <f t="shared" si="37"/>
        <v>2.126319766590437</v>
      </c>
      <c r="I140" s="352"/>
      <c r="J140" s="241">
        <f t="shared" si="41"/>
        <v>-8.2771182808149657E-2</v>
      </c>
      <c r="AA140" s="239"/>
      <c r="AB140" s="340"/>
    </row>
    <row r="141" spans="1:28" s="221" customFormat="1" ht="17.25" hidden="1" customHeight="1">
      <c r="C141" s="221">
        <f t="shared" si="43"/>
        <v>35</v>
      </c>
      <c r="D141" s="346">
        <f t="shared" si="40"/>
        <v>7.2808228509862039</v>
      </c>
      <c r="E141" s="281">
        <f t="shared" si="39"/>
        <v>0.35</v>
      </c>
      <c r="F141" s="315"/>
      <c r="G141" s="221">
        <v>210</v>
      </c>
      <c r="H141" s="348">
        <f t="shared" si="37"/>
        <v>2.0033792097953178</v>
      </c>
      <c r="I141" s="240"/>
      <c r="J141" s="241">
        <f t="shared" si="41"/>
        <v>0.12294055679511917</v>
      </c>
      <c r="AA141" s="239"/>
      <c r="AB141" s="340"/>
    </row>
    <row r="142" spans="1:28" s="221" customFormat="1" ht="17.25" customHeight="1">
      <c r="C142" s="221">
        <f t="shared" si="43"/>
        <v>32</v>
      </c>
      <c r="D142" s="346">
        <f t="shared" si="40"/>
        <v>7.2808228509862039</v>
      </c>
      <c r="E142" s="281">
        <f>C142/100</f>
        <v>0.32</v>
      </c>
      <c r="F142" s="349">
        <v>240</v>
      </c>
      <c r="G142" s="350">
        <v>240</v>
      </c>
      <c r="H142" s="351">
        <f t="shared" si="37"/>
        <v>1.8875468879621162</v>
      </c>
      <c r="I142" s="352"/>
      <c r="J142" s="241">
        <f t="shared" si="41"/>
        <v>0.11583232183320158</v>
      </c>
      <c r="AA142" s="239"/>
      <c r="AB142" s="340"/>
    </row>
    <row r="143" spans="1:28" s="221" customFormat="1" ht="17.25" hidden="1" customHeight="1">
      <c r="C143" s="221">
        <f t="shared" si="43"/>
        <v>29</v>
      </c>
      <c r="D143" s="346">
        <f t="shared" si="40"/>
        <v>7.2808228509862039</v>
      </c>
      <c r="E143" s="281">
        <f>C143/100</f>
        <v>0.28999999999999998</v>
      </c>
      <c r="F143" s="315"/>
      <c r="G143" s="221">
        <v>270</v>
      </c>
      <c r="H143" s="348">
        <f t="shared" si="37"/>
        <v>1.7784118138170548</v>
      </c>
      <c r="I143" s="240"/>
      <c r="J143" s="241">
        <f t="shared" si="41"/>
        <v>0.10913507414506141</v>
      </c>
      <c r="AA143" s="239"/>
      <c r="AB143" s="340"/>
    </row>
    <row r="144" spans="1:28" s="221" customFormat="1" ht="17.25" customHeight="1">
      <c r="C144" s="221">
        <f t="shared" si="43"/>
        <v>26</v>
      </c>
      <c r="D144" s="346">
        <f t="shared" si="40"/>
        <v>7.2808228509862039</v>
      </c>
      <c r="E144" s="281">
        <f>C144/100</f>
        <v>0.26</v>
      </c>
      <c r="F144" s="349">
        <v>300</v>
      </c>
      <c r="G144" s="350">
        <v>300</v>
      </c>
      <c r="H144" s="351">
        <f t="shared" si="37"/>
        <v>1.6755867627419407</v>
      </c>
      <c r="I144" s="352"/>
      <c r="J144" s="241">
        <f t="shared" si="41"/>
        <v>0.10282505107511408</v>
      </c>
      <c r="AA144" s="239"/>
      <c r="AB144" s="340"/>
    </row>
    <row r="145" spans="3:28" s="221" customFormat="1" ht="17.25" hidden="1" customHeight="1">
      <c r="C145" s="221">
        <f t="shared" si="43"/>
        <v>23</v>
      </c>
      <c r="D145" s="346">
        <f t="shared" si="40"/>
        <v>7.2808228509862039</v>
      </c>
      <c r="E145" s="281">
        <f>C145/100</f>
        <v>0.23</v>
      </c>
      <c r="F145" s="315"/>
      <c r="G145" s="221">
        <v>330</v>
      </c>
      <c r="H145" s="348">
        <f t="shared" si="37"/>
        <v>1.578706898853762</v>
      </c>
      <c r="I145" s="240"/>
      <c r="J145" s="241">
        <f t="shared" si="41"/>
        <v>9.6879863888178708E-2</v>
      </c>
      <c r="AA145" s="239"/>
      <c r="AB145" s="340"/>
    </row>
    <row r="146" spans="3:28" s="221" customFormat="1" ht="17.25" customHeight="1">
      <c r="C146" s="221">
        <f t="shared" si="43"/>
        <v>20</v>
      </c>
      <c r="D146" s="346">
        <f t="shared" si="40"/>
        <v>7.2808228509862039</v>
      </c>
      <c r="E146" s="281">
        <f>C146/100</f>
        <v>0.2</v>
      </c>
      <c r="F146" s="349">
        <v>360</v>
      </c>
      <c r="G146" s="350">
        <v>360</v>
      </c>
      <c r="H146" s="351">
        <f t="shared" si="37"/>
        <v>1.4874284805222631</v>
      </c>
      <c r="I146" s="352"/>
      <c r="J146" s="241">
        <f t="shared" si="41"/>
        <v>9.1278418331498967E-2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Input!M46</f>
        <v>65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0.125</v>
      </c>
      <c r="B18" s="356"/>
    </row>
    <row r="19" spans="1:2">
      <c r="A19" s="356">
        <f>Input!M44/2/1000</f>
        <v>0.125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115</v>
      </c>
    </row>
    <row r="25" spans="1:2">
      <c r="A25" s="358">
        <f>StepTest!D31</f>
        <v>120</v>
      </c>
      <c r="B25" s="358">
        <f>Input!D4</f>
        <v>147</v>
      </c>
    </row>
    <row r="26" spans="1:2">
      <c r="A26" s="358">
        <f>StepTest!D36</f>
        <v>240</v>
      </c>
      <c r="B26" s="358">
        <f>Input!D5</f>
        <v>178.5</v>
      </c>
    </row>
    <row r="27" spans="1:2">
      <c r="A27" s="358">
        <f>StepTest!D41</f>
        <v>360</v>
      </c>
      <c r="B27" s="358">
        <f>Input!D6</f>
        <v>210</v>
      </c>
    </row>
    <row r="28" spans="1:2">
      <c r="A28" s="358">
        <f>StepTest!D46</f>
        <v>480</v>
      </c>
      <c r="B28" s="358">
        <f>Input!D7</f>
        <v>241.49999999999997</v>
      </c>
    </row>
    <row r="29" spans="1:2">
      <c r="A29" s="356" t="s">
        <v>220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0.125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</v>
      </c>
      <c r="C35" s="358">
        <v>1</v>
      </c>
    </row>
    <row r="36" spans="1:3">
      <c r="A36" s="356">
        <f>Sheet1!A2</f>
        <v>2</v>
      </c>
      <c r="B36" s="357">
        <f>Sheet1!B2</f>
        <v>1.3</v>
      </c>
      <c r="C36" s="358">
        <v>1</v>
      </c>
    </row>
    <row r="37" spans="1:3">
      <c r="A37" s="356">
        <f>Sheet1!A3</f>
        <v>3</v>
      </c>
      <c r="B37" s="357">
        <f>Sheet1!B3</f>
        <v>1.48</v>
      </c>
      <c r="C37" s="358">
        <v>1</v>
      </c>
    </row>
    <row r="38" spans="1:3">
      <c r="A38" s="356">
        <f>Sheet1!A4</f>
        <v>4</v>
      </c>
      <c r="B38" s="357">
        <f>Sheet1!B4</f>
        <v>1.61</v>
      </c>
      <c r="C38" s="358">
        <v>1</v>
      </c>
    </row>
    <row r="39" spans="1:3">
      <c r="A39" s="356">
        <f>Sheet1!A5</f>
        <v>5</v>
      </c>
      <c r="B39" s="357">
        <f>Sheet1!B5</f>
        <v>1.71</v>
      </c>
      <c r="C39" s="358">
        <v>1</v>
      </c>
    </row>
    <row r="40" spans="1:3">
      <c r="A40" s="356">
        <f>Sheet1!A6</f>
        <v>10</v>
      </c>
      <c r="B40" s="357">
        <f>Sheet1!B6</f>
        <v>2.02</v>
      </c>
      <c r="C40" s="358">
        <v>1</v>
      </c>
    </row>
    <row r="41" spans="1:3">
      <c r="A41" s="356">
        <f>Sheet1!A7</f>
        <v>15</v>
      </c>
      <c r="B41" s="357">
        <f>Sheet1!B7</f>
        <v>2.19</v>
      </c>
      <c r="C41" s="358">
        <v>1</v>
      </c>
    </row>
    <row r="42" spans="1:3">
      <c r="A42" s="356">
        <f>Sheet1!A8</f>
        <v>20</v>
      </c>
      <c r="B42" s="357">
        <f>Sheet1!B8</f>
        <v>2.3199999999999998</v>
      </c>
      <c r="C42" s="358">
        <v>1</v>
      </c>
    </row>
    <row r="43" spans="1:3">
      <c r="A43" s="356">
        <f>Sheet1!A9</f>
        <v>25</v>
      </c>
      <c r="B43" s="357">
        <f>Sheet1!B9</f>
        <v>2.42</v>
      </c>
      <c r="C43" s="358">
        <v>1</v>
      </c>
    </row>
    <row r="44" spans="1:3">
      <c r="A44" s="356">
        <f>Sheet1!A10</f>
        <v>30</v>
      </c>
      <c r="B44" s="357">
        <f>Sheet1!B10</f>
        <v>2.5</v>
      </c>
      <c r="C44" s="358">
        <v>1</v>
      </c>
    </row>
    <row r="45" spans="1:3">
      <c r="A45" s="356">
        <f>Sheet1!A11</f>
        <v>35</v>
      </c>
      <c r="B45" s="357">
        <f>Sheet1!B11</f>
        <v>2.57</v>
      </c>
      <c r="C45" s="358">
        <v>1</v>
      </c>
    </row>
    <row r="46" spans="1:3">
      <c r="A46" s="356">
        <f>Sheet1!A12</f>
        <v>40</v>
      </c>
      <c r="B46" s="357">
        <f>Sheet1!B12</f>
        <v>2.63</v>
      </c>
      <c r="C46" s="358">
        <v>1</v>
      </c>
    </row>
    <row r="47" spans="1:3">
      <c r="A47" s="356">
        <f>Sheet1!A13</f>
        <v>45</v>
      </c>
      <c r="B47" s="357">
        <f>Sheet1!B13</f>
        <v>2.68</v>
      </c>
      <c r="C47" s="358">
        <v>1</v>
      </c>
    </row>
    <row r="48" spans="1:3">
      <c r="A48" s="356">
        <f>Sheet1!A14</f>
        <v>50</v>
      </c>
      <c r="B48" s="357">
        <f>Sheet1!B14</f>
        <v>2.73</v>
      </c>
      <c r="C48" s="358">
        <v>1</v>
      </c>
    </row>
    <row r="49" spans="1:3">
      <c r="A49" s="356">
        <f>Sheet1!A15</f>
        <v>55</v>
      </c>
      <c r="B49" s="357">
        <f>Sheet1!B15</f>
        <v>2.77</v>
      </c>
      <c r="C49" s="358">
        <v>1</v>
      </c>
    </row>
    <row r="50" spans="1:3">
      <c r="A50" s="356">
        <f>Sheet1!A16</f>
        <v>60</v>
      </c>
      <c r="B50" s="357">
        <f>Sheet1!B16</f>
        <v>2.81</v>
      </c>
      <c r="C50" s="358">
        <v>1</v>
      </c>
    </row>
    <row r="51" spans="1:3">
      <c r="A51" s="356">
        <f>Sheet1!A17</f>
        <v>75</v>
      </c>
      <c r="B51" s="357">
        <f>Sheet1!B17</f>
        <v>2.91</v>
      </c>
      <c r="C51" s="358">
        <v>1</v>
      </c>
    </row>
    <row r="52" spans="1:3">
      <c r="A52" s="356">
        <f>Sheet1!A18</f>
        <v>90</v>
      </c>
      <c r="B52" s="357">
        <f>Sheet1!B18</f>
        <v>2.99</v>
      </c>
      <c r="C52" s="358">
        <v>1</v>
      </c>
    </row>
    <row r="53" spans="1:3">
      <c r="A53" s="356">
        <f>Sheet1!A19</f>
        <v>105</v>
      </c>
      <c r="B53" s="357">
        <f>Sheet1!B19</f>
        <v>3.06</v>
      </c>
      <c r="C53" s="358">
        <v>1</v>
      </c>
    </row>
    <row r="54" spans="1:3">
      <c r="A54" s="356">
        <f>Sheet1!A20</f>
        <v>120</v>
      </c>
      <c r="B54" s="357">
        <f>Sheet1!B20</f>
        <v>3.12</v>
      </c>
      <c r="C54" s="358">
        <v>1</v>
      </c>
    </row>
    <row r="55" spans="1:3">
      <c r="A55" s="356">
        <f>Sheet1!A21</f>
        <v>121</v>
      </c>
      <c r="B55" s="357">
        <f>Sheet1!B21</f>
        <v>3.2800000000000002</v>
      </c>
      <c r="C55" s="358">
        <v>1</v>
      </c>
    </row>
    <row r="56" spans="1:3">
      <c r="A56" s="356">
        <f>Sheet1!A22</f>
        <v>122</v>
      </c>
      <c r="B56" s="357">
        <f>Sheet1!B22</f>
        <v>3.43</v>
      </c>
      <c r="C56" s="358">
        <v>1</v>
      </c>
    </row>
    <row r="57" spans="1:3">
      <c r="A57" s="356">
        <f>Sheet1!A23</f>
        <v>123</v>
      </c>
      <c r="B57" s="357">
        <f>Sheet1!B23</f>
        <v>3.5700000000000003</v>
      </c>
      <c r="C57" s="358">
        <v>1</v>
      </c>
    </row>
    <row r="58" spans="1:3">
      <c r="A58" s="356">
        <f>Sheet1!A24</f>
        <v>124</v>
      </c>
      <c r="B58" s="357">
        <f>Sheet1!B24</f>
        <v>3.7</v>
      </c>
      <c r="C58" s="358">
        <v>1</v>
      </c>
    </row>
    <row r="59" spans="1:3">
      <c r="A59" s="356">
        <f>Sheet1!A25</f>
        <v>125</v>
      </c>
      <c r="B59" s="357">
        <f>Sheet1!B25</f>
        <v>3.83</v>
      </c>
      <c r="C59" s="358">
        <v>1</v>
      </c>
    </row>
    <row r="60" spans="1:3">
      <c r="A60" s="356">
        <f>Sheet1!A26</f>
        <v>130</v>
      </c>
      <c r="B60" s="357">
        <f>Sheet1!B26</f>
        <v>3.74</v>
      </c>
      <c r="C60" s="358">
        <v>1</v>
      </c>
    </row>
    <row r="61" spans="1:3">
      <c r="A61" s="356">
        <f>Sheet1!A27</f>
        <v>135</v>
      </c>
      <c r="B61" s="357">
        <f>Sheet1!B27</f>
        <v>3.85</v>
      </c>
      <c r="C61" s="358">
        <v>1</v>
      </c>
    </row>
    <row r="62" spans="1:3">
      <c r="A62" s="356">
        <f>Sheet1!A28</f>
        <v>140</v>
      </c>
      <c r="B62" s="357">
        <f>Sheet1!B28</f>
        <v>3.84</v>
      </c>
      <c r="C62" s="358">
        <v>1</v>
      </c>
    </row>
    <row r="63" spans="1:3">
      <c r="A63" s="356">
        <f>Sheet1!A29</f>
        <v>145</v>
      </c>
      <c r="B63" s="357">
        <f>Sheet1!B29</f>
        <v>3.94</v>
      </c>
      <c r="C63" s="358">
        <v>1</v>
      </c>
    </row>
    <row r="64" spans="1:3">
      <c r="A64" s="356">
        <f>Sheet1!A30</f>
        <v>150</v>
      </c>
      <c r="B64" s="357">
        <f>Sheet1!B30</f>
        <v>3.95</v>
      </c>
      <c r="C64" s="358">
        <v>1</v>
      </c>
    </row>
    <row r="65" spans="1:3">
      <c r="A65" s="356">
        <f>Sheet1!A31</f>
        <v>155</v>
      </c>
      <c r="B65" s="357">
        <f>Sheet1!B31</f>
        <v>4.01</v>
      </c>
      <c r="C65" s="358">
        <v>1</v>
      </c>
    </row>
    <row r="66" spans="1:3">
      <c r="A66" s="356">
        <f>Sheet1!A32</f>
        <v>160</v>
      </c>
      <c r="B66" s="357">
        <f>Sheet1!B32</f>
        <v>4.0599999999999996</v>
      </c>
      <c r="C66" s="358">
        <v>1</v>
      </c>
    </row>
    <row r="67" spans="1:3">
      <c r="A67" s="356">
        <f>Sheet1!A33</f>
        <v>165</v>
      </c>
      <c r="B67" s="357">
        <f>Sheet1!B33</f>
        <v>4.0999999999999996</v>
      </c>
      <c r="C67" s="358">
        <v>1</v>
      </c>
    </row>
    <row r="68" spans="1:3">
      <c r="A68" s="356">
        <f>Sheet1!A34</f>
        <v>170</v>
      </c>
      <c r="B68" s="357">
        <f>Sheet1!B34</f>
        <v>4.13</v>
      </c>
      <c r="C68" s="358">
        <v>1</v>
      </c>
    </row>
    <row r="69" spans="1:3">
      <c r="A69" s="356">
        <f>Sheet1!A35</f>
        <v>175</v>
      </c>
      <c r="B69" s="357">
        <f>Sheet1!B35</f>
        <v>4.1499999999999995</v>
      </c>
      <c r="C69" s="358">
        <v>1</v>
      </c>
    </row>
    <row r="70" spans="1:3">
      <c r="A70" s="356">
        <f>Sheet1!A36</f>
        <v>180</v>
      </c>
      <c r="B70" s="357">
        <f>Sheet1!B36</f>
        <v>4.05</v>
      </c>
      <c r="C70" s="358">
        <v>1</v>
      </c>
    </row>
    <row r="71" spans="1:3">
      <c r="A71" s="356">
        <f>Sheet1!A37</f>
        <v>195</v>
      </c>
      <c r="B71" s="357">
        <f>Sheet1!B37</f>
        <v>4.12</v>
      </c>
      <c r="C71" s="358">
        <v>1</v>
      </c>
    </row>
    <row r="72" spans="1:3">
      <c r="A72" s="356">
        <f>Sheet1!A38</f>
        <v>210</v>
      </c>
      <c r="B72" s="357">
        <f>Sheet1!B38</f>
        <v>4.18</v>
      </c>
      <c r="C72" s="358">
        <v>1</v>
      </c>
    </row>
    <row r="73" spans="1:3">
      <c r="A73" s="356">
        <f>Sheet1!A39</f>
        <v>225</v>
      </c>
      <c r="B73" s="357">
        <f>Sheet1!B39</f>
        <v>4.2299999999999995</v>
      </c>
      <c r="C73" s="358">
        <v>1</v>
      </c>
    </row>
    <row r="74" spans="1:3">
      <c r="A74" s="356">
        <f>Sheet1!A40</f>
        <v>240</v>
      </c>
      <c r="B74" s="357">
        <f>Sheet1!B40</f>
        <v>4.16</v>
      </c>
      <c r="C74" s="358">
        <v>1</v>
      </c>
    </row>
    <row r="75" spans="1:3">
      <c r="A75" s="356">
        <f>Sheet1!A41</f>
        <v>241</v>
      </c>
      <c r="B75" s="357">
        <f>Sheet1!B41</f>
        <v>4.34</v>
      </c>
      <c r="C75" s="358">
        <v>1</v>
      </c>
    </row>
    <row r="76" spans="1:3">
      <c r="A76" s="356">
        <f>Sheet1!A42</f>
        <v>242</v>
      </c>
      <c r="B76" s="357">
        <f>Sheet1!B42</f>
        <v>4.5</v>
      </c>
      <c r="C76" s="358">
        <v>1</v>
      </c>
    </row>
    <row r="77" spans="1:3">
      <c r="A77" s="356">
        <f>Sheet1!A43</f>
        <v>243</v>
      </c>
      <c r="B77" s="357">
        <f>Sheet1!B43</f>
        <v>4.6500000000000004</v>
      </c>
      <c r="C77" s="358">
        <v>1</v>
      </c>
    </row>
    <row r="78" spans="1:3">
      <c r="A78" s="356">
        <f>Sheet1!A44</f>
        <v>244</v>
      </c>
      <c r="B78" s="357">
        <f>Sheet1!B44</f>
        <v>4.79</v>
      </c>
      <c r="C78" s="358">
        <v>1</v>
      </c>
    </row>
    <row r="79" spans="1:3">
      <c r="A79" s="356">
        <f>Sheet1!A45</f>
        <v>245</v>
      </c>
      <c r="B79" s="357">
        <f>Sheet1!B45</f>
        <v>4.92</v>
      </c>
      <c r="C79" s="358">
        <v>1</v>
      </c>
    </row>
    <row r="80" spans="1:3">
      <c r="A80" s="356">
        <f>Sheet1!A46</f>
        <v>250</v>
      </c>
      <c r="B80" s="357">
        <f>Sheet1!B46</f>
        <v>4.8600000000000003</v>
      </c>
      <c r="C80" s="358">
        <v>1</v>
      </c>
    </row>
    <row r="81" spans="1:3">
      <c r="A81" s="356">
        <f>Sheet1!A47</f>
        <v>255</v>
      </c>
      <c r="B81" s="357">
        <f>Sheet1!B47</f>
        <v>4.9700000000000006</v>
      </c>
      <c r="C81" s="358">
        <v>1</v>
      </c>
    </row>
    <row r="82" spans="1:3">
      <c r="A82" s="356">
        <f>Sheet1!A48</f>
        <v>260</v>
      </c>
      <c r="B82" s="357">
        <f>Sheet1!B48</f>
        <v>4.97</v>
      </c>
      <c r="C82" s="358">
        <v>1</v>
      </c>
    </row>
    <row r="83" spans="1:3">
      <c r="A83" s="356">
        <f>Sheet1!A49</f>
        <v>265</v>
      </c>
      <c r="B83" s="357">
        <f>Sheet1!B49</f>
        <v>5.08</v>
      </c>
      <c r="C83" s="358">
        <v>1</v>
      </c>
    </row>
    <row r="84" spans="1:3">
      <c r="A84" s="356">
        <f>Sheet1!A50</f>
        <v>270</v>
      </c>
      <c r="B84" s="357">
        <f>Sheet1!B50</f>
        <v>5.09</v>
      </c>
      <c r="C84" s="358">
        <v>1</v>
      </c>
    </row>
    <row r="85" spans="1:3">
      <c r="A85" s="356">
        <f>Sheet1!A51</f>
        <v>275</v>
      </c>
      <c r="B85" s="357">
        <f>Sheet1!B51</f>
        <v>5.16</v>
      </c>
      <c r="C85" s="358">
        <v>1</v>
      </c>
    </row>
    <row r="86" spans="1:3">
      <c r="A86" s="356">
        <f>Sheet1!A52</f>
        <v>280</v>
      </c>
      <c r="B86" s="357">
        <f>Sheet1!B52</f>
        <v>5.21</v>
      </c>
      <c r="C86" s="358">
        <v>1</v>
      </c>
    </row>
    <row r="87" spans="1:3">
      <c r="A87" s="356">
        <f>Sheet1!A53</f>
        <v>285</v>
      </c>
      <c r="B87" s="357">
        <f>Sheet1!B53</f>
        <v>5.25</v>
      </c>
      <c r="C87" s="358">
        <v>1</v>
      </c>
    </row>
    <row r="88" spans="1:3">
      <c r="A88" s="356">
        <f>Sheet1!A54</f>
        <v>290</v>
      </c>
      <c r="B88" s="357">
        <f>Sheet1!B54</f>
        <v>5.28</v>
      </c>
      <c r="C88" s="358">
        <v>1</v>
      </c>
    </row>
    <row r="89" spans="1:3">
      <c r="A89" s="356">
        <f>Sheet1!A55</f>
        <v>295</v>
      </c>
      <c r="B89" s="357">
        <f>Sheet1!B55</f>
        <v>5.3</v>
      </c>
      <c r="C89" s="358">
        <v>1</v>
      </c>
    </row>
    <row r="90" spans="1:3">
      <c r="A90" s="356">
        <f>Sheet1!A56</f>
        <v>300</v>
      </c>
      <c r="B90" s="357">
        <f>Sheet1!B56</f>
        <v>5.21</v>
      </c>
      <c r="C90" s="358">
        <v>1</v>
      </c>
    </row>
    <row r="91" spans="1:3">
      <c r="A91" s="356">
        <f>Sheet1!A57</f>
        <v>315</v>
      </c>
      <c r="B91" s="357">
        <f>Sheet1!B57</f>
        <v>5.29</v>
      </c>
      <c r="C91" s="358">
        <v>1</v>
      </c>
    </row>
    <row r="92" spans="1:3">
      <c r="A92" s="356">
        <f>Sheet1!A58</f>
        <v>330</v>
      </c>
      <c r="B92" s="357">
        <f>Sheet1!B58</f>
        <v>5.35</v>
      </c>
      <c r="C92" s="358">
        <v>1</v>
      </c>
    </row>
    <row r="93" spans="1:3">
      <c r="A93" s="356">
        <f>Sheet1!A59</f>
        <v>345</v>
      </c>
      <c r="B93" s="357">
        <f>Sheet1!B59</f>
        <v>5.3999999999999995</v>
      </c>
      <c r="C93" s="358">
        <v>1</v>
      </c>
    </row>
    <row r="94" spans="1:3">
      <c r="A94" s="356">
        <f>Sheet1!A60</f>
        <v>360</v>
      </c>
      <c r="B94" s="357">
        <f>Sheet1!B60</f>
        <v>5.33</v>
      </c>
      <c r="C94" s="358">
        <v>1</v>
      </c>
    </row>
    <row r="95" spans="1:3">
      <c r="A95" s="356">
        <f>Sheet1!A61</f>
        <v>361</v>
      </c>
      <c r="B95" s="357">
        <f>Sheet1!B61</f>
        <v>5.5200000000000005</v>
      </c>
      <c r="C95" s="358">
        <v>1</v>
      </c>
    </row>
    <row r="96" spans="1:3">
      <c r="A96" s="356">
        <f>Sheet1!A62</f>
        <v>362</v>
      </c>
      <c r="B96" s="357">
        <f>Sheet1!B62</f>
        <v>5.69</v>
      </c>
      <c r="C96" s="358">
        <v>1</v>
      </c>
    </row>
    <row r="97" spans="1:3">
      <c r="A97" s="356">
        <f>Sheet1!A63</f>
        <v>363</v>
      </c>
      <c r="B97" s="357">
        <f>Sheet1!B63</f>
        <v>5.8500000000000005</v>
      </c>
      <c r="C97" s="358">
        <v>1</v>
      </c>
    </row>
    <row r="98" spans="1:3">
      <c r="A98" s="356">
        <f>Sheet1!A64</f>
        <v>364</v>
      </c>
      <c r="B98" s="357">
        <f>Sheet1!B64</f>
        <v>6.0000000000000009</v>
      </c>
      <c r="C98" s="358">
        <v>1</v>
      </c>
    </row>
    <row r="99" spans="1:3">
      <c r="A99" s="356">
        <f>Sheet1!A65</f>
        <v>365</v>
      </c>
      <c r="B99" s="357">
        <f>Sheet1!B65</f>
        <v>6.1400000000000006</v>
      </c>
      <c r="C99" s="358">
        <v>1</v>
      </c>
    </row>
    <row r="100" spans="1:3">
      <c r="A100" s="356">
        <f>Sheet1!A66</f>
        <v>370</v>
      </c>
      <c r="B100" s="357">
        <f>Sheet1!B66</f>
        <v>6.11</v>
      </c>
      <c r="C100" s="358">
        <v>1</v>
      </c>
    </row>
    <row r="101" spans="1:3">
      <c r="A101" s="356">
        <f>Sheet1!A67</f>
        <v>375</v>
      </c>
      <c r="B101" s="357">
        <f>Sheet1!B67</f>
        <v>6.23</v>
      </c>
      <c r="C101" s="358">
        <v>1</v>
      </c>
    </row>
    <row r="102" spans="1:3">
      <c r="A102" s="356">
        <f>Sheet1!A68</f>
        <v>380</v>
      </c>
      <c r="B102" s="357">
        <f>Sheet1!B68</f>
        <v>6.24</v>
      </c>
      <c r="C102" s="358">
        <v>1</v>
      </c>
    </row>
    <row r="103" spans="1:3">
      <c r="A103" s="356">
        <f>Sheet1!A69</f>
        <v>385</v>
      </c>
      <c r="B103" s="357">
        <f>Sheet1!B69</f>
        <v>6.36</v>
      </c>
      <c r="C103" s="358">
        <v>1</v>
      </c>
    </row>
    <row r="104" spans="1:3">
      <c r="A104" s="356">
        <f>Sheet1!A70</f>
        <v>390</v>
      </c>
      <c r="B104" s="357">
        <f>Sheet1!B70</f>
        <v>6.37</v>
      </c>
      <c r="C104" s="358">
        <v>1</v>
      </c>
    </row>
    <row r="105" spans="1:3">
      <c r="A105" s="356">
        <f>Sheet1!A71</f>
        <v>395</v>
      </c>
      <c r="B105" s="357">
        <f>Sheet1!B71</f>
        <v>6.44</v>
      </c>
      <c r="C105" s="358">
        <v>1</v>
      </c>
    </row>
    <row r="106" spans="1:3">
      <c r="A106" s="356">
        <f>Sheet1!A72</f>
        <v>400</v>
      </c>
      <c r="B106" s="357">
        <f>Sheet1!B72</f>
        <v>6.49</v>
      </c>
      <c r="C106" s="358">
        <v>1</v>
      </c>
    </row>
    <row r="107" spans="1:3">
      <c r="A107" s="356">
        <f>Sheet1!A73</f>
        <v>405</v>
      </c>
      <c r="B107" s="357">
        <f>Sheet1!B73</f>
        <v>6.53</v>
      </c>
      <c r="C107" s="358">
        <v>1</v>
      </c>
    </row>
    <row r="108" spans="1:3">
      <c r="A108" s="356">
        <f>Sheet1!A74</f>
        <v>410</v>
      </c>
      <c r="B108" s="357">
        <f>Sheet1!B74</f>
        <v>6.5600000000000005</v>
      </c>
      <c r="C108" s="358">
        <v>1</v>
      </c>
    </row>
    <row r="109" spans="1:3">
      <c r="A109" s="356">
        <f>Sheet1!A75</f>
        <v>415</v>
      </c>
      <c r="B109" s="357">
        <f>Sheet1!B75</f>
        <v>6.5900000000000007</v>
      </c>
      <c r="C109" s="358">
        <v>1</v>
      </c>
    </row>
    <row r="110" spans="1:3">
      <c r="A110" s="356">
        <f>Sheet1!A76</f>
        <v>420</v>
      </c>
      <c r="B110" s="357">
        <f>Sheet1!B76</f>
        <v>6.5</v>
      </c>
      <c r="C110" s="358">
        <v>1</v>
      </c>
    </row>
    <row r="111" spans="1:3">
      <c r="A111" s="356">
        <f>Sheet1!A77</f>
        <v>435</v>
      </c>
      <c r="B111" s="357">
        <f>Sheet1!B77</f>
        <v>6.59</v>
      </c>
      <c r="C111" s="358">
        <v>1</v>
      </c>
    </row>
    <row r="112" spans="1:3">
      <c r="A112" s="356">
        <f>Sheet1!A78</f>
        <v>450</v>
      </c>
      <c r="B112" s="357">
        <f>Sheet1!B78</f>
        <v>6.66</v>
      </c>
      <c r="C112" s="358">
        <v>1</v>
      </c>
    </row>
    <row r="113" spans="1:3">
      <c r="A113" s="356">
        <f>Sheet1!A79</f>
        <v>465</v>
      </c>
      <c r="B113" s="357">
        <f>Sheet1!B79</f>
        <v>6.71</v>
      </c>
      <c r="C113" s="358">
        <v>1</v>
      </c>
    </row>
    <row r="114" spans="1:3">
      <c r="A114" s="356">
        <f>Sheet1!A80</f>
        <v>480</v>
      </c>
      <c r="B114" s="357">
        <f>Sheet1!B80</f>
        <v>6.64</v>
      </c>
      <c r="C114" s="358">
        <v>1</v>
      </c>
    </row>
    <row r="115" spans="1:3">
      <c r="A115" s="356">
        <f>Sheet1!A81</f>
        <v>481</v>
      </c>
      <c r="B115" s="357">
        <f>Sheet1!B81</f>
        <v>6.85</v>
      </c>
      <c r="C115" s="358">
        <v>1</v>
      </c>
    </row>
    <row r="116" spans="1:3">
      <c r="A116" s="356">
        <f>Sheet1!A82</f>
        <v>482</v>
      </c>
      <c r="B116" s="357">
        <f>Sheet1!B82</f>
        <v>7.04</v>
      </c>
      <c r="C116" s="358">
        <v>1</v>
      </c>
    </row>
    <row r="117" spans="1:3">
      <c r="A117" s="356">
        <f>Sheet1!A83</f>
        <v>483</v>
      </c>
      <c r="B117" s="357">
        <f>Sheet1!B83</f>
        <v>7.21</v>
      </c>
      <c r="C117" s="358">
        <v>1</v>
      </c>
    </row>
    <row r="118" spans="1:3">
      <c r="A118" s="356">
        <f>Sheet1!A84</f>
        <v>484</v>
      </c>
      <c r="B118" s="357">
        <f>Sheet1!B84</f>
        <v>7.37</v>
      </c>
      <c r="C118" s="358">
        <v>1</v>
      </c>
    </row>
    <row r="119" spans="1:3">
      <c r="A119" s="356">
        <f>Sheet1!A85</f>
        <v>485</v>
      </c>
      <c r="B119" s="357">
        <f>Sheet1!B85</f>
        <v>7.51</v>
      </c>
      <c r="C119" s="358">
        <v>1</v>
      </c>
    </row>
    <row r="120" spans="1:3">
      <c r="A120" s="356">
        <f>Sheet1!A86</f>
        <v>490</v>
      </c>
      <c r="B120" s="357">
        <f>Sheet1!B86</f>
        <v>7.43</v>
      </c>
      <c r="C120" s="358">
        <v>1</v>
      </c>
    </row>
    <row r="121" spans="1:3">
      <c r="A121" s="356">
        <f>Sheet1!A87</f>
        <v>495</v>
      </c>
      <c r="B121" s="357">
        <f>Sheet1!B87</f>
        <v>7.7399999999999993</v>
      </c>
      <c r="C121" s="358">
        <v>1</v>
      </c>
    </row>
    <row r="122" spans="1:3">
      <c r="A122" s="356">
        <f>Sheet1!A88</f>
        <v>500</v>
      </c>
      <c r="B122" s="357">
        <f>Sheet1!B88</f>
        <v>7.73</v>
      </c>
      <c r="C122" s="358">
        <v>1</v>
      </c>
    </row>
    <row r="123" spans="1:3">
      <c r="A123" s="356">
        <f>Sheet1!A89</f>
        <v>505</v>
      </c>
      <c r="B123" s="357">
        <f>Sheet1!B89</f>
        <v>8.0300000000000011</v>
      </c>
      <c r="C123" s="358">
        <v>1</v>
      </c>
    </row>
    <row r="124" spans="1:3">
      <c r="A124" s="356">
        <f>Sheet1!A90</f>
        <v>510</v>
      </c>
      <c r="B124" s="357">
        <f>Sheet1!B90</f>
        <v>8.0299999999999994</v>
      </c>
      <c r="C124" s="358">
        <v>1</v>
      </c>
    </row>
    <row r="125" spans="1:3">
      <c r="A125" s="356">
        <f>Sheet1!A91</f>
        <v>515</v>
      </c>
      <c r="B125" s="357">
        <f>Sheet1!B91</f>
        <v>8.18</v>
      </c>
      <c r="C125" s="358">
        <v>1</v>
      </c>
    </row>
    <row r="126" spans="1:3">
      <c r="A126" s="356">
        <f>Sheet1!A92</f>
        <v>520</v>
      </c>
      <c r="B126" s="357">
        <f>Sheet1!B92</f>
        <v>8.31</v>
      </c>
      <c r="C126" s="358">
        <v>1</v>
      </c>
    </row>
    <row r="127" spans="1:3">
      <c r="A127" s="356">
        <f>Sheet1!A93</f>
        <v>525</v>
      </c>
      <c r="B127" s="357">
        <f>Sheet1!B93</f>
        <v>8.42</v>
      </c>
      <c r="C127" s="358">
        <v>1</v>
      </c>
    </row>
    <row r="128" spans="1:3">
      <c r="A128" s="356">
        <f>Sheet1!A94</f>
        <v>530</v>
      </c>
      <c r="B128" s="357">
        <f>Sheet1!B94</f>
        <v>8.5</v>
      </c>
      <c r="C128" s="358">
        <v>1</v>
      </c>
    </row>
    <row r="129" spans="1:3">
      <c r="A129" s="356">
        <f>Sheet1!A95</f>
        <v>535</v>
      </c>
      <c r="B129" s="357">
        <f>Sheet1!B95</f>
        <v>8.57</v>
      </c>
      <c r="C129" s="358">
        <v>1</v>
      </c>
    </row>
    <row r="130" spans="1:3">
      <c r="A130" s="356">
        <f>Sheet1!A96</f>
        <v>540</v>
      </c>
      <c r="B130" s="357">
        <f>Sheet1!B96</f>
        <v>8.33</v>
      </c>
      <c r="C130" s="358">
        <v>1</v>
      </c>
    </row>
    <row r="131" spans="1:3">
      <c r="A131" s="356">
        <f>Sheet1!A97</f>
        <v>555</v>
      </c>
      <c r="B131" s="357">
        <f>Sheet1!B97</f>
        <v>8.52</v>
      </c>
      <c r="C131" s="358">
        <v>1</v>
      </c>
    </row>
    <row r="132" spans="1:3">
      <c r="A132" s="356">
        <f>Sheet1!A98</f>
        <v>570</v>
      </c>
      <c r="B132" s="357">
        <f>Sheet1!B98</f>
        <v>8.68</v>
      </c>
      <c r="C132" s="358">
        <v>1</v>
      </c>
    </row>
    <row r="133" spans="1:3">
      <c r="A133" s="356">
        <f>Sheet1!A99</f>
        <v>585</v>
      </c>
      <c r="B133" s="357">
        <f>Sheet1!B99</f>
        <v>8.82</v>
      </c>
      <c r="C133" s="358">
        <v>1</v>
      </c>
    </row>
    <row r="134" spans="1:3">
      <c r="A134" s="356">
        <f>Sheet1!A100</f>
        <v>600</v>
      </c>
      <c r="B134" s="357">
        <f>Sheet1!B100</f>
        <v>8.6300000000000008</v>
      </c>
      <c r="C134" s="358">
        <v>1</v>
      </c>
    </row>
    <row r="135" spans="1:3">
      <c r="A135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/>
  </sheetViews>
  <sheetFormatPr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Step.Select!A7</f>
        <v>65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0.125</v>
      </c>
      <c r="B18" s="356"/>
    </row>
    <row r="19" spans="1:3">
      <c r="A19" s="356">
        <f>Step.Select!A19</f>
        <v>0.125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183</v>
      </c>
    </row>
    <row r="25" spans="1:3">
      <c r="A25" s="356" t="s">
        <v>220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1.64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2.5847536761324266</v>
      </c>
      <c r="C31" s="358">
        <v>1</v>
      </c>
    </row>
    <row r="32" spans="1:3">
      <c r="A32" s="356">
        <f>LongTest!D11</f>
        <v>2</v>
      </c>
      <c r="B32" s="360">
        <f>LongTest!G11</f>
        <v>3.0735543128850695</v>
      </c>
      <c r="C32" s="358">
        <v>1</v>
      </c>
    </row>
    <row r="33" spans="1:3">
      <c r="A33" s="356">
        <f>LongTest!D12</f>
        <v>3</v>
      </c>
      <c r="B33" s="360">
        <f>LongTest!G12</f>
        <v>3.3594843557139891</v>
      </c>
      <c r="C33" s="358">
        <v>1</v>
      </c>
    </row>
    <row r="34" spans="1:3">
      <c r="A34" s="356">
        <f>LongTest!D13</f>
        <v>4</v>
      </c>
      <c r="B34" s="360">
        <f>LongTest!G13</f>
        <v>3.5623549496377116</v>
      </c>
      <c r="C34" s="358">
        <v>1</v>
      </c>
    </row>
    <row r="35" spans="1:3">
      <c r="A35" s="356">
        <f>LongTest!D14</f>
        <v>5</v>
      </c>
      <c r="B35" s="360">
        <f>LongTest!G14</f>
        <v>3.7197136074072192</v>
      </c>
      <c r="C35" s="358">
        <v>1</v>
      </c>
    </row>
    <row r="36" spans="1:3">
      <c r="A36" s="356">
        <f>LongTest!D15</f>
        <v>10</v>
      </c>
      <c r="B36" s="360">
        <f>LongTest!G15</f>
        <v>4.2085142441598622</v>
      </c>
      <c r="C36" s="358">
        <v>1</v>
      </c>
    </row>
    <row r="37" spans="1:3">
      <c r="A37" s="356">
        <f>LongTest!D16</f>
        <v>15</v>
      </c>
      <c r="B37" s="360">
        <f>LongTest!G16</f>
        <v>4.4944442869887817</v>
      </c>
      <c r="C37" s="358">
        <v>1</v>
      </c>
    </row>
    <row r="38" spans="1:3">
      <c r="A38" s="356">
        <f>LongTest!D17</f>
        <v>20</v>
      </c>
      <c r="B38" s="360">
        <f>LongTest!G17</f>
        <v>4.6973148809125052</v>
      </c>
      <c r="C38" s="358">
        <v>1</v>
      </c>
    </row>
    <row r="39" spans="1:3">
      <c r="A39" s="356">
        <f>LongTest!D18</f>
        <v>25</v>
      </c>
      <c r="B39" s="360">
        <f>LongTest!G18</f>
        <v>4.8546735386820128</v>
      </c>
      <c r="C39" s="358">
        <v>1</v>
      </c>
    </row>
    <row r="40" spans="1:3">
      <c r="A40" s="356">
        <f>LongTest!D19</f>
        <v>30</v>
      </c>
      <c r="B40" s="360">
        <f>LongTest!G19</f>
        <v>4.9832449237414247</v>
      </c>
      <c r="C40" s="358">
        <v>1</v>
      </c>
    </row>
    <row r="41" spans="1:3">
      <c r="A41" s="356">
        <f>LongTest!D20</f>
        <v>35</v>
      </c>
      <c r="B41" s="360">
        <f>LongTest!G20</f>
        <v>5.0919504808996434</v>
      </c>
      <c r="C41" s="358">
        <v>1</v>
      </c>
    </row>
    <row r="42" spans="1:3">
      <c r="A42" s="356">
        <f>LongTest!D21</f>
        <v>40</v>
      </c>
      <c r="B42" s="360">
        <f>LongTest!G21</f>
        <v>5.1861155176651481</v>
      </c>
      <c r="C42" s="358">
        <v>1</v>
      </c>
    </row>
    <row r="43" spans="1:3">
      <c r="A43" s="356">
        <f>LongTest!D22</f>
        <v>45</v>
      </c>
      <c r="B43" s="360">
        <f>LongTest!G22</f>
        <v>5.2691749665703442</v>
      </c>
      <c r="C43" s="358">
        <v>1</v>
      </c>
    </row>
    <row r="44" spans="1:3">
      <c r="A44" s="356">
        <f>LongTest!D23</f>
        <v>50</v>
      </c>
      <c r="B44" s="360">
        <f>LongTest!G23</f>
        <v>5.3434741754346566</v>
      </c>
      <c r="C44" s="358">
        <v>1</v>
      </c>
    </row>
    <row r="45" spans="1:3">
      <c r="A45" s="356">
        <f>LongTest!D24</f>
        <v>55</v>
      </c>
      <c r="B45" s="360">
        <f>LongTest!G24</f>
        <v>5.3616059853993567</v>
      </c>
      <c r="C45" s="358">
        <v>1</v>
      </c>
    </row>
    <row r="46" spans="1:3">
      <c r="A46" s="356">
        <f>LongTest!D25</f>
        <v>60</v>
      </c>
      <c r="B46" s="360">
        <f>LongTest!G25</f>
        <v>5.4720455604940677</v>
      </c>
      <c r="C46" s="358">
        <v>1</v>
      </c>
    </row>
    <row r="47" spans="1:3">
      <c r="A47" s="356">
        <f>LongTest!D26</f>
        <v>75</v>
      </c>
      <c r="B47" s="360">
        <f>LongTest!G26</f>
        <v>5.6294042182635762</v>
      </c>
      <c r="C47" s="358">
        <v>1</v>
      </c>
    </row>
    <row r="48" spans="1:3">
      <c r="A48" s="356">
        <f>LongTest!D27</f>
        <v>90</v>
      </c>
      <c r="B48" s="360">
        <f>LongTest!G27</f>
        <v>5.7579756033229872</v>
      </c>
      <c r="C48" s="358">
        <v>1</v>
      </c>
    </row>
    <row r="49" spans="1:3">
      <c r="A49" s="356">
        <f>LongTest!D28</f>
        <v>105</v>
      </c>
      <c r="B49" s="360">
        <f>LongTest!G28</f>
        <v>5.8666811604812041</v>
      </c>
      <c r="C49" s="358">
        <v>1</v>
      </c>
    </row>
    <row r="50" spans="1:3">
      <c r="A50" s="356">
        <f>LongTest!D29</f>
        <v>120</v>
      </c>
      <c r="B50" s="360">
        <f>LongTest!G29</f>
        <v>5.9608461972467106</v>
      </c>
      <c r="C50" s="358">
        <v>1</v>
      </c>
    </row>
    <row r="51" spans="1:3">
      <c r="A51" s="356">
        <f>LongTest!D30</f>
        <v>140</v>
      </c>
      <c r="B51" s="360">
        <f>LongTest!G30</f>
        <v>6.0695517544049276</v>
      </c>
      <c r="C51" s="358">
        <v>1</v>
      </c>
    </row>
    <row r="52" spans="1:3">
      <c r="A52" s="356">
        <f>LongTest!D31</f>
        <v>160</v>
      </c>
      <c r="B52" s="360">
        <f>LongTest!G31</f>
        <v>6.163716791170434</v>
      </c>
      <c r="C52" s="358">
        <v>1</v>
      </c>
    </row>
    <row r="53" spans="1:3">
      <c r="A53" s="356">
        <f>LongTest!D32</f>
        <v>180</v>
      </c>
      <c r="B53" s="360">
        <f>LongTest!G32</f>
        <v>6.2467762400756301</v>
      </c>
      <c r="C53" s="358">
        <v>1</v>
      </c>
    </row>
    <row r="54" spans="1:3">
      <c r="A54" s="356">
        <f>LongTest!D33</f>
        <v>240</v>
      </c>
      <c r="B54" s="360">
        <f>LongTest!G33</f>
        <v>6.4496468339993536</v>
      </c>
      <c r="C54" s="358">
        <v>1</v>
      </c>
    </row>
    <row r="55" spans="1:3">
      <c r="A55" s="356">
        <f>LongTest!D34</f>
        <v>300</v>
      </c>
      <c r="B55" s="360">
        <f>LongTest!G34</f>
        <v>6.6070054917688621</v>
      </c>
      <c r="C55" s="358">
        <v>1</v>
      </c>
    </row>
    <row r="56" spans="1:3">
      <c r="A56" s="356">
        <f>LongTest!D35</f>
        <v>360</v>
      </c>
      <c r="B56" s="360">
        <f>LongTest!G35</f>
        <v>6.7355768768282731</v>
      </c>
      <c r="C56" s="358">
        <v>1</v>
      </c>
    </row>
    <row r="57" spans="1:3">
      <c r="A57" s="356">
        <f>LongTest!D36</f>
        <v>420</v>
      </c>
      <c r="B57" s="360">
        <f>LongTest!G36</f>
        <v>6.8442824339864901</v>
      </c>
      <c r="C57" s="358">
        <v>1</v>
      </c>
    </row>
    <row r="58" spans="1:3">
      <c r="A58" s="356">
        <f>LongTest!D37</f>
        <v>480</v>
      </c>
      <c r="B58" s="360">
        <f>LongTest!G37</f>
        <v>6.9384474707519965</v>
      </c>
      <c r="C58" s="358">
        <v>1</v>
      </c>
    </row>
    <row r="59" spans="1:3">
      <c r="A59" s="356">
        <f>LongTest!D38</f>
        <v>540</v>
      </c>
      <c r="B59" s="360">
        <f>LongTest!G38</f>
        <v>7.0215069196571926</v>
      </c>
      <c r="C59" s="358">
        <v>1</v>
      </c>
    </row>
    <row r="60" spans="1:3">
      <c r="A60" s="356">
        <f>LongTest!D39</f>
        <v>600</v>
      </c>
      <c r="B60" s="360">
        <f>LongTest!G39</f>
        <v>7.0958061285215033</v>
      </c>
      <c r="C60" s="358">
        <v>1</v>
      </c>
    </row>
    <row r="61" spans="1:3">
      <c r="A61" s="356">
        <f>LongTest!D40</f>
        <v>660</v>
      </c>
      <c r="B61" s="360">
        <f>LongTest!G40</f>
        <v>7.1630179384862034</v>
      </c>
      <c r="C61" s="358">
        <v>1</v>
      </c>
    </row>
    <row r="62" spans="1:3">
      <c r="A62" s="356">
        <f>LongTest!D41</f>
        <v>720</v>
      </c>
      <c r="B62" s="360">
        <f>LongTest!G41</f>
        <v>7.2243775135809161</v>
      </c>
      <c r="C62" s="358">
        <v>1</v>
      </c>
    </row>
    <row r="63" spans="1:3">
      <c r="A63" s="356">
        <f>LongTest!D42</f>
        <v>780</v>
      </c>
      <c r="B63" s="360">
        <f>LongTest!G42</f>
        <v>7.2808228509862039</v>
      </c>
      <c r="C63" s="358">
        <v>1</v>
      </c>
    </row>
    <row r="64" spans="1:3">
      <c r="A64" s="356">
        <f>LongTest!D43</f>
        <v>840</v>
      </c>
      <c r="B64" s="360">
        <f>LongTest!G43</f>
        <v>7.2808228509862039</v>
      </c>
      <c r="C64" s="358">
        <v>1</v>
      </c>
    </row>
    <row r="65" spans="1:3">
      <c r="A65" s="356">
        <f>LongTest!D44</f>
        <v>900</v>
      </c>
      <c r="B65" s="360">
        <f>LongTest!G44</f>
        <v>7.2808228509862039</v>
      </c>
      <c r="C65" s="358">
        <v>1</v>
      </c>
    </row>
    <row r="66" spans="1:3">
      <c r="A66" s="356">
        <f>LongTest!D45</f>
        <v>960</v>
      </c>
      <c r="B66" s="360">
        <f>LongTest!G45</f>
        <v>7.2808228509862039</v>
      </c>
      <c r="C66" s="358">
        <v>1</v>
      </c>
    </row>
    <row r="67" spans="1:3">
      <c r="A67" s="356">
        <f>LongTest!D46</f>
        <v>1020</v>
      </c>
      <c r="B67" s="360">
        <f>LongTest!G46</f>
        <v>7.2808228509862039</v>
      </c>
      <c r="C67" s="358">
        <v>1</v>
      </c>
    </row>
    <row r="68" spans="1:3">
      <c r="A68" s="356">
        <f>LongTest!D47</f>
        <v>1080</v>
      </c>
      <c r="B68" s="360">
        <f>LongTest!G47</f>
        <v>7.2808228509862039</v>
      </c>
      <c r="C68" s="358">
        <v>1</v>
      </c>
    </row>
    <row r="69" spans="1:3">
      <c r="A69" s="356">
        <f>LongTest!D48</f>
        <v>1140</v>
      </c>
      <c r="B69" s="360">
        <f>LongTest!G48</f>
        <v>7.2808228509862039</v>
      </c>
      <c r="C69" s="358">
        <v>1</v>
      </c>
    </row>
    <row r="70" spans="1:3">
      <c r="A70" s="356">
        <f>LongTest!D49</f>
        <v>1200</v>
      </c>
      <c r="B70" s="360">
        <f>LongTest!G49</f>
        <v>7.2808228509862039</v>
      </c>
      <c r="C70" s="358">
        <v>1</v>
      </c>
    </row>
    <row r="71" spans="1:3">
      <c r="A71" s="356">
        <f>LongTest!D50</f>
        <v>1260</v>
      </c>
      <c r="B71" s="360">
        <f>LongTest!G50</f>
        <v>7.2808228509862039</v>
      </c>
      <c r="C71" s="358">
        <v>1</v>
      </c>
    </row>
    <row r="72" spans="1:3">
      <c r="A72" s="356">
        <f>LongTest!D51</f>
        <v>1320</v>
      </c>
      <c r="B72" s="360">
        <f>LongTest!G51</f>
        <v>7.2808228509862039</v>
      </c>
      <c r="C72" s="358">
        <v>1</v>
      </c>
    </row>
    <row r="73" spans="1:3">
      <c r="A73" s="356">
        <f>LongTest!D52</f>
        <v>1380</v>
      </c>
      <c r="B73" s="360">
        <f>LongTest!G52</f>
        <v>7.2808228509862039</v>
      </c>
      <c r="C73" s="358">
        <v>1</v>
      </c>
    </row>
    <row r="74" spans="1:3">
      <c r="A74" s="356">
        <f>LongTest!D53</f>
        <v>1440</v>
      </c>
      <c r="B74" s="360">
        <f>LongTest!G53</f>
        <v>7.2808228509862039</v>
      </c>
      <c r="C74" s="358">
        <v>1</v>
      </c>
    </row>
    <row r="75" spans="1:3">
      <c r="A75" s="356">
        <f>LongTest!D54</f>
        <v>1500</v>
      </c>
      <c r="B75" s="360">
        <f>LongTest!G54</f>
        <v>7.2808228509862039</v>
      </c>
      <c r="C75" s="358">
        <v>1</v>
      </c>
    </row>
    <row r="76" spans="1:3">
      <c r="A76" s="356">
        <f>LongTest!D55</f>
        <v>1560</v>
      </c>
      <c r="B76" s="360">
        <f>LongTest!G55</f>
        <v>7.2808228509862039</v>
      </c>
      <c r="C76" s="358">
        <v>1</v>
      </c>
    </row>
    <row r="77" spans="1:3">
      <c r="A77" s="356">
        <f>LongTest!D56</f>
        <v>1620</v>
      </c>
      <c r="B77" s="360">
        <f>LongTest!G56</f>
        <v>7.2808228509862039</v>
      </c>
      <c r="C77" s="358">
        <v>1</v>
      </c>
    </row>
    <row r="78" spans="1:3">
      <c r="A78" s="356">
        <f>LongTest!D57</f>
        <v>1680</v>
      </c>
      <c r="B78" s="360">
        <f>LongTest!G57</f>
        <v>7.2808228509862039</v>
      </c>
      <c r="C78" s="358">
        <v>1</v>
      </c>
    </row>
    <row r="79" spans="1:3">
      <c r="A79" s="356">
        <f>LongTest!D58</f>
        <v>1740</v>
      </c>
      <c r="B79" s="360">
        <f>LongTest!G58</f>
        <v>7.2808228509862039</v>
      </c>
      <c r="C79" s="358">
        <v>1</v>
      </c>
    </row>
    <row r="80" spans="1:3">
      <c r="A80" s="356">
        <f>LongTest!D59</f>
        <v>1800</v>
      </c>
      <c r="B80" s="360">
        <f>LongTest!G59</f>
        <v>7.2808228509862039</v>
      </c>
      <c r="C80" s="358">
        <v>1</v>
      </c>
    </row>
    <row r="81" spans="1:3">
      <c r="A81" s="356">
        <f>LongTest!D60</f>
        <v>1860</v>
      </c>
      <c r="B81" s="360">
        <f>LongTest!G60</f>
        <v>7.2808228509862039</v>
      </c>
      <c r="C81" s="358">
        <v>1</v>
      </c>
    </row>
    <row r="82" spans="1:3">
      <c r="A82" s="356">
        <f>LongTest!D61</f>
        <v>1920</v>
      </c>
      <c r="B82" s="360">
        <f>LongTest!G61</f>
        <v>7.2808228509862039</v>
      </c>
      <c r="C82" s="358">
        <v>1</v>
      </c>
    </row>
    <row r="83" spans="1:3">
      <c r="A83" s="356">
        <f>LongTest!D62</f>
        <v>1980</v>
      </c>
      <c r="B83" s="360">
        <f>LongTest!G62</f>
        <v>7.2808228509862039</v>
      </c>
      <c r="C83" s="358">
        <v>1</v>
      </c>
    </row>
    <row r="84" spans="1:3">
      <c r="A84" s="356">
        <f>LongTest!D63</f>
        <v>2040</v>
      </c>
      <c r="B84" s="360">
        <f>LongTest!G63</f>
        <v>7.2808228509862039</v>
      </c>
      <c r="C84" s="358">
        <v>1</v>
      </c>
    </row>
    <row r="85" spans="1:3">
      <c r="A85" s="356">
        <f>LongTest!D64</f>
        <v>2100</v>
      </c>
      <c r="B85" s="360">
        <f>LongTest!G64</f>
        <v>7.2808228509862039</v>
      </c>
      <c r="C85" s="358">
        <v>1</v>
      </c>
    </row>
    <row r="86" spans="1:3">
      <c r="A86" s="356">
        <f>LongTest!D65</f>
        <v>2160</v>
      </c>
      <c r="B86" s="360">
        <f>LongTest!G65</f>
        <v>7.2808228509862039</v>
      </c>
      <c r="C86" s="358">
        <v>1</v>
      </c>
    </row>
    <row r="87" spans="1:3">
      <c r="A87" s="356">
        <f>LongTest!D66</f>
        <v>2220</v>
      </c>
      <c r="B87" s="360">
        <f>LongTest!G66</f>
        <v>7.2808228509862039</v>
      </c>
      <c r="C87" s="358">
        <v>1</v>
      </c>
    </row>
    <row r="88" spans="1:3">
      <c r="A88" s="356">
        <f>LongTest!D67</f>
        <v>2280</v>
      </c>
      <c r="B88" s="360">
        <f>LongTest!G67</f>
        <v>7.2808228509862039</v>
      </c>
      <c r="C88" s="358">
        <v>1</v>
      </c>
    </row>
    <row r="89" spans="1:3">
      <c r="A89" s="356">
        <f>LongTest!D68</f>
        <v>2340</v>
      </c>
      <c r="B89" s="360">
        <f>LongTest!G68</f>
        <v>7.2808228509862039</v>
      </c>
      <c r="C89" s="358">
        <v>1</v>
      </c>
    </row>
    <row r="90" spans="1:3">
      <c r="A90" s="356">
        <f>LongTest!D69</f>
        <v>2400</v>
      </c>
      <c r="B90" s="360">
        <f>LongTest!G69</f>
        <v>7.2808228509862039</v>
      </c>
      <c r="C90" s="358">
        <v>1</v>
      </c>
    </row>
    <row r="91" spans="1:3">
      <c r="A91" s="356">
        <f>LongTest!D70</f>
        <v>2460</v>
      </c>
      <c r="B91" s="360">
        <f>LongTest!G70</f>
        <v>7.2808228509862039</v>
      </c>
      <c r="C91" s="358">
        <v>1</v>
      </c>
    </row>
    <row r="92" spans="1:3">
      <c r="A92" s="356">
        <f>LongTest!D71</f>
        <v>2520</v>
      </c>
      <c r="B92" s="360">
        <f>LongTest!G71</f>
        <v>7.2808228509862039</v>
      </c>
      <c r="C92" s="358">
        <v>1</v>
      </c>
    </row>
    <row r="93" spans="1:3">
      <c r="A93" s="356">
        <f>LongTest!D72</f>
        <v>2580</v>
      </c>
      <c r="B93" s="360">
        <f>LongTest!G72</f>
        <v>7.2808228509862039</v>
      </c>
      <c r="C93" s="358">
        <v>1</v>
      </c>
    </row>
    <row r="94" spans="1:3">
      <c r="A94" s="356">
        <f>LongTest!D73</f>
        <v>2640</v>
      </c>
      <c r="B94" s="360">
        <f>LongTest!G73</f>
        <v>7.2808228509862039</v>
      </c>
      <c r="C94" s="358">
        <v>1</v>
      </c>
    </row>
    <row r="95" spans="1:3">
      <c r="A95" s="356">
        <f>LongTest!D74</f>
        <v>2700</v>
      </c>
      <c r="B95" s="360">
        <f>LongTest!G74</f>
        <v>7.2808228509862039</v>
      </c>
      <c r="C95" s="358">
        <v>1</v>
      </c>
    </row>
    <row r="96" spans="1:3">
      <c r="A96" s="356">
        <f>LongTest!D75</f>
        <v>2760</v>
      </c>
      <c r="B96" s="360">
        <f>LongTest!G75</f>
        <v>7.2808228509862039</v>
      </c>
      <c r="C96" s="358">
        <v>1</v>
      </c>
    </row>
    <row r="97" spans="1:3">
      <c r="A97" s="356">
        <f>LongTest!D76</f>
        <v>2820</v>
      </c>
      <c r="B97" s="360">
        <f>LongTest!G76</f>
        <v>7.2808228509862039</v>
      </c>
      <c r="C97" s="358">
        <v>1</v>
      </c>
    </row>
    <row r="98" spans="1:3">
      <c r="A98" s="356">
        <f>LongTest!D77</f>
        <v>2880</v>
      </c>
      <c r="B98" s="360">
        <f>LongTest!G77</f>
        <v>7.2808228509862039</v>
      </c>
      <c r="C98" s="358">
        <v>1</v>
      </c>
    </row>
    <row r="99" spans="1:3">
      <c r="A99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/>
  </sheetViews>
  <sheetFormatPr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Step.Select!A7</f>
        <v>65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0.125</v>
      </c>
      <c r="B18" s="356"/>
    </row>
    <row r="19" spans="1:3">
      <c r="A19" s="356">
        <f>Step.Select!A19</f>
        <v>0.125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183</v>
      </c>
    </row>
    <row r="25" spans="1:3">
      <c r="A25" s="358">
        <v>2880</v>
      </c>
      <c r="B25" s="358">
        <v>0</v>
      </c>
    </row>
    <row r="26" spans="1:3">
      <c r="A26" s="356" t="s">
        <v>220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1.64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7.2808228509862039</v>
      </c>
      <c r="C32" s="358">
        <v>1</v>
      </c>
    </row>
    <row r="33" spans="1:3">
      <c r="A33" s="356">
        <f>$A$32+LongTest!D78</f>
        <v>2881</v>
      </c>
      <c r="B33" s="357">
        <f>LongTest!G78</f>
        <v>5.5141071288462618</v>
      </c>
      <c r="C33" s="358">
        <v>1</v>
      </c>
    </row>
    <row r="34" spans="1:3">
      <c r="A34" s="356">
        <f>$A$32+LongTest!D79</f>
        <v>2882</v>
      </c>
      <c r="B34" s="357">
        <f>LongTest!G79</f>
        <v>5.1952898882318248</v>
      </c>
      <c r="C34" s="358">
        <v>1</v>
      </c>
    </row>
    <row r="35" spans="1:3">
      <c r="A35" s="356">
        <f>$A$32+LongTest!D80</f>
        <v>2883</v>
      </c>
      <c r="B35" s="357">
        <f>LongTest!G80</f>
        <v>4.8949061728532826</v>
      </c>
      <c r="C35" s="358">
        <v>1</v>
      </c>
    </row>
    <row r="36" spans="1:3">
      <c r="A36" s="356">
        <f>$A$32+LongTest!D81</f>
        <v>2884</v>
      </c>
      <c r="B36" s="357">
        <f>LongTest!G81</f>
        <v>4.6118901844747286</v>
      </c>
      <c r="C36" s="358">
        <v>1</v>
      </c>
    </row>
    <row r="37" spans="1:3">
      <c r="A37" s="356">
        <f>$A$32+LongTest!D82</f>
        <v>2885</v>
      </c>
      <c r="B37" s="357">
        <f>LongTest!G82</f>
        <v>4.3452377476841715</v>
      </c>
      <c r="C37" s="358">
        <v>1</v>
      </c>
    </row>
    <row r="38" spans="1:3">
      <c r="A38" s="356">
        <f>$A$32+LongTest!D83</f>
        <v>2890</v>
      </c>
      <c r="B38" s="357">
        <f>LongTest!G83</f>
        <v>3.634270943507532</v>
      </c>
      <c r="C38" s="358">
        <v>1</v>
      </c>
    </row>
    <row r="39" spans="1:3">
      <c r="A39" s="356">
        <f>$A$32+LongTest!D84</f>
        <v>2895</v>
      </c>
      <c r="B39" s="357">
        <f>LongTest!G84</f>
        <v>3.4927997925706422</v>
      </c>
      <c r="C39" s="358">
        <v>1</v>
      </c>
    </row>
    <row r="40" spans="1:3">
      <c r="A40" s="356">
        <f>$A$32+LongTest!D85</f>
        <v>2900</v>
      </c>
      <c r="B40" s="357">
        <f>LongTest!G85</f>
        <v>3.1005794529733692</v>
      </c>
      <c r="C40" s="358">
        <v>1</v>
      </c>
    </row>
    <row r="41" spans="1:3">
      <c r="A41" s="356">
        <f>$A$32+LongTest!D86</f>
        <v>2905</v>
      </c>
      <c r="B41" s="357">
        <f>LongTest!G86</f>
        <v>2.9213086911973618</v>
      </c>
      <c r="C41" s="358">
        <v>1</v>
      </c>
    </row>
    <row r="42" spans="1:3">
      <c r="A42" s="356">
        <f>$A$32+LongTest!D87</f>
        <v>2910</v>
      </c>
      <c r="B42" s="357">
        <f>LongTest!G87</f>
        <v>2.7524030906807853</v>
      </c>
      <c r="C42" s="358">
        <v>1</v>
      </c>
    </row>
    <row r="43" spans="1:3">
      <c r="A43" s="356">
        <f>$A$32+LongTest!D88</f>
        <v>2915</v>
      </c>
      <c r="B43" s="357">
        <f>LongTest!G88</f>
        <v>2.698299992770671</v>
      </c>
      <c r="C43" s="358">
        <v>1</v>
      </c>
    </row>
    <row r="44" spans="1:3">
      <c r="A44" s="356">
        <f>$A$32+LongTest!D89</f>
        <v>2920</v>
      </c>
      <c r="B44" s="357">
        <f>LongTest!G89</f>
        <v>2.6452603819687437</v>
      </c>
      <c r="C44" s="358">
        <v>1</v>
      </c>
    </row>
    <row r="45" spans="1:3">
      <c r="A45" s="356">
        <f>$A$32+LongTest!D90</f>
        <v>2925</v>
      </c>
      <c r="B45" s="357">
        <f>LongTest!G90</f>
        <v>2.5932633536526617</v>
      </c>
      <c r="C45" s="358">
        <v>1</v>
      </c>
    </row>
    <row r="46" spans="1:3">
      <c r="A46" s="356">
        <f>$A$32+LongTest!D91</f>
        <v>2930</v>
      </c>
      <c r="B46" s="357">
        <f>LongTest!G91</f>
        <v>2.5422884141154891</v>
      </c>
      <c r="C46" s="358">
        <v>1</v>
      </c>
    </row>
    <row r="47" spans="1:3">
      <c r="A47" s="356">
        <f>$A$32+LongTest!D92</f>
        <v>2935</v>
      </c>
      <c r="B47" s="357">
        <f>LongTest!G92</f>
        <v>2.4923154724884626</v>
      </c>
      <c r="C47" s="358">
        <v>1</v>
      </c>
    </row>
    <row r="48" spans="1:3">
      <c r="A48" s="356">
        <f>$A$32+LongTest!D93</f>
        <v>2940</v>
      </c>
      <c r="B48" s="357">
        <f>LongTest!G93</f>
        <v>2.4433248328225323</v>
      </c>
      <c r="C48" s="358">
        <v>1</v>
      </c>
    </row>
    <row r="49" spans="1:3">
      <c r="A49" s="356">
        <f>$A$32+LongTest!D94</f>
        <v>2955</v>
      </c>
      <c r="B49" s="357">
        <f>LongTest!G94</f>
        <v>2.395297186325553</v>
      </c>
      <c r="C49" s="358">
        <v>1</v>
      </c>
    </row>
    <row r="50" spans="1:3">
      <c r="A50" s="356">
        <f>$A$32+LongTest!D95</f>
        <v>2970</v>
      </c>
      <c r="B50" s="357">
        <f>LongTest!G95</f>
        <v>2.3482136037520656</v>
      </c>
      <c r="C50" s="358">
        <v>1</v>
      </c>
    </row>
    <row r="51" spans="1:3">
      <c r="A51" s="356">
        <f>$A$32+LongTest!D96</f>
        <v>2985</v>
      </c>
      <c r="B51" s="357">
        <f>LongTest!G96</f>
        <v>2.3020555279426693</v>
      </c>
      <c r="C51" s="358">
        <v>1</v>
      </c>
    </row>
    <row r="52" spans="1:3">
      <c r="A52" s="356">
        <f>$A$32+LongTest!D97</f>
        <v>3000</v>
      </c>
      <c r="B52" s="357">
        <f>LongTest!G97</f>
        <v>2.168954198205999</v>
      </c>
      <c r="C52" s="358">
        <v>1</v>
      </c>
    </row>
    <row r="53" spans="1:3">
      <c r="A53" s="356">
        <f>$A$32+LongTest!D98</f>
        <v>3060</v>
      </c>
      <c r="B53" s="357">
        <f>LongTest!G98</f>
        <v>2.126319766590437</v>
      </c>
      <c r="C53" s="358">
        <v>1</v>
      </c>
    </row>
    <row r="54" spans="1:3">
      <c r="A54" s="356">
        <f>$A$32+LongTest!D99</f>
        <v>3120</v>
      </c>
      <c r="B54" s="357">
        <f>LongTest!G99</f>
        <v>1.8875468879621162</v>
      </c>
      <c r="C54" s="358">
        <v>1</v>
      </c>
    </row>
    <row r="55" spans="1:3">
      <c r="A55" s="356">
        <f>$A$32+LongTest!D100</f>
        <v>3180</v>
      </c>
      <c r="B55" s="357">
        <f>LongTest!G100</f>
        <v>1.6755867627419407</v>
      </c>
      <c r="C55" s="358">
        <v>1</v>
      </c>
    </row>
    <row r="56" spans="1:3">
      <c r="A56" s="356">
        <f>$A$32+LongTest!D101</f>
        <v>3240</v>
      </c>
      <c r="B56" s="357">
        <f>LongTest!G101</f>
        <v>1.4874284805222631</v>
      </c>
      <c r="C56" s="358">
        <v>1</v>
      </c>
    </row>
    <row r="57" spans="1:3">
      <c r="A57" s="356" t="s">
        <v>222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/>
  </sheetViews>
  <sheetFormatPr defaultColWidth="10" defaultRowHeight="16.5"/>
  <cols>
    <col min="1" max="1" width="10" style="72"/>
    <col min="2" max="2" width="18.75" style="72" customWidth="1"/>
    <col min="3" max="4" width="16.5" style="72" customWidth="1"/>
    <col min="5" max="5" width="13.5" style="391" customWidth="1"/>
    <col min="6" max="6" width="13.875" style="391" customWidth="1"/>
    <col min="7" max="7" width="10" style="72"/>
    <col min="8" max="8" width="11.625" style="72" customWidth="1"/>
    <col min="9" max="9" width="10.625" style="72" customWidth="1"/>
    <col min="10" max="10" width="11.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223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224</v>
      </c>
      <c r="C4" s="363" t="s">
        <v>71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225</v>
      </c>
      <c r="C6" s="366">
        <f>LongTest!C10</f>
        <v>44908.409722222219</v>
      </c>
      <c r="D6" s="367"/>
      <c r="E6" s="107"/>
      <c r="F6" s="107"/>
    </row>
    <row r="7" spans="2:16" s="361" customFormat="1" ht="26.1" customHeight="1" thickBot="1">
      <c r="B7" s="365" t="s">
        <v>226</v>
      </c>
      <c r="C7" s="368">
        <v>14.9</v>
      </c>
      <c r="D7" s="367"/>
      <c r="E7" s="107"/>
      <c r="F7" s="107"/>
    </row>
    <row r="8" spans="2:16" s="361" customFormat="1" ht="26.1" customHeight="1">
      <c r="B8" s="369" t="s">
        <v>227</v>
      </c>
      <c r="C8" s="370">
        <v>153</v>
      </c>
      <c r="D8" s="367"/>
      <c r="E8" s="107"/>
      <c r="F8" s="107"/>
    </row>
    <row r="9" spans="2:16" s="361" customFormat="1" ht="26.1" customHeight="1">
      <c r="B9" s="369" t="s">
        <v>228</v>
      </c>
      <c r="C9" s="371">
        <v>7.1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77" t="s">
        <v>229</v>
      </c>
      <c r="C12" s="478"/>
      <c r="D12" s="479" t="s">
        <v>71</v>
      </c>
      <c r="E12" s="480"/>
      <c r="F12" s="478"/>
      <c r="H12" s="477" t="s">
        <v>71</v>
      </c>
      <c r="I12" s="480"/>
      <c r="J12" s="478"/>
      <c r="L12" s="481" t="s">
        <v>71</v>
      </c>
      <c r="M12" s="482"/>
      <c r="N12" s="483"/>
      <c r="O12" s="23"/>
      <c r="P12" s="23"/>
    </row>
    <row r="13" spans="2:16" s="107" customFormat="1" ht="26.1" customHeight="1">
      <c r="B13" s="413" t="s">
        <v>225</v>
      </c>
      <c r="C13" s="414" t="s">
        <v>230</v>
      </c>
      <c r="D13" s="415" t="s">
        <v>231</v>
      </c>
      <c r="E13" s="416" t="s">
        <v>232</v>
      </c>
      <c r="F13" s="414" t="s">
        <v>233</v>
      </c>
      <c r="H13" s="413" t="s">
        <v>231</v>
      </c>
      <c r="I13" s="416" t="s">
        <v>232</v>
      </c>
      <c r="J13" s="414" t="s">
        <v>233</v>
      </c>
      <c r="L13" s="372" t="s">
        <v>231</v>
      </c>
      <c r="M13" s="373" t="s">
        <v>232</v>
      </c>
      <c r="N13" s="374" t="s">
        <v>233</v>
      </c>
      <c r="O13" s="23"/>
      <c r="P13" s="23"/>
    </row>
    <row r="14" spans="2:16" s="107" customFormat="1" ht="26.1" customHeight="1">
      <c r="B14" s="375">
        <f>$C$6+C14/1440</f>
        <v>44908.413194444438</v>
      </c>
      <c r="C14" s="376">
        <v>5</v>
      </c>
      <c r="D14" s="377">
        <f t="shared" ref="D14:D20" si="0">baseTemp+H14</f>
        <v>14.9</v>
      </c>
      <c r="E14" s="378">
        <f>$C$8+I14</f>
        <v>155</v>
      </c>
      <c r="F14" s="379">
        <f>$C$9+J14</f>
        <v>7.18</v>
      </c>
      <c r="H14" s="380">
        <v>0</v>
      </c>
      <c r="I14" s="381">
        <v>2</v>
      </c>
      <c r="J14" s="382">
        <v>0.08</v>
      </c>
      <c r="L14" s="372" t="e" cm="1">
        <f t="array" aca="1" ref="L14" ca="1">ROUND(myRandBetween(0,1,10), 1)</f>
        <v>#NAME?</v>
      </c>
      <c r="M14" s="373" t="e" cm="1">
        <f t="array" aca="1" ref="M14" ca="1">myRandBetween(1,3,1)</f>
        <v>#NAME?</v>
      </c>
      <c r="N14" s="374" t="e" cm="1">
        <f t="array" aca="1" ref="N14" ca="1">ROUND(myRandBetween(7,12,100), 2)</f>
        <v>#NAME?</v>
      </c>
      <c r="O14" s="23"/>
      <c r="P14" s="23"/>
    </row>
    <row r="15" spans="2:16" s="107" customFormat="1" ht="26.1" customHeight="1">
      <c r="B15" s="383">
        <f t="shared" ref="B15:B23" si="1">$C$6+C15/1440</f>
        <v>44908.430555555555</v>
      </c>
      <c r="C15" s="382">
        <v>30</v>
      </c>
      <c r="D15" s="384">
        <f t="shared" si="0"/>
        <v>14.9</v>
      </c>
      <c r="E15" s="385">
        <f t="shared" ref="E15:E20" si="2">$C$8+I15</f>
        <v>150</v>
      </c>
      <c r="F15" s="386">
        <f t="shared" ref="F15:F20" si="3">$C$9+J15</f>
        <v>7.18</v>
      </c>
      <c r="H15" s="380">
        <v>0</v>
      </c>
      <c r="I15" s="381">
        <v>-3</v>
      </c>
      <c r="J15" s="382">
        <v>0.08</v>
      </c>
      <c r="L15" s="372" t="e" cm="1">
        <f t="array" aca="1" ref="L15" ca="1">ROUND(myRandBetween(0,1,10), 1)</f>
        <v>#NAME?</v>
      </c>
      <c r="M15" s="373" t="e" cm="1">
        <f t="array" aca="1" ref="M15" ca="1">myRandBetween(1,3,1)</f>
        <v>#NAME?</v>
      </c>
      <c r="N15" s="374" t="e" cm="1">
        <f t="array" aca="1" ref="N15" ca="1">ROUND(myRandBetween(7,12,100), 2)</f>
        <v>#NAME?</v>
      </c>
      <c r="O15" s="23"/>
      <c r="P15" s="23"/>
    </row>
    <row r="16" spans="2:16" s="107" customFormat="1" ht="26.1" customHeight="1">
      <c r="B16" s="383">
        <f t="shared" si="1"/>
        <v>44908.451388888883</v>
      </c>
      <c r="C16" s="382">
        <v>60</v>
      </c>
      <c r="D16" s="384">
        <f t="shared" si="0"/>
        <v>15</v>
      </c>
      <c r="E16" s="385">
        <f t="shared" si="2"/>
        <v>154</v>
      </c>
      <c r="F16" s="386">
        <f t="shared" si="3"/>
        <v>7.01</v>
      </c>
      <c r="H16" s="380">
        <v>0.1</v>
      </c>
      <c r="I16" s="381">
        <v>1</v>
      </c>
      <c r="J16" s="382">
        <v>-0.09</v>
      </c>
      <c r="L16" s="372" t="e" cm="1">
        <f t="array" aca="1" ref="L16" ca="1">ROUND(myRandBetween(0,1,10), 1)</f>
        <v>#NAME?</v>
      </c>
      <c r="M16" s="373" t="e" cm="1">
        <f t="array" aca="1" ref="M16" ca="1">myRandBetween(1,3,1)</f>
        <v>#NAME?</v>
      </c>
      <c r="N16" s="374" t="e" cm="1">
        <f t="array" aca="1" ref="N16" ca="1">ROUND(myRandBetween(7,12,100), 2)</f>
        <v>#NAME?</v>
      </c>
      <c r="O16" s="23"/>
      <c r="P16" s="23"/>
    </row>
    <row r="17" spans="2:16" s="107" customFormat="1" ht="26.1" customHeight="1">
      <c r="B17" s="383">
        <f t="shared" si="1"/>
        <v>44908.493055555555</v>
      </c>
      <c r="C17" s="382">
        <v>120</v>
      </c>
      <c r="D17" s="384">
        <f t="shared" si="0"/>
        <v>15</v>
      </c>
      <c r="E17" s="385">
        <f t="shared" si="2"/>
        <v>156</v>
      </c>
      <c r="F17" s="386">
        <f t="shared" si="3"/>
        <v>7.18</v>
      </c>
      <c r="H17" s="380">
        <v>0.1</v>
      </c>
      <c r="I17" s="381">
        <v>3</v>
      </c>
      <c r="J17" s="382">
        <v>0.08</v>
      </c>
      <c r="L17" s="372" t="e" cm="1">
        <f t="array" aca="1" ref="L17" ca="1">ROUND(myRandBetween(0,1,10), 1)</f>
        <v>#NAME?</v>
      </c>
      <c r="M17" s="373" t="e" cm="1">
        <f t="array" aca="1" ref="M17" ca="1">myRandBetween(1,3,1)</f>
        <v>#NAME?</v>
      </c>
      <c r="N17" s="374" t="e" cm="1">
        <f t="array" aca="1" ref="N17" ca="1">ROUND(myRandBetween(7,12,100), 2)</f>
        <v>#NAME?</v>
      </c>
      <c r="O17" s="23"/>
      <c r="P17" s="23"/>
    </row>
    <row r="18" spans="2:16" s="107" customFormat="1" ht="26.1" customHeight="1">
      <c r="B18" s="383">
        <f t="shared" si="1"/>
        <v>44908.576388888883</v>
      </c>
      <c r="C18" s="382">
        <v>240</v>
      </c>
      <c r="D18" s="384">
        <f t="shared" si="0"/>
        <v>14.9</v>
      </c>
      <c r="E18" s="385">
        <f t="shared" si="2"/>
        <v>152</v>
      </c>
      <c r="F18" s="386">
        <f t="shared" si="3"/>
        <v>7.01</v>
      </c>
      <c r="H18" s="380">
        <v>0</v>
      </c>
      <c r="I18" s="381">
        <v>-1</v>
      </c>
      <c r="J18" s="382">
        <v>-0.09</v>
      </c>
      <c r="L18" s="372" t="e" cm="1">
        <f t="array" aca="1" ref="L18" ca="1">ROUND(myRandBetween(0,1,10), 1)</f>
        <v>#NAME?</v>
      </c>
      <c r="M18" s="373" t="e" cm="1">
        <f t="array" aca="1" ref="M18" ca="1">myRandBetween(1,3,1)</f>
        <v>#NAME?</v>
      </c>
      <c r="N18" s="374" t="e" cm="1">
        <f t="array" aca="1" ref="N18" ca="1">ROUND(myRandBetween(7,12,100), 2)</f>
        <v>#NAME?</v>
      </c>
      <c r="O18" s="23"/>
      <c r="P18" s="23"/>
    </row>
    <row r="19" spans="2:16" s="107" customFormat="1" ht="26.1" customHeight="1">
      <c r="B19" s="383">
        <f t="shared" si="1"/>
        <v>44908.743055555555</v>
      </c>
      <c r="C19" s="382">
        <v>480</v>
      </c>
      <c r="D19" s="384">
        <f t="shared" si="0"/>
        <v>14.8</v>
      </c>
      <c r="E19" s="385">
        <f t="shared" si="2"/>
        <v>151</v>
      </c>
      <c r="F19" s="386">
        <f t="shared" si="3"/>
        <v>7.1899999999999995</v>
      </c>
      <c r="H19" s="380">
        <v>-0.1</v>
      </c>
      <c r="I19" s="381">
        <v>-2</v>
      </c>
      <c r="J19" s="382">
        <v>0.09</v>
      </c>
      <c r="L19" s="372" t="e" cm="1">
        <f t="array" aca="1" ref="L19" ca="1">ROUND(myRandBetween(0,1,10), 1)</f>
        <v>#NAME?</v>
      </c>
      <c r="M19" s="373" t="e" cm="1">
        <f t="array" aca="1" ref="M19" ca="1">myRandBetween(1,3,1)</f>
        <v>#NAME?</v>
      </c>
      <c r="N19" s="374" t="e" cm="1">
        <f t="array" aca="1" ref="N19" ca="1">ROUND(myRandBetween(7,12,100), 2)</f>
        <v>#NAME?</v>
      </c>
      <c r="O19" s="23"/>
      <c r="P19" s="23"/>
    </row>
    <row r="20" spans="2:16" s="361" customFormat="1" ht="26.1" customHeight="1">
      <c r="B20" s="383">
        <f t="shared" si="1"/>
        <v>44909.409722222219</v>
      </c>
      <c r="C20" s="382">
        <v>1440</v>
      </c>
      <c r="D20" s="384">
        <f t="shared" si="0"/>
        <v>14.8</v>
      </c>
      <c r="E20" s="385">
        <f t="shared" si="2"/>
        <v>151</v>
      </c>
      <c r="F20" s="386">
        <f t="shared" si="3"/>
        <v>7.22</v>
      </c>
      <c r="H20" s="380">
        <v>-0.1</v>
      </c>
      <c r="I20" s="381">
        <v>-2</v>
      </c>
      <c r="J20" s="382">
        <v>0.12</v>
      </c>
      <c r="L20" s="372" t="e" cm="1">
        <f t="array" aca="1" ref="L20" ca="1">ROUND(myRandBetween(0,1,10), 1)</f>
        <v>#NAME?</v>
      </c>
      <c r="M20" s="373" t="e" cm="1">
        <f t="array" aca="1" ref="M20" ca="1">myRandBetween(1,3,1)</f>
        <v>#NAME?</v>
      </c>
      <c r="N20" s="374" t="e" cm="1">
        <f t="array" aca="1" ref="N20" ca="1">ROUND(myRandBetween(7,12,100), 2)</f>
        <v>#NAME?</v>
      </c>
      <c r="O20" s="23"/>
      <c r="P20" s="23"/>
    </row>
    <row r="21" spans="2:16" s="361" customFormat="1" ht="26.1" customHeight="1">
      <c r="B21" s="383">
        <f t="shared" si="1"/>
        <v>44909.576388888883</v>
      </c>
      <c r="C21" s="382">
        <v>1680</v>
      </c>
      <c r="D21" s="384">
        <f>$D$20</f>
        <v>14.8</v>
      </c>
      <c r="E21" s="385">
        <f>$E$20</f>
        <v>151</v>
      </c>
      <c r="F21" s="386">
        <f>$F$20</f>
        <v>7.22</v>
      </c>
      <c r="H21" s="380">
        <v>0.1</v>
      </c>
      <c r="I21" s="381">
        <v>-2</v>
      </c>
      <c r="J21" s="382">
        <v>-0.11</v>
      </c>
      <c r="L21" s="372" t="e" cm="1">
        <f t="array" aca="1" ref="L21" ca="1">ROUND(myRandBetween(0,1,10), 1)</f>
        <v>#NAME?</v>
      </c>
      <c r="M21" s="373" t="e" cm="1">
        <f t="array" aca="1" ref="M21" ca="1">myRandBetween(1,3,1)</f>
        <v>#NAME?</v>
      </c>
      <c r="N21" s="374" t="e" cm="1">
        <f t="array" aca="1" ref="N21" ca="1">ROUND(myRandBetween(7,12,100), 2)</f>
        <v>#NAME?</v>
      </c>
      <c r="O21" s="23"/>
      <c r="P21" s="23"/>
    </row>
    <row r="22" spans="2:16" s="361" customFormat="1" ht="26.1" customHeight="1">
      <c r="B22" s="383">
        <f t="shared" si="1"/>
        <v>44909.743055555555</v>
      </c>
      <c r="C22" s="382">
        <v>1920</v>
      </c>
      <c r="D22" s="384">
        <f t="shared" ref="D22:D23" si="4">$D$20</f>
        <v>14.8</v>
      </c>
      <c r="E22" s="385">
        <f t="shared" ref="E22:E23" si="5">$E$20</f>
        <v>151</v>
      </c>
      <c r="F22" s="386">
        <f t="shared" ref="F22:F23" si="6">$F$20</f>
        <v>7.22</v>
      </c>
      <c r="H22" s="380">
        <v>0</v>
      </c>
      <c r="I22" s="381">
        <v>1</v>
      </c>
      <c r="J22" s="382">
        <v>-0.09</v>
      </c>
      <c r="L22" s="372" t="e" cm="1">
        <f t="array" aca="1" ref="L22" ca="1">ROUND(myRandBetween(0,1,10), 1)</f>
        <v>#NAME?</v>
      </c>
      <c r="M22" s="373" t="e" cm="1">
        <f t="array" aca="1" ref="M22" ca="1">myRandBetween(1,3,1)</f>
        <v>#NAME?</v>
      </c>
      <c r="N22" s="374" t="e" cm="1">
        <f t="array" aca="1" ref="N22" ca="1">ROUND(myRandBetween(7,12,100), 2)</f>
        <v>#NAME?</v>
      </c>
      <c r="O22" s="23"/>
      <c r="P22" s="23"/>
    </row>
    <row r="23" spans="2:16" s="361" customFormat="1" ht="26.1" customHeight="1" thickBot="1">
      <c r="B23" s="383">
        <f t="shared" si="1"/>
        <v>44910.409722222219</v>
      </c>
      <c r="C23" s="382">
        <v>2880</v>
      </c>
      <c r="D23" s="384">
        <f t="shared" si="4"/>
        <v>14.8</v>
      </c>
      <c r="E23" s="385">
        <f t="shared" si="5"/>
        <v>151</v>
      </c>
      <c r="F23" s="386">
        <f t="shared" si="6"/>
        <v>7.22</v>
      </c>
      <c r="H23" s="387">
        <v>-0.1</v>
      </c>
      <c r="I23" s="388">
        <v>2</v>
      </c>
      <c r="J23" s="389">
        <v>0.09</v>
      </c>
      <c r="L23" s="372" t="e" cm="1">
        <f t="array" aca="1" ref="L23" ca="1">ROUND(myRandBetween(0,1,10), 1)</f>
        <v>#NAME?</v>
      </c>
      <c r="M23" s="373" t="e" cm="1">
        <f t="array" aca="1" ref="M23" ca="1">myRandBetween(1,3,1)</f>
        <v>#NAME?</v>
      </c>
      <c r="N23" s="390" t="e" cm="1">
        <f t="array" aca="1" ref="N23" ca="1">ROUND(myRandBetween(7,12,100), 2)</f>
        <v>#NAME?</v>
      </c>
      <c r="O23" s="23"/>
      <c r="P23" s="23"/>
    </row>
    <row r="24" spans="2:16" s="361" customFormat="1" ht="26.1" customHeight="1">
      <c r="B24" s="484" t="s">
        <v>91</v>
      </c>
      <c r="C24" s="485"/>
      <c r="D24" s="415">
        <f>MAX(D14:D23)</f>
        <v>15</v>
      </c>
      <c r="E24" s="416">
        <f t="shared" ref="E24:F24" si="7">MAX(E14:E23)</f>
        <v>156</v>
      </c>
      <c r="F24" s="414">
        <f t="shared" si="7"/>
        <v>7.22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4" t="s">
        <v>234</v>
      </c>
      <c r="C25" s="485"/>
      <c r="D25" s="415">
        <f>MIN(D14:D23)</f>
        <v>14.8</v>
      </c>
      <c r="E25" s="416">
        <f t="shared" ref="E25:F25" si="8">MIN(E14:E23)</f>
        <v>150</v>
      </c>
      <c r="F25" s="414">
        <f t="shared" si="8"/>
        <v>7.01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5" t="s">
        <v>235</v>
      </c>
      <c r="C26" s="476"/>
      <c r="D26" s="417">
        <f>D24-D25</f>
        <v>0.19999999999999929</v>
      </c>
      <c r="E26" s="418">
        <f t="shared" ref="E26:F26" si="9">E24-E25</f>
        <v>6</v>
      </c>
      <c r="F26" s="419">
        <f t="shared" si="9"/>
        <v>0.20999999999999996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971550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971550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971550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2022-12-19T06:52:03Z</cp:lastPrinted>
  <dcterms:created xsi:type="dcterms:W3CDTF">2022-01-08T04:40:11Z</dcterms:created>
  <dcterms:modified xsi:type="dcterms:W3CDTF">2022-12-21T04:47:11Z</dcterms:modified>
</cp:coreProperties>
</file>