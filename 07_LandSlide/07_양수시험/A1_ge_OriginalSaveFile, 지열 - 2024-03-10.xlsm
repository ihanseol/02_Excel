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BA23F20-1E1B-4D82-932C-44145F9F8F14}" xr6:coauthVersionLast="47" xr6:coauthVersionMax="47" xr10:uidLastSave="{00000000-0000-0000-0000-000000000000}"/>
  <bookViews>
    <workbookView xWindow="-120" yWindow="-120" windowWidth="29040" windowHeight="157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L16" i="11"/>
  <c r="L20" i="11"/>
  <c r="L21" i="11"/>
  <c r="L15" i="11"/>
  <c r="M22" i="11"/>
  <c r="N15" i="11"/>
  <c r="M16" i="11"/>
  <c r="L19" i="11"/>
  <c r="N14" i="11"/>
  <c r="N16" i="11"/>
  <c r="N17" i="11"/>
  <c r="M23" i="11"/>
  <c r="N22" i="11"/>
  <c r="M20" i="11"/>
  <c r="N21" i="11"/>
  <c r="N20" i="11"/>
  <c r="N23" i="11"/>
  <c r="M17" i="11"/>
  <c r="M15" i="11"/>
  <c r="L18" i="11"/>
  <c r="N18" i="11"/>
  <c r="N19" i="11"/>
  <c r="L23" i="11"/>
  <c r="L14" i="11"/>
  <c r="M21" i="11"/>
  <c r="M18" i="11"/>
  <c r="L17" i="11"/>
  <c r="M19" i="11"/>
  <c r="M14" i="11"/>
  <c r="L22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43" i="6" l="1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<sst xmlns="http://schemas.openxmlformats.org/spreadsheetml/2006/main" count="1149" uniqueCount="302">
  <si>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</si>
  <si>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</si>
  <si>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</si>
  <si>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</si>
  <si>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</si>
  <si>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</si>
  <si>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</si>
  <si>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</si>
  <si>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</si>
  <si>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</si>
  <si>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</si>
  <si>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</si>
  <si>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</si>
  <si>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</si>
  <si>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</si>
  <si>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</si>
  <si>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</si>
  <si>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</si>
  <si>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</si>
  <si>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</si>
  <si>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</si>
  <si>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</si>
  <si>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</si>
  <si>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</si>
  <si>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</si>
  <si>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</si>
  <si>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</si>
  <si>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</si>
  <si>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</si>
  <si>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</si>
  <si>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</si>
  <si>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</si>
  <si>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</si>
  <si>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</si>
  <si>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</si>
  <si>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</si>
  <si>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</si>
  <si>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</si>
  <si>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</si>
  <si>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</si>
  <si>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</si>
  <si>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</si>
  <si>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</si>
  <si>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</si>
  <si>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</si>
  <si>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</si>
  <si>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</si>
  <si>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</si>
  <si>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</si>
  <si>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</si>
  <si>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</si>
  <si>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</si>
  <si>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</si>
  <si>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</si>
  <si>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</si>
  <si>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</si>
  <si>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</si>
  <si>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</si>
  <si>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</si>
  <si>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</si>
  <si>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</si>
  <si>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</si>
  <si>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</si>
  <si>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</si>
  <si>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</si>
  <si>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</si>
  <si>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</si>
  <si>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</si>
  <si>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</si>
  <si>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</si>
  <si>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</si>
  <si>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</si>
  <si>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</si>
  <si>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</si>
  <si>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</si>
  <si>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</si>
  <si>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</si>
  <si>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</si>
  <si>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</si>
  <si>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</si>
  <si>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</si>
  <si>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</si>
  <si>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</si>
  <si>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</si>
  <si>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</si>
  <si>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</si>
  <si>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</si>
  <si>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</si>
  <si>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</si>
  <si>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</si>
  <si>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</si>
  <si>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</si>
  <si>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</si>
  <si>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</si>
  <si>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</si>
  <si>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</si>
  <si>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</si>
  <si>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</si>
  <si>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</si>
  <si>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</si>
  <si>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</si>
  <si>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</si>
  <si>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</si>
  <si>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</si>
  <si>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</si>
  <si>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</si>
  <si>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</si>
  <si>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</si>
  <si>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</si>
  <si>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</si>
  <si>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</si>
  <si>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</si>
  <si>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</si>
  <si>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</si>
  <si>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</si>
  <si>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</si>
  <si>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</si>
  <si>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</si>
  <si>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</si>
  <si>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</si>
  <si>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</si>
  <si>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</si>
  <si>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</si>
  <si>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</si>
  <si>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</si>
  <si>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</si>
  <si>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</si>
  <si>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</si>
  <si>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</si>
  <si>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</si>
  <si>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</si>
  <si>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</si>
  <si>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</si>
  <si>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</si>
  <si>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</si>
  <si>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</si>
  <si>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</si>
  <si>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</si>
  <si>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</si>
  <si>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</si>
  <si>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</si>
  <si>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</si>
  <si>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</si>
  <si>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</si>
  <si>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</si>
  <si>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</si>
  <si>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</si>
  <si>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</si>
  <si>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</si>
  <si>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</si>
  <si>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</si>
  <si>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</si>
  <si>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</si>
  <si>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</si>
  <si>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</si>
  <si>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</si>
  <si>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</si>
  <si>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</si>
  <si>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</si>
  <si>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</si>
  <si>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</si>
  <si>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</si>
  <si>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</si>
  <si>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</si>
  <si>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</si>
  <si>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</si>
  <si>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</si>
  <si>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</si>
  <si>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</si>
  <si>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</si>
  <si>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</si>
  <si>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</si>
  <si>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</si>
  <si>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</si>
  <si>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</si>
  <si>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</si>
  <si>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</si>
  <si>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</si>
  <si>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</si>
  <si>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</si>
  <si>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</si>
  <si>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</si>
  <si>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</si>
  <si>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</si>
  <si>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</si>
  <si>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</si>
  <si>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</si>
  <si>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</si>
  <si>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</si>
  <si>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</si>
  <si>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</si>
  <si>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</si>
  <si>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</si>
  <si>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</si>
  <si>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</si>
  <si>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</si>
  <si>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</si>
  <si>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</si>
  <si>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</si>
  <si>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</si>
  <si>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</si>
  <si>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</si>
  <si>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</si>
  <si>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</si>
  <si>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</si>
  <si>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</si>
  <si>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</si>
  <si>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</si>
  <si>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</si>
  <si>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</si>
  <si>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</si>
  <si>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</si>
  <si>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</si>
  <si>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</si>
  <si>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</si>
  <si>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</si>
  <si>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</si>
  <si>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</si>
  <si>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</si>
  <si>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</si>
  <si>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</si>
  <si>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</si>
  <si>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</si>
  <si>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</si>
  <si>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</si>
  <si>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</si>
  <si>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</si>
  <si>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</si>
  <si>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</si>
  <si>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</si>
  <si>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</si>
  <si>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</si>
  <si>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</si>
  <si>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</si>
  <si>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</si>
  <si>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</si>
  <si>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</si>
  <si>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</si>
  <si>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</si>
  <si>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</si>
  <si>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</si>
  <si>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</si>
  <si>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</si>
  <si>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</si>
  <si>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</si>
  <si>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</si>
  <si>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</si>
  <si>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</si>
  <si>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</si>
  <si>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</si>
  <si>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</si>
  <si>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</si>
  <si>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</si>
  <si>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</si>
  <si>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</si>
  <si>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</si>
  <si>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</si>
  <si>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</si>
  <si>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</si>
  <si>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5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</si>
  <si>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</si>
  <si>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</si>
  <si>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</si>
  <si>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</si>
  <si>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</si>
  <si>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</si>
  <si>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</si>
  <si>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</si>
  <si>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</si>
  <si>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</si>
  <si>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</si>
  <si>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</si>
  <si>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</si>
  <si>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</si>
  <si>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</si>
  <si>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</si>
  <si>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</si>
  <si>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</si>
  <si>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</si>
  <si>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</si>
  <si>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</si>
  <si>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</si>
  <si>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</si>
  <si>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</si>
  <si>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</si>
  <si>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</si>
  <si>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</si>
  <si>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</si>
  <si>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</si>
  <si>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</si>
  <si>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</si>
  <si>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</si>
  <si>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</si>
  <si>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</si>
  <si>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</si>
  <si>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</si>
  <si>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</si>
  <si>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</si>
  <si>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이랜드 R&amp;D센터 지열시스템공사</t>
    <phoneticPr fontId="8" type="noConversion"/>
  </si>
  <si>
    <t>이랜드 R&amp;D센터</t>
    <phoneticPr fontId="8" type="noConversion"/>
  </si>
  <si>
    <t>서울특별시 강서구 마곡동 780번지</t>
    <phoneticPr fontId="8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</si>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</sst>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196631474877299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91326306543698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10871326269402"/>
          <c:y val="0.10389655838474737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29696217012963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91326306543698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1.9195967756376788</c:v>
                </c:pt>
                <c:pt idx="2">
                  <c:v>2.455391869317884</c:v>
                </c:pt>
                <c:pt idx="3">
                  <c:v>2.8355445381347</c:v>
                </c:pt>
                <c:pt idx="4">
                  <c:v>3.1304138563317068</c:v>
                </c:pt>
                <c:pt idx="5">
                  <c:v>4.0463616188287279</c:v>
                </c:pt>
                <c:pt idx="6">
                  <c:v>4.5821567125089349</c:v>
                </c:pt>
                <c:pt idx="7">
                  <c:v>4.9623093813257508</c:v>
                </c:pt>
                <c:pt idx="8">
                  <c:v>5.2571786995227576</c:v>
                </c:pt>
                <c:pt idx="9">
                  <c:v>5.4981044750059542</c:v>
                </c:pt>
                <c:pt idx="10">
                  <c:v>5.7018043157253704</c:v>
                </c:pt>
                <c:pt idx="11">
                  <c:v>5.8782571438227702</c:v>
                </c:pt>
                <c:pt idx="12">
                  <c:v>6.0338995686861612</c:v>
                </c:pt>
                <c:pt idx="13">
                  <c:v>6.1731264620197788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9.296169330596781</c:v>
                </c:pt>
                <c:pt idx="24">
                  <c:v>9.7799999999999994</c:v>
                </c:pt>
                <c:pt idx="25">
                  <c:v>11.785320330324659</c:v>
                </c:pt>
                <c:pt idx="26">
                  <c:v>11.865417462635858</c:v>
                </c:pt>
                <c:pt idx="27">
                  <c:v>11.942491330010373</c:v>
                </c:pt>
                <c:pt idx="28">
                  <c:v>12.15766016516233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15.038715559127084</c:v>
                </c:pt>
                <c:pt idx="32">
                  <c:v>15.101124418360648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12.329531273625038</c:v>
                </c:pt>
                <c:pt idx="1">
                  <c:v>11.295105479762084</c:v>
                </c:pt>
                <c:pt idx="2">
                  <c:v>10.347466174311545</c:v>
                </c:pt>
                <c:pt idx="3">
                  <c:v>9.4793321249069802</c:v>
                </c:pt>
                <c:pt idx="4">
                  <c:v>8.6840329816562143</c:v>
                </c:pt>
                <c:pt idx="5">
                  <c:v>6.6765581748317917</c:v>
                </c:pt>
                <c:pt idx="6">
                  <c:v>6.2976973688855296</c:v>
                </c:pt>
                <c:pt idx="7">
                  <c:v>5.2852950411824065</c:v>
                </c:pt>
                <c:pt idx="8">
                  <c:v>4.8418681665152068</c:v>
                </c:pt>
                <c:pt idx="9">
                  <c:v>4.4356440197269649</c:v>
                </c:pt>
                <c:pt idx="10">
                  <c:v>4.307956006909011</c:v>
                </c:pt>
                <c:pt idx="11">
                  <c:v>4.1839437238261041</c:v>
                </c:pt>
                <c:pt idx="12">
                  <c:v>4.0635013579686223</c:v>
                </c:pt>
                <c:pt idx="13">
                  <c:v>3.9465261428308644</c:v>
                </c:pt>
                <c:pt idx="14">
                  <c:v>3.8329182702263371</c:v>
                </c:pt>
                <c:pt idx="15">
                  <c:v>3.7225808051271971</c:v>
                </c:pt>
                <c:pt idx="16">
                  <c:v>3.6154196029552041</c:v>
                </c:pt>
                <c:pt idx="17">
                  <c:v>3.5113432292535913</c:v>
                </c:pt>
                <c:pt idx="18">
                  <c:v>3.4102628816713327</c:v>
                </c:pt>
                <c:pt idx="19">
                  <c:v>3.1241478777538267</c:v>
                </c:pt>
                <c:pt idx="20">
                  <c:v>3.0342136466735852</c:v>
                </c:pt>
                <c:pt idx="21">
                  <c:v>2.5464409293280825</c:v>
                </c:pt>
                <c:pt idx="22">
                  <c:v>2.137081353406372</c:v>
                </c:pt>
                <c:pt idx="23">
                  <c:v>1.793529415301345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13</xdr:row>
      <xdr:rowOff>76200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259</v>
      </c>
    </row>
    <row r="18" spans="4:10" ht="18" customHeight="1">
      <c r="D18" s="13" t="s">
        <v>114</v>
      </c>
      <c r="E18" s="11" t="s">
        <v>115</v>
      </c>
      <c r="J18" s="11" t="s">
        <v>260</v>
      </c>
    </row>
    <row r="19" spans="4:10" ht="18" customHeight="1">
      <c r="D19" s="13" t="s">
        <v>261</v>
      </c>
      <c r="E19" s="11" t="s">
        <v>279</v>
      </c>
      <c r="J19" s="11" t="s">
        <v>297</v>
      </c>
    </row>
    <row r="20" spans="4:10" ht="18" customHeight="1">
      <c r="D20" s="11" t="s">
        <v>262</v>
      </c>
      <c r="E20" s="11" t="s">
        <v>280</v>
      </c>
    </row>
    <row r="21" spans="4:10" ht="18" customHeight="1">
      <c r="D21" s="11" t="s">
        <v>263</v>
      </c>
      <c r="E21" s="11" t="s">
        <v>281</v>
      </c>
    </row>
    <row r="22" spans="4:10" ht="18" customHeight="1">
      <c r="D22" s="11" t="s">
        <v>264</v>
      </c>
      <c r="E22" s="11" t="s">
        <v>282</v>
      </c>
    </row>
    <row r="23" spans="4:10" ht="18" customHeight="1">
      <c r="D23" s="11" t="s">
        <v>265</v>
      </c>
      <c r="E23" s="11" t="s">
        <v>283</v>
      </c>
    </row>
    <row r="24" spans="4:10" ht="18" customHeight="1">
      <c r="D24" s="11" t="s">
        <v>266</v>
      </c>
      <c r="E24" s="11" t="s">
        <v>284</v>
      </c>
    </row>
    <row r="25" spans="4:10" ht="18" customHeight="1">
      <c r="D25" s="11" t="s">
        <v>267</v>
      </c>
      <c r="E25" s="11" t="s">
        <v>285</v>
      </c>
    </row>
    <row r="26" spans="4:10" ht="18" customHeight="1">
      <c r="D26" s="11" t="s">
        <v>268</v>
      </c>
      <c r="E26" s="11" t="s">
        <v>286</v>
      </c>
    </row>
    <row r="27" spans="4:10" ht="18" customHeight="1">
      <c r="D27" s="11" t="s">
        <v>269</v>
      </c>
      <c r="E27" s="11" t="s">
        <v>287</v>
      </c>
    </row>
    <row r="28" spans="4:10" ht="18" customHeight="1">
      <c r="D28" s="11" t="s">
        <v>270</v>
      </c>
      <c r="E28" s="11" t="s">
        <v>288</v>
      </c>
    </row>
    <row r="29" spans="4:10" ht="18" customHeight="1">
      <c r="D29" s="11" t="s">
        <v>271</v>
      </c>
      <c r="E29" s="11" t="s">
        <v>289</v>
      </c>
    </row>
    <row r="30" spans="4:10" ht="18" customHeight="1">
      <c r="D30" s="11" t="s">
        <v>272</v>
      </c>
      <c r="E30" s="11" t="s">
        <v>290</v>
      </c>
    </row>
    <row r="31" spans="4:10" ht="18" customHeight="1">
      <c r="D31" s="11" t="s">
        <v>273</v>
      </c>
      <c r="E31" s="11" t="s">
        <v>291</v>
      </c>
    </row>
    <row r="32" spans="4:10" ht="18" customHeight="1">
      <c r="D32" s="11" t="s">
        <v>274</v>
      </c>
      <c r="E32" s="11" t="s">
        <v>292</v>
      </c>
    </row>
    <row r="33" spans="4:5" ht="18" customHeight="1">
      <c r="D33" s="11" t="s">
        <v>275</v>
      </c>
      <c r="E33" s="11" t="s">
        <v>293</v>
      </c>
    </row>
    <row r="34" spans="4:5" ht="18" customHeight="1">
      <c r="D34" s="11" t="s">
        <v>276</v>
      </c>
      <c r="E34" s="11" t="s">
        <v>294</v>
      </c>
    </row>
    <row r="35" spans="4:5" ht="18" customHeight="1">
      <c r="D35" s="11" t="s">
        <v>277</v>
      </c>
      <c r="E35" s="11" t="s">
        <v>295</v>
      </c>
    </row>
    <row r="36" spans="4:5" ht="18" customHeight="1">
      <c r="D36" s="11" t="s">
        <v>278</v>
      </c>
      <c r="E36" s="11" t="s">
        <v>296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4" zoomScaleNormal="100" workbookViewId="0">
      <selection activeCell="Q21" sqref="Q21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297</v>
      </c>
      <c r="E2" s="3">
        <f>M51/3</f>
        <v>174</v>
      </c>
      <c r="F2" s="279" t="s">
        <v>2</v>
      </c>
      <c r="G2" s="3" t="s">
        <v>3</v>
      </c>
    </row>
    <row r="3" spans="1:15" s="210" customFormat="1">
      <c r="A3" s="215">
        <f>B3+$M$48</f>
        <v>11.690000000000001</v>
      </c>
      <c r="B3" s="299">
        <f>B20</f>
        <v>7.33</v>
      </c>
      <c r="C3" s="216"/>
      <c r="D3" s="300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9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15.6</v>
      </c>
      <c r="C17" s="4"/>
      <c r="D17" s="284">
        <f>M47</f>
        <v>600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5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5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5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3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1.4100000000000001E-5</v>
      </c>
      <c r="B31" s="277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6">
        <v>70.484000000000009</v>
      </c>
      <c r="B38" s="277">
        <v>4.2999999999999997E-2</v>
      </c>
      <c r="C38" s="277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298</v>
      </c>
      <c r="J44" s="438"/>
      <c r="K44" s="439"/>
      <c r="L44" s="267" t="s">
        <v>30</v>
      </c>
      <c r="M44" s="271">
        <v>200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299</v>
      </c>
      <c r="J45" s="447"/>
      <c r="K45" s="448"/>
      <c r="L45" s="267" t="s">
        <v>34</v>
      </c>
      <c r="M45" s="272">
        <v>500</v>
      </c>
      <c r="N45" s="272">
        <f>M44</f>
        <v>200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1.7482600000000001E-2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300</v>
      </c>
      <c r="J46" s="438"/>
      <c r="K46" s="439"/>
      <c r="L46" s="267" t="s">
        <v>38</v>
      </c>
      <c r="M46" s="235">
        <f>IF(I52&gt;M48, M45-I52,M45-M48)</f>
        <v>470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223</v>
      </c>
      <c r="J47" s="450"/>
      <c r="K47" s="451"/>
      <c r="L47" s="267" t="s">
        <v>42</v>
      </c>
      <c r="M47" s="236">
        <f>INT((M51*100)/M53)</f>
        <v>600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41" t="s">
        <v>301</v>
      </c>
      <c r="K48" s="441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1.4790000000000001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이랜드 R&amp;D센터</v>
      </c>
      <c r="J49" s="442"/>
      <c r="K49" s="442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8">
        <f>INT(10^((INT(5.46*A44*A46*1000))/1000)*1000)/1000</f>
        <v>6886.5219999999999</v>
      </c>
      <c r="C52" s="408">
        <f>INT(B52*B51*1000)/1000</f>
        <v>3.4430000000000001</v>
      </c>
      <c r="D52" s="409"/>
      <c r="E52" s="4"/>
      <c r="F52" s="4"/>
      <c r="G52" s="4"/>
      <c r="H52" s="268" t="s">
        <v>54</v>
      </c>
      <c r="I52" s="290">
        <v>30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243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17.53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9.6638297872340434E-2</v>
      </c>
      <c r="J58" s="265" t="s">
        <v>69</v>
      </c>
      <c r="K58" s="397">
        <f>INT((6*I57*I58*I60/I59)^0.5)</f>
        <v>5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7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10.113637503862758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254</v>
      </c>
      <c r="R64" s="288" t="s">
        <v>255</v>
      </c>
      <c r="S64" s="288" t="s">
        <v>256</v>
      </c>
      <c r="T64" s="288" t="s">
        <v>257</v>
      </c>
      <c r="U64" s="288" t="s">
        <v>258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5.4139095456310251</v>
      </c>
      <c r="C4" s="320">
        <f>LongTest!B10</f>
        <v>522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16.829999999999998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1.0967420038710389</v>
      </c>
      <c r="D6" s="246"/>
      <c r="E6" s="245">
        <f>1.15*LOG((2.25*D5*(1/1440))/(F4*E4^2))</f>
        <v>4.2790742583043047</v>
      </c>
      <c r="F6" s="247" t="s">
        <v>121</v>
      </c>
      <c r="G6" s="428">
        <f>C6-E6</f>
        <v>-3.1823322544332657</v>
      </c>
      <c r="H6" s="36"/>
      <c r="I6" s="315">
        <f>Input!M49</f>
        <v>21.89</v>
      </c>
      <c r="J6" s="308">
        <f>MAX(C13,C18,C23)</f>
        <v>109.2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3" t="s">
        <v>125</v>
      </c>
      <c r="J7" s="309">
        <f>ROUND((C13+C18+C23)/3,1)</f>
        <v>62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2.41</v>
      </c>
      <c r="D8" s="252"/>
      <c r="E8" s="252"/>
      <c r="F8" s="253"/>
      <c r="G8" s="252"/>
      <c r="H8" s="254"/>
      <c r="I8" s="324">
        <f>Input!M45</f>
        <v>500</v>
      </c>
      <c r="J8" s="304" t="s">
        <v>240</v>
      </c>
      <c r="K8" s="310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6.1535294153013451</v>
      </c>
      <c r="D10" s="25" t="s">
        <v>236</v>
      </c>
      <c r="E10" s="301">
        <v>0.32969999999999999</v>
      </c>
      <c r="H10" s="255" t="s">
        <v>214</v>
      </c>
      <c r="I10" s="261">
        <f>Input!I52</f>
        <v>30</v>
      </c>
      <c r="J10" s="305" t="s">
        <v>242</v>
      </c>
      <c r="K10" s="312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15.736470584698655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34.5</v>
      </c>
      <c r="D13" s="26"/>
      <c r="E13" s="430" t="s">
        <v>251</v>
      </c>
      <c r="F13" s="331">
        <f>D5</f>
        <v>16.829999999999998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470</v>
      </c>
      <c r="D16" s="258">
        <f>(F13+H13)/2</f>
        <v>15.53</v>
      </c>
      <c r="E16" s="31">
        <f>INT(D16/C16*100000)/100000</f>
        <v>3.304E-2</v>
      </c>
      <c r="F16" s="32">
        <v>1440</v>
      </c>
      <c r="G16" s="260">
        <v>300</v>
      </c>
      <c r="H16" s="258">
        <f>INT(G16/F16*10000)/10000</f>
        <v>0.20830000000000001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42.2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470</v>
      </c>
      <c r="D21" s="32">
        <f t="shared" si="0"/>
        <v>15.53</v>
      </c>
      <c r="E21" s="258">
        <f t="shared" si="0"/>
        <v>3.304E-2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109.2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470</v>
      </c>
      <c r="D26" s="32">
        <f t="shared" si="1"/>
        <v>15.53</v>
      </c>
      <c r="E26" s="31">
        <f t="shared" si="1"/>
        <v>3.304E-2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15.53</v>
      </c>
      <c r="D28" s="426">
        <f>(C28/C16)*(100/86400)</f>
        <v>3.8243695823483054E-5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3.824369582348306E-5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61.966666666666669</v>
      </c>
      <c r="D30" s="15"/>
      <c r="E30" s="420">
        <f>(C13+C18)/2</f>
        <v>38.35</v>
      </c>
      <c r="F30" s="421">
        <f>MAX(C13,C18)</f>
        <v>42.2</v>
      </c>
      <c r="G30" s="422">
        <f>ROUND(C4/(G4*F30^2*I16),3)</f>
        <v>152.98099999999999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이랜드 R&amp;D센터 지열시스템공사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330</v>
      </c>
      <c r="S4" s="52">
        <f>$R$4</f>
        <v>330</v>
      </c>
      <c r="T4" s="344">
        <v>19.850478415366382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11.539855724732838</v>
      </c>
      <c r="Z4" s="59">
        <f>Z22</f>
        <v>10.536206711592181</v>
      </c>
      <c r="AA4" s="58">
        <f>$Z$4</f>
        <v>10.536206711592181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이랜드 R&amp;D센터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330</v>
      </c>
      <c r="T5" s="52">
        <f>$T4</f>
        <v>19.850478415366382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12.45580348722986</v>
      </c>
      <c r="AA5" s="58">
        <f t="shared" ref="AA5:AA23" si="5">$Z$4</f>
        <v>10.536206711592181</v>
      </c>
      <c r="AB5" s="58">
        <f t="shared" ref="AB5:AB43" si="6">X5</f>
        <v>2</v>
      </c>
      <c r="AC5" s="58">
        <f t="shared" ref="AC5:AC43" si="7">Y5-AA5</f>
        <v>1.9195967756376788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서울특별시 강서구 마곡동 780번지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12.991598580910065</v>
      </c>
      <c r="AA6" s="58">
        <f t="shared" si="5"/>
        <v>10.536206711592181</v>
      </c>
      <c r="AB6" s="58">
        <f t="shared" si="6"/>
        <v>3</v>
      </c>
      <c r="AC6" s="58">
        <f t="shared" si="7"/>
        <v>2.455391869317884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>이랜드 R&amp;D센터</v>
      </c>
      <c r="H7" s="359"/>
      <c r="I7" s="360"/>
      <c r="P7" s="52">
        <v>4</v>
      </c>
      <c r="Q7" s="416"/>
      <c r="S7" s="52">
        <f t="shared" si="3"/>
        <v>330</v>
      </c>
      <c r="T7" s="52">
        <f t="shared" si="10"/>
        <v>19.850478415366382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13.371751249726881</v>
      </c>
      <c r="AA7" s="58">
        <f t="shared" si="5"/>
        <v>10.536206711592181</v>
      </c>
      <c r="AB7" s="58">
        <f t="shared" si="6"/>
        <v>4</v>
      </c>
      <c r="AC7" s="58">
        <f t="shared" si="7"/>
        <v>2.8355445381347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이랜드 R&amp;D센터</v>
      </c>
      <c r="H8" s="359"/>
      <c r="I8" s="363"/>
      <c r="K8" s="63"/>
      <c r="P8" s="52">
        <v>5</v>
      </c>
      <c r="Q8" s="416"/>
      <c r="S8" s="52">
        <f t="shared" si="3"/>
        <v>330</v>
      </c>
      <c r="T8" s="52">
        <f t="shared" si="10"/>
        <v>19.850478415366382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13.666620567923887</v>
      </c>
      <c r="AA8" s="58">
        <f t="shared" si="5"/>
        <v>10.536206711592181</v>
      </c>
      <c r="AB8" s="58">
        <f t="shared" si="6"/>
        <v>5</v>
      </c>
      <c r="AC8" s="58">
        <f t="shared" si="7"/>
        <v>3.1304138563317068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200</v>
      </c>
      <c r="E9" s="475"/>
      <c r="F9" s="345" t="s">
        <v>168</v>
      </c>
      <c r="G9" s="476">
        <f>Input!M45</f>
        <v>500</v>
      </c>
      <c r="H9" s="476"/>
      <c r="I9" s="345"/>
      <c r="P9" s="52">
        <v>10</v>
      </c>
      <c r="Q9" s="416"/>
      <c r="S9" s="52">
        <f t="shared" si="3"/>
        <v>330</v>
      </c>
      <c r="T9" s="52">
        <f t="shared" si="10"/>
        <v>19.850478415366382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14.582568330420909</v>
      </c>
      <c r="AA9" s="58">
        <f t="shared" si="5"/>
        <v>10.536206711592181</v>
      </c>
      <c r="AB9" s="58">
        <f t="shared" si="6"/>
        <v>10</v>
      </c>
      <c r="AC9" s="58">
        <f t="shared" si="7"/>
        <v>4.0463616188287279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330</v>
      </c>
      <c r="T10" s="52">
        <f t="shared" si="10"/>
        <v>19.850478415366382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15.118363424101116</v>
      </c>
      <c r="AA10" s="58">
        <f t="shared" si="5"/>
        <v>10.536206711592181</v>
      </c>
      <c r="AB10" s="58">
        <f t="shared" si="6"/>
        <v>15</v>
      </c>
      <c r="AC10" s="58">
        <f t="shared" si="7"/>
        <v>4.5821567125089349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9.000000000000008E-2</v>
      </c>
      <c r="P11" s="52">
        <v>20</v>
      </c>
      <c r="Q11" s="416"/>
      <c r="S11" s="52">
        <f t="shared" si="3"/>
        <v>330</v>
      </c>
      <c r="T11" s="52">
        <f t="shared" si="10"/>
        <v>19.850478415366382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15.498516092917932</v>
      </c>
      <c r="AA11" s="58">
        <f t="shared" si="5"/>
        <v>10.536206711592181</v>
      </c>
      <c r="AB11" s="58">
        <f t="shared" si="6"/>
        <v>20</v>
      </c>
      <c r="AC11" s="58">
        <f t="shared" si="7"/>
        <v>4.9623093813257508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330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330</v>
      </c>
      <c r="T12" s="52">
        <f t="shared" si="10"/>
        <v>19.850478415366382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15.793385411114938</v>
      </c>
      <c r="AA12" s="58">
        <f t="shared" si="5"/>
        <v>10.536206711592181</v>
      </c>
      <c r="AB12" s="58">
        <f t="shared" si="6"/>
        <v>25</v>
      </c>
      <c r="AC12" s="58">
        <f t="shared" si="7"/>
        <v>5.2571786995227576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6.2700000000000005</v>
      </c>
      <c r="G13" s="470">
        <f t="shared" ref="G13:G51" si="14">AD5</f>
        <v>1.91</v>
      </c>
      <c r="H13" s="470"/>
      <c r="I13" s="371"/>
      <c r="J13" s="372">
        <f>G13-G12</f>
        <v>0.90999999999999992</v>
      </c>
      <c r="P13" s="52">
        <v>30</v>
      </c>
      <c r="Q13" s="416"/>
      <c r="S13" s="52">
        <f t="shared" si="3"/>
        <v>330</v>
      </c>
      <c r="T13" s="52">
        <f t="shared" si="10"/>
        <v>19.850478415366382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16.034311186598135</v>
      </c>
      <c r="AA13" s="58">
        <f t="shared" si="5"/>
        <v>10.536206711592181</v>
      </c>
      <c r="AB13" s="58">
        <f t="shared" si="6"/>
        <v>30</v>
      </c>
      <c r="AC13" s="58">
        <f t="shared" si="7"/>
        <v>5.4981044750059542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6.8100000000000005</v>
      </c>
      <c r="G14" s="470">
        <f t="shared" si="14"/>
        <v>2.4500000000000002</v>
      </c>
      <c r="H14" s="470"/>
      <c r="I14" s="371"/>
      <c r="J14" s="372">
        <f t="shared" ref="J14:J51" si="15">G14-G13</f>
        <v>0.54000000000000026</v>
      </c>
      <c r="Q14" s="416"/>
      <c r="S14" s="52">
        <f t="shared" si="3"/>
        <v>330</v>
      </c>
      <c r="T14" s="52">
        <f t="shared" si="10"/>
        <v>19.850478415366382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16.238011027317551</v>
      </c>
      <c r="AA14" s="58">
        <f t="shared" si="5"/>
        <v>10.536206711592181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7.19</v>
      </c>
      <c r="G15" s="470">
        <f t="shared" si="14"/>
        <v>2.83</v>
      </c>
      <c r="H15" s="470"/>
      <c r="I15" s="371"/>
      <c r="J15" s="372">
        <f t="shared" si="15"/>
        <v>0.37999999999999989</v>
      </c>
      <c r="Q15" s="416"/>
      <c r="S15" s="52">
        <f t="shared" si="3"/>
        <v>330</v>
      </c>
      <c r="T15" s="52">
        <f t="shared" si="10"/>
        <v>19.850478415366382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16.414463855414951</v>
      </c>
      <c r="AA15" s="58">
        <f t="shared" si="5"/>
        <v>10.536206711592181</v>
      </c>
      <c r="AB15" s="58">
        <f t="shared" si="6"/>
        <v>40</v>
      </c>
      <c r="AC15" s="58">
        <f t="shared" si="7"/>
        <v>5.8782571438227702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7.49</v>
      </c>
      <c r="G16" s="470">
        <f t="shared" si="14"/>
        <v>3.13</v>
      </c>
      <c r="H16" s="470"/>
      <c r="I16" s="371"/>
      <c r="J16" s="372">
        <f t="shared" si="15"/>
        <v>0.29999999999999982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330</v>
      </c>
      <c r="T16" s="52">
        <f t="shared" si="10"/>
        <v>19.850478415366382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16.570106280278342</v>
      </c>
      <c r="AA16" s="58">
        <f t="shared" si="5"/>
        <v>10.536206711592181</v>
      </c>
      <c r="AB16" s="58">
        <f t="shared" si="6"/>
        <v>45</v>
      </c>
      <c r="AC16" s="58">
        <f t="shared" si="7"/>
        <v>6.0338995686861612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8.4</v>
      </c>
      <c r="G17" s="470">
        <f t="shared" si="14"/>
        <v>4.04</v>
      </c>
      <c r="H17" s="470"/>
      <c r="I17" s="371"/>
      <c r="J17" s="372">
        <f t="shared" si="15"/>
        <v>0.91000000000000014</v>
      </c>
      <c r="K17" s="417">
        <f>D12</f>
        <v>1</v>
      </c>
      <c r="L17" s="418">
        <f>INT(B12/1440*10000)/10000</f>
        <v>0.2291</v>
      </c>
      <c r="M17" s="418">
        <f>K17*L17</f>
        <v>0.2291</v>
      </c>
      <c r="N17" s="418">
        <f>INT((D9/2000)^2*3.14159*100000)/100000</f>
        <v>3.141E-2</v>
      </c>
      <c r="O17" s="418">
        <f>INT(M17/N17*100)/100</f>
        <v>7.29</v>
      </c>
      <c r="P17" s="419">
        <f>INT((G12-O17)*100)/100</f>
        <v>-6.29</v>
      </c>
      <c r="S17" s="52">
        <f t="shared" si="3"/>
        <v>330</v>
      </c>
      <c r="T17" s="52">
        <f t="shared" si="10"/>
        <v>19.850478415366382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16.709333173611959</v>
      </c>
      <c r="AA17" s="58">
        <f t="shared" si="5"/>
        <v>10.536206711592181</v>
      </c>
      <c r="AB17" s="58">
        <f t="shared" si="6"/>
        <v>50</v>
      </c>
      <c r="AC17" s="58">
        <f t="shared" si="7"/>
        <v>6.1731264620197788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8.9400000000000013</v>
      </c>
      <c r="G18" s="470">
        <f t="shared" si="14"/>
        <v>4.58</v>
      </c>
      <c r="H18" s="470"/>
      <c r="I18" s="371"/>
      <c r="J18" s="372">
        <f t="shared" si="15"/>
        <v>0.54</v>
      </c>
      <c r="K18" s="417">
        <f>D13</f>
        <v>2</v>
      </c>
      <c r="L18" s="418">
        <f>L17</f>
        <v>0.2291</v>
      </c>
      <c r="M18" s="418">
        <f t="shared" ref="M18:M32" si="17">K18*L18</f>
        <v>0.4582</v>
      </c>
      <c r="N18" s="418">
        <f>N17</f>
        <v>3.141E-2</v>
      </c>
      <c r="O18" s="418">
        <f>INT(M18/N18*100)/100</f>
        <v>14.58</v>
      </c>
      <c r="P18" s="419">
        <f>INT((G13-O18)*100*0.98)/100</f>
        <v>-12.42</v>
      </c>
      <c r="S18" s="52">
        <f t="shared" si="3"/>
        <v>330</v>
      </c>
      <c r="T18" s="52">
        <f t="shared" si="10"/>
        <v>19.850478415366382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16.835279218526171</v>
      </c>
      <c r="AA18" s="58">
        <f t="shared" si="5"/>
        <v>10.536206711592181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9.32</v>
      </c>
      <c r="G19" s="470">
        <f t="shared" si="14"/>
        <v>4.96</v>
      </c>
      <c r="H19" s="470"/>
      <c r="I19" s="371"/>
      <c r="J19" s="372">
        <f t="shared" si="15"/>
        <v>0.37999999999999989</v>
      </c>
      <c r="K19" s="417">
        <f t="shared" ref="K19:K32" si="18">D14</f>
        <v>3</v>
      </c>
      <c r="L19" s="418">
        <f>L18</f>
        <v>0.2291</v>
      </c>
      <c r="M19" s="418">
        <f t="shared" si="17"/>
        <v>0.68730000000000002</v>
      </c>
      <c r="N19" s="418">
        <f t="shared" ref="N19:N32" si="19">N18</f>
        <v>3.141E-2</v>
      </c>
      <c r="O19" s="418">
        <f>INT(M19/N19*100)/100</f>
        <v>21.88</v>
      </c>
      <c r="P19" s="419">
        <f>INT((G14-O19)*100*0.95)/100</f>
        <v>-18.46</v>
      </c>
      <c r="S19" s="52">
        <f t="shared" si="3"/>
        <v>330</v>
      </c>
      <c r="T19" s="52">
        <f t="shared" si="10"/>
        <v>19.850478415366382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16.950258949095158</v>
      </c>
      <c r="AA19" s="58">
        <f t="shared" si="5"/>
        <v>10.536206711592181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9.61</v>
      </c>
      <c r="G20" s="470">
        <f t="shared" si="14"/>
        <v>5.25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0.2291</v>
      </c>
      <c r="M20" s="418">
        <f t="shared" si="17"/>
        <v>0.91639999999999999</v>
      </c>
      <c r="N20" s="418">
        <f t="shared" si="19"/>
        <v>3.141E-2</v>
      </c>
      <c r="O20" s="418">
        <f>INT(M20/N20*100)/100</f>
        <v>29.17</v>
      </c>
      <c r="P20" s="419">
        <f>INT((G15-O20)*100*0.91)/100</f>
        <v>-23.97</v>
      </c>
      <c r="S20" s="52">
        <f t="shared" si="3"/>
        <v>330</v>
      </c>
      <c r="T20" s="52">
        <f t="shared" si="10"/>
        <v>19.850478415366382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17.245128267292166</v>
      </c>
      <c r="AA20" s="58">
        <f t="shared" si="5"/>
        <v>10.536206711592181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9.8500000000000014</v>
      </c>
      <c r="G21" s="470">
        <f t="shared" si="14"/>
        <v>5.49</v>
      </c>
      <c r="H21" s="470"/>
      <c r="I21" s="371"/>
      <c r="J21" s="372">
        <f t="shared" si="15"/>
        <v>0.24000000000000021</v>
      </c>
      <c r="K21" s="417">
        <f t="shared" si="18"/>
        <v>5</v>
      </c>
      <c r="L21" s="417">
        <f>L20</f>
        <v>0.2291</v>
      </c>
      <c r="M21" s="418">
        <f t="shared" si="17"/>
        <v>1.1455</v>
      </c>
      <c r="N21" s="418">
        <f t="shared" si="19"/>
        <v>3.141E-2</v>
      </c>
      <c r="O21" s="417">
        <f>INT(M21/N21*100)/100</f>
        <v>36.46</v>
      </c>
      <c r="P21" s="419">
        <f>INT((G16-O21)*100*0.86)/100</f>
        <v>-28.67</v>
      </c>
      <c r="S21" s="52">
        <f t="shared" si="3"/>
        <v>330</v>
      </c>
      <c r="T21" s="52">
        <f t="shared" si="10"/>
        <v>19.850478415366382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17.486054042775365</v>
      </c>
      <c r="AA21" s="58">
        <f t="shared" si="5"/>
        <v>10.536206711592181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10.06</v>
      </c>
      <c r="G22" s="470">
        <f t="shared" si="14"/>
        <v>5.7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0.2291</v>
      </c>
      <c r="M22" s="418">
        <f t="shared" si="17"/>
        <v>2.2909999999999999</v>
      </c>
      <c r="N22" s="418">
        <f t="shared" si="19"/>
        <v>3.141E-2</v>
      </c>
      <c r="O22" s="417">
        <f t="shared" ref="O22:O30" si="21">INT(M22/N22*100)/100</f>
        <v>72.930000000000007</v>
      </c>
      <c r="P22" s="419">
        <f>INT((G17-O22)*100*0.8)/100</f>
        <v>-55.12</v>
      </c>
      <c r="S22" s="52">
        <f t="shared" si="3"/>
        <v>330</v>
      </c>
      <c r="T22" s="52">
        <f t="shared" si="10"/>
        <v>19.850478415366382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17.689753883494777</v>
      </c>
      <c r="Z22" s="58">
        <f>Y23-Z23</f>
        <v>10.536206711592181</v>
      </c>
      <c r="AA22" s="58">
        <f t="shared" si="5"/>
        <v>10.536206711592181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10.23</v>
      </c>
      <c r="G23" s="470">
        <f t="shared" si="14"/>
        <v>5.87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0.2291</v>
      </c>
      <c r="M23" s="418">
        <f t="shared" si="17"/>
        <v>3.4365000000000001</v>
      </c>
      <c r="N23" s="418">
        <f t="shared" si="19"/>
        <v>3.141E-2</v>
      </c>
      <c r="O23" s="417">
        <f t="shared" si="21"/>
        <v>109.4</v>
      </c>
      <c r="P23" s="419">
        <f t="shared" ref="P23:P32" si="22">INT((G18-O23)*100)/100</f>
        <v>-104.82</v>
      </c>
      <c r="S23" s="52">
        <f t="shared" si="3"/>
        <v>330</v>
      </c>
      <c r="T23" s="52">
        <f t="shared" si="10"/>
        <v>19.850478415366382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17.866206711592181</v>
      </c>
      <c r="Z23" s="58">
        <f>Input!B20</f>
        <v>7.33</v>
      </c>
      <c r="AA23" s="58">
        <f t="shared" si="5"/>
        <v>10.536206711592181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10.39</v>
      </c>
      <c r="G24" s="470">
        <f t="shared" si="14"/>
        <v>6.03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0.2291</v>
      </c>
      <c r="M24" s="418">
        <f t="shared" si="17"/>
        <v>4.5819999999999999</v>
      </c>
      <c r="N24" s="418">
        <f t="shared" si="19"/>
        <v>3.141E-2</v>
      </c>
      <c r="O24" s="417">
        <f t="shared" si="21"/>
        <v>145.87</v>
      </c>
      <c r="P24" s="419">
        <f t="shared" si="22"/>
        <v>-140.91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22.873426304282084</v>
      </c>
      <c r="Z24" s="58">
        <f>Z27</f>
        <v>14.124560239749892</v>
      </c>
      <c r="AA24" s="58">
        <f>$Z$24</f>
        <v>14.124560239749892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10.530000000000001</v>
      </c>
      <c r="G25" s="470">
        <f t="shared" si="14"/>
        <v>6.17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0.2291</v>
      </c>
      <c r="M25" s="418">
        <f t="shared" si="17"/>
        <v>5.7275</v>
      </c>
      <c r="N25" s="418">
        <f t="shared" si="19"/>
        <v>3.141E-2</v>
      </c>
      <c r="O25" s="417">
        <f t="shared" si="21"/>
        <v>182.34</v>
      </c>
      <c r="P25" s="419">
        <f t="shared" si="22"/>
        <v>-177.09</v>
      </c>
      <c r="S25" s="52">
        <f>$R$24</f>
        <v>420</v>
      </c>
      <c r="T25" s="52">
        <f t="shared" si="10"/>
        <v>19.850478415366382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22.998062884760209</v>
      </c>
      <c r="AA25" s="58">
        <f>$Z$24</f>
        <v>14.124560239749892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10.65</v>
      </c>
      <c r="G26" s="470">
        <f t="shared" si="14"/>
        <v>6.29</v>
      </c>
      <c r="H26" s="470"/>
      <c r="I26" s="345"/>
      <c r="J26" s="372">
        <f t="shared" si="15"/>
        <v>0.12000000000000011</v>
      </c>
      <c r="K26" s="417">
        <f t="shared" si="18"/>
        <v>30</v>
      </c>
      <c r="L26" s="417">
        <f t="shared" si="20"/>
        <v>0.2291</v>
      </c>
      <c r="M26" s="418">
        <f t="shared" si="17"/>
        <v>6.8730000000000002</v>
      </c>
      <c r="N26" s="418">
        <f t="shared" si="19"/>
        <v>3.141E-2</v>
      </c>
      <c r="O26" s="418">
        <f t="shared" si="21"/>
        <v>218.81</v>
      </c>
      <c r="P26" s="419">
        <f t="shared" si="22"/>
        <v>-213.32</v>
      </c>
      <c r="S26" s="52">
        <f>$R$24</f>
        <v>420</v>
      </c>
      <c r="T26" s="52">
        <f t="shared" si="10"/>
        <v>19.850478415366382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23.114096765186236</v>
      </c>
      <c r="AA26" s="58">
        <f>$Z$24</f>
        <v>14.124560239749892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10.77</v>
      </c>
      <c r="G27" s="470">
        <f t="shared" si="14"/>
        <v>6.41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0.2291</v>
      </c>
      <c r="M27" s="418">
        <f t="shared" si="17"/>
        <v>8.0184999999999995</v>
      </c>
      <c r="N27" s="418">
        <f t="shared" si="19"/>
        <v>3.141E-2</v>
      </c>
      <c r="O27" s="418">
        <f t="shared" si="21"/>
        <v>255.28</v>
      </c>
      <c r="P27" s="419">
        <f t="shared" si="22"/>
        <v>-249.58</v>
      </c>
      <c r="S27" s="52">
        <f>$R$24</f>
        <v>420</v>
      </c>
      <c r="T27" s="52">
        <f t="shared" si="10"/>
        <v>19.850478415366382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23.420729570346673</v>
      </c>
      <c r="Z27" s="58">
        <f>Y28-Z28</f>
        <v>14.124560239749892</v>
      </c>
      <c r="AA27" s="58">
        <f>$Z$24</f>
        <v>14.124560239749892</v>
      </c>
      <c r="AB27" s="58">
        <f t="shared" si="6"/>
        <v>180</v>
      </c>
      <c r="AC27" s="58">
        <f t="shared" si="7"/>
        <v>9.296169330596781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11.06</v>
      </c>
      <c r="G28" s="470">
        <f t="shared" si="14"/>
        <v>6.7</v>
      </c>
      <c r="H28" s="470"/>
      <c r="I28" s="345"/>
      <c r="J28" s="372">
        <f t="shared" si="15"/>
        <v>0.29000000000000004</v>
      </c>
      <c r="K28" s="417">
        <f t="shared" si="18"/>
        <v>40</v>
      </c>
      <c r="L28" s="417">
        <f t="shared" si="20"/>
        <v>0.2291</v>
      </c>
      <c r="M28" s="418">
        <f t="shared" si="17"/>
        <v>9.1639999999999997</v>
      </c>
      <c r="N28" s="418">
        <f t="shared" si="19"/>
        <v>3.141E-2</v>
      </c>
      <c r="O28" s="418">
        <f t="shared" si="21"/>
        <v>291.75</v>
      </c>
      <c r="P28" s="419">
        <f t="shared" si="22"/>
        <v>-285.88</v>
      </c>
      <c r="S28" s="52">
        <f>$R$24</f>
        <v>420</v>
      </c>
      <c r="T28" s="52">
        <f t="shared" si="10"/>
        <v>19.850478415366382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23.904560239749891</v>
      </c>
      <c r="Z28" s="58">
        <f>Input!B21</f>
        <v>9.7799999999999994</v>
      </c>
      <c r="AA28" s="58">
        <f>$Z$24</f>
        <v>14.124560239749892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11.3</v>
      </c>
      <c r="G29" s="470">
        <f t="shared" si="14"/>
        <v>6.94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0.2291</v>
      </c>
      <c r="M29" s="418">
        <f t="shared" si="17"/>
        <v>10.3095</v>
      </c>
      <c r="N29" s="418">
        <f t="shared" si="19"/>
        <v>3.141E-2</v>
      </c>
      <c r="O29" s="418">
        <f t="shared" si="21"/>
        <v>328.22</v>
      </c>
      <c r="P29" s="419">
        <f t="shared" si="22"/>
        <v>-322.19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29.110333298695565</v>
      </c>
      <c r="Z29" s="58">
        <f>Z32</f>
        <v>17.325012968370906</v>
      </c>
      <c r="AA29" s="58">
        <f>$Z$29</f>
        <v>17.325012968370906</v>
      </c>
      <c r="AB29" s="58">
        <f t="shared" si="6"/>
        <v>250</v>
      </c>
      <c r="AC29" s="58">
        <f t="shared" si="7"/>
        <v>11.785320330324659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11.510000000000002</v>
      </c>
      <c r="G30" s="470">
        <f t="shared" si="14"/>
        <v>7.15</v>
      </c>
      <c r="H30" s="470"/>
      <c r="I30" s="345"/>
      <c r="J30" s="372">
        <f t="shared" si="15"/>
        <v>0.20999999999999996</v>
      </c>
      <c r="K30" s="417">
        <f t="shared" si="18"/>
        <v>50</v>
      </c>
      <c r="L30" s="417">
        <f t="shared" si="20"/>
        <v>0.2291</v>
      </c>
      <c r="M30" s="418">
        <f t="shared" si="17"/>
        <v>11.455</v>
      </c>
      <c r="N30" s="418">
        <f t="shared" si="19"/>
        <v>3.141E-2</v>
      </c>
      <c r="O30" s="418">
        <f t="shared" si="21"/>
        <v>364.69</v>
      </c>
      <c r="P30" s="419">
        <f t="shared" si="22"/>
        <v>-358.52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29.190430431006764</v>
      </c>
      <c r="AA30" s="58">
        <f>$Z$29</f>
        <v>17.325012968370906</v>
      </c>
      <c r="AB30" s="58">
        <f t="shared" si="6"/>
        <v>260</v>
      </c>
      <c r="AC30" s="58">
        <f t="shared" si="7"/>
        <v>11.865417462635858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11.690000000000001</v>
      </c>
      <c r="G31" s="470">
        <f t="shared" si="14"/>
        <v>7.33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0.2291</v>
      </c>
      <c r="M31" s="418">
        <f t="shared" si="17"/>
        <v>12.6005</v>
      </c>
      <c r="N31" s="418">
        <f t="shared" si="19"/>
        <v>3.141E-2</v>
      </c>
      <c r="O31" s="418">
        <f>INT(M31/N31*100)/100</f>
        <v>401.16</v>
      </c>
      <c r="P31" s="419">
        <f t="shared" si="22"/>
        <v>-394.87</v>
      </c>
      <c r="S31" s="52">
        <f>$R$29</f>
        <v>510</v>
      </c>
      <c r="T31" s="52">
        <f t="shared" si="10"/>
        <v>19.850478415366382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29.267504298381279</v>
      </c>
      <c r="AA31" s="58">
        <f>$Z$29</f>
        <v>17.325012968370906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420</v>
      </c>
      <c r="C32" s="369">
        <f>$C$12+D32/1440</f>
        <v>44992.569444444445</v>
      </c>
      <c r="D32" s="469">
        <v>130</v>
      </c>
      <c r="E32" s="469"/>
      <c r="F32" s="370">
        <f t="shared" si="13"/>
        <v>13.16</v>
      </c>
      <c r="G32" s="470">
        <f t="shared" si="14"/>
        <v>8.8000000000000007</v>
      </c>
      <c r="H32" s="470"/>
      <c r="I32" s="345"/>
      <c r="J32" s="372">
        <f t="shared" si="15"/>
        <v>1.4700000000000006</v>
      </c>
      <c r="K32" s="417">
        <f t="shared" si="18"/>
        <v>60</v>
      </c>
      <c r="L32" s="417">
        <f t="shared" si="20"/>
        <v>0.2291</v>
      </c>
      <c r="M32" s="418">
        <f t="shared" si="17"/>
        <v>13.746</v>
      </c>
      <c r="N32" s="418">
        <f t="shared" si="19"/>
        <v>3.141E-2</v>
      </c>
      <c r="O32" s="418">
        <f>INT(M32/N32*100)/100</f>
        <v>437.63</v>
      </c>
      <c r="P32" s="419">
        <f t="shared" si="22"/>
        <v>-431.22</v>
      </c>
      <c r="S32" s="52">
        <f>$R$29</f>
        <v>510</v>
      </c>
      <c r="T32" s="52">
        <f t="shared" si="10"/>
        <v>19.850478415366382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29.482673133533236</v>
      </c>
      <c r="Z32" s="58">
        <f>Y33-Z33</f>
        <v>17.325012968370906</v>
      </c>
      <c r="AA32" s="58">
        <f>$Z$29</f>
        <v>17.325012968370906</v>
      </c>
      <c r="AB32" s="58">
        <f t="shared" si="6"/>
        <v>300</v>
      </c>
      <c r="AC32" s="58">
        <f t="shared" si="7"/>
        <v>12.15766016516233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13.399999999999999</v>
      </c>
      <c r="G33" s="470">
        <f t="shared" si="14"/>
        <v>9.0399999999999991</v>
      </c>
      <c r="H33" s="470"/>
      <c r="I33" s="345"/>
      <c r="J33" s="372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29.855012968370904</v>
      </c>
      <c r="Z33" s="58">
        <f>Input!B22</f>
        <v>12.53</v>
      </c>
      <c r="AA33" s="58">
        <f>$Z$29</f>
        <v>17.325012968370906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13.649999999999999</v>
      </c>
      <c r="G34" s="470">
        <f t="shared" si="14"/>
        <v>9.2899999999999991</v>
      </c>
      <c r="H34" s="470"/>
      <c r="I34" s="345"/>
      <c r="J34" s="372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35.189373608184226</v>
      </c>
      <c r="Z34" s="58">
        <f>Z37</f>
        <v>20.214731339247678</v>
      </c>
      <c r="AA34" s="58">
        <f>$Z$34</f>
        <v>20.214731339247678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13.89</v>
      </c>
      <c r="G35" s="470">
        <f t="shared" si="14"/>
        <v>9.5299999999999994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35.253446898374762</v>
      </c>
      <c r="AA35" s="58">
        <f>$Z$34</f>
        <v>20.214731339247678</v>
      </c>
      <c r="AB35" s="58">
        <f t="shared" si="6"/>
        <v>380</v>
      </c>
      <c r="AC35" s="58">
        <f t="shared" si="7"/>
        <v>15.038715559127084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14.14</v>
      </c>
      <c r="G36" s="470">
        <f t="shared" si="14"/>
        <v>9.7799999999999994</v>
      </c>
      <c r="H36" s="470"/>
      <c r="I36" s="345"/>
      <c r="J36" s="372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35.315855757608325</v>
      </c>
      <c r="AA36" s="58">
        <f>$Z$34</f>
        <v>20.214731339247678</v>
      </c>
      <c r="AB36" s="58">
        <f t="shared" si="6"/>
        <v>390</v>
      </c>
      <c r="AC36" s="58">
        <f t="shared" si="7"/>
        <v>15.101124418360648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510</v>
      </c>
      <c r="C37" s="369">
        <f>$C$12+D37/1440</f>
        <v>44992.652777777774</v>
      </c>
      <c r="D37" s="469">
        <v>250</v>
      </c>
      <c r="E37" s="469"/>
      <c r="F37" s="370">
        <f t="shared" si="13"/>
        <v>15.79</v>
      </c>
      <c r="G37" s="470">
        <f t="shared" si="14"/>
        <v>11.43</v>
      </c>
      <c r="H37" s="470"/>
      <c r="I37" s="345"/>
      <c r="J37" s="372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35.493908015434222</v>
      </c>
      <c r="Z37" s="58">
        <f>Y38-Z38</f>
        <v>20.214731339247678</v>
      </c>
      <c r="AA37" s="58">
        <f>$Z$34</f>
        <v>20.214731339247678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16.059999999999999</v>
      </c>
      <c r="G38" s="470">
        <f t="shared" si="14"/>
        <v>11.7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35.814731339247679</v>
      </c>
      <c r="Z38" s="58">
        <f>Input!B23</f>
        <v>15.6</v>
      </c>
      <c r="AA38" s="58">
        <f>$Z$34</f>
        <v>20.214731339247678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16.34</v>
      </c>
      <c r="G39" s="470">
        <f t="shared" si="14"/>
        <v>11.98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41.243912066526306</v>
      </c>
      <c r="Z39" s="58">
        <f>Z42</f>
        <v>21.52348597818311</v>
      </c>
      <c r="AA39" s="58">
        <f>$Z$39</f>
        <v>21.52348597818311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16.61</v>
      </c>
      <c r="G40" s="470">
        <f t="shared" si="14"/>
        <v>12.25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41.299732083990975</v>
      </c>
      <c r="AA40" s="58">
        <f>$Z$39</f>
        <v>21.52348597818311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16.89</v>
      </c>
      <c r="G41" s="470">
        <f t="shared" si="14"/>
        <v>12.53</v>
      </c>
      <c r="H41" s="470"/>
      <c r="I41" s="345"/>
      <c r="J41" s="372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41.354446681601395</v>
      </c>
      <c r="AA41" s="58">
        <f>$Z$39</f>
        <v>21.52348597818311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600</v>
      </c>
      <c r="C42" s="369">
        <f>$C$12+D42/1440</f>
        <v>44992.736111111109</v>
      </c>
      <c r="D42" s="469">
        <v>370</v>
      </c>
      <c r="E42" s="469"/>
      <c r="F42" s="370">
        <f t="shared" si="13"/>
        <v>18.73</v>
      </c>
      <c r="G42" s="470">
        <f t="shared" si="14"/>
        <v>14.37</v>
      </c>
      <c r="H42" s="470"/>
      <c r="I42" s="345"/>
      <c r="J42" s="372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41.512375201212819</v>
      </c>
      <c r="Z42" s="58">
        <f>Y43-Z43</f>
        <v>21.52348597818311</v>
      </c>
      <c r="AA42" s="58">
        <f>$Z$39</f>
        <v>21.52348597818311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19.03</v>
      </c>
      <c r="G43" s="470">
        <f t="shared" si="14"/>
        <v>14.67</v>
      </c>
      <c r="H43" s="470"/>
      <c r="I43" s="345"/>
      <c r="J43" s="372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41.803485978183112</v>
      </c>
      <c r="Z43" s="58">
        <f>Input!B24</f>
        <v>20.28</v>
      </c>
      <c r="AA43" s="58">
        <f>$Z$39</f>
        <v>21.52348597818311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19.34</v>
      </c>
      <c r="G44" s="470">
        <f t="shared" si="14"/>
        <v>14.98</v>
      </c>
      <c r="H44" s="470"/>
      <c r="I44" s="345"/>
      <c r="J44" s="372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19.649999999999999</v>
      </c>
      <c r="G45" s="470">
        <f t="shared" si="14"/>
        <v>15.29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19.96</v>
      </c>
      <c r="G46" s="470">
        <f t="shared" si="14"/>
        <v>15.6</v>
      </c>
      <c r="H46" s="470"/>
      <c r="I46" s="345"/>
      <c r="J46" s="372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690</v>
      </c>
      <c r="C47" s="369">
        <f>$C$12+D47/1440</f>
        <v>44992.819444444445</v>
      </c>
      <c r="D47" s="469">
        <v>490</v>
      </c>
      <c r="E47" s="469"/>
      <c r="F47" s="370">
        <f t="shared" si="13"/>
        <v>21.83</v>
      </c>
      <c r="G47" s="470">
        <f t="shared" si="14"/>
        <v>17.47</v>
      </c>
      <c r="H47" s="470"/>
      <c r="I47" s="345"/>
      <c r="J47" s="372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22.53</v>
      </c>
      <c r="G48" s="470">
        <f t="shared" si="14"/>
        <v>18.170000000000002</v>
      </c>
      <c r="H48" s="470"/>
      <c r="I48" s="345"/>
      <c r="J48" s="372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23.23</v>
      </c>
      <c r="G49" s="470">
        <f t="shared" si="14"/>
        <v>18.87</v>
      </c>
      <c r="H49" s="470"/>
      <c r="I49" s="345"/>
      <c r="J49" s="372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23.93</v>
      </c>
      <c r="G50" s="470">
        <f t="shared" si="14"/>
        <v>19.57</v>
      </c>
      <c r="H50" s="470"/>
      <c r="I50" s="345"/>
      <c r="J50" s="372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24.64</v>
      </c>
      <c r="G51" s="470">
        <f t="shared" si="14"/>
        <v>20.28</v>
      </c>
      <c r="H51" s="470"/>
      <c r="I51" s="345" t="s">
        <v>180</v>
      </c>
      <c r="J51" s="372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0" zoomScaleNormal="100" zoomScaleSheetLayoutView="85" workbookViewId="0">
      <selection activeCell="J21" sqref="J2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-6.0284849574634283</v>
      </c>
      <c r="N1" s="483" t="s">
        <v>183</v>
      </c>
      <c r="O1" s="483"/>
      <c r="P1" s="70">
        <f>StepTest!G41</f>
        <v>12.53</v>
      </c>
      <c r="Q1" s="71" t="s">
        <v>184</v>
      </c>
      <c r="R1" s="72">
        <f>G35</f>
        <v>18.558484957463428</v>
      </c>
      <c r="S1" s="73">
        <f>D7/2000</f>
        <v>0.1</v>
      </c>
      <c r="T1" s="74">
        <v>12.525103550123006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이랜드 R&amp;D센터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22.918484957463427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19.063908790876379</v>
      </c>
      <c r="AC2" s="58">
        <f>1.6*V2/(4*PI()*W2)*LOG10((2.25*W2*Z2)/(X2*X2*Y2))</f>
        <v>19.063908790876379</v>
      </c>
      <c r="AD2" s="75">
        <v>0</v>
      </c>
      <c r="AE2" s="57">
        <f>AA2</f>
        <v>1</v>
      </c>
      <c r="AF2" s="58">
        <f t="shared" ref="AF2:AF14" si="1">AC2-$P$3-O3</f>
        <v>5.4139095456310251</v>
      </c>
      <c r="AG2" s="58">
        <f>AC2</f>
        <v>19.063908790876379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이랜드 R&amp;D센터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-6.13</v>
      </c>
      <c r="N3" s="79"/>
      <c r="O3" s="334"/>
      <c r="P3" s="336">
        <v>13.649999245245354</v>
      </c>
      <c r="V3" s="56">
        <f>V2</f>
        <v>522</v>
      </c>
      <c r="W3" s="52">
        <f>W$2</f>
        <v>12.525103550123006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20.661291830438802</v>
      </c>
      <c r="AC3" s="58">
        <f t="shared" ref="AC3:AC26" si="5">1.6*V3/(4*PI()*W3)*LOG10((2.25*W3*Z3)/(X3*X3*Y3))</f>
        <v>20.661291830438802</v>
      </c>
      <c r="AD3" s="58">
        <f>AB69</f>
        <v>32.208484202708782</v>
      </c>
      <c r="AE3" s="57">
        <f t="shared" ref="AE3:AE66" si="6">AA3</f>
        <v>2</v>
      </c>
      <c r="AF3" s="58">
        <f t="shared" si="1"/>
        <v>7.0112925851934484</v>
      </c>
      <c r="AG3" s="58">
        <f t="shared" ref="AG3:AG16" si="7">AC3</f>
        <v>20.661291830438802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강서구 마곡동 780번지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-16.07</v>
      </c>
      <c r="N4" s="79"/>
      <c r="O4" s="335"/>
      <c r="P4" s="335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21.595701007870801</v>
      </c>
      <c r="AC4" s="58">
        <f>1.6*V4/(4*PI()*W4)*LOG10((2.25*W4*Z4)/(X4*X4*Y4))</f>
        <v>21.595701007870801</v>
      </c>
      <c r="AD4" s="58">
        <f>AC69</f>
        <v>32.208484202708782</v>
      </c>
      <c r="AE4" s="57">
        <f t="shared" si="6"/>
        <v>3</v>
      </c>
      <c r="AF4" s="58">
        <f t="shared" si="1"/>
        <v>7.9457017626254469</v>
      </c>
      <c r="AG4" s="58">
        <f t="shared" si="7"/>
        <v>21.595701007870801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-26.68</v>
      </c>
      <c r="N5" s="79"/>
      <c r="O5" s="335"/>
      <c r="P5" s="335"/>
      <c r="V5" s="56">
        <f t="shared" si="8"/>
        <v>522</v>
      </c>
      <c r="W5" s="52">
        <f t="shared" si="9"/>
        <v>12.525103550123006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22.258674870001226</v>
      </c>
      <c r="AC5" s="58">
        <f t="shared" si="5"/>
        <v>22.258674870001226</v>
      </c>
      <c r="AD5" s="58">
        <f>AF69</f>
        <v>18.558484957463428</v>
      </c>
      <c r="AE5" s="57">
        <f t="shared" si="6"/>
        <v>4</v>
      </c>
      <c r="AF5" s="58">
        <f t="shared" si="1"/>
        <v>8.6086756247558718</v>
      </c>
      <c r="AG5" s="58">
        <f t="shared" si="7"/>
        <v>22.258674870001226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-37.56</v>
      </c>
      <c r="N6" s="79"/>
      <c r="O6" s="335"/>
      <c r="P6" s="335"/>
      <c r="V6" s="56">
        <f t="shared" si="8"/>
        <v>522</v>
      </c>
      <c r="W6" s="52">
        <f t="shared" si="9"/>
        <v>12.525103550123006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22.772917348732946</v>
      </c>
      <c r="AC6" s="58">
        <f t="shared" si="5"/>
        <v>22.772917348732946</v>
      </c>
      <c r="AE6" s="57">
        <f t="shared" si="6"/>
        <v>5</v>
      </c>
      <c r="AF6" s="58">
        <f t="shared" si="1"/>
        <v>9.1229181034875921</v>
      </c>
      <c r="AG6" s="58">
        <f t="shared" si="7"/>
        <v>22.772917348732946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500</v>
      </c>
      <c r="H7" s="165"/>
      <c r="I7" s="165"/>
      <c r="J7" s="166"/>
      <c r="M7" s="59">
        <f t="shared" si="2"/>
        <v>-48.58</v>
      </c>
      <c r="N7" s="79"/>
      <c r="O7" s="335"/>
      <c r="P7" s="335"/>
      <c r="V7" s="56">
        <f t="shared" si="8"/>
        <v>522</v>
      </c>
      <c r="W7" s="52">
        <f t="shared" si="9"/>
        <v>12.525103550123006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24.370300388295373</v>
      </c>
      <c r="AC7" s="58">
        <f t="shared" si="5"/>
        <v>24.370300388295373</v>
      </c>
      <c r="AE7" s="57">
        <f t="shared" si="6"/>
        <v>10</v>
      </c>
      <c r="AF7" s="58">
        <f t="shared" si="1"/>
        <v>10.720301143050019</v>
      </c>
      <c r="AG7" s="58">
        <f t="shared" si="7"/>
        <v>24.370300388295373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22.918484957463427</v>
      </c>
      <c r="H8" s="173">
        <f>Input!C40</f>
        <v>522</v>
      </c>
      <c r="I8" s="173"/>
      <c r="J8" s="163"/>
      <c r="K8" s="374">
        <f>Input!M50</f>
        <v>17.53</v>
      </c>
      <c r="L8" s="415">
        <f>G10-K11</f>
        <v>3.8165265060686018</v>
      </c>
      <c r="M8" s="59">
        <f t="shared" si="2"/>
        <v>-104.68</v>
      </c>
      <c r="N8" s="79"/>
      <c r="O8" s="335"/>
      <c r="P8" s="335"/>
      <c r="V8" s="56">
        <f t="shared" si="8"/>
        <v>522</v>
      </c>
      <c r="W8" s="52">
        <f t="shared" si="9"/>
        <v>12.525103550123006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25.304709565727364</v>
      </c>
      <c r="AC8" s="58">
        <f t="shared" si="5"/>
        <v>25.304709565727364</v>
      </c>
      <c r="AE8" s="57">
        <f t="shared" si="6"/>
        <v>15</v>
      </c>
      <c r="AF8" s="58">
        <f t="shared" si="1"/>
        <v>11.65471032048201</v>
      </c>
      <c r="AG8" s="58">
        <f t="shared" si="7"/>
        <v>25.304709565727364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18.558484957463428</v>
      </c>
      <c r="M9" s="59">
        <f t="shared" si="2"/>
        <v>-161.46</v>
      </c>
      <c r="N9" s="79"/>
      <c r="O9" s="335"/>
      <c r="P9" s="335"/>
      <c r="V9" s="56">
        <f t="shared" si="8"/>
        <v>522</v>
      </c>
      <c r="W9" s="52">
        <f t="shared" si="9"/>
        <v>12.525103550123006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25.967683427857796</v>
      </c>
      <c r="AC9" s="58">
        <f t="shared" si="5"/>
        <v>25.967683427857796</v>
      </c>
      <c r="AE9" s="57">
        <f t="shared" si="6"/>
        <v>20</v>
      </c>
      <c r="AF9" s="58">
        <f t="shared" si="1"/>
        <v>12.317684182612442</v>
      </c>
      <c r="AG9" s="58">
        <f t="shared" si="7"/>
        <v>25.967683427857796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9.7739095456310245</v>
      </c>
      <c r="G10" s="188">
        <f>AF2</f>
        <v>5.4139095456310251</v>
      </c>
      <c r="H10" s="189"/>
      <c r="I10" s="189"/>
      <c r="J10" s="189"/>
      <c r="K10" s="80">
        <f>K8-K9</f>
        <v>-1.0284849574634265</v>
      </c>
      <c r="L10" s="76">
        <f>K10+Q17</f>
        <v>-7.1584849574634264</v>
      </c>
      <c r="M10" s="59">
        <f t="shared" si="2"/>
        <v>-218.5</v>
      </c>
      <c r="N10" s="79"/>
      <c r="O10" s="335"/>
      <c r="P10" s="335"/>
      <c r="V10" s="56">
        <f t="shared" si="8"/>
        <v>522</v>
      </c>
      <c r="W10" s="52">
        <f t="shared" si="9"/>
        <v>12.525103550123006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26.481925906589513</v>
      </c>
      <c r="AC10" s="58">
        <f t="shared" si="5"/>
        <v>26.481925906589513</v>
      </c>
      <c r="AE10" s="57">
        <f t="shared" si="6"/>
        <v>25</v>
      </c>
      <c r="AF10" s="58">
        <f t="shared" si="1"/>
        <v>12.831926661344159</v>
      </c>
      <c r="AG10" s="58">
        <f t="shared" si="7"/>
        <v>26.481925906589513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11.371292585193448</v>
      </c>
      <c r="G11" s="187">
        <f>AF3</f>
        <v>7.0112925851934484</v>
      </c>
      <c r="H11" s="189"/>
      <c r="I11" s="189"/>
      <c r="J11" s="189"/>
      <c r="K11" s="81">
        <f>G11-G10</f>
        <v>1.5973830395624233</v>
      </c>
      <c r="L11" s="76" t="s">
        <v>21</v>
      </c>
      <c r="N11" s="79"/>
      <c r="O11" s="335"/>
      <c r="V11" s="56">
        <f t="shared" si="8"/>
        <v>522</v>
      </c>
      <c r="W11" s="52">
        <f t="shared" si="9"/>
        <v>12.525103550123006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26.902092605289791</v>
      </c>
      <c r="AC11" s="58">
        <f t="shared" si="5"/>
        <v>26.902092605289791</v>
      </c>
      <c r="AE11" s="57">
        <f t="shared" si="6"/>
        <v>30</v>
      </c>
      <c r="AF11" s="58">
        <f t="shared" si="1"/>
        <v>13.252093360044437</v>
      </c>
      <c r="AG11" s="58">
        <f t="shared" si="7"/>
        <v>26.902092605289791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12.305701762625446</v>
      </c>
      <c r="G12" s="187">
        <f t="shared" ref="G12:G74" si="14">AF4</f>
        <v>7.9457017626254469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5"/>
      <c r="V12" s="56">
        <f t="shared" si="8"/>
        <v>522</v>
      </c>
      <c r="W12" s="52">
        <f t="shared" si="9"/>
        <v>12.525103550123006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27.257338487259851</v>
      </c>
      <c r="AC12" s="58">
        <f t="shared" si="5"/>
        <v>27.257338487259851</v>
      </c>
      <c r="AE12" s="57">
        <f t="shared" si="6"/>
        <v>35</v>
      </c>
      <c r="AF12" s="58">
        <f t="shared" si="1"/>
        <v>13.607339242014497</v>
      </c>
      <c r="AG12" s="58">
        <f t="shared" si="7"/>
        <v>27.257338487259851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12.968675624755871</v>
      </c>
      <c r="G13" s="187">
        <f t="shared" si="14"/>
        <v>8.6086756247558718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7">
        <v>-3</v>
      </c>
      <c r="N13" s="79"/>
      <c r="O13" s="335"/>
      <c r="V13" s="56">
        <f t="shared" si="8"/>
        <v>522</v>
      </c>
      <c r="W13" s="52">
        <f t="shared" si="9"/>
        <v>12.525103550123006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27.565066467420216</v>
      </c>
      <c r="AC13" s="58">
        <f t="shared" si="5"/>
        <v>27.565066467420216</v>
      </c>
      <c r="AE13" s="57">
        <f t="shared" si="6"/>
        <v>40</v>
      </c>
      <c r="AF13" s="58">
        <f t="shared" si="1"/>
        <v>13.915067222174862</v>
      </c>
      <c r="AG13" s="58">
        <f t="shared" si="7"/>
        <v>27.565066467420216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13.482918103487592</v>
      </c>
      <c r="G14" s="187">
        <f t="shared" si="14"/>
        <v>9.1229181034875921</v>
      </c>
      <c r="H14" s="189"/>
      <c r="I14" s="189"/>
      <c r="J14" s="189"/>
      <c r="K14" s="81">
        <f t="shared" si="15"/>
        <v>0.51424247873172035</v>
      </c>
      <c r="L14" s="76" t="s">
        <v>21</v>
      </c>
      <c r="N14" s="79"/>
      <c r="O14" s="335"/>
      <c r="V14" s="56">
        <f t="shared" si="8"/>
        <v>522</v>
      </c>
      <c r="W14" s="52">
        <f t="shared" si="9"/>
        <v>12.525103550123006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27.83650178272179</v>
      </c>
      <c r="AC14" s="58">
        <f t="shared" si="5"/>
        <v>27.83650178272179</v>
      </c>
      <c r="AE14" s="57">
        <f t="shared" si="6"/>
        <v>45</v>
      </c>
      <c r="AF14" s="58">
        <f t="shared" si="1"/>
        <v>14.186502537476436</v>
      </c>
      <c r="AG14" s="58">
        <f t="shared" si="7"/>
        <v>27.83650178272179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15.080301143050018</v>
      </c>
      <c r="G15" s="187">
        <f t="shared" si="14"/>
        <v>10.720301143050019</v>
      </c>
      <c r="H15" s="189"/>
      <c r="I15" s="189"/>
      <c r="J15" s="189"/>
      <c r="K15" s="81">
        <f t="shared" si="15"/>
        <v>1.5973830395624269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28.079308946151937</v>
      </c>
      <c r="AC15" s="58">
        <f t="shared" si="5"/>
        <v>28.079308946151937</v>
      </c>
      <c r="AE15" s="57">
        <f t="shared" si="6"/>
        <v>50</v>
      </c>
      <c r="AF15" s="58">
        <f>AC15-$P$3</f>
        <v>14.429309700906582</v>
      </c>
      <c r="AG15" s="58">
        <f t="shared" si="7"/>
        <v>28.079308946151937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16.01471032048201</v>
      </c>
      <c r="G16" s="187">
        <f t="shared" si="14"/>
        <v>11.65471032048201</v>
      </c>
      <c r="H16" s="189"/>
      <c r="I16" s="189"/>
      <c r="J16" s="189"/>
      <c r="K16" s="81">
        <f t="shared" si="15"/>
        <v>0.93440917743199137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522</v>
      </c>
      <c r="W16" s="52">
        <f t="shared" si="9"/>
        <v>12.525103550123006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28.298954742870148</v>
      </c>
      <c r="AC16" s="58">
        <f t="shared" si="5"/>
        <v>28.298954742870148</v>
      </c>
      <c r="AE16" s="57">
        <f t="shared" si="6"/>
        <v>55</v>
      </c>
      <c r="AF16" s="58">
        <f>AC16-$P$3</f>
        <v>14.648955497624794</v>
      </c>
      <c r="AG16" s="58">
        <f t="shared" si="7"/>
        <v>28.298954742870148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16.677684182612442</v>
      </c>
      <c r="G17" s="187">
        <f t="shared" si="14"/>
        <v>12.317684182612442</v>
      </c>
      <c r="H17" s="189"/>
      <c r="I17" s="189"/>
      <c r="J17" s="189"/>
      <c r="K17" s="81">
        <f t="shared" si="15"/>
        <v>0.66297386213043197</v>
      </c>
      <c r="L17" s="417">
        <f>D10</f>
        <v>1</v>
      </c>
      <c r="M17" s="418">
        <f>INT(B10/1440*10000)/10000</f>
        <v>0.36249999999999999</v>
      </c>
      <c r="N17" s="418">
        <f>L17*M17</f>
        <v>0.36249999999999999</v>
      </c>
      <c r="O17" s="418">
        <f>INT((D7/2/1000)^2*PI()*100000)/100000</f>
        <v>3.141E-2</v>
      </c>
      <c r="P17" s="418">
        <f>INT(N17/O17*100)/100</f>
        <v>11.54</v>
      </c>
      <c r="Q17" s="419">
        <f>INT((G10-P17)*100)/100</f>
        <v>-6.13</v>
      </c>
      <c r="V17" s="56">
        <f t="shared" si="8"/>
        <v>522</v>
      </c>
      <c r="W17" s="52">
        <f t="shared" si="9"/>
        <v>12.525103550123006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28.499475644852215</v>
      </c>
      <c r="AC17" s="58">
        <f t="shared" si="5"/>
        <v>28.499475644852215</v>
      </c>
      <c r="AE17" s="57">
        <f t="shared" si="6"/>
        <v>60</v>
      </c>
      <c r="AF17" s="58">
        <f>AC17-$P$3</f>
        <v>14.849476399606861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17.191926661344159</v>
      </c>
      <c r="G18" s="187">
        <f t="shared" si="14"/>
        <v>12.831926661344159</v>
      </c>
      <c r="H18" s="189"/>
      <c r="I18" s="189"/>
      <c r="J18" s="189"/>
      <c r="K18" s="81">
        <f t="shared" si="15"/>
        <v>0.5142424787317168</v>
      </c>
      <c r="L18" s="417">
        <f t="shared" ref="L18:L31" si="16">D11</f>
        <v>2</v>
      </c>
      <c r="M18" s="418">
        <f>M17</f>
        <v>0.36249999999999999</v>
      </c>
      <c r="N18" s="418">
        <f>L18*M18</f>
        <v>0.72499999999999998</v>
      </c>
      <c r="O18" s="418">
        <f>O17</f>
        <v>3.141E-2</v>
      </c>
      <c r="P18" s="418">
        <f>INT(N18/O18*100)/100</f>
        <v>23.08</v>
      </c>
      <c r="Q18" s="419">
        <f t="shared" ref="Q18:Q27" si="17">INT((G11-P18)*100)/100</f>
        <v>-16.07</v>
      </c>
      <c r="V18" s="56">
        <f t="shared" si="8"/>
        <v>522</v>
      </c>
      <c r="W18" s="52">
        <f t="shared" si="9"/>
        <v>12.525103550123006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29.013718123583931</v>
      </c>
      <c r="AC18" s="58">
        <f t="shared" si="5"/>
        <v>29.013718123583931</v>
      </c>
      <c r="AE18" s="57">
        <f t="shared" si="6"/>
        <v>75</v>
      </c>
      <c r="AF18" s="58">
        <f>AC18-$P$3</f>
        <v>15.363718878338577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17.612093360044437</v>
      </c>
      <c r="G19" s="187">
        <f t="shared" si="14"/>
        <v>13.252093360044437</v>
      </c>
      <c r="H19" s="189"/>
      <c r="I19" s="189"/>
      <c r="J19" s="189"/>
      <c r="K19" s="81">
        <f t="shared" si="15"/>
        <v>0.42016669870027812</v>
      </c>
      <c r="L19" s="417">
        <f t="shared" si="16"/>
        <v>3</v>
      </c>
      <c r="M19" s="418">
        <f>M18</f>
        <v>0.36249999999999999</v>
      </c>
      <c r="N19" s="418">
        <f t="shared" ref="N19:N27" si="18">L19*M19</f>
        <v>1.0874999999999999</v>
      </c>
      <c r="O19" s="418">
        <f t="shared" ref="O19:O31" si="19">O18</f>
        <v>3.141E-2</v>
      </c>
      <c r="P19" s="418">
        <f>INT(N19/O19*100)/100</f>
        <v>34.619999999999997</v>
      </c>
      <c r="Q19" s="419">
        <f t="shared" si="17"/>
        <v>-26.68</v>
      </c>
      <c r="V19" s="56">
        <f t="shared" si="8"/>
        <v>522</v>
      </c>
      <c r="W19" s="52">
        <f t="shared" si="9"/>
        <v>12.525103550123006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29.433884822284213</v>
      </c>
      <c r="AC19" s="58">
        <f t="shared" si="5"/>
        <v>29.433884822284213</v>
      </c>
      <c r="AE19" s="57">
        <f t="shared" si="6"/>
        <v>90</v>
      </c>
      <c r="AF19" s="58">
        <f>AC19-$P$3</f>
        <v>15.783885577038859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17.967339242014496</v>
      </c>
      <c r="G20" s="187">
        <f t="shared" si="14"/>
        <v>13.607339242014497</v>
      </c>
      <c r="H20" s="189"/>
      <c r="I20" s="189"/>
      <c r="J20" s="189"/>
      <c r="K20" s="81">
        <f t="shared" si="15"/>
        <v>0.35524588197005968</v>
      </c>
      <c r="L20" s="417">
        <f t="shared" si="16"/>
        <v>4</v>
      </c>
      <c r="M20" s="418">
        <f>M19</f>
        <v>0.36249999999999999</v>
      </c>
      <c r="N20" s="418">
        <f>L20*M20</f>
        <v>1.45</v>
      </c>
      <c r="O20" s="418">
        <f>O19</f>
        <v>3.141E-2</v>
      </c>
      <c r="P20" s="418">
        <f>INT(N20/O20*100)/100</f>
        <v>46.16</v>
      </c>
      <c r="Q20" s="419">
        <f t="shared" si="17"/>
        <v>-37.56</v>
      </c>
      <c r="V20" s="56">
        <f t="shared" si="8"/>
        <v>522</v>
      </c>
      <c r="W20" s="52">
        <f t="shared" si="9"/>
        <v>12.525103550123006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29.789130704254276</v>
      </c>
      <c r="AC20" s="58">
        <f t="shared" si="5"/>
        <v>29.789130704254276</v>
      </c>
      <c r="AE20" s="57">
        <f t="shared" si="6"/>
        <v>105</v>
      </c>
      <c r="AF20" s="58">
        <f t="shared" ref="AF20:AF69" si="20">AC20-$P$3</f>
        <v>16.139131459008922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18.275067222174862</v>
      </c>
      <c r="G21" s="187">
        <f t="shared" si="14"/>
        <v>13.915067222174862</v>
      </c>
      <c r="H21" s="189"/>
      <c r="I21" s="189"/>
      <c r="J21" s="189"/>
      <c r="K21" s="81">
        <f t="shared" si="15"/>
        <v>0.30772798016036518</v>
      </c>
      <c r="L21" s="417">
        <f t="shared" si="16"/>
        <v>5</v>
      </c>
      <c r="M21" s="418">
        <f>M20</f>
        <v>0.36249999999999999</v>
      </c>
      <c r="N21" s="418">
        <f t="shared" si="18"/>
        <v>1.8125</v>
      </c>
      <c r="O21" s="418">
        <f t="shared" si="19"/>
        <v>3.141E-2</v>
      </c>
      <c r="P21" s="418">
        <f>INT(N21/O21*100)/100</f>
        <v>57.7</v>
      </c>
      <c r="Q21" s="419">
        <f t="shared" si="17"/>
        <v>-48.58</v>
      </c>
      <c r="V21" s="56">
        <f t="shared" si="8"/>
        <v>522</v>
      </c>
      <c r="W21" s="52">
        <f t="shared" si="9"/>
        <v>12.525103550123006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30.096858684414642</v>
      </c>
      <c r="AC21" s="58">
        <f t="shared" si="5"/>
        <v>30.096858684414642</v>
      </c>
      <c r="AE21" s="57">
        <f t="shared" si="6"/>
        <v>120</v>
      </c>
      <c r="AF21" s="58">
        <f t="shared" si="20"/>
        <v>16.446859439169287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18.546502537476435</v>
      </c>
      <c r="G22" s="187">
        <f t="shared" si="14"/>
        <v>14.186502537476436</v>
      </c>
      <c r="H22" s="189"/>
      <c r="I22" s="189"/>
      <c r="J22" s="189"/>
      <c r="K22" s="81">
        <f t="shared" si="15"/>
        <v>0.27143531530157361</v>
      </c>
      <c r="L22" s="417">
        <f t="shared" si="16"/>
        <v>10</v>
      </c>
      <c r="M22" s="418">
        <f t="shared" ref="M22:M31" si="21">M21</f>
        <v>0.36249999999999999</v>
      </c>
      <c r="N22" s="418">
        <f>L22*M22</f>
        <v>3.625</v>
      </c>
      <c r="O22" s="418">
        <f>O21</f>
        <v>3.141E-2</v>
      </c>
      <c r="P22" s="418">
        <f t="shared" ref="P22:P27" si="22">INT(N22/O22*100)/100</f>
        <v>115.4</v>
      </c>
      <c r="Q22" s="419">
        <f t="shared" si="17"/>
        <v>-104.68</v>
      </c>
      <c r="V22" s="56">
        <f t="shared" si="8"/>
        <v>522</v>
      </c>
      <c r="W22" s="52">
        <f t="shared" si="9"/>
        <v>12.525103550123006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30.452104566384705</v>
      </c>
      <c r="AC22" s="58">
        <f t="shared" si="5"/>
        <v>30.452104566384705</v>
      </c>
      <c r="AE22" s="57">
        <f t="shared" si="6"/>
        <v>140</v>
      </c>
      <c r="AF22" s="58">
        <f t="shared" si="20"/>
        <v>16.802105321139351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18.789309700906582</v>
      </c>
      <c r="G23" s="187">
        <f t="shared" si="14"/>
        <v>14.429309700906582</v>
      </c>
      <c r="H23" s="189"/>
      <c r="I23" s="189"/>
      <c r="J23" s="189"/>
      <c r="K23" s="81">
        <f t="shared" si="15"/>
        <v>0.24280716343014674</v>
      </c>
      <c r="L23" s="417">
        <f t="shared" si="16"/>
        <v>15</v>
      </c>
      <c r="M23" s="418">
        <f t="shared" si="21"/>
        <v>0.36249999999999999</v>
      </c>
      <c r="N23" s="418">
        <f t="shared" si="18"/>
        <v>5.4375</v>
      </c>
      <c r="O23" s="418">
        <f t="shared" si="19"/>
        <v>3.141E-2</v>
      </c>
      <c r="P23" s="418">
        <f t="shared" si="22"/>
        <v>173.11</v>
      </c>
      <c r="Q23" s="419">
        <f t="shared" si="17"/>
        <v>-161.46</v>
      </c>
      <c r="V23" s="56">
        <f t="shared" si="8"/>
        <v>522</v>
      </c>
      <c r="W23" s="52">
        <f t="shared" si="9"/>
        <v>12.525103550123006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30.75983254654507</v>
      </c>
      <c r="AC23" s="58">
        <f t="shared" si="5"/>
        <v>30.75983254654507</v>
      </c>
      <c r="AE23" s="57">
        <f t="shared" si="6"/>
        <v>160</v>
      </c>
      <c r="AF23" s="58">
        <f t="shared" si="20"/>
        <v>17.109833301299716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19.008955497624793</v>
      </c>
      <c r="G24" s="187">
        <f t="shared" si="14"/>
        <v>14.648955497624794</v>
      </c>
      <c r="H24" s="189"/>
      <c r="I24" s="189"/>
      <c r="J24" s="189"/>
      <c r="K24" s="81">
        <f t="shared" si="15"/>
        <v>0.21964579671821127</v>
      </c>
      <c r="L24" s="417">
        <f t="shared" si="16"/>
        <v>20</v>
      </c>
      <c r="M24" s="418">
        <f t="shared" si="21"/>
        <v>0.36249999999999999</v>
      </c>
      <c r="N24" s="418">
        <f t="shared" si="18"/>
        <v>7.25</v>
      </c>
      <c r="O24" s="418">
        <f t="shared" si="19"/>
        <v>3.141E-2</v>
      </c>
      <c r="P24" s="418">
        <f t="shared" si="22"/>
        <v>230.81</v>
      </c>
      <c r="Q24" s="419">
        <f t="shared" si="17"/>
        <v>-218.5</v>
      </c>
      <c r="V24" s="56">
        <f t="shared" si="8"/>
        <v>522</v>
      </c>
      <c r="W24" s="52">
        <f t="shared" si="9"/>
        <v>12.525103550123006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31.03126786184664</v>
      </c>
      <c r="AC24" s="58">
        <f t="shared" si="5"/>
        <v>31.03126786184664</v>
      </c>
      <c r="AE24" s="57">
        <f t="shared" si="6"/>
        <v>180</v>
      </c>
      <c r="AF24" s="58">
        <f t="shared" si="20"/>
        <v>17.381268616601286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19.20947639960686</v>
      </c>
      <c r="G25" s="187">
        <f t="shared" si="14"/>
        <v>14.849476399606861</v>
      </c>
      <c r="H25" s="189"/>
      <c r="I25" s="189"/>
      <c r="J25" s="189"/>
      <c r="K25" s="81">
        <f t="shared" si="15"/>
        <v>0.20052090198206685</v>
      </c>
      <c r="L25" s="417">
        <f t="shared" si="16"/>
        <v>25</v>
      </c>
      <c r="M25" s="418">
        <f t="shared" si="21"/>
        <v>0.36249999999999999</v>
      </c>
      <c r="N25" s="418">
        <f t="shared" si="18"/>
        <v>9.0625</v>
      </c>
      <c r="O25" s="418">
        <f t="shared" si="19"/>
        <v>3.141E-2</v>
      </c>
      <c r="P25" s="418">
        <f t="shared" si="22"/>
        <v>288.52</v>
      </c>
      <c r="Q25" s="419">
        <f t="shared" si="17"/>
        <v>-275.69</v>
      </c>
      <c r="V25" s="56">
        <f t="shared" si="8"/>
        <v>522</v>
      </c>
      <c r="W25" s="52">
        <f t="shared" si="9"/>
        <v>12.525103550123006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31.694241723977068</v>
      </c>
      <c r="AC25" s="58">
        <f t="shared" si="5"/>
        <v>31.694241723977068</v>
      </c>
      <c r="AE25" s="57">
        <f t="shared" si="6"/>
        <v>240</v>
      </c>
      <c r="AF25" s="58">
        <f t="shared" si="20"/>
        <v>18.044242478731714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19.723718878338577</v>
      </c>
      <c r="G26" s="187">
        <f t="shared" si="14"/>
        <v>15.363718878338577</v>
      </c>
      <c r="H26" s="189"/>
      <c r="I26" s="189"/>
      <c r="J26" s="189"/>
      <c r="K26" s="81">
        <f t="shared" si="15"/>
        <v>0.5142424787317168</v>
      </c>
      <c r="L26" s="417">
        <f t="shared" si="16"/>
        <v>30</v>
      </c>
      <c r="M26" s="418">
        <f t="shared" si="21"/>
        <v>0.36249999999999999</v>
      </c>
      <c r="N26" s="418">
        <f t="shared" si="18"/>
        <v>10.875</v>
      </c>
      <c r="O26" s="418">
        <f t="shared" si="19"/>
        <v>3.141E-2</v>
      </c>
      <c r="P26" s="418">
        <f t="shared" si="22"/>
        <v>346.22</v>
      </c>
      <c r="Q26" s="419">
        <f t="shared" si="17"/>
        <v>-332.97</v>
      </c>
      <c r="V26" s="56">
        <f t="shared" si="8"/>
        <v>522</v>
      </c>
      <c r="W26" s="52">
        <f t="shared" si="9"/>
        <v>12.525103550123006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32.208484202708782</v>
      </c>
      <c r="AC26" s="58">
        <f t="shared" si="5"/>
        <v>32.208484202708782</v>
      </c>
      <c r="AE26" s="57">
        <f t="shared" si="6"/>
        <v>300</v>
      </c>
      <c r="AF26" s="58">
        <f t="shared" si="20"/>
        <v>18.558484957463428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20.143885577038859</v>
      </c>
      <c r="G27" s="187">
        <f t="shared" si="14"/>
        <v>15.783885577038859</v>
      </c>
      <c r="H27" s="189"/>
      <c r="I27" s="189"/>
      <c r="J27" s="189"/>
      <c r="K27" s="81">
        <f t="shared" si="15"/>
        <v>0.42016669870028167</v>
      </c>
      <c r="L27" s="417">
        <f t="shared" si="16"/>
        <v>35</v>
      </c>
      <c r="M27" s="418">
        <f t="shared" si="21"/>
        <v>0.36249999999999999</v>
      </c>
      <c r="N27" s="418">
        <f t="shared" si="18"/>
        <v>12.6875</v>
      </c>
      <c r="O27" s="418">
        <f t="shared" si="19"/>
        <v>3.141E-2</v>
      </c>
      <c r="P27" s="418">
        <f t="shared" si="22"/>
        <v>403.93</v>
      </c>
      <c r="Q27" s="419">
        <f t="shared" si="17"/>
        <v>-390.33</v>
      </c>
      <c r="V27" s="56">
        <f t="shared" si="8"/>
        <v>522</v>
      </c>
      <c r="W27" s="52">
        <f t="shared" si="9"/>
        <v>12.525103550123006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32.208484202708782</v>
      </c>
      <c r="AC27" s="58">
        <f t="shared" ref="AC27:AC38" si="23">AC26</f>
        <v>32.208484202708782</v>
      </c>
      <c r="AE27" s="57">
        <f t="shared" si="6"/>
        <v>360</v>
      </c>
      <c r="AF27" s="58">
        <f t="shared" si="20"/>
        <v>18.558484957463428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20.499131459008922</v>
      </c>
      <c r="G28" s="187">
        <f t="shared" si="14"/>
        <v>16.139131459008922</v>
      </c>
      <c r="H28" s="189"/>
      <c r="I28" s="189"/>
      <c r="J28" s="189"/>
      <c r="K28" s="81">
        <f t="shared" si="15"/>
        <v>0.35524588197006324</v>
      </c>
      <c r="L28" s="417">
        <f t="shared" si="16"/>
        <v>40</v>
      </c>
      <c r="M28" s="418">
        <f t="shared" si="21"/>
        <v>0.36249999999999999</v>
      </c>
      <c r="N28" s="418">
        <f>L28*M28</f>
        <v>14.5</v>
      </c>
      <c r="O28" s="418">
        <f t="shared" si="19"/>
        <v>3.141E-2</v>
      </c>
      <c r="P28" s="418">
        <f>INT(N28/O28*100)/100</f>
        <v>461.63</v>
      </c>
      <c r="Q28" s="419">
        <f>INT((G21-P28)*100)/100</f>
        <v>-447.72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32.208484202708782</v>
      </c>
      <c r="AC28" s="58">
        <f t="shared" si="23"/>
        <v>32.208484202708782</v>
      </c>
      <c r="AE28" s="57">
        <f t="shared" si="6"/>
        <v>420</v>
      </c>
      <c r="AF28" s="58">
        <f t="shared" si="20"/>
        <v>18.558484957463428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20.806859439169287</v>
      </c>
      <c r="G29" s="187">
        <f t="shared" si="14"/>
        <v>16.446859439169287</v>
      </c>
      <c r="H29" s="189"/>
      <c r="I29" s="189"/>
      <c r="J29" s="189"/>
      <c r="K29" s="81">
        <f t="shared" si="15"/>
        <v>0.30772798016036518</v>
      </c>
      <c r="L29" s="417">
        <f t="shared" si="16"/>
        <v>45</v>
      </c>
      <c r="M29" s="418">
        <f t="shared" si="21"/>
        <v>0.36249999999999999</v>
      </c>
      <c r="N29" s="418">
        <f>L29*M29</f>
        <v>16.3125</v>
      </c>
      <c r="O29" s="418">
        <f t="shared" si="19"/>
        <v>3.141E-2</v>
      </c>
      <c r="P29" s="418">
        <f>INT(N29/O29*100)/100</f>
        <v>519.34</v>
      </c>
      <c r="Q29" s="419">
        <f>INT((G22-P29)*100)/100</f>
        <v>-505.16</v>
      </c>
      <c r="V29" s="56">
        <f t="shared" si="8"/>
        <v>522</v>
      </c>
      <c r="W29" s="52">
        <f t="shared" si="9"/>
        <v>12.525103550123006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32.208484202708782</v>
      </c>
      <c r="AC29" s="58">
        <f t="shared" si="23"/>
        <v>32.208484202708782</v>
      </c>
      <c r="AE29" s="57">
        <f t="shared" si="6"/>
        <v>480</v>
      </c>
      <c r="AF29" s="58">
        <f t="shared" si="20"/>
        <v>18.558484957463428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21.16210532113935</v>
      </c>
      <c r="G30" s="187">
        <f t="shared" si="14"/>
        <v>16.802105321139351</v>
      </c>
      <c r="H30" s="189"/>
      <c r="I30" s="189"/>
      <c r="J30" s="189"/>
      <c r="K30" s="81">
        <f t="shared" si="15"/>
        <v>0.35524588197006324</v>
      </c>
      <c r="L30" s="417">
        <f t="shared" si="16"/>
        <v>50</v>
      </c>
      <c r="M30" s="418">
        <f t="shared" si="21"/>
        <v>0.36249999999999999</v>
      </c>
      <c r="N30" s="418">
        <f>L30*M30</f>
        <v>18.125</v>
      </c>
      <c r="O30" s="418">
        <f t="shared" si="19"/>
        <v>3.141E-2</v>
      </c>
      <c r="P30" s="418">
        <f>INT(N30/O30*100)/100</f>
        <v>577.04</v>
      </c>
      <c r="Q30" s="419">
        <f>INT((G23-P30)*100)/100</f>
        <v>-562.62</v>
      </c>
      <c r="V30" s="56">
        <f t="shared" si="8"/>
        <v>522</v>
      </c>
      <c r="W30" s="52">
        <f t="shared" si="9"/>
        <v>12.525103550123006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32.208484202708782</v>
      </c>
      <c r="AC30" s="58">
        <f t="shared" si="23"/>
        <v>32.208484202708782</v>
      </c>
      <c r="AE30" s="57">
        <f t="shared" si="6"/>
        <v>540</v>
      </c>
      <c r="AF30" s="58">
        <f t="shared" si="20"/>
        <v>18.558484957463428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21.469833301299715</v>
      </c>
      <c r="G31" s="187">
        <f t="shared" si="14"/>
        <v>17.109833301299716</v>
      </c>
      <c r="H31" s="189"/>
      <c r="I31" s="189"/>
      <c r="J31" s="189"/>
      <c r="K31" s="81">
        <f t="shared" si="15"/>
        <v>0.30772798016036518</v>
      </c>
      <c r="L31" s="417">
        <f t="shared" si="16"/>
        <v>55</v>
      </c>
      <c r="M31" s="418">
        <f t="shared" si="21"/>
        <v>0.36249999999999999</v>
      </c>
      <c r="N31" s="418">
        <f>L31*M31</f>
        <v>19.9375</v>
      </c>
      <c r="O31" s="418">
        <f t="shared" si="19"/>
        <v>3.141E-2</v>
      </c>
      <c r="P31" s="418">
        <f>INT(N31/O31*100)/100</f>
        <v>634.75</v>
      </c>
      <c r="Q31" s="419">
        <f>INT((G24-P31)*100)/100</f>
        <v>-620.11</v>
      </c>
      <c r="V31" s="56">
        <f t="shared" si="8"/>
        <v>522</v>
      </c>
      <c r="W31" s="52">
        <f t="shared" si="9"/>
        <v>12.525103550123006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32.208484202708782</v>
      </c>
      <c r="AC31" s="58">
        <f t="shared" si="23"/>
        <v>32.208484202708782</v>
      </c>
      <c r="AE31" s="57">
        <f t="shared" si="6"/>
        <v>600</v>
      </c>
      <c r="AF31" s="58">
        <f t="shared" si="20"/>
        <v>18.558484957463428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21.741268616601285</v>
      </c>
      <c r="G32" s="187">
        <f t="shared" si="14"/>
        <v>17.381268616601286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32.208484202708782</v>
      </c>
      <c r="AC32" s="58">
        <f t="shared" si="23"/>
        <v>32.208484202708782</v>
      </c>
      <c r="AE32" s="57">
        <f t="shared" si="6"/>
        <v>660</v>
      </c>
      <c r="AF32" s="58">
        <f t="shared" si="20"/>
        <v>18.558484957463428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22.404242478731714</v>
      </c>
      <c r="G33" s="187">
        <f t="shared" si="14"/>
        <v>18.044242478731714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32.208484202708782</v>
      </c>
      <c r="AC33" s="58">
        <f t="shared" si="23"/>
        <v>32.208484202708782</v>
      </c>
      <c r="AE33" s="57">
        <f t="shared" si="6"/>
        <v>720</v>
      </c>
      <c r="AF33" s="58">
        <f t="shared" si="20"/>
        <v>18.558484957463428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22.918484957463427</v>
      </c>
      <c r="G34" s="187">
        <f t="shared" si="14"/>
        <v>18.558484957463428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32.208484202708782</v>
      </c>
      <c r="AC34" s="58">
        <f t="shared" si="23"/>
        <v>32.208484202708782</v>
      </c>
      <c r="AE34" s="57">
        <f t="shared" si="6"/>
        <v>780</v>
      </c>
      <c r="AF34" s="58">
        <f t="shared" si="20"/>
        <v>18.558484957463428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22.918484957463427</v>
      </c>
      <c r="G35" s="187">
        <f t="shared" si="14"/>
        <v>18.558484957463428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32.208484202708782</v>
      </c>
      <c r="AC35" s="58">
        <f t="shared" si="23"/>
        <v>32.208484202708782</v>
      </c>
      <c r="AE35" s="57">
        <f t="shared" si="6"/>
        <v>840</v>
      </c>
      <c r="AF35" s="58">
        <f t="shared" si="20"/>
        <v>18.558484957463428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22.918484957463427</v>
      </c>
      <c r="G36" s="187">
        <f t="shared" si="14"/>
        <v>18.558484957463428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32.208484202708782</v>
      </c>
      <c r="AC36" s="58">
        <f t="shared" si="23"/>
        <v>32.208484202708782</v>
      </c>
      <c r="AE36" s="57">
        <f t="shared" si="6"/>
        <v>900</v>
      </c>
      <c r="AF36" s="58">
        <f t="shared" si="20"/>
        <v>18.558484957463428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22.918484957463427</v>
      </c>
      <c r="G37" s="187">
        <f t="shared" si="14"/>
        <v>18.558484957463428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32.208484202708782</v>
      </c>
      <c r="AC37" s="58">
        <f t="shared" si="23"/>
        <v>32.208484202708782</v>
      </c>
      <c r="AD37" s="52">
        <v>37</v>
      </c>
      <c r="AE37" s="57">
        <f t="shared" si="6"/>
        <v>960</v>
      </c>
      <c r="AF37" s="58">
        <f t="shared" si="20"/>
        <v>18.558484957463428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22.918484957463427</v>
      </c>
      <c r="G38" s="187">
        <f t="shared" si="14"/>
        <v>18.558484957463428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32.208484202708782</v>
      </c>
      <c r="AC38" s="58">
        <f t="shared" si="23"/>
        <v>32.208484202708782</v>
      </c>
      <c r="AD38" s="53" t="s">
        <v>40</v>
      </c>
      <c r="AE38" s="57">
        <f t="shared" si="6"/>
        <v>1020</v>
      </c>
      <c r="AF38" s="58">
        <f t="shared" si="20"/>
        <v>18.558484957463428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22.918484957463427</v>
      </c>
      <c r="G39" s="187">
        <f t="shared" si="14"/>
        <v>18.558484957463428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32.208484202708782</v>
      </c>
      <c r="AC39" s="58">
        <f t="shared" ref="AC39:AC40" si="25">AC38</f>
        <v>32.208484202708782</v>
      </c>
      <c r="AD39" s="86">
        <v>39</v>
      </c>
      <c r="AE39" s="57">
        <f t="shared" si="6"/>
        <v>1080</v>
      </c>
      <c r="AF39" s="58">
        <f t="shared" si="20"/>
        <v>18.558484957463428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22.918484957463427</v>
      </c>
      <c r="G40" s="187">
        <f t="shared" si="14"/>
        <v>18.558484957463428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32.208484202708782</v>
      </c>
      <c r="AC40" s="58">
        <f t="shared" si="25"/>
        <v>32.208484202708782</v>
      </c>
      <c r="AD40" s="86">
        <v>40</v>
      </c>
      <c r="AE40" s="57">
        <f t="shared" si="6"/>
        <v>1140</v>
      </c>
      <c r="AF40" s="58">
        <f t="shared" si="20"/>
        <v>18.558484957463428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22.918484957463427</v>
      </c>
      <c r="G41" s="187">
        <f t="shared" si="14"/>
        <v>18.558484957463428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32.208484202708782</v>
      </c>
      <c r="AC41" s="58">
        <f t="shared" ref="AC41:AC46" si="26">AC40</f>
        <v>32.208484202708782</v>
      </c>
      <c r="AD41" s="91">
        <v>41</v>
      </c>
      <c r="AE41" s="57">
        <f t="shared" si="6"/>
        <v>1200</v>
      </c>
      <c r="AF41" s="58">
        <f t="shared" si="20"/>
        <v>18.558484957463428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22.918484957463427</v>
      </c>
      <c r="G42" s="187">
        <f t="shared" si="14"/>
        <v>18.558484957463428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32.208484202708782</v>
      </c>
      <c r="AC42" s="58">
        <f t="shared" si="26"/>
        <v>32.208484202708782</v>
      </c>
      <c r="AD42" s="86">
        <v>42</v>
      </c>
      <c r="AE42" s="57">
        <f t="shared" si="6"/>
        <v>1260</v>
      </c>
      <c r="AF42" s="58">
        <f t="shared" si="20"/>
        <v>18.558484957463428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22.918484957463427</v>
      </c>
      <c r="G43" s="187">
        <f t="shared" si="14"/>
        <v>18.558484957463428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32.208484202708782</v>
      </c>
      <c r="AC43" s="58">
        <f t="shared" si="26"/>
        <v>32.208484202708782</v>
      </c>
      <c r="AD43" s="91">
        <v>43</v>
      </c>
      <c r="AE43" s="57">
        <f t="shared" si="6"/>
        <v>1320</v>
      </c>
      <c r="AF43" s="58">
        <f t="shared" si="20"/>
        <v>18.558484957463428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22.918484957463427</v>
      </c>
      <c r="G44" s="187">
        <f t="shared" si="14"/>
        <v>18.558484957463428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32.208484202708782</v>
      </c>
      <c r="AC44" s="58">
        <f t="shared" si="26"/>
        <v>32.208484202708782</v>
      </c>
      <c r="AD44" s="86">
        <v>44</v>
      </c>
      <c r="AE44" s="57">
        <f t="shared" si="6"/>
        <v>1380</v>
      </c>
      <c r="AF44" s="58">
        <f t="shared" si="20"/>
        <v>18.558484957463428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22.918484957463427</v>
      </c>
      <c r="G45" s="187">
        <f t="shared" si="14"/>
        <v>18.558484957463428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32.208484202708782</v>
      </c>
      <c r="AC45" s="58">
        <f t="shared" si="26"/>
        <v>32.208484202708782</v>
      </c>
      <c r="AD45" s="91">
        <v>45</v>
      </c>
      <c r="AE45" s="57">
        <f t="shared" si="6"/>
        <v>1440</v>
      </c>
      <c r="AF45" s="58">
        <f t="shared" si="20"/>
        <v>18.558484957463428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22.918484957463427</v>
      </c>
      <c r="G46" s="187">
        <f t="shared" si="14"/>
        <v>18.558484957463428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32.208484202708782</v>
      </c>
      <c r="AC46" s="58">
        <f t="shared" si="26"/>
        <v>32.208484202708782</v>
      </c>
      <c r="AD46" s="86">
        <v>46</v>
      </c>
      <c r="AE46" s="92">
        <f t="shared" si="6"/>
        <v>1500</v>
      </c>
      <c r="AF46" s="94">
        <f t="shared" si="20"/>
        <v>18.558484957463428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22.918484957463427</v>
      </c>
      <c r="G47" s="187">
        <f t="shared" si="14"/>
        <v>18.558484957463428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32.208484202708782</v>
      </c>
      <c r="AC47" s="58">
        <f t="shared" ref="AC47:AC69" si="27">AC46</f>
        <v>32.208484202708782</v>
      </c>
      <c r="AE47" s="57">
        <f t="shared" si="6"/>
        <v>1560</v>
      </c>
      <c r="AF47" s="58">
        <f t="shared" si="20"/>
        <v>18.558484957463428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22.918484957463427</v>
      </c>
      <c r="G48" s="187">
        <f t="shared" si="14"/>
        <v>18.558484957463428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32.208484202708782</v>
      </c>
      <c r="AC48" s="58">
        <f t="shared" si="27"/>
        <v>32.208484202708782</v>
      </c>
      <c r="AE48" s="57">
        <f t="shared" si="6"/>
        <v>1620</v>
      </c>
      <c r="AF48" s="58">
        <f t="shared" si="20"/>
        <v>18.558484957463428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22.918484957463427</v>
      </c>
      <c r="G49" s="187">
        <f t="shared" si="14"/>
        <v>18.558484957463428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32.208484202708782</v>
      </c>
      <c r="AC49" s="58">
        <f t="shared" si="27"/>
        <v>32.208484202708782</v>
      </c>
      <c r="AE49" s="57">
        <f t="shared" si="6"/>
        <v>1680</v>
      </c>
      <c r="AF49" s="58">
        <f t="shared" si="20"/>
        <v>18.558484957463428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22.918484957463427</v>
      </c>
      <c r="G50" s="187">
        <f t="shared" si="14"/>
        <v>18.558484957463428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32.208484202708782</v>
      </c>
      <c r="AC50" s="58">
        <f t="shared" si="27"/>
        <v>32.208484202708782</v>
      </c>
      <c r="AE50" s="57">
        <f t="shared" si="6"/>
        <v>1740</v>
      </c>
      <c r="AF50" s="58">
        <f t="shared" si="20"/>
        <v>18.558484957463428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22.918484957463427</v>
      </c>
      <c r="G51" s="187">
        <f t="shared" si="14"/>
        <v>18.558484957463428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32.208484202708782</v>
      </c>
      <c r="AC51" s="58">
        <f t="shared" si="27"/>
        <v>32.208484202708782</v>
      </c>
      <c r="AE51" s="57">
        <f t="shared" si="6"/>
        <v>1800</v>
      </c>
      <c r="AF51" s="58">
        <f t="shared" si="20"/>
        <v>18.558484957463428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22.918484957463427</v>
      </c>
      <c r="G52" s="187">
        <f t="shared" si="14"/>
        <v>18.558484957463428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32.208484202708782</v>
      </c>
      <c r="AC52" s="58">
        <f t="shared" si="27"/>
        <v>32.208484202708782</v>
      </c>
      <c r="AE52" s="57">
        <f t="shared" si="6"/>
        <v>1860</v>
      </c>
      <c r="AF52" s="58">
        <f t="shared" si="20"/>
        <v>18.558484957463428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22.918484957463427</v>
      </c>
      <c r="G53" s="187">
        <f t="shared" si="14"/>
        <v>18.558484957463428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32.208484202708782</v>
      </c>
      <c r="AC53" s="58">
        <f t="shared" si="27"/>
        <v>32.208484202708782</v>
      </c>
      <c r="AE53" s="57">
        <f t="shared" si="6"/>
        <v>1920</v>
      </c>
      <c r="AF53" s="58">
        <f t="shared" si="20"/>
        <v>18.558484957463428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22.918484957463427</v>
      </c>
      <c r="G54" s="187">
        <f t="shared" si="14"/>
        <v>18.558484957463428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32.208484202708782</v>
      </c>
      <c r="AC54" s="58">
        <f t="shared" si="27"/>
        <v>32.208484202708782</v>
      </c>
      <c r="AE54" s="57">
        <f t="shared" si="6"/>
        <v>1980</v>
      </c>
      <c r="AF54" s="58">
        <f t="shared" si="20"/>
        <v>18.558484957463428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22.918484957463427</v>
      </c>
      <c r="G55" s="187">
        <f t="shared" si="14"/>
        <v>18.558484957463428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32.208484202708782</v>
      </c>
      <c r="AC55" s="58">
        <f t="shared" si="27"/>
        <v>32.208484202708782</v>
      </c>
      <c r="AE55" s="57">
        <f t="shared" si="6"/>
        <v>2040</v>
      </c>
      <c r="AF55" s="58">
        <f t="shared" si="20"/>
        <v>18.558484957463428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22.918484957463427</v>
      </c>
      <c r="G56" s="187">
        <f t="shared" si="14"/>
        <v>18.558484957463428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32.208484202708782</v>
      </c>
      <c r="AC56" s="58">
        <f t="shared" si="27"/>
        <v>32.208484202708782</v>
      </c>
      <c r="AE56" s="57">
        <f t="shared" si="6"/>
        <v>2100</v>
      </c>
      <c r="AF56" s="58">
        <f t="shared" si="20"/>
        <v>18.558484957463428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22.918484957463427</v>
      </c>
      <c r="G57" s="187">
        <f t="shared" si="14"/>
        <v>18.558484957463428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32.208484202708782</v>
      </c>
      <c r="AC57" s="58">
        <f t="shared" si="27"/>
        <v>32.208484202708782</v>
      </c>
      <c r="AE57" s="57">
        <f t="shared" si="6"/>
        <v>2160</v>
      </c>
      <c r="AF57" s="58">
        <f t="shared" si="20"/>
        <v>18.558484957463428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22.918484957463427</v>
      </c>
      <c r="G58" s="187">
        <f t="shared" si="14"/>
        <v>18.558484957463428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32.208484202708782</v>
      </c>
      <c r="AC58" s="58">
        <f t="shared" si="27"/>
        <v>32.208484202708782</v>
      </c>
      <c r="AE58" s="57">
        <f t="shared" si="6"/>
        <v>2220</v>
      </c>
      <c r="AF58" s="58">
        <f t="shared" si="20"/>
        <v>18.558484957463428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22.918484957463427</v>
      </c>
      <c r="G59" s="187">
        <f t="shared" si="14"/>
        <v>18.558484957463428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32.208484202708782</v>
      </c>
      <c r="AC59" s="58">
        <f t="shared" si="27"/>
        <v>32.208484202708782</v>
      </c>
      <c r="AE59" s="57">
        <f t="shared" si="6"/>
        <v>2280</v>
      </c>
      <c r="AF59" s="58">
        <f t="shared" si="20"/>
        <v>18.558484957463428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22.918484957463427</v>
      </c>
      <c r="G60" s="187">
        <f t="shared" si="14"/>
        <v>18.558484957463428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32.208484202708782</v>
      </c>
      <c r="AC60" s="58">
        <f t="shared" si="27"/>
        <v>32.208484202708782</v>
      </c>
      <c r="AE60" s="57">
        <f t="shared" si="6"/>
        <v>2340</v>
      </c>
      <c r="AF60" s="58">
        <f t="shared" si="20"/>
        <v>18.558484957463428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22.918484957463427</v>
      </c>
      <c r="G61" s="187">
        <f t="shared" si="14"/>
        <v>18.558484957463428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32.208484202708782</v>
      </c>
      <c r="AC61" s="58">
        <f t="shared" si="27"/>
        <v>32.208484202708782</v>
      </c>
      <c r="AE61" s="57">
        <f t="shared" si="6"/>
        <v>2400</v>
      </c>
      <c r="AF61" s="58">
        <f t="shared" si="20"/>
        <v>18.558484957463428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22.918484957463427</v>
      </c>
      <c r="G62" s="187">
        <f t="shared" si="14"/>
        <v>18.558484957463428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32.208484202708782</v>
      </c>
      <c r="AC62" s="58">
        <f t="shared" si="27"/>
        <v>32.208484202708782</v>
      </c>
      <c r="AE62" s="57">
        <f t="shared" si="6"/>
        <v>2460</v>
      </c>
      <c r="AF62" s="58">
        <f t="shared" si="20"/>
        <v>18.558484957463428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22.918484957463427</v>
      </c>
      <c r="G63" s="187">
        <f t="shared" si="14"/>
        <v>18.558484957463428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32.208484202708782</v>
      </c>
      <c r="AC63" s="58">
        <f t="shared" si="27"/>
        <v>32.208484202708782</v>
      </c>
      <c r="AE63" s="57">
        <f t="shared" si="6"/>
        <v>2520</v>
      </c>
      <c r="AF63" s="58">
        <f t="shared" si="20"/>
        <v>18.558484957463428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22.918484957463427</v>
      </c>
      <c r="G64" s="187">
        <f t="shared" si="14"/>
        <v>18.558484957463428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32.208484202708782</v>
      </c>
      <c r="AC64" s="58">
        <f t="shared" si="27"/>
        <v>32.208484202708782</v>
      </c>
      <c r="AE64" s="57">
        <f t="shared" si="6"/>
        <v>2580</v>
      </c>
      <c r="AF64" s="58">
        <f t="shared" si="20"/>
        <v>18.558484957463428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22.918484957463427</v>
      </c>
      <c r="G65" s="187">
        <f t="shared" si="14"/>
        <v>18.558484957463428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32.208484202708782</v>
      </c>
      <c r="AC65" s="58">
        <f t="shared" si="27"/>
        <v>32.208484202708782</v>
      </c>
      <c r="AE65" s="57">
        <f t="shared" si="6"/>
        <v>2640</v>
      </c>
      <c r="AF65" s="58">
        <f t="shared" si="20"/>
        <v>18.558484957463428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22.918484957463427</v>
      </c>
      <c r="G66" s="187">
        <f t="shared" si="14"/>
        <v>18.558484957463428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32.208484202708782</v>
      </c>
      <c r="AC66" s="58">
        <f t="shared" si="27"/>
        <v>32.208484202708782</v>
      </c>
      <c r="AE66" s="57">
        <f t="shared" si="6"/>
        <v>2700</v>
      </c>
      <c r="AF66" s="58">
        <f t="shared" si="20"/>
        <v>18.558484957463428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22.918484957463427</v>
      </c>
      <c r="G67" s="187">
        <f t="shared" si="14"/>
        <v>18.558484957463428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32.208484202708782</v>
      </c>
      <c r="AC67" s="58">
        <f t="shared" si="27"/>
        <v>32.208484202708782</v>
      </c>
      <c r="AE67" s="57">
        <f>AA67</f>
        <v>2760</v>
      </c>
      <c r="AF67" s="58">
        <f t="shared" si="20"/>
        <v>18.558484957463428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22.918484957463427</v>
      </c>
      <c r="G68" s="187">
        <f t="shared" si="14"/>
        <v>18.558484957463428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32.208484202708782</v>
      </c>
      <c r="AC68" s="58">
        <f t="shared" si="27"/>
        <v>32.208484202708782</v>
      </c>
      <c r="AE68" s="57">
        <f>AA68</f>
        <v>2820</v>
      </c>
      <c r="AF68" s="58">
        <f t="shared" si="20"/>
        <v>18.558484957463428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22.918484957463427</v>
      </c>
      <c r="G69" s="187">
        <f t="shared" si="14"/>
        <v>18.558484957463428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32.208484202708782</v>
      </c>
      <c r="AC69" s="58">
        <f t="shared" si="27"/>
        <v>32.208484202708782</v>
      </c>
      <c r="AE69" s="57">
        <f>AA69</f>
        <v>2880</v>
      </c>
      <c r="AF69" s="58">
        <f t="shared" si="20"/>
        <v>18.558484957463428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22.918484957463427</v>
      </c>
      <c r="G70" s="187">
        <f t="shared" si="14"/>
        <v>18.558484957463428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22.918484957463427</v>
      </c>
      <c r="G71" s="187">
        <f t="shared" si="14"/>
        <v>18.558484957463428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22.918484957463427</v>
      </c>
      <c r="G72" s="187">
        <f t="shared" si="14"/>
        <v>18.558484957463428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22.918484957463427</v>
      </c>
      <c r="G73" s="187">
        <f t="shared" si="14"/>
        <v>18.558484957463428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22.918484957463427</v>
      </c>
      <c r="G74" s="187">
        <f t="shared" si="14"/>
        <v>18.558484957463428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22.918484957463427</v>
      </c>
      <c r="G75" s="187">
        <f>AF67</f>
        <v>18.558484957463428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22.918484957463427</v>
      </c>
      <c r="G76" s="187">
        <f>AF68</f>
        <v>18.558484957463428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22.918484957463427</v>
      </c>
      <c r="G77" s="187">
        <f>AF69</f>
        <v>18.558484957463428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16.68953127362504</v>
      </c>
      <c r="G78" s="187">
        <f>H114</f>
        <v>12.329531273625038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15.655105479762085</v>
      </c>
      <c r="G79" s="187">
        <f>H115</f>
        <v>11.295105479762084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14.707466174311545</v>
      </c>
      <c r="G80" s="187">
        <f>H116</f>
        <v>10.347466174311545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13.839332124906981</v>
      </c>
      <c r="G81" s="187">
        <f>H117</f>
        <v>9.4793321249069802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13.044032981656215</v>
      </c>
      <c r="G82" s="187">
        <f>H118</f>
        <v>8.6840329816562143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11.036558174831793</v>
      </c>
      <c r="G83" s="187">
        <f>H121</f>
        <v>6.6765581748317917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10.657697368885529</v>
      </c>
      <c r="G84" s="187">
        <f>H124</f>
        <v>6.2976973688855296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9.6452950411824077</v>
      </c>
      <c r="G85" s="187">
        <f>H126</f>
        <v>5.2852950411824065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9.201868166515208</v>
      </c>
      <c r="G86" s="187">
        <f t="shared" ref="G86:G92" si="36">H127</f>
        <v>4.8418681665152068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8.7956440197269643</v>
      </c>
      <c r="G87" s="187">
        <f t="shared" si="36"/>
        <v>4.4356440197269649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8.6679560069090122</v>
      </c>
      <c r="G88" s="187">
        <f t="shared" si="36"/>
        <v>4.307956006909011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8.5439437238261036</v>
      </c>
      <c r="G89" s="187">
        <f t="shared" si="36"/>
        <v>4.1839437238261041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8.4235013579686218</v>
      </c>
      <c r="G90" s="187">
        <f t="shared" si="36"/>
        <v>4.0635013579686223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8.3065261428308652</v>
      </c>
      <c r="G91" s="187">
        <f t="shared" si="36"/>
        <v>3.9465261428308644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8.1929182702263379</v>
      </c>
      <c r="G92" s="187">
        <f t="shared" si="36"/>
        <v>3.8329182702263371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8.082580805127197</v>
      </c>
      <c r="G93" s="187">
        <f>H134</f>
        <v>3.7225808051271971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7.9754196029552045</v>
      </c>
      <c r="G94" s="187">
        <f>H135</f>
        <v>3.6154196029552041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7.8713432292535916</v>
      </c>
      <c r="G95" s="187">
        <f>H136</f>
        <v>3.5113432292535913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7.7702628816713331</v>
      </c>
      <c r="G96" s="187">
        <f>H137</f>
        <v>3.4102628816713327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7.4841478777538271</v>
      </c>
      <c r="G97" s="187">
        <f>H138</f>
        <v>3.1241478777538267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7.3942136466735855</v>
      </c>
      <c r="G98" s="187">
        <f>H140</f>
        <v>3.0342136466735852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6.9064409293280828</v>
      </c>
      <c r="G99" s="187">
        <f>H142</f>
        <v>2.5464409293280825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6.4970813534063723</v>
      </c>
      <c r="G100" s="187">
        <f>H144</f>
        <v>2.137081353406372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6.1535294153013451</v>
      </c>
      <c r="G101" s="191">
        <f>H146</f>
        <v>1.793529415301345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18.558484957463428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18.558484957463428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16.036714340651891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18.558484957463428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14.691262466234855</v>
      </c>
      <c r="I112" s="385"/>
      <c r="J112" s="387">
        <f>H111-H112</f>
        <v>1.3454518744170354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18.558484957463428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13.458691616441635</v>
      </c>
      <c r="I113" s="385"/>
      <c r="J113" s="387">
        <f t="shared" ref="J113:J146" si="42">H112-H113</f>
        <v>1.2325708497932197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18.558484957463428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12.329531273625038</v>
      </c>
      <c r="I114" s="390"/>
      <c r="J114" s="387">
        <f t="shared" si="42"/>
        <v>1.1291603428165971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18.558484957463428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11.295105479762084</v>
      </c>
      <c r="I115" s="390"/>
      <c r="J115" s="387">
        <f t="shared" si="42"/>
        <v>1.0344257938629546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18.558484957463428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10.347466174311545</v>
      </c>
      <c r="I116" s="390"/>
      <c r="J116" s="387">
        <f t="shared" si="42"/>
        <v>0.94763930545053832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18.558484957463428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9.4793321249069802</v>
      </c>
      <c r="I117" s="390"/>
      <c r="J117" s="387">
        <f t="shared" si="42"/>
        <v>0.86813404940456529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18.558484957463428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8.6840329816562143</v>
      </c>
      <c r="I118" s="390"/>
      <c r="J118" s="387">
        <f t="shared" si="42"/>
        <v>0.79529914325076589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18.558484957463428</v>
      </c>
      <c r="E119" s="382">
        <f t="shared" si="40"/>
        <v>0.71</v>
      </c>
      <c r="F119" s="383"/>
      <c r="G119" s="375">
        <v>9</v>
      </c>
      <c r="H119" s="391">
        <f t="shared" si="38"/>
        <v>7.9554580251858091</v>
      </c>
      <c r="I119" s="392"/>
      <c r="J119" s="387">
        <f t="shared" si="42"/>
        <v>0.72857495647040516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18.558484957463428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7.2880092146336857</v>
      </c>
      <c r="I120" s="385"/>
      <c r="J120" s="387">
        <f t="shared" si="42"/>
        <v>0.66744881055212346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18.558484957463428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6.6765581748317917</v>
      </c>
      <c r="I121" s="390"/>
      <c r="J121" s="387">
        <f t="shared" si="42"/>
        <v>0.61145103980189397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18.558484957463428</v>
      </c>
      <c r="E122" s="382">
        <f t="shared" si="40"/>
        <v>0.62</v>
      </c>
      <c r="F122" s="383"/>
      <c r="G122" s="375">
        <v>14</v>
      </c>
      <c r="H122" s="384">
        <f t="shared" si="38"/>
        <v>6.1164067921878651</v>
      </c>
      <c r="I122" s="385"/>
      <c r="J122" s="387">
        <f t="shared" si="42"/>
        <v>0.56015138264392661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18.558484957463428</v>
      </c>
      <c r="E123" s="382">
        <f t="shared" si="40"/>
        <v>0.37</v>
      </c>
      <c r="F123" s="383"/>
      <c r="G123" s="375">
        <v>15</v>
      </c>
      <c r="H123" s="384">
        <f t="shared" si="38"/>
        <v>2.9468683346319047</v>
      </c>
      <c r="I123" s="385"/>
      <c r="J123" s="387">
        <f t="shared" si="42"/>
        <v>3.1695384575559604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18.558484957463428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6.2976973688855296</v>
      </c>
      <c r="I124" s="390"/>
      <c r="J124" s="387">
        <f t="shared" si="42"/>
        <v>-3.3508290342536249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18.558484957463428</v>
      </c>
      <c r="E125" s="382">
        <f t="shared" si="40"/>
        <v>0.6</v>
      </c>
      <c r="F125" s="383"/>
      <c r="G125" s="375">
        <v>18</v>
      </c>
      <c r="H125" s="384">
        <f t="shared" si="38"/>
        <v>5.7693317355338634</v>
      </c>
      <c r="I125" s="385"/>
      <c r="J125" s="387">
        <f t="shared" si="42"/>
        <v>0.5283656333516662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18.558484957463428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5.2852950411824065</v>
      </c>
      <c r="I126" s="390"/>
      <c r="J126" s="387">
        <f t="shared" si="42"/>
        <v>0.48403669435145691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18.558484957463428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4.8418681665152068</v>
      </c>
      <c r="I127" s="390"/>
      <c r="J127" s="387">
        <f t="shared" si="42"/>
        <v>0.44342687466719966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18.558484957463428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4.4356440197269649</v>
      </c>
      <c r="I128" s="390"/>
      <c r="J128" s="387">
        <f t="shared" si="42"/>
        <v>0.40622414678824192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18.558484957463428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4.307956006909011</v>
      </c>
      <c r="I129" s="390"/>
      <c r="J129" s="387">
        <f t="shared" si="42"/>
        <v>0.12768801281795383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18.558484957463428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4.1839437238261041</v>
      </c>
      <c r="I130" s="390"/>
      <c r="J130" s="387">
        <f t="shared" si="42"/>
        <v>0.1240122830829069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18.558484957463428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4.0635013579686223</v>
      </c>
      <c r="I131" s="390"/>
      <c r="J131" s="387">
        <f t="shared" si="42"/>
        <v>0.1204423658574818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18.558484957463428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3.9465261428308644</v>
      </c>
      <c r="I132" s="390"/>
      <c r="J132" s="387">
        <f t="shared" si="42"/>
        <v>0.11697521513775788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18.558484957463428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3.8329182702263371</v>
      </c>
      <c r="I133" s="390"/>
      <c r="J133" s="387">
        <f t="shared" si="42"/>
        <v>0.11360787260452732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18.558484957463428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3.7225808051271971</v>
      </c>
      <c r="I134" s="390"/>
      <c r="J134" s="387">
        <f t="shared" si="42"/>
        <v>0.11033746509914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18.558484957463428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3.6154196029552041</v>
      </c>
      <c r="I135" s="390"/>
      <c r="J135" s="387">
        <f t="shared" si="42"/>
        <v>0.10716120217199299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18.558484957463428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3.5113432292535913</v>
      </c>
      <c r="I136" s="390"/>
      <c r="J136" s="387">
        <f t="shared" si="42"/>
        <v>0.10407637370161282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18.558484957463428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3.4102628816713327</v>
      </c>
      <c r="I137" s="390"/>
      <c r="J137" s="387">
        <f t="shared" si="42"/>
        <v>0.10108034758225859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18.558484957463428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3.1241478777538267</v>
      </c>
      <c r="I138" s="390"/>
      <c r="J138" s="387">
        <f t="shared" si="42"/>
        <v>0.28611500391750599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18.558484957463428</v>
      </c>
      <c r="E139" s="382">
        <f t="shared" si="40"/>
        <v>0.36</v>
      </c>
      <c r="F139" s="383"/>
      <c r="G139" s="375">
        <v>150</v>
      </c>
      <c r="H139" s="384">
        <f t="shared" si="38"/>
        <v>2.8620374149251275</v>
      </c>
      <c r="I139" s="385"/>
      <c r="J139" s="387">
        <f t="shared" si="42"/>
        <v>0.26211046282869921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18.558484957463428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3.0342136466735852</v>
      </c>
      <c r="I140" s="390"/>
      <c r="J140" s="387">
        <f t="shared" si="42"/>
        <v>-0.17217623174845764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18.558484957463428</v>
      </c>
      <c r="E141" s="382">
        <f t="shared" si="40"/>
        <v>0.35</v>
      </c>
      <c r="F141" s="383"/>
      <c r="G141" s="375">
        <v>210</v>
      </c>
      <c r="H141" s="384">
        <f t="shared" si="38"/>
        <v>2.7796485062351737</v>
      </c>
      <c r="I141" s="385"/>
      <c r="J141" s="387">
        <f t="shared" si="42"/>
        <v>0.2545651404384115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18.558484957463428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2.5464409293280825</v>
      </c>
      <c r="I142" s="390"/>
      <c r="J142" s="387">
        <f t="shared" si="42"/>
        <v>0.23320757690709115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18.558484957463428</v>
      </c>
      <c r="E143" s="382">
        <f>C143/100</f>
        <v>0.28999999999999998</v>
      </c>
      <c r="F143" s="383"/>
      <c r="G143" s="375">
        <v>270</v>
      </c>
      <c r="H143" s="384">
        <f t="shared" si="38"/>
        <v>2.3327990542731785</v>
      </c>
      <c r="I143" s="385"/>
      <c r="J143" s="387">
        <f t="shared" si="42"/>
        <v>0.21364187505490406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18.558484957463428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2.137081353406372</v>
      </c>
      <c r="I144" s="390"/>
      <c r="J144" s="387">
        <f t="shared" si="42"/>
        <v>0.19571770086680651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18.558484957463428</v>
      </c>
      <c r="E145" s="382">
        <f>C145/100</f>
        <v>0.23</v>
      </c>
      <c r="F145" s="383"/>
      <c r="G145" s="375">
        <v>330</v>
      </c>
      <c r="H145" s="384">
        <f t="shared" si="38"/>
        <v>1.9577840203215311</v>
      </c>
      <c r="I145" s="385"/>
      <c r="J145" s="387">
        <f t="shared" si="42"/>
        <v>0.17929733308484086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18.558484957463428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1.793529415301345</v>
      </c>
      <c r="I146" s="390"/>
      <c r="J146" s="387">
        <f t="shared" si="42"/>
        <v>0.16425460502018607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2.41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5.4139095456310251</v>
      </c>
      <c r="C31" s="158">
        <v>1</v>
      </c>
    </row>
    <row r="32" spans="1:3">
      <c r="A32" s="156">
        <f>LongTest!D11</f>
        <v>2</v>
      </c>
      <c r="B32" s="160">
        <f>LongTest!G11</f>
        <v>7.0112925851934484</v>
      </c>
      <c r="C32" s="158">
        <v>1</v>
      </c>
    </row>
    <row r="33" spans="1:3">
      <c r="A33" s="156">
        <f>LongTest!D12</f>
        <v>3</v>
      </c>
      <c r="B33" s="160">
        <f>LongTest!G12</f>
        <v>7.9457017626254469</v>
      </c>
      <c r="C33" s="158">
        <v>1</v>
      </c>
    </row>
    <row r="34" spans="1:3">
      <c r="A34" s="156">
        <f>LongTest!D13</f>
        <v>4</v>
      </c>
      <c r="B34" s="160">
        <f>LongTest!G13</f>
        <v>8.6086756247558718</v>
      </c>
      <c r="C34" s="158">
        <v>1</v>
      </c>
    </row>
    <row r="35" spans="1:3">
      <c r="A35" s="156">
        <f>LongTest!D14</f>
        <v>5</v>
      </c>
      <c r="B35" s="160">
        <f>LongTest!G14</f>
        <v>9.1229181034875921</v>
      </c>
      <c r="C35" s="158">
        <v>1</v>
      </c>
    </row>
    <row r="36" spans="1:3">
      <c r="A36" s="156">
        <f>LongTest!D15</f>
        <v>10</v>
      </c>
      <c r="B36" s="160">
        <f>LongTest!G15</f>
        <v>10.720301143050019</v>
      </c>
      <c r="C36" s="158">
        <v>1</v>
      </c>
    </row>
    <row r="37" spans="1:3">
      <c r="A37" s="156">
        <f>LongTest!D16</f>
        <v>15</v>
      </c>
      <c r="B37" s="160">
        <f>LongTest!G16</f>
        <v>11.65471032048201</v>
      </c>
      <c r="C37" s="158">
        <v>1</v>
      </c>
    </row>
    <row r="38" spans="1:3">
      <c r="A38" s="156">
        <f>LongTest!D17</f>
        <v>20</v>
      </c>
      <c r="B38" s="160">
        <f>LongTest!G17</f>
        <v>12.317684182612442</v>
      </c>
      <c r="C38" s="158">
        <v>1</v>
      </c>
    </row>
    <row r="39" spans="1:3">
      <c r="A39" s="156">
        <f>LongTest!D18</f>
        <v>25</v>
      </c>
      <c r="B39" s="160">
        <f>LongTest!G18</f>
        <v>12.831926661344159</v>
      </c>
      <c r="C39" s="158">
        <v>1</v>
      </c>
    </row>
    <row r="40" spans="1:3">
      <c r="A40" s="156">
        <f>LongTest!D19</f>
        <v>30</v>
      </c>
      <c r="B40" s="160">
        <f>LongTest!G19</f>
        <v>13.252093360044437</v>
      </c>
      <c r="C40" s="158">
        <v>1</v>
      </c>
    </row>
    <row r="41" spans="1:3">
      <c r="A41" s="156">
        <f>LongTest!D20</f>
        <v>35</v>
      </c>
      <c r="B41" s="160">
        <f>LongTest!G20</f>
        <v>13.607339242014497</v>
      </c>
      <c r="C41" s="158">
        <v>1</v>
      </c>
    </row>
    <row r="42" spans="1:3">
      <c r="A42" s="156">
        <f>LongTest!D21</f>
        <v>40</v>
      </c>
      <c r="B42" s="160">
        <f>LongTest!G21</f>
        <v>13.915067222174862</v>
      </c>
      <c r="C42" s="158">
        <v>1</v>
      </c>
    </row>
    <row r="43" spans="1:3">
      <c r="A43" s="156">
        <f>LongTest!D22</f>
        <v>45</v>
      </c>
      <c r="B43" s="160">
        <f>LongTest!G22</f>
        <v>14.186502537476436</v>
      </c>
      <c r="C43" s="158">
        <v>1</v>
      </c>
    </row>
    <row r="44" spans="1:3">
      <c r="A44" s="156">
        <f>LongTest!D23</f>
        <v>50</v>
      </c>
      <c r="B44" s="160">
        <f>LongTest!G23</f>
        <v>14.429309700906582</v>
      </c>
      <c r="C44" s="158">
        <v>1</v>
      </c>
    </row>
    <row r="45" spans="1:3">
      <c r="A45" s="156">
        <f>LongTest!D24</f>
        <v>55</v>
      </c>
      <c r="B45" s="160">
        <f>LongTest!G24</f>
        <v>14.648955497624794</v>
      </c>
      <c r="C45" s="158">
        <v>1</v>
      </c>
    </row>
    <row r="46" spans="1:3">
      <c r="A46" s="156">
        <f>LongTest!D25</f>
        <v>60</v>
      </c>
      <c r="B46" s="160">
        <f>LongTest!G25</f>
        <v>14.849476399606861</v>
      </c>
      <c r="C46" s="158">
        <v>1</v>
      </c>
    </row>
    <row r="47" spans="1:3">
      <c r="A47" s="156">
        <f>LongTest!D26</f>
        <v>75</v>
      </c>
      <c r="B47" s="160">
        <f>LongTest!G26</f>
        <v>15.363718878338577</v>
      </c>
      <c r="C47" s="158">
        <v>1</v>
      </c>
    </row>
    <row r="48" spans="1:3">
      <c r="A48" s="156">
        <f>LongTest!D27</f>
        <v>90</v>
      </c>
      <c r="B48" s="160">
        <f>LongTest!G27</f>
        <v>15.783885577038859</v>
      </c>
      <c r="C48" s="158">
        <v>1</v>
      </c>
    </row>
    <row r="49" spans="1:3">
      <c r="A49" s="156">
        <f>LongTest!D28</f>
        <v>105</v>
      </c>
      <c r="B49" s="160">
        <f>LongTest!G28</f>
        <v>16.139131459008922</v>
      </c>
      <c r="C49" s="158">
        <v>1</v>
      </c>
    </row>
    <row r="50" spans="1:3">
      <c r="A50" s="156">
        <f>LongTest!D29</f>
        <v>120</v>
      </c>
      <c r="B50" s="160">
        <f>LongTest!G29</f>
        <v>16.446859439169287</v>
      </c>
      <c r="C50" s="158">
        <v>1</v>
      </c>
    </row>
    <row r="51" spans="1:3">
      <c r="A51" s="156">
        <f>LongTest!D30</f>
        <v>140</v>
      </c>
      <c r="B51" s="160">
        <f>LongTest!G30</f>
        <v>16.802105321139351</v>
      </c>
      <c r="C51" s="158">
        <v>1</v>
      </c>
    </row>
    <row r="52" spans="1:3">
      <c r="A52" s="156">
        <f>LongTest!D31</f>
        <v>160</v>
      </c>
      <c r="B52" s="160">
        <f>LongTest!G31</f>
        <v>17.109833301299716</v>
      </c>
      <c r="C52" s="158">
        <v>1</v>
      </c>
    </row>
    <row r="53" spans="1:3">
      <c r="A53" s="156">
        <f>LongTest!D32</f>
        <v>180</v>
      </c>
      <c r="B53" s="160">
        <f>LongTest!G32</f>
        <v>17.381268616601286</v>
      </c>
      <c r="C53" s="158">
        <v>1</v>
      </c>
    </row>
    <row r="54" spans="1:3">
      <c r="A54" s="156">
        <f>LongTest!D33</f>
        <v>240</v>
      </c>
      <c r="B54" s="160">
        <f>LongTest!G33</f>
        <v>18.044242478731714</v>
      </c>
      <c r="C54" s="158">
        <v>1</v>
      </c>
    </row>
    <row r="55" spans="1:3">
      <c r="A55" s="156">
        <f>LongTest!D34</f>
        <v>300</v>
      </c>
      <c r="B55" s="160">
        <f>LongTest!G34</f>
        <v>18.558484957463428</v>
      </c>
      <c r="C55" s="158">
        <v>1</v>
      </c>
    </row>
    <row r="56" spans="1:3">
      <c r="A56" s="156">
        <f>LongTest!D35</f>
        <v>360</v>
      </c>
      <c r="B56" s="160">
        <f>LongTest!G35</f>
        <v>18.558484957463428</v>
      </c>
      <c r="C56" s="158">
        <v>1</v>
      </c>
    </row>
    <row r="57" spans="1:3">
      <c r="A57" s="156">
        <f>LongTest!D36</f>
        <v>420</v>
      </c>
      <c r="B57" s="160">
        <f>LongTest!G36</f>
        <v>18.558484957463428</v>
      </c>
      <c r="C57" s="158">
        <v>1</v>
      </c>
    </row>
    <row r="58" spans="1:3">
      <c r="A58" s="156">
        <f>LongTest!D37</f>
        <v>480</v>
      </c>
      <c r="B58" s="160">
        <f>LongTest!G37</f>
        <v>18.558484957463428</v>
      </c>
      <c r="C58" s="158">
        <v>1</v>
      </c>
    </row>
    <row r="59" spans="1:3">
      <c r="A59" s="156">
        <f>LongTest!D38</f>
        <v>540</v>
      </c>
      <c r="B59" s="160">
        <f>LongTest!G38</f>
        <v>18.558484957463428</v>
      </c>
      <c r="C59" s="158">
        <v>1</v>
      </c>
    </row>
    <row r="60" spans="1:3">
      <c r="A60" s="156">
        <f>LongTest!D39</f>
        <v>600</v>
      </c>
      <c r="B60" s="160">
        <f>LongTest!G39</f>
        <v>18.558484957463428</v>
      </c>
      <c r="C60" s="158">
        <v>1</v>
      </c>
    </row>
    <row r="61" spans="1:3">
      <c r="A61" s="156">
        <f>LongTest!D40</f>
        <v>660</v>
      </c>
      <c r="B61" s="160">
        <f>LongTest!G40</f>
        <v>18.558484957463428</v>
      </c>
      <c r="C61" s="158">
        <v>1</v>
      </c>
    </row>
    <row r="62" spans="1:3">
      <c r="A62" s="156">
        <f>LongTest!D41</f>
        <v>720</v>
      </c>
      <c r="B62" s="160">
        <f>LongTest!G41</f>
        <v>18.558484957463428</v>
      </c>
      <c r="C62" s="158">
        <v>1</v>
      </c>
    </row>
    <row r="63" spans="1:3">
      <c r="A63" s="156">
        <f>LongTest!D42</f>
        <v>780</v>
      </c>
      <c r="B63" s="160">
        <f>LongTest!G42</f>
        <v>18.558484957463428</v>
      </c>
      <c r="C63" s="158">
        <v>1</v>
      </c>
    </row>
    <row r="64" spans="1:3">
      <c r="A64" s="156">
        <f>LongTest!D43</f>
        <v>840</v>
      </c>
      <c r="B64" s="160">
        <f>LongTest!G43</f>
        <v>18.558484957463428</v>
      </c>
      <c r="C64" s="158">
        <v>1</v>
      </c>
    </row>
    <row r="65" spans="1:3">
      <c r="A65" s="156">
        <f>LongTest!D44</f>
        <v>900</v>
      </c>
      <c r="B65" s="160">
        <f>LongTest!G44</f>
        <v>18.558484957463428</v>
      </c>
      <c r="C65" s="158">
        <v>1</v>
      </c>
    </row>
    <row r="66" spans="1:3">
      <c r="A66" s="156">
        <f>LongTest!D45</f>
        <v>960</v>
      </c>
      <c r="B66" s="160">
        <f>LongTest!G45</f>
        <v>18.558484957463428</v>
      </c>
      <c r="C66" s="158">
        <v>1</v>
      </c>
    </row>
    <row r="67" spans="1:3">
      <c r="A67" s="156">
        <f>LongTest!D46</f>
        <v>1020</v>
      </c>
      <c r="B67" s="160">
        <f>LongTest!G46</f>
        <v>18.558484957463428</v>
      </c>
      <c r="C67" s="158">
        <v>1</v>
      </c>
    </row>
    <row r="68" spans="1:3">
      <c r="A68" s="156">
        <f>LongTest!D47</f>
        <v>1080</v>
      </c>
      <c r="B68" s="160">
        <f>LongTest!G47</f>
        <v>18.558484957463428</v>
      </c>
      <c r="C68" s="158">
        <v>1</v>
      </c>
    </row>
    <row r="69" spans="1:3">
      <c r="A69" s="156">
        <f>LongTest!D48</f>
        <v>1140</v>
      </c>
      <c r="B69" s="160">
        <f>LongTest!G48</f>
        <v>18.558484957463428</v>
      </c>
      <c r="C69" s="158">
        <v>1</v>
      </c>
    </row>
    <row r="70" spans="1:3">
      <c r="A70" s="156">
        <f>LongTest!D49</f>
        <v>1200</v>
      </c>
      <c r="B70" s="160">
        <f>LongTest!G49</f>
        <v>18.558484957463428</v>
      </c>
      <c r="C70" s="158">
        <v>1</v>
      </c>
    </row>
    <row r="71" spans="1:3">
      <c r="A71" s="156">
        <f>LongTest!D50</f>
        <v>1260</v>
      </c>
      <c r="B71" s="160">
        <f>LongTest!G50</f>
        <v>18.558484957463428</v>
      </c>
      <c r="C71" s="158">
        <v>1</v>
      </c>
    </row>
    <row r="72" spans="1:3">
      <c r="A72" s="156">
        <f>LongTest!D51</f>
        <v>1320</v>
      </c>
      <c r="B72" s="160">
        <f>LongTest!G51</f>
        <v>18.558484957463428</v>
      </c>
      <c r="C72" s="158">
        <v>1</v>
      </c>
    </row>
    <row r="73" spans="1:3">
      <c r="A73" s="156">
        <f>LongTest!D52</f>
        <v>1380</v>
      </c>
      <c r="B73" s="160">
        <f>LongTest!G52</f>
        <v>18.558484957463428</v>
      </c>
      <c r="C73" s="158">
        <v>1</v>
      </c>
    </row>
    <row r="74" spans="1:3">
      <c r="A74" s="156">
        <f>LongTest!D53</f>
        <v>1440</v>
      </c>
      <c r="B74" s="160">
        <f>LongTest!G53</f>
        <v>18.558484957463428</v>
      </c>
      <c r="C74" s="158">
        <v>1</v>
      </c>
    </row>
    <row r="75" spans="1:3">
      <c r="A75" s="156">
        <f>LongTest!D54</f>
        <v>1500</v>
      </c>
      <c r="B75" s="160">
        <f>LongTest!G54</f>
        <v>18.558484957463428</v>
      </c>
      <c r="C75" s="158">
        <v>1</v>
      </c>
    </row>
    <row r="76" spans="1:3">
      <c r="A76" s="156">
        <f>LongTest!D55</f>
        <v>1560</v>
      </c>
      <c r="B76" s="160">
        <f>LongTest!G55</f>
        <v>18.558484957463428</v>
      </c>
      <c r="C76" s="158">
        <v>1</v>
      </c>
    </row>
    <row r="77" spans="1:3">
      <c r="A77" s="156">
        <f>LongTest!D56</f>
        <v>1620</v>
      </c>
      <c r="B77" s="160">
        <f>LongTest!G56</f>
        <v>18.558484957463428</v>
      </c>
      <c r="C77" s="158">
        <v>1</v>
      </c>
    </row>
    <row r="78" spans="1:3">
      <c r="A78" s="156">
        <f>LongTest!D57</f>
        <v>1680</v>
      </c>
      <c r="B78" s="160">
        <f>LongTest!G57</f>
        <v>18.558484957463428</v>
      </c>
      <c r="C78" s="158">
        <v>1</v>
      </c>
    </row>
    <row r="79" spans="1:3">
      <c r="A79" s="156">
        <f>LongTest!D58</f>
        <v>1740</v>
      </c>
      <c r="B79" s="160">
        <f>LongTest!G58</f>
        <v>18.558484957463428</v>
      </c>
      <c r="C79" s="158">
        <v>1</v>
      </c>
    </row>
    <row r="80" spans="1:3">
      <c r="A80" s="156">
        <f>LongTest!D59</f>
        <v>1800</v>
      </c>
      <c r="B80" s="160">
        <f>LongTest!G59</f>
        <v>18.558484957463428</v>
      </c>
      <c r="C80" s="158">
        <v>1</v>
      </c>
    </row>
    <row r="81" spans="1:3">
      <c r="A81" s="156">
        <f>LongTest!D60</f>
        <v>1860</v>
      </c>
      <c r="B81" s="160">
        <f>LongTest!G60</f>
        <v>18.558484957463428</v>
      </c>
      <c r="C81" s="158">
        <v>1</v>
      </c>
    </row>
    <row r="82" spans="1:3">
      <c r="A82" s="156">
        <f>LongTest!D61</f>
        <v>1920</v>
      </c>
      <c r="B82" s="160">
        <f>LongTest!G61</f>
        <v>18.558484957463428</v>
      </c>
      <c r="C82" s="158">
        <v>1</v>
      </c>
    </row>
    <row r="83" spans="1:3">
      <c r="A83" s="156">
        <f>LongTest!D62</f>
        <v>1980</v>
      </c>
      <c r="B83" s="160">
        <f>LongTest!G62</f>
        <v>18.558484957463428</v>
      </c>
      <c r="C83" s="158">
        <v>1</v>
      </c>
    </row>
    <row r="84" spans="1:3">
      <c r="A84" s="156">
        <f>LongTest!D63</f>
        <v>2040</v>
      </c>
      <c r="B84" s="160">
        <f>LongTest!G63</f>
        <v>18.558484957463428</v>
      </c>
      <c r="C84" s="158">
        <v>1</v>
      </c>
    </row>
    <row r="85" spans="1:3">
      <c r="A85" s="156">
        <f>LongTest!D64</f>
        <v>2100</v>
      </c>
      <c r="B85" s="160">
        <f>LongTest!G64</f>
        <v>18.558484957463428</v>
      </c>
      <c r="C85" s="158">
        <v>1</v>
      </c>
    </row>
    <row r="86" spans="1:3">
      <c r="A86" s="156">
        <f>LongTest!D65</f>
        <v>2160</v>
      </c>
      <c r="B86" s="160">
        <f>LongTest!G65</f>
        <v>18.558484957463428</v>
      </c>
      <c r="C86" s="158">
        <v>1</v>
      </c>
    </row>
    <row r="87" spans="1:3">
      <c r="A87" s="156">
        <f>LongTest!D66</f>
        <v>2220</v>
      </c>
      <c r="B87" s="160">
        <f>LongTest!G66</f>
        <v>18.558484957463428</v>
      </c>
      <c r="C87" s="158">
        <v>1</v>
      </c>
    </row>
    <row r="88" spans="1:3">
      <c r="A88" s="156">
        <f>LongTest!D67</f>
        <v>2280</v>
      </c>
      <c r="B88" s="160">
        <f>LongTest!G67</f>
        <v>18.558484957463428</v>
      </c>
      <c r="C88" s="158">
        <v>1</v>
      </c>
    </row>
    <row r="89" spans="1:3">
      <c r="A89" s="156">
        <f>LongTest!D68</f>
        <v>2340</v>
      </c>
      <c r="B89" s="160">
        <f>LongTest!G68</f>
        <v>18.558484957463428</v>
      </c>
      <c r="C89" s="158">
        <v>1</v>
      </c>
    </row>
    <row r="90" spans="1:3">
      <c r="A90" s="156">
        <f>LongTest!D69</f>
        <v>2400</v>
      </c>
      <c r="B90" s="160">
        <f>LongTest!G69</f>
        <v>18.558484957463428</v>
      </c>
      <c r="C90" s="158">
        <v>1</v>
      </c>
    </row>
    <row r="91" spans="1:3">
      <c r="A91" s="156">
        <f>LongTest!D70</f>
        <v>2460</v>
      </c>
      <c r="B91" s="160">
        <f>LongTest!G70</f>
        <v>18.558484957463428</v>
      </c>
      <c r="C91" s="158">
        <v>1</v>
      </c>
    </row>
    <row r="92" spans="1:3">
      <c r="A92" s="156">
        <f>LongTest!D71</f>
        <v>2520</v>
      </c>
      <c r="B92" s="160">
        <f>LongTest!G71</f>
        <v>18.558484957463428</v>
      </c>
      <c r="C92" s="158">
        <v>1</v>
      </c>
    </row>
    <row r="93" spans="1:3">
      <c r="A93" s="156">
        <f>LongTest!D72</f>
        <v>2580</v>
      </c>
      <c r="B93" s="160">
        <f>LongTest!G72</f>
        <v>18.558484957463428</v>
      </c>
      <c r="C93" s="158">
        <v>1</v>
      </c>
    </row>
    <row r="94" spans="1:3">
      <c r="A94" s="156">
        <f>LongTest!D73</f>
        <v>2640</v>
      </c>
      <c r="B94" s="160">
        <f>LongTest!G73</f>
        <v>18.558484957463428</v>
      </c>
      <c r="C94" s="158">
        <v>1</v>
      </c>
    </row>
    <row r="95" spans="1:3">
      <c r="A95" s="156">
        <f>LongTest!D74</f>
        <v>2700</v>
      </c>
      <c r="B95" s="160">
        <f>LongTest!G74</f>
        <v>18.558484957463428</v>
      </c>
      <c r="C95" s="158">
        <v>1</v>
      </c>
    </row>
    <row r="96" spans="1:3">
      <c r="A96" s="156">
        <f>LongTest!D75</f>
        <v>2760</v>
      </c>
      <c r="B96" s="160">
        <f>LongTest!G75</f>
        <v>18.558484957463428</v>
      </c>
      <c r="C96" s="158">
        <v>1</v>
      </c>
    </row>
    <row r="97" spans="1:3">
      <c r="A97" s="156">
        <f>LongTest!D76</f>
        <v>2820</v>
      </c>
      <c r="B97" s="160">
        <f>LongTest!G76</f>
        <v>18.558484957463428</v>
      </c>
      <c r="C97" s="158">
        <v>1</v>
      </c>
    </row>
    <row r="98" spans="1:3">
      <c r="A98" s="156">
        <f>LongTest!D77</f>
        <v>2880</v>
      </c>
      <c r="B98" s="160">
        <f>LongTest!G77</f>
        <v>18.558484957463428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2.41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18.558484957463428</v>
      </c>
      <c r="C32" s="158">
        <v>1</v>
      </c>
    </row>
    <row r="33" spans="1:3">
      <c r="A33" s="156">
        <f>$A$32+LongTest!D78</f>
        <v>2881</v>
      </c>
      <c r="B33" s="157">
        <f>LongTest!G78</f>
        <v>12.329531273625038</v>
      </c>
      <c r="C33" s="158">
        <v>1</v>
      </c>
    </row>
    <row r="34" spans="1:3">
      <c r="A34" s="156">
        <f>$A$32+LongTest!D79</f>
        <v>2882</v>
      </c>
      <c r="B34" s="157">
        <f>LongTest!G79</f>
        <v>11.295105479762084</v>
      </c>
      <c r="C34" s="158">
        <v>1</v>
      </c>
    </row>
    <row r="35" spans="1:3">
      <c r="A35" s="156">
        <f>$A$32+LongTest!D80</f>
        <v>2883</v>
      </c>
      <c r="B35" s="157">
        <f>LongTest!G80</f>
        <v>10.347466174311545</v>
      </c>
      <c r="C35" s="158">
        <v>1</v>
      </c>
    </row>
    <row r="36" spans="1:3">
      <c r="A36" s="156">
        <f>$A$32+LongTest!D81</f>
        <v>2884</v>
      </c>
      <c r="B36" s="157">
        <f>LongTest!G81</f>
        <v>9.4793321249069802</v>
      </c>
      <c r="C36" s="158">
        <v>1</v>
      </c>
    </row>
    <row r="37" spans="1:3">
      <c r="A37" s="156">
        <f>$A$32+LongTest!D82</f>
        <v>2885</v>
      </c>
      <c r="B37" s="157">
        <f>LongTest!G82</f>
        <v>8.6840329816562143</v>
      </c>
      <c r="C37" s="158">
        <v>1</v>
      </c>
    </row>
    <row r="38" spans="1:3">
      <c r="A38" s="156">
        <f>$A$32+LongTest!D83</f>
        <v>2890</v>
      </c>
      <c r="B38" s="157">
        <f>LongTest!G83</f>
        <v>6.6765581748317917</v>
      </c>
      <c r="C38" s="158">
        <v>1</v>
      </c>
    </row>
    <row r="39" spans="1:3">
      <c r="A39" s="156">
        <f>$A$32+LongTest!D84</f>
        <v>2895</v>
      </c>
      <c r="B39" s="157">
        <f>LongTest!G84</f>
        <v>6.2976973688855296</v>
      </c>
      <c r="C39" s="158">
        <v>1</v>
      </c>
    </row>
    <row r="40" spans="1:3">
      <c r="A40" s="156">
        <f>$A$32+LongTest!D85</f>
        <v>2900</v>
      </c>
      <c r="B40" s="157">
        <f>LongTest!G85</f>
        <v>5.2852950411824065</v>
      </c>
      <c r="C40" s="158">
        <v>1</v>
      </c>
    </row>
    <row r="41" spans="1:3">
      <c r="A41" s="156">
        <f>$A$32+LongTest!D86</f>
        <v>2905</v>
      </c>
      <c r="B41" s="157">
        <f>LongTest!G86</f>
        <v>4.8418681665152068</v>
      </c>
      <c r="C41" s="158">
        <v>1</v>
      </c>
    </row>
    <row r="42" spans="1:3">
      <c r="A42" s="156">
        <f>$A$32+LongTest!D87</f>
        <v>2910</v>
      </c>
      <c r="B42" s="157">
        <f>LongTest!G87</f>
        <v>4.4356440197269649</v>
      </c>
      <c r="C42" s="158">
        <v>1</v>
      </c>
    </row>
    <row r="43" spans="1:3">
      <c r="A43" s="156">
        <f>$A$32+LongTest!D88</f>
        <v>2915</v>
      </c>
      <c r="B43" s="157">
        <f>LongTest!G88</f>
        <v>4.307956006909011</v>
      </c>
      <c r="C43" s="158">
        <v>1</v>
      </c>
    </row>
    <row r="44" spans="1:3">
      <c r="A44" s="156">
        <f>$A$32+LongTest!D89</f>
        <v>2920</v>
      </c>
      <c r="B44" s="157">
        <f>LongTest!G89</f>
        <v>4.1839437238261041</v>
      </c>
      <c r="C44" s="158">
        <v>1</v>
      </c>
    </row>
    <row r="45" spans="1:3">
      <c r="A45" s="156">
        <f>$A$32+LongTest!D90</f>
        <v>2925</v>
      </c>
      <c r="B45" s="157">
        <f>LongTest!G90</f>
        <v>4.0635013579686223</v>
      </c>
      <c r="C45" s="158">
        <v>1</v>
      </c>
    </row>
    <row r="46" spans="1:3">
      <c r="A46" s="156">
        <f>$A$32+LongTest!D91</f>
        <v>2930</v>
      </c>
      <c r="B46" s="157">
        <f>LongTest!G91</f>
        <v>3.9465261428308644</v>
      </c>
      <c r="C46" s="158">
        <v>1</v>
      </c>
    </row>
    <row r="47" spans="1:3">
      <c r="A47" s="156">
        <f>$A$32+LongTest!D92</f>
        <v>2935</v>
      </c>
      <c r="B47" s="157">
        <f>LongTest!G92</f>
        <v>3.8329182702263371</v>
      </c>
      <c r="C47" s="158">
        <v>1</v>
      </c>
    </row>
    <row r="48" spans="1:3">
      <c r="A48" s="156">
        <f>$A$32+LongTest!D93</f>
        <v>2940</v>
      </c>
      <c r="B48" s="157">
        <f>LongTest!G93</f>
        <v>3.7225808051271971</v>
      </c>
      <c r="C48" s="158">
        <v>1</v>
      </c>
    </row>
    <row r="49" spans="1:3">
      <c r="A49" s="156">
        <f>$A$32+LongTest!D94</f>
        <v>2955</v>
      </c>
      <c r="B49" s="157">
        <f>LongTest!G94</f>
        <v>3.6154196029552041</v>
      </c>
      <c r="C49" s="158">
        <v>1</v>
      </c>
    </row>
    <row r="50" spans="1:3">
      <c r="A50" s="156">
        <f>$A$32+LongTest!D95</f>
        <v>2970</v>
      </c>
      <c r="B50" s="157">
        <f>LongTest!G95</f>
        <v>3.5113432292535913</v>
      </c>
      <c r="C50" s="158">
        <v>1</v>
      </c>
    </row>
    <row r="51" spans="1:3">
      <c r="A51" s="156">
        <f>$A$32+LongTest!D96</f>
        <v>2985</v>
      </c>
      <c r="B51" s="157">
        <f>LongTest!G96</f>
        <v>3.4102628816713327</v>
      </c>
      <c r="C51" s="158">
        <v>1</v>
      </c>
    </row>
    <row r="52" spans="1:3">
      <c r="A52" s="156">
        <f>$A$32+LongTest!D97</f>
        <v>3000</v>
      </c>
      <c r="B52" s="157">
        <f>LongTest!G97</f>
        <v>3.1241478777538267</v>
      </c>
      <c r="C52" s="158">
        <v>1</v>
      </c>
    </row>
    <row r="53" spans="1:3">
      <c r="A53" s="156">
        <f>$A$32+LongTest!D98</f>
        <v>3060</v>
      </c>
      <c r="B53" s="157">
        <f>LongTest!G98</f>
        <v>3.0342136466735852</v>
      </c>
      <c r="C53" s="158">
        <v>1</v>
      </c>
    </row>
    <row r="54" spans="1:3">
      <c r="A54" s="156">
        <f>$A$32+LongTest!D99</f>
        <v>3120</v>
      </c>
      <c r="B54" s="157">
        <f>LongTest!G99</f>
        <v>2.5464409293280825</v>
      </c>
      <c r="C54" s="158">
        <v>1</v>
      </c>
    </row>
    <row r="55" spans="1:3">
      <c r="A55" s="156">
        <f>$A$32+LongTest!D100</f>
        <v>3180</v>
      </c>
      <c r="B55" s="157">
        <f>LongTest!G100</f>
        <v>2.137081353406372</v>
      </c>
      <c r="C55" s="158">
        <v>1</v>
      </c>
    </row>
    <row r="56" spans="1:3">
      <c r="A56" s="156">
        <f>$A$32+LongTest!D101</f>
        <v>3240</v>
      </c>
      <c r="B56" s="157">
        <f>LongTest!G101</f>
        <v>1.793529415301345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I16" sqref="I16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3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162</v>
      </c>
      <c r="F14" s="111">
        <f>$C$9+J14</f>
        <v>7.42</v>
      </c>
      <c r="H14" s="112">
        <v>-0.3</v>
      </c>
      <c r="I14" s="113">
        <v>-20</v>
      </c>
      <c r="J14" s="114">
        <v>-0.08</v>
      </c>
      <c r="L14" s="104">
        <f ca="1">ROUND(myRandBetween(1,3,10), 1)</f>
        <v>-0.1</v>
      </c>
      <c r="M14" s="105">
        <f ca="1">myRandBetween(1,20,1)</f>
        <v>-6</v>
      </c>
      <c r="N14" s="106">
        <f ca="1">ROUND(myRandBetween(8,12,100), 2)</f>
        <v>0.11</v>
      </c>
      <c r="O14" s="6"/>
      <c r="P14" s="6">
        <f t="shared" ref="P14:P23" ca="1" si="1">RANDBETWEEN(1,3)</f>
        <v>3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</v>
      </c>
      <c r="E15" s="117">
        <f t="shared" ref="E15:E20" si="3">$C$8+I15</f>
        <v>174</v>
      </c>
      <c r="F15" s="118">
        <f t="shared" ref="F15:F20" si="4">$C$9+J15</f>
        <v>7.39</v>
      </c>
      <c r="H15" s="112">
        <v>-0.3</v>
      </c>
      <c r="I15" s="113">
        <v>-8</v>
      </c>
      <c r="J15" s="114">
        <v>-0.11</v>
      </c>
      <c r="L15" s="104">
        <f t="shared" ref="L15:L23" ca="1" si="5">ROUND(myRandBetween(1,3,10), 1)</f>
        <v>-0.3</v>
      </c>
      <c r="M15" s="105">
        <f t="shared" ref="M15:M23" ca="1" si="6">myRandBetween(1,20,1)</f>
        <v>4</v>
      </c>
      <c r="N15" s="106">
        <f t="shared" ref="N15:N23" ca="1" si="7">ROUND(myRandBetween(8,12,100), 2)</f>
        <v>-0.08</v>
      </c>
      <c r="O15" s="6"/>
      <c r="P15" s="6">
        <f t="shared" ca="1" si="1"/>
        <v>3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15.200000000000001</v>
      </c>
      <c r="E16" s="117">
        <f t="shared" si="3"/>
        <v>171</v>
      </c>
      <c r="F16" s="118">
        <f t="shared" si="4"/>
        <v>7.6</v>
      </c>
      <c r="H16" s="112">
        <v>-0.1</v>
      </c>
      <c r="I16" s="113">
        <v>-11</v>
      </c>
      <c r="J16" s="114">
        <v>0.1</v>
      </c>
      <c r="L16" s="104">
        <f t="shared" ca="1" si="5"/>
        <v>0.3</v>
      </c>
      <c r="M16" s="105">
        <f t="shared" ca="1" si="6"/>
        <v>1</v>
      </c>
      <c r="N16" s="106">
        <f t="shared" ca="1" si="7"/>
        <v>0.1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15.100000000000001</v>
      </c>
      <c r="E17" s="117">
        <f t="shared" si="3"/>
        <v>191</v>
      </c>
      <c r="F17" s="118">
        <f t="shared" si="4"/>
        <v>7.4</v>
      </c>
      <c r="H17" s="112">
        <v>-0.2</v>
      </c>
      <c r="I17" s="113">
        <v>9</v>
      </c>
      <c r="J17" s="114">
        <v>-0.1</v>
      </c>
      <c r="L17" s="104">
        <f t="shared" ca="1" si="5"/>
        <v>0.2</v>
      </c>
      <c r="M17" s="105">
        <f t="shared" ca="1" si="6"/>
        <v>-2</v>
      </c>
      <c r="N17" s="106">
        <f t="shared" ca="1" si="7"/>
        <v>-0.12</v>
      </c>
      <c r="O17" s="6"/>
      <c r="P17" s="6">
        <f t="shared" ca="1" si="1"/>
        <v>3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15.200000000000001</v>
      </c>
      <c r="E18" s="117">
        <f t="shared" si="3"/>
        <v>191</v>
      </c>
      <c r="F18" s="118">
        <f t="shared" si="4"/>
        <v>7.61</v>
      </c>
      <c r="H18" s="112">
        <v>-0.1</v>
      </c>
      <c r="I18" s="113">
        <v>9</v>
      </c>
      <c r="J18" s="114">
        <v>0.11</v>
      </c>
      <c r="L18" s="104">
        <f t="shared" ca="1" si="5"/>
        <v>0.1</v>
      </c>
      <c r="M18" s="105">
        <f t="shared" ca="1" si="6"/>
        <v>-2</v>
      </c>
      <c r="N18" s="106">
        <f t="shared" ca="1" si="7"/>
        <v>0.1</v>
      </c>
      <c r="O18" s="6"/>
      <c r="P18" s="6">
        <f t="shared" ca="1" si="1"/>
        <v>2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15.600000000000001</v>
      </c>
      <c r="E19" s="117">
        <f t="shared" si="3"/>
        <v>186</v>
      </c>
      <c r="F19" s="118">
        <f t="shared" si="4"/>
        <v>7.42</v>
      </c>
      <c r="H19" s="112">
        <v>0.3</v>
      </c>
      <c r="I19" s="113">
        <v>4</v>
      </c>
      <c r="J19" s="114">
        <v>-0.08</v>
      </c>
      <c r="L19" s="104">
        <f t="shared" ca="1" si="5"/>
        <v>0.1</v>
      </c>
      <c r="M19" s="105">
        <f t="shared" ca="1" si="6"/>
        <v>-7</v>
      </c>
      <c r="N19" s="106">
        <f t="shared" ca="1" si="7"/>
        <v>-0.1</v>
      </c>
      <c r="O19" s="6"/>
      <c r="P19" s="6">
        <f t="shared" ca="1" si="1"/>
        <v>1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</v>
      </c>
      <c r="E20" s="117">
        <f t="shared" si="3"/>
        <v>166</v>
      </c>
      <c r="F20" s="118">
        <f t="shared" si="4"/>
        <v>7.41</v>
      </c>
      <c r="H20" s="112">
        <v>-0.3</v>
      </c>
      <c r="I20" s="113">
        <v>-16</v>
      </c>
      <c r="J20" s="114">
        <v>-0.09</v>
      </c>
      <c r="L20" s="104">
        <f t="shared" ca="1" si="5"/>
        <v>0.1</v>
      </c>
      <c r="M20" s="105">
        <f t="shared" ca="1" si="6"/>
        <v>16</v>
      </c>
      <c r="N20" s="106">
        <f t="shared" ca="1" si="7"/>
        <v>0.11</v>
      </c>
      <c r="O20" s="6"/>
      <c r="P20" s="6">
        <f t="shared" ca="1" si="1"/>
        <v>3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</v>
      </c>
      <c r="E21" s="117">
        <f>$E$20</f>
        <v>166</v>
      </c>
      <c r="F21" s="118">
        <f>$F$20</f>
        <v>7.41</v>
      </c>
      <c r="H21" s="112">
        <v>0.2</v>
      </c>
      <c r="I21" s="113">
        <v>-16</v>
      </c>
      <c r="J21" s="114">
        <v>0.12</v>
      </c>
      <c r="L21" s="104">
        <f t="shared" ca="1" si="5"/>
        <v>-0.2</v>
      </c>
      <c r="M21" s="105">
        <f t="shared" ca="1" si="6"/>
        <v>9</v>
      </c>
      <c r="N21" s="106">
        <f t="shared" ca="1" si="7"/>
        <v>0.12</v>
      </c>
      <c r="O21" s="6"/>
      <c r="P21" s="6">
        <f t="shared" ca="1" si="1"/>
        <v>2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8">$D$20</f>
        <v>15</v>
      </c>
      <c r="E22" s="117">
        <f t="shared" ref="E22:E23" si="9">$E$20</f>
        <v>166</v>
      </c>
      <c r="F22" s="118">
        <f t="shared" ref="F22:F23" si="10">$F$20</f>
        <v>7.41</v>
      </c>
      <c r="H22" s="112">
        <v>0.1</v>
      </c>
      <c r="I22" s="113">
        <v>-1</v>
      </c>
      <c r="J22" s="114">
        <v>-0.09</v>
      </c>
      <c r="L22" s="104">
        <f t="shared" ca="1" si="5"/>
        <v>0.2</v>
      </c>
      <c r="M22" s="105">
        <f t="shared" ca="1" si="6"/>
        <v>16</v>
      </c>
      <c r="N22" s="106">
        <f t="shared" ca="1" si="7"/>
        <v>0.09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8"/>
        <v>15</v>
      </c>
      <c r="E23" s="117">
        <f t="shared" si="9"/>
        <v>166</v>
      </c>
      <c r="F23" s="118">
        <f t="shared" si="10"/>
        <v>7.41</v>
      </c>
      <c r="H23" s="119">
        <v>0.2</v>
      </c>
      <c r="I23" s="120">
        <v>8</v>
      </c>
      <c r="J23" s="121">
        <v>0.1</v>
      </c>
      <c r="L23" s="144">
        <f t="shared" ca="1" si="5"/>
        <v>-0.1</v>
      </c>
      <c r="M23" s="145">
        <f t="shared" ca="1" si="6"/>
        <v>1</v>
      </c>
      <c r="N23" s="122">
        <f t="shared" ca="1" si="7"/>
        <v>-0.1</v>
      </c>
      <c r="O23" s="6"/>
      <c r="P23" s="6">
        <f t="shared" ca="1" si="1"/>
        <v>3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11">MAX(E14:E23)</f>
        <v>191</v>
      </c>
      <c r="F24" s="134">
        <f t="shared" si="11"/>
        <v>7.61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12">MIN(E14:E23)</f>
        <v>162</v>
      </c>
      <c r="F25" s="134">
        <f t="shared" si="12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29</v>
      </c>
      <c r="F26" s="139">
        <f t="shared" si="13"/>
        <v>0.22000000000000064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2024-03-10T03:37:59Z</dcterms:modified>
</cp:coreProperties>
</file>