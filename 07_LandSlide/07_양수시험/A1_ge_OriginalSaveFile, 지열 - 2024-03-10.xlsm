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CED4094D-2D64-435D-8AD9-6E45705DD0E2}" xr6:coauthVersionLast="47" xr6:coauthVersionMax="47" xr10:uidLastSave="{00000000-0000-0000-0000-000000000000}"/>
  <bookViews>
    <workbookView xWindow="7530" yWindow="630" windowWidth="28800" windowHeight="19665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N23" i="11"/>
  <c r="M17" i="11"/>
  <c r="L18" i="11"/>
  <c r="N18" i="11"/>
  <c r="N19" i="11"/>
  <c r="L17" i="11"/>
  <c r="M14" i="11"/>
  <c r="L22" i="11"/>
  <c r="N17" i="11"/>
  <c r="N22" i="11"/>
  <c r="N20" i="11"/>
  <c r="M15" i="11"/>
  <c r="L23" i="11"/>
  <c r="L14" i="11"/>
  <c r="M21" i="11"/>
  <c r="M18" i="11"/>
  <c r="M19" i="11"/>
  <c r="L16" i="11"/>
  <c r="L20" i="11"/>
  <c r="L15" i="11"/>
  <c r="M20" i="11"/>
  <c r="L21" i="11"/>
  <c r="M22" i="11"/>
  <c r="N15" i="11"/>
  <c r="M16" i="11"/>
  <c r="L19" i="11"/>
  <c r="N14" i="11"/>
  <c r="N16" i="11"/>
  <c r="M23" i="11"/>
  <c r="N21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43" i="6" l="1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<sst xmlns="http://schemas.openxmlformats.org/spreadsheetml/2006/main" count="1149" uniqueCount="302">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</sst>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" zoomScaleNormal="100" workbookViewId="0">
      <selection activeCell="L18" sqref="L1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298</v>
      </c>
      <c r="J44" s="453"/>
      <c r="K44" s="454"/>
      <c r="L44" s="267" t="s">
        <v>30</v>
      </c>
      <c r="M44" s="271">
        <v>200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299</v>
      </c>
      <c r="J45" s="462"/>
      <c r="K45" s="463"/>
      <c r="L45" s="267" t="s">
        <v>34</v>
      </c>
      <c r="M45" s="272">
        <v>500</v>
      </c>
      <c r="N45" s="272">
        <f>M44</f>
        <v>200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300</v>
      </c>
      <c r="J46" s="453"/>
      <c r="K46" s="454"/>
      <c r="L46" s="267" t="s">
        <v>38</v>
      </c>
      <c r="M46" s="235">
        <f>IF(I52&gt;M48, M45-I52,M45-M48)</f>
        <v>470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223</v>
      </c>
      <c r="J47" s="465"/>
      <c r="K47" s="466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56" t="s">
        <v>301</v>
      </c>
      <c r="K48" s="456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이랜드 R&amp;D센터</v>
      </c>
      <c r="J49" s="457"/>
      <c r="K49" s="457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30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243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9.6638297872340434E-2</v>
      </c>
      <c r="J58" s="265" t="s">
        <v>69</v>
      </c>
      <c r="K58" s="397">
        <f>INT((6*I57*I58*I60/I59)^0.5)</f>
        <v>5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7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10.113637503862758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5.4139095456310251</v>
      </c>
      <c r="C4" s="320">
        <f>LongTest!B10</f>
        <v>522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1.0967420038710389</v>
      </c>
      <c r="D6" s="246"/>
      <c r="E6" s="245">
        <f>1.15*LOG((2.25*D5*(1/1440))/(F4*E4^2))</f>
        <v>4.2790742583043047</v>
      </c>
      <c r="F6" s="247" t="s">
        <v>121</v>
      </c>
      <c r="G6" s="428">
        <f>C6-E6</f>
        <v>-3.1823322544332657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62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2.41</v>
      </c>
      <c r="D8" s="252"/>
      <c r="E8" s="252"/>
      <c r="F8" s="253"/>
      <c r="G8" s="252"/>
      <c r="H8" s="254"/>
      <c r="I8" s="324">
        <f>Input!M45</f>
        <v>500</v>
      </c>
      <c r="J8" s="304" t="s">
        <v>240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301">
        <v>0.32969999999999999</v>
      </c>
      <c r="H10" s="255" t="s">
        <v>214</v>
      </c>
      <c r="I10" s="261">
        <f>Input!I52</f>
        <v>30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34.5</v>
      </c>
      <c r="D13" s="26"/>
      <c r="E13" s="430" t="s">
        <v>251</v>
      </c>
      <c r="F13" s="331">
        <f>D5</f>
        <v>16.829999999999998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470</v>
      </c>
      <c r="D16" s="258">
        <f>(F13+H13)/2</f>
        <v>15.53</v>
      </c>
      <c r="E16" s="31">
        <f>INT(D16/C16*100000)/100000</f>
        <v>3.304E-2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42.2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470</v>
      </c>
      <c r="D21" s="32">
        <f t="shared" si="0"/>
        <v>15.53</v>
      </c>
      <c r="E21" s="258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3.8243695823483054E-5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61.966666666666669</v>
      </c>
      <c r="D30" s="15"/>
      <c r="E30" s="420">
        <f>(C13+C18)/2</f>
        <v>38.35</v>
      </c>
      <c r="F30" s="421">
        <f>MAX(C13,C18)</f>
        <v>42.2</v>
      </c>
      <c r="G30" s="422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500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3.141E-2</v>
      </c>
      <c r="O17" s="418">
        <f>INT(M17/N17*100)/100</f>
        <v>7.29</v>
      </c>
      <c r="P17" s="419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3.141E-2</v>
      </c>
      <c r="O18" s="418">
        <f>INT(M18/N18*100)/100</f>
        <v>14.58</v>
      </c>
      <c r="P18" s="419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3.141E-2</v>
      </c>
      <c r="O19" s="418">
        <f>INT(M19/N19*100)/100</f>
        <v>21.88</v>
      </c>
      <c r="P19" s="419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3.141E-2</v>
      </c>
      <c r="O20" s="418">
        <f>INT(M20/N20*100)/100</f>
        <v>29.17</v>
      </c>
      <c r="P20" s="419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3.141E-2</v>
      </c>
      <c r="O21" s="417">
        <f>INT(M21/N21*100)/100</f>
        <v>36.46</v>
      </c>
      <c r="P21" s="419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3.141E-2</v>
      </c>
      <c r="O22" s="417">
        <f t="shared" ref="O22:O30" si="21">INT(M22/N22*100)/100</f>
        <v>72.930000000000007</v>
      </c>
      <c r="P22" s="419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3.141E-2</v>
      </c>
      <c r="O23" s="417">
        <f t="shared" si="21"/>
        <v>109.4</v>
      </c>
      <c r="P23" s="419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3.141E-2</v>
      </c>
      <c r="O24" s="417">
        <f t="shared" si="21"/>
        <v>145.87</v>
      </c>
      <c r="P24" s="419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3.141E-2</v>
      </c>
      <c r="O25" s="417">
        <f t="shared" si="21"/>
        <v>182.34</v>
      </c>
      <c r="P25" s="419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3.141E-2</v>
      </c>
      <c r="O26" s="418">
        <f t="shared" si="21"/>
        <v>218.81</v>
      </c>
      <c r="P26" s="419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3.141E-2</v>
      </c>
      <c r="O27" s="418">
        <f t="shared" si="21"/>
        <v>255.28</v>
      </c>
      <c r="P27" s="419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3.141E-2</v>
      </c>
      <c r="O28" s="418">
        <f t="shared" si="21"/>
        <v>291.75</v>
      </c>
      <c r="P28" s="419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3.141E-2</v>
      </c>
      <c r="O29" s="418">
        <f t="shared" si="21"/>
        <v>328.22</v>
      </c>
      <c r="P29" s="419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3.141E-2</v>
      </c>
      <c r="O30" s="418">
        <f t="shared" si="21"/>
        <v>364.69</v>
      </c>
      <c r="P30" s="419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3.141E-2</v>
      </c>
      <c r="O31" s="418">
        <f>INT(M31/N31*100)/100</f>
        <v>401.16</v>
      </c>
      <c r="P31" s="419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3.141E-2</v>
      </c>
      <c r="O32" s="418">
        <f>INT(M32/N32*100)/100</f>
        <v>437.63</v>
      </c>
      <c r="P32" s="419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-6.0284849574634283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-6.13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-16.07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-26.68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-37.56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500</v>
      </c>
      <c r="H7" s="165"/>
      <c r="I7" s="165"/>
      <c r="J7" s="166"/>
      <c r="M7" s="59">
        <f t="shared" si="2"/>
        <v>-48.58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22.918484957463427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3.8165265060686018</v>
      </c>
      <c r="M8" s="59">
        <f t="shared" si="2"/>
        <v>-104.68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18.558484957463428</v>
      </c>
      <c r="M9" s="59">
        <f t="shared" si="2"/>
        <v>-161.46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9.7739095456310245</v>
      </c>
      <c r="G10" s="188">
        <f>AF2</f>
        <v>5.4139095456310251</v>
      </c>
      <c r="H10" s="189"/>
      <c r="I10" s="189"/>
      <c r="J10" s="189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11.371292585193448</v>
      </c>
      <c r="G11" s="187">
        <f>AF3</f>
        <v>7.0112925851934484</v>
      </c>
      <c r="H11" s="189"/>
      <c r="I11" s="189"/>
      <c r="J11" s="189"/>
      <c r="K11" s="81">
        <f>G11-G10</f>
        <v>1.5973830395624233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12.305701762625446</v>
      </c>
      <c r="G12" s="187">
        <f t="shared" ref="G12:G74" si="14">AF4</f>
        <v>7.9457017626254469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12.968675624755871</v>
      </c>
      <c r="G13" s="187">
        <f t="shared" si="14"/>
        <v>8.6086756247558718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13.482918103487592</v>
      </c>
      <c r="G14" s="187">
        <f t="shared" si="14"/>
        <v>9.1229181034875921</v>
      </c>
      <c r="H14" s="189"/>
      <c r="I14" s="189"/>
      <c r="J14" s="189"/>
      <c r="K14" s="81">
        <f t="shared" si="15"/>
        <v>0.51424247873172035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15.080301143050018</v>
      </c>
      <c r="G15" s="187">
        <f t="shared" si="14"/>
        <v>10.720301143050019</v>
      </c>
      <c r="H15" s="189"/>
      <c r="I15" s="189"/>
      <c r="J15" s="189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16.01471032048201</v>
      </c>
      <c r="G16" s="187">
        <f t="shared" si="14"/>
        <v>11.65471032048201</v>
      </c>
      <c r="H16" s="189"/>
      <c r="I16" s="189"/>
      <c r="J16" s="189"/>
      <c r="K16" s="81">
        <f t="shared" si="15"/>
        <v>0.93440917743199137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16.677684182612442</v>
      </c>
      <c r="G17" s="187">
        <f t="shared" si="14"/>
        <v>12.317684182612442</v>
      </c>
      <c r="H17" s="189"/>
      <c r="I17" s="189"/>
      <c r="J17" s="189"/>
      <c r="K17" s="81">
        <f t="shared" si="15"/>
        <v>0.66297386213043197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3.141E-2</v>
      </c>
      <c r="P17" s="418">
        <f>INT(N17/O17*100)/100</f>
        <v>11.54</v>
      </c>
      <c r="Q17" s="419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17.191926661344159</v>
      </c>
      <c r="G18" s="187">
        <f t="shared" si="14"/>
        <v>12.831926661344159</v>
      </c>
      <c r="H18" s="189"/>
      <c r="I18" s="189"/>
      <c r="J18" s="189"/>
      <c r="K18" s="81">
        <f t="shared" si="15"/>
        <v>0.5142424787317168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3.141E-2</v>
      </c>
      <c r="P18" s="418">
        <f>INT(N18/O18*100)/100</f>
        <v>23.08</v>
      </c>
      <c r="Q18" s="419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17.612093360044437</v>
      </c>
      <c r="G19" s="187">
        <f t="shared" si="14"/>
        <v>13.252093360044437</v>
      </c>
      <c r="H19" s="189"/>
      <c r="I19" s="189"/>
      <c r="J19" s="189"/>
      <c r="K19" s="81">
        <f t="shared" si="15"/>
        <v>0.42016669870027812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3.141E-2</v>
      </c>
      <c r="P19" s="418">
        <f>INT(N19/O19*100)/100</f>
        <v>34.619999999999997</v>
      </c>
      <c r="Q19" s="419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17.967339242014496</v>
      </c>
      <c r="G20" s="187">
        <f t="shared" si="14"/>
        <v>13.607339242014497</v>
      </c>
      <c r="H20" s="189"/>
      <c r="I20" s="189"/>
      <c r="J20" s="189"/>
      <c r="K20" s="81">
        <f t="shared" si="15"/>
        <v>0.35524588197005968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3.141E-2</v>
      </c>
      <c r="P20" s="418">
        <f>INT(N20/O20*100)/100</f>
        <v>46.16</v>
      </c>
      <c r="Q20" s="419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18.275067222174862</v>
      </c>
      <c r="G21" s="187">
        <f t="shared" si="14"/>
        <v>13.915067222174862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3.141E-2</v>
      </c>
      <c r="P21" s="418">
        <f>INT(N21/O21*100)/100</f>
        <v>57.7</v>
      </c>
      <c r="Q21" s="419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18.546502537476435</v>
      </c>
      <c r="G22" s="187">
        <f t="shared" si="14"/>
        <v>14.186502537476436</v>
      </c>
      <c r="H22" s="189"/>
      <c r="I22" s="189"/>
      <c r="J22" s="189"/>
      <c r="K22" s="81">
        <f t="shared" si="15"/>
        <v>0.27143531530157361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3.141E-2</v>
      </c>
      <c r="P22" s="418">
        <f t="shared" ref="P22:P27" si="22">INT(N22/O22*100)/100</f>
        <v>115.4</v>
      </c>
      <c r="Q22" s="419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18.789309700906582</v>
      </c>
      <c r="G23" s="187">
        <f t="shared" si="14"/>
        <v>14.429309700906582</v>
      </c>
      <c r="H23" s="189"/>
      <c r="I23" s="189"/>
      <c r="J23" s="189"/>
      <c r="K23" s="81">
        <f t="shared" si="15"/>
        <v>0.24280716343014674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3.141E-2</v>
      </c>
      <c r="P23" s="418">
        <f t="shared" si="22"/>
        <v>173.11</v>
      </c>
      <c r="Q23" s="419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19.008955497624793</v>
      </c>
      <c r="G24" s="187">
        <f t="shared" si="14"/>
        <v>14.648955497624794</v>
      </c>
      <c r="H24" s="189"/>
      <c r="I24" s="189"/>
      <c r="J24" s="189"/>
      <c r="K24" s="81">
        <f t="shared" si="15"/>
        <v>0.21964579671821127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3.141E-2</v>
      </c>
      <c r="P24" s="418">
        <f t="shared" si="22"/>
        <v>230.81</v>
      </c>
      <c r="Q24" s="419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19.20947639960686</v>
      </c>
      <c r="G25" s="187">
        <f t="shared" si="14"/>
        <v>14.849476399606861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3.141E-2</v>
      </c>
      <c r="P25" s="418">
        <f t="shared" si="22"/>
        <v>288.52</v>
      </c>
      <c r="Q25" s="419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19.723718878338577</v>
      </c>
      <c r="G26" s="187">
        <f t="shared" si="14"/>
        <v>15.363718878338577</v>
      </c>
      <c r="H26" s="189"/>
      <c r="I26" s="189"/>
      <c r="J26" s="189"/>
      <c r="K26" s="81">
        <f t="shared" si="15"/>
        <v>0.5142424787317168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3.141E-2</v>
      </c>
      <c r="P26" s="418">
        <f t="shared" si="22"/>
        <v>346.22</v>
      </c>
      <c r="Q26" s="419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20.143885577038859</v>
      </c>
      <c r="G27" s="187">
        <f t="shared" si="14"/>
        <v>15.783885577038859</v>
      </c>
      <c r="H27" s="189"/>
      <c r="I27" s="189"/>
      <c r="J27" s="189"/>
      <c r="K27" s="81">
        <f t="shared" si="15"/>
        <v>0.42016669870028167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3.141E-2</v>
      </c>
      <c r="P27" s="418">
        <f t="shared" si="22"/>
        <v>403.93</v>
      </c>
      <c r="Q27" s="419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20.499131459008922</v>
      </c>
      <c r="G28" s="187">
        <f t="shared" si="14"/>
        <v>16.139131459008922</v>
      </c>
      <c r="H28" s="189"/>
      <c r="I28" s="189"/>
      <c r="J28" s="189"/>
      <c r="K28" s="81">
        <f t="shared" si="15"/>
        <v>0.35524588197006324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3.141E-2</v>
      </c>
      <c r="P28" s="418">
        <f>INT(N28/O28*100)/100</f>
        <v>461.63</v>
      </c>
      <c r="Q28" s="419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20.806859439169287</v>
      </c>
      <c r="G29" s="187">
        <f t="shared" si="14"/>
        <v>16.446859439169287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3.141E-2</v>
      </c>
      <c r="P29" s="418">
        <f>INT(N29/O29*100)/100</f>
        <v>519.34</v>
      </c>
      <c r="Q29" s="419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21.16210532113935</v>
      </c>
      <c r="G30" s="187">
        <f t="shared" si="14"/>
        <v>16.802105321139351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3.141E-2</v>
      </c>
      <c r="P30" s="418">
        <f>INT(N30/O30*100)/100</f>
        <v>577.04</v>
      </c>
      <c r="Q30" s="419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21.469833301299715</v>
      </c>
      <c r="G31" s="187">
        <f t="shared" si="14"/>
        <v>17.109833301299716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3.141E-2</v>
      </c>
      <c r="P31" s="418">
        <f>INT(N31/O31*100)/100</f>
        <v>634.75</v>
      </c>
      <c r="Q31" s="419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21.741268616601285</v>
      </c>
      <c r="G32" s="187">
        <f t="shared" si="14"/>
        <v>17.381268616601286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22.404242478731714</v>
      </c>
      <c r="G33" s="187">
        <f t="shared" si="14"/>
        <v>18.044242478731714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22.918484957463427</v>
      </c>
      <c r="G34" s="187">
        <f t="shared" si="14"/>
        <v>18.558484957463428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22.918484957463427</v>
      </c>
      <c r="G35" s="187">
        <f t="shared" si="14"/>
        <v>18.558484957463428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22.918484957463427</v>
      </c>
      <c r="G36" s="187">
        <f t="shared" si="14"/>
        <v>18.558484957463428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22.918484957463427</v>
      </c>
      <c r="G37" s="187">
        <f t="shared" si="14"/>
        <v>18.558484957463428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22.918484957463427</v>
      </c>
      <c r="G38" s="187">
        <f t="shared" si="14"/>
        <v>18.558484957463428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22.918484957463427</v>
      </c>
      <c r="G39" s="187">
        <f t="shared" si="14"/>
        <v>18.558484957463428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22.918484957463427</v>
      </c>
      <c r="G40" s="187">
        <f t="shared" si="14"/>
        <v>18.558484957463428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22.918484957463427</v>
      </c>
      <c r="G41" s="187">
        <f t="shared" si="14"/>
        <v>18.558484957463428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22.918484957463427</v>
      </c>
      <c r="G42" s="187">
        <f t="shared" si="14"/>
        <v>18.558484957463428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22.918484957463427</v>
      </c>
      <c r="G43" s="187">
        <f t="shared" si="14"/>
        <v>18.558484957463428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22.918484957463427</v>
      </c>
      <c r="G44" s="187">
        <f t="shared" si="14"/>
        <v>18.558484957463428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22.918484957463427</v>
      </c>
      <c r="G45" s="187">
        <f t="shared" si="14"/>
        <v>18.558484957463428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22.918484957463427</v>
      </c>
      <c r="G46" s="187">
        <f t="shared" si="14"/>
        <v>18.558484957463428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22.918484957463427</v>
      </c>
      <c r="G47" s="187">
        <f t="shared" si="14"/>
        <v>18.558484957463428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22.918484957463427</v>
      </c>
      <c r="G48" s="187">
        <f t="shared" si="14"/>
        <v>18.558484957463428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22.918484957463427</v>
      </c>
      <c r="G49" s="187">
        <f t="shared" si="14"/>
        <v>18.558484957463428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22.918484957463427</v>
      </c>
      <c r="G50" s="187">
        <f t="shared" si="14"/>
        <v>18.558484957463428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22.918484957463427</v>
      </c>
      <c r="G51" s="187">
        <f t="shared" si="14"/>
        <v>18.558484957463428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22.918484957463427</v>
      </c>
      <c r="G52" s="187">
        <f t="shared" si="14"/>
        <v>18.558484957463428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22.918484957463427</v>
      </c>
      <c r="G53" s="187">
        <f t="shared" si="14"/>
        <v>18.558484957463428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22.918484957463427</v>
      </c>
      <c r="G54" s="187">
        <f t="shared" si="14"/>
        <v>18.558484957463428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22.918484957463427</v>
      </c>
      <c r="G55" s="187">
        <f t="shared" si="14"/>
        <v>18.558484957463428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22.918484957463427</v>
      </c>
      <c r="G56" s="187">
        <f t="shared" si="14"/>
        <v>18.558484957463428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22.918484957463427</v>
      </c>
      <c r="G57" s="187">
        <f t="shared" si="14"/>
        <v>18.558484957463428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22.918484957463427</v>
      </c>
      <c r="G58" s="187">
        <f t="shared" si="14"/>
        <v>18.558484957463428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22.918484957463427</v>
      </c>
      <c r="G59" s="187">
        <f t="shared" si="14"/>
        <v>18.558484957463428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22.918484957463427</v>
      </c>
      <c r="G60" s="187">
        <f t="shared" si="14"/>
        <v>18.558484957463428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22.918484957463427</v>
      </c>
      <c r="G61" s="187">
        <f t="shared" si="14"/>
        <v>18.558484957463428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22.918484957463427</v>
      </c>
      <c r="G62" s="187">
        <f t="shared" si="14"/>
        <v>18.558484957463428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22.918484957463427</v>
      </c>
      <c r="G63" s="187">
        <f t="shared" si="14"/>
        <v>18.558484957463428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22.918484957463427</v>
      </c>
      <c r="G64" s="187">
        <f t="shared" si="14"/>
        <v>18.558484957463428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22.918484957463427</v>
      </c>
      <c r="G65" s="187">
        <f t="shared" si="14"/>
        <v>18.558484957463428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22.918484957463427</v>
      </c>
      <c r="G66" s="187">
        <f t="shared" si="14"/>
        <v>18.558484957463428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22.918484957463427</v>
      </c>
      <c r="G67" s="187">
        <f t="shared" si="14"/>
        <v>18.558484957463428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22.918484957463427</v>
      </c>
      <c r="G68" s="187">
        <f t="shared" si="14"/>
        <v>18.558484957463428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22.918484957463427</v>
      </c>
      <c r="G69" s="187">
        <f t="shared" si="14"/>
        <v>18.558484957463428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22.918484957463427</v>
      </c>
      <c r="G70" s="187">
        <f t="shared" si="14"/>
        <v>18.558484957463428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22.918484957463427</v>
      </c>
      <c r="G71" s="187">
        <f t="shared" si="14"/>
        <v>18.558484957463428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22.918484957463427</v>
      </c>
      <c r="G72" s="187">
        <f t="shared" si="14"/>
        <v>18.558484957463428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22.918484957463427</v>
      </c>
      <c r="G73" s="187">
        <f t="shared" si="14"/>
        <v>18.558484957463428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22.918484957463427</v>
      </c>
      <c r="G74" s="187">
        <f t="shared" si="14"/>
        <v>18.558484957463428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22.918484957463427</v>
      </c>
      <c r="G75" s="187">
        <f>AF67</f>
        <v>18.558484957463428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22.918484957463427</v>
      </c>
      <c r="G76" s="187">
        <f>AF68</f>
        <v>18.558484957463428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22.918484957463427</v>
      </c>
      <c r="G77" s="187">
        <f>AF69</f>
        <v>18.558484957463428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16.68953127362504</v>
      </c>
      <c r="G78" s="187">
        <f>H114</f>
        <v>12.329531273625038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15.655105479762085</v>
      </c>
      <c r="G79" s="187">
        <f>H115</f>
        <v>11.295105479762084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14.707466174311545</v>
      </c>
      <c r="G80" s="187">
        <f>H116</f>
        <v>10.347466174311545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13.839332124906981</v>
      </c>
      <c r="G81" s="187">
        <f>H117</f>
        <v>9.4793321249069802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13.044032981656215</v>
      </c>
      <c r="G82" s="187">
        <f>H118</f>
        <v>8.6840329816562143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11.036558174831793</v>
      </c>
      <c r="G83" s="187">
        <f>H121</f>
        <v>6.6765581748317917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10.657697368885529</v>
      </c>
      <c r="G84" s="187">
        <f>H124</f>
        <v>6.2976973688855296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9.6452950411824077</v>
      </c>
      <c r="G85" s="187">
        <f>H126</f>
        <v>5.2852950411824065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9.201868166515208</v>
      </c>
      <c r="G86" s="187">
        <f t="shared" ref="G86:G92" si="36">H127</f>
        <v>4.8418681665152068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8.7956440197269643</v>
      </c>
      <c r="G87" s="187">
        <f t="shared" si="36"/>
        <v>4.4356440197269649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8.6679560069090122</v>
      </c>
      <c r="G88" s="187">
        <f t="shared" si="36"/>
        <v>4.307956006909011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8.5439437238261036</v>
      </c>
      <c r="G89" s="187">
        <f t="shared" si="36"/>
        <v>4.1839437238261041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8.4235013579686218</v>
      </c>
      <c r="G90" s="187">
        <f t="shared" si="36"/>
        <v>4.0635013579686223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8.3065261428308652</v>
      </c>
      <c r="G91" s="187">
        <f t="shared" si="36"/>
        <v>3.9465261428308644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8.1929182702263379</v>
      </c>
      <c r="G92" s="187">
        <f t="shared" si="36"/>
        <v>3.8329182702263371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8.082580805127197</v>
      </c>
      <c r="G93" s="187">
        <f>H134</f>
        <v>3.7225808051271971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7.9754196029552045</v>
      </c>
      <c r="G94" s="187">
        <f>H135</f>
        <v>3.6154196029552041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7.8713432292535916</v>
      </c>
      <c r="G95" s="187">
        <f>H136</f>
        <v>3.5113432292535913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7.7702628816713331</v>
      </c>
      <c r="G96" s="187">
        <f>H137</f>
        <v>3.4102628816713327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7.4841478777538271</v>
      </c>
      <c r="G97" s="187">
        <f>H138</f>
        <v>3.1241478777538267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7.3942136466735855</v>
      </c>
      <c r="G98" s="187">
        <f>H140</f>
        <v>3.0342136466735852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6.9064409293280828</v>
      </c>
      <c r="G99" s="187">
        <f>H142</f>
        <v>2.5464409293280825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6.4970813534063723</v>
      </c>
      <c r="G100" s="187">
        <f>H144</f>
        <v>2.137081353406372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6.1535294153013451</v>
      </c>
      <c r="G101" s="191">
        <f>H146</f>
        <v>1.793529415301345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18.558484957463428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18.558484957463428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16.036714340651891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18.558484957463428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14.691262466234855</v>
      </c>
      <c r="I112" s="385"/>
      <c r="J112" s="387">
        <f>H111-H112</f>
        <v>1.3454518744170354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18.558484957463428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13.458691616441635</v>
      </c>
      <c r="I113" s="385"/>
      <c r="J113" s="387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18.558484957463428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12.329531273625038</v>
      </c>
      <c r="I114" s="390"/>
      <c r="J114" s="387">
        <f t="shared" si="42"/>
        <v>1.1291603428165971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18.558484957463428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11.295105479762084</v>
      </c>
      <c r="I115" s="390"/>
      <c r="J115" s="387">
        <f t="shared" si="42"/>
        <v>1.0344257938629546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18.558484957463428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10.347466174311545</v>
      </c>
      <c r="I116" s="390"/>
      <c r="J116" s="387">
        <f t="shared" si="42"/>
        <v>0.94763930545053832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18.558484957463428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9.4793321249069802</v>
      </c>
      <c r="I117" s="390"/>
      <c r="J117" s="387">
        <f t="shared" si="42"/>
        <v>0.86813404940456529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18.558484957463428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8.6840329816562143</v>
      </c>
      <c r="I118" s="390"/>
      <c r="J118" s="387">
        <f t="shared" si="42"/>
        <v>0.79529914325076589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18.558484957463428</v>
      </c>
      <c r="E119" s="382">
        <f t="shared" si="40"/>
        <v>0.71</v>
      </c>
      <c r="F119" s="383"/>
      <c r="G119" s="375">
        <v>9</v>
      </c>
      <c r="H119" s="391">
        <f t="shared" si="38"/>
        <v>7.9554580251858091</v>
      </c>
      <c r="I119" s="392"/>
      <c r="J119" s="387">
        <f t="shared" si="42"/>
        <v>0.72857495647040516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18.558484957463428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7.2880092146336857</v>
      </c>
      <c r="I120" s="385"/>
      <c r="J120" s="387">
        <f t="shared" si="42"/>
        <v>0.66744881055212346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18.558484957463428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6.6765581748317917</v>
      </c>
      <c r="I121" s="390"/>
      <c r="J121" s="387">
        <f t="shared" si="42"/>
        <v>0.61145103980189397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18.558484957463428</v>
      </c>
      <c r="E122" s="382">
        <f t="shared" si="40"/>
        <v>0.62</v>
      </c>
      <c r="F122" s="383"/>
      <c r="G122" s="375">
        <v>14</v>
      </c>
      <c r="H122" s="384">
        <f t="shared" si="38"/>
        <v>6.1164067921878651</v>
      </c>
      <c r="I122" s="385"/>
      <c r="J122" s="387">
        <f t="shared" si="42"/>
        <v>0.56015138264392661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18.558484957463428</v>
      </c>
      <c r="E123" s="382">
        <f t="shared" si="40"/>
        <v>0.37</v>
      </c>
      <c r="F123" s="383"/>
      <c r="G123" s="375">
        <v>15</v>
      </c>
      <c r="H123" s="384">
        <f t="shared" si="38"/>
        <v>2.9468683346319047</v>
      </c>
      <c r="I123" s="385"/>
      <c r="J123" s="387">
        <f t="shared" si="42"/>
        <v>3.1695384575559604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18.558484957463428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6.2976973688855296</v>
      </c>
      <c r="I124" s="390"/>
      <c r="J124" s="387">
        <f t="shared" si="42"/>
        <v>-3.3508290342536249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18.558484957463428</v>
      </c>
      <c r="E125" s="382">
        <f t="shared" si="40"/>
        <v>0.6</v>
      </c>
      <c r="F125" s="383"/>
      <c r="G125" s="375">
        <v>18</v>
      </c>
      <c r="H125" s="384">
        <f t="shared" si="38"/>
        <v>5.7693317355338634</v>
      </c>
      <c r="I125" s="385"/>
      <c r="J125" s="387">
        <f t="shared" si="42"/>
        <v>0.5283656333516662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18.558484957463428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5.2852950411824065</v>
      </c>
      <c r="I126" s="390"/>
      <c r="J126" s="387">
        <f t="shared" si="42"/>
        <v>0.48403669435145691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18.558484957463428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4.8418681665152068</v>
      </c>
      <c r="I127" s="390"/>
      <c r="J127" s="387">
        <f t="shared" si="42"/>
        <v>0.44342687466719966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18.558484957463428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4.4356440197269649</v>
      </c>
      <c r="I128" s="390"/>
      <c r="J128" s="387">
        <f t="shared" si="42"/>
        <v>0.40622414678824192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18.558484957463428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4.307956006909011</v>
      </c>
      <c r="I129" s="390"/>
      <c r="J129" s="387">
        <f t="shared" si="42"/>
        <v>0.12768801281795383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18.558484957463428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4.1839437238261041</v>
      </c>
      <c r="I130" s="390"/>
      <c r="J130" s="387">
        <f t="shared" si="42"/>
        <v>0.1240122830829069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18.558484957463428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4.0635013579686223</v>
      </c>
      <c r="I131" s="390"/>
      <c r="J131" s="387">
        <f t="shared" si="42"/>
        <v>0.1204423658574818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18.558484957463428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3.9465261428308644</v>
      </c>
      <c r="I132" s="390"/>
      <c r="J132" s="387">
        <f t="shared" si="42"/>
        <v>0.11697521513775788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18.558484957463428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3.8329182702263371</v>
      </c>
      <c r="I133" s="390"/>
      <c r="J133" s="387">
        <f t="shared" si="42"/>
        <v>0.11360787260452732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18.558484957463428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3.7225808051271971</v>
      </c>
      <c r="I134" s="390"/>
      <c r="J134" s="387">
        <f t="shared" si="42"/>
        <v>0.11033746509914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18.558484957463428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3.6154196029552041</v>
      </c>
      <c r="I135" s="390"/>
      <c r="J135" s="387">
        <f t="shared" si="42"/>
        <v>0.10716120217199299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18.558484957463428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3.5113432292535913</v>
      </c>
      <c r="I136" s="390"/>
      <c r="J136" s="387">
        <f t="shared" si="42"/>
        <v>0.10407637370161282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18.558484957463428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3.4102628816713327</v>
      </c>
      <c r="I137" s="390"/>
      <c r="J137" s="387">
        <f t="shared" si="42"/>
        <v>0.10108034758225859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18.558484957463428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3.1241478777538267</v>
      </c>
      <c r="I138" s="390"/>
      <c r="J138" s="387">
        <f t="shared" si="42"/>
        <v>0.28611500391750599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18.558484957463428</v>
      </c>
      <c r="E139" s="382">
        <f t="shared" si="40"/>
        <v>0.36</v>
      </c>
      <c r="F139" s="383"/>
      <c r="G139" s="375">
        <v>150</v>
      </c>
      <c r="H139" s="384">
        <f t="shared" si="38"/>
        <v>2.8620374149251275</v>
      </c>
      <c r="I139" s="385"/>
      <c r="J139" s="387">
        <f t="shared" si="42"/>
        <v>0.26211046282869921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18.558484957463428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3.0342136466735852</v>
      </c>
      <c r="I140" s="390"/>
      <c r="J140" s="387">
        <f t="shared" si="42"/>
        <v>-0.17217623174845764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18.558484957463428</v>
      </c>
      <c r="E141" s="382">
        <f t="shared" si="40"/>
        <v>0.35</v>
      </c>
      <c r="F141" s="383"/>
      <c r="G141" s="375">
        <v>210</v>
      </c>
      <c r="H141" s="384">
        <f t="shared" si="38"/>
        <v>2.7796485062351737</v>
      </c>
      <c r="I141" s="385"/>
      <c r="J141" s="387">
        <f t="shared" si="42"/>
        <v>0.2545651404384115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18.558484957463428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2.5464409293280825</v>
      </c>
      <c r="I142" s="390"/>
      <c r="J142" s="387">
        <f t="shared" si="42"/>
        <v>0.23320757690709115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18.558484957463428</v>
      </c>
      <c r="E143" s="382">
        <f>C143/100</f>
        <v>0.28999999999999998</v>
      </c>
      <c r="F143" s="383"/>
      <c r="G143" s="375">
        <v>270</v>
      </c>
      <c r="H143" s="384">
        <f t="shared" si="38"/>
        <v>2.3327990542731785</v>
      </c>
      <c r="I143" s="385"/>
      <c r="J143" s="387">
        <f t="shared" si="42"/>
        <v>0.21364187505490406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18.558484957463428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2.137081353406372</v>
      </c>
      <c r="I144" s="390"/>
      <c r="J144" s="387">
        <f t="shared" si="42"/>
        <v>0.19571770086680651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18.558484957463428</v>
      </c>
      <c r="E145" s="382">
        <f>C145/100</f>
        <v>0.23</v>
      </c>
      <c r="F145" s="383"/>
      <c r="G145" s="375">
        <v>330</v>
      </c>
      <c r="H145" s="384">
        <f t="shared" si="38"/>
        <v>1.9577840203215311</v>
      </c>
      <c r="I145" s="385"/>
      <c r="J145" s="387">
        <f t="shared" si="42"/>
        <v>0.17929733308484086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18.558484957463428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1.793529415301345</v>
      </c>
      <c r="I146" s="390"/>
      <c r="J146" s="387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2.41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5.4139095456310251</v>
      </c>
      <c r="C31" s="158">
        <v>1</v>
      </c>
    </row>
    <row r="32" spans="1:3">
      <c r="A32" s="156">
        <f>LongTest!D11</f>
        <v>2</v>
      </c>
      <c r="B32" s="160">
        <f>LongTest!G11</f>
        <v>7.0112925851934484</v>
      </c>
      <c r="C32" s="158">
        <v>1</v>
      </c>
    </row>
    <row r="33" spans="1:3">
      <c r="A33" s="156">
        <f>LongTest!D12</f>
        <v>3</v>
      </c>
      <c r="B33" s="160">
        <f>LongTest!G12</f>
        <v>7.9457017626254469</v>
      </c>
      <c r="C33" s="158">
        <v>1</v>
      </c>
    </row>
    <row r="34" spans="1:3">
      <c r="A34" s="156">
        <f>LongTest!D13</f>
        <v>4</v>
      </c>
      <c r="B34" s="160">
        <f>LongTest!G13</f>
        <v>8.6086756247558718</v>
      </c>
      <c r="C34" s="158">
        <v>1</v>
      </c>
    </row>
    <row r="35" spans="1:3">
      <c r="A35" s="156">
        <f>LongTest!D14</f>
        <v>5</v>
      </c>
      <c r="B35" s="160">
        <f>LongTest!G14</f>
        <v>9.1229181034875921</v>
      </c>
      <c r="C35" s="158">
        <v>1</v>
      </c>
    </row>
    <row r="36" spans="1:3">
      <c r="A36" s="156">
        <f>LongTest!D15</f>
        <v>10</v>
      </c>
      <c r="B36" s="160">
        <f>LongTest!G15</f>
        <v>10.720301143050019</v>
      </c>
      <c r="C36" s="158">
        <v>1</v>
      </c>
    </row>
    <row r="37" spans="1:3">
      <c r="A37" s="156">
        <f>LongTest!D16</f>
        <v>15</v>
      </c>
      <c r="B37" s="160">
        <f>LongTest!G16</f>
        <v>11.65471032048201</v>
      </c>
      <c r="C37" s="158">
        <v>1</v>
      </c>
    </row>
    <row r="38" spans="1:3">
      <c r="A38" s="156">
        <f>LongTest!D17</f>
        <v>20</v>
      </c>
      <c r="B38" s="160">
        <f>LongTest!G17</f>
        <v>12.317684182612442</v>
      </c>
      <c r="C38" s="158">
        <v>1</v>
      </c>
    </row>
    <row r="39" spans="1:3">
      <c r="A39" s="156">
        <f>LongTest!D18</f>
        <v>25</v>
      </c>
      <c r="B39" s="160">
        <f>LongTest!G18</f>
        <v>12.831926661344159</v>
      </c>
      <c r="C39" s="158">
        <v>1</v>
      </c>
    </row>
    <row r="40" spans="1:3">
      <c r="A40" s="156">
        <f>LongTest!D19</f>
        <v>30</v>
      </c>
      <c r="B40" s="160">
        <f>LongTest!G19</f>
        <v>13.252093360044437</v>
      </c>
      <c r="C40" s="158">
        <v>1</v>
      </c>
    </row>
    <row r="41" spans="1:3">
      <c r="A41" s="156">
        <f>LongTest!D20</f>
        <v>35</v>
      </c>
      <c r="B41" s="160">
        <f>LongTest!G20</f>
        <v>13.607339242014497</v>
      </c>
      <c r="C41" s="158">
        <v>1</v>
      </c>
    </row>
    <row r="42" spans="1:3">
      <c r="A42" s="156">
        <f>LongTest!D21</f>
        <v>40</v>
      </c>
      <c r="B42" s="160">
        <f>LongTest!G21</f>
        <v>13.915067222174862</v>
      </c>
      <c r="C42" s="158">
        <v>1</v>
      </c>
    </row>
    <row r="43" spans="1:3">
      <c r="A43" s="156">
        <f>LongTest!D22</f>
        <v>45</v>
      </c>
      <c r="B43" s="160">
        <f>LongTest!G22</f>
        <v>14.186502537476436</v>
      </c>
      <c r="C43" s="158">
        <v>1</v>
      </c>
    </row>
    <row r="44" spans="1:3">
      <c r="A44" s="156">
        <f>LongTest!D23</f>
        <v>50</v>
      </c>
      <c r="B44" s="160">
        <f>LongTest!G23</f>
        <v>14.429309700906582</v>
      </c>
      <c r="C44" s="158">
        <v>1</v>
      </c>
    </row>
    <row r="45" spans="1:3">
      <c r="A45" s="156">
        <f>LongTest!D24</f>
        <v>55</v>
      </c>
      <c r="B45" s="160">
        <f>LongTest!G24</f>
        <v>14.648955497624794</v>
      </c>
      <c r="C45" s="158">
        <v>1</v>
      </c>
    </row>
    <row r="46" spans="1:3">
      <c r="A46" s="156">
        <f>LongTest!D25</f>
        <v>60</v>
      </c>
      <c r="B46" s="160">
        <f>LongTest!G25</f>
        <v>14.849476399606861</v>
      </c>
      <c r="C46" s="158">
        <v>1</v>
      </c>
    </row>
    <row r="47" spans="1:3">
      <c r="A47" s="156">
        <f>LongTest!D26</f>
        <v>75</v>
      </c>
      <c r="B47" s="160">
        <f>LongTest!G26</f>
        <v>15.363718878338577</v>
      </c>
      <c r="C47" s="158">
        <v>1</v>
      </c>
    </row>
    <row r="48" spans="1:3">
      <c r="A48" s="156">
        <f>LongTest!D27</f>
        <v>90</v>
      </c>
      <c r="B48" s="160">
        <f>LongTest!G27</f>
        <v>15.783885577038859</v>
      </c>
      <c r="C48" s="158">
        <v>1</v>
      </c>
    </row>
    <row r="49" spans="1:3">
      <c r="A49" s="156">
        <f>LongTest!D28</f>
        <v>105</v>
      </c>
      <c r="B49" s="160">
        <f>LongTest!G28</f>
        <v>16.139131459008922</v>
      </c>
      <c r="C49" s="158">
        <v>1</v>
      </c>
    </row>
    <row r="50" spans="1:3">
      <c r="A50" s="156">
        <f>LongTest!D29</f>
        <v>120</v>
      </c>
      <c r="B50" s="160">
        <f>LongTest!G29</f>
        <v>16.446859439169287</v>
      </c>
      <c r="C50" s="158">
        <v>1</v>
      </c>
    </row>
    <row r="51" spans="1:3">
      <c r="A51" s="156">
        <f>LongTest!D30</f>
        <v>140</v>
      </c>
      <c r="B51" s="160">
        <f>LongTest!G30</f>
        <v>16.802105321139351</v>
      </c>
      <c r="C51" s="158">
        <v>1</v>
      </c>
    </row>
    <row r="52" spans="1:3">
      <c r="A52" s="156">
        <f>LongTest!D31</f>
        <v>160</v>
      </c>
      <c r="B52" s="160">
        <f>LongTest!G31</f>
        <v>17.109833301299716</v>
      </c>
      <c r="C52" s="158">
        <v>1</v>
      </c>
    </row>
    <row r="53" spans="1:3">
      <c r="A53" s="156">
        <f>LongTest!D32</f>
        <v>180</v>
      </c>
      <c r="B53" s="160">
        <f>LongTest!G32</f>
        <v>17.381268616601286</v>
      </c>
      <c r="C53" s="158">
        <v>1</v>
      </c>
    </row>
    <row r="54" spans="1:3">
      <c r="A54" s="156">
        <f>LongTest!D33</f>
        <v>240</v>
      </c>
      <c r="B54" s="160">
        <f>LongTest!G33</f>
        <v>18.044242478731714</v>
      </c>
      <c r="C54" s="158">
        <v>1</v>
      </c>
    </row>
    <row r="55" spans="1:3">
      <c r="A55" s="156">
        <f>LongTest!D34</f>
        <v>300</v>
      </c>
      <c r="B55" s="160">
        <f>LongTest!G34</f>
        <v>18.558484957463428</v>
      </c>
      <c r="C55" s="158">
        <v>1</v>
      </c>
    </row>
    <row r="56" spans="1:3">
      <c r="A56" s="156">
        <f>LongTest!D35</f>
        <v>360</v>
      </c>
      <c r="B56" s="160">
        <f>LongTest!G35</f>
        <v>18.558484957463428</v>
      </c>
      <c r="C56" s="158">
        <v>1</v>
      </c>
    </row>
    <row r="57" spans="1:3">
      <c r="A57" s="156">
        <f>LongTest!D36</f>
        <v>420</v>
      </c>
      <c r="B57" s="160">
        <f>LongTest!G36</f>
        <v>18.558484957463428</v>
      </c>
      <c r="C57" s="158">
        <v>1</v>
      </c>
    </row>
    <row r="58" spans="1:3">
      <c r="A58" s="156">
        <f>LongTest!D37</f>
        <v>480</v>
      </c>
      <c r="B58" s="160">
        <f>LongTest!G37</f>
        <v>18.558484957463428</v>
      </c>
      <c r="C58" s="158">
        <v>1</v>
      </c>
    </row>
    <row r="59" spans="1:3">
      <c r="A59" s="156">
        <f>LongTest!D38</f>
        <v>540</v>
      </c>
      <c r="B59" s="160">
        <f>LongTest!G38</f>
        <v>18.558484957463428</v>
      </c>
      <c r="C59" s="158">
        <v>1</v>
      </c>
    </row>
    <row r="60" spans="1:3">
      <c r="A60" s="156">
        <f>LongTest!D39</f>
        <v>600</v>
      </c>
      <c r="B60" s="160">
        <f>LongTest!G39</f>
        <v>18.558484957463428</v>
      </c>
      <c r="C60" s="158">
        <v>1</v>
      </c>
    </row>
    <row r="61" spans="1:3">
      <c r="A61" s="156">
        <f>LongTest!D40</f>
        <v>660</v>
      </c>
      <c r="B61" s="160">
        <f>LongTest!G40</f>
        <v>18.558484957463428</v>
      </c>
      <c r="C61" s="158">
        <v>1</v>
      </c>
    </row>
    <row r="62" spans="1:3">
      <c r="A62" s="156">
        <f>LongTest!D41</f>
        <v>720</v>
      </c>
      <c r="B62" s="160">
        <f>LongTest!G41</f>
        <v>18.558484957463428</v>
      </c>
      <c r="C62" s="158">
        <v>1</v>
      </c>
    </row>
    <row r="63" spans="1:3">
      <c r="A63" s="156">
        <f>LongTest!D42</f>
        <v>780</v>
      </c>
      <c r="B63" s="160">
        <f>LongTest!G42</f>
        <v>18.558484957463428</v>
      </c>
      <c r="C63" s="158">
        <v>1</v>
      </c>
    </row>
    <row r="64" spans="1:3">
      <c r="A64" s="156">
        <f>LongTest!D43</f>
        <v>840</v>
      </c>
      <c r="B64" s="160">
        <f>LongTest!G43</f>
        <v>18.558484957463428</v>
      </c>
      <c r="C64" s="158">
        <v>1</v>
      </c>
    </row>
    <row r="65" spans="1:3">
      <c r="A65" s="156">
        <f>LongTest!D44</f>
        <v>900</v>
      </c>
      <c r="B65" s="160">
        <f>LongTest!G44</f>
        <v>18.558484957463428</v>
      </c>
      <c r="C65" s="158">
        <v>1</v>
      </c>
    </row>
    <row r="66" spans="1:3">
      <c r="A66" s="156">
        <f>LongTest!D45</f>
        <v>960</v>
      </c>
      <c r="B66" s="160">
        <f>LongTest!G45</f>
        <v>18.558484957463428</v>
      </c>
      <c r="C66" s="158">
        <v>1</v>
      </c>
    </row>
    <row r="67" spans="1:3">
      <c r="A67" s="156">
        <f>LongTest!D46</f>
        <v>1020</v>
      </c>
      <c r="B67" s="160">
        <f>LongTest!G46</f>
        <v>18.558484957463428</v>
      </c>
      <c r="C67" s="158">
        <v>1</v>
      </c>
    </row>
    <row r="68" spans="1:3">
      <c r="A68" s="156">
        <f>LongTest!D47</f>
        <v>1080</v>
      </c>
      <c r="B68" s="160">
        <f>LongTest!G47</f>
        <v>18.558484957463428</v>
      </c>
      <c r="C68" s="158">
        <v>1</v>
      </c>
    </row>
    <row r="69" spans="1:3">
      <c r="A69" s="156">
        <f>LongTest!D48</f>
        <v>1140</v>
      </c>
      <c r="B69" s="160">
        <f>LongTest!G48</f>
        <v>18.558484957463428</v>
      </c>
      <c r="C69" s="158">
        <v>1</v>
      </c>
    </row>
    <row r="70" spans="1:3">
      <c r="A70" s="156">
        <f>LongTest!D49</f>
        <v>1200</v>
      </c>
      <c r="B70" s="160">
        <f>LongTest!G49</f>
        <v>18.558484957463428</v>
      </c>
      <c r="C70" s="158">
        <v>1</v>
      </c>
    </row>
    <row r="71" spans="1:3">
      <c r="A71" s="156">
        <f>LongTest!D50</f>
        <v>1260</v>
      </c>
      <c r="B71" s="160">
        <f>LongTest!G50</f>
        <v>18.558484957463428</v>
      </c>
      <c r="C71" s="158">
        <v>1</v>
      </c>
    </row>
    <row r="72" spans="1:3">
      <c r="A72" s="156">
        <f>LongTest!D51</f>
        <v>1320</v>
      </c>
      <c r="B72" s="160">
        <f>LongTest!G51</f>
        <v>18.558484957463428</v>
      </c>
      <c r="C72" s="158">
        <v>1</v>
      </c>
    </row>
    <row r="73" spans="1:3">
      <c r="A73" s="156">
        <f>LongTest!D52</f>
        <v>1380</v>
      </c>
      <c r="B73" s="160">
        <f>LongTest!G52</f>
        <v>18.558484957463428</v>
      </c>
      <c r="C73" s="158">
        <v>1</v>
      </c>
    </row>
    <row r="74" spans="1:3">
      <c r="A74" s="156">
        <f>LongTest!D53</f>
        <v>1440</v>
      </c>
      <c r="B74" s="160">
        <f>LongTest!G53</f>
        <v>18.558484957463428</v>
      </c>
      <c r="C74" s="158">
        <v>1</v>
      </c>
    </row>
    <row r="75" spans="1:3">
      <c r="A75" s="156">
        <f>LongTest!D54</f>
        <v>1500</v>
      </c>
      <c r="B75" s="160">
        <f>LongTest!G54</f>
        <v>18.558484957463428</v>
      </c>
      <c r="C75" s="158">
        <v>1</v>
      </c>
    </row>
    <row r="76" spans="1:3">
      <c r="A76" s="156">
        <f>LongTest!D55</f>
        <v>1560</v>
      </c>
      <c r="B76" s="160">
        <f>LongTest!G55</f>
        <v>18.558484957463428</v>
      </c>
      <c r="C76" s="158">
        <v>1</v>
      </c>
    </row>
    <row r="77" spans="1:3">
      <c r="A77" s="156">
        <f>LongTest!D56</f>
        <v>1620</v>
      </c>
      <c r="B77" s="160">
        <f>LongTest!G56</f>
        <v>18.558484957463428</v>
      </c>
      <c r="C77" s="158">
        <v>1</v>
      </c>
    </row>
    <row r="78" spans="1:3">
      <c r="A78" s="156">
        <f>LongTest!D57</f>
        <v>1680</v>
      </c>
      <c r="B78" s="160">
        <f>LongTest!G57</f>
        <v>18.558484957463428</v>
      </c>
      <c r="C78" s="158">
        <v>1</v>
      </c>
    </row>
    <row r="79" spans="1:3">
      <c r="A79" s="156">
        <f>LongTest!D58</f>
        <v>1740</v>
      </c>
      <c r="B79" s="160">
        <f>LongTest!G58</f>
        <v>18.558484957463428</v>
      </c>
      <c r="C79" s="158">
        <v>1</v>
      </c>
    </row>
    <row r="80" spans="1:3">
      <c r="A80" s="156">
        <f>LongTest!D59</f>
        <v>1800</v>
      </c>
      <c r="B80" s="160">
        <f>LongTest!G59</f>
        <v>18.558484957463428</v>
      </c>
      <c r="C80" s="158">
        <v>1</v>
      </c>
    </row>
    <row r="81" spans="1:3">
      <c r="A81" s="156">
        <f>LongTest!D60</f>
        <v>1860</v>
      </c>
      <c r="B81" s="160">
        <f>LongTest!G60</f>
        <v>18.558484957463428</v>
      </c>
      <c r="C81" s="158">
        <v>1</v>
      </c>
    </row>
    <row r="82" spans="1:3">
      <c r="A82" s="156">
        <f>LongTest!D61</f>
        <v>1920</v>
      </c>
      <c r="B82" s="160">
        <f>LongTest!G61</f>
        <v>18.558484957463428</v>
      </c>
      <c r="C82" s="158">
        <v>1</v>
      </c>
    </row>
    <row r="83" spans="1:3">
      <c r="A83" s="156">
        <f>LongTest!D62</f>
        <v>1980</v>
      </c>
      <c r="B83" s="160">
        <f>LongTest!G62</f>
        <v>18.558484957463428</v>
      </c>
      <c r="C83" s="158">
        <v>1</v>
      </c>
    </row>
    <row r="84" spans="1:3">
      <c r="A84" s="156">
        <f>LongTest!D63</f>
        <v>2040</v>
      </c>
      <c r="B84" s="160">
        <f>LongTest!G63</f>
        <v>18.558484957463428</v>
      </c>
      <c r="C84" s="158">
        <v>1</v>
      </c>
    </row>
    <row r="85" spans="1:3">
      <c r="A85" s="156">
        <f>LongTest!D64</f>
        <v>2100</v>
      </c>
      <c r="B85" s="160">
        <f>LongTest!G64</f>
        <v>18.558484957463428</v>
      </c>
      <c r="C85" s="158">
        <v>1</v>
      </c>
    </row>
    <row r="86" spans="1:3">
      <c r="A86" s="156">
        <f>LongTest!D65</f>
        <v>2160</v>
      </c>
      <c r="B86" s="160">
        <f>LongTest!G65</f>
        <v>18.558484957463428</v>
      </c>
      <c r="C86" s="158">
        <v>1</v>
      </c>
    </row>
    <row r="87" spans="1:3">
      <c r="A87" s="156">
        <f>LongTest!D66</f>
        <v>2220</v>
      </c>
      <c r="B87" s="160">
        <f>LongTest!G66</f>
        <v>18.558484957463428</v>
      </c>
      <c r="C87" s="158">
        <v>1</v>
      </c>
    </row>
    <row r="88" spans="1:3">
      <c r="A88" s="156">
        <f>LongTest!D67</f>
        <v>2280</v>
      </c>
      <c r="B88" s="160">
        <f>LongTest!G67</f>
        <v>18.558484957463428</v>
      </c>
      <c r="C88" s="158">
        <v>1</v>
      </c>
    </row>
    <row r="89" spans="1:3">
      <c r="A89" s="156">
        <f>LongTest!D68</f>
        <v>2340</v>
      </c>
      <c r="B89" s="160">
        <f>LongTest!G68</f>
        <v>18.558484957463428</v>
      </c>
      <c r="C89" s="158">
        <v>1</v>
      </c>
    </row>
    <row r="90" spans="1:3">
      <c r="A90" s="156">
        <f>LongTest!D69</f>
        <v>2400</v>
      </c>
      <c r="B90" s="160">
        <f>LongTest!G69</f>
        <v>18.558484957463428</v>
      </c>
      <c r="C90" s="158">
        <v>1</v>
      </c>
    </row>
    <row r="91" spans="1:3">
      <c r="A91" s="156">
        <f>LongTest!D70</f>
        <v>2460</v>
      </c>
      <c r="B91" s="160">
        <f>LongTest!G70</f>
        <v>18.558484957463428</v>
      </c>
      <c r="C91" s="158">
        <v>1</v>
      </c>
    </row>
    <row r="92" spans="1:3">
      <c r="A92" s="156">
        <f>LongTest!D71</f>
        <v>2520</v>
      </c>
      <c r="B92" s="160">
        <f>LongTest!G71</f>
        <v>18.558484957463428</v>
      </c>
      <c r="C92" s="158">
        <v>1</v>
      </c>
    </row>
    <row r="93" spans="1:3">
      <c r="A93" s="156">
        <f>LongTest!D72</f>
        <v>2580</v>
      </c>
      <c r="B93" s="160">
        <f>LongTest!G72</f>
        <v>18.558484957463428</v>
      </c>
      <c r="C93" s="158">
        <v>1</v>
      </c>
    </row>
    <row r="94" spans="1:3">
      <c r="A94" s="156">
        <f>LongTest!D73</f>
        <v>2640</v>
      </c>
      <c r="B94" s="160">
        <f>LongTest!G73</f>
        <v>18.558484957463428</v>
      </c>
      <c r="C94" s="158">
        <v>1</v>
      </c>
    </row>
    <row r="95" spans="1:3">
      <c r="A95" s="156">
        <f>LongTest!D74</f>
        <v>2700</v>
      </c>
      <c r="B95" s="160">
        <f>LongTest!G74</f>
        <v>18.558484957463428</v>
      </c>
      <c r="C95" s="158">
        <v>1</v>
      </c>
    </row>
    <row r="96" spans="1:3">
      <c r="A96" s="156">
        <f>LongTest!D75</f>
        <v>2760</v>
      </c>
      <c r="B96" s="160">
        <f>LongTest!G75</f>
        <v>18.558484957463428</v>
      </c>
      <c r="C96" s="158">
        <v>1</v>
      </c>
    </row>
    <row r="97" spans="1:3">
      <c r="A97" s="156">
        <f>LongTest!D76</f>
        <v>2820</v>
      </c>
      <c r="B97" s="160">
        <f>LongTest!G76</f>
        <v>18.558484957463428</v>
      </c>
      <c r="C97" s="158">
        <v>1</v>
      </c>
    </row>
    <row r="98" spans="1:3">
      <c r="A98" s="156">
        <f>LongTest!D77</f>
        <v>2880</v>
      </c>
      <c r="B98" s="160">
        <f>LongTest!G77</f>
        <v>18.558484957463428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2.41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18.558484957463428</v>
      </c>
      <c r="C32" s="158">
        <v>1</v>
      </c>
    </row>
    <row r="33" spans="1:3">
      <c r="A33" s="156">
        <f>$A$32+LongTest!D78</f>
        <v>2881</v>
      </c>
      <c r="B33" s="157">
        <f>LongTest!G78</f>
        <v>12.329531273625038</v>
      </c>
      <c r="C33" s="158">
        <v>1</v>
      </c>
    </row>
    <row r="34" spans="1:3">
      <c r="A34" s="156">
        <f>$A$32+LongTest!D79</f>
        <v>2882</v>
      </c>
      <c r="B34" s="157">
        <f>LongTest!G79</f>
        <v>11.295105479762084</v>
      </c>
      <c r="C34" s="158">
        <v>1</v>
      </c>
    </row>
    <row r="35" spans="1:3">
      <c r="A35" s="156">
        <f>$A$32+LongTest!D80</f>
        <v>2883</v>
      </c>
      <c r="B35" s="157">
        <f>LongTest!G80</f>
        <v>10.347466174311545</v>
      </c>
      <c r="C35" s="158">
        <v>1</v>
      </c>
    </row>
    <row r="36" spans="1:3">
      <c r="A36" s="156">
        <f>$A$32+LongTest!D81</f>
        <v>2884</v>
      </c>
      <c r="B36" s="157">
        <f>LongTest!G81</f>
        <v>9.4793321249069802</v>
      </c>
      <c r="C36" s="158">
        <v>1</v>
      </c>
    </row>
    <row r="37" spans="1:3">
      <c r="A37" s="156">
        <f>$A$32+LongTest!D82</f>
        <v>2885</v>
      </c>
      <c r="B37" s="157">
        <f>LongTest!G82</f>
        <v>8.6840329816562143</v>
      </c>
      <c r="C37" s="158">
        <v>1</v>
      </c>
    </row>
    <row r="38" spans="1:3">
      <c r="A38" s="156">
        <f>$A$32+LongTest!D83</f>
        <v>2890</v>
      </c>
      <c r="B38" s="157">
        <f>LongTest!G83</f>
        <v>6.6765581748317917</v>
      </c>
      <c r="C38" s="158">
        <v>1</v>
      </c>
    </row>
    <row r="39" spans="1:3">
      <c r="A39" s="156">
        <f>$A$32+LongTest!D84</f>
        <v>2895</v>
      </c>
      <c r="B39" s="157">
        <f>LongTest!G84</f>
        <v>6.2976973688855296</v>
      </c>
      <c r="C39" s="158">
        <v>1</v>
      </c>
    </row>
    <row r="40" spans="1:3">
      <c r="A40" s="156">
        <f>$A$32+LongTest!D85</f>
        <v>2900</v>
      </c>
      <c r="B40" s="157">
        <f>LongTest!G85</f>
        <v>5.2852950411824065</v>
      </c>
      <c r="C40" s="158">
        <v>1</v>
      </c>
    </row>
    <row r="41" spans="1:3">
      <c r="A41" s="156">
        <f>$A$32+LongTest!D86</f>
        <v>2905</v>
      </c>
      <c r="B41" s="157">
        <f>LongTest!G86</f>
        <v>4.8418681665152068</v>
      </c>
      <c r="C41" s="158">
        <v>1</v>
      </c>
    </row>
    <row r="42" spans="1:3">
      <c r="A42" s="156">
        <f>$A$32+LongTest!D87</f>
        <v>2910</v>
      </c>
      <c r="B42" s="157">
        <f>LongTest!G87</f>
        <v>4.4356440197269649</v>
      </c>
      <c r="C42" s="158">
        <v>1</v>
      </c>
    </row>
    <row r="43" spans="1:3">
      <c r="A43" s="156">
        <f>$A$32+LongTest!D88</f>
        <v>2915</v>
      </c>
      <c r="B43" s="157">
        <f>LongTest!G88</f>
        <v>4.307956006909011</v>
      </c>
      <c r="C43" s="158">
        <v>1</v>
      </c>
    </row>
    <row r="44" spans="1:3">
      <c r="A44" s="156">
        <f>$A$32+LongTest!D89</f>
        <v>2920</v>
      </c>
      <c r="B44" s="157">
        <f>LongTest!G89</f>
        <v>4.1839437238261041</v>
      </c>
      <c r="C44" s="158">
        <v>1</v>
      </c>
    </row>
    <row r="45" spans="1:3">
      <c r="A45" s="156">
        <f>$A$32+LongTest!D90</f>
        <v>2925</v>
      </c>
      <c r="B45" s="157">
        <f>LongTest!G90</f>
        <v>4.0635013579686223</v>
      </c>
      <c r="C45" s="158">
        <v>1</v>
      </c>
    </row>
    <row r="46" spans="1:3">
      <c r="A46" s="156">
        <f>$A$32+LongTest!D91</f>
        <v>2930</v>
      </c>
      <c r="B46" s="157">
        <f>LongTest!G91</f>
        <v>3.9465261428308644</v>
      </c>
      <c r="C46" s="158">
        <v>1</v>
      </c>
    </row>
    <row r="47" spans="1:3">
      <c r="A47" s="156">
        <f>$A$32+LongTest!D92</f>
        <v>2935</v>
      </c>
      <c r="B47" s="157">
        <f>LongTest!G92</f>
        <v>3.8329182702263371</v>
      </c>
      <c r="C47" s="158">
        <v>1</v>
      </c>
    </row>
    <row r="48" spans="1:3">
      <c r="A48" s="156">
        <f>$A$32+LongTest!D93</f>
        <v>2940</v>
      </c>
      <c r="B48" s="157">
        <f>LongTest!G93</f>
        <v>3.7225808051271971</v>
      </c>
      <c r="C48" s="158">
        <v>1</v>
      </c>
    </row>
    <row r="49" spans="1:3">
      <c r="A49" s="156">
        <f>$A$32+LongTest!D94</f>
        <v>2955</v>
      </c>
      <c r="B49" s="157">
        <f>LongTest!G94</f>
        <v>3.6154196029552041</v>
      </c>
      <c r="C49" s="158">
        <v>1</v>
      </c>
    </row>
    <row r="50" spans="1:3">
      <c r="A50" s="156">
        <f>$A$32+LongTest!D95</f>
        <v>2970</v>
      </c>
      <c r="B50" s="157">
        <f>LongTest!G95</f>
        <v>3.5113432292535913</v>
      </c>
      <c r="C50" s="158">
        <v>1</v>
      </c>
    </row>
    <row r="51" spans="1:3">
      <c r="A51" s="156">
        <f>$A$32+LongTest!D96</f>
        <v>2985</v>
      </c>
      <c r="B51" s="157">
        <f>LongTest!G96</f>
        <v>3.4102628816713327</v>
      </c>
      <c r="C51" s="158">
        <v>1</v>
      </c>
    </row>
    <row r="52" spans="1:3">
      <c r="A52" s="156">
        <f>$A$32+LongTest!D97</f>
        <v>3000</v>
      </c>
      <c r="B52" s="157">
        <f>LongTest!G97</f>
        <v>3.1241478777538267</v>
      </c>
      <c r="C52" s="158">
        <v>1</v>
      </c>
    </row>
    <row r="53" spans="1:3">
      <c r="A53" s="156">
        <f>$A$32+LongTest!D98</f>
        <v>3060</v>
      </c>
      <c r="B53" s="157">
        <f>LongTest!G98</f>
        <v>3.0342136466735852</v>
      </c>
      <c r="C53" s="158">
        <v>1</v>
      </c>
    </row>
    <row r="54" spans="1:3">
      <c r="A54" s="156">
        <f>$A$32+LongTest!D99</f>
        <v>3120</v>
      </c>
      <c r="B54" s="157">
        <f>LongTest!G99</f>
        <v>2.5464409293280825</v>
      </c>
      <c r="C54" s="158">
        <v>1</v>
      </c>
    </row>
    <row r="55" spans="1:3">
      <c r="A55" s="156">
        <f>$A$32+LongTest!D100</f>
        <v>3180</v>
      </c>
      <c r="B55" s="157">
        <f>LongTest!G100</f>
        <v>2.137081353406372</v>
      </c>
      <c r="C55" s="158">
        <v>1</v>
      </c>
    </row>
    <row r="56" spans="1:3">
      <c r="A56" s="156">
        <f>$A$32+LongTest!D101</f>
        <v>3240</v>
      </c>
      <c r="B56" s="157">
        <f>LongTest!G101</f>
        <v>1.793529415301345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16" sqref="I1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0.1</v>
      </c>
      <c r="M14" s="105">
        <f ca="1">myRandBetween(1,20,1)</f>
        <v>1</v>
      </c>
      <c r="N14" s="106">
        <f ca="1">ROUND(myRandBetween(8,12,100), 2)</f>
        <v>-0.09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0.2</v>
      </c>
      <c r="M15" s="105">
        <f t="shared" ref="M15:M23" ca="1" si="6">myRandBetween(1,20,1)</f>
        <v>11</v>
      </c>
      <c r="N15" s="106">
        <f t="shared" ref="N15:N23" ca="1" si="7">ROUND(myRandBetween(8,12,100), 2)</f>
        <v>0.12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-0.2</v>
      </c>
      <c r="M16" s="105">
        <f t="shared" ca="1" si="6"/>
        <v>-6</v>
      </c>
      <c r="N16" s="106">
        <f t="shared" ca="1" si="7"/>
        <v>-0.1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0.3</v>
      </c>
      <c r="M17" s="105">
        <f t="shared" ca="1" si="6"/>
        <v>-3</v>
      </c>
      <c r="N17" s="106">
        <f t="shared" ca="1" si="7"/>
        <v>-0.09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0.3</v>
      </c>
      <c r="M18" s="105">
        <f t="shared" ca="1" si="6"/>
        <v>14</v>
      </c>
      <c r="N18" s="106">
        <f t="shared" ca="1" si="7"/>
        <v>-0.11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-0.1</v>
      </c>
      <c r="M19" s="105">
        <f t="shared" ca="1" si="6"/>
        <v>-6</v>
      </c>
      <c r="N19" s="106">
        <f t="shared" ca="1" si="7"/>
        <v>0.1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0.1</v>
      </c>
      <c r="M20" s="105">
        <f t="shared" ca="1" si="6"/>
        <v>-13</v>
      </c>
      <c r="N20" s="106">
        <f t="shared" ca="1" si="7"/>
        <v>0.11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-0.2</v>
      </c>
      <c r="M21" s="105">
        <f t="shared" ca="1" si="6"/>
        <v>12</v>
      </c>
      <c r="N21" s="106">
        <f t="shared" ca="1" si="7"/>
        <v>0.08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-0.1</v>
      </c>
      <c r="M22" s="105">
        <f t="shared" ca="1" si="6"/>
        <v>4</v>
      </c>
      <c r="N22" s="106">
        <f t="shared" ca="1" si="7"/>
        <v>0.1</v>
      </c>
      <c r="O22" s="6"/>
      <c r="P22" s="6">
        <f t="shared" ca="1" si="1"/>
        <v>1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0.1</v>
      </c>
      <c r="M23" s="145">
        <f t="shared" ca="1" si="6"/>
        <v>1</v>
      </c>
      <c r="N23" s="122">
        <f t="shared" ca="1" si="7"/>
        <v>-0.08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2024-03-10T08:08:04Z</dcterms:modified>
</cp:coreProperties>
</file>