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59D55EC4-0B5B-4043-906E-4077358C0B56}" xr6:coauthVersionLast="47" xr6:coauthVersionMax="47" xr10:uidLastSave="{00000000-0000-0000-0000-000000000000}"/>
  <bookViews>
    <workbookView xWindow="-120" yWindow="-120" windowWidth="29040" windowHeight="15840" tabRatio="557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LongTest" sheetId="7" r:id="rId7"/>
    <sheet name="Step.Select" sheetId="8" r:id="rId8"/>
    <sheet name="Janggi.Select" sheetId="9" r:id="rId9"/>
    <sheet name="Recover.Select" sheetId="10" r:id="rId10"/>
    <sheet name="w1" sheetId="11" r:id="rId11"/>
  </sheets>
  <functionGroups builtInGroupCount="19"/>
  <definedNames>
    <definedName name="baseTemp" localSheetId="10">'w1'!$C$7</definedName>
    <definedName name="EffectiveRadius">SkinFactor!$H$10</definedName>
    <definedName name="GoalSeekTarget">LongTest!$M$13</definedName>
    <definedName name="gongbun" localSheetId="1">#REF!</definedName>
    <definedName name="gongbun">REF!$D$4:$D$18</definedName>
    <definedName name="gongbun2" localSheetId="1">#REF!</definedName>
    <definedName name="gongbun2">REF!$E$4:$E$18</definedName>
    <definedName name="_xlnm.Print_Area" localSheetId="2">Input!$A$1:$M$62</definedName>
    <definedName name="_xlnm.Print_Area" localSheetId="6">LongTest!$A$1:$J$101</definedName>
    <definedName name="_xlnm.Print_Area" localSheetId="5">StepTest!$A$1:$I$51</definedName>
    <definedName name="_xlnm.Print_Titles" localSheetId="6">LongTest!$1:$9</definedName>
    <definedName name="_xlnm.Print_Titles" localSheetId="5">StepTest!$3:$10</definedName>
    <definedName name="pump_hp" localSheetId="1">#REF!</definedName>
    <definedName name="pump_hp">REF!$C$4:$C$13</definedName>
    <definedName name="well_radius" localSheetId="1">#REF!</definedName>
    <definedName name="well_radius">REF!$F$4:$F$6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8" i="6" l="1"/>
  <c r="D19" i="2"/>
  <c r="D22" i="2"/>
  <c r="E21" i="2"/>
  <c r="C21" i="2"/>
  <c r="A3" i="2"/>
  <c r="A4" i="2"/>
  <c r="A5" i="2"/>
  <c r="A6" i="2"/>
  <c r="A27" i="9"/>
  <c r="A28" i="10"/>
  <c r="A44" i="2"/>
  <c r="O52" i="2"/>
  <c r="O51" i="2"/>
  <c r="C29" i="4"/>
  <c r="C59" i="2"/>
  <c r="F59" i="2"/>
  <c r="F62" i="2" s="1"/>
  <c r="I59" i="2" s="1"/>
  <c r="C61" i="2"/>
  <c r="E20" i="2"/>
  <c r="C62" i="2" l="1"/>
  <c r="I61" i="2" s="1"/>
  <c r="P51" i="2"/>
  <c r="P14" i="11"/>
  <c r="P15" i="11"/>
  <c r="P16" i="11"/>
  <c r="P17" i="11"/>
  <c r="P18" i="11"/>
  <c r="P19" i="11"/>
  <c r="P20" i="11"/>
  <c r="P21" i="11"/>
  <c r="P22" i="11"/>
  <c r="P23" i="11"/>
  <c r="P13" i="11"/>
  <c r="M22" i="11"/>
  <c r="L21" i="11"/>
  <c r="L14" i="11"/>
  <c r="N20" i="11"/>
  <c r="L20" i="11"/>
  <c r="N23" i="11"/>
  <c r="L17" i="11"/>
  <c r="L16" i="11"/>
  <c r="N17" i="11"/>
  <c r="L23" i="11"/>
  <c r="M15" i="11"/>
  <c r="M18" i="11"/>
  <c r="M19" i="11"/>
  <c r="N14" i="11"/>
  <c r="M17" i="11"/>
  <c r="M14" i="11"/>
  <c r="L18" i="11"/>
  <c r="N19" i="11"/>
  <c r="M21" i="11"/>
  <c r="N22" i="11"/>
  <c r="M23" i="11"/>
  <c r="L15" i="11"/>
  <c r="L19" i="11"/>
  <c r="N16" i="11"/>
  <c r="N15" i="11"/>
  <c r="N18" i="11"/>
  <c r="N21" i="11"/>
  <c r="M16" i="11"/>
  <c r="M20" i="11"/>
  <c r="L22" i="11"/>
  <c r="C4" i="11" l="1"/>
  <c r="L12" i="11" s="1"/>
  <c r="C6" i="11"/>
  <c r="D12" i="11" l="1"/>
  <c r="H12" i="11"/>
  <c r="C27" i="6" l="1"/>
  <c r="C51" i="6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31" i="8" s="1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L29" i="7"/>
  <c r="E29" i="7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AA23" i="7"/>
  <c r="AE23" i="7" s="1"/>
  <c r="L23" i="7"/>
  <c r="E23" i="7"/>
  <c r="Z15" i="7" s="1"/>
  <c r="AA22" i="7"/>
  <c r="AE22" i="7" s="1"/>
  <c r="Z22" i="7"/>
  <c r="L22" i="7"/>
  <c r="E22" i="7"/>
  <c r="Z14" i="7" s="1"/>
  <c r="AA21" i="7"/>
  <c r="AE21" i="7" s="1"/>
  <c r="Z21" i="7"/>
  <c r="L21" i="7"/>
  <c r="E21" i="7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E16" i="7"/>
  <c r="AA16" i="7"/>
  <c r="Z16" i="7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Z13" i="7"/>
  <c r="E13" i="7"/>
  <c r="Z5" i="7" s="1"/>
  <c r="AA12" i="7"/>
  <c r="AE12" i="7" s="1"/>
  <c r="E12" i="7"/>
  <c r="Z4" i="7" s="1"/>
  <c r="AA11" i="7"/>
  <c r="AE11" i="7" s="1"/>
  <c r="E11" i="7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Z3" i="7"/>
  <c r="AA2" i="7"/>
  <c r="AE2" i="7" s="1"/>
  <c r="Y68" i="7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W33" i="6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AB19" i="6"/>
  <c r="X19" i="6"/>
  <c r="W19" i="6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W15" i="6"/>
  <c r="AE14" i="6"/>
  <c r="X14" i="6"/>
  <c r="W14" i="6" s="1"/>
  <c r="AE13" i="6"/>
  <c r="X13" i="6"/>
  <c r="AB13" i="6" s="1"/>
  <c r="AE12" i="6"/>
  <c r="X12" i="6"/>
  <c r="AB12" i="6" s="1"/>
  <c r="W12" i="6"/>
  <c r="AE11" i="6"/>
  <c r="X11" i="6"/>
  <c r="AB11" i="6" s="1"/>
  <c r="AE10" i="6"/>
  <c r="X10" i="6"/>
  <c r="AB10" i="6" s="1"/>
  <c r="AE9" i="6"/>
  <c r="X9" i="6"/>
  <c r="AB9" i="6" s="1"/>
  <c r="AE8" i="6"/>
  <c r="AB8" i="6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I49" i="2"/>
  <c r="G7" i="6" s="1"/>
  <c r="G8" i="6" s="1"/>
  <c r="M47" i="2"/>
  <c r="D17" i="2" s="1"/>
  <c r="D21" i="2" s="1"/>
  <c r="A47" i="2"/>
  <c r="M46" i="2"/>
  <c r="N45" i="2"/>
  <c r="A18" i="8" s="1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E24" i="2"/>
  <c r="C24" i="2"/>
  <c r="E22" i="2"/>
  <c r="C22" i="2"/>
  <c r="C20" i="2"/>
  <c r="E2" i="2"/>
  <c r="AB26" i="6" l="1"/>
  <c r="AB40" i="6"/>
  <c r="AB23" i="6"/>
  <c r="W34" i="6"/>
  <c r="E112" i="7"/>
  <c r="AB5" i="6"/>
  <c r="AB24" i="6"/>
  <c r="AB36" i="6"/>
  <c r="AB7" i="6"/>
  <c r="W17" i="6"/>
  <c r="W37" i="6"/>
  <c r="W13" i="6"/>
  <c r="C33" i="7"/>
  <c r="W8" i="6"/>
  <c r="B50" i="2"/>
  <c r="C50" i="2" s="1"/>
  <c r="W9" i="6"/>
  <c r="AB14" i="6"/>
  <c r="W25" i="6"/>
  <c r="W6" i="6"/>
  <c r="W11" i="6"/>
  <c r="AB16" i="6"/>
  <c r="W27" i="6"/>
  <c r="D7" i="7"/>
  <c r="S1" i="7" s="1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10" s="1"/>
  <c r="I58" i="2"/>
  <c r="W4" i="6"/>
  <c r="AB42" i="6"/>
  <c r="AB30" i="6"/>
  <c r="AB38" i="6"/>
  <c r="W32" i="6"/>
  <c r="AA25" i="7"/>
  <c r="AE25" i="7" s="1"/>
  <c r="D34" i="7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A7" i="9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E34" i="7"/>
  <c r="Z26" i="7" s="1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AA26" i="7"/>
  <c r="AE26" i="7" s="1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8" i="4"/>
  <c r="B32" i="6"/>
  <c r="R24" i="6" s="1"/>
  <c r="S26" i="6" s="1"/>
  <c r="D23" i="2"/>
  <c r="B42" i="6" s="1"/>
  <c r="R34" i="6" s="1"/>
  <c r="S35" i="6" s="1"/>
  <c r="D24" i="2"/>
  <c r="B47" i="6" s="1"/>
  <c r="R39" i="6" s="1"/>
  <c r="S40" i="6" s="1"/>
  <c r="B37" i="6"/>
  <c r="R29" i="6" s="1"/>
  <c r="S33" i="6" s="1"/>
  <c r="D20" i="2"/>
  <c r="B12" i="6" s="1"/>
  <c r="B34" i="2"/>
  <c r="M52" i="2"/>
  <c r="B17" i="2" s="1"/>
  <c r="B21" i="2" s="1"/>
  <c r="F25" i="11" l="1"/>
  <c r="D28" i="4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D29" i="4"/>
  <c r="M19" i="7"/>
  <c r="M20" i="7" s="1"/>
  <c r="N20" i="7" s="1"/>
  <c r="N18" i="7"/>
  <c r="E24" i="11"/>
  <c r="E25" i="11"/>
  <c r="F24" i="11"/>
  <c r="F26" i="11" s="1"/>
  <c r="D25" i="11"/>
  <c r="D24" i="11"/>
  <c r="S36" i="6"/>
  <c r="S43" i="6"/>
  <c r="S37" i="6"/>
  <c r="X21" i="7"/>
  <c r="S34" i="6"/>
  <c r="S38" i="6"/>
  <c r="S31" i="6"/>
  <c r="S29" i="6"/>
  <c r="S27" i="6"/>
  <c r="AC2" i="7"/>
  <c r="S32" i="6"/>
  <c r="S41" i="6"/>
  <c r="S30" i="6"/>
  <c r="L17" i="6"/>
  <c r="B2" i="5"/>
  <c r="S28" i="6"/>
  <c r="R4" i="6"/>
  <c r="S4" i="6" s="1"/>
  <c r="Y4" i="6" s="1"/>
  <c r="S42" i="6"/>
  <c r="S25" i="6"/>
  <c r="S24" i="6"/>
  <c r="S39" i="6"/>
  <c r="E16" i="4"/>
  <c r="E21" i="4" s="1"/>
  <c r="E26" i="4" s="1"/>
  <c r="N17" i="7"/>
  <c r="N19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D3" i="2"/>
  <c r="D32" i="2"/>
  <c r="F32" i="2" s="1"/>
  <c r="D35" i="2"/>
  <c r="D6" i="2"/>
  <c r="H4" i="4" l="1"/>
  <c r="B43" i="2"/>
  <c r="P17" i="7"/>
  <c r="P18" i="7"/>
  <c r="P19" i="7"/>
  <c r="AG2" i="7"/>
  <c r="AF2" i="7"/>
  <c r="G10" i="7" s="1"/>
  <c r="A56" i="9"/>
  <c r="D36" i="7"/>
  <c r="AA27" i="7"/>
  <c r="AE27" i="7" s="1"/>
  <c r="E35" i="7"/>
  <c r="Z27" i="7" s="1"/>
  <c r="E26" i="11"/>
  <c r="S6" i="6"/>
  <c r="Y6" i="6" s="1"/>
  <c r="S20" i="6"/>
  <c r="Y20" i="6" s="1"/>
  <c r="S19" i="6"/>
  <c r="Y19" i="6" s="1"/>
  <c r="S7" i="6"/>
  <c r="Y7" i="6" s="1"/>
  <c r="S13" i="6"/>
  <c r="Y13" i="6" s="1"/>
  <c r="S17" i="6"/>
  <c r="Y17" i="6" s="1"/>
  <c r="S10" i="6"/>
  <c r="Y10" i="6" s="1"/>
  <c r="D26" i="11"/>
  <c r="S5" i="6"/>
  <c r="Y5" i="6" s="1"/>
  <c r="X22" i="7"/>
  <c r="AB2" i="7"/>
  <c r="A13" i="2"/>
  <c r="Z38" i="6"/>
  <c r="A10" i="2"/>
  <c r="H7" i="4"/>
  <c r="K9" i="4" s="1"/>
  <c r="F7" i="4"/>
  <c r="K8" i="4" s="1"/>
  <c r="E3" i="2"/>
  <c r="B24" i="8"/>
  <c r="E5" i="2"/>
  <c r="B26" i="8"/>
  <c r="S18" i="6"/>
  <c r="Y18" i="6" s="1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B32" i="9" s="1"/>
  <c r="M21" i="7"/>
  <c r="P20" i="7"/>
  <c r="C144" i="7"/>
  <c r="E143" i="7"/>
  <c r="T21" i="6"/>
  <c r="E6" i="2"/>
  <c r="F25" i="2"/>
  <c r="B14" i="2"/>
  <c r="A24" i="2"/>
  <c r="B7" i="2"/>
  <c r="A23" i="2"/>
  <c r="B13" i="2"/>
  <c r="B6" i="2"/>
  <c r="F23" i="2"/>
  <c r="F22" i="2"/>
  <c r="A22" i="2"/>
  <c r="B5" i="2"/>
  <c r="B12" i="2"/>
  <c r="A21" i="2"/>
  <c r="B11" i="2"/>
  <c r="F21" i="2"/>
  <c r="B4" i="2"/>
  <c r="D31" i="2"/>
  <c r="D2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F3" i="2" s="1"/>
  <c r="B10" i="2"/>
  <c r="Q17" i="7" l="1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B33" i="9" s="1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F5" i="2"/>
  <c r="G5" i="2" s="1"/>
  <c r="F6" i="2"/>
  <c r="G6" i="2" s="1"/>
  <c r="F4" i="2"/>
  <c r="G4" i="2" s="1"/>
  <c r="G23" i="2"/>
  <c r="A7" i="2"/>
  <c r="F7" i="2"/>
  <c r="G7" i="2" s="1"/>
  <c r="G21" i="2"/>
  <c r="G3" i="2"/>
  <c r="A58" i="9" l="1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B34" i="9" s="1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A59" i="9" l="1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B35" i="9" s="1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A60" i="9" l="1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B36" i="9" s="1"/>
  <c r="C120" i="7"/>
  <c r="E119" i="7"/>
  <c r="M25" i="7"/>
  <c r="N24" i="7"/>
  <c r="P24" i="7" s="1"/>
  <c r="Z22" i="6"/>
  <c r="Z4" i="6" s="1"/>
  <c r="T25" i="6"/>
  <c r="Y24" i="6"/>
  <c r="A61" i="9" l="1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B37" i="9" s="1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F5" i="12" s="1"/>
  <c r="B5" i="12" s="1"/>
  <c r="B39" i="8" s="1"/>
  <c r="AA15" i="6"/>
  <c r="AC15" i="6" s="1"/>
  <c r="AD15" i="6" s="1"/>
  <c r="G23" i="6" s="1"/>
  <c r="F12" i="12" s="1"/>
  <c r="B12" i="12" s="1"/>
  <c r="B46" i="8" s="1"/>
  <c r="AA7" i="6"/>
  <c r="AC7" i="6" s="1"/>
  <c r="AD7" i="6" s="1"/>
  <c r="G15" i="6" s="1"/>
  <c r="F4" i="12" s="1"/>
  <c r="B4" i="12" s="1"/>
  <c r="B38" i="8" s="1"/>
  <c r="AA22" i="6"/>
  <c r="AC22" i="6" s="1"/>
  <c r="AD22" i="6" s="1"/>
  <c r="G30" i="6" s="1"/>
  <c r="F19" i="12" s="1"/>
  <c r="B19" i="12" s="1"/>
  <c r="B53" i="8" s="1"/>
  <c r="AA12" i="6"/>
  <c r="AC12" i="6" s="1"/>
  <c r="AD12" i="6" s="1"/>
  <c r="G20" i="6" s="1"/>
  <c r="F9" i="12" s="1"/>
  <c r="B9" i="12" s="1"/>
  <c r="B43" i="8" s="1"/>
  <c r="AA18" i="6"/>
  <c r="AC18" i="6" s="1"/>
  <c r="AD18" i="6" s="1"/>
  <c r="G26" i="6" s="1"/>
  <c r="F15" i="12" s="1"/>
  <c r="B15" i="12" s="1"/>
  <c r="B49" i="8" s="1"/>
  <c r="AA19" i="6"/>
  <c r="AC19" i="6" s="1"/>
  <c r="AD19" i="6" s="1"/>
  <c r="G27" i="6" s="1"/>
  <c r="F16" i="12" s="1"/>
  <c r="B16" i="12" s="1"/>
  <c r="B50" i="8" s="1"/>
  <c r="AA14" i="6"/>
  <c r="AC14" i="6" s="1"/>
  <c r="AD14" i="6" s="1"/>
  <c r="G22" i="6" s="1"/>
  <c r="F11" i="12" s="1"/>
  <c r="B11" i="12" s="1"/>
  <c r="B45" i="8" s="1"/>
  <c r="AA11" i="6"/>
  <c r="AC11" i="6" s="1"/>
  <c r="AD11" i="6" s="1"/>
  <c r="G19" i="6" s="1"/>
  <c r="F8" i="12" s="1"/>
  <c r="B8" i="12" s="1"/>
  <c r="B42" i="8" s="1"/>
  <c r="AA6" i="6"/>
  <c r="AC6" i="6" s="1"/>
  <c r="AD6" i="6" s="1"/>
  <c r="G14" i="6" s="1"/>
  <c r="F3" i="12" s="1"/>
  <c r="B3" i="12" s="1"/>
  <c r="B37" i="8" s="1"/>
  <c r="AA9" i="6"/>
  <c r="AC9" i="6" s="1"/>
  <c r="AD9" i="6" s="1"/>
  <c r="G17" i="6" s="1"/>
  <c r="F6" i="12" s="1"/>
  <c r="B6" i="12" s="1"/>
  <c r="B40" i="8" s="1"/>
  <c r="AA16" i="6"/>
  <c r="AC16" i="6" s="1"/>
  <c r="AD16" i="6" s="1"/>
  <c r="G24" i="6" s="1"/>
  <c r="F13" i="12" s="1"/>
  <c r="B13" i="12" s="1"/>
  <c r="B47" i="8" s="1"/>
  <c r="AA13" i="6"/>
  <c r="AC13" i="6" s="1"/>
  <c r="AD13" i="6" s="1"/>
  <c r="G21" i="6" s="1"/>
  <c r="F10" i="12" s="1"/>
  <c r="B10" i="12" s="1"/>
  <c r="B44" i="8" s="1"/>
  <c r="AA10" i="6"/>
  <c r="AC10" i="6" s="1"/>
  <c r="AD10" i="6" s="1"/>
  <c r="G18" i="6" s="1"/>
  <c r="F7" i="12" s="1"/>
  <c r="B7" i="12" s="1"/>
  <c r="B41" i="8" s="1"/>
  <c r="AA20" i="6"/>
  <c r="AC20" i="6" s="1"/>
  <c r="AD20" i="6" s="1"/>
  <c r="G28" i="6" s="1"/>
  <c r="F17" i="12" s="1"/>
  <c r="B17" i="12" s="1"/>
  <c r="B51" i="8" s="1"/>
  <c r="AA5" i="6"/>
  <c r="AC5" i="6" s="1"/>
  <c r="AD5" i="6" s="1"/>
  <c r="G13" i="6" s="1"/>
  <c r="F2" i="12" s="1"/>
  <c r="B2" i="12" s="1"/>
  <c r="B36" i="8" s="1"/>
  <c r="AA23" i="6"/>
  <c r="AC23" i="6" s="1"/>
  <c r="AA21" i="6"/>
  <c r="AC21" i="6" s="1"/>
  <c r="AD21" i="6" s="1"/>
  <c r="G29" i="6" s="1"/>
  <c r="F18" i="12" s="1"/>
  <c r="B18" i="12" s="1"/>
  <c r="B52" i="8" s="1"/>
  <c r="AA17" i="6"/>
  <c r="AC17" i="6" s="1"/>
  <c r="AD17" i="6" s="1"/>
  <c r="G25" i="6" s="1"/>
  <c r="F14" i="12" s="1"/>
  <c r="B14" i="12" s="1"/>
  <c r="B48" i="8" s="1"/>
  <c r="AA4" i="6"/>
  <c r="AC4" i="6" s="1"/>
  <c r="AD4" i="6" s="1"/>
  <c r="G12" i="6" s="1"/>
  <c r="T26" i="6"/>
  <c r="Y25" i="6"/>
  <c r="F1" i="12" l="1"/>
  <c r="B1" i="12" s="1"/>
  <c r="B35" i="8" s="1"/>
  <c r="P17" i="6"/>
  <c r="A62" i="9"/>
  <c r="AA33" i="7"/>
  <c r="AE33" i="7" s="1"/>
  <c r="H60" i="2" s="1"/>
  <c r="I60" i="2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B38" i="9" s="1"/>
  <c r="E121" i="7"/>
  <c r="C122" i="7"/>
  <c r="E122" i="7" s="1"/>
  <c r="N26" i="7"/>
  <c r="P26" i="7" s="1"/>
  <c r="M27" i="7"/>
  <c r="J19" i="6"/>
  <c r="F19" i="6"/>
  <c r="J27" i="6"/>
  <c r="F27" i="6"/>
  <c r="F26" i="6"/>
  <c r="J26" i="6"/>
  <c r="T27" i="6"/>
  <c r="Y26" i="6"/>
  <c r="J20" i="6"/>
  <c r="F20" i="6"/>
  <c r="J25" i="6"/>
  <c r="F25" i="6"/>
  <c r="J30" i="6"/>
  <c r="F30" i="6"/>
  <c r="P20" i="6"/>
  <c r="J15" i="6"/>
  <c r="F15" i="6"/>
  <c r="F12" i="6"/>
  <c r="AG23" i="6"/>
  <c r="AE23" i="6" s="1"/>
  <c r="AD23" i="6" s="1"/>
  <c r="G31" i="6" s="1"/>
  <c r="J28" i="6"/>
  <c r="F28" i="6"/>
  <c r="J18" i="6"/>
  <c r="F18" i="6"/>
  <c r="J23" i="6"/>
  <c r="F23" i="6"/>
  <c r="J29" i="6"/>
  <c r="F29" i="6"/>
  <c r="J21" i="6"/>
  <c r="F21" i="6"/>
  <c r="J16" i="6"/>
  <c r="P21" i="6"/>
  <c r="F16" i="6"/>
  <c r="J22" i="6"/>
  <c r="F22" i="6"/>
  <c r="J24" i="6"/>
  <c r="F24" i="6"/>
  <c r="P19" i="6"/>
  <c r="J14" i="6"/>
  <c r="F14" i="6"/>
  <c r="J13" i="6"/>
  <c r="J11" i="6" s="1"/>
  <c r="F13" i="6"/>
  <c r="P18" i="6"/>
  <c r="J17" i="6"/>
  <c r="F17" i="6"/>
  <c r="P22" i="6"/>
  <c r="K60" i="2" l="1"/>
  <c r="K58" i="2"/>
  <c r="K59" i="2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B39" i="9" s="1"/>
  <c r="AB10" i="7"/>
  <c r="Q24" i="7"/>
  <c r="M10" i="7" s="1"/>
  <c r="K17" i="7"/>
  <c r="F17" i="7"/>
  <c r="T28" i="6"/>
  <c r="Y27" i="6"/>
  <c r="J31" i="6"/>
  <c r="F31" i="6"/>
  <c r="K61" i="2" l="1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B40" i="9" s="1"/>
  <c r="AB11" i="7"/>
  <c r="F18" i="7"/>
  <c r="K18" i="7"/>
  <c r="Q25" i="7"/>
  <c r="AC12" i="7"/>
  <c r="AF12" i="7" s="1"/>
  <c r="V13" i="7"/>
  <c r="N28" i="7"/>
  <c r="P28" i="7" s="1"/>
  <c r="M29" i="7"/>
  <c r="T29" i="6"/>
  <c r="Y28" i="6"/>
  <c r="A65" i="9" l="1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B41" i="9" s="1"/>
  <c r="M30" i="7"/>
  <c r="N30" i="7" s="1"/>
  <c r="N29" i="7"/>
  <c r="P29" i="7" s="1"/>
  <c r="Z27" i="6"/>
  <c r="Z24" i="6" s="1"/>
  <c r="Y29" i="6"/>
  <c r="T30" i="6"/>
  <c r="A66" i="9" l="1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B42" i="9" s="1"/>
  <c r="AB13" i="7"/>
  <c r="M31" i="7"/>
  <c r="P30" i="7"/>
  <c r="AC14" i="7"/>
  <c r="AF14" i="7" s="1"/>
  <c r="V15" i="7"/>
  <c r="Q27" i="7"/>
  <c r="K20" i="7"/>
  <c r="F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A67" i="9" l="1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B43" i="9" s="1"/>
  <c r="AB14" i="7"/>
  <c r="F21" i="7"/>
  <c r="K21" i="7"/>
  <c r="Q28" i="7"/>
  <c r="AG28" i="6"/>
  <c r="T32" i="6"/>
  <c r="Y31" i="6"/>
  <c r="A68" i="9" l="1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B44" i="9" s="1"/>
  <c r="AB15" i="7"/>
  <c r="T33" i="6"/>
  <c r="Y32" i="6"/>
  <c r="AE25" i="6"/>
  <c r="AD25" i="6" s="1"/>
  <c r="G33" i="6" s="1"/>
  <c r="F22" i="12" s="1"/>
  <c r="B28" i="12" s="1"/>
  <c r="AE26" i="6"/>
  <c r="AD26" i="6" s="1"/>
  <c r="G34" i="6" s="1"/>
  <c r="F23" i="12" s="1"/>
  <c r="B30" i="12" s="1"/>
  <c r="AE27" i="6"/>
  <c r="AD27" i="6" s="1"/>
  <c r="G35" i="6" s="1"/>
  <c r="F24" i="12" s="1"/>
  <c r="B36" i="12" s="1"/>
  <c r="AE28" i="6"/>
  <c r="AD28" i="6" s="1"/>
  <c r="G36" i="6" s="1"/>
  <c r="F25" i="12" s="1"/>
  <c r="B40" i="12" s="1"/>
  <c r="AE24" i="6"/>
  <c r="AD24" i="6" s="1"/>
  <c r="G32" i="6" s="1"/>
  <c r="F21" i="12" s="1"/>
  <c r="B26" i="12" s="1"/>
  <c r="A69" i="9" l="1"/>
  <c r="AA40" i="7"/>
  <c r="AE40" i="7" s="1"/>
  <c r="D49" i="7"/>
  <c r="E48" i="7"/>
  <c r="Z40" i="7" s="1"/>
  <c r="X35" i="7"/>
  <c r="B60" i="8"/>
  <c r="B27" i="12"/>
  <c r="B61" i="8" s="1"/>
  <c r="C20" i="12"/>
  <c r="D20" i="12" s="1"/>
  <c r="B64" i="8"/>
  <c r="C28" i="12"/>
  <c r="D28" i="12" s="1"/>
  <c r="B31" i="12"/>
  <c r="B41" i="12"/>
  <c r="C36" i="12"/>
  <c r="D36" i="12" s="1"/>
  <c r="B74" i="8"/>
  <c r="M30" i="6"/>
  <c r="O30" i="6" s="1"/>
  <c r="P30" i="6" s="1"/>
  <c r="L31" i="6"/>
  <c r="B62" i="8"/>
  <c r="C26" i="12"/>
  <c r="D26" i="12" s="1"/>
  <c r="B29" i="12"/>
  <c r="B63" i="8" s="1"/>
  <c r="B70" i="8"/>
  <c r="C30" i="12"/>
  <c r="D30" i="12" s="1"/>
  <c r="B37" i="12"/>
  <c r="AB16" i="7"/>
  <c r="AG16" i="7"/>
  <c r="G24" i="7"/>
  <c r="B45" i="9" s="1"/>
  <c r="V18" i="7"/>
  <c r="AC18" i="7" s="1"/>
  <c r="AF18" i="7" s="1"/>
  <c r="AC17" i="7"/>
  <c r="AF17" i="7" s="1"/>
  <c r="K23" i="7"/>
  <c r="F23" i="7"/>
  <c r="Q30" i="7"/>
  <c r="F32" i="6"/>
  <c r="J32" i="6"/>
  <c r="J35" i="6"/>
  <c r="F35" i="6"/>
  <c r="J34" i="6"/>
  <c r="F34" i="6"/>
  <c r="J33" i="6"/>
  <c r="F33" i="6"/>
  <c r="T34" i="6"/>
  <c r="Y33" i="6"/>
  <c r="J36" i="6"/>
  <c r="F36" i="6"/>
  <c r="A70" i="9" l="1"/>
  <c r="AA41" i="7"/>
  <c r="AE41" i="7" s="1"/>
  <c r="D50" i="7"/>
  <c r="E49" i="7"/>
  <c r="Z41" i="7" s="1"/>
  <c r="X36" i="7"/>
  <c r="B38" i="12"/>
  <c r="B71" i="8"/>
  <c r="M31" i="6"/>
  <c r="O31" i="6" s="1"/>
  <c r="P31" i="6" s="1"/>
  <c r="L32" i="6"/>
  <c r="M32" i="6" s="1"/>
  <c r="O32" i="6" s="1"/>
  <c r="P32" i="6" s="1"/>
  <c r="B42" i="12"/>
  <c r="B75" i="8"/>
  <c r="B32" i="12"/>
  <c r="B65" i="8"/>
  <c r="G25" i="7"/>
  <c r="B46" i="9" s="1"/>
  <c r="AB17" i="7"/>
  <c r="V19" i="7"/>
  <c r="AC19" i="7" s="1"/>
  <c r="AF19" i="7" s="1"/>
  <c r="Q31" i="7"/>
  <c r="F24" i="7"/>
  <c r="K24" i="7"/>
  <c r="Z32" i="6"/>
  <c r="Z29" i="6" s="1"/>
  <c r="T35" i="6"/>
  <c r="Y34" i="6"/>
  <c r="A71" i="9" l="1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B47" i="9" s="1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A72" i="9" l="1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B48" i="9" s="1"/>
  <c r="T37" i="6"/>
  <c r="Y36" i="6"/>
  <c r="AG33" i="6"/>
  <c r="A73" i="9" l="1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B49" i="9" s="1"/>
  <c r="AB20" i="7"/>
  <c r="V22" i="7"/>
  <c r="AC22" i="7" s="1"/>
  <c r="AE30" i="6"/>
  <c r="AD30" i="6" s="1"/>
  <c r="G38" i="6" s="1"/>
  <c r="F27" i="12" s="1"/>
  <c r="B48" i="12" s="1"/>
  <c r="AE31" i="6"/>
  <c r="AD31" i="6" s="1"/>
  <c r="G39" i="6" s="1"/>
  <c r="F28" i="12" s="1"/>
  <c r="B50" i="12" s="1"/>
  <c r="AE32" i="6"/>
  <c r="AD32" i="6" s="1"/>
  <c r="G40" i="6" s="1"/>
  <c r="F29" i="12" s="1"/>
  <c r="B56" i="12" s="1"/>
  <c r="AE29" i="6"/>
  <c r="AD29" i="6" s="1"/>
  <c r="G37" i="6" s="1"/>
  <c r="F26" i="12" s="1"/>
  <c r="B46" i="12" s="1"/>
  <c r="AE33" i="6"/>
  <c r="AD33" i="6" s="1"/>
  <c r="G41" i="6" s="1"/>
  <c r="T38" i="6"/>
  <c r="Y37" i="6"/>
  <c r="A74" i="9" l="1"/>
  <c r="D54" i="7"/>
  <c r="AA45" i="7"/>
  <c r="AE45" i="7" s="1"/>
  <c r="E53" i="7"/>
  <c r="Z45" i="7" s="1"/>
  <c r="P1" i="7"/>
  <c r="F30" i="12"/>
  <c r="B60" i="12" s="1"/>
  <c r="B90" i="8"/>
  <c r="B57" i="12"/>
  <c r="C50" i="12"/>
  <c r="D50" i="12" s="1"/>
  <c r="B84" i="8"/>
  <c r="B51" i="12"/>
  <c r="C48" i="12"/>
  <c r="D48" i="12" s="1"/>
  <c r="B80" i="8"/>
  <c r="C40" i="12"/>
  <c r="D40" i="12" s="1"/>
  <c r="B47" i="12"/>
  <c r="B81" i="8" s="1"/>
  <c r="B82" i="8"/>
  <c r="B49" i="12"/>
  <c r="B83" i="8" s="1"/>
  <c r="C46" i="12"/>
  <c r="D46" i="12" s="1"/>
  <c r="K28" i="7"/>
  <c r="F28" i="7"/>
  <c r="V23" i="7"/>
  <c r="AC23" i="7" s="1"/>
  <c r="AF21" i="7"/>
  <c r="G29" i="7" s="1"/>
  <c r="B50" i="9" s="1"/>
  <c r="AB21" i="7"/>
  <c r="J37" i="6"/>
  <c r="F37" i="6"/>
  <c r="J40" i="6"/>
  <c r="F40" i="6"/>
  <c r="T39" i="6"/>
  <c r="Y38" i="6"/>
  <c r="F39" i="6"/>
  <c r="J39" i="6"/>
  <c r="J41" i="6"/>
  <c r="F41" i="6"/>
  <c r="J38" i="6"/>
  <c r="F38" i="6"/>
  <c r="A75" i="9" l="1"/>
  <c r="D55" i="7"/>
  <c r="AA46" i="7"/>
  <c r="AE46" i="7" s="1"/>
  <c r="E54" i="7"/>
  <c r="Z46" i="7" s="1"/>
  <c r="B58" i="12"/>
  <c r="B91" i="8"/>
  <c r="B52" i="12"/>
  <c r="B85" i="8"/>
  <c r="B94" i="8"/>
  <c r="C56" i="12"/>
  <c r="D56" i="12" s="1"/>
  <c r="B61" i="12"/>
  <c r="AB22" i="7"/>
  <c r="AF22" i="7"/>
  <c r="G30" i="7" s="1"/>
  <c r="B51" i="9" s="1"/>
  <c r="K29" i="7"/>
  <c r="F29" i="7"/>
  <c r="V24" i="7"/>
  <c r="AC24" i="7" s="1"/>
  <c r="Y39" i="6"/>
  <c r="T40" i="6"/>
  <c r="Z37" i="6"/>
  <c r="Z34" i="6" s="1"/>
  <c r="A76" i="9" l="1"/>
  <c r="AA47" i="7"/>
  <c r="AE47" i="7" s="1"/>
  <c r="D56" i="7"/>
  <c r="E55" i="7"/>
  <c r="Z47" i="7" s="1"/>
  <c r="B62" i="12"/>
  <c r="B95" i="8"/>
  <c r="B53" i="12"/>
  <c r="B86" i="8"/>
  <c r="B59" i="12"/>
  <c r="B93" i="8" s="1"/>
  <c r="B92" i="8"/>
  <c r="V25" i="7"/>
  <c r="AC25" i="7" s="1"/>
  <c r="AF23" i="7"/>
  <c r="G31" i="7" s="1"/>
  <c r="B52" i="9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A77" i="9" l="1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F24" i="7"/>
  <c r="G32" i="7" s="1"/>
  <c r="B53" i="9" s="1"/>
  <c r="AB24" i="7"/>
  <c r="Y41" i="6"/>
  <c r="T42" i="6"/>
  <c r="AG38" i="6"/>
  <c r="A78" i="9" l="1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B54" i="9" s="1"/>
  <c r="V27" i="7"/>
  <c r="AC27" i="7" s="1"/>
  <c r="AE36" i="6"/>
  <c r="AD36" i="6" s="1"/>
  <c r="G44" i="6" s="1"/>
  <c r="F65" i="12" s="1"/>
  <c r="B70" i="12" s="1"/>
  <c r="AE38" i="6"/>
  <c r="AD38" i="6" s="1"/>
  <c r="G46" i="6" s="1"/>
  <c r="AE35" i="6"/>
  <c r="AD35" i="6" s="1"/>
  <c r="G43" i="6" s="1"/>
  <c r="F64" i="12" s="1"/>
  <c r="B68" i="12" s="1"/>
  <c r="AE34" i="6"/>
  <c r="AD34" i="6" s="1"/>
  <c r="G42" i="6" s="1"/>
  <c r="F63" i="12" s="1"/>
  <c r="B66" i="12" s="1"/>
  <c r="AE37" i="6"/>
  <c r="AD37" i="6" s="1"/>
  <c r="G45" i="6" s="1"/>
  <c r="F66" i="12" s="1"/>
  <c r="B76" i="12" s="1"/>
  <c r="T43" i="6"/>
  <c r="Y43" i="6" s="1"/>
  <c r="Y42" i="6"/>
  <c r="A79" i="9" l="1"/>
  <c r="E58" i="7"/>
  <c r="Z50" i="7" s="1"/>
  <c r="D59" i="7"/>
  <c r="AA50" i="7"/>
  <c r="AE50" i="7" s="1"/>
  <c r="B102" i="8"/>
  <c r="B69" i="12"/>
  <c r="B103" i="8" s="1"/>
  <c r="C66" i="12"/>
  <c r="D66" i="12" s="1"/>
  <c r="B77" i="12"/>
  <c r="B110" i="8"/>
  <c r="C70" i="12"/>
  <c r="D70" i="12" s="1"/>
  <c r="B4" i="5"/>
  <c r="B7" i="5" s="1"/>
  <c r="B8" i="5" s="1"/>
  <c r="F67" i="12"/>
  <c r="B80" i="12" s="1"/>
  <c r="B65" i="12"/>
  <c r="B99" i="8" s="1"/>
  <c r="B98" i="8"/>
  <c r="C60" i="12"/>
  <c r="D60" i="12" s="1"/>
  <c r="B67" i="12"/>
  <c r="B101" i="8" s="1"/>
  <c r="B100" i="8"/>
  <c r="B104" i="8"/>
  <c r="B71" i="12"/>
  <c r="C68" i="12"/>
  <c r="D68" i="12" s="1"/>
  <c r="AB26" i="7"/>
  <c r="AF26" i="7"/>
  <c r="G34" i="7" s="1"/>
  <c r="B55" i="9" s="1"/>
  <c r="V28" i="7"/>
  <c r="AC28" i="7" s="1"/>
  <c r="K33" i="7"/>
  <c r="F33" i="7"/>
  <c r="Z42" i="6"/>
  <c r="Z39" i="6" s="1"/>
  <c r="F45" i="6"/>
  <c r="J45" i="6"/>
  <c r="F42" i="6"/>
  <c r="J42" i="6"/>
  <c r="J43" i="6"/>
  <c r="F43" i="6"/>
  <c r="J46" i="6"/>
  <c r="F46" i="6"/>
  <c r="J44" i="6"/>
  <c r="F44" i="6"/>
  <c r="A80" i="9" l="1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B72" i="12"/>
  <c r="B105" i="8"/>
  <c r="AB27" i="7"/>
  <c r="AF27" i="7"/>
  <c r="G35" i="7" s="1"/>
  <c r="B56" i="9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A81" i="9" l="1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C30" i="7" s="1"/>
  <c r="AF28" i="7"/>
  <c r="G36" i="7" s="1"/>
  <c r="B57" i="9" s="1"/>
  <c r="AB28" i="7"/>
  <c r="AE41" i="6"/>
  <c r="AD41" i="6" s="1"/>
  <c r="G49" i="6" s="1"/>
  <c r="F70" i="12" s="1"/>
  <c r="B90" i="12" s="1"/>
  <c r="AE43" i="6"/>
  <c r="AD43" i="6" s="1"/>
  <c r="G51" i="6" s="1"/>
  <c r="F72" i="12" s="1"/>
  <c r="B100" i="12" s="1"/>
  <c r="AE40" i="6"/>
  <c r="AD40" i="6" s="1"/>
  <c r="G48" i="6" s="1"/>
  <c r="F69" i="12" s="1"/>
  <c r="B88" i="12" s="1"/>
  <c r="AE39" i="6"/>
  <c r="AD39" i="6" s="1"/>
  <c r="G47" i="6" s="1"/>
  <c r="F68" i="12" s="1"/>
  <c r="B86" i="12" s="1"/>
  <c r="AE42" i="6"/>
  <c r="AD42" i="6" s="1"/>
  <c r="G50" i="6" s="1"/>
  <c r="F71" i="12" s="1"/>
  <c r="B96" i="12" s="1"/>
  <c r="A82" i="9" l="1"/>
  <c r="E61" i="7"/>
  <c r="Z53" i="7" s="1"/>
  <c r="C61" i="7"/>
  <c r="AA53" i="7"/>
  <c r="AE53" i="7" s="1"/>
  <c r="D62" i="7"/>
  <c r="V31" i="7"/>
  <c r="AC31" i="7" s="1"/>
  <c r="B130" i="8"/>
  <c r="C90" i="12"/>
  <c r="D90" i="12" s="1"/>
  <c r="B97" i="12"/>
  <c r="B120" i="8"/>
  <c r="C80" i="12"/>
  <c r="D80" i="12" s="1"/>
  <c r="B87" i="12"/>
  <c r="B121" i="8" s="1"/>
  <c r="B134" i="8"/>
  <c r="C96" i="12"/>
  <c r="D96" i="12" s="1"/>
  <c r="B74" i="12"/>
  <c r="B107" i="8"/>
  <c r="B122" i="8"/>
  <c r="B89" i="12"/>
  <c r="B123" i="8" s="1"/>
  <c r="C86" i="12"/>
  <c r="D86" i="12" s="1"/>
  <c r="C88" i="12"/>
  <c r="D88" i="12" s="1"/>
  <c r="B91" i="12"/>
  <c r="B124" i="8"/>
  <c r="B116" i="8"/>
  <c r="B83" i="12"/>
  <c r="K36" i="7"/>
  <c r="F36" i="7"/>
  <c r="AB29" i="7"/>
  <c r="AF29" i="7"/>
  <c r="G37" i="7" s="1"/>
  <c r="B58" i="9" s="1"/>
  <c r="F50" i="6"/>
  <c r="J50" i="6"/>
  <c r="J47" i="6"/>
  <c r="F47" i="6"/>
  <c r="J48" i="6"/>
  <c r="F48" i="6"/>
  <c r="J51" i="6"/>
  <c r="F51" i="6"/>
  <c r="J49" i="6"/>
  <c r="F49" i="6"/>
  <c r="A83" i="9" l="1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C32" i="7" s="1"/>
  <c r="AB30" i="7"/>
  <c r="AF30" i="7"/>
  <c r="G38" i="7" s="1"/>
  <c r="B59" i="9" s="1"/>
  <c r="K37" i="7"/>
  <c r="F37" i="7"/>
  <c r="A84" i="9" l="1"/>
  <c r="D64" i="7"/>
  <c r="E63" i="7"/>
  <c r="Z55" i="7" s="1"/>
  <c r="AA55" i="7"/>
  <c r="AE55" i="7" s="1"/>
  <c r="B85" i="12"/>
  <c r="B119" i="8" s="1"/>
  <c r="B118" i="8"/>
  <c r="B93" i="12"/>
  <c r="B126" i="8"/>
  <c r="V33" i="7"/>
  <c r="AC33" i="7" s="1"/>
  <c r="B99" i="12"/>
  <c r="B133" i="8" s="1"/>
  <c r="B132" i="8"/>
  <c r="K38" i="7"/>
  <c r="F38" i="7"/>
  <c r="AF31" i="7"/>
  <c r="G39" i="7" s="1"/>
  <c r="B60" i="9" s="1"/>
  <c r="AB31" i="7"/>
  <c r="A85" i="9" l="1"/>
  <c r="E64" i="7"/>
  <c r="Z56" i="7" s="1"/>
  <c r="D65" i="7"/>
  <c r="AA56" i="7"/>
  <c r="AE56" i="7" s="1"/>
  <c r="B94" i="12"/>
  <c r="B127" i="8"/>
  <c r="V34" i="7"/>
  <c r="AC34" i="7" s="1"/>
  <c r="AB32" i="7"/>
  <c r="AF32" i="7"/>
  <c r="G40" i="7" s="1"/>
  <c r="B61" i="9" s="1"/>
  <c r="F39" i="7"/>
  <c r="K39" i="7"/>
  <c r="A86" i="9" l="1"/>
  <c r="D66" i="7"/>
  <c r="E65" i="7"/>
  <c r="Z57" i="7" s="1"/>
  <c r="AA57" i="7"/>
  <c r="AE57" i="7" s="1"/>
  <c r="V35" i="7"/>
  <c r="AC35" i="7" s="1"/>
  <c r="B95" i="12"/>
  <c r="B129" i="8" s="1"/>
  <c r="B128" i="8"/>
  <c r="K40" i="7"/>
  <c r="F40" i="7"/>
  <c r="AB33" i="7"/>
  <c r="AF33" i="7"/>
  <c r="G41" i="7" s="1"/>
  <c r="B62" i="9" s="1"/>
  <c r="A87" i="9" l="1"/>
  <c r="AA58" i="7"/>
  <c r="AE58" i="7" s="1"/>
  <c r="C66" i="7"/>
  <c r="E66" i="7"/>
  <c r="Z58" i="7" s="1"/>
  <c r="D67" i="7"/>
  <c r="V36" i="7"/>
  <c r="AC36" i="7" s="1"/>
  <c r="AF34" i="7"/>
  <c r="G42" i="7" s="1"/>
  <c r="B63" i="9" s="1"/>
  <c r="AB34" i="7"/>
  <c r="K41" i="7"/>
  <c r="F41" i="7"/>
  <c r="A88" i="9" l="1"/>
  <c r="AA59" i="7"/>
  <c r="AE59" i="7" s="1"/>
  <c r="D68" i="7"/>
  <c r="E67" i="7"/>
  <c r="Z59" i="7" s="1"/>
  <c r="V37" i="7"/>
  <c r="AC37" i="7" s="1"/>
  <c r="AF35" i="7"/>
  <c r="G43" i="7" s="1"/>
  <c r="B64" i="9" s="1"/>
  <c r="AB35" i="7"/>
  <c r="K42" i="7"/>
  <c r="F42" i="7"/>
  <c r="A89" i="9" l="1"/>
  <c r="D69" i="7"/>
  <c r="AA60" i="7"/>
  <c r="AE60" i="7" s="1"/>
  <c r="E68" i="7"/>
  <c r="Z60" i="7" s="1"/>
  <c r="V38" i="7"/>
  <c r="AC38" i="7" s="1"/>
  <c r="F43" i="7"/>
  <c r="K43" i="7"/>
  <c r="AB36" i="7"/>
  <c r="AF36" i="7"/>
  <c r="G44" i="7" s="1"/>
  <c r="B65" i="9" s="1"/>
  <c r="A90" i="9" l="1"/>
  <c r="D70" i="7"/>
  <c r="AA61" i="7"/>
  <c r="AE61" i="7" s="1"/>
  <c r="E69" i="7"/>
  <c r="Z61" i="7" s="1"/>
  <c r="V39" i="7"/>
  <c r="K44" i="7"/>
  <c r="F44" i="7"/>
  <c r="AB37" i="7"/>
  <c r="AF37" i="7"/>
  <c r="G45" i="7" s="1"/>
  <c r="B66" i="9" s="1"/>
  <c r="A91" i="9" l="1"/>
  <c r="D71" i="7"/>
  <c r="AA62" i="7"/>
  <c r="AE62" i="7" s="1"/>
  <c r="E70" i="7"/>
  <c r="Z62" i="7" s="1"/>
  <c r="V40" i="7"/>
  <c r="AC39" i="7"/>
  <c r="K45" i="7"/>
  <c r="F45" i="7"/>
  <c r="AF38" i="7"/>
  <c r="G46" i="7" s="1"/>
  <c r="B67" i="9" s="1"/>
  <c r="AB38" i="7"/>
  <c r="V41" i="7" l="1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0" i="7"/>
  <c r="AC41" i="7" s="1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B68" i="9" s="1"/>
  <c r="AB39" i="7"/>
  <c r="A93" i="9" l="1"/>
  <c r="E72" i="7"/>
  <c r="Z64" i="7" s="1"/>
  <c r="AA64" i="7"/>
  <c r="AE64" i="7" s="1"/>
  <c r="D73" i="7"/>
  <c r="AB40" i="7"/>
  <c r="AF40" i="7"/>
  <c r="G48" i="7" s="1"/>
  <c r="K47" i="7"/>
  <c r="F47" i="7"/>
  <c r="A94" i="9" l="1"/>
  <c r="AA65" i="7"/>
  <c r="AE65" i="7" s="1"/>
  <c r="E73" i="7"/>
  <c r="Z65" i="7" s="1"/>
  <c r="D74" i="7"/>
  <c r="F48" i="7"/>
  <c r="B69" i="9"/>
  <c r="AB41" i="7"/>
  <c r="AF41" i="7"/>
  <c r="G49" i="7" s="1"/>
  <c r="A95" i="9" l="1"/>
  <c r="E74" i="7"/>
  <c r="Z66" i="7" s="1"/>
  <c r="D75" i="7"/>
  <c r="AA66" i="7"/>
  <c r="AE66" i="7" s="1"/>
  <c r="F49" i="7"/>
  <c r="B70" i="9"/>
  <c r="AF42" i="7"/>
  <c r="G50" i="7" s="1"/>
  <c r="AB42" i="7"/>
  <c r="A96" i="9" l="1"/>
  <c r="AA67" i="7"/>
  <c r="AE67" i="7" s="1"/>
  <c r="D76" i="7"/>
  <c r="E75" i="7"/>
  <c r="Z67" i="7" s="1"/>
  <c r="F50" i="7"/>
  <c r="B71" i="9"/>
  <c r="AF43" i="7"/>
  <c r="G51" i="7" s="1"/>
  <c r="AB43" i="7"/>
  <c r="A97" i="9" l="1"/>
  <c r="D77" i="7"/>
  <c r="E76" i="7"/>
  <c r="Z68" i="7" s="1"/>
  <c r="AA68" i="7"/>
  <c r="AE68" i="7" s="1"/>
  <c r="F51" i="7"/>
  <c r="B72" i="9"/>
  <c r="AB44" i="7"/>
  <c r="AF44" i="7"/>
  <c r="G52" i="7" s="1"/>
  <c r="A32" i="10" l="1"/>
  <c r="A98" i="9"/>
  <c r="C77" i="7"/>
  <c r="AA69" i="7"/>
  <c r="AE69" i="7" s="1"/>
  <c r="E77" i="7"/>
  <c r="Z69" i="7" s="1"/>
  <c r="F52" i="7"/>
  <c r="B73" i="9"/>
  <c r="AB45" i="7"/>
  <c r="AF45" i="7"/>
  <c r="G53" i="7" s="1"/>
  <c r="A56" i="10" l="1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F54" i="7" l="1"/>
  <c r="B75" i="9"/>
  <c r="AB47" i="7"/>
  <c r="AC48" i="7"/>
  <c r="AF47" i="7"/>
  <c r="G55" i="7" s="1"/>
  <c r="F55" i="7" l="1"/>
  <c r="B76" i="9"/>
  <c r="AB48" i="7"/>
  <c r="AC49" i="7"/>
  <c r="AF48" i="7"/>
  <c r="G56" i="7" s="1"/>
  <c r="F56" i="7" l="1"/>
  <c r="B77" i="9"/>
  <c r="AF49" i="7"/>
  <c r="G57" i="7" s="1"/>
  <c r="AB49" i="7"/>
  <c r="AC50" i="7"/>
  <c r="F57" i="7" l="1"/>
  <c r="B78" i="9"/>
  <c r="AC51" i="7"/>
  <c r="AF50" i="7"/>
  <c r="G58" i="7" s="1"/>
  <c r="AB50" i="7"/>
  <c r="F58" i="7" l="1"/>
  <c r="B79" i="9"/>
  <c r="AC52" i="7"/>
  <c r="AF51" i="7"/>
  <c r="G59" i="7" s="1"/>
  <c r="AB51" i="7"/>
  <c r="F59" i="7" l="1"/>
  <c r="B80" i="9"/>
  <c r="AC53" i="7"/>
  <c r="AF52" i="7"/>
  <c r="G60" i="7" s="1"/>
  <c r="AB52" i="7"/>
  <c r="F60" i="7" l="1"/>
  <c r="B81" i="9"/>
  <c r="AB53" i="7"/>
  <c r="AF53" i="7"/>
  <c r="G61" i="7" s="1"/>
  <c r="AC54" i="7"/>
  <c r="F61" i="7" l="1"/>
  <c r="B82" i="9"/>
  <c r="AB54" i="7"/>
  <c r="AF54" i="7"/>
  <c r="G62" i="7" s="1"/>
  <c r="AC55" i="7"/>
  <c r="F62" i="7" l="1"/>
  <c r="F63" i="7" s="1"/>
  <c r="F64" i="7" s="1"/>
  <c r="F65" i="7" s="1"/>
  <c r="F66" i="7" s="1"/>
  <c r="F67" i="7" s="1"/>
  <c r="F68" i="7" s="1"/>
  <c r="F69" i="7" s="1"/>
  <c r="F70" i="7" s="1"/>
  <c r="F71" i="7" s="1"/>
  <c r="F72" i="7" s="1"/>
  <c r="F73" i="7" s="1"/>
  <c r="F74" i="7" s="1"/>
  <c r="F75" i="7" s="1"/>
  <c r="F76" i="7" s="1"/>
  <c r="F77" i="7" s="1"/>
  <c r="G8" i="7" s="1"/>
  <c r="K9" i="7" s="1"/>
  <c r="K10" i="7" s="1"/>
  <c r="L10" i="7" s="1"/>
  <c r="B83" i="9"/>
  <c r="AF55" i="7"/>
  <c r="G63" i="7" s="1"/>
  <c r="B84" i="9" s="1"/>
  <c r="AB55" i="7"/>
  <c r="AC56" i="7"/>
  <c r="P2" i="7" l="1"/>
  <c r="AC57" i="7"/>
  <c r="AF56" i="7"/>
  <c r="G64" i="7" s="1"/>
  <c r="B85" i="9" s="1"/>
  <c r="AB56" i="7"/>
  <c r="AC58" i="7" l="1"/>
  <c r="AF57" i="7"/>
  <c r="G65" i="7" s="1"/>
  <c r="B86" i="9" s="1"/>
  <c r="AB57" i="7"/>
  <c r="AB58" i="7" l="1"/>
  <c r="AF58" i="7"/>
  <c r="G66" i="7" s="1"/>
  <c r="B87" i="9" s="1"/>
  <c r="AC59" i="7"/>
  <c r="AB59" i="7" l="1"/>
  <c r="AF59" i="7"/>
  <c r="G67" i="7" s="1"/>
  <c r="B88" i="9" s="1"/>
  <c r="AC60" i="7"/>
  <c r="AC61" i="7" l="1"/>
  <c r="AF60" i="7"/>
  <c r="G68" i="7" s="1"/>
  <c r="B89" i="9" s="1"/>
  <c r="AB60" i="7"/>
  <c r="AC62" i="7" l="1"/>
  <c r="AF61" i="7"/>
  <c r="G69" i="7" s="1"/>
  <c r="B90" i="9" s="1"/>
  <c r="AB61" i="7"/>
  <c r="AC63" i="7" l="1"/>
  <c r="AF62" i="7"/>
  <c r="G70" i="7" s="1"/>
  <c r="B91" i="9" s="1"/>
  <c r="AB62" i="7"/>
  <c r="AC64" i="7" l="1"/>
  <c r="AF63" i="7"/>
  <c r="G71" i="7" s="1"/>
  <c r="B92" i="9" s="1"/>
  <c r="AB63" i="7"/>
  <c r="AC65" i="7" l="1"/>
  <c r="AF64" i="7"/>
  <c r="G72" i="7" s="1"/>
  <c r="B93" i="9" s="1"/>
  <c r="AB64" i="7"/>
  <c r="AF65" i="7" l="1"/>
  <c r="G73" i="7" s="1"/>
  <c r="B94" i="9" s="1"/>
  <c r="AB65" i="7"/>
  <c r="AC66" i="7"/>
  <c r="AB66" i="7" l="1"/>
  <c r="AC67" i="7"/>
  <c r="AF66" i="7"/>
  <c r="G74" i="7" s="1"/>
  <c r="B95" i="9" s="1"/>
  <c r="AC68" i="7" l="1"/>
  <c r="AF67" i="7"/>
  <c r="G75" i="7" s="1"/>
  <c r="B96" i="9" s="1"/>
  <c r="AB67" i="7"/>
  <c r="AC69" i="7" l="1"/>
  <c r="AF68" i="7"/>
  <c r="G76" i="7" s="1"/>
  <c r="B97" i="9" s="1"/>
  <c r="AB68" i="7"/>
  <c r="AB69" i="7" l="1"/>
  <c r="AD3" i="7" s="1"/>
  <c r="AF69" i="7"/>
  <c r="AD4" i="7"/>
  <c r="G77" i="7" l="1"/>
  <c r="D110" i="7" s="1"/>
  <c r="AD5" i="7"/>
  <c r="D111" i="7" l="1"/>
  <c r="D112" i="7" s="1"/>
  <c r="B98" i="9"/>
  <c r="B32" i="10"/>
  <c r="H111" i="7" l="1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F78" i="7" l="1"/>
  <c r="B33" i="10"/>
  <c r="H116" i="7"/>
  <c r="J116" i="7" s="1"/>
  <c r="D117" i="7"/>
  <c r="G79" i="7"/>
  <c r="J115" i="7"/>
  <c r="F79" i="7" l="1"/>
  <c r="B34" i="10"/>
  <c r="D118" i="7"/>
  <c r="H117" i="7"/>
  <c r="J117" i="7" s="1"/>
  <c r="G80" i="7"/>
  <c r="F80" i="7" l="1"/>
  <c r="B35" i="10"/>
  <c r="G81" i="7"/>
  <c r="D119" i="7"/>
  <c r="H118" i="7"/>
  <c r="F81" i="7" l="1"/>
  <c r="B36" i="10"/>
  <c r="D120" i="7"/>
  <c r="H119" i="7"/>
  <c r="J119" i="7" s="1"/>
  <c r="G82" i="7"/>
  <c r="J118" i="7"/>
  <c r="F82" i="7" l="1"/>
  <c r="B37" i="10"/>
  <c r="D121" i="7"/>
  <c r="H120" i="7"/>
  <c r="D122" i="7" l="1"/>
  <c r="H121" i="7"/>
  <c r="J120" i="7"/>
  <c r="G83" i="7" l="1"/>
  <c r="D123" i="7"/>
  <c r="H122" i="7"/>
  <c r="J121" i="7"/>
  <c r="F83" i="7" l="1"/>
  <c r="B38" i="10"/>
  <c r="D124" i="7"/>
  <c r="H123" i="7"/>
  <c r="J122" i="7"/>
  <c r="D125" i="7" l="1"/>
  <c r="H124" i="7"/>
  <c r="J123" i="7"/>
  <c r="G84" i="7" l="1"/>
  <c r="D126" i="7"/>
  <c r="H125" i="7"/>
  <c r="J124" i="7"/>
  <c r="F84" i="7" l="1"/>
  <c r="B39" i="10"/>
  <c r="H126" i="7"/>
  <c r="D127" i="7"/>
  <c r="J125" i="7"/>
  <c r="D128" i="7" l="1"/>
  <c r="H128" i="7" s="1"/>
  <c r="H127" i="7"/>
  <c r="J127" i="7" s="1"/>
  <c r="G85" i="7"/>
  <c r="J126" i="7"/>
  <c r="F85" i="7" l="1"/>
  <c r="B40" i="10"/>
  <c r="G86" i="7"/>
  <c r="D129" i="7"/>
  <c r="F86" i="7" l="1"/>
  <c r="B41" i="10"/>
  <c r="D130" i="7"/>
  <c r="H129" i="7"/>
  <c r="J129" i="7" s="1"/>
  <c r="G87" i="7"/>
  <c r="J128" i="7"/>
  <c r="F87" i="7" l="1"/>
  <c r="B42" i="10"/>
  <c r="G88" i="7"/>
  <c r="D131" i="7"/>
  <c r="H130" i="7"/>
  <c r="F88" i="7" l="1"/>
  <c r="B43" i="10"/>
  <c r="G89" i="7"/>
  <c r="H131" i="7"/>
  <c r="D132" i="7"/>
  <c r="J130" i="7"/>
  <c r="F89" i="7" l="1"/>
  <c r="B44" i="10"/>
  <c r="D133" i="7"/>
  <c r="H132" i="7"/>
  <c r="J132" i="7" s="1"/>
  <c r="G90" i="7"/>
  <c r="J131" i="7"/>
  <c r="F90" i="7" l="1"/>
  <c r="B45" i="10"/>
  <c r="G91" i="7"/>
  <c r="D134" i="7"/>
  <c r="H133" i="7"/>
  <c r="F91" i="7" l="1"/>
  <c r="B46" i="10"/>
  <c r="D135" i="7"/>
  <c r="H134" i="7"/>
  <c r="J134" i="7" s="1"/>
  <c r="G92" i="7"/>
  <c r="J133" i="7"/>
  <c r="F92" i="7" l="1"/>
  <c r="B47" i="10"/>
  <c r="G93" i="7"/>
  <c r="D136" i="7"/>
  <c r="H135" i="7"/>
  <c r="F93" i="7" l="1"/>
  <c r="B48" i="10"/>
  <c r="D137" i="7"/>
  <c r="H136" i="7"/>
  <c r="J136" i="7" s="1"/>
  <c r="G94" i="7"/>
  <c r="J135" i="7"/>
  <c r="F94" i="7" l="1"/>
  <c r="B49" i="10"/>
  <c r="G95" i="7"/>
  <c r="D138" i="7"/>
  <c r="H137" i="7"/>
  <c r="F95" i="7" l="1"/>
  <c r="B50" i="10"/>
  <c r="D139" i="7"/>
  <c r="H138" i="7"/>
  <c r="J138" i="7" s="1"/>
  <c r="G96" i="7"/>
  <c r="J137" i="7"/>
  <c r="F96" i="7" l="1"/>
  <c r="B51" i="10"/>
  <c r="G97" i="7"/>
  <c r="D140" i="7"/>
  <c r="H139" i="7"/>
  <c r="F97" i="7" l="1"/>
  <c r="B52" i="10"/>
  <c r="D141" i="7"/>
  <c r="H140" i="7"/>
  <c r="J140" i="7" s="1"/>
  <c r="J139" i="7"/>
  <c r="G98" i="7" l="1"/>
  <c r="H141" i="7"/>
  <c r="D142" i="7"/>
  <c r="F98" i="7" l="1"/>
  <c r="B53" i="10"/>
  <c r="D143" i="7"/>
  <c r="H142" i="7"/>
  <c r="J141" i="7"/>
  <c r="G99" i="7" l="1"/>
  <c r="D144" i="7"/>
  <c r="H143" i="7"/>
  <c r="J142" i="7"/>
  <c r="F99" i="7" l="1"/>
  <c r="B54" i="10"/>
  <c r="D145" i="7"/>
  <c r="H144" i="7"/>
  <c r="J144" i="7" s="1"/>
  <c r="J143" i="7"/>
  <c r="G100" i="7" l="1"/>
  <c r="D146" i="7"/>
  <c r="H146" i="7" s="1"/>
  <c r="G101" i="7" s="1"/>
  <c r="H145" i="7"/>
  <c r="F101" i="7" l="1"/>
  <c r="C10" i="4" s="1"/>
  <c r="C11" i="4" s="1"/>
  <c r="B56" i="10"/>
  <c r="F100" i="7"/>
  <c r="B55" i="10"/>
  <c r="J146" i="7"/>
  <c r="J14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B16" authorId="0" shapeId="0" xr:uid="{FEF7E9A2-DB83-4E48-BCFC-FCB456DB52C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강하수위</t>
        </r>
      </text>
    </comment>
    <comment ref="O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B43" authorId="0" shapeId="0" xr:uid="{C0B7684F-DA54-4B97-B95E-3B0D9F9980B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=INT(SQRT((2.25*A44*A47)/(A45*10^(5.46*A44*A46)))*1000)/1000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B44" authorId="0" shapeId="0" xr:uid="{FCB29100-47E3-4321-8774-FB219FB537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45" authorId="0" shapeId="0" xr:uid="{CEA5A2BE-111B-4C8B-B5FC-71F848FEF57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
</t>
        </r>
      </text>
    </comment>
    <comment ref="B46" authorId="0" shapeId="0" xr:uid="{57B8C077-400D-41FF-A2C4-51017D7B0E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Y = C*X + B
C : </t>
        </r>
        <r>
          <rPr>
            <sz val="9"/>
            <color indexed="81"/>
            <rFont val="돋움"/>
            <family val="3"/>
            <charset val="129"/>
          </rPr>
          <t xml:space="preserve">우물손실계수
</t>
        </r>
        <r>
          <rPr>
            <sz val="9"/>
            <color indexed="81"/>
            <rFont val="Tahoma"/>
            <family val="2"/>
          </rPr>
          <t xml:space="preserve">
B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손실계수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B47" authorId="0" shapeId="0" xr:uid="{721BDC72-9E80-4093-819F-B9D765A2338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t* 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>=120/1440</t>
        </r>
      </text>
    </comment>
    <comment ref="M47" authorId="0" shapeId="0" xr:uid="{51B5D73B-05FC-46BB-860E-48F935B7B58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적정양수량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가채수량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차등적용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M52" authorId="0" shapeId="0" xr:uid="{CE5E65C2-A6E6-4337-93AE-6F572E558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89%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7" authorId="1" shapeId="0" xr:uid="{CB197D96-6FD8-4389-A957-5BB2469CF3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2.25*Tt'
</t>
        </r>
        <r>
          <rPr>
            <sz val="9"/>
            <color indexed="81"/>
            <rFont val="돋움"/>
            <family val="3"/>
            <charset val="129"/>
          </rPr>
          <t>이것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여기에서의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 xml:space="preserve">단계양수시험의
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경험식</t>
        </r>
        <r>
          <rPr>
            <sz val="11"/>
            <color indexed="81"/>
            <rFont val="Tahoma"/>
            <family val="2"/>
          </rPr>
          <t xml:space="preserve"> 1</t>
        </r>
        <r>
          <rPr>
            <sz val="11"/>
            <color indexed="81"/>
            <rFont val="돋움"/>
            <family val="3"/>
            <charset val="129"/>
          </rPr>
          <t>번에서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사용</t>
        </r>
        <r>
          <rPr>
            <sz val="11"/>
            <color indexed="81"/>
            <rFont val="Tahoma"/>
            <family val="2"/>
          </rPr>
          <t>,</t>
        </r>
        <r>
          <rPr>
            <sz val="9"/>
            <color indexed="81"/>
            <rFont val="Tahoma"/>
            <family val="2"/>
          </rPr>
          <t xml:space="preserve">
b  =  </t>
        </r>
        <r>
          <rPr>
            <sz val="11"/>
            <color indexed="81"/>
            <rFont val="Tahoma"/>
            <family val="2"/>
          </rPr>
          <t xml:space="preserve">S*10^(5.46*T*B)
</t>
        </r>
        <r>
          <rPr>
            <sz val="10"/>
            <color indexed="81"/>
            <rFont val="돋움"/>
            <family val="3"/>
            <charset val="129"/>
          </rPr>
          <t>여기에서의</t>
        </r>
        <r>
          <rPr>
            <sz val="10"/>
            <color indexed="81"/>
            <rFont val="Tahoma"/>
            <family val="2"/>
          </rPr>
          <t xml:space="preserve"> T</t>
        </r>
        <r>
          <rPr>
            <sz val="10"/>
            <color indexed="81"/>
            <rFont val="돋움"/>
            <family val="3"/>
            <charset val="129"/>
          </rPr>
          <t>값도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단계양수시험에서의</t>
        </r>
        <r>
          <rPr>
            <sz val="10"/>
            <color indexed="81"/>
            <rFont val="Tahoma"/>
            <family val="2"/>
          </rPr>
          <t xml:space="preserve"> T</t>
        </r>
        <r>
          <rPr>
            <sz val="10"/>
            <color indexed="81"/>
            <rFont val="돋움"/>
            <family val="3"/>
            <charset val="129"/>
          </rPr>
          <t>값을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 xml:space="preserve">사용
</t>
        </r>
        <r>
          <rPr>
            <sz val="10"/>
            <color indexed="81"/>
            <rFont val="Tahoma"/>
            <family val="2"/>
          </rPr>
          <t>D4 cell</t>
        </r>
        <r>
          <rPr>
            <sz val="11"/>
            <color indexed="81"/>
            <rFont val="Tahoma"/>
            <family val="2"/>
          </rPr>
          <t xml:space="preserve">
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돋움"/>
            <family val="3"/>
            <charset val="129"/>
          </rPr>
          <t>경험식</t>
        </r>
        <r>
          <rPr>
            <sz val="11"/>
            <color indexed="81"/>
            <rFont val="Tahoma"/>
            <family val="2"/>
          </rPr>
          <t xml:space="preserve"> 2</t>
        </r>
        <r>
          <rPr>
            <sz val="11"/>
            <color indexed="81"/>
            <rFont val="돋움"/>
            <family val="3"/>
            <charset val="129"/>
          </rPr>
          <t>번에서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사용</t>
        </r>
        <r>
          <rPr>
            <sz val="11"/>
            <color indexed="81"/>
            <rFont val="Tahoma"/>
            <family val="2"/>
          </rPr>
          <t>,</t>
        </r>
        <r>
          <rPr>
            <sz val="9"/>
            <color indexed="81"/>
            <rFont val="Tahoma"/>
            <family val="2"/>
          </rPr>
          <t xml:space="preserve">
e = </t>
        </r>
        <r>
          <rPr>
            <sz val="12"/>
            <color indexed="81"/>
            <rFont val="Tahoma"/>
            <family val="2"/>
          </rPr>
          <t xml:space="preserve">S*e^(4pi*T*B)
</t>
        </r>
        <r>
          <rPr>
            <sz val="10"/>
            <color indexed="81"/>
            <rFont val="돋움"/>
            <family val="3"/>
            <charset val="129"/>
          </rPr>
          <t>여기에서의</t>
        </r>
        <r>
          <rPr>
            <sz val="10"/>
            <color indexed="81"/>
            <rFont val="Tahoma"/>
            <family val="2"/>
          </rPr>
          <t xml:space="preserve"> T</t>
        </r>
        <r>
          <rPr>
            <sz val="10"/>
            <color indexed="81"/>
            <rFont val="돋움"/>
            <family val="3"/>
            <charset val="129"/>
          </rPr>
          <t>값도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단계양수시험에서의</t>
        </r>
        <r>
          <rPr>
            <sz val="10"/>
            <color indexed="81"/>
            <rFont val="Tahoma"/>
            <family val="2"/>
          </rPr>
          <t xml:space="preserve"> T</t>
        </r>
        <r>
          <rPr>
            <sz val="10"/>
            <color indexed="81"/>
            <rFont val="돋움"/>
            <family val="3"/>
            <charset val="129"/>
          </rPr>
          <t>값을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 xml:space="preserve">사용
</t>
        </r>
        <r>
          <rPr>
            <sz val="10"/>
            <color indexed="81"/>
            <rFont val="Tahoma"/>
            <family val="2"/>
          </rPr>
          <t>D4 cell</t>
        </r>
        <r>
          <rPr>
            <sz val="12"/>
            <color indexed="81"/>
            <rFont val="Tahoma"/>
            <family val="2"/>
          </rPr>
          <t xml:space="preserve">
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<sst xmlns="http://schemas.openxmlformats.org/spreadsheetml/2006/main" count="1109" uniqueCount="262">
  <si>
    <t>지하수위</t>
    <phoneticPr fontId="8" type="noConversion"/>
  </si>
  <si>
    <t>강하수위</t>
    <phoneticPr fontId="8" type="noConversion"/>
  </si>
  <si>
    <t>Sw/Q</t>
    <phoneticPr fontId="8" type="noConversion"/>
  </si>
  <si>
    <t>Q/Sw</t>
    <phoneticPr fontId="8" type="noConversion"/>
  </si>
  <si>
    <t xml:space="preserve"> </t>
  </si>
  <si>
    <t>그래프기울기저정</t>
    <phoneticPr fontId="8" type="noConversion"/>
  </si>
  <si>
    <t>비양수량(Q/Sw)</t>
    <phoneticPr fontId="8" type="noConversion"/>
  </si>
  <si>
    <t>1단계조정</t>
    <phoneticPr fontId="8" type="noConversion"/>
  </si>
  <si>
    <t>2단계조정</t>
    <phoneticPr fontId="8" type="noConversion"/>
  </si>
  <si>
    <t>3단계조정</t>
    <phoneticPr fontId="8" type="noConversion"/>
  </si>
  <si>
    <t>5단계조정</t>
    <phoneticPr fontId="8" type="noConversion"/>
  </si>
  <si>
    <t>그래프양수량조정</t>
    <phoneticPr fontId="8" type="noConversion"/>
  </si>
  <si>
    <t>Sw</t>
    <phoneticPr fontId="8" type="noConversion"/>
  </si>
  <si>
    <t>Q</t>
    <phoneticPr fontId="8" type="noConversion"/>
  </si>
  <si>
    <t>정해진 목표 가채수량</t>
    <phoneticPr fontId="8" type="noConversion"/>
  </si>
  <si>
    <t>계산상 가재수량</t>
    <phoneticPr fontId="8" type="noConversion"/>
  </si>
  <si>
    <t>C</t>
  </si>
  <si>
    <t>B</t>
  </si>
  <si>
    <t>우물효율</t>
    <phoneticPr fontId="8" type="noConversion"/>
  </si>
  <si>
    <t>기울기</t>
    <phoneticPr fontId="8" type="noConversion"/>
  </si>
  <si>
    <t>Y절편</t>
    <phoneticPr fontId="8" type="noConversion"/>
  </si>
  <si>
    <t xml:space="preserve"> </t>
    <phoneticPr fontId="8" type="noConversion"/>
  </si>
  <si>
    <t>Q=</t>
    <phoneticPr fontId="8" type="noConversion"/>
  </si>
  <si>
    <t>장기양수량</t>
    <phoneticPr fontId="8" type="noConversion"/>
  </si>
  <si>
    <t>유효우물</t>
    <phoneticPr fontId="8" type="noConversion"/>
  </si>
  <si>
    <t>반경  =</t>
    <phoneticPr fontId="8" type="noConversion"/>
  </si>
  <si>
    <t>m</t>
    <phoneticPr fontId="8" type="noConversion"/>
  </si>
  <si>
    <t>양수량</t>
    <phoneticPr fontId="8" type="noConversion"/>
  </si>
  <si>
    <t>T</t>
    <phoneticPr fontId="8" type="noConversion"/>
  </si>
  <si>
    <t>조사명</t>
    <phoneticPr fontId="8" type="noConversion"/>
  </si>
  <si>
    <t>우물직경</t>
    <phoneticPr fontId="8" type="noConversion"/>
  </si>
  <si>
    <t>케이싱직경</t>
    <phoneticPr fontId="8" type="noConversion"/>
  </si>
  <si>
    <t>S</t>
    <phoneticPr fontId="8" type="noConversion"/>
  </si>
  <si>
    <t>지구명</t>
    <phoneticPr fontId="8" type="noConversion"/>
  </si>
  <si>
    <t>관정심도</t>
    <phoneticPr fontId="8" type="noConversion"/>
  </si>
  <si>
    <t>B</t>
    <phoneticPr fontId="8" type="noConversion"/>
  </si>
  <si>
    <t>대수층손실</t>
    <phoneticPr fontId="8" type="noConversion"/>
  </si>
  <si>
    <t>위  치</t>
    <phoneticPr fontId="8" type="noConversion"/>
  </si>
  <si>
    <t>대수층두께</t>
    <phoneticPr fontId="8" type="noConversion"/>
  </si>
  <si>
    <t>t</t>
    <phoneticPr fontId="8" type="noConversion"/>
  </si>
  <si>
    <t>고정</t>
    <phoneticPr fontId="8" type="noConversion"/>
  </si>
  <si>
    <t>조사자</t>
    <phoneticPr fontId="8" type="noConversion"/>
  </si>
  <si>
    <t>적정양수량</t>
    <phoneticPr fontId="8" type="noConversion"/>
  </si>
  <si>
    <t>수중모터</t>
    <phoneticPr fontId="8" type="noConversion"/>
  </si>
  <si>
    <t>자연수위</t>
    <phoneticPr fontId="8" type="noConversion"/>
  </si>
  <si>
    <t>Re =</t>
    <phoneticPr fontId="8" type="noConversion"/>
  </si>
  <si>
    <t>A</t>
    <phoneticPr fontId="8" type="noConversion"/>
  </si>
  <si>
    <t>양수시험일</t>
    <phoneticPr fontId="8" type="noConversion"/>
  </si>
  <si>
    <t>안정수위</t>
    <phoneticPr fontId="8" type="noConversion"/>
  </si>
  <si>
    <t>2.25xTxt =</t>
    <phoneticPr fontId="8" type="noConversion"/>
  </si>
  <si>
    <t>수위강하량</t>
    <phoneticPr fontId="8" type="noConversion"/>
  </si>
  <si>
    <t>S =</t>
    <phoneticPr fontId="8" type="noConversion"/>
  </si>
  <si>
    <t>개발시 적정채수량으로 적용 =</t>
    <phoneticPr fontId="8" type="noConversion"/>
  </si>
  <si>
    <t>가채수량</t>
    <phoneticPr fontId="8" type="noConversion"/>
  </si>
  <si>
    <t>10^(5.46xTxB)=</t>
    <phoneticPr fontId="8" type="noConversion"/>
  </si>
  <si>
    <t>케이싱</t>
    <phoneticPr fontId="8" type="noConversion"/>
  </si>
  <si>
    <t>우물자재</t>
    <phoneticPr fontId="8" type="noConversion"/>
  </si>
  <si>
    <t>단계수위강하</t>
    <phoneticPr fontId="8" type="noConversion"/>
  </si>
  <si>
    <t>A/B =</t>
    <phoneticPr fontId="8" type="noConversion"/>
  </si>
  <si>
    <t>공번</t>
    <phoneticPr fontId="8" type="noConversion"/>
  </si>
  <si>
    <t>W-1</t>
    <phoneticPr fontId="8" type="noConversion"/>
  </si>
  <si>
    <t>T값</t>
    <phoneticPr fontId="8" type="noConversion"/>
  </si>
  <si>
    <t>선택치</t>
    <phoneticPr fontId="8" type="noConversion"/>
  </si>
  <si>
    <t>S값</t>
    <phoneticPr fontId="8" type="noConversion"/>
  </si>
  <si>
    <t>△h</t>
    <phoneticPr fontId="8" type="noConversion"/>
  </si>
  <si>
    <t>영향반경</t>
    <phoneticPr fontId="8" type="noConversion"/>
  </si>
  <si>
    <t>R</t>
    <phoneticPr fontId="8" type="noConversion"/>
  </si>
  <si>
    <t>포획구간</t>
    <phoneticPr fontId="8" type="noConversion"/>
  </si>
  <si>
    <t>단계양수시험</t>
    <phoneticPr fontId="8" type="noConversion"/>
  </si>
  <si>
    <t>K</t>
    <phoneticPr fontId="8" type="noConversion"/>
  </si>
  <si>
    <t>Shultze:</t>
    <phoneticPr fontId="8" type="noConversion"/>
  </si>
  <si>
    <t>상류</t>
    <phoneticPr fontId="8" type="noConversion"/>
  </si>
  <si>
    <t>하류</t>
    <phoneticPr fontId="8" type="noConversion"/>
  </si>
  <si>
    <t>장기디스시험</t>
    <phoneticPr fontId="8" type="noConversion"/>
  </si>
  <si>
    <t>Weber:</t>
    <phoneticPr fontId="8" type="noConversion"/>
  </si>
  <si>
    <t>장기c-j시험</t>
    <phoneticPr fontId="8" type="noConversion"/>
  </si>
  <si>
    <t>Jacob:</t>
    <phoneticPr fontId="8" type="noConversion"/>
  </si>
  <si>
    <t>회복수위시험</t>
    <phoneticPr fontId="8" type="noConversion"/>
  </si>
  <si>
    <t>평균</t>
    <phoneticPr fontId="8" type="noConversion"/>
  </si>
  <si>
    <t>s'=</t>
    <phoneticPr fontId="8" type="noConversion"/>
  </si>
  <si>
    <t>최대</t>
    <phoneticPr fontId="8" type="noConversion"/>
  </si>
  <si>
    <t>공번2</t>
    <phoneticPr fontId="8" type="noConversion"/>
  </si>
  <si>
    <t>저류계수</t>
    <phoneticPr fontId="8" type="noConversion"/>
  </si>
  <si>
    <t>유효우물반경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</si>
  <si>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8" type="noConversion"/>
  </si>
  <si>
    <t>SkinFactor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</si>
  <si>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</si>
  <si>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</si>
  <si>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</si>
  <si>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</si>
  <si>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</si>
  <si>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</si>
  <si>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</si>
  <si>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</si>
  <si>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</si>
  <si>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</si>
  <si>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</si>
  <si>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8" type="noConversion"/>
  </si>
  <si>
    <t>W-6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</si>
  <si>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</si>
  <si>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</si>
  <si>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</si>
  <si>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</si>
  <si>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8" type="noConversion"/>
  </si>
  <si>
    <t>W-9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</si>
  <si>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8" type="noConversion"/>
  </si>
  <si>
    <t>W-10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</si>
  <si>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8" type="noConversion"/>
  </si>
  <si>
    <t>W-11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</si>
  <si>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</si>
  <si>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</si>
  <si>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</si>
  <si>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</si>
  <si>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</si>
  <si>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</si>
  <si>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</si>
  <si>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</si>
  <si>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8" type="noConversion"/>
  </si>
  <si>
    <t>Rw</t>
    <phoneticPr fontId="8" type="noConversion"/>
  </si>
  <si>
    <t>π</t>
    <phoneticPr fontId="8" type="noConversion"/>
  </si>
  <si>
    <t>자연수위(단위 m)</t>
    <phoneticPr fontId="8" type="noConversion"/>
  </si>
  <si>
    <t>σ =</t>
    <phoneticPr fontId="8" type="noConversion"/>
  </si>
  <si>
    <t>=</t>
    <phoneticPr fontId="8" type="noConversion"/>
  </si>
  <si>
    <t>a---&gt;</t>
    <phoneticPr fontId="8" type="noConversion"/>
  </si>
  <si>
    <t>b---&gt;</t>
    <phoneticPr fontId="8" type="noConversion"/>
  </si>
  <si>
    <t>e---&gt;</t>
    <phoneticPr fontId="8" type="noConversion"/>
  </si>
  <si>
    <t>공심도(굴착깊이)</t>
    <phoneticPr fontId="8" type="noConversion"/>
  </si>
  <si>
    <t>SkinFactor Re =</t>
    <phoneticPr fontId="8" type="noConversion"/>
  </si>
  <si>
    <t>케이싱심도</t>
    <phoneticPr fontId="8" type="noConversion"/>
  </si>
  <si>
    <t>회복수위</t>
    <phoneticPr fontId="8" type="noConversion"/>
  </si>
  <si>
    <t>수위회복량(Sw)</t>
    <phoneticPr fontId="8" type="noConversion"/>
  </si>
  <si>
    <t>Shultze   R =</t>
    <phoneticPr fontId="8" type="noConversion"/>
  </si>
  <si>
    <t>△h(수위강하량) m</t>
    <phoneticPr fontId="8" type="noConversion"/>
  </si>
  <si>
    <t xml:space="preserve">대수층두께(m) </t>
    <phoneticPr fontId="8" type="noConversion"/>
  </si>
  <si>
    <t>T(투수량계수, ㎡/일)</t>
    <phoneticPr fontId="8" type="noConversion"/>
  </si>
  <si>
    <t>1일</t>
    <phoneticPr fontId="8" type="noConversion"/>
  </si>
  <si>
    <t>안정도달(분)</t>
    <phoneticPr fontId="8" type="noConversion"/>
  </si>
  <si>
    <t>t(일)</t>
    <phoneticPr fontId="8" type="noConversion"/>
  </si>
  <si>
    <t>Weber   R =</t>
    <phoneticPr fontId="8" type="noConversion"/>
  </si>
  <si>
    <t>△h(수위강하량)</t>
    <phoneticPr fontId="8" type="noConversion"/>
  </si>
  <si>
    <t>T(투수량계수)</t>
    <phoneticPr fontId="8" type="noConversion"/>
  </si>
  <si>
    <t>안정도달</t>
    <phoneticPr fontId="8" type="noConversion"/>
  </si>
  <si>
    <t>Jacop   R =</t>
    <phoneticPr fontId="8" type="noConversion"/>
  </si>
  <si>
    <t>T 값 평균=</t>
    <phoneticPr fontId="8" type="noConversion"/>
  </si>
  <si>
    <t>S 값 적용=</t>
    <phoneticPr fontId="8" type="noConversion"/>
  </si>
  <si>
    <t>영향반경 평균=</t>
    <phoneticPr fontId="8" type="noConversion"/>
  </si>
  <si>
    <t>1단계양수량(Q1)</t>
    <phoneticPr fontId="8" type="noConversion"/>
  </si>
  <si>
    <t>1단계수위강하량(S1)</t>
    <phoneticPr fontId="8" type="noConversion"/>
  </si>
  <si>
    <t>4단계수위강하량(S2)</t>
    <phoneticPr fontId="8" type="noConversion"/>
  </si>
  <si>
    <t>2/3</t>
    <phoneticPr fontId="8" type="noConversion"/>
  </si>
  <si>
    <t>가채수량(Q)</t>
    <phoneticPr fontId="8" type="noConversion"/>
  </si>
  <si>
    <t>적용가채수량(Q)</t>
    <phoneticPr fontId="8" type="noConversion"/>
  </si>
  <si>
    <t>한계양수량</t>
    <phoneticPr fontId="8" type="noConversion"/>
  </si>
  <si>
    <t>취수계획량</t>
    <phoneticPr fontId="8" type="noConversion"/>
  </si>
  <si>
    <t>&lt;부록 : 4&gt; 양수시험일보</t>
    <phoneticPr fontId="8" type="noConversion"/>
  </si>
  <si>
    <t>초기치</t>
    <phoneticPr fontId="8" type="noConversion"/>
  </si>
  <si>
    <t>수위강하량 초기치조정</t>
    <phoneticPr fontId="8" type="noConversion"/>
  </si>
  <si>
    <t>단  계  양  수  시  험  일  보</t>
  </si>
  <si>
    <t>그래프조정</t>
    <phoneticPr fontId="8" type="noConversion"/>
  </si>
  <si>
    <t>Re</t>
    <phoneticPr fontId="8" type="noConversion"/>
  </si>
  <si>
    <t>Day</t>
    <phoneticPr fontId="8" type="noConversion"/>
  </si>
  <si>
    <t>조 사 명</t>
    <phoneticPr fontId="8" type="noConversion"/>
  </si>
  <si>
    <t>지 구 명</t>
    <phoneticPr fontId="8" type="noConversion"/>
  </si>
  <si>
    <t>위    치</t>
    <phoneticPr fontId="8" type="noConversion"/>
  </si>
  <si>
    <t>조 사 자</t>
    <phoneticPr fontId="8" type="noConversion"/>
  </si>
  <si>
    <t>수중모타</t>
  </si>
  <si>
    <t>일    시</t>
  </si>
  <si>
    <t>우물현황</t>
  </si>
  <si>
    <t>직     경</t>
    <phoneticPr fontId="8" type="noConversion"/>
  </si>
  <si>
    <t>심    도</t>
  </si>
  <si>
    <t>양수시험</t>
  </si>
  <si>
    <t>단계</t>
  </si>
  <si>
    <t>양수량(㎥/day)</t>
    <phoneticPr fontId="8" type="noConversion"/>
  </si>
  <si>
    <t>관측 시간</t>
    <phoneticPr fontId="8" type="noConversion"/>
  </si>
  <si>
    <t>경과시간(분)</t>
    <phoneticPr fontId="8" type="noConversion"/>
  </si>
  <si>
    <t>지하수위(m)</t>
    <phoneticPr fontId="8" type="noConversion"/>
  </si>
  <si>
    <t>수위강하량(m)</t>
    <phoneticPr fontId="8" type="noConversion"/>
  </si>
  <si>
    <t>비  고</t>
  </si>
  <si>
    <t>양수시작</t>
  </si>
  <si>
    <t>1분양수량</t>
    <phoneticPr fontId="8" type="noConversion"/>
  </si>
  <si>
    <t>시경수량</t>
    <phoneticPr fontId="8" type="noConversion"/>
  </si>
  <si>
    <t>양수종료</t>
  </si>
  <si>
    <t>장기양수 및 회복수위시험 일보</t>
    <phoneticPr fontId="8" type="noConversion"/>
  </si>
  <si>
    <t>확인
적색으로</t>
    <phoneticPr fontId="8" type="noConversion"/>
  </si>
  <si>
    <t>단계양수 3단계
수위강하량</t>
    <phoneticPr fontId="8" type="noConversion"/>
  </si>
  <si>
    <t>360분수
위강하량</t>
    <phoneticPr fontId="8" type="noConversion"/>
  </si>
  <si>
    <t>안정수위=</t>
  </si>
  <si>
    <t>도달시간</t>
    <phoneticPr fontId="8" type="noConversion"/>
  </si>
  <si>
    <t>확    인</t>
    <phoneticPr fontId="8" type="noConversion"/>
  </si>
  <si>
    <t>자연수위</t>
  </si>
  <si>
    <t>안정수위</t>
  </si>
  <si>
    <t>관측시간</t>
  </si>
  <si>
    <t>회복수위측정</t>
  </si>
  <si>
    <t>적용시간</t>
    <phoneticPr fontId="8" type="noConversion"/>
  </si>
  <si>
    <t>적용수위</t>
    <phoneticPr fontId="8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</si>
  <si>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</si>
  <si>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</si>
  <si>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</si>
  <si>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</si>
  <si>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</si>
  <si>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</si>
  <si>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</si>
  <si>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</si>
  <si>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36" type="noConversion"/>
  </si>
  <si>
    <t>측정일시</t>
    <phoneticPr fontId="8" type="noConversion"/>
  </si>
  <si>
    <t>기본 온도</t>
    <phoneticPr fontId="8" type="noConversion"/>
  </si>
  <si>
    <t>기본 EC</t>
    <phoneticPr fontId="8" type="noConversion"/>
  </si>
  <si>
    <t>기본 PH</t>
    <phoneticPr fontId="8" type="noConversion"/>
  </si>
  <si>
    <t>항목</t>
    <phoneticPr fontId="8" type="noConversion"/>
  </si>
  <si>
    <t>경과</t>
    <phoneticPr fontId="8" type="noConversion"/>
  </si>
  <si>
    <t>온도( ℃ )</t>
    <phoneticPr fontId="8" type="noConversion"/>
  </si>
  <si>
    <t>EC (μs/㎝)</t>
    <phoneticPr fontId="8" type="noConversion"/>
  </si>
  <si>
    <t>pH</t>
    <phoneticPr fontId="8" type="noConversion"/>
  </si>
  <si>
    <t>최소</t>
    <phoneticPr fontId="8" type="noConversion"/>
  </si>
  <si>
    <t>변화량</t>
    <phoneticPr fontId="8" type="noConversion"/>
  </si>
  <si>
    <t>SkinFactor</t>
  </si>
  <si>
    <t>Max</t>
    <phoneticPr fontId="8" type="noConversion"/>
  </si>
  <si>
    <t>Average</t>
    <phoneticPr fontId="8" type="noConversion"/>
  </si>
  <si>
    <t>자연 수위</t>
    <phoneticPr fontId="5" type="noConversion"/>
  </si>
  <si>
    <t xml:space="preserve">산수개발(주) </t>
  </si>
  <si>
    <t>공  번 : W - 1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</si>
  <si>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</si>
  <si>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</si>
  <si>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</si>
  <si>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</si>
  <si>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</si>
  <si>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</si>
  <si>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</si>
  <si>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</si>
  <si>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</si>
  <si>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</si>
  <si>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</si>
  <si>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</si>
  <si>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</si>
  <si>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</si>
  <si>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</si>
  <si>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</si>
  <si>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8" type="noConversion"/>
  </si>
  <si>
    <t xml:space="preserve">S1:  </t>
    <phoneticPr fontId="8" type="noConversion"/>
  </si>
  <si>
    <t>&lt;---T1, 장기양수T</t>
    <phoneticPr fontId="8" type="noConversion"/>
  </si>
  <si>
    <t>강하수위(Sw)</t>
    <phoneticPr fontId="8" type="noConversion"/>
  </si>
  <si>
    <r>
      <t>6∙Δh∙K</t>
    </r>
    <r>
      <rPr>
        <sz val="11"/>
        <color rgb="FF000000"/>
        <rFont val="Calibri"/>
        <family val="2"/>
      </rPr>
      <t>∙</t>
    </r>
    <r>
      <rPr>
        <sz val="11"/>
        <color rgb="FF000000"/>
        <rFont val="Cambria Math"/>
        <family val="1"/>
      </rPr>
      <t>t</t>
    </r>
  </si>
  <si>
    <t>경험식, Re1=</t>
    <phoneticPr fontId="8" type="noConversion"/>
  </si>
  <si>
    <t>경험식, Re2=</t>
    <phoneticPr fontId="8" type="noConversion"/>
  </si>
  <si>
    <t>경험식, Re3=</t>
    <phoneticPr fontId="8" type="noConversion"/>
  </si>
  <si>
    <t xml:space="preserve">시추조사시 수량의 대소에 따라 차등적용 = </t>
    <phoneticPr fontId="8" type="noConversion"/>
  </si>
  <si>
    <t>단계별수위강하</t>
    <phoneticPr fontId="8" type="noConversion"/>
  </si>
  <si>
    <t>단면적</t>
    <phoneticPr fontId="5" type="noConversion"/>
  </si>
  <si>
    <t>지하수위</t>
    <phoneticPr fontId="5" type="noConversion"/>
  </si>
  <si>
    <t>시간</t>
    <phoneticPr fontId="5" type="noConversion"/>
  </si>
  <si>
    <t>검사</t>
    <phoneticPr fontId="5" type="noConversion"/>
  </si>
  <si>
    <t>S2</t>
    <phoneticPr fontId="8" type="noConversion"/>
  </si>
  <si>
    <t xml:space="preserve"> T2 =</t>
    <phoneticPr fontId="8" type="noConversion"/>
  </si>
  <si>
    <t>T1 =</t>
    <phoneticPr fontId="8" type="noConversion"/>
  </si>
  <si>
    <t>충청남도 보령시 오천면 오포리 409-1</t>
    <phoneticPr fontId="8" type="noConversion"/>
  </si>
  <si>
    <t>2023년 지하수영향조사 용역(북부)</t>
    <phoneticPr fontId="8" type="noConversion"/>
  </si>
  <si>
    <t>오포지구</t>
    <phoneticPr fontId="8" type="noConversion"/>
  </si>
  <si>
    <t>100
128
156
183
210</t>
  </si>
  <si>
    <t>24.07
28.66
33.82
39.58
48.36</t>
  </si>
  <si>
    <t>13.77
18.36
23.52
29.28
38.06</t>
  </si>
  <si>
    <t>7.299
6.993
6.623
6.250
5.556</t>
  </si>
  <si>
    <t>0.137
0.143
0.151
0.160
0.180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</si>
</sst>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</numFmts>
  <fonts count="88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1"/>
      <color rgb="FF9C5700"/>
      <name val="맑은 고딕"/>
      <family val="2"/>
      <scheme val="minor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1"/>
      <color rgb="FF000000"/>
      <name val="Calibri"/>
      <family val="2"/>
    </font>
    <font>
      <sz val="11"/>
      <color rgb="FF000000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9"/>
      <color indexed="8"/>
      <name val="굴림체"/>
      <family val="3"/>
      <charset val="129"/>
    </font>
    <font>
      <sz val="9"/>
      <color indexed="8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b/>
      <sz val="10"/>
      <color indexed="8"/>
      <name val="굴림체"/>
      <family val="3"/>
      <charset val="129"/>
    </font>
    <font>
      <sz val="10"/>
      <name val="굴림체"/>
      <family val="3"/>
      <charset val="129"/>
    </font>
    <font>
      <b/>
      <i/>
      <sz val="11"/>
      <color indexed="10"/>
      <name val="맑은 고딕"/>
      <family val="3"/>
      <charset val="129"/>
    </font>
    <font>
      <sz val="10"/>
      <color indexed="81"/>
      <name val="Tahoma"/>
      <family val="2"/>
    </font>
    <font>
      <sz val="10"/>
      <color indexed="81"/>
      <name val="돋움"/>
      <family val="3"/>
      <charset val="129"/>
    </font>
    <font>
      <sz val="11"/>
      <color indexed="81"/>
      <name val="돋움"/>
      <family val="3"/>
      <charset val="129"/>
    </font>
    <font>
      <b/>
      <sz val="9"/>
      <color theme="1"/>
      <name val="굴림체"/>
      <family val="3"/>
      <charset val="129"/>
    </font>
  </fonts>
  <fills count="33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7" tint="0.59999389629810485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7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0" borderId="0"/>
    <xf numFmtId="180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>
      <alignment vertical="center"/>
    </xf>
  </cellStyleXfs>
  <cellXfs count="537">
    <xf numFmtId="0" fontId="0" fillId="0" borderId="0" xfId="0">
      <alignment vertical="center"/>
    </xf>
    <xf numFmtId="0" fontId="4" fillId="0" borderId="0" xfId="3" applyFont="1"/>
    <xf numFmtId="0" fontId="7" fillId="0" borderId="0" xfId="3" applyFont="1"/>
    <xf numFmtId="0" fontId="6" fillId="0" borderId="0" xfId="3" applyFont="1" applyAlignment="1">
      <alignment horizontal="center" vertical="center"/>
    </xf>
    <xf numFmtId="0" fontId="4" fillId="0" borderId="0" xfId="3" applyFont="1" applyAlignment="1">
      <alignment horizontal="center" vertical="center"/>
    </xf>
    <xf numFmtId="0" fontId="11" fillId="0" borderId="0" xfId="3" applyFont="1" applyAlignment="1">
      <alignment horizontal="center" vertical="center" readingOrder="1"/>
    </xf>
    <xf numFmtId="0" fontId="3" fillId="0" borderId="0" xfId="3"/>
    <xf numFmtId="0" fontId="4" fillId="0" borderId="0" xfId="3" applyFont="1" applyAlignment="1">
      <alignment horizontal="right"/>
    </xf>
    <xf numFmtId="177" fontId="7" fillId="0" borderId="0" xfId="3" applyNumberFormat="1" applyFont="1"/>
    <xf numFmtId="0" fontId="15" fillId="0" borderId="0" xfId="3" applyFont="1"/>
    <xf numFmtId="0" fontId="29" fillId="0" borderId="0" xfId="3" applyFont="1" applyAlignment="1">
      <alignment horizontal="center" vertical="center"/>
    </xf>
    <xf numFmtId="0" fontId="30" fillId="0" borderId="0" xfId="3" applyFont="1" applyAlignment="1">
      <alignment horizontal="center" vertical="center"/>
    </xf>
    <xf numFmtId="0" fontId="15" fillId="0" borderId="0" xfId="3" applyFont="1" applyAlignment="1">
      <alignment horizontal="center" vertical="center"/>
    </xf>
    <xf numFmtId="0" fontId="31" fillId="0" borderId="0" xfId="3" applyFont="1" applyAlignment="1">
      <alignment horizontal="center" vertical="center"/>
    </xf>
    <xf numFmtId="0" fontId="24" fillId="0" borderId="0" xfId="3" applyFont="1" applyAlignment="1">
      <alignment horizontal="center" vertical="center"/>
    </xf>
    <xf numFmtId="0" fontId="15" fillId="0" borderId="0" xfId="6" applyFont="1">
      <alignment vertical="center"/>
    </xf>
    <xf numFmtId="0" fontId="15" fillId="0" borderId="0" xfId="6" applyFont="1" applyAlignment="1">
      <alignment horizontal="center" vertical="center"/>
    </xf>
    <xf numFmtId="192" fontId="15" fillId="0" borderId="0" xfId="6" applyNumberFormat="1" applyFont="1">
      <alignment vertical="center"/>
    </xf>
    <xf numFmtId="0" fontId="15" fillId="0" borderId="1" xfId="6" applyFont="1" applyBorder="1" applyAlignment="1">
      <alignment horizontal="center" vertical="center"/>
    </xf>
    <xf numFmtId="193" fontId="15" fillId="0" borderId="0" xfId="6" applyNumberFormat="1" applyFont="1">
      <alignment vertical="center"/>
    </xf>
    <xf numFmtId="0" fontId="15" fillId="0" borderId="18" xfId="6" applyFont="1" applyBorder="1">
      <alignment vertical="center"/>
    </xf>
    <xf numFmtId="195" fontId="15" fillId="0" borderId="0" xfId="6" applyNumberFormat="1" applyFont="1">
      <alignment vertical="center"/>
    </xf>
    <xf numFmtId="196" fontId="18" fillId="0" borderId="0" xfId="6" applyNumberFormat="1" applyFont="1">
      <alignment vertical="center"/>
    </xf>
    <xf numFmtId="0" fontId="34" fillId="0" borderId="0" xfId="6" applyFont="1" applyAlignment="1">
      <alignment horizontal="right" vertical="center"/>
    </xf>
    <xf numFmtId="0" fontId="15" fillId="0" borderId="21" xfId="6" applyFont="1" applyBorder="1">
      <alignment vertical="center"/>
    </xf>
    <xf numFmtId="0" fontId="15" fillId="0" borderId="25" xfId="6" applyFont="1" applyBorder="1">
      <alignment vertical="center"/>
    </xf>
    <xf numFmtId="0" fontId="15" fillId="0" borderId="4" xfId="6" applyFont="1" applyBorder="1">
      <alignment vertical="center"/>
    </xf>
    <xf numFmtId="0" fontId="15" fillId="0" borderId="4" xfId="6" applyFont="1" applyBorder="1" applyAlignment="1">
      <alignment horizontal="center" vertical="center"/>
    </xf>
    <xf numFmtId="0" fontId="14" fillId="0" borderId="25" xfId="6" applyFont="1" applyBorder="1" applyAlignment="1">
      <alignment horizontal="center" vertical="center"/>
    </xf>
    <xf numFmtId="178" fontId="15" fillId="0" borderId="28" xfId="6" applyNumberFormat="1" applyFont="1" applyBorder="1" applyAlignment="1">
      <alignment horizontal="center" vertical="center"/>
    </xf>
    <xf numFmtId="0" fontId="15" fillId="0" borderId="28" xfId="6" applyFont="1" applyBorder="1" applyAlignment="1">
      <alignment horizontal="center" vertical="center"/>
    </xf>
    <xf numFmtId="178" fontId="15" fillId="0" borderId="0" xfId="6" applyNumberFormat="1" applyFont="1">
      <alignment vertical="center"/>
    </xf>
    <xf numFmtId="0" fontId="15" fillId="0" borderId="22" xfId="6" applyFont="1" applyBorder="1">
      <alignment vertical="center"/>
    </xf>
    <xf numFmtId="0" fontId="15" fillId="0" borderId="22" xfId="6" applyFont="1" applyBorder="1" applyAlignment="1">
      <alignment horizontal="center" vertical="center"/>
    </xf>
    <xf numFmtId="0" fontId="15" fillId="0" borderId="26" xfId="6" applyFont="1" applyBorder="1" applyAlignment="1">
      <alignment horizontal="center" vertical="center"/>
    </xf>
    <xf numFmtId="0" fontId="15" fillId="0" borderId="29" xfId="6" applyFont="1" applyBorder="1" applyAlignment="1">
      <alignment horizontal="center" vertical="center"/>
    </xf>
    <xf numFmtId="0" fontId="15" fillId="0" borderId="30" xfId="6" applyFont="1" applyBorder="1" applyAlignment="1">
      <alignment horizontal="center" vertical="center"/>
    </xf>
    <xf numFmtId="0" fontId="15" fillId="0" borderId="0" xfId="6" applyFont="1" applyAlignment="1">
      <alignment horizontal="right" vertical="center"/>
    </xf>
    <xf numFmtId="0" fontId="3" fillId="0" borderId="0" xfId="3" applyAlignment="1">
      <alignment horizontal="center"/>
    </xf>
    <xf numFmtId="0" fontId="29" fillId="0" borderId="0" xfId="3" applyFont="1" applyAlignment="1">
      <alignment horizontal="right" vertical="center"/>
    </xf>
    <xf numFmtId="0" fontId="29" fillId="0" borderId="0" xfId="3" applyFont="1" applyAlignment="1">
      <alignment vertical="center"/>
    </xf>
    <xf numFmtId="0" fontId="29" fillId="0" borderId="0" xfId="3" applyFont="1" applyAlignment="1">
      <alignment horizontal="right" vertical="center" wrapText="1"/>
    </xf>
    <xf numFmtId="0" fontId="29" fillId="0" borderId="0" xfId="3" quotePrefix="1" applyFont="1" applyAlignment="1">
      <alignment horizontal="right" vertical="center" wrapText="1"/>
    </xf>
    <xf numFmtId="0" fontId="35" fillId="16" borderId="11" xfId="3" applyFont="1" applyFill="1" applyBorder="1" applyAlignment="1">
      <alignment horizontal="right" vertical="center"/>
    </xf>
    <xf numFmtId="0" fontId="35" fillId="16" borderId="13" xfId="3" applyFont="1" applyFill="1" applyBorder="1" applyAlignment="1">
      <alignment horizontal="right" vertical="center"/>
    </xf>
    <xf numFmtId="0" fontId="35" fillId="16" borderId="33" xfId="3" applyFont="1" applyFill="1" applyBorder="1" applyAlignment="1">
      <alignment horizontal="right" vertical="center"/>
    </xf>
    <xf numFmtId="0" fontId="36" fillId="0" borderId="0" xfId="3" applyFont="1"/>
    <xf numFmtId="0" fontId="36" fillId="0" borderId="0" xfId="3" applyFont="1" applyAlignment="1">
      <alignment horizontal="center"/>
    </xf>
    <xf numFmtId="0" fontId="36" fillId="0" borderId="0" xfId="3" applyFont="1" applyAlignment="1">
      <alignment vertical="top"/>
    </xf>
    <xf numFmtId="181" fontId="36" fillId="0" borderId="0" xfId="3" applyNumberFormat="1" applyFont="1"/>
    <xf numFmtId="0" fontId="36" fillId="0" borderId="0" xfId="3" applyFont="1" applyAlignment="1">
      <alignment vertical="center"/>
    </xf>
    <xf numFmtId="0" fontId="36" fillId="4" borderId="0" xfId="3" applyFont="1" applyFill="1" applyAlignment="1">
      <alignment vertical="center"/>
    </xf>
    <xf numFmtId="0" fontId="36" fillId="0" borderId="0" xfId="3" applyFont="1" applyAlignment="1">
      <alignment horizontal="center" vertical="center"/>
    </xf>
    <xf numFmtId="181" fontId="36" fillId="0" borderId="0" xfId="3" applyNumberFormat="1" applyFont="1" applyAlignment="1">
      <alignment horizontal="center" vertical="center"/>
    </xf>
    <xf numFmtId="1" fontId="36" fillId="0" borderId="0" xfId="3" applyNumberFormat="1" applyFont="1" applyAlignment="1">
      <alignment vertical="center"/>
    </xf>
    <xf numFmtId="200" fontId="36" fillId="0" borderId="0" xfId="3" applyNumberFormat="1" applyFont="1" applyAlignment="1">
      <alignment vertical="center"/>
    </xf>
    <xf numFmtId="2" fontId="36" fillId="0" borderId="0" xfId="3" applyNumberFormat="1" applyFont="1" applyAlignment="1">
      <alignment vertical="center"/>
    </xf>
    <xf numFmtId="176" fontId="36" fillId="0" borderId="0" xfId="3" applyNumberFormat="1" applyFont="1" applyAlignment="1">
      <alignment vertical="center"/>
    </xf>
    <xf numFmtId="177" fontId="36" fillId="17" borderId="0" xfId="3" applyNumberFormat="1" applyFont="1" applyFill="1" applyAlignment="1">
      <alignment vertical="center"/>
    </xf>
    <xf numFmtId="182" fontId="36" fillId="0" borderId="0" xfId="3" applyNumberFormat="1" applyFont="1" applyAlignment="1">
      <alignment vertical="center"/>
    </xf>
    <xf numFmtId="181" fontId="36" fillId="0" borderId="0" xfId="3" applyNumberFormat="1" applyFont="1" applyAlignment="1">
      <alignment vertical="center"/>
    </xf>
    <xf numFmtId="0" fontId="38" fillId="0" borderId="0" xfId="3" applyFont="1" applyAlignment="1">
      <alignment vertical="center"/>
    </xf>
    <xf numFmtId="193" fontId="38" fillId="18" borderId="0" xfId="3" applyNumberFormat="1" applyFont="1" applyFill="1" applyAlignment="1">
      <alignment horizontal="center" vertical="center"/>
    </xf>
    <xf numFmtId="208" fontId="37" fillId="0" borderId="1" xfId="3" applyNumberFormat="1" applyFont="1" applyBorder="1" applyAlignment="1">
      <alignment horizontal="center" vertical="center"/>
    </xf>
    <xf numFmtId="186" fontId="36" fillId="0" borderId="0" xfId="3" applyNumberFormat="1" applyFont="1" applyAlignment="1">
      <alignment vertical="center"/>
    </xf>
    <xf numFmtId="0" fontId="39" fillId="19" borderId="0" xfId="3" applyFont="1" applyFill="1" applyAlignment="1">
      <alignment horizontal="center" vertical="center" wrapText="1"/>
    </xf>
    <xf numFmtId="209" fontId="36" fillId="9" borderId="0" xfId="3" applyNumberFormat="1" applyFont="1" applyFill="1" applyAlignment="1">
      <alignment horizontal="center" vertical="center"/>
    </xf>
    <xf numFmtId="0" fontId="36" fillId="9" borderId="0" xfId="3" applyFont="1" applyFill="1" applyAlignment="1">
      <alignment horizontal="center" vertical="center"/>
    </xf>
    <xf numFmtId="0" fontId="36" fillId="9" borderId="0" xfId="3" applyFont="1" applyFill="1" applyAlignment="1">
      <alignment horizontal="right" vertical="center" wrapText="1"/>
    </xf>
    <xf numFmtId="196" fontId="36" fillId="9" borderId="0" xfId="3" applyNumberFormat="1" applyFont="1" applyFill="1" applyAlignment="1">
      <alignment vertical="center"/>
    </xf>
    <xf numFmtId="0" fontId="36" fillId="0" borderId="0" xfId="3" applyFont="1" applyAlignment="1">
      <alignment horizontal="right" vertical="center"/>
    </xf>
    <xf numFmtId="205" fontId="36" fillId="0" borderId="0" xfId="3" applyNumberFormat="1" applyFont="1" applyAlignment="1">
      <alignment vertical="center"/>
    </xf>
    <xf numFmtId="176" fontId="36" fillId="0" borderId="0" xfId="3" applyNumberFormat="1" applyFont="1" applyAlignment="1">
      <alignment vertical="center" shrinkToFit="1"/>
    </xf>
    <xf numFmtId="0" fontId="41" fillId="7" borderId="0" xfId="3" applyFont="1" applyFill="1" applyAlignment="1">
      <alignment horizontal="center" vertical="center"/>
    </xf>
    <xf numFmtId="210" fontId="36" fillId="0" borderId="0" xfId="3" applyNumberFormat="1" applyFont="1" applyAlignment="1">
      <alignment vertical="center"/>
    </xf>
    <xf numFmtId="210" fontId="36" fillId="0" borderId="0" xfId="3" applyNumberFormat="1" applyFont="1" applyAlignment="1">
      <alignment horizontal="right" vertical="center"/>
    </xf>
    <xf numFmtId="210" fontId="36" fillId="0" borderId="0" xfId="3" applyNumberFormat="1" applyFont="1" applyAlignment="1">
      <alignment horizontal="right"/>
    </xf>
    <xf numFmtId="200" fontId="42" fillId="0" borderId="0" xfId="3" applyNumberFormat="1" applyFont="1" applyAlignment="1">
      <alignment vertical="center"/>
    </xf>
    <xf numFmtId="214" fontId="36" fillId="0" borderId="0" xfId="3" applyNumberFormat="1" applyFont="1" applyAlignment="1">
      <alignment vertical="center"/>
    </xf>
    <xf numFmtId="0" fontId="43" fillId="0" borderId="0" xfId="3" applyFont="1" applyAlignment="1">
      <alignment vertical="center"/>
    </xf>
    <xf numFmtId="1" fontId="36" fillId="6" borderId="0" xfId="3" applyNumberFormat="1" applyFont="1" applyFill="1" applyAlignment="1">
      <alignment vertical="center"/>
    </xf>
    <xf numFmtId="0" fontId="36" fillId="6" borderId="0" xfId="3" applyFont="1" applyFill="1" applyAlignment="1">
      <alignment vertical="center"/>
    </xf>
    <xf numFmtId="200" fontId="36" fillId="6" borderId="0" xfId="3" applyNumberFormat="1" applyFont="1" applyFill="1" applyAlignment="1">
      <alignment vertical="center"/>
    </xf>
    <xf numFmtId="176" fontId="36" fillId="6" borderId="0" xfId="3" applyNumberFormat="1" applyFont="1" applyFill="1" applyAlignment="1">
      <alignment vertical="center" shrinkToFit="1"/>
    </xf>
    <xf numFmtId="0" fontId="43" fillId="6" borderId="0" xfId="3" applyFont="1" applyFill="1" applyAlignment="1">
      <alignment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36" fillId="0" borderId="0" xfId="3" applyFont="1" applyAlignment="1">
      <alignment vertical="center" shrinkToFit="1"/>
    </xf>
    <xf numFmtId="200" fontId="36" fillId="0" borderId="0" xfId="3" applyNumberFormat="1" applyFont="1" applyAlignment="1">
      <alignment horizontal="right"/>
    </xf>
    <xf numFmtId="0" fontId="36" fillId="0" borderId="0" xfId="3" applyFont="1" applyAlignment="1">
      <alignment shrinkToFit="1"/>
    </xf>
    <xf numFmtId="0" fontId="15" fillId="0" borderId="0" xfId="3" applyFont="1" applyAlignment="1">
      <alignment horizontal="left"/>
    </xf>
    <xf numFmtId="2" fontId="15" fillId="0" borderId="0" xfId="3" applyNumberFormat="1" applyFont="1" applyAlignment="1">
      <alignment horizontal="left"/>
    </xf>
    <xf numFmtId="0" fontId="15" fillId="0" borderId="0" xfId="3" applyFont="1" applyAlignment="1">
      <alignment vertical="center"/>
    </xf>
    <xf numFmtId="0" fontId="45" fillId="0" borderId="0" xfId="3" applyFont="1" applyAlignment="1">
      <alignment horizontal="center" vertical="center"/>
    </xf>
    <xf numFmtId="0" fontId="46" fillId="0" borderId="0" xfId="3" applyFont="1" applyAlignment="1">
      <alignment horizontal="center" vertical="center"/>
    </xf>
    <xf numFmtId="0" fontId="46" fillId="0" borderId="0" xfId="3" applyFont="1" applyAlignment="1">
      <alignment vertical="center"/>
    </xf>
    <xf numFmtId="0" fontId="2" fillId="3" borderId="39" xfId="2" applyBorder="1" applyAlignment="1">
      <alignment horizontal="center" vertical="center"/>
    </xf>
    <xf numFmtId="0" fontId="2" fillId="3" borderId="3" xfId="2" applyBorder="1" applyAlignment="1">
      <alignment horizontal="center" vertical="center"/>
    </xf>
    <xf numFmtId="0" fontId="2" fillId="3" borderId="40" xfId="2" applyBorder="1" applyAlignment="1">
      <alignment horizontal="center" vertical="center"/>
    </xf>
    <xf numFmtId="217" fontId="15" fillId="0" borderId="42" xfId="3" applyNumberFormat="1" applyFont="1" applyBorder="1" applyAlignment="1">
      <alignment horizontal="center" vertical="center"/>
    </xf>
    <xf numFmtId="0" fontId="15" fillId="0" borderId="43" xfId="3" applyFont="1" applyBorder="1" applyAlignment="1">
      <alignment horizontal="center" vertical="center"/>
    </xf>
    <xf numFmtId="182" fontId="15" fillId="0" borderId="44" xfId="3" applyNumberFormat="1" applyFont="1" applyBorder="1" applyAlignment="1">
      <alignment horizontal="center" vertical="center"/>
    </xf>
    <xf numFmtId="38" fontId="15" fillId="0" borderId="45" xfId="3" applyNumberFormat="1" applyFont="1" applyBorder="1" applyAlignment="1">
      <alignment horizontal="center" vertical="center"/>
    </xf>
    <xf numFmtId="218" fontId="15" fillId="0" borderId="43" xfId="3" applyNumberFormat="1" applyFont="1" applyBorder="1" applyAlignment="1">
      <alignment horizontal="center" vertical="center"/>
    </xf>
    <xf numFmtId="0" fontId="15" fillId="0" borderId="39" xfId="3" applyFont="1" applyBorder="1" applyAlignment="1">
      <alignment horizontal="center" vertical="center"/>
    </xf>
    <xf numFmtId="0" fontId="15" fillId="0" borderId="3" xfId="3" applyFont="1" applyBorder="1" applyAlignment="1">
      <alignment horizontal="center" vertical="center"/>
    </xf>
    <xf numFmtId="0" fontId="15" fillId="0" borderId="40" xfId="3" applyFont="1" applyBorder="1" applyAlignment="1">
      <alignment horizontal="center" vertical="center"/>
    </xf>
    <xf numFmtId="217" fontId="15" fillId="0" borderId="39" xfId="3" applyNumberFormat="1" applyFont="1" applyBorder="1" applyAlignment="1">
      <alignment horizontal="center" vertical="center"/>
    </xf>
    <xf numFmtId="182" fontId="15" fillId="0" borderId="41" xfId="3" applyNumberFormat="1" applyFont="1" applyBorder="1" applyAlignment="1">
      <alignment horizontal="center" vertical="center"/>
    </xf>
    <xf numFmtId="38" fontId="15" fillId="0" borderId="3" xfId="3" applyNumberFormat="1" applyFont="1" applyBorder="1" applyAlignment="1">
      <alignment horizontal="center" vertical="center"/>
    </xf>
    <xf numFmtId="218" fontId="15" fillId="0" borderId="40" xfId="3" applyNumberFormat="1" applyFont="1" applyBorder="1" applyAlignment="1">
      <alignment horizontal="center" vertical="center"/>
    </xf>
    <xf numFmtId="0" fontId="15" fillId="0" borderId="46" xfId="3" applyFont="1" applyBorder="1" applyAlignment="1">
      <alignment horizontal="center" vertical="center"/>
    </xf>
    <xf numFmtId="0" fontId="15" fillId="0" borderId="47" xfId="3" applyFont="1" applyBorder="1" applyAlignment="1">
      <alignment horizontal="center" vertical="center"/>
    </xf>
    <xf numFmtId="0" fontId="15" fillId="0" borderId="48" xfId="3" applyFont="1" applyBorder="1" applyAlignment="1">
      <alignment horizontal="center" vertical="center"/>
    </xf>
    <xf numFmtId="0" fontId="2" fillId="3" borderId="48" xfId="2" applyBorder="1" applyAlignment="1">
      <alignment horizontal="center" vertical="center"/>
    </xf>
    <xf numFmtId="0" fontId="15" fillId="0" borderId="0" xfId="3" applyFont="1" applyAlignment="1">
      <alignment horizontal="center"/>
    </xf>
    <xf numFmtId="207" fontId="37" fillId="0" borderId="1" xfId="3" applyNumberFormat="1" applyFont="1" applyBorder="1" applyAlignment="1">
      <alignment horizontal="center" vertical="center"/>
    </xf>
    <xf numFmtId="207" fontId="37" fillId="4" borderId="1" xfId="3" applyNumberFormat="1" applyFont="1" applyFill="1" applyBorder="1" applyAlignment="1">
      <alignment horizontal="center" vertical="center"/>
    </xf>
    <xf numFmtId="0" fontId="3" fillId="20" borderId="0" xfId="3" applyFill="1"/>
    <xf numFmtId="181" fontId="3" fillId="20" borderId="0" xfId="3" applyNumberFormat="1" applyFill="1"/>
    <xf numFmtId="208" fontId="47" fillId="0" borderId="1" xfId="3" applyNumberFormat="1" applyFont="1" applyBorder="1" applyAlignment="1">
      <alignment horizontal="center" vertical="center"/>
    </xf>
    <xf numFmtId="193" fontId="3" fillId="20" borderId="0" xfId="3" applyNumberFormat="1" applyFill="1"/>
    <xf numFmtId="176" fontId="3" fillId="20" borderId="0" xfId="3" applyNumberFormat="1" applyFill="1"/>
    <xf numFmtId="208" fontId="37" fillId="20" borderId="1" xfId="3" applyNumberFormat="1" applyFont="1" applyFill="1" applyBorder="1" applyAlignment="1">
      <alignment horizontal="center" vertical="center"/>
    </xf>
    <xf numFmtId="0" fontId="15" fillId="0" borderId="32" xfId="6" applyFont="1" applyBorder="1" applyAlignment="1">
      <alignment horizontal="center" vertical="center"/>
    </xf>
    <xf numFmtId="0" fontId="15" fillId="21" borderId="39" xfId="3" applyFont="1" applyFill="1" applyBorder="1" applyAlignment="1">
      <alignment horizontal="center" vertical="center"/>
    </xf>
    <xf numFmtId="0" fontId="15" fillId="21" borderId="40" xfId="3" applyFont="1" applyFill="1" applyBorder="1" applyAlignment="1">
      <alignment horizontal="center" vertical="center"/>
    </xf>
    <xf numFmtId="0" fontId="15" fillId="21" borderId="41" xfId="3" applyFont="1" applyFill="1" applyBorder="1" applyAlignment="1">
      <alignment horizontal="center" vertical="center"/>
    </xf>
    <xf numFmtId="0" fontId="15" fillId="21" borderId="3" xfId="3" applyFont="1" applyFill="1" applyBorder="1" applyAlignment="1">
      <alignment horizontal="center" vertical="center"/>
    </xf>
    <xf numFmtId="0" fontId="15" fillId="21" borderId="49" xfId="3" applyFont="1" applyFill="1" applyBorder="1" applyAlignment="1">
      <alignment horizontal="center" vertical="center"/>
    </xf>
    <xf numFmtId="0" fontId="15" fillId="21" borderId="47" xfId="3" applyFont="1" applyFill="1" applyBorder="1" applyAlignment="1">
      <alignment horizontal="center" vertical="center"/>
    </xf>
    <xf numFmtId="0" fontId="15" fillId="21" borderId="48" xfId="3" applyFont="1" applyFill="1" applyBorder="1" applyAlignment="1">
      <alignment horizontal="center" vertical="center"/>
    </xf>
    <xf numFmtId="0" fontId="7" fillId="0" borderId="0" xfId="3" applyFont="1" applyAlignment="1">
      <alignment horizontal="center" vertical="center" wrapText="1"/>
    </xf>
    <xf numFmtId="0" fontId="4" fillId="0" borderId="0" xfId="3" applyFont="1" applyAlignment="1">
      <alignment horizontal="center" vertical="center" wrapText="1"/>
    </xf>
    <xf numFmtId="0" fontId="18" fillId="0" borderId="4" xfId="6" applyFont="1" applyBorder="1" applyAlignment="1">
      <alignment horizontal="center" vertical="center"/>
    </xf>
    <xf numFmtId="0" fontId="15" fillId="0" borderId="24" xfId="6" applyFont="1" applyBorder="1" applyAlignment="1">
      <alignment horizontal="center" vertical="center"/>
    </xf>
    <xf numFmtId="0" fontId="2" fillId="3" borderId="46" xfId="2" applyBorder="1" applyAlignment="1">
      <alignment horizontal="center" vertical="center"/>
    </xf>
    <xf numFmtId="0" fontId="2" fillId="3" borderId="47" xfId="2" applyBorder="1" applyAlignment="1">
      <alignment horizontal="center" vertical="center"/>
    </xf>
    <xf numFmtId="0" fontId="15" fillId="21" borderId="11" xfId="3" applyFont="1" applyFill="1" applyBorder="1" applyAlignment="1">
      <alignment horizontal="center" vertical="center"/>
    </xf>
    <xf numFmtId="215" fontId="15" fillId="21" borderId="31" xfId="3" applyNumberFormat="1" applyFont="1" applyFill="1" applyBorder="1" applyAlignment="1">
      <alignment horizontal="center" vertical="center"/>
    </xf>
    <xf numFmtId="215" fontId="15" fillId="21" borderId="0" xfId="3" applyNumberFormat="1" applyFont="1" applyFill="1" applyAlignment="1">
      <alignment horizontal="center" vertical="center"/>
    </xf>
    <xf numFmtId="0" fontId="15" fillId="21" borderId="0" xfId="3" applyFont="1" applyFill="1" applyAlignment="1">
      <alignment horizontal="center" vertical="center"/>
    </xf>
    <xf numFmtId="0" fontId="15" fillId="21" borderId="13" xfId="3" applyFont="1" applyFill="1" applyBorder="1" applyAlignment="1">
      <alignment horizontal="center" vertical="center"/>
    </xf>
    <xf numFmtId="216" fontId="15" fillId="21" borderId="32" xfId="3" applyNumberFormat="1" applyFont="1" applyFill="1" applyBorder="1" applyAlignment="1">
      <alignment horizontal="center" vertical="center"/>
    </xf>
    <xf numFmtId="0" fontId="15" fillId="21" borderId="33" xfId="3" applyFont="1" applyFill="1" applyBorder="1" applyAlignment="1">
      <alignment horizontal="center" vertical="center"/>
    </xf>
    <xf numFmtId="40" fontId="15" fillId="21" borderId="34" xfId="3" applyNumberFormat="1" applyFont="1" applyFill="1" applyBorder="1" applyAlignment="1">
      <alignment horizontal="center" vertical="center"/>
    </xf>
    <xf numFmtId="216" fontId="15" fillId="21" borderId="0" xfId="3" applyNumberFormat="1" applyFont="1" applyFill="1" applyAlignment="1">
      <alignment horizontal="center" vertical="center"/>
    </xf>
    <xf numFmtId="0" fontId="15" fillId="0" borderId="0" xfId="3" applyFont="1" applyAlignment="1">
      <alignment horizontal="left" vertical="center"/>
    </xf>
    <xf numFmtId="0" fontId="30" fillId="0" borderId="0" xfId="3" applyFont="1" applyAlignment="1">
      <alignment horizontal="left"/>
    </xf>
    <xf numFmtId="2" fontId="30" fillId="0" borderId="0" xfId="3" applyNumberFormat="1" applyFont="1" applyAlignment="1">
      <alignment horizontal="left"/>
    </xf>
    <xf numFmtId="1" fontId="30" fillId="0" borderId="0" xfId="3" applyNumberFormat="1" applyFont="1" applyAlignment="1">
      <alignment horizontal="left"/>
    </xf>
    <xf numFmtId="178" fontId="30" fillId="0" borderId="0" xfId="3" applyNumberFormat="1" applyFont="1" applyAlignment="1">
      <alignment horizontal="left"/>
    </xf>
    <xf numFmtId="193" fontId="30" fillId="0" borderId="0" xfId="3" applyNumberFormat="1" applyFont="1" applyAlignment="1">
      <alignment horizontal="left"/>
    </xf>
    <xf numFmtId="0" fontId="50" fillId="0" borderId="0" xfId="3" applyFont="1" applyAlignment="1">
      <alignment horizontal="centerContinuous" vertical="center"/>
    </xf>
    <xf numFmtId="0" fontId="51" fillId="0" borderId="0" xfId="3" applyFont="1" applyAlignment="1">
      <alignment horizontal="centerContinuous" vertical="center"/>
    </xf>
    <xf numFmtId="0" fontId="17" fillId="0" borderId="1" xfId="3" applyFont="1" applyBorder="1" applyAlignment="1">
      <alignment horizontal="centerContinuous" vertical="center"/>
    </xf>
    <xf numFmtId="0" fontId="17" fillId="0" borderId="2" xfId="3" applyFont="1" applyBorder="1" applyAlignment="1">
      <alignment horizontal="left" vertical="center"/>
    </xf>
    <xf numFmtId="0" fontId="17" fillId="0" borderId="5" xfId="3" applyFont="1" applyBorder="1" applyAlignment="1">
      <alignment vertical="center"/>
    </xf>
    <xf numFmtId="0" fontId="17" fillId="0" borderId="6" xfId="3" applyFont="1" applyBorder="1" applyAlignment="1">
      <alignment horizontal="center" vertical="center"/>
    </xf>
    <xf numFmtId="0" fontId="17" fillId="0" borderId="5" xfId="3" applyFont="1" applyBorder="1" applyAlignment="1">
      <alignment horizontal="right" vertical="center"/>
    </xf>
    <xf numFmtId="0" fontId="17" fillId="0" borderId="5" xfId="3" applyFont="1" applyBorder="1" applyAlignment="1">
      <alignment horizontal="centerContinuous" vertical="center"/>
    </xf>
    <xf numFmtId="0" fontId="17" fillId="0" borderId="6" xfId="3" applyFont="1" applyBorder="1" applyAlignment="1">
      <alignment horizontal="centerContinuous" vertical="center"/>
    </xf>
    <xf numFmtId="0" fontId="17" fillId="0" borderId="2" xfId="3" applyFont="1" applyBorder="1" applyAlignment="1">
      <alignment vertical="center"/>
    </xf>
    <xf numFmtId="0" fontId="52" fillId="0" borderId="5" xfId="3" applyFont="1" applyBorder="1" applyAlignment="1">
      <alignment horizontal="center" vertical="center"/>
    </xf>
    <xf numFmtId="187" fontId="52" fillId="0" borderId="6" xfId="3" applyNumberFormat="1" applyFont="1" applyBorder="1" applyAlignment="1">
      <alignment horizontal="centerContinuous" vertical="center"/>
    </xf>
    <xf numFmtId="0" fontId="52" fillId="0" borderId="1" xfId="3" applyFont="1" applyBorder="1" applyAlignment="1">
      <alignment horizontal="centerContinuous" vertical="center"/>
    </xf>
    <xf numFmtId="212" fontId="17" fillId="0" borderId="1" xfId="3" applyNumberFormat="1" applyFont="1" applyBorder="1" applyAlignment="1">
      <alignment horizontal="center" vertical="center"/>
    </xf>
    <xf numFmtId="203" fontId="17" fillId="0" borderId="2" xfId="3" applyNumberFormat="1" applyFont="1" applyBorder="1" applyAlignment="1">
      <alignment horizontal="center" vertical="center"/>
    </xf>
    <xf numFmtId="0" fontId="17" fillId="0" borderId="6" xfId="3" applyFont="1" applyBorder="1" applyAlignment="1">
      <alignment vertical="center"/>
    </xf>
    <xf numFmtId="0" fontId="17" fillId="0" borderId="1" xfId="3" applyFont="1" applyBorder="1" applyAlignment="1">
      <alignment horizontal="center" vertical="center"/>
    </xf>
    <xf numFmtId="204" fontId="17" fillId="0" borderId="1" xfId="3" applyNumberFormat="1" applyFont="1" applyBorder="1" applyAlignment="1">
      <alignment horizontal="right" vertical="center"/>
    </xf>
    <xf numFmtId="202" fontId="17" fillId="0" borderId="1" xfId="3" applyNumberFormat="1" applyFont="1" applyBorder="1" applyAlignment="1">
      <alignment horizontal="center" vertical="center"/>
    </xf>
    <xf numFmtId="205" fontId="17" fillId="0" borderId="2" xfId="3" applyNumberFormat="1" applyFont="1" applyBorder="1" applyAlignment="1">
      <alignment horizontal="center" vertical="center"/>
    </xf>
    <xf numFmtId="205" fontId="17" fillId="0" borderId="1" xfId="3" applyNumberFormat="1" applyFont="1" applyBorder="1" applyAlignment="1">
      <alignment horizontal="right" vertical="center"/>
    </xf>
    <xf numFmtId="0" fontId="17" fillId="0" borderId="1" xfId="3" applyFont="1" applyBorder="1" applyAlignment="1">
      <alignment horizontal="center" vertical="center" wrapText="1"/>
    </xf>
    <xf numFmtId="0" fontId="17" fillId="0" borderId="1" xfId="3" applyFont="1" applyBorder="1" applyAlignment="1">
      <alignment vertical="center"/>
    </xf>
    <xf numFmtId="1" fontId="17" fillId="0" borderId="1" xfId="3" applyNumberFormat="1" applyFont="1" applyBorder="1" applyAlignment="1">
      <alignment vertical="center"/>
    </xf>
    <xf numFmtId="202" fontId="17" fillId="0" borderId="1" xfId="3" applyNumberFormat="1" applyFont="1" applyBorder="1" applyAlignment="1">
      <alignment vertical="center"/>
    </xf>
    <xf numFmtId="210" fontId="17" fillId="0" borderId="2" xfId="3" applyNumberFormat="1" applyFont="1" applyBorder="1" applyAlignment="1">
      <alignment horizontal="right" vertical="center"/>
    </xf>
    <xf numFmtId="196" fontId="17" fillId="0" borderId="1" xfId="3" applyNumberFormat="1" applyFont="1" applyBorder="1" applyAlignment="1">
      <alignment vertical="center"/>
    </xf>
    <xf numFmtId="196" fontId="17" fillId="6" borderId="1" xfId="3" applyNumberFormat="1" applyFont="1" applyFill="1" applyBorder="1" applyAlignment="1">
      <alignment vertical="center"/>
    </xf>
    <xf numFmtId="213" fontId="17" fillId="0" borderId="1" xfId="3" applyNumberFormat="1" applyFont="1" applyBorder="1" applyAlignment="1">
      <alignment vertical="center"/>
    </xf>
    <xf numFmtId="210" fontId="17" fillId="6" borderId="2" xfId="3" applyNumberFormat="1" applyFont="1" applyFill="1" applyBorder="1" applyAlignment="1">
      <alignment horizontal="right" vertical="center"/>
    </xf>
    <xf numFmtId="196" fontId="17" fillId="9" borderId="1" xfId="3" applyNumberFormat="1" applyFont="1" applyFill="1" applyBorder="1" applyAlignment="1">
      <alignment vertical="center"/>
    </xf>
    <xf numFmtId="0" fontId="53" fillId="0" borderId="0" xfId="3" applyFont="1"/>
    <xf numFmtId="0" fontId="17" fillId="0" borderId="0" xfId="3" applyFont="1"/>
    <xf numFmtId="0" fontId="17" fillId="0" borderId="0" xfId="3" applyFont="1" applyAlignment="1">
      <alignment horizontal="center"/>
    </xf>
    <xf numFmtId="0" fontId="54" fillId="0" borderId="0" xfId="3" applyFont="1"/>
    <xf numFmtId="0" fontId="51" fillId="0" borderId="0" xfId="3" applyFont="1" applyAlignment="1">
      <alignment horizontal="centerContinuous" vertical="top"/>
    </xf>
    <xf numFmtId="186" fontId="17" fillId="0" borderId="0" xfId="3" applyNumberFormat="1" applyFont="1" applyAlignment="1">
      <alignment horizontal="centerContinuous"/>
    </xf>
    <xf numFmtId="1" fontId="18" fillId="0" borderId="0" xfId="3" applyNumberFormat="1" applyFont="1" applyAlignment="1">
      <alignment vertical="center"/>
    </xf>
    <xf numFmtId="2" fontId="18" fillId="0" borderId="0" xfId="3" applyNumberFormat="1" applyFont="1" applyAlignment="1">
      <alignment vertical="center"/>
    </xf>
    <xf numFmtId="0" fontId="18" fillId="0" borderId="0" xfId="3" applyFont="1" applyAlignment="1">
      <alignment vertical="center"/>
    </xf>
    <xf numFmtId="199" fontId="18" fillId="0" borderId="0" xfId="3" applyNumberFormat="1" applyFont="1" applyAlignment="1">
      <alignment vertical="center"/>
    </xf>
    <xf numFmtId="1" fontId="55" fillId="16" borderId="31" xfId="3" applyNumberFormat="1" applyFont="1" applyFill="1" applyBorder="1" applyAlignment="1">
      <alignment vertical="center"/>
    </xf>
    <xf numFmtId="0" fontId="55" fillId="16" borderId="32" xfId="3" applyFont="1" applyFill="1" applyBorder="1" applyAlignment="1">
      <alignment vertical="center"/>
    </xf>
    <xf numFmtId="0" fontId="55" fillId="16" borderId="34" xfId="3" applyFont="1" applyFill="1" applyBorder="1" applyAlignment="1">
      <alignment vertical="center"/>
    </xf>
    <xf numFmtId="0" fontId="15" fillId="0" borderId="0" xfId="6" applyFont="1" applyAlignment="1">
      <alignment horizontal="left" vertical="center"/>
    </xf>
    <xf numFmtId="0" fontId="18" fillId="0" borderId="0" xfId="6" applyFont="1" applyAlignment="1">
      <alignment horizontal="center" vertical="center"/>
    </xf>
    <xf numFmtId="178" fontId="15" fillId="0" borderId="0" xfId="6" applyNumberFormat="1" applyFont="1" applyAlignment="1">
      <alignment horizontal="center" vertical="center"/>
    </xf>
    <xf numFmtId="0" fontId="7" fillId="0" borderId="0" xfId="3" applyFont="1" applyAlignment="1">
      <alignment vertical="center"/>
    </xf>
    <xf numFmtId="0" fontId="7" fillId="0" borderId="0" xfId="3" applyFont="1" applyAlignment="1">
      <alignment horizontal="center" vertical="center"/>
    </xf>
    <xf numFmtId="0" fontId="12" fillId="0" borderId="0" xfId="3" applyFont="1" applyAlignment="1">
      <alignment horizontal="center" vertical="center"/>
    </xf>
    <xf numFmtId="0" fontId="21" fillId="9" borderId="1" xfId="3" applyFont="1" applyFill="1" applyBorder="1" applyAlignment="1">
      <alignment horizontal="center" vertical="center"/>
    </xf>
    <xf numFmtId="0" fontId="15" fillId="0" borderId="1" xfId="3" applyFont="1" applyBorder="1" applyAlignment="1">
      <alignment horizontal="center" vertical="center"/>
    </xf>
    <xf numFmtId="1" fontId="4" fillId="0" borderId="0" xfId="3" applyNumberFormat="1" applyFont="1" applyAlignment="1">
      <alignment horizontal="center" vertical="center"/>
    </xf>
    <xf numFmtId="176" fontId="4" fillId="0" borderId="0" xfId="3" applyNumberFormat="1" applyFont="1" applyAlignment="1">
      <alignment horizontal="center" vertical="center"/>
    </xf>
    <xf numFmtId="2" fontId="4" fillId="0" borderId="0" xfId="3" applyNumberFormat="1" applyFont="1" applyAlignment="1">
      <alignment horizontal="center" vertical="center"/>
    </xf>
    <xf numFmtId="177" fontId="4" fillId="0" borderId="0" xfId="3" applyNumberFormat="1" applyFont="1" applyAlignment="1">
      <alignment horizontal="center" vertical="center"/>
    </xf>
    <xf numFmtId="178" fontId="4" fillId="0" borderId="0" xfId="3" applyNumberFormat="1" applyFont="1" applyAlignment="1">
      <alignment horizontal="center" vertical="center"/>
    </xf>
    <xf numFmtId="179" fontId="3" fillId="0" borderId="0" xfId="3" applyNumberFormat="1" applyAlignment="1">
      <alignment horizontal="center" vertical="center"/>
    </xf>
    <xf numFmtId="0" fontId="3" fillId="0" borderId="0" xfId="3" applyAlignment="1">
      <alignment horizontal="center" vertical="center"/>
    </xf>
    <xf numFmtId="0" fontId="0" fillId="0" borderId="0" xfId="0" applyAlignment="1">
      <alignment horizontal="center" vertical="center"/>
    </xf>
    <xf numFmtId="180" fontId="7" fillId="0" borderId="0" xfId="4" applyFont="1" applyBorder="1" applyAlignment="1">
      <alignment horizontal="center" vertical="center"/>
    </xf>
    <xf numFmtId="0" fontId="10" fillId="0" borderId="0" xfId="3" applyFont="1" applyAlignment="1">
      <alignment horizontal="center" vertical="center"/>
    </xf>
    <xf numFmtId="181" fontId="10" fillId="0" borderId="0" xfId="3" applyNumberFormat="1" applyFont="1" applyAlignment="1">
      <alignment horizontal="center" vertical="center"/>
    </xf>
    <xf numFmtId="2" fontId="10" fillId="0" borderId="0" xfId="3" applyNumberFormat="1" applyFont="1" applyAlignment="1">
      <alignment horizontal="center" vertical="center"/>
    </xf>
    <xf numFmtId="182" fontId="4" fillId="0" borderId="0" xfId="3" applyNumberFormat="1" applyFont="1" applyAlignment="1">
      <alignment horizontal="center" vertical="center"/>
    </xf>
    <xf numFmtId="180" fontId="7" fillId="0" borderId="0" xfId="3" applyNumberFormat="1" applyFont="1" applyAlignment="1">
      <alignment horizontal="center" vertical="center"/>
    </xf>
    <xf numFmtId="183" fontId="7" fillId="0" borderId="0" xfId="3" applyNumberFormat="1" applyFont="1" applyAlignment="1">
      <alignment horizontal="center" vertical="center"/>
    </xf>
    <xf numFmtId="184" fontId="7" fillId="0" borderId="0" xfId="3" applyNumberFormat="1" applyFont="1" applyAlignment="1">
      <alignment horizontal="center" vertical="center"/>
    </xf>
    <xf numFmtId="176" fontId="15" fillId="0" borderId="0" xfId="3" applyNumberFormat="1" applyFont="1" applyAlignment="1">
      <alignment horizontal="center" vertical="center"/>
    </xf>
    <xf numFmtId="2" fontId="7" fillId="0" borderId="1" xfId="3" applyNumberFormat="1" applyFont="1" applyBorder="1" applyAlignment="1">
      <alignment horizontal="center" vertical="center"/>
    </xf>
    <xf numFmtId="177" fontId="7" fillId="0" borderId="1" xfId="3" applyNumberFormat="1" applyFont="1" applyBorder="1" applyAlignment="1">
      <alignment horizontal="center" vertical="center"/>
    </xf>
    <xf numFmtId="181" fontId="33" fillId="15" borderId="4" xfId="6" applyNumberFormat="1" applyFont="1" applyFill="1" applyBorder="1" applyAlignment="1">
      <alignment horizontal="center" vertical="center"/>
    </xf>
    <xf numFmtId="0" fontId="15" fillId="15" borderId="4" xfId="6" quotePrefix="1" applyFont="1" applyFill="1" applyBorder="1" applyAlignment="1">
      <alignment horizontal="center" vertical="center"/>
    </xf>
    <xf numFmtId="0" fontId="15" fillId="15" borderId="4" xfId="6" applyFont="1" applyFill="1" applyBorder="1" applyAlignment="1">
      <alignment horizontal="center" vertical="center"/>
    </xf>
    <xf numFmtId="0" fontId="15" fillId="0" borderId="4" xfId="6" applyFont="1" applyBorder="1" applyAlignment="1">
      <alignment horizontal="right" vertical="center"/>
    </xf>
    <xf numFmtId="0" fontId="15" fillId="15" borderId="25" xfId="6" applyFont="1" applyFill="1" applyBorder="1" applyAlignment="1">
      <alignment horizontal="right" vertical="center"/>
    </xf>
    <xf numFmtId="0" fontId="15" fillId="0" borderId="25" xfId="6" applyFont="1" applyBorder="1" applyAlignment="1">
      <alignment horizontal="right" vertical="center"/>
    </xf>
    <xf numFmtId="0" fontId="34" fillId="0" borderId="29" xfId="6" applyFont="1" applyBorder="1" applyAlignment="1">
      <alignment horizontal="right" vertical="center"/>
    </xf>
    <xf numFmtId="0" fontId="3" fillId="0" borderId="28" xfId="3" applyBorder="1"/>
    <xf numFmtId="0" fontId="15" fillId="0" borderId="28" xfId="6" applyFont="1" applyBorder="1">
      <alignment vertical="center"/>
    </xf>
    <xf numFmtId="0" fontId="3" fillId="0" borderId="30" xfId="3" applyBorder="1" applyAlignment="1">
      <alignment horizontal="center"/>
    </xf>
    <xf numFmtId="0" fontId="22" fillId="22" borderId="15" xfId="6" applyFont="1" applyFill="1" applyBorder="1" applyAlignment="1">
      <alignment horizontal="center" vertical="center"/>
    </xf>
    <xf numFmtId="197" fontId="15" fillId="15" borderId="28" xfId="6" applyNumberFormat="1" applyFont="1" applyFill="1" applyBorder="1" applyAlignment="1">
      <alignment horizontal="center" vertical="center"/>
    </xf>
    <xf numFmtId="197" fontId="59" fillId="15" borderId="28" xfId="6" applyNumberFormat="1" applyFont="1" applyFill="1" applyBorder="1" applyAlignment="1">
      <alignment horizontal="center" vertical="center"/>
    </xf>
    <xf numFmtId="189" fontId="59" fillId="15" borderId="28" xfId="6" applyNumberFormat="1" applyFont="1" applyFill="1" applyBorder="1" applyAlignment="1">
      <alignment horizontal="center" vertical="center"/>
    </xf>
    <xf numFmtId="193" fontId="59" fillId="15" borderId="29" xfId="6" applyNumberFormat="1" applyFont="1" applyFill="1" applyBorder="1" applyAlignment="1">
      <alignment horizontal="center" vertical="center"/>
    </xf>
    <xf numFmtId="0" fontId="15" fillId="15" borderId="28" xfId="6" applyFont="1" applyFill="1" applyBorder="1" applyAlignment="1">
      <alignment horizontal="center" vertical="center"/>
    </xf>
    <xf numFmtId="194" fontId="18" fillId="15" borderId="19" xfId="6" applyNumberFormat="1" applyFont="1" applyFill="1" applyBorder="1" applyAlignment="1">
      <alignment horizontal="center" vertical="center"/>
    </xf>
    <xf numFmtId="0" fontId="60" fillId="0" borderId="0" xfId="0" applyFont="1">
      <alignment vertical="center"/>
    </xf>
    <xf numFmtId="0" fontId="63" fillId="0" borderId="0" xfId="3" applyFont="1" applyAlignment="1">
      <alignment horizontal="center" vertical="center"/>
    </xf>
    <xf numFmtId="0" fontId="23" fillId="24" borderId="1" xfId="3" applyFont="1" applyFill="1" applyBorder="1" applyAlignment="1">
      <alignment horizontal="center" vertical="center"/>
    </xf>
    <xf numFmtId="0" fontId="14" fillId="0" borderId="1" xfId="3" applyFont="1" applyBorder="1" applyAlignment="1">
      <alignment horizontal="center" vertical="center"/>
    </xf>
    <xf numFmtId="14" fontId="48" fillId="25" borderId="1" xfId="3" applyNumberFormat="1" applyFont="1" applyFill="1" applyBorder="1" applyAlignment="1">
      <alignment horizontal="center" vertical="center"/>
    </xf>
    <xf numFmtId="0" fontId="16" fillId="27" borderId="1" xfId="3" applyFont="1" applyFill="1" applyBorder="1" applyAlignment="1">
      <alignment horizontal="center" vertical="center"/>
    </xf>
    <xf numFmtId="0" fontId="63" fillId="0" borderId="13" xfId="3" applyFont="1" applyBorder="1" applyAlignment="1">
      <alignment horizontal="center" vertical="center"/>
    </xf>
    <xf numFmtId="0" fontId="63" fillId="26" borderId="33" xfId="3" applyFont="1" applyFill="1" applyBorder="1" applyAlignment="1">
      <alignment horizontal="center" vertical="center"/>
    </xf>
    <xf numFmtId="0" fontId="63" fillId="21" borderId="11" xfId="3" applyFont="1" applyFill="1" applyBorder="1" applyAlignment="1">
      <alignment horizontal="center" vertical="center"/>
    </xf>
    <xf numFmtId="0" fontId="4" fillId="28" borderId="1" xfId="3" applyFont="1" applyFill="1" applyBorder="1" applyAlignment="1">
      <alignment horizontal="center" vertical="center"/>
    </xf>
    <xf numFmtId="2" fontId="4" fillId="28" borderId="1" xfId="3" applyNumberFormat="1" applyFont="1" applyFill="1" applyBorder="1" applyAlignment="1">
      <alignment horizontal="center" vertical="center"/>
    </xf>
    <xf numFmtId="0" fontId="15" fillId="0" borderId="27" xfId="3" applyFont="1" applyBorder="1" applyAlignment="1">
      <alignment horizontal="center" vertical="center" wrapText="1"/>
    </xf>
    <xf numFmtId="0" fontId="15" fillId="0" borderId="23" xfId="3" applyFont="1" applyBorder="1" applyAlignment="1">
      <alignment horizontal="center" vertical="center" wrapText="1"/>
    </xf>
    <xf numFmtId="0" fontId="15" fillId="0" borderId="58" xfId="3" applyFont="1" applyBorder="1" applyAlignment="1">
      <alignment horizontal="center" vertical="center" wrapText="1"/>
    </xf>
    <xf numFmtId="0" fontId="18" fillId="26" borderId="1" xfId="3" applyFont="1" applyFill="1" applyBorder="1" applyAlignment="1">
      <alignment horizontal="center" vertical="center"/>
    </xf>
    <xf numFmtId="0" fontId="13" fillId="8" borderId="11" xfId="3" applyFont="1" applyFill="1" applyBorder="1" applyAlignment="1">
      <alignment horizontal="center" vertical="center"/>
    </xf>
    <xf numFmtId="0" fontId="13" fillId="8" borderId="12" xfId="3" applyFont="1" applyFill="1" applyBorder="1" applyAlignment="1">
      <alignment horizontal="center" vertical="center"/>
    </xf>
    <xf numFmtId="0" fontId="13" fillId="8" borderId="31" xfId="3" applyFont="1" applyFill="1" applyBorder="1" applyAlignment="1">
      <alignment horizontal="center" vertical="center"/>
    </xf>
    <xf numFmtId="0" fontId="7" fillId="0" borderId="32" xfId="3" applyFont="1" applyBorder="1" applyAlignment="1">
      <alignment horizontal="center" vertical="center"/>
    </xf>
    <xf numFmtId="2" fontId="7" fillId="0" borderId="16" xfId="3" applyNumberFormat="1" applyFont="1" applyBorder="1" applyAlignment="1">
      <alignment horizontal="center" vertical="center"/>
    </xf>
    <xf numFmtId="177" fontId="7" fillId="0" borderId="16" xfId="3" applyNumberFormat="1" applyFont="1" applyBorder="1" applyAlignment="1">
      <alignment horizontal="center" vertical="center"/>
    </xf>
    <xf numFmtId="0" fontId="7" fillId="0" borderId="34" xfId="3" applyFont="1" applyBorder="1" applyAlignment="1">
      <alignment horizontal="center" vertical="center"/>
    </xf>
    <xf numFmtId="0" fontId="7" fillId="21" borderId="0" xfId="3" applyFont="1" applyFill="1"/>
    <xf numFmtId="2" fontId="4" fillId="23" borderId="0" xfId="3" applyNumberFormat="1" applyFont="1" applyFill="1" applyAlignment="1">
      <alignment horizontal="center" vertical="center"/>
    </xf>
    <xf numFmtId="1" fontId="4" fillId="23" borderId="0" xfId="3" applyNumberFormat="1" applyFont="1" applyFill="1" applyAlignment="1">
      <alignment horizontal="center" vertical="center"/>
    </xf>
    <xf numFmtId="0" fontId="55" fillId="14" borderId="1" xfId="6" applyFont="1" applyFill="1" applyBorder="1" applyAlignment="1">
      <alignment horizontal="center" vertical="center"/>
    </xf>
    <xf numFmtId="189" fontId="55" fillId="14" borderId="22" xfId="6" applyNumberFormat="1" applyFont="1" applyFill="1" applyBorder="1" applyAlignment="1">
      <alignment horizontal="center" vertical="center"/>
    </xf>
    <xf numFmtId="179" fontId="55" fillId="14" borderId="30" xfId="6" applyNumberFormat="1" applyFont="1" applyFill="1" applyBorder="1" applyAlignment="1">
      <alignment horizontal="center" vertical="center"/>
    </xf>
    <xf numFmtId="0" fontId="34" fillId="21" borderId="13" xfId="6" applyFont="1" applyFill="1" applyBorder="1" applyAlignment="1">
      <alignment horizontal="right" vertical="center"/>
    </xf>
    <xf numFmtId="0" fontId="34" fillId="21" borderId="33" xfId="6" applyFont="1" applyFill="1" applyBorder="1" applyAlignment="1">
      <alignment horizontal="right" vertical="center"/>
    </xf>
    <xf numFmtId="0" fontId="58" fillId="21" borderId="31" xfId="6" applyFont="1" applyFill="1" applyBorder="1" applyAlignment="1">
      <alignment horizontal="center" vertical="center"/>
    </xf>
    <xf numFmtId="0" fontId="58" fillId="21" borderId="32" xfId="6" applyFont="1" applyFill="1" applyBorder="1" applyAlignment="1">
      <alignment horizontal="center" vertical="center"/>
    </xf>
    <xf numFmtId="182" fontId="65" fillId="15" borderId="11" xfId="6" applyNumberFormat="1" applyFont="1" applyFill="1" applyBorder="1" applyAlignment="1">
      <alignment horizontal="center" vertical="center"/>
    </xf>
    <xf numFmtId="182" fontId="65" fillId="15" borderId="13" xfId="6" applyNumberFormat="1" applyFont="1" applyFill="1" applyBorder="1" applyAlignment="1">
      <alignment horizontal="center" vertical="center"/>
    </xf>
    <xf numFmtId="178" fontId="67" fillId="15" borderId="32" xfId="6" applyNumberFormat="1" applyFont="1" applyFill="1" applyBorder="1" applyAlignment="1">
      <alignment horizontal="center" vertical="center"/>
    </xf>
    <xf numFmtId="0" fontId="67" fillId="15" borderId="32" xfId="6" applyFont="1" applyFill="1" applyBorder="1" applyAlignment="1">
      <alignment horizontal="center" vertical="center"/>
    </xf>
    <xf numFmtId="0" fontId="67" fillId="15" borderId="34" xfId="6" applyFont="1" applyFill="1" applyBorder="1" applyAlignment="1">
      <alignment horizontal="center" vertical="center"/>
    </xf>
    <xf numFmtId="0" fontId="14" fillId="29" borderId="14" xfId="6" applyFont="1" applyFill="1" applyBorder="1" applyAlignment="1">
      <alignment horizontal="center" vertical="center"/>
    </xf>
    <xf numFmtId="0" fontId="14" fillId="29" borderId="52" xfId="6" applyFont="1" applyFill="1" applyBorder="1" applyAlignment="1">
      <alignment horizontal="center" vertical="center"/>
    </xf>
    <xf numFmtId="193" fontId="18" fillId="15" borderId="53" xfId="6" applyNumberFormat="1" applyFont="1" applyFill="1" applyBorder="1" applyAlignment="1">
      <alignment horizontal="center" vertical="center"/>
    </xf>
    <xf numFmtId="0" fontId="15" fillId="0" borderId="17" xfId="6" applyFont="1" applyBorder="1">
      <alignment vertical="center"/>
    </xf>
    <xf numFmtId="189" fontId="55" fillId="14" borderId="18" xfId="6" applyNumberFormat="1" applyFont="1" applyFill="1" applyBorder="1" applyAlignment="1">
      <alignment horizontal="center" vertical="center"/>
    </xf>
    <xf numFmtId="0" fontId="34" fillId="0" borderId="18" xfId="6" applyFont="1" applyBorder="1">
      <alignment vertical="center"/>
    </xf>
    <xf numFmtId="0" fontId="15" fillId="0" borderId="59" xfId="6" applyFont="1" applyBorder="1" applyAlignment="1">
      <alignment horizontal="center" vertical="center"/>
    </xf>
    <xf numFmtId="1" fontId="18" fillId="15" borderId="1" xfId="6" applyNumberFormat="1" applyFont="1" applyFill="1" applyBorder="1" applyAlignment="1">
      <alignment horizontal="center" vertical="center"/>
    </xf>
    <xf numFmtId="189" fontId="18" fillId="15" borderId="1" xfId="6" applyNumberFormat="1" applyFont="1" applyFill="1" applyBorder="1" applyAlignment="1">
      <alignment horizontal="center" vertical="center"/>
    </xf>
    <xf numFmtId="0" fontId="18" fillId="15" borderId="1" xfId="6" applyFont="1" applyFill="1" applyBorder="1" applyAlignment="1">
      <alignment horizontal="center" vertical="center"/>
    </xf>
    <xf numFmtId="0" fontId="14" fillId="29" borderId="53" xfId="6" applyFont="1" applyFill="1" applyBorder="1" applyAlignment="1">
      <alignment horizontal="center" vertical="center"/>
    </xf>
    <xf numFmtId="194" fontId="18" fillId="15" borderId="53" xfId="6" applyNumberFormat="1" applyFont="1" applyFill="1" applyBorder="1" applyAlignment="1">
      <alignment horizontal="center" vertical="center"/>
    </xf>
    <xf numFmtId="0" fontId="18" fillId="29" borderId="11" xfId="6" applyFont="1" applyFill="1" applyBorder="1" applyAlignment="1">
      <alignment horizontal="center" vertical="center"/>
    </xf>
    <xf numFmtId="0" fontId="18" fillId="29" borderId="12" xfId="6" applyFont="1" applyFill="1" applyBorder="1" applyAlignment="1">
      <alignment horizontal="center" vertical="center"/>
    </xf>
    <xf numFmtId="0" fontId="18" fillId="29" borderId="31" xfId="6" applyFont="1" applyFill="1" applyBorder="1" applyAlignment="1">
      <alignment horizontal="center" vertical="center"/>
    </xf>
    <xf numFmtId="193" fontId="18" fillId="15" borderId="13" xfId="6" applyNumberFormat="1" applyFont="1" applyFill="1" applyBorder="1" applyAlignment="1">
      <alignment horizontal="center" vertical="center"/>
    </xf>
    <xf numFmtId="198" fontId="18" fillId="6" borderId="24" xfId="6" applyNumberFormat="1" applyFont="1" applyFill="1" applyBorder="1" applyAlignment="1">
      <alignment horizontal="center" vertical="center"/>
    </xf>
    <xf numFmtId="0" fontId="65" fillId="0" borderId="20" xfId="6" applyFont="1" applyBorder="1" applyAlignment="1">
      <alignment horizontal="right" vertical="center"/>
    </xf>
    <xf numFmtId="181" fontId="15" fillId="9" borderId="22" xfId="6" applyNumberFormat="1" applyFont="1" applyFill="1" applyBorder="1">
      <alignment vertical="center"/>
    </xf>
    <xf numFmtId="197" fontId="64" fillId="10" borderId="15" xfId="6" applyNumberFormat="1" applyFont="1" applyFill="1" applyBorder="1" applyAlignment="1">
      <alignment horizontal="center" vertical="center"/>
    </xf>
    <xf numFmtId="0" fontId="36" fillId="28" borderId="0" xfId="3" applyFont="1" applyFill="1" applyAlignment="1">
      <alignment vertical="center"/>
    </xf>
    <xf numFmtId="177" fontId="36" fillId="28" borderId="1" xfId="3" applyNumberFormat="1" applyFont="1" applyFill="1" applyBorder="1" applyAlignment="1">
      <alignment vertical="center"/>
    </xf>
    <xf numFmtId="0" fontId="36" fillId="28" borderId="1" xfId="3" applyFont="1" applyFill="1" applyBorder="1" applyAlignment="1">
      <alignment vertical="center"/>
    </xf>
    <xf numFmtId="177" fontId="36" fillId="13" borderId="1" xfId="3" applyNumberFormat="1" applyFont="1" applyFill="1" applyBorder="1" applyAlignment="1">
      <alignment vertical="center"/>
    </xf>
    <xf numFmtId="177" fontId="38" fillId="22" borderId="1" xfId="3" applyNumberFormat="1" applyFont="1" applyFill="1" applyBorder="1" applyAlignment="1">
      <alignment horizontal="center" vertical="center"/>
    </xf>
    <xf numFmtId="0" fontId="68" fillId="0" borderId="0" xfId="3" applyFont="1" applyAlignment="1">
      <alignment horizontal="center" vertical="center"/>
    </xf>
    <xf numFmtId="0" fontId="68" fillId="0" borderId="0" xfId="3" applyFont="1" applyAlignment="1">
      <alignment horizontal="center" vertical="center" shrinkToFit="1"/>
    </xf>
    <xf numFmtId="0" fontId="36" fillId="28" borderId="0" xfId="3" applyFont="1" applyFill="1" applyAlignment="1">
      <alignment horizontal="center"/>
    </xf>
    <xf numFmtId="0" fontId="36" fillId="28" borderId="0" xfId="3" applyFont="1" applyFill="1"/>
    <xf numFmtId="181" fontId="36" fillId="28" borderId="0" xfId="3" applyNumberFormat="1" applyFont="1" applyFill="1"/>
    <xf numFmtId="181" fontId="36" fillId="28" borderId="0" xfId="3" applyNumberFormat="1" applyFont="1" applyFill="1" applyAlignment="1">
      <alignment vertical="center"/>
    </xf>
    <xf numFmtId="0" fontId="36" fillId="12" borderId="0" xfId="3" applyFont="1" applyFill="1" applyAlignment="1">
      <alignment vertical="center"/>
    </xf>
    <xf numFmtId="0" fontId="69" fillId="0" borderId="1" xfId="3" applyFont="1" applyBorder="1" applyAlignment="1">
      <alignment horizontal="center" vertical="center"/>
    </xf>
    <xf numFmtId="0" fontId="69" fillId="0" borderId="2" xfId="3" applyFont="1" applyBorder="1" applyAlignment="1">
      <alignment horizontal="left" vertical="center"/>
    </xf>
    <xf numFmtId="0" fontId="69" fillId="0" borderId="5" xfId="3" applyFont="1" applyBorder="1" applyAlignment="1">
      <alignment vertical="center"/>
    </xf>
    <xf numFmtId="186" fontId="69" fillId="0" borderId="5" xfId="3" applyNumberFormat="1" applyFont="1" applyBorder="1"/>
    <xf numFmtId="0" fontId="69" fillId="0" borderId="6" xfId="3" applyFont="1" applyBorder="1" applyAlignment="1">
      <alignment horizontal="center" vertical="center"/>
    </xf>
    <xf numFmtId="194" fontId="69" fillId="0" borderId="2" xfId="3" applyNumberFormat="1" applyFont="1" applyBorder="1" applyAlignment="1">
      <alignment horizontal="left" vertical="center"/>
    </xf>
    <xf numFmtId="0" fontId="69" fillId="0" borderId="5" xfId="3" applyFont="1" applyBorder="1" applyAlignment="1">
      <alignment horizontal="right" vertical="center"/>
    </xf>
    <xf numFmtId="186" fontId="69" fillId="0" borderId="5" xfId="3" applyNumberFormat="1" applyFont="1" applyBorder="1" applyAlignment="1">
      <alignment horizontal="centerContinuous" vertical="center"/>
    </xf>
    <xf numFmtId="0" fontId="69" fillId="0" borderId="6" xfId="3" applyFont="1" applyBorder="1" applyAlignment="1">
      <alignment horizontal="centerContinuous" vertical="center"/>
    </xf>
    <xf numFmtId="0" fontId="69" fillId="0" borderId="2" xfId="3" applyFont="1" applyBorder="1" applyAlignment="1">
      <alignment vertical="center"/>
    </xf>
    <xf numFmtId="0" fontId="69" fillId="0" borderId="5" xfId="3" applyFont="1" applyBorder="1" applyAlignment="1">
      <alignment horizontal="left" vertical="center"/>
    </xf>
    <xf numFmtId="0" fontId="69" fillId="0" borderId="0" xfId="3" applyFont="1" applyAlignment="1">
      <alignment vertical="center"/>
    </xf>
    <xf numFmtId="0" fontId="70" fillId="0" borderId="5" xfId="3" applyFont="1" applyBorder="1" applyAlignment="1">
      <alignment horizontal="centerContinuous" vertical="center"/>
    </xf>
    <xf numFmtId="187" fontId="70" fillId="0" borderId="5" xfId="3" applyNumberFormat="1" applyFont="1" applyBorder="1" applyAlignment="1">
      <alignment horizontal="centerContinuous" vertical="center"/>
    </xf>
    <xf numFmtId="186" fontId="70" fillId="0" borderId="5" xfId="3" applyNumberFormat="1" applyFont="1" applyBorder="1" applyAlignment="1">
      <alignment horizontal="centerContinuous"/>
    </xf>
    <xf numFmtId="0" fontId="70" fillId="0" borderId="6" xfId="3" applyFont="1" applyBorder="1" applyAlignment="1">
      <alignment horizontal="centerContinuous" vertical="center"/>
    </xf>
    <xf numFmtId="0" fontId="69" fillId="0" borderId="1" xfId="3" applyFont="1" applyBorder="1" applyAlignment="1">
      <alignment horizontal="centerContinuous" vertical="center"/>
    </xf>
    <xf numFmtId="0" fontId="70" fillId="0" borderId="2" xfId="3" applyFont="1" applyBorder="1" applyAlignment="1">
      <alignment horizontal="centerContinuous" vertical="center"/>
    </xf>
    <xf numFmtId="186" fontId="70" fillId="0" borderId="6" xfId="3" applyNumberFormat="1" applyFont="1" applyBorder="1" applyAlignment="1">
      <alignment horizontal="centerContinuous"/>
    </xf>
    <xf numFmtId="202" fontId="69" fillId="0" borderId="1" xfId="3" applyNumberFormat="1" applyFont="1" applyBorder="1" applyAlignment="1">
      <alignment horizontal="center" vertical="center"/>
    </xf>
    <xf numFmtId="0" fontId="69" fillId="0" borderId="5" xfId="3" applyFont="1" applyBorder="1" applyAlignment="1">
      <alignment horizontal="center" vertical="center"/>
    </xf>
    <xf numFmtId="0" fontId="69" fillId="0" borderId="1" xfId="3" applyFont="1" applyBorder="1" applyAlignment="1">
      <alignment horizontal="center" vertical="center" wrapText="1"/>
    </xf>
    <xf numFmtId="0" fontId="69" fillId="0" borderId="1" xfId="3" applyFont="1" applyBorder="1" applyAlignment="1">
      <alignment vertical="center"/>
    </xf>
    <xf numFmtId="1" fontId="69" fillId="0" borderId="1" xfId="3" applyNumberFormat="1" applyFont="1" applyBorder="1" applyAlignment="1">
      <alignment vertical="center"/>
    </xf>
    <xf numFmtId="202" fontId="69" fillId="0" borderId="1" xfId="3" applyNumberFormat="1" applyFont="1" applyBorder="1" applyAlignment="1">
      <alignment vertical="center"/>
    </xf>
    <xf numFmtId="208" fontId="69" fillId="0" borderId="1" xfId="3" applyNumberFormat="1" applyFont="1" applyBorder="1" applyAlignment="1">
      <alignment vertical="center"/>
    </xf>
    <xf numFmtId="208" fontId="69" fillId="0" borderId="1" xfId="3" applyNumberFormat="1" applyFont="1" applyBorder="1" applyAlignment="1">
      <alignment horizontal="center" vertical="center"/>
    </xf>
    <xf numFmtId="0" fontId="17" fillId="0" borderId="0" xfId="3" applyFont="1" applyAlignment="1">
      <alignment vertical="center"/>
    </xf>
    <xf numFmtId="0" fontId="68" fillId="0" borderId="0" xfId="3" applyFont="1" applyAlignment="1">
      <alignment vertical="center"/>
    </xf>
    <xf numFmtId="0" fontId="68" fillId="4" borderId="0" xfId="3" applyFont="1" applyFill="1" applyAlignment="1">
      <alignment vertical="center"/>
    </xf>
    <xf numFmtId="196" fontId="68" fillId="4" borderId="0" xfId="3" applyNumberFormat="1" applyFont="1" applyFill="1" applyAlignment="1">
      <alignment horizontal="center" vertical="center"/>
    </xf>
    <xf numFmtId="0" fontId="68" fillId="0" borderId="1" xfId="3" applyFont="1" applyBorder="1" applyAlignment="1">
      <alignment horizontal="center" vertical="center"/>
    </xf>
    <xf numFmtId="2" fontId="68" fillId="0" borderId="1" xfId="3" applyNumberFormat="1" applyFont="1" applyBorder="1" applyAlignment="1">
      <alignment horizontal="center" vertical="center"/>
    </xf>
    <xf numFmtId="2" fontId="68" fillId="0" borderId="0" xfId="3" applyNumberFormat="1" applyFont="1" applyAlignment="1">
      <alignment horizontal="center" vertical="center"/>
    </xf>
    <xf numFmtId="196" fontId="68" fillId="0" borderId="0" xfId="3" applyNumberFormat="1" applyFont="1" applyAlignment="1">
      <alignment horizontal="center" vertical="center"/>
    </xf>
    <xf numFmtId="0" fontId="68" fillId="0" borderId="0" xfId="3" applyFont="1" applyAlignment="1">
      <alignment horizontal="right" vertical="center"/>
    </xf>
    <xf numFmtId="0" fontId="68" fillId="0" borderId="1" xfId="3" applyFont="1" applyBorder="1" applyAlignment="1">
      <alignment vertical="center"/>
    </xf>
    <xf numFmtId="2" fontId="68" fillId="0" borderId="1" xfId="3" applyNumberFormat="1" applyFont="1" applyBorder="1" applyAlignment="1">
      <alignment vertical="center"/>
    </xf>
    <xf numFmtId="2" fontId="68" fillId="0" borderId="0" xfId="3" applyNumberFormat="1" applyFont="1" applyAlignment="1">
      <alignment vertical="center"/>
    </xf>
    <xf numFmtId="0" fontId="74" fillId="0" borderId="1" xfId="3" applyFont="1" applyBorder="1" applyAlignment="1">
      <alignment vertical="center"/>
    </xf>
    <xf numFmtId="176" fontId="68" fillId="0" borderId="0" xfId="3" applyNumberFormat="1" applyFont="1" applyAlignment="1">
      <alignment vertical="center"/>
    </xf>
    <xf numFmtId="0" fontId="74" fillId="0" borderId="0" xfId="3" applyFont="1" applyAlignment="1">
      <alignment vertical="center"/>
    </xf>
    <xf numFmtId="2" fontId="74" fillId="0" borderId="1" xfId="3" applyNumberFormat="1" applyFont="1" applyBorder="1" applyAlignment="1">
      <alignment vertical="center"/>
    </xf>
    <xf numFmtId="2" fontId="74" fillId="0" borderId="0" xfId="3" applyNumberFormat="1" applyFont="1" applyAlignment="1">
      <alignment vertical="center"/>
    </xf>
    <xf numFmtId="2" fontId="68" fillId="9" borderId="1" xfId="3" applyNumberFormat="1" applyFont="1" applyFill="1" applyBorder="1" applyAlignment="1">
      <alignment vertical="center"/>
    </xf>
    <xf numFmtId="2" fontId="68" fillId="9" borderId="0" xfId="3" applyNumberFormat="1" applyFont="1" applyFill="1" applyAlignment="1">
      <alignment vertical="center"/>
    </xf>
    <xf numFmtId="0" fontId="14" fillId="21" borderId="12" xfId="3" applyFont="1" applyFill="1" applyBorder="1" applyAlignment="1">
      <alignment horizontal="center" vertical="center"/>
    </xf>
    <xf numFmtId="2" fontId="14" fillId="21" borderId="12" xfId="3" applyNumberFormat="1" applyFont="1" applyFill="1" applyBorder="1" applyAlignment="1">
      <alignment horizontal="center" vertical="center"/>
    </xf>
    <xf numFmtId="0" fontId="14" fillId="28" borderId="1" xfId="3" applyFont="1" applyFill="1" applyBorder="1" applyAlignment="1">
      <alignment horizontal="center" vertical="center"/>
    </xf>
    <xf numFmtId="189" fontId="14" fillId="0" borderId="1" xfId="3" applyNumberFormat="1" applyFont="1" applyBorder="1" applyAlignment="1">
      <alignment horizontal="center" vertical="center"/>
    </xf>
    <xf numFmtId="182" fontId="14" fillId="0" borderId="1" xfId="3" applyNumberFormat="1" applyFont="1" applyBorder="1" applyAlignment="1">
      <alignment horizontal="center" vertical="center"/>
    </xf>
    <xf numFmtId="0" fontId="14" fillId="0" borderId="32" xfId="3" applyFont="1" applyBorder="1" applyAlignment="1">
      <alignment horizontal="center" vertical="center"/>
    </xf>
    <xf numFmtId="182" fontId="14" fillId="0" borderId="32" xfId="3" applyNumberFormat="1" applyFont="1" applyBorder="1" applyAlignment="1">
      <alignment horizontal="center" vertical="center"/>
    </xf>
    <xf numFmtId="191" fontId="14" fillId="0" borderId="1" xfId="3" applyNumberFormat="1" applyFont="1" applyBorder="1" applyAlignment="1">
      <alignment horizontal="center" vertical="center"/>
    </xf>
    <xf numFmtId="0" fontId="14" fillId="26" borderId="16" xfId="3" applyFont="1" applyFill="1" applyBorder="1" applyAlignment="1">
      <alignment horizontal="center" vertical="center"/>
    </xf>
    <xf numFmtId="181" fontId="14" fillId="26" borderId="16" xfId="3" applyNumberFormat="1" applyFont="1" applyFill="1" applyBorder="1" applyAlignment="1">
      <alignment horizontal="center" vertical="center"/>
    </xf>
    <xf numFmtId="0" fontId="14" fillId="0" borderId="16" xfId="3" applyFont="1" applyBorder="1" applyAlignment="1">
      <alignment horizontal="center" vertical="center"/>
    </xf>
    <xf numFmtId="0" fontId="14" fillId="28" borderId="16" xfId="3" applyFont="1" applyFill="1" applyBorder="1" applyAlignment="1">
      <alignment horizontal="center" vertical="center"/>
    </xf>
    <xf numFmtId="182" fontId="14" fillId="28" borderId="16" xfId="3" applyNumberFormat="1" applyFont="1" applyFill="1" applyBorder="1" applyAlignment="1">
      <alignment horizontal="center" vertical="center"/>
    </xf>
    <xf numFmtId="0" fontId="14" fillId="9" borderId="16" xfId="3" applyFont="1" applyFill="1" applyBorder="1" applyAlignment="1">
      <alignment horizontal="center" vertical="center"/>
    </xf>
    <xf numFmtId="0" fontId="14" fillId="9" borderId="34" xfId="3" applyFont="1" applyFill="1" applyBorder="1" applyAlignment="1">
      <alignment horizontal="center" vertical="center"/>
    </xf>
    <xf numFmtId="0" fontId="14" fillId="0" borderId="0" xfId="3" applyFont="1" applyAlignment="1">
      <alignment horizontal="center" vertical="center"/>
    </xf>
    <xf numFmtId="0" fontId="16" fillId="0" borderId="0" xfId="3" applyFont="1" applyAlignment="1">
      <alignment horizontal="center" vertical="center"/>
    </xf>
    <xf numFmtId="177" fontId="14" fillId="0" borderId="0" xfId="3" applyNumberFormat="1" applyFont="1" applyAlignment="1">
      <alignment horizontal="center" vertical="center"/>
    </xf>
    <xf numFmtId="9" fontId="16" fillId="0" borderId="0" xfId="5" applyFont="1" applyAlignment="1">
      <alignment horizontal="center" vertical="center"/>
    </xf>
    <xf numFmtId="2" fontId="16" fillId="0" borderId="0" xfId="3" applyNumberFormat="1" applyFont="1" applyAlignment="1">
      <alignment horizontal="center" vertical="center"/>
    </xf>
    <xf numFmtId="1" fontId="7" fillId="0" borderId="13" xfId="3" applyNumberFormat="1" applyFont="1" applyBorder="1" applyAlignment="1">
      <alignment horizontal="right" vertical="center"/>
    </xf>
    <xf numFmtId="1" fontId="7" fillId="0" borderId="33" xfId="3" applyNumberFormat="1" applyFont="1" applyBorder="1" applyAlignment="1">
      <alignment horizontal="right" vertical="center"/>
    </xf>
    <xf numFmtId="177" fontId="38" fillId="18" borderId="0" xfId="3" applyNumberFormat="1" applyFont="1" applyFill="1" applyAlignment="1">
      <alignment horizontal="center" vertical="center"/>
    </xf>
    <xf numFmtId="2" fontId="36" fillId="28" borderId="1" xfId="3" applyNumberFormat="1" applyFont="1" applyFill="1" applyBorder="1" applyAlignment="1">
      <alignment vertical="center"/>
    </xf>
    <xf numFmtId="0" fontId="36" fillId="28" borderId="1" xfId="3" applyFont="1" applyFill="1" applyBorder="1" applyAlignment="1">
      <alignment horizontal="center" vertical="center"/>
    </xf>
    <xf numFmtId="0" fontId="36" fillId="0" borderId="1" xfId="3" applyFont="1" applyBorder="1" applyAlignment="1">
      <alignment horizontal="center" vertical="center"/>
    </xf>
    <xf numFmtId="197" fontId="75" fillId="10" borderId="1" xfId="3" applyNumberFormat="1" applyFont="1" applyFill="1" applyBorder="1" applyAlignment="1">
      <alignment horizontal="center" vertical="center"/>
    </xf>
    <xf numFmtId="197" fontId="64" fillId="10" borderId="1" xfId="6" applyNumberFormat="1" applyFont="1" applyFill="1" applyBorder="1" applyAlignment="1">
      <alignment horizontal="center" vertical="center"/>
    </xf>
    <xf numFmtId="0" fontId="64" fillId="31" borderId="1" xfId="6" applyFont="1" applyFill="1" applyBorder="1" applyAlignment="1">
      <alignment horizontal="center" vertical="center"/>
    </xf>
    <xf numFmtId="189" fontId="15" fillId="0" borderId="0" xfId="6" applyNumberFormat="1" applyFont="1" applyAlignment="1">
      <alignment horizontal="center" vertical="center"/>
    </xf>
    <xf numFmtId="179" fontId="15" fillId="0" borderId="0" xfId="6" applyNumberFormat="1" applyFont="1" applyAlignment="1">
      <alignment horizontal="center" vertical="center"/>
    </xf>
    <xf numFmtId="182" fontId="66" fillId="0" borderId="0" xfId="6" applyNumberFormat="1" applyFont="1" applyAlignment="1">
      <alignment horizontal="center" vertical="center"/>
    </xf>
    <xf numFmtId="0" fontId="15" fillId="6" borderId="0" xfId="6" applyFont="1" applyFill="1" applyAlignment="1">
      <alignment horizontal="center" vertical="center"/>
    </xf>
    <xf numFmtId="189" fontId="76" fillId="15" borderId="28" xfId="6" applyNumberFormat="1" applyFont="1" applyFill="1" applyBorder="1" applyAlignment="1">
      <alignment horizontal="center" vertical="center"/>
    </xf>
    <xf numFmtId="189" fontId="76" fillId="15" borderId="4" xfId="6" applyNumberFormat="1" applyFont="1" applyFill="1" applyBorder="1" applyAlignment="1">
      <alignment horizontal="center" vertical="center"/>
    </xf>
    <xf numFmtId="0" fontId="18" fillId="0" borderId="26" xfId="6" applyFont="1" applyBorder="1" applyAlignment="1">
      <alignment horizontal="center" vertical="center"/>
    </xf>
    <xf numFmtId="0" fontId="18" fillId="0" borderId="22" xfId="6" applyFont="1" applyBorder="1" applyAlignment="1">
      <alignment horizontal="right" vertical="center"/>
    </xf>
    <xf numFmtId="0" fontId="73" fillId="23" borderId="11" xfId="3" applyFont="1" applyFill="1" applyBorder="1" applyAlignment="1">
      <alignment horizontal="center" vertical="center"/>
    </xf>
    <xf numFmtId="0" fontId="72" fillId="23" borderId="12" xfId="3" applyFont="1" applyFill="1" applyBorder="1" applyAlignment="1">
      <alignment horizontal="center" vertical="center"/>
    </xf>
    <xf numFmtId="0" fontId="72" fillId="23" borderId="31" xfId="3" applyFont="1" applyFill="1" applyBorder="1" applyAlignment="1">
      <alignment horizontal="center" vertical="center"/>
    </xf>
    <xf numFmtId="0" fontId="36" fillId="28" borderId="13" xfId="3" applyFont="1" applyFill="1" applyBorder="1" applyAlignment="1">
      <alignment horizontal="center" vertical="center"/>
    </xf>
    <xf numFmtId="176" fontId="36" fillId="0" borderId="32" xfId="3" applyNumberFormat="1" applyFont="1" applyBorder="1" applyAlignment="1">
      <alignment horizontal="center" vertical="center"/>
    </xf>
    <xf numFmtId="0" fontId="36" fillId="28" borderId="33" xfId="3" applyFont="1" applyFill="1" applyBorder="1" applyAlignment="1">
      <alignment horizontal="center" vertical="center"/>
    </xf>
    <xf numFmtId="0" fontId="36" fillId="0" borderId="16" xfId="3" applyFont="1" applyBorder="1" applyAlignment="1">
      <alignment horizontal="center" vertical="center"/>
    </xf>
    <xf numFmtId="176" fontId="36" fillId="0" borderId="34" xfId="3" applyNumberFormat="1" applyFont="1" applyBorder="1" applyAlignment="1">
      <alignment horizontal="center" vertical="center"/>
    </xf>
    <xf numFmtId="0" fontId="81" fillId="13" borderId="0" xfId="3" applyFont="1" applyFill="1" applyAlignment="1">
      <alignment horizontal="center" vertical="center"/>
    </xf>
    <xf numFmtId="0" fontId="81" fillId="4" borderId="0" xfId="3" applyFont="1" applyFill="1" applyAlignment="1">
      <alignment horizontal="center" vertical="center"/>
    </xf>
    <xf numFmtId="0" fontId="36" fillId="28" borderId="16" xfId="3" applyFont="1" applyFill="1" applyBorder="1" applyAlignment="1">
      <alignment horizontal="center" vertical="center"/>
    </xf>
    <xf numFmtId="0" fontId="34" fillId="28" borderId="1" xfId="3" applyFont="1" applyFill="1" applyBorder="1" applyAlignment="1">
      <alignment horizontal="center" vertical="center"/>
    </xf>
    <xf numFmtId="200" fontId="81" fillId="12" borderId="0" xfId="3" applyNumberFormat="1" applyFont="1" applyFill="1" applyAlignment="1">
      <alignment vertical="center"/>
    </xf>
    <xf numFmtId="0" fontId="83" fillId="0" borderId="0" xfId="6" applyFont="1" applyAlignment="1">
      <alignment horizontal="left" vertical="center"/>
    </xf>
    <xf numFmtId="0" fontId="66" fillId="0" borderId="0" xfId="6" applyFont="1">
      <alignment vertical="center"/>
    </xf>
    <xf numFmtId="0" fontId="66" fillId="0" borderId="0" xfId="6" applyFont="1" applyAlignment="1">
      <alignment horizontal="left" vertical="center"/>
    </xf>
    <xf numFmtId="0" fontId="4" fillId="0" borderId="0" xfId="3" applyFont="1" applyAlignment="1">
      <alignment horizontal="left" vertical="center"/>
    </xf>
    <xf numFmtId="0" fontId="9" fillId="0" borderId="0" xfId="3" applyFont="1" applyAlignment="1">
      <alignment horizontal="center" vertical="center"/>
    </xf>
    <xf numFmtId="1" fontId="4" fillId="0" borderId="11" xfId="3" applyNumberFormat="1" applyFont="1" applyBorder="1" applyAlignment="1">
      <alignment horizontal="center" vertical="center"/>
    </xf>
    <xf numFmtId="0" fontId="4" fillId="0" borderId="60" xfId="3" applyFont="1" applyBorder="1" applyAlignment="1">
      <alignment horizontal="center" vertical="center"/>
    </xf>
    <xf numFmtId="1" fontId="4" fillId="5" borderId="13" xfId="3" applyNumberFormat="1" applyFont="1" applyFill="1" applyBorder="1" applyAlignment="1">
      <alignment horizontal="center" vertical="center"/>
    </xf>
    <xf numFmtId="0" fontId="4" fillId="6" borderId="53" xfId="3" applyFont="1" applyFill="1" applyBorder="1" applyAlignment="1">
      <alignment horizontal="center" vertical="center"/>
    </xf>
    <xf numFmtId="1" fontId="10" fillId="5" borderId="13" xfId="3" applyNumberFormat="1" applyFont="1" applyFill="1" applyBorder="1" applyAlignment="1">
      <alignment horizontal="center" vertical="center"/>
    </xf>
    <xf numFmtId="0" fontId="4" fillId="6" borderId="32" xfId="3" applyFont="1" applyFill="1" applyBorder="1" applyAlignment="1">
      <alignment horizontal="center" vertical="center"/>
    </xf>
    <xf numFmtId="1" fontId="4" fillId="5" borderId="33" xfId="3" applyNumberFormat="1" applyFont="1" applyFill="1" applyBorder="1" applyAlignment="1">
      <alignment horizontal="center" vertical="center"/>
    </xf>
    <xf numFmtId="0" fontId="4" fillId="6" borderId="34" xfId="3" applyFont="1" applyFill="1" applyBorder="1" applyAlignment="1">
      <alignment horizontal="center" vertical="center"/>
    </xf>
    <xf numFmtId="0" fontId="4" fillId="28" borderId="6" xfId="3" applyFont="1" applyFill="1" applyBorder="1" applyAlignment="1">
      <alignment horizontal="center" vertical="center"/>
    </xf>
    <xf numFmtId="2" fontId="4" fillId="0" borderId="63" xfId="3" applyNumberFormat="1" applyFont="1" applyBorder="1" applyAlignment="1">
      <alignment horizontal="center" vertical="center"/>
    </xf>
    <xf numFmtId="2" fontId="4" fillId="5" borderId="32" xfId="3" applyNumberFormat="1" applyFont="1" applyFill="1" applyBorder="1" applyAlignment="1">
      <alignment horizontal="center" vertical="center"/>
    </xf>
    <xf numFmtId="2" fontId="4" fillId="0" borderId="64" xfId="3" applyNumberFormat="1" applyFont="1" applyBorder="1" applyAlignment="1">
      <alignment horizontal="center" vertical="center"/>
    </xf>
    <xf numFmtId="2" fontId="4" fillId="5" borderId="34" xfId="3" applyNumberFormat="1" applyFont="1" applyFill="1" applyBorder="1" applyAlignment="1">
      <alignment horizontal="center" vertical="center"/>
    </xf>
    <xf numFmtId="0" fontId="9" fillId="32" borderId="1" xfId="3" applyFont="1" applyFill="1" applyBorder="1" applyAlignment="1">
      <alignment horizontal="center" vertical="center"/>
    </xf>
    <xf numFmtId="0" fontId="9" fillId="32" borderId="62" xfId="3" applyFont="1" applyFill="1" applyBorder="1" applyAlignment="1">
      <alignment horizontal="center" vertical="center"/>
    </xf>
    <xf numFmtId="0" fontId="9" fillId="32" borderId="0" xfId="3" applyFont="1" applyFill="1" applyAlignment="1">
      <alignment horizontal="center" vertical="center"/>
    </xf>
    <xf numFmtId="0" fontId="87" fillId="32" borderId="0" xfId="3" applyFont="1" applyFill="1" applyAlignment="1">
      <alignment horizontal="center" vertical="center"/>
    </xf>
    <xf numFmtId="0" fontId="4" fillId="32" borderId="1" xfId="3" applyFont="1" applyFill="1" applyBorder="1" applyAlignment="1">
      <alignment horizontal="center" vertical="center"/>
    </xf>
    <xf numFmtId="2" fontId="10" fillId="15" borderId="1" xfId="3" applyNumberFormat="1" applyFont="1" applyFill="1" applyBorder="1" applyAlignment="1">
      <alignment horizontal="center" vertical="center"/>
    </xf>
    <xf numFmtId="1" fontId="10" fillId="15" borderId="1" xfId="3" applyNumberFormat="1" applyFont="1" applyFill="1" applyBorder="1" applyAlignment="1">
      <alignment horizontal="center" vertical="center"/>
    </xf>
    <xf numFmtId="2" fontId="9" fillId="5" borderId="32" xfId="3" applyNumberFormat="1" applyFont="1" applyFill="1" applyBorder="1" applyAlignment="1">
      <alignment horizontal="center" vertical="center"/>
    </xf>
    <xf numFmtId="2" fontId="9" fillId="5" borderId="31" xfId="3" applyNumberFormat="1" applyFont="1" applyFill="1" applyBorder="1" applyAlignment="1">
      <alignment horizontal="center" vertical="center"/>
    </xf>
    <xf numFmtId="0" fontId="9" fillId="32" borderId="11" xfId="3" applyFont="1" applyFill="1" applyBorder="1" applyAlignment="1">
      <alignment horizontal="center" vertical="center"/>
    </xf>
    <xf numFmtId="0" fontId="4" fillId="26" borderId="31" xfId="3" applyFont="1" applyFill="1" applyBorder="1" applyAlignment="1">
      <alignment horizontal="center" vertical="center"/>
    </xf>
    <xf numFmtId="0" fontId="9" fillId="32" borderId="13" xfId="3" applyFont="1" applyFill="1" applyBorder="1" applyAlignment="1">
      <alignment horizontal="center" vertical="center"/>
    </xf>
    <xf numFmtId="178" fontId="82" fillId="26" borderId="32" xfId="3" applyNumberFormat="1" applyFont="1" applyFill="1" applyBorder="1" applyAlignment="1">
      <alignment horizontal="center" vertical="center"/>
    </xf>
    <xf numFmtId="0" fontId="4" fillId="9" borderId="65" xfId="3" applyFont="1" applyFill="1" applyBorder="1" applyAlignment="1">
      <alignment horizontal="center" vertical="center"/>
    </xf>
    <xf numFmtId="0" fontId="14" fillId="0" borderId="66" xfId="3" applyFont="1" applyBorder="1" applyAlignment="1">
      <alignment horizontal="center" vertical="center"/>
    </xf>
    <xf numFmtId="0" fontId="4" fillId="28" borderId="13" xfId="3" applyFont="1" applyFill="1" applyBorder="1" applyAlignment="1">
      <alignment horizontal="center" vertical="center"/>
    </xf>
    <xf numFmtId="0" fontId="14" fillId="0" borderId="67" xfId="3" applyFont="1" applyBorder="1" applyAlignment="1">
      <alignment horizontal="center" vertical="center"/>
    </xf>
    <xf numFmtId="0" fontId="4" fillId="0" borderId="68" xfId="3" applyFont="1" applyBorder="1" applyAlignment="1">
      <alignment horizontal="center" vertical="center"/>
    </xf>
    <xf numFmtId="0" fontId="4" fillId="0" borderId="69" xfId="3" applyFont="1" applyBorder="1" applyAlignment="1">
      <alignment horizontal="center" vertical="center"/>
    </xf>
    <xf numFmtId="0" fontId="14" fillId="0" borderId="70" xfId="3" applyFont="1" applyBorder="1" applyAlignment="1">
      <alignment horizontal="center" vertical="center"/>
    </xf>
    <xf numFmtId="0" fontId="16" fillId="27" borderId="11" xfId="3" applyFont="1" applyFill="1" applyBorder="1" applyAlignment="1">
      <alignment horizontal="center" vertical="center"/>
    </xf>
    <xf numFmtId="0" fontId="16" fillId="27" borderId="12" xfId="3" applyFont="1" applyFill="1" applyBorder="1" applyAlignment="1">
      <alignment horizontal="center" vertical="center"/>
    </xf>
    <xf numFmtId="0" fontId="15" fillId="28" borderId="31" xfId="3" applyFont="1" applyFill="1" applyBorder="1" applyAlignment="1">
      <alignment horizontal="center" vertical="center"/>
    </xf>
    <xf numFmtId="0" fontId="16" fillId="27" borderId="13" xfId="3" applyFont="1" applyFill="1" applyBorder="1" applyAlignment="1">
      <alignment horizontal="center" vertical="center"/>
    </xf>
    <xf numFmtId="0" fontId="18" fillId="28" borderId="32" xfId="3" applyFont="1" applyFill="1" applyBorder="1" applyAlignment="1">
      <alignment horizontal="center" vertical="center"/>
    </xf>
    <xf numFmtId="0" fontId="15" fillId="9" borderId="32" xfId="3" applyFont="1" applyFill="1" applyBorder="1" applyAlignment="1">
      <alignment horizontal="center" vertical="center"/>
    </xf>
    <xf numFmtId="1" fontId="15" fillId="9" borderId="32" xfId="3" applyNumberFormat="1" applyFont="1" applyFill="1" applyBorder="1" applyAlignment="1">
      <alignment horizontal="center" vertical="center"/>
    </xf>
    <xf numFmtId="2" fontId="18" fillId="28" borderId="32" xfId="3" applyNumberFormat="1" applyFont="1" applyFill="1" applyBorder="1" applyAlignment="1">
      <alignment horizontal="center" vertical="center"/>
    </xf>
    <xf numFmtId="2" fontId="15" fillId="9" borderId="32" xfId="3" applyNumberFormat="1" applyFont="1" applyFill="1" applyBorder="1" applyAlignment="1">
      <alignment horizontal="center" vertical="center"/>
    </xf>
    <xf numFmtId="0" fontId="22" fillId="11" borderId="32" xfId="3" applyFont="1" applyFill="1" applyBorder="1" applyAlignment="1">
      <alignment horizontal="center" vertical="center"/>
    </xf>
    <xf numFmtId="0" fontId="14" fillId="27" borderId="13" xfId="3" applyFont="1" applyFill="1" applyBorder="1" applyAlignment="1">
      <alignment horizontal="center" vertical="center"/>
    </xf>
    <xf numFmtId="0" fontId="15" fillId="0" borderId="64" xfId="3" applyFont="1" applyBorder="1" applyAlignment="1">
      <alignment horizontal="center" vertical="center"/>
    </xf>
    <xf numFmtId="0" fontId="18" fillId="12" borderId="34" xfId="3" applyFont="1" applyFill="1" applyBorder="1" applyAlignment="1">
      <alignment horizontal="center" vertical="center"/>
    </xf>
    <xf numFmtId="0" fontId="16" fillId="27" borderId="61" xfId="3" applyFont="1" applyFill="1" applyBorder="1" applyAlignment="1">
      <alignment horizontal="center" vertical="center"/>
    </xf>
    <xf numFmtId="0" fontId="18" fillId="28" borderId="19" xfId="3" applyFont="1" applyFill="1" applyBorder="1" applyAlignment="1">
      <alignment horizontal="center" vertical="center"/>
    </xf>
    <xf numFmtId="0" fontId="63" fillId="27" borderId="27" xfId="3" applyFont="1" applyFill="1" applyBorder="1" applyAlignment="1">
      <alignment horizontal="center" vertical="center"/>
    </xf>
    <xf numFmtId="188" fontId="25" fillId="28" borderId="58" xfId="3" applyNumberFormat="1" applyFont="1" applyFill="1" applyBorder="1" applyAlignment="1">
      <alignment horizontal="center" vertical="center"/>
    </xf>
    <xf numFmtId="0" fontId="14" fillId="0" borderId="2" xfId="3" applyFont="1" applyBorder="1" applyAlignment="1">
      <alignment horizontal="center" vertical="center"/>
    </xf>
    <xf numFmtId="0" fontId="14" fillId="0" borderId="6" xfId="3" applyFont="1" applyBorder="1" applyAlignment="1">
      <alignment horizontal="center" vertical="center"/>
    </xf>
    <xf numFmtId="0" fontId="14" fillId="26" borderId="56" xfId="3" applyFont="1" applyFill="1" applyBorder="1" applyAlignment="1">
      <alignment horizontal="center" vertical="center"/>
    </xf>
    <xf numFmtId="0" fontId="14" fillId="26" borderId="57" xfId="3" applyFont="1" applyFill="1" applyBorder="1" applyAlignment="1">
      <alignment horizontal="center" vertical="center"/>
    </xf>
    <xf numFmtId="179" fontId="14" fillId="26" borderId="56" xfId="3" applyNumberFormat="1" applyFont="1" applyFill="1" applyBorder="1" applyAlignment="1">
      <alignment horizontal="center" vertical="center"/>
    </xf>
    <xf numFmtId="179" fontId="14" fillId="26" borderId="57" xfId="3" applyNumberFormat="1" applyFont="1" applyFill="1" applyBorder="1" applyAlignment="1">
      <alignment horizontal="center" vertical="center"/>
    </xf>
    <xf numFmtId="0" fontId="14" fillId="21" borderId="54" xfId="3" applyFont="1" applyFill="1" applyBorder="1" applyAlignment="1">
      <alignment horizontal="center" vertical="center"/>
    </xf>
    <xf numFmtId="0" fontId="14" fillId="21" borderId="55" xfId="3" applyFont="1" applyFill="1" applyBorder="1" applyAlignment="1">
      <alignment horizontal="center" vertical="center"/>
    </xf>
    <xf numFmtId="0" fontId="14" fillId="21" borderId="52" xfId="3" applyFont="1" applyFill="1" applyBorder="1" applyAlignment="1">
      <alignment horizontal="center" vertical="center"/>
    </xf>
    <xf numFmtId="181" fontId="14" fillId="0" borderId="7" xfId="3" applyNumberFormat="1" applyFont="1" applyBorder="1" applyAlignment="1">
      <alignment horizontal="center" vertical="center"/>
    </xf>
    <xf numFmtId="181" fontId="14" fillId="0" borderId="8" xfId="3" applyNumberFormat="1" applyFont="1" applyBorder="1" applyAlignment="1">
      <alignment horizontal="center" vertical="center"/>
    </xf>
    <xf numFmtId="190" fontId="14" fillId="28" borderId="2" xfId="3" applyNumberFormat="1" applyFont="1" applyFill="1" applyBorder="1" applyAlignment="1">
      <alignment horizontal="center" vertical="center"/>
    </xf>
    <xf numFmtId="190" fontId="14" fillId="28" borderId="6" xfId="3" applyNumberFormat="1" applyFont="1" applyFill="1" applyBorder="1" applyAlignment="1">
      <alignment horizontal="center" vertical="center"/>
    </xf>
    <xf numFmtId="179" fontId="14" fillId="0" borderId="9" xfId="3" applyNumberFormat="1" applyFont="1" applyBorder="1" applyAlignment="1">
      <alignment horizontal="center" vertical="center"/>
    </xf>
    <xf numFmtId="179" fontId="14" fillId="0" borderId="50" xfId="3" applyNumberFormat="1" applyFont="1" applyBorder="1" applyAlignment="1">
      <alignment horizontal="center" vertical="center"/>
    </xf>
    <xf numFmtId="179" fontId="14" fillId="0" borderId="10" xfId="3" applyNumberFormat="1" applyFont="1" applyBorder="1" applyAlignment="1">
      <alignment horizontal="center" vertical="center"/>
    </xf>
    <xf numFmtId="179" fontId="14" fillId="0" borderId="51" xfId="3" applyNumberFormat="1" applyFont="1" applyBorder="1" applyAlignment="1">
      <alignment horizontal="center" vertical="center"/>
    </xf>
    <xf numFmtId="0" fontId="20" fillId="9" borderId="72" xfId="3" applyFont="1" applyFill="1" applyBorder="1" applyAlignment="1">
      <alignment horizontal="right" vertical="center"/>
    </xf>
    <xf numFmtId="0" fontId="10" fillId="0" borderId="0" xfId="3" applyFont="1" applyAlignment="1">
      <alignment horizontal="center" vertical="center"/>
    </xf>
    <xf numFmtId="0" fontId="14" fillId="28" borderId="54" xfId="3" applyFont="1" applyFill="1" applyBorder="1" applyAlignment="1">
      <alignment horizontal="left" vertical="center"/>
    </xf>
    <xf numFmtId="0" fontId="14" fillId="28" borderId="71" xfId="3" applyFont="1" applyFill="1" applyBorder="1" applyAlignment="1">
      <alignment horizontal="left" vertical="center"/>
    </xf>
    <xf numFmtId="0" fontId="14" fillId="28" borderId="55" xfId="3" applyFont="1" applyFill="1" applyBorder="1" applyAlignment="1">
      <alignment horizontal="left" vertical="center"/>
    </xf>
    <xf numFmtId="0" fontId="16" fillId="0" borderId="0" xfId="3" applyFont="1" applyAlignment="1">
      <alignment horizontal="left" vertical="center"/>
    </xf>
    <xf numFmtId="186" fontId="19" fillId="10" borderId="1" xfId="3" applyNumberFormat="1" applyFont="1" applyFill="1" applyBorder="1" applyAlignment="1">
      <alignment horizontal="center" vertical="center"/>
    </xf>
    <xf numFmtId="187" fontId="17" fillId="28" borderId="1" xfId="3" applyNumberFormat="1" applyFont="1" applyFill="1" applyBorder="1" applyAlignment="1">
      <alignment horizontal="center" vertical="center"/>
    </xf>
    <xf numFmtId="187" fontId="20" fillId="9" borderId="2" xfId="3" applyNumberFormat="1" applyFont="1" applyFill="1" applyBorder="1" applyAlignment="1">
      <alignment horizontal="right" vertical="center"/>
    </xf>
    <xf numFmtId="187" fontId="20" fillId="9" borderId="5" xfId="3" applyNumberFormat="1" applyFont="1" applyFill="1" applyBorder="1" applyAlignment="1">
      <alignment horizontal="right" vertical="center"/>
    </xf>
    <xf numFmtId="187" fontId="20" fillId="9" borderId="6" xfId="3" applyNumberFormat="1" applyFont="1" applyFill="1" applyBorder="1" applyAlignment="1">
      <alignment horizontal="right" vertical="center"/>
    </xf>
    <xf numFmtId="185" fontId="14" fillId="28" borderId="2" xfId="3" applyNumberFormat="1" applyFont="1" applyFill="1" applyBorder="1" applyAlignment="1">
      <alignment horizontal="left" vertical="center"/>
    </xf>
    <xf numFmtId="185" fontId="14" fillId="28" borderId="5" xfId="3" applyNumberFormat="1" applyFont="1" applyFill="1" applyBorder="1" applyAlignment="1">
      <alignment horizontal="left" vertical="center"/>
    </xf>
    <xf numFmtId="185" fontId="14" fillId="28" borderId="6" xfId="3" applyNumberFormat="1" applyFont="1" applyFill="1" applyBorder="1" applyAlignment="1">
      <alignment horizontal="left" vertical="center"/>
    </xf>
    <xf numFmtId="0" fontId="14" fillId="28" borderId="2" xfId="3" applyFont="1" applyFill="1" applyBorder="1" applyAlignment="1">
      <alignment horizontal="center" vertical="center"/>
    </xf>
    <xf numFmtId="0" fontId="14" fillId="28" borderId="5" xfId="3" applyFont="1" applyFill="1" applyBorder="1" applyAlignment="1">
      <alignment horizontal="center" vertical="center"/>
    </xf>
    <xf numFmtId="0" fontId="14" fillId="28" borderId="6" xfId="3" applyFont="1" applyFill="1" applyBorder="1" applyAlignment="1">
      <alignment horizontal="center" vertical="center"/>
    </xf>
    <xf numFmtId="0" fontId="14" fillId="28" borderId="2" xfId="3" applyFont="1" applyFill="1" applyBorder="1" applyAlignment="1">
      <alignment horizontal="left" vertical="center"/>
    </xf>
    <xf numFmtId="0" fontId="14" fillId="28" borderId="5" xfId="3" applyFont="1" applyFill="1" applyBorder="1" applyAlignment="1">
      <alignment horizontal="left" vertical="center"/>
    </xf>
    <xf numFmtId="0" fontId="14" fillId="28" borderId="6" xfId="3" applyFont="1" applyFill="1" applyBorder="1" applyAlignment="1">
      <alignment horizontal="left" vertical="center"/>
    </xf>
    <xf numFmtId="0" fontId="9" fillId="0" borderId="1" xfId="3" applyFont="1" applyBorder="1" applyAlignment="1">
      <alignment horizontal="center" vertical="center"/>
    </xf>
    <xf numFmtId="2" fontId="10" fillId="0" borderId="1" xfId="3" applyNumberFormat="1" applyFont="1" applyBorder="1" applyAlignment="1">
      <alignment horizontal="center" vertical="center"/>
    </xf>
    <xf numFmtId="207" fontId="69" fillId="0" borderId="1" xfId="3" applyNumberFormat="1" applyFont="1" applyBorder="1" applyAlignment="1">
      <alignment horizontal="center" vertical="center"/>
    </xf>
    <xf numFmtId="208" fontId="69" fillId="0" borderId="1" xfId="3" applyNumberFormat="1" applyFont="1" applyBorder="1" applyAlignment="1">
      <alignment horizontal="center" vertical="center"/>
    </xf>
    <xf numFmtId="0" fontId="69" fillId="0" borderId="1" xfId="3" applyFont="1" applyBorder="1" applyAlignment="1">
      <alignment horizontal="center" vertical="center"/>
    </xf>
    <xf numFmtId="201" fontId="69" fillId="0" borderId="2" xfId="3" applyNumberFormat="1" applyFont="1" applyBorder="1" applyAlignment="1">
      <alignment horizontal="center" vertical="center"/>
    </xf>
    <xf numFmtId="201" fontId="69" fillId="0" borderId="5" xfId="3" applyNumberFormat="1" applyFont="1" applyBorder="1" applyAlignment="1">
      <alignment horizontal="center" vertical="center"/>
    </xf>
    <xf numFmtId="201" fontId="69" fillId="0" borderId="6" xfId="3" applyNumberFormat="1" applyFont="1" applyBorder="1" applyAlignment="1">
      <alignment horizontal="center" vertical="center"/>
    </xf>
    <xf numFmtId="203" fontId="69" fillId="0" borderId="1" xfId="3" applyNumberFormat="1" applyFont="1" applyBorder="1" applyAlignment="1">
      <alignment horizontal="center" vertical="center"/>
    </xf>
    <xf numFmtId="204" fontId="69" fillId="0" borderId="1" xfId="3" applyNumberFormat="1" applyFont="1" applyBorder="1" applyAlignment="1">
      <alignment horizontal="center" vertical="center"/>
    </xf>
    <xf numFmtId="205" fontId="69" fillId="0" borderId="2" xfId="3" applyNumberFormat="1" applyFont="1" applyBorder="1" applyAlignment="1">
      <alignment horizontal="center" vertical="center"/>
    </xf>
    <xf numFmtId="205" fontId="69" fillId="0" borderId="5" xfId="3" applyNumberFormat="1" applyFont="1" applyBorder="1" applyAlignment="1">
      <alignment horizontal="center" vertical="center"/>
    </xf>
    <xf numFmtId="206" fontId="69" fillId="0" borderId="5" xfId="3" applyNumberFormat="1" applyFont="1" applyBorder="1" applyAlignment="1">
      <alignment horizontal="center" vertical="center"/>
    </xf>
    <xf numFmtId="202" fontId="69" fillId="0" borderId="1" xfId="3" applyNumberFormat="1" applyFont="1" applyBorder="1" applyAlignment="1">
      <alignment horizontal="center" vertical="center" wrapText="1"/>
    </xf>
    <xf numFmtId="0" fontId="69" fillId="0" borderId="1" xfId="3" applyFont="1" applyBorder="1" applyAlignment="1">
      <alignment horizontal="center" vertical="center" wrapText="1"/>
    </xf>
    <xf numFmtId="213" fontId="17" fillId="0" borderId="1" xfId="3" applyNumberFormat="1" applyFont="1" applyBorder="1" applyAlignment="1">
      <alignment horizontal="center" vertical="center"/>
    </xf>
    <xf numFmtId="0" fontId="40" fillId="9" borderId="0" xfId="3" applyFont="1" applyFill="1" applyAlignment="1">
      <alignment horizontal="right" vertical="center" wrapText="1"/>
    </xf>
    <xf numFmtId="211" fontId="17" fillId="0" borderId="1" xfId="3" applyNumberFormat="1" applyFont="1" applyBorder="1" applyAlignment="1">
      <alignment horizontal="left" vertical="center"/>
    </xf>
    <xf numFmtId="211" fontId="17" fillId="0" borderId="2" xfId="3" applyNumberFormat="1" applyFont="1" applyBorder="1" applyAlignment="1">
      <alignment horizontal="left" vertical="center"/>
    </xf>
    <xf numFmtId="0" fontId="17" fillId="0" borderId="1" xfId="3" applyFont="1" applyBorder="1" applyAlignment="1">
      <alignment horizontal="center" vertical="center" wrapText="1"/>
    </xf>
    <xf numFmtId="0" fontId="15" fillId="21" borderId="46" xfId="3" applyFont="1" applyFill="1" applyBorder="1" applyAlignment="1">
      <alignment horizontal="center" vertical="center"/>
    </xf>
    <xf numFmtId="0" fontId="15" fillId="21" borderId="48" xfId="3" applyFont="1" applyFill="1" applyBorder="1" applyAlignment="1">
      <alignment horizontal="center" vertical="center"/>
    </xf>
    <xf numFmtId="0" fontId="18" fillId="21" borderId="35" xfId="3" applyFont="1" applyFill="1" applyBorder="1" applyAlignment="1">
      <alignment horizontal="center" vertical="center"/>
    </xf>
    <xf numFmtId="0" fontId="18" fillId="21" borderId="36" xfId="3" applyFont="1" applyFill="1" applyBorder="1" applyAlignment="1">
      <alignment horizontal="center" vertical="center"/>
    </xf>
    <xf numFmtId="0" fontId="18" fillId="21" borderId="37" xfId="3" applyFont="1" applyFill="1" applyBorder="1" applyAlignment="1">
      <alignment horizontal="center" vertical="center"/>
    </xf>
    <xf numFmtId="0" fontId="18" fillId="21" borderId="38" xfId="3" applyFont="1" applyFill="1" applyBorder="1" applyAlignment="1">
      <alignment horizontal="center" vertical="center"/>
    </xf>
    <xf numFmtId="0" fontId="49" fillId="3" borderId="35" xfId="2" applyFont="1" applyBorder="1" applyAlignment="1">
      <alignment horizontal="center" vertical="center"/>
    </xf>
    <xf numFmtId="0" fontId="49" fillId="3" borderId="38" xfId="2" applyFont="1" applyBorder="1" applyAlignment="1">
      <alignment horizontal="center" vertical="center"/>
    </xf>
    <xf numFmtId="0" fontId="49" fillId="3" borderId="36" xfId="2" applyFont="1" applyBorder="1" applyAlignment="1">
      <alignment horizontal="center" vertical="center"/>
    </xf>
    <xf numFmtId="0" fontId="15" fillId="21" borderId="39" xfId="3" applyFont="1" applyFill="1" applyBorder="1" applyAlignment="1">
      <alignment horizontal="center" vertical="center"/>
    </xf>
    <xf numFmtId="0" fontId="15" fillId="21" borderId="40" xfId="3" applyFont="1" applyFill="1" applyBorder="1" applyAlignment="1">
      <alignment horizontal="center" vertical="center"/>
    </xf>
    <xf numFmtId="205" fontId="38" fillId="30" borderId="0" xfId="3" applyNumberFormat="1" applyFont="1" applyFill="1" applyAlignment="1">
      <alignment horizontal="center" vertical="center"/>
    </xf>
    <xf numFmtId="205" fontId="36" fillId="0" borderId="0" xfId="3" applyNumberFormat="1" applyFont="1" applyAlignment="1">
      <alignment horizontal="center" vertical="center"/>
    </xf>
    <xf numFmtId="176" fontId="36" fillId="13" borderId="0" xfId="3" applyNumberFormat="1" applyFont="1" applyFill="1" applyAlignment="1">
      <alignment horizontal="center" vertical="center"/>
    </xf>
    <xf numFmtId="196" fontId="36" fillId="0" borderId="0" xfId="3" applyNumberFormat="1" applyFont="1" applyAlignment="1">
      <alignment horizontal="center" vertical="center"/>
    </xf>
    <xf numFmtId="0" fontId="36" fillId="0" borderId="0" xfId="3" applyFont="1" applyAlignment="1">
      <alignment horizontal="center" vertical="top"/>
    </xf>
    <xf numFmtId="186" fontId="3" fillId="0" borderId="0" xfId="3" applyNumberFormat="1" applyAlignment="1">
      <alignment horizontal="center"/>
    </xf>
    <xf numFmtId="186" fontId="71" fillId="0" borderId="0" xfId="3" applyNumberFormat="1" applyFont="1" applyAlignment="1">
      <alignment horizontal="center"/>
    </xf>
  </cellXfs>
  <cellStyles count="7">
    <cellStyle name="나쁨" xfId="1" builtinId="27"/>
    <cellStyle name="백분율 2" xfId="5" xr:uid="{E7427DB0-7200-4499-906F-EAD0A4D93108}"/>
    <cellStyle name="보통" xfId="2" builtinId="28"/>
    <cellStyle name="쉼표 [0] 2" xfId="4" xr:uid="{F2628F4A-E587-4A59-B19D-7F35CFD6E758}"/>
    <cellStyle name="표준" xfId="0" builtinId="0"/>
    <cellStyle name="표준 2" xfId="3" xr:uid="{58E96D6F-E26D-4F9A-AD14-1E2187070458}"/>
    <cellStyle name="표준 2 2" xfId="6" xr:uid="{34750C69-1395-48AD-9044-A3C85406A852}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CD"/>
      <color rgb="FF993300"/>
      <color rgb="FF9E7E98"/>
      <color rgb="FF2DA5FF"/>
      <color rgb="FFDBF3D9"/>
      <color rgb="FFFFFF99"/>
      <color rgb="FFE7E7FF"/>
      <color rgb="FFCCCCFF"/>
      <color rgb="FFFFCC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1.89</c:v>
                </c:pt>
                <c:pt idx="1">
                  <c:v>2.85</c:v>
                </c:pt>
                <c:pt idx="2">
                  <c:v>3.93</c:v>
                </c:pt>
                <c:pt idx="3">
                  <c:v>4.7</c:v>
                </c:pt>
                <c:pt idx="4">
                  <c:v>5.29</c:v>
                </c:pt>
                <c:pt idx="5">
                  <c:v>7.14</c:v>
                </c:pt>
                <c:pt idx="6">
                  <c:v>8.2200000000000006</c:v>
                </c:pt>
                <c:pt idx="7">
                  <c:v>8.99</c:v>
                </c:pt>
                <c:pt idx="8">
                  <c:v>9.58</c:v>
                </c:pt>
                <c:pt idx="9">
                  <c:v>10.07</c:v>
                </c:pt>
                <c:pt idx="10">
                  <c:v>10.48</c:v>
                </c:pt>
                <c:pt idx="11">
                  <c:v>10.84</c:v>
                </c:pt>
                <c:pt idx="12">
                  <c:v>11.15</c:v>
                </c:pt>
                <c:pt idx="13">
                  <c:v>11.43</c:v>
                </c:pt>
                <c:pt idx="14">
                  <c:v>11.68</c:v>
                </c:pt>
                <c:pt idx="15">
                  <c:v>11.92</c:v>
                </c:pt>
                <c:pt idx="16">
                  <c:v>12.51</c:v>
                </c:pt>
                <c:pt idx="17">
                  <c:v>13</c:v>
                </c:pt>
                <c:pt idx="18">
                  <c:v>13.41</c:v>
                </c:pt>
                <c:pt idx="19">
                  <c:v>13.77</c:v>
                </c:pt>
                <c:pt idx="20" formatCode="\ 0.00\ ">
                  <c:v>13.93</c:v>
                </c:pt>
                <c:pt idx="21" formatCode="\ 0.00\ ">
                  <c:v>14.08</c:v>
                </c:pt>
                <c:pt idx="22" formatCode="\ 0.00\ ">
                  <c:v>14.22</c:v>
                </c:pt>
                <c:pt idx="23" formatCode="\ 0.00\ ">
                  <c:v>14.350000000000001</c:v>
                </c:pt>
                <c:pt idx="24" formatCode="\ 0.00\ ">
                  <c:v>14.480000000000002</c:v>
                </c:pt>
                <c:pt idx="25">
                  <c:v>16.52</c:v>
                </c:pt>
                <c:pt idx="26" formatCode="\ 0.00\ ">
                  <c:v>16.63</c:v>
                </c:pt>
                <c:pt idx="27">
                  <c:v>16.98</c:v>
                </c:pt>
                <c:pt idx="28" formatCode="\ 0.00\ ">
                  <c:v>17.080000000000002</c:v>
                </c:pt>
                <c:pt idx="29">
                  <c:v>17.440000000000001</c:v>
                </c:pt>
                <c:pt idx="30" formatCode="\ 0.00\ ">
                  <c:v>17.5</c:v>
                </c:pt>
                <c:pt idx="31" formatCode="\ 0.00\ ">
                  <c:v>17.55</c:v>
                </c:pt>
                <c:pt idx="32" formatCode="\ 0.00\ ">
                  <c:v>17.59</c:v>
                </c:pt>
                <c:pt idx="33" formatCode="\ 0.00\ ">
                  <c:v>17.62</c:v>
                </c:pt>
                <c:pt idx="34" formatCode="\ 0.00\ ">
                  <c:v>17.64</c:v>
                </c:pt>
                <c:pt idx="35">
                  <c:v>17.899999999999999</c:v>
                </c:pt>
                <c:pt idx="36" formatCode="\ 0.00\ ">
                  <c:v>17.97</c:v>
                </c:pt>
                <c:pt idx="37" formatCode="\ 0.00\ ">
                  <c:v>18.029999999999998</c:v>
                </c:pt>
                <c:pt idx="38" formatCode="\ 0.00\ ">
                  <c:v>18.079999999999998</c:v>
                </c:pt>
                <c:pt idx="39">
                  <c:v>18.36</c:v>
                </c:pt>
                <c:pt idx="40" formatCode="\ 0.00\ ">
                  <c:v>18.54</c:v>
                </c:pt>
                <c:pt idx="41" formatCode="\ 0.00\ ">
                  <c:v>18.7</c:v>
                </c:pt>
                <c:pt idx="42" formatCode="\ 0.00\ ">
                  <c:v>18.849999999999998</c:v>
                </c:pt>
                <c:pt idx="43" formatCode="\ 0.00\ ">
                  <c:v>18.989999999999998</c:v>
                </c:pt>
                <c:pt idx="44" formatCode="\ 0.00\ ">
                  <c:v>19.119999999999997</c:v>
                </c:pt>
                <c:pt idx="45">
                  <c:v>21.45</c:v>
                </c:pt>
                <c:pt idx="46" formatCode="\ 0.00\ ">
                  <c:v>21.56</c:v>
                </c:pt>
                <c:pt idx="47">
                  <c:v>21.97</c:v>
                </c:pt>
                <c:pt idx="48" formatCode="\ 0.00\ ">
                  <c:v>22.08</c:v>
                </c:pt>
                <c:pt idx="49">
                  <c:v>22.48</c:v>
                </c:pt>
                <c:pt idx="50" formatCode="\ 0.00\ ">
                  <c:v>22.55</c:v>
                </c:pt>
                <c:pt idx="51" formatCode="\ 0.00\ ">
                  <c:v>22.6</c:v>
                </c:pt>
                <c:pt idx="52" formatCode="\ 0.00\ ">
                  <c:v>22.64</c:v>
                </c:pt>
                <c:pt idx="53" formatCode="\ 0.00\ ">
                  <c:v>22.67</c:v>
                </c:pt>
                <c:pt idx="54" formatCode="\ 0.00\ ">
                  <c:v>22.69</c:v>
                </c:pt>
                <c:pt idx="55">
                  <c:v>23</c:v>
                </c:pt>
                <c:pt idx="56" formatCode="\ 0.00\ ">
                  <c:v>23.08</c:v>
                </c:pt>
                <c:pt idx="57" formatCode="\ 0.00\ ">
                  <c:v>23.139999999999997</c:v>
                </c:pt>
                <c:pt idx="58" formatCode="\ 0.00\ ">
                  <c:v>23.189999999999998</c:v>
                </c:pt>
                <c:pt idx="59">
                  <c:v>23.52</c:v>
                </c:pt>
                <c:pt idx="60" formatCode="\ 0.00\ ">
                  <c:v>23.71</c:v>
                </c:pt>
                <c:pt idx="61" formatCode="\ 0.00\ ">
                  <c:v>23.880000000000003</c:v>
                </c:pt>
                <c:pt idx="62" formatCode="\ 0.00\ ">
                  <c:v>24.040000000000003</c:v>
                </c:pt>
                <c:pt idx="63" formatCode="\ 0.00\ ">
                  <c:v>24.19</c:v>
                </c:pt>
                <c:pt idx="64" formatCode="\ 0.00\ ">
                  <c:v>24.330000000000002</c:v>
                </c:pt>
                <c:pt idx="65">
                  <c:v>26.97</c:v>
                </c:pt>
                <c:pt idx="66" formatCode="\ 0.00\ ">
                  <c:v>27.09</c:v>
                </c:pt>
                <c:pt idx="67" formatCode="\ 0.00\ ">
                  <c:v>27.55</c:v>
                </c:pt>
                <c:pt idx="68" formatCode="\ 0.00\ ">
                  <c:v>27.67</c:v>
                </c:pt>
                <c:pt idx="69" formatCode="\ 0.00\ ">
                  <c:v>28.12</c:v>
                </c:pt>
                <c:pt idx="70" formatCode="\ 0.00\ ">
                  <c:v>28.19</c:v>
                </c:pt>
                <c:pt idx="71" formatCode="\ 0.00\ ">
                  <c:v>28.240000000000002</c:v>
                </c:pt>
                <c:pt idx="72" formatCode="\ 0.00\ ">
                  <c:v>28.28</c:v>
                </c:pt>
                <c:pt idx="73" formatCode="\ 0.00\ ">
                  <c:v>28.310000000000002</c:v>
                </c:pt>
                <c:pt idx="74" formatCode="\ 0.00\ ">
                  <c:v>28.340000000000003</c:v>
                </c:pt>
                <c:pt idx="75" formatCode="\ 0.00\ ">
                  <c:v>28.7</c:v>
                </c:pt>
                <c:pt idx="76" formatCode="\ 0.00\ ">
                  <c:v>28.79</c:v>
                </c:pt>
                <c:pt idx="77" formatCode="\ 0.00\ ">
                  <c:v>28.86</c:v>
                </c:pt>
                <c:pt idx="78" formatCode="\ 0.00\ ">
                  <c:v>28.91</c:v>
                </c:pt>
                <c:pt idx="79" formatCode="\ 0.00\ ">
                  <c:v>29.28</c:v>
                </c:pt>
                <c:pt idx="80" formatCode="\ 0.00\ ">
                  <c:v>29.490000000000002</c:v>
                </c:pt>
                <c:pt idx="81" formatCode="\ 0.00\ ">
                  <c:v>29.680000000000003</c:v>
                </c:pt>
                <c:pt idx="82" formatCode="\ 0.00\ ">
                  <c:v>29.850000000000005</c:v>
                </c:pt>
                <c:pt idx="83" formatCode="\ 0.00\ ">
                  <c:v>30.010000000000005</c:v>
                </c:pt>
                <c:pt idx="84" formatCode="\ 0.00\ ">
                  <c:v>30.150000000000006</c:v>
                </c:pt>
                <c:pt idx="85" formatCode="\ 0.00\ ">
                  <c:v>32.79</c:v>
                </c:pt>
                <c:pt idx="86" formatCode="\ 0.00\ ">
                  <c:v>33.1</c:v>
                </c:pt>
                <c:pt idx="87" formatCode="\ 0.00\ ">
                  <c:v>34.1</c:v>
                </c:pt>
                <c:pt idx="88" formatCode="\ 0.00\ ">
                  <c:v>34.4</c:v>
                </c:pt>
                <c:pt idx="89" formatCode="\ 0.00\ ">
                  <c:v>35.42</c:v>
                </c:pt>
                <c:pt idx="90" formatCode="\ 0.00\ ">
                  <c:v>35.57</c:v>
                </c:pt>
                <c:pt idx="91" formatCode="\ 0.00\ ">
                  <c:v>35.700000000000003</c:v>
                </c:pt>
                <c:pt idx="92" formatCode="\ 0.00\ ">
                  <c:v>35.81</c:v>
                </c:pt>
                <c:pt idx="93" formatCode="\ 0.00\ ">
                  <c:v>35.89</c:v>
                </c:pt>
                <c:pt idx="94" formatCode="\ 0.00\ ">
                  <c:v>35.96</c:v>
                </c:pt>
                <c:pt idx="95" formatCode="\ 0.00\ ">
                  <c:v>36.74</c:v>
                </c:pt>
                <c:pt idx="96" formatCode="\ 0.00\ ">
                  <c:v>36.93</c:v>
                </c:pt>
                <c:pt idx="97" formatCode="\ 0.00\ ">
                  <c:v>37.089999999999996</c:v>
                </c:pt>
                <c:pt idx="98" formatCode="\ 0.00\ ">
                  <c:v>37.229999999999997</c:v>
                </c:pt>
                <c:pt idx="99" formatCode="\ 0.00\ ">
                  <c:v>38.06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97</c:v>
                </c:pt>
                <c:pt idx="1">
                  <c:v>123</c:v>
                </c:pt>
                <c:pt idx="2">
                  <c:v>150.44999999999999</c:v>
                </c:pt>
                <c:pt idx="3">
                  <c:v>177</c:v>
                </c:pt>
                <c:pt idx="4">
                  <c:v>203.54999999999998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0.14099999999999999</c:v>
                </c:pt>
                <c:pt idx="1">
                  <c:v>0.14899999999999999</c:v>
                </c:pt>
                <c:pt idx="2">
                  <c:v>0.156</c:v>
                </c:pt>
                <c:pt idx="3">
                  <c:v>0.16500000000000001</c:v>
                </c:pt>
                <c:pt idx="4">
                  <c:v>0.186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239.06666666666663"/>
          <c:min val="61.48333333333334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758333333333329"/>
      </c:valAx>
      <c:valAx>
        <c:axId val="1"/>
        <c:scaling>
          <c:orientation val="minMax"/>
          <c:max val="0.20100000000000001"/>
          <c:min val="0.12599999999999997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1.875000000000001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5532303860790408"/>
                  <c:y val="-0.24654139348119333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87</c:v>
                </c:pt>
                <c:pt idx="1">
                  <c:v>97</c:v>
                </c:pt>
                <c:pt idx="2">
                  <c:v>123</c:v>
                </c:pt>
                <c:pt idx="3">
                  <c:v>150.44999999999999</c:v>
                </c:pt>
                <c:pt idx="4">
                  <c:v>177</c:v>
                </c:pt>
                <c:pt idx="5">
                  <c:v>203.54999999999998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80.176127827109909</c:v>
                </c:pt>
                <c:pt idx="2">
                  <c:v>76.130828533807758</c:v>
                </c:pt>
                <c:pt idx="3">
                  <c:v>72.280517323054355</c:v>
                </c:pt>
                <c:pt idx="4">
                  <c:v>68.909680788539461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239.06666666666663"/>
          <c:min val="61.48333333333334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7.758333333333329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2.6610985367719719E-2"/>
              <c:y val="0.234184312618293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97</c:v>
                </c:pt>
                <c:pt idx="1">
                  <c:v>123</c:v>
                </c:pt>
                <c:pt idx="2">
                  <c:v>150.44999999999999</c:v>
                </c:pt>
                <c:pt idx="3">
                  <c:v>177</c:v>
                </c:pt>
                <c:pt idx="4">
                  <c:v>203.54999999999998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13.77</c:v>
                </c:pt>
                <c:pt idx="1">
                  <c:v>18.36</c:v>
                </c:pt>
                <c:pt idx="2">
                  <c:v>23.52</c:v>
                </c:pt>
                <c:pt idx="3">
                  <c:v>29.28</c:v>
                </c:pt>
                <c:pt idx="4">
                  <c:v>38.06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51481715358411628"/>
              <c:y val="0.8037518037518037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3.9205406072707172E-2"/>
                  <c:y val="-0.1345418285596396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87</c:v>
                </c:pt>
                <c:pt idx="1">
                  <c:v>97</c:v>
                </c:pt>
                <c:pt idx="2">
                  <c:v>123</c:v>
                </c:pt>
                <c:pt idx="3">
                  <c:v>150.44999999999999</c:v>
                </c:pt>
                <c:pt idx="4">
                  <c:v>177</c:v>
                </c:pt>
                <c:pt idx="5">
                  <c:v>203.54999999999998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0.14195876288659792</c:v>
                </c:pt>
                <c:pt idx="2">
                  <c:v>0.14926829268292682</c:v>
                </c:pt>
                <c:pt idx="3">
                  <c:v>0.15633100697906283</c:v>
                </c:pt>
                <c:pt idx="4">
                  <c:v>0.16542372881355932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239.06666666666663"/>
          <c:min val="61.48333333333334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758333333333329"/>
      </c:valAx>
      <c:valAx>
        <c:axId val="1"/>
        <c:scaling>
          <c:orientation val="minMax"/>
          <c:max val="0.20100000000000001"/>
          <c:min val="0.12599999999999997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1.875000000000001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1.89</c:v>
                </c:pt>
                <c:pt idx="1">
                  <c:v>2.85</c:v>
                </c:pt>
                <c:pt idx="2">
                  <c:v>3.93</c:v>
                </c:pt>
                <c:pt idx="3">
                  <c:v>4.7</c:v>
                </c:pt>
                <c:pt idx="4">
                  <c:v>5.29</c:v>
                </c:pt>
                <c:pt idx="5">
                  <c:v>7.14</c:v>
                </c:pt>
                <c:pt idx="6">
                  <c:v>8.2200000000000006</c:v>
                </c:pt>
                <c:pt idx="7">
                  <c:v>8.99</c:v>
                </c:pt>
                <c:pt idx="8">
                  <c:v>9.58</c:v>
                </c:pt>
                <c:pt idx="9">
                  <c:v>10.07</c:v>
                </c:pt>
                <c:pt idx="10">
                  <c:v>10.48</c:v>
                </c:pt>
                <c:pt idx="11">
                  <c:v>10.84</c:v>
                </c:pt>
                <c:pt idx="12">
                  <c:v>11.15</c:v>
                </c:pt>
                <c:pt idx="13">
                  <c:v>11.43</c:v>
                </c:pt>
                <c:pt idx="14">
                  <c:v>11.68</c:v>
                </c:pt>
                <c:pt idx="15">
                  <c:v>11.92</c:v>
                </c:pt>
                <c:pt idx="16">
                  <c:v>12.51</c:v>
                </c:pt>
                <c:pt idx="17">
                  <c:v>13</c:v>
                </c:pt>
                <c:pt idx="18">
                  <c:v>13.41</c:v>
                </c:pt>
                <c:pt idx="19">
                  <c:v>13.77</c:v>
                </c:pt>
                <c:pt idx="20">
                  <c:v>16.52</c:v>
                </c:pt>
                <c:pt idx="21">
                  <c:v>16.98</c:v>
                </c:pt>
                <c:pt idx="22">
                  <c:v>17.440000000000001</c:v>
                </c:pt>
                <c:pt idx="23">
                  <c:v>17.899999999999999</c:v>
                </c:pt>
                <c:pt idx="24">
                  <c:v>18.36</c:v>
                </c:pt>
                <c:pt idx="25">
                  <c:v>21.45</c:v>
                </c:pt>
                <c:pt idx="26">
                  <c:v>21.97</c:v>
                </c:pt>
                <c:pt idx="27">
                  <c:v>22.48</c:v>
                </c:pt>
                <c:pt idx="28">
                  <c:v>23</c:v>
                </c:pt>
                <c:pt idx="29">
                  <c:v>23.52</c:v>
                </c:pt>
                <c:pt idx="30">
                  <c:v>26.97</c:v>
                </c:pt>
                <c:pt idx="31">
                  <c:v>27.55</c:v>
                </c:pt>
                <c:pt idx="32">
                  <c:v>28.12</c:v>
                </c:pt>
                <c:pt idx="33">
                  <c:v>28.7</c:v>
                </c:pt>
                <c:pt idx="34">
                  <c:v>29.28</c:v>
                </c:pt>
                <c:pt idx="35">
                  <c:v>32.79</c:v>
                </c:pt>
                <c:pt idx="36">
                  <c:v>34.1</c:v>
                </c:pt>
                <c:pt idx="37">
                  <c:v>35.42</c:v>
                </c:pt>
                <c:pt idx="38">
                  <c:v>36.74</c:v>
                </c:pt>
                <c:pt idx="39">
                  <c:v>38.06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1.0059224860895846</c:v>
                </c:pt>
                <c:pt idx="1">
                  <c:v>2.8539432904188118</c:v>
                </c:pt>
                <c:pt idx="2">
                  <c:v>3.9349661615039544</c:v>
                </c:pt>
                <c:pt idx="3">
                  <c:v>4.7019640947480319</c:v>
                </c:pt>
                <c:pt idx="4">
                  <c:v>5.2968939115979552</c:v>
                </c:pt>
                <c:pt idx="5">
                  <c:v>7.1449147159271789</c:v>
                </c:pt>
                <c:pt idx="6">
                  <c:v>8.2259375870123215</c:v>
                </c:pt>
                <c:pt idx="7">
                  <c:v>8.9929355202564025</c:v>
                </c:pt>
                <c:pt idx="8">
                  <c:v>9.5878653371063187</c:v>
                </c:pt>
                <c:pt idx="9">
                  <c:v>10.073958391341549</c:v>
                </c:pt>
                <c:pt idx="10">
                  <c:v>10.484944212696455</c:v>
                </c:pt>
                <c:pt idx="11">
                  <c:v>10.840956324585626</c:v>
                </c:pt>
                <c:pt idx="12">
                  <c:v>11.154981262426695</c:v>
                </c:pt>
                <c:pt idx="13">
                  <c:v>11.435886141435546</c:v>
                </c:pt>
                <c:pt idx="14">
                  <c:v>11.689995513994006</c:v>
                </c:pt>
                <c:pt idx="15">
                  <c:v>11.921979195670776</c:v>
                </c:pt>
                <c:pt idx="16">
                  <c:v>12.516909012520692</c:v>
                </c:pt>
                <c:pt idx="17">
                  <c:v>13.003002066755922</c:v>
                </c:pt>
                <c:pt idx="18">
                  <c:v>13.413987888110828</c:v>
                </c:pt>
                <c:pt idx="19">
                  <c:v>13.77</c:v>
                </c:pt>
                <c:pt idx="20">
                  <c:v>16.287238865920934</c:v>
                </c:pt>
                <c:pt idx="21">
                  <c:v>16.537780382414006</c:v>
                </c:pt>
                <c:pt idx="22">
                  <c:v>16.771028954021084</c:v>
                </c:pt>
                <c:pt idx="23">
                  <c:v>17.387414991865754</c:v>
                </c:pt>
                <c:pt idx="24">
                  <c:v>18.36</c:v>
                </c:pt>
                <c:pt idx="25">
                  <c:v>22.012109278150714</c:v>
                </c:pt>
                <c:pt idx="26">
                  <c:v>22.174296763021143</c:v>
                </c:pt>
                <c:pt idx="27">
                  <c:v>22.330362483952864</c:v>
                </c:pt>
                <c:pt idx="28">
                  <c:v>22.766054639075353</c:v>
                </c:pt>
                <c:pt idx="29">
                  <c:v>23.52</c:v>
                </c:pt>
                <c:pt idx="30">
                  <c:v>28.013722486450568</c:v>
                </c:pt>
                <c:pt idx="31">
                  <c:v>28.143463533146239</c:v>
                </c:pt>
                <c:pt idx="32">
                  <c:v>28.269834298498971</c:v>
                </c:pt>
                <c:pt idx="33">
                  <c:v>28.630369651501198</c:v>
                </c:pt>
                <c:pt idx="34">
                  <c:v>29.28</c:v>
                </c:pt>
                <c:pt idx="35">
                  <c:v>36.926927158164432</c:v>
                </c:pt>
                <c:pt idx="36">
                  <c:v>37.039956276396083</c:v>
                </c:pt>
                <c:pt idx="37">
                  <c:v>37.150747046503227</c:v>
                </c:pt>
                <c:pt idx="38">
                  <c:v>37.470534143069585</c:v>
                </c:pt>
                <c:pt idx="39">
                  <c:v>38.06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1.89</c:v>
                </c:pt>
                <c:pt idx="1">
                  <c:v>2.85</c:v>
                </c:pt>
                <c:pt idx="2">
                  <c:v>3.93</c:v>
                </c:pt>
                <c:pt idx="3">
                  <c:v>4.7</c:v>
                </c:pt>
                <c:pt idx="4">
                  <c:v>5.29</c:v>
                </c:pt>
                <c:pt idx="5">
                  <c:v>7.14</c:v>
                </c:pt>
                <c:pt idx="6">
                  <c:v>8.2200000000000006</c:v>
                </c:pt>
                <c:pt idx="7">
                  <c:v>8.99</c:v>
                </c:pt>
                <c:pt idx="8">
                  <c:v>9.58</c:v>
                </c:pt>
                <c:pt idx="9">
                  <c:v>10.07</c:v>
                </c:pt>
                <c:pt idx="10">
                  <c:v>10.48</c:v>
                </c:pt>
                <c:pt idx="11">
                  <c:v>10.84</c:v>
                </c:pt>
                <c:pt idx="12">
                  <c:v>11.15</c:v>
                </c:pt>
                <c:pt idx="13">
                  <c:v>11.43</c:v>
                </c:pt>
                <c:pt idx="14">
                  <c:v>11.68</c:v>
                </c:pt>
                <c:pt idx="15">
                  <c:v>11.92</c:v>
                </c:pt>
                <c:pt idx="16">
                  <c:v>12.51</c:v>
                </c:pt>
                <c:pt idx="17">
                  <c:v>13</c:v>
                </c:pt>
                <c:pt idx="18">
                  <c:v>13.41</c:v>
                </c:pt>
                <c:pt idx="19">
                  <c:v>13.77</c:v>
                </c:pt>
                <c:pt idx="20">
                  <c:v>16.52</c:v>
                </c:pt>
                <c:pt idx="21">
                  <c:v>16.98</c:v>
                </c:pt>
                <c:pt idx="22">
                  <c:v>17.440000000000001</c:v>
                </c:pt>
                <c:pt idx="23">
                  <c:v>17.899999999999999</c:v>
                </c:pt>
                <c:pt idx="24">
                  <c:v>18.36</c:v>
                </c:pt>
                <c:pt idx="25">
                  <c:v>21.45</c:v>
                </c:pt>
                <c:pt idx="26">
                  <c:v>21.97</c:v>
                </c:pt>
                <c:pt idx="27">
                  <c:v>22.48</c:v>
                </c:pt>
                <c:pt idx="28">
                  <c:v>23</c:v>
                </c:pt>
                <c:pt idx="29">
                  <c:v>23.52</c:v>
                </c:pt>
                <c:pt idx="30">
                  <c:v>26.97</c:v>
                </c:pt>
                <c:pt idx="31">
                  <c:v>27.55</c:v>
                </c:pt>
                <c:pt idx="32">
                  <c:v>28.12</c:v>
                </c:pt>
                <c:pt idx="33">
                  <c:v>28.7</c:v>
                </c:pt>
                <c:pt idx="34">
                  <c:v>29.28</c:v>
                </c:pt>
                <c:pt idx="35">
                  <c:v>32.79</c:v>
                </c:pt>
                <c:pt idx="36">
                  <c:v>34.1</c:v>
                </c:pt>
                <c:pt idx="37">
                  <c:v>35.42</c:v>
                </c:pt>
                <c:pt idx="38">
                  <c:v>36.74</c:v>
                </c:pt>
                <c:pt idx="39">
                  <c:v>38.06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2.2682757361067729</c:v>
                </c:pt>
                <c:pt idx="1">
                  <c:v>4.2999934923807039</c:v>
                </c:pt>
                <c:pt idx="2">
                  <c:v>5.4884721918502812</c:v>
                </c:pt>
                <c:pt idx="3">
                  <c:v>6.331711248654635</c:v>
                </c:pt>
                <c:pt idx="4">
                  <c:v>6.985778275280726</c:v>
                </c:pt>
                <c:pt idx="5">
                  <c:v>9.0174960315546606</c:v>
                </c:pt>
                <c:pt idx="6">
                  <c:v>10.205974731024234</c:v>
                </c:pt>
                <c:pt idx="7">
                  <c:v>11.049213787828592</c:v>
                </c:pt>
                <c:pt idx="8">
                  <c:v>11.703280814454683</c:v>
                </c:pt>
                <c:pt idx="9">
                  <c:v>12.237692487298165</c:v>
                </c:pt>
                <c:pt idx="10">
                  <c:v>12.689531118588182</c:v>
                </c:pt>
                <c:pt idx="11">
                  <c:v>13.080931544102523</c:v>
                </c:pt>
                <c:pt idx="12">
                  <c:v>13.426171186767743</c:v>
                </c:pt>
                <c:pt idx="13">
                  <c:v>13.734998570728614</c:v>
                </c:pt>
                <c:pt idx="14">
                  <c:v>14.014366921481592</c:v>
                </c:pt>
                <c:pt idx="15">
                  <c:v>14.2694102435721</c:v>
                </c:pt>
                <c:pt idx="16">
                  <c:v>14.923477270198191</c:v>
                </c:pt>
                <c:pt idx="17">
                  <c:v>15.457888943041674</c:v>
                </c:pt>
                <c:pt idx="18">
                  <c:v>15.909727574331686</c:v>
                </c:pt>
                <c:pt idx="19">
                  <c:v>16.301127999846027</c:v>
                </c:pt>
                <c:pt idx="20">
                  <c:v>16.752966631136044</c:v>
                </c:pt>
                <c:pt idx="21">
                  <c:v>17.144367056650385</c:v>
                </c:pt>
                <c:pt idx="22">
                  <c:v>17.489606699315605</c:v>
                </c:pt>
                <c:pt idx="23">
                  <c:v>18.332845756119962</c:v>
                </c:pt>
                <c:pt idx="24">
                  <c:v>18.986912782746057</c:v>
                </c:pt>
                <c:pt idx="25">
                  <c:v>19.521324455589539</c:v>
                </c:pt>
                <c:pt idx="26">
                  <c:v>19.973163086879548</c:v>
                </c:pt>
                <c:pt idx="27">
                  <c:v>20.364563512393897</c:v>
                </c:pt>
                <c:pt idx="28">
                  <c:v>20.70980315505911</c:v>
                </c:pt>
                <c:pt idx="29">
                  <c:v>21.018630539019984</c:v>
                </c:pt>
                <c:pt idx="30">
                  <c:v>21.297998889772966</c:v>
                </c:pt>
                <c:pt idx="31">
                  <c:v>21.553042211863467</c:v>
                </c:pt>
                <c:pt idx="32">
                  <c:v>21.787659324940659</c:v>
                </c:pt>
                <c:pt idx="33">
                  <c:v>22.004880843153483</c:v>
                </c:pt>
                <c:pt idx="34">
                  <c:v>22.207109238489561</c:v>
                </c:pt>
                <c:pt idx="35">
                  <c:v>22.396281268667824</c:v>
                </c:pt>
                <c:pt idx="36">
                  <c:v>22.573981076250309</c:v>
                </c:pt>
                <c:pt idx="37">
                  <c:v>22.741520911333037</c:v>
                </c:pt>
                <c:pt idx="38">
                  <c:v>22.900000000000002</c:v>
                </c:pt>
                <c:pt idx="39">
                  <c:v>22.900000000000002</c:v>
                </c:pt>
                <c:pt idx="40">
                  <c:v>22.900000000000002</c:v>
                </c:pt>
                <c:pt idx="41">
                  <c:v>22.900000000000002</c:v>
                </c:pt>
                <c:pt idx="42">
                  <c:v>22.900000000000002</c:v>
                </c:pt>
                <c:pt idx="43">
                  <c:v>22.900000000000002</c:v>
                </c:pt>
                <c:pt idx="44">
                  <c:v>22.900000000000002</c:v>
                </c:pt>
                <c:pt idx="45">
                  <c:v>22.900000000000002</c:v>
                </c:pt>
                <c:pt idx="46">
                  <c:v>22.900000000000002</c:v>
                </c:pt>
                <c:pt idx="47">
                  <c:v>22.900000000000002</c:v>
                </c:pt>
                <c:pt idx="48">
                  <c:v>22.900000000000002</c:v>
                </c:pt>
                <c:pt idx="49">
                  <c:v>22.900000000000002</c:v>
                </c:pt>
                <c:pt idx="50">
                  <c:v>22.900000000000002</c:v>
                </c:pt>
                <c:pt idx="51">
                  <c:v>22.900000000000002</c:v>
                </c:pt>
                <c:pt idx="52">
                  <c:v>22.900000000000002</c:v>
                </c:pt>
                <c:pt idx="53">
                  <c:v>22.900000000000002</c:v>
                </c:pt>
                <c:pt idx="54">
                  <c:v>22.900000000000002</c:v>
                </c:pt>
                <c:pt idx="55">
                  <c:v>22.900000000000002</c:v>
                </c:pt>
                <c:pt idx="56">
                  <c:v>22.900000000000002</c:v>
                </c:pt>
                <c:pt idx="57">
                  <c:v>22.900000000000002</c:v>
                </c:pt>
                <c:pt idx="58">
                  <c:v>22.900000000000002</c:v>
                </c:pt>
                <c:pt idx="59">
                  <c:v>22.900000000000002</c:v>
                </c:pt>
                <c:pt idx="60">
                  <c:v>22.900000000000002</c:v>
                </c:pt>
                <c:pt idx="61">
                  <c:v>22.900000000000002</c:v>
                </c:pt>
                <c:pt idx="62">
                  <c:v>22.900000000000002</c:v>
                </c:pt>
                <c:pt idx="63">
                  <c:v>22.900000000000002</c:v>
                </c:pt>
                <c:pt idx="64">
                  <c:v>22.900000000000002</c:v>
                </c:pt>
                <c:pt idx="65">
                  <c:v>22.900000000000002</c:v>
                </c:pt>
                <c:pt idx="66">
                  <c:v>22.900000000000002</c:v>
                </c:pt>
                <c:pt idx="67">
                  <c:v>22.900000000000002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2.2682757361067729</c:v>
                </c:pt>
                <c:pt idx="1">
                  <c:v>4.2999934923807039</c:v>
                </c:pt>
                <c:pt idx="2">
                  <c:v>5.4884721918502812</c:v>
                </c:pt>
                <c:pt idx="3">
                  <c:v>6.331711248654635</c:v>
                </c:pt>
                <c:pt idx="4">
                  <c:v>6.985778275280726</c:v>
                </c:pt>
                <c:pt idx="5">
                  <c:v>9.0174960315546606</c:v>
                </c:pt>
                <c:pt idx="6">
                  <c:v>10.205974731024234</c:v>
                </c:pt>
                <c:pt idx="7">
                  <c:v>11.049213787828592</c:v>
                </c:pt>
                <c:pt idx="8">
                  <c:v>11.703280814454683</c:v>
                </c:pt>
                <c:pt idx="9">
                  <c:v>12.237692487298165</c:v>
                </c:pt>
                <c:pt idx="10">
                  <c:v>12.689531118588182</c:v>
                </c:pt>
                <c:pt idx="11">
                  <c:v>13.080931544102523</c:v>
                </c:pt>
                <c:pt idx="12">
                  <c:v>13.426171186767743</c:v>
                </c:pt>
                <c:pt idx="13">
                  <c:v>13.734998570728614</c:v>
                </c:pt>
                <c:pt idx="14">
                  <c:v>14.014366921481592</c:v>
                </c:pt>
                <c:pt idx="15">
                  <c:v>14.2694102435721</c:v>
                </c:pt>
                <c:pt idx="16">
                  <c:v>14.923477270198191</c:v>
                </c:pt>
                <c:pt idx="17">
                  <c:v>15.457888943041674</c:v>
                </c:pt>
                <c:pt idx="18">
                  <c:v>15.909727574331686</c:v>
                </c:pt>
                <c:pt idx="19">
                  <c:v>16.301127999846027</c:v>
                </c:pt>
                <c:pt idx="20">
                  <c:v>16.752966631136044</c:v>
                </c:pt>
                <c:pt idx="21">
                  <c:v>17.144367056650385</c:v>
                </c:pt>
                <c:pt idx="22">
                  <c:v>17.489606699315605</c:v>
                </c:pt>
                <c:pt idx="23">
                  <c:v>18.332845756119962</c:v>
                </c:pt>
                <c:pt idx="24">
                  <c:v>18.986912782746057</c:v>
                </c:pt>
                <c:pt idx="25">
                  <c:v>19.521324455589539</c:v>
                </c:pt>
                <c:pt idx="26">
                  <c:v>19.973163086879548</c:v>
                </c:pt>
                <c:pt idx="27">
                  <c:v>20.364563512393897</c:v>
                </c:pt>
                <c:pt idx="28">
                  <c:v>20.70980315505911</c:v>
                </c:pt>
                <c:pt idx="29">
                  <c:v>21.018630539019984</c:v>
                </c:pt>
                <c:pt idx="30">
                  <c:v>21.297998889772966</c:v>
                </c:pt>
                <c:pt idx="31">
                  <c:v>21.553042211863467</c:v>
                </c:pt>
                <c:pt idx="32">
                  <c:v>21.787659324940659</c:v>
                </c:pt>
                <c:pt idx="33">
                  <c:v>22.004880843153483</c:v>
                </c:pt>
                <c:pt idx="34">
                  <c:v>22.207109238489561</c:v>
                </c:pt>
                <c:pt idx="35">
                  <c:v>22.396281268667824</c:v>
                </c:pt>
                <c:pt idx="36">
                  <c:v>22.573981076250309</c:v>
                </c:pt>
                <c:pt idx="37">
                  <c:v>22.741520911333037</c:v>
                </c:pt>
                <c:pt idx="38">
                  <c:v>22.900000000000002</c:v>
                </c:pt>
                <c:pt idx="39">
                  <c:v>22.900000000000002</c:v>
                </c:pt>
                <c:pt idx="40">
                  <c:v>22.900000000000002</c:v>
                </c:pt>
                <c:pt idx="41">
                  <c:v>22.900000000000002</c:v>
                </c:pt>
                <c:pt idx="42">
                  <c:v>22.900000000000002</c:v>
                </c:pt>
                <c:pt idx="43">
                  <c:v>22.900000000000002</c:v>
                </c:pt>
                <c:pt idx="44">
                  <c:v>22.900000000000002</c:v>
                </c:pt>
                <c:pt idx="45">
                  <c:v>22.900000000000002</c:v>
                </c:pt>
                <c:pt idx="46">
                  <c:v>22.900000000000002</c:v>
                </c:pt>
                <c:pt idx="47">
                  <c:v>22.900000000000002</c:v>
                </c:pt>
                <c:pt idx="48">
                  <c:v>22.900000000000002</c:v>
                </c:pt>
                <c:pt idx="49">
                  <c:v>22.900000000000002</c:v>
                </c:pt>
                <c:pt idx="50">
                  <c:v>22.900000000000002</c:v>
                </c:pt>
                <c:pt idx="51">
                  <c:v>22.900000000000002</c:v>
                </c:pt>
                <c:pt idx="52">
                  <c:v>22.900000000000002</c:v>
                </c:pt>
                <c:pt idx="53">
                  <c:v>22.900000000000002</c:v>
                </c:pt>
                <c:pt idx="54">
                  <c:v>22.900000000000002</c:v>
                </c:pt>
                <c:pt idx="55">
                  <c:v>22.900000000000002</c:v>
                </c:pt>
                <c:pt idx="56">
                  <c:v>22.900000000000002</c:v>
                </c:pt>
                <c:pt idx="57">
                  <c:v>22.900000000000002</c:v>
                </c:pt>
                <c:pt idx="58">
                  <c:v>22.900000000000002</c:v>
                </c:pt>
                <c:pt idx="59">
                  <c:v>22.900000000000002</c:v>
                </c:pt>
                <c:pt idx="60">
                  <c:v>22.900000000000002</c:v>
                </c:pt>
                <c:pt idx="61">
                  <c:v>22.900000000000002</c:v>
                </c:pt>
                <c:pt idx="62">
                  <c:v>22.900000000000002</c:v>
                </c:pt>
                <c:pt idx="63">
                  <c:v>22.900000000000002</c:v>
                </c:pt>
                <c:pt idx="64">
                  <c:v>22.900000000000002</c:v>
                </c:pt>
                <c:pt idx="65">
                  <c:v>22.900000000000002</c:v>
                </c:pt>
                <c:pt idx="66">
                  <c:v>22.900000000000002</c:v>
                </c:pt>
                <c:pt idx="67">
                  <c:v>22.900000000000002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14.772653617722808</c:v>
                </c:pt>
                <c:pt idx="1">
                  <c:v>13.448178048108126</c:v>
                </c:pt>
                <c:pt idx="2">
                  <c:v>12.242451322127168</c:v>
                </c:pt>
                <c:pt idx="3">
                  <c:v>11.144826744447943</c:v>
                </c:pt>
                <c:pt idx="4">
                  <c:v>10.145612173214728</c:v>
                </c:pt>
                <c:pt idx="5">
                  <c:v>7.6540811700335487</c:v>
                </c:pt>
                <c:pt idx="6">
                  <c:v>7.1894613591817826</c:v>
                </c:pt>
                <c:pt idx="7">
                  <c:v>5.9580785551285969</c:v>
                </c:pt>
                <c:pt idx="8">
                  <c:v>5.4238935879372114</c:v>
                </c:pt>
                <c:pt idx="9">
                  <c:v>4.9376021784646351</c:v>
                </c:pt>
                <c:pt idx="10">
                  <c:v>4.7853944456021598</c:v>
                </c:pt>
                <c:pt idx="11">
                  <c:v>4.6378787055543711</c:v>
                </c:pt>
                <c:pt idx="12">
                  <c:v>4.494910321802748</c:v>
                </c:pt>
                <c:pt idx="13">
                  <c:v>4.3563491164294792</c:v>
                </c:pt>
                <c:pt idx="14">
                  <c:v>4.2220592326755471</c:v>
                </c:pt>
                <c:pt idx="15">
                  <c:v>4.091909001735627</c:v>
                </c:pt>
                <c:pt idx="16">
                  <c:v>3.9657708136592027</c:v>
                </c:pt>
                <c:pt idx="17">
                  <c:v>3.8435209922313169</c:v>
                </c:pt>
                <c:pt idx="18">
                  <c:v>3.7250396737102749</c:v>
                </c:pt>
                <c:pt idx="19">
                  <c:v>3.3910628425094336</c:v>
                </c:pt>
                <c:pt idx="20">
                  <c:v>3.2865291096170366</c:v>
                </c:pt>
                <c:pt idx="21">
                  <c:v>2.7236252662805418</c:v>
                </c:pt>
                <c:pt idx="22">
                  <c:v>2.2571333901820068</c:v>
                </c:pt>
                <c:pt idx="23">
                  <c:v>1.8705404169024751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5" Type="http://schemas.openxmlformats.org/officeDocument/2006/relationships/image" Target="../media/image17.emf"/><Relationship Id="rId4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Relationship Id="rId6" Type="http://schemas.openxmlformats.org/officeDocument/2006/relationships/image" Target="../media/image27.emf"/><Relationship Id="rId5" Type="http://schemas.openxmlformats.org/officeDocument/2006/relationships/image" Target="../media/image26.emf"/><Relationship Id="rId4" Type="http://schemas.openxmlformats.org/officeDocument/2006/relationships/image" Target="../media/image25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9.emf"/><Relationship Id="rId1" Type="http://schemas.openxmlformats.org/officeDocument/2006/relationships/image" Target="../media/image28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Relationship Id="rId4" Type="http://schemas.openxmlformats.org/officeDocument/2006/relationships/image" Target="../media/image33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4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0</xdr:colOff>
      <xdr:row>13</xdr:row>
      <xdr:rowOff>142875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36</xdr:row>
          <xdr:rowOff>47625</xdr:rowOff>
        </xdr:from>
        <xdr:to>
          <xdr:col>14</xdr:col>
          <xdr:colOff>704850</xdr:colOff>
          <xdr:row>38</xdr:row>
          <xdr:rowOff>47625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17</xdr:row>
          <xdr:rowOff>142875</xdr:rowOff>
        </xdr:from>
        <xdr:to>
          <xdr:col>14</xdr:col>
          <xdr:colOff>657225</xdr:colOff>
          <xdr:row>19</xdr:row>
          <xdr:rowOff>123825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20</xdr:row>
          <xdr:rowOff>28575</xdr:rowOff>
        </xdr:from>
        <xdr:to>
          <xdr:col>14</xdr:col>
          <xdr:colOff>657225</xdr:colOff>
          <xdr:row>21</xdr:row>
          <xdr:rowOff>161925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28</xdr:row>
          <xdr:rowOff>85725</xdr:rowOff>
        </xdr:from>
        <xdr:to>
          <xdr:col>14</xdr:col>
          <xdr:colOff>695325</xdr:colOff>
          <xdr:row>30</xdr:row>
          <xdr:rowOff>85725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30</xdr:row>
          <xdr:rowOff>152400</xdr:rowOff>
        </xdr:from>
        <xdr:to>
          <xdr:col>14</xdr:col>
          <xdr:colOff>695325</xdr:colOff>
          <xdr:row>32</xdr:row>
          <xdr:rowOff>152400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22</xdr:row>
          <xdr:rowOff>38100</xdr:rowOff>
        </xdr:from>
        <xdr:to>
          <xdr:col>14</xdr:col>
          <xdr:colOff>657225</xdr:colOff>
          <xdr:row>24</xdr:row>
          <xdr:rowOff>28575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33</xdr:row>
          <xdr:rowOff>38100</xdr:rowOff>
        </xdr:from>
        <xdr:to>
          <xdr:col>14</xdr:col>
          <xdr:colOff>695325</xdr:colOff>
          <xdr:row>35</xdr:row>
          <xdr:rowOff>38100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11</xdr:col>
          <xdr:colOff>57150</xdr:colOff>
          <xdr:row>3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571500</xdr:colOff>
      <xdr:row>5</xdr:row>
      <xdr:rowOff>111171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571500</xdr:colOff>
      <xdr:row>8</xdr:row>
      <xdr:rowOff>7526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723900</xdr:colOff>
      <xdr:row>10</xdr:row>
      <xdr:rowOff>200025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514350</xdr:colOff>
      <xdr:row>2</xdr:row>
      <xdr:rowOff>28575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oneCellAnchor>
    <xdr:from>
      <xdr:col>9</xdr:col>
      <xdr:colOff>133350</xdr:colOff>
      <xdr:row>12</xdr:row>
      <xdr:rowOff>271462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82B908-930F-8B31-BF8F-495B8FA9CE3F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104775</xdr:colOff>
      <xdr:row>17</xdr:row>
      <xdr:rowOff>176212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5018EC3-56A6-48C8-B8A1-ECEAB10BF7D5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190500</xdr:colOff>
      <xdr:row>22</xdr:row>
      <xdr:rowOff>119062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BBF0B4A-91B0-45C4-AF68-CB7AB24A91CC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200025</xdr:colOff>
      <xdr:row>0</xdr:row>
      <xdr:rowOff>219075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419350" y="21907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419350" y="21907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304800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314325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133350</xdr:colOff>
          <xdr:row>6</xdr:row>
          <xdr:rowOff>95250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142875</xdr:rowOff>
        </xdr:from>
        <xdr:to>
          <xdr:col>5</xdr:col>
          <xdr:colOff>133350</xdr:colOff>
          <xdr:row>7</xdr:row>
          <xdr:rowOff>219075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7</xdr:row>
          <xdr:rowOff>276225</xdr:rowOff>
        </xdr:from>
        <xdr:to>
          <xdr:col>5</xdr:col>
          <xdr:colOff>142875</xdr:colOff>
          <xdr:row>9</xdr:row>
          <xdr:rowOff>28575</xdr:rowOff>
        </xdr:to>
        <xdr:sp macro="" textlink="">
          <xdr:nvSpPr>
            <xdr:cNvPr id="10243" name="CommandButton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A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표2" displayName="표2" ref="J3:J14" totalsRowShown="0" headerRowDxfId="20" dataDxfId="19" headerRowCellStyle="표준 2" dataCellStyle="표준 2">
  <autoFilter ref="J3:J14" xr:uid="{ED7B8BB0-41F8-41B4-B417-F1903185CC63}"/>
  <tableColumns count="1">
    <tableColumn id="1" xr3:uid="{73373B9B-E3A5-4DA6-B25C-BFF142822A1D}" name="조사자" dataDxfId="18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17" dataDxfId="16" headerRowCellStyle="표준 2" dataCellStyle="표준 2">
  <autoFilter ref="H3:H7" xr:uid="{E3A128E7-606F-448E-BD0D-B8DFBF4016C9}"/>
  <tableColumns count="1">
    <tableColumn id="1" xr3:uid="{1424B003-0D83-4A15-8DE2-905AFA0FED39}" name="유효우물반경" dataDxfId="15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5" totalsRowShown="0" headerRowDxfId="14" dataDxfId="13" headerRowCellStyle="표준 2" dataCellStyle="표준 2">
  <autoFilter ref="G3:G5" xr:uid="{25BC2798-820A-44A7-B34D-158303E757A7}"/>
  <tableColumns count="1">
    <tableColumn id="1" xr3:uid="{DC77E887-1561-4E8A-A912-7C363D1AADB6}" name="저류계수" dataDxfId="12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6" totalsRowShown="0" headerRowDxfId="11" dataDxfId="10" headerRowCellStyle="표준 2" dataCellStyle="표준 2">
  <autoFilter ref="F3:F6" xr:uid="{37665B14-CDFA-4481-8166-B4D7B93641A7}"/>
  <tableColumns count="1">
    <tableColumn id="1" xr3:uid="{F0660956-0693-47E8-8ECF-E756500FF929}" name="우물직경" dataDxfId="9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18" totalsRowShown="0" headerRowDxfId="8" dataDxfId="7" headerRowCellStyle="표준 2" dataCellStyle="표준 2">
  <autoFilter ref="E3:E18" xr:uid="{BD6F5D56-B7DC-4926-9229-1B9BE575FA98}"/>
  <tableColumns count="1">
    <tableColumn id="1" xr3:uid="{D396419C-61EA-4651-8D9C-1B6952524D8E}" name="공번2" dataDxfId="6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18" totalsRowShown="0" headerRowDxfId="5" dataDxfId="4" headerRowCellStyle="표준 2" dataCellStyle="표준 2">
  <autoFilter ref="D3:D18" xr:uid="{6FCF2A89-C7B8-48E5-8E97-BF0C722715AF}"/>
  <tableColumns count="1">
    <tableColumn id="1" xr3:uid="{5835FC76-1E6A-49B8-9B5E-5D3D346D8254}" name="공번" dataDxfId="3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2" dataDxfId="1" headerRowCellStyle="표준 2" dataCellStyle="표준 2">
  <autoFilter ref="C3:C13" xr:uid="{A6F6CC0E-B250-43F8-88B9-E2BEFDDA2D54}"/>
  <tableColumns count="1">
    <tableColumn id="1" xr3:uid="{21DD6643-E5E6-424E-A67A-3951CFF3FFCF}" name="수중모터" dataDxfId="0" dataCellStyle="표준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6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21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8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1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9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6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4.emf"/><Relationship Id="rId14" Type="http://schemas.openxmlformats.org/officeDocument/2006/relationships/control" Target="../activeX/activeX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2.xml"/><Relationship Id="rId5" Type="http://schemas.openxmlformats.org/officeDocument/2006/relationships/image" Target="../media/image28.emf"/><Relationship Id="rId4" Type="http://schemas.openxmlformats.org/officeDocument/2006/relationships/control" Target="../activeX/activeX2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4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3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8.xml"/><Relationship Id="rId5" Type="http://schemas.openxmlformats.org/officeDocument/2006/relationships/image" Target="../media/image34.emf"/><Relationship Id="rId4" Type="http://schemas.openxmlformats.org/officeDocument/2006/relationships/control" Target="../activeX/activeX2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0.xml"/><Relationship Id="rId5" Type="http://schemas.openxmlformats.org/officeDocument/2006/relationships/image" Target="../media/image36.emf"/><Relationship Id="rId4" Type="http://schemas.openxmlformats.org/officeDocument/2006/relationships/control" Target="../activeX/activeX29.xml"/><Relationship Id="rId9" Type="http://schemas.openxmlformats.org/officeDocument/2006/relationships/image" Target="../media/image38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18"/>
  <sheetViews>
    <sheetView workbookViewId="0">
      <selection activeCell="J19" sqref="J19"/>
    </sheetView>
  </sheetViews>
  <sheetFormatPr defaultColWidth="9" defaultRowHeight="18" customHeight="1"/>
  <cols>
    <col min="1" max="2" width="13.375" style="11" customWidth="1"/>
    <col min="3" max="3" width="14.75" style="11" customWidth="1"/>
    <col min="4" max="4" width="21" style="11" customWidth="1"/>
    <col min="5" max="5" width="12.875" style="11" customWidth="1"/>
    <col min="6" max="6" width="11.75" style="11" customWidth="1"/>
    <col min="7" max="7" width="14.375" style="11" customWidth="1"/>
    <col min="8" max="8" width="16.875" style="11" customWidth="1"/>
    <col min="9" max="9" width="9" style="11"/>
    <col min="10" max="10" width="26.125" style="11" customWidth="1"/>
    <col min="11" max="16384" width="9" style="11"/>
  </cols>
  <sheetData>
    <row r="3" spans="3:10" ht="18" customHeight="1">
      <c r="C3" s="10" t="s">
        <v>43</v>
      </c>
      <c r="D3" s="10" t="s">
        <v>59</v>
      </c>
      <c r="E3" s="10" t="s">
        <v>81</v>
      </c>
      <c r="F3" s="10" t="s">
        <v>30</v>
      </c>
      <c r="G3" s="11" t="s">
        <v>82</v>
      </c>
      <c r="H3" s="12" t="s">
        <v>83</v>
      </c>
      <c r="J3" s="11" t="s">
        <v>224</v>
      </c>
    </row>
    <row r="4" spans="3:10" ht="18" customHeight="1">
      <c r="C4" s="11">
        <v>1</v>
      </c>
      <c r="D4" s="13" t="s">
        <v>84</v>
      </c>
      <c r="E4" s="11" t="s">
        <v>60</v>
      </c>
      <c r="F4" s="11">
        <v>150</v>
      </c>
      <c r="G4" s="11">
        <v>5.0000000000000001E-4</v>
      </c>
      <c r="H4" s="11" t="s">
        <v>85</v>
      </c>
      <c r="J4" s="11" t="s">
        <v>219</v>
      </c>
    </row>
    <row r="5" spans="3:10" ht="18" customHeight="1">
      <c r="C5" s="11">
        <v>2</v>
      </c>
      <c r="D5" s="11" t="s">
        <v>86</v>
      </c>
      <c r="E5" s="11" t="s">
        <v>87</v>
      </c>
      <c r="F5" s="11">
        <v>200</v>
      </c>
      <c r="G5" s="11">
        <v>0.1</v>
      </c>
      <c r="H5" s="14" t="s">
        <v>88</v>
      </c>
      <c r="J5" s="11" t="s">
        <v>225</v>
      </c>
    </row>
    <row r="6" spans="3:10" ht="18" customHeight="1">
      <c r="C6" s="11">
        <v>3</v>
      </c>
      <c r="D6" s="11" t="s">
        <v>89</v>
      </c>
      <c r="E6" s="11" t="s">
        <v>90</v>
      </c>
      <c r="F6" s="11">
        <v>250</v>
      </c>
      <c r="H6" s="14" t="s">
        <v>91</v>
      </c>
      <c r="J6" s="11" t="s">
        <v>234</v>
      </c>
    </row>
    <row r="7" spans="3:10" ht="18" customHeight="1">
      <c r="C7" s="11">
        <v>5</v>
      </c>
      <c r="D7" s="11" t="s">
        <v>92</v>
      </c>
      <c r="E7" s="11" t="s">
        <v>93</v>
      </c>
      <c r="H7" s="14" t="s">
        <v>94</v>
      </c>
      <c r="J7" s="11" t="s">
        <v>233</v>
      </c>
    </row>
    <row r="8" spans="3:10" ht="18" customHeight="1">
      <c r="C8" s="11">
        <v>7.5</v>
      </c>
      <c r="D8" s="11" t="s">
        <v>95</v>
      </c>
      <c r="E8" s="11" t="s">
        <v>96</v>
      </c>
      <c r="H8" s="13"/>
      <c r="J8" s="11" t="s">
        <v>227</v>
      </c>
    </row>
    <row r="9" spans="3:10" ht="18" customHeight="1">
      <c r="C9" s="11">
        <v>10</v>
      </c>
      <c r="D9" s="13" t="s">
        <v>97</v>
      </c>
      <c r="E9" s="11" t="s">
        <v>98</v>
      </c>
      <c r="H9" s="13"/>
      <c r="J9" s="11" t="s">
        <v>232</v>
      </c>
    </row>
    <row r="10" spans="3:10" ht="18" customHeight="1">
      <c r="C10" s="11">
        <v>15</v>
      </c>
      <c r="D10" s="13" t="s">
        <v>99</v>
      </c>
      <c r="E10" s="11" t="s">
        <v>100</v>
      </c>
      <c r="H10" s="13"/>
      <c r="J10" s="11" t="s">
        <v>228</v>
      </c>
    </row>
    <row r="11" spans="3:10" ht="18" customHeight="1">
      <c r="C11" s="11">
        <v>20</v>
      </c>
      <c r="D11" s="11" t="s">
        <v>101</v>
      </c>
      <c r="E11" s="11" t="s">
        <v>102</v>
      </c>
      <c r="H11" s="13"/>
      <c r="J11" s="11" t="s">
        <v>231</v>
      </c>
    </row>
    <row r="12" spans="3:10" ht="18" customHeight="1">
      <c r="C12" s="11">
        <v>25</v>
      </c>
      <c r="D12" s="13" t="s">
        <v>103</v>
      </c>
      <c r="E12" s="11" t="s">
        <v>104</v>
      </c>
      <c r="H12" s="13"/>
      <c r="J12" s="11" t="s">
        <v>226</v>
      </c>
    </row>
    <row r="13" spans="3:10" ht="18" customHeight="1">
      <c r="C13" s="11">
        <v>30</v>
      </c>
      <c r="D13" s="13" t="s">
        <v>105</v>
      </c>
      <c r="E13" s="11" t="s">
        <v>106</v>
      </c>
      <c r="H13" s="13"/>
      <c r="J13" s="11" t="s">
        <v>230</v>
      </c>
    </row>
    <row r="14" spans="3:10" ht="18" customHeight="1">
      <c r="D14" s="13" t="s">
        <v>107</v>
      </c>
      <c r="E14" s="11" t="s">
        <v>108</v>
      </c>
      <c r="H14" s="13"/>
      <c r="J14" s="11" t="s">
        <v>229</v>
      </c>
    </row>
    <row r="15" spans="3:10" ht="18" customHeight="1">
      <c r="D15" s="13" t="s">
        <v>109</v>
      </c>
      <c r="E15" s="11" t="s">
        <v>110</v>
      </c>
    </row>
    <row r="16" spans="3:10" ht="18" customHeight="1">
      <c r="D16" s="13" t="s">
        <v>111</v>
      </c>
      <c r="E16" s="11" t="s">
        <v>112</v>
      </c>
    </row>
    <row r="17" spans="4:5" ht="18" customHeight="1">
      <c r="D17" s="13" t="s">
        <v>113</v>
      </c>
      <c r="E17" s="11" t="s">
        <v>114</v>
      </c>
    </row>
    <row r="18" spans="4:5" ht="18" customHeight="1">
      <c r="D18" s="13" t="s">
        <v>115</v>
      </c>
      <c r="E18" s="11" t="s">
        <v>116</v>
      </c>
    </row>
  </sheetData>
  <phoneticPr fontId="5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6"/>
    <col min="6" max="6" width="29" style="6" customWidth="1"/>
    <col min="7" max="16384" width="9" style="6"/>
  </cols>
  <sheetData>
    <row r="1" spans="1:6">
      <c r="A1" s="117">
        <v>1</v>
      </c>
      <c r="B1" s="6">
        <f>F1</f>
        <v>1.89</v>
      </c>
      <c r="E1" s="6">
        <v>1</v>
      </c>
      <c r="F1" s="6">
        <f>StepTest!G12</f>
        <v>1.89</v>
      </c>
    </row>
    <row r="2" spans="1:6">
      <c r="A2" s="117">
        <v>2</v>
      </c>
      <c r="B2" s="6">
        <f t="shared" ref="B2:B20" si="0">F2</f>
        <v>2.85</v>
      </c>
      <c r="E2" s="6">
        <v>2</v>
      </c>
      <c r="F2" s="6">
        <f>StepTest!G13</f>
        <v>2.85</v>
      </c>
    </row>
    <row r="3" spans="1:6">
      <c r="A3" s="117">
        <v>3</v>
      </c>
      <c r="B3" s="6">
        <f t="shared" si="0"/>
        <v>3.93</v>
      </c>
      <c r="E3" s="6">
        <v>3</v>
      </c>
      <c r="F3" s="6">
        <f>StepTest!G14</f>
        <v>3.93</v>
      </c>
    </row>
    <row r="4" spans="1:6">
      <c r="A4" s="117">
        <v>4</v>
      </c>
      <c r="B4" s="6">
        <f t="shared" si="0"/>
        <v>4.7</v>
      </c>
      <c r="E4" s="6">
        <v>4</v>
      </c>
      <c r="F4" s="6">
        <f>StepTest!G15</f>
        <v>4.7</v>
      </c>
    </row>
    <row r="5" spans="1:6">
      <c r="A5" s="117">
        <v>5</v>
      </c>
      <c r="B5" s="6">
        <f t="shared" si="0"/>
        <v>5.29</v>
      </c>
      <c r="E5" s="6">
        <v>5</v>
      </c>
      <c r="F5" s="6">
        <f>StepTest!G16</f>
        <v>5.29</v>
      </c>
    </row>
    <row r="6" spans="1:6">
      <c r="A6" s="117">
        <v>10</v>
      </c>
      <c r="B6" s="6">
        <f t="shared" si="0"/>
        <v>7.14</v>
      </c>
      <c r="E6" s="6">
        <v>10</v>
      </c>
      <c r="F6" s="6">
        <f>StepTest!G17</f>
        <v>7.14</v>
      </c>
    </row>
    <row r="7" spans="1:6">
      <c r="A7" s="117">
        <v>15</v>
      </c>
      <c r="B7" s="6">
        <f t="shared" si="0"/>
        <v>8.2200000000000006</v>
      </c>
      <c r="E7" s="6">
        <v>15</v>
      </c>
      <c r="F7" s="6">
        <f>StepTest!G18</f>
        <v>8.2200000000000006</v>
      </c>
    </row>
    <row r="8" spans="1:6">
      <c r="A8" s="117">
        <v>20</v>
      </c>
      <c r="B8" s="6">
        <f t="shared" si="0"/>
        <v>8.99</v>
      </c>
      <c r="E8" s="6">
        <v>20</v>
      </c>
      <c r="F8" s="6">
        <f>StepTest!G19</f>
        <v>8.99</v>
      </c>
    </row>
    <row r="9" spans="1:6">
      <c r="A9" s="117">
        <v>25</v>
      </c>
      <c r="B9" s="6">
        <f t="shared" si="0"/>
        <v>9.58</v>
      </c>
      <c r="E9" s="6">
        <v>25</v>
      </c>
      <c r="F9" s="6">
        <f>StepTest!G20</f>
        <v>9.58</v>
      </c>
    </row>
    <row r="10" spans="1:6">
      <c r="A10" s="117">
        <v>30</v>
      </c>
      <c r="B10" s="6">
        <f t="shared" si="0"/>
        <v>10.07</v>
      </c>
      <c r="E10" s="6">
        <v>30</v>
      </c>
      <c r="F10" s="6">
        <f>StepTest!G21</f>
        <v>10.07</v>
      </c>
    </row>
    <row r="11" spans="1:6">
      <c r="A11" s="117">
        <v>35</v>
      </c>
      <c r="B11" s="6">
        <f t="shared" si="0"/>
        <v>10.48</v>
      </c>
      <c r="E11" s="6">
        <v>35</v>
      </c>
      <c r="F11" s="6">
        <f>StepTest!G22</f>
        <v>10.48</v>
      </c>
    </row>
    <row r="12" spans="1:6">
      <c r="A12" s="117">
        <v>40</v>
      </c>
      <c r="B12" s="6">
        <f t="shared" si="0"/>
        <v>10.84</v>
      </c>
      <c r="E12" s="6">
        <v>40</v>
      </c>
      <c r="F12" s="6">
        <f>StepTest!G23</f>
        <v>10.84</v>
      </c>
    </row>
    <row r="13" spans="1:6">
      <c r="A13" s="117">
        <v>45</v>
      </c>
      <c r="B13" s="6">
        <f t="shared" si="0"/>
        <v>11.15</v>
      </c>
      <c r="E13" s="6">
        <v>45</v>
      </c>
      <c r="F13" s="6">
        <f>StepTest!G24</f>
        <v>11.15</v>
      </c>
    </row>
    <row r="14" spans="1:6">
      <c r="A14" s="117">
        <v>50</v>
      </c>
      <c r="B14" s="6">
        <f t="shared" si="0"/>
        <v>11.43</v>
      </c>
      <c r="E14" s="6">
        <v>50</v>
      </c>
      <c r="F14" s="6">
        <f>StepTest!G25</f>
        <v>11.43</v>
      </c>
    </row>
    <row r="15" spans="1:6">
      <c r="A15" s="117">
        <v>55</v>
      </c>
      <c r="B15" s="6">
        <f t="shared" si="0"/>
        <v>11.68</v>
      </c>
      <c r="E15" s="6">
        <v>55</v>
      </c>
      <c r="F15" s="6">
        <f>StepTest!G26</f>
        <v>11.68</v>
      </c>
    </row>
    <row r="16" spans="1:6">
      <c r="A16" s="117">
        <v>60</v>
      </c>
      <c r="B16" s="6">
        <f t="shared" si="0"/>
        <v>11.92</v>
      </c>
      <c r="E16" s="6">
        <v>60</v>
      </c>
      <c r="F16" s="6">
        <f>StepTest!G27</f>
        <v>11.92</v>
      </c>
    </row>
    <row r="17" spans="1:6">
      <c r="A17" s="117">
        <v>75</v>
      </c>
      <c r="B17" s="6">
        <f t="shared" si="0"/>
        <v>12.51</v>
      </c>
      <c r="E17" s="6">
        <v>75</v>
      </c>
      <c r="F17" s="6">
        <f>StepTest!G28</f>
        <v>12.51</v>
      </c>
    </row>
    <row r="18" spans="1:6">
      <c r="A18" s="117">
        <v>90</v>
      </c>
      <c r="B18" s="6">
        <f t="shared" si="0"/>
        <v>13</v>
      </c>
      <c r="E18" s="6">
        <v>90</v>
      </c>
      <c r="F18" s="6">
        <f>StepTest!G29</f>
        <v>13</v>
      </c>
    </row>
    <row r="19" spans="1:6">
      <c r="A19" s="117">
        <v>105</v>
      </c>
      <c r="B19" s="6">
        <f t="shared" si="0"/>
        <v>13.41</v>
      </c>
      <c r="E19" s="6">
        <v>105</v>
      </c>
      <c r="F19" s="6">
        <f>StepTest!G30</f>
        <v>13.41</v>
      </c>
    </row>
    <row r="20" spans="1:6">
      <c r="A20" s="118">
        <v>120</v>
      </c>
      <c r="B20" s="119">
        <f t="shared" si="0"/>
        <v>13.77</v>
      </c>
      <c r="C20" s="119">
        <f>B26-B20</f>
        <v>2.75</v>
      </c>
      <c r="D20" s="120">
        <f>C20/10</f>
        <v>0.27500000000000002</v>
      </c>
      <c r="E20" s="6">
        <v>120</v>
      </c>
      <c r="F20" s="6">
        <f>StepTest!G31</f>
        <v>13.77</v>
      </c>
    </row>
    <row r="21" spans="1:6">
      <c r="A21" s="117">
        <v>121</v>
      </c>
      <c r="B21" s="121">
        <f>B20+D21</f>
        <v>13.93</v>
      </c>
      <c r="D21" s="6">
        <v>0.16</v>
      </c>
      <c r="E21" s="6">
        <v>130</v>
      </c>
      <c r="F21" s="6">
        <f>StepTest!G32</f>
        <v>16.52</v>
      </c>
    </row>
    <row r="22" spans="1:6">
      <c r="A22" s="117">
        <v>122</v>
      </c>
      <c r="B22" s="121">
        <f>B21+D22</f>
        <v>14.08</v>
      </c>
      <c r="D22" s="6">
        <v>0.15</v>
      </c>
      <c r="E22" s="6">
        <v>140</v>
      </c>
      <c r="F22" s="6">
        <f>StepTest!G33</f>
        <v>16.98</v>
      </c>
    </row>
    <row r="23" spans="1:6">
      <c r="A23" s="117">
        <v>123</v>
      </c>
      <c r="B23" s="121">
        <f>B22+D23</f>
        <v>14.22</v>
      </c>
      <c r="D23" s="6">
        <v>0.14000000000000001</v>
      </c>
      <c r="E23" s="6">
        <v>150</v>
      </c>
      <c r="F23" s="6">
        <f>StepTest!G34</f>
        <v>17.440000000000001</v>
      </c>
    </row>
    <row r="24" spans="1:6">
      <c r="A24" s="117">
        <v>124</v>
      </c>
      <c r="B24" s="121">
        <f>B23+D24</f>
        <v>14.350000000000001</v>
      </c>
      <c r="D24" s="6">
        <v>0.13</v>
      </c>
      <c r="E24" s="6">
        <v>180</v>
      </c>
      <c r="F24" s="6">
        <f>StepTest!G35</f>
        <v>17.899999999999999</v>
      </c>
    </row>
    <row r="25" spans="1:6">
      <c r="A25" s="117">
        <v>125</v>
      </c>
      <c r="B25" s="121">
        <f>B24+D25</f>
        <v>14.480000000000002</v>
      </c>
      <c r="D25" s="6">
        <v>0.13</v>
      </c>
      <c r="E25" s="6">
        <v>240</v>
      </c>
      <c r="F25" s="6">
        <f>StepTest!G36</f>
        <v>18.36</v>
      </c>
    </row>
    <row r="26" spans="1:6">
      <c r="A26" s="117">
        <v>130</v>
      </c>
      <c r="B26" s="119">
        <f>F21</f>
        <v>16.52</v>
      </c>
      <c r="C26" s="119">
        <f>B28-B26</f>
        <v>0.46000000000000085</v>
      </c>
      <c r="D26" s="119">
        <f>C26/2</f>
        <v>0.23000000000000043</v>
      </c>
      <c r="E26" s="6">
        <v>250</v>
      </c>
      <c r="F26" s="6">
        <f>StepTest!G37</f>
        <v>21.45</v>
      </c>
    </row>
    <row r="27" spans="1:6">
      <c r="A27" s="117">
        <v>135</v>
      </c>
      <c r="B27" s="121">
        <f>B26+D27</f>
        <v>16.63</v>
      </c>
      <c r="D27" s="6">
        <v>0.11</v>
      </c>
      <c r="E27" s="6">
        <v>260</v>
      </c>
      <c r="F27" s="6">
        <f>StepTest!G38</f>
        <v>21.97</v>
      </c>
    </row>
    <row r="28" spans="1:6">
      <c r="A28" s="117">
        <v>140</v>
      </c>
      <c r="B28" s="119">
        <f>F22</f>
        <v>16.98</v>
      </c>
      <c r="C28" s="119">
        <f>B30-B28</f>
        <v>0.46000000000000085</v>
      </c>
      <c r="D28" s="119">
        <f>C28/2</f>
        <v>0.23000000000000043</v>
      </c>
      <c r="E28" s="6">
        <v>270</v>
      </c>
      <c r="F28" s="6">
        <f>StepTest!G39</f>
        <v>22.48</v>
      </c>
    </row>
    <row r="29" spans="1:6">
      <c r="A29" s="117">
        <v>145</v>
      </c>
      <c r="B29" s="121">
        <f>B28+D29</f>
        <v>17.080000000000002</v>
      </c>
      <c r="D29" s="6">
        <v>0.1</v>
      </c>
      <c r="E29" s="6">
        <v>300</v>
      </c>
      <c r="F29" s="6">
        <f>StepTest!G40</f>
        <v>23</v>
      </c>
    </row>
    <row r="30" spans="1:6">
      <c r="A30" s="117">
        <v>150</v>
      </c>
      <c r="B30" s="119">
        <f>F23</f>
        <v>17.440000000000001</v>
      </c>
      <c r="C30" s="119">
        <f>B36-B30</f>
        <v>0.4599999999999973</v>
      </c>
      <c r="D30" s="122">
        <f>C30/6</f>
        <v>7.6666666666666217E-2</v>
      </c>
      <c r="E30" s="6">
        <v>360</v>
      </c>
      <c r="F30" s="6">
        <f>StepTest!G41</f>
        <v>23.52</v>
      </c>
    </row>
    <row r="31" spans="1:6">
      <c r="A31" s="117">
        <v>155</v>
      </c>
      <c r="B31" s="121">
        <f>B30+D31</f>
        <v>17.5</v>
      </c>
      <c r="D31" s="6">
        <v>0.06</v>
      </c>
    </row>
    <row r="32" spans="1:6">
      <c r="A32" s="117">
        <v>160</v>
      </c>
      <c r="B32" s="121">
        <f t="shared" ref="B32:B39" si="1">B31+D32</f>
        <v>17.55</v>
      </c>
      <c r="D32" s="6">
        <v>0.05</v>
      </c>
    </row>
    <row r="33" spans="1:4">
      <c r="A33" s="117">
        <v>165</v>
      </c>
      <c r="B33" s="121">
        <f t="shared" si="1"/>
        <v>17.59</v>
      </c>
      <c r="D33" s="6">
        <v>0.04</v>
      </c>
    </row>
    <row r="34" spans="1:4">
      <c r="A34" s="117">
        <v>170</v>
      </c>
      <c r="B34" s="121">
        <f t="shared" si="1"/>
        <v>17.62</v>
      </c>
      <c r="D34" s="6">
        <v>0.03</v>
      </c>
    </row>
    <row r="35" spans="1:4">
      <c r="A35" s="117">
        <v>175</v>
      </c>
      <c r="B35" s="121">
        <f t="shared" si="1"/>
        <v>17.64</v>
      </c>
      <c r="D35" s="6">
        <v>0.02</v>
      </c>
    </row>
    <row r="36" spans="1:4">
      <c r="A36" s="117">
        <v>180</v>
      </c>
      <c r="B36" s="119">
        <f>F24</f>
        <v>17.899999999999999</v>
      </c>
      <c r="C36" s="119">
        <f>B40-B36</f>
        <v>0.46000000000000085</v>
      </c>
      <c r="D36" s="119">
        <f>C36/4</f>
        <v>0.11500000000000021</v>
      </c>
    </row>
    <row r="37" spans="1:4">
      <c r="A37" s="117">
        <v>195</v>
      </c>
      <c r="B37" s="121">
        <f t="shared" si="1"/>
        <v>17.97</v>
      </c>
      <c r="D37" s="6">
        <v>7.0000000000000007E-2</v>
      </c>
    </row>
    <row r="38" spans="1:4">
      <c r="A38" s="117">
        <v>210</v>
      </c>
      <c r="B38" s="121">
        <f t="shared" si="1"/>
        <v>18.029999999999998</v>
      </c>
      <c r="D38" s="6">
        <v>0.06</v>
      </c>
    </row>
    <row r="39" spans="1:4">
      <c r="A39" s="117">
        <v>225</v>
      </c>
      <c r="B39" s="121">
        <f t="shared" si="1"/>
        <v>18.079999999999998</v>
      </c>
      <c r="D39" s="6">
        <v>0.05</v>
      </c>
    </row>
    <row r="40" spans="1:4">
      <c r="A40" s="118">
        <v>240</v>
      </c>
      <c r="B40" s="119">
        <f>F25</f>
        <v>18.36</v>
      </c>
      <c r="C40" s="119">
        <f>B46-B40</f>
        <v>3.09</v>
      </c>
      <c r="D40" s="120">
        <f>C40/10</f>
        <v>0.309</v>
      </c>
    </row>
    <row r="41" spans="1:4">
      <c r="A41" s="117">
        <v>241</v>
      </c>
      <c r="B41" s="121">
        <f>B40+D41</f>
        <v>18.54</v>
      </c>
      <c r="D41" s="6">
        <v>0.18</v>
      </c>
    </row>
    <row r="42" spans="1:4">
      <c r="A42" s="117">
        <v>242</v>
      </c>
      <c r="B42" s="121">
        <f>B41+D42</f>
        <v>18.7</v>
      </c>
      <c r="D42" s="6">
        <v>0.16</v>
      </c>
    </row>
    <row r="43" spans="1:4">
      <c r="A43" s="117">
        <v>243</v>
      </c>
      <c r="B43" s="121">
        <f>B42+D43</f>
        <v>18.849999999999998</v>
      </c>
      <c r="D43" s="6">
        <v>0.15</v>
      </c>
    </row>
    <row r="44" spans="1:4">
      <c r="A44" s="117">
        <v>244</v>
      </c>
      <c r="B44" s="121">
        <f>B43+D44</f>
        <v>18.989999999999998</v>
      </c>
      <c r="D44" s="6">
        <v>0.14000000000000001</v>
      </c>
    </row>
    <row r="45" spans="1:4">
      <c r="A45" s="117">
        <v>245</v>
      </c>
      <c r="B45" s="121">
        <f>B44+D45</f>
        <v>19.119999999999997</v>
      </c>
      <c r="D45" s="6">
        <v>0.13</v>
      </c>
    </row>
    <row r="46" spans="1:4">
      <c r="A46" s="117">
        <v>250</v>
      </c>
      <c r="B46" s="119">
        <f>F26</f>
        <v>21.45</v>
      </c>
      <c r="C46" s="119">
        <f>B48-B46</f>
        <v>0.51999999999999957</v>
      </c>
      <c r="D46" s="119">
        <f>C46/2</f>
        <v>0.25999999999999979</v>
      </c>
    </row>
    <row r="47" spans="1:4">
      <c r="A47" s="117">
        <v>255</v>
      </c>
      <c r="B47" s="121">
        <f>B46+D47</f>
        <v>21.56</v>
      </c>
      <c r="D47" s="6">
        <v>0.11</v>
      </c>
    </row>
    <row r="48" spans="1:4">
      <c r="A48" s="117">
        <v>260</v>
      </c>
      <c r="B48" s="119">
        <f>F27</f>
        <v>21.97</v>
      </c>
      <c r="C48" s="119">
        <f>B50-B48</f>
        <v>0.51000000000000156</v>
      </c>
      <c r="D48" s="119">
        <f>C48/2</f>
        <v>0.25500000000000078</v>
      </c>
    </row>
    <row r="49" spans="1:6">
      <c r="A49" s="117">
        <v>265</v>
      </c>
      <c r="B49" s="121">
        <f>B48+D49</f>
        <v>22.08</v>
      </c>
      <c r="D49" s="6">
        <v>0.11</v>
      </c>
    </row>
    <row r="50" spans="1:6">
      <c r="A50" s="117">
        <v>270</v>
      </c>
      <c r="B50" s="119">
        <f>F28</f>
        <v>22.48</v>
      </c>
      <c r="C50" s="119">
        <f>B56-B50</f>
        <v>0.51999999999999957</v>
      </c>
      <c r="D50" s="122">
        <f>C50/6</f>
        <v>8.66666666666666E-2</v>
      </c>
    </row>
    <row r="51" spans="1:6">
      <c r="A51" s="117">
        <v>275</v>
      </c>
      <c r="B51" s="121">
        <f>B50+D51</f>
        <v>22.55</v>
      </c>
      <c r="D51" s="6">
        <v>7.0000000000000007E-2</v>
      </c>
    </row>
    <row r="52" spans="1:6">
      <c r="A52" s="117">
        <v>280</v>
      </c>
      <c r="B52" s="121">
        <f>B51+D52</f>
        <v>22.6</v>
      </c>
      <c r="D52" s="6">
        <v>0.05</v>
      </c>
    </row>
    <row r="53" spans="1:6">
      <c r="A53" s="117">
        <v>285</v>
      </c>
      <c r="B53" s="121">
        <f>B52+D53</f>
        <v>22.64</v>
      </c>
      <c r="D53" s="6">
        <v>0.04</v>
      </c>
    </row>
    <row r="54" spans="1:6">
      <c r="A54" s="117">
        <v>290</v>
      </c>
      <c r="B54" s="121">
        <f>B53+D54</f>
        <v>22.67</v>
      </c>
      <c r="D54" s="6">
        <v>0.03</v>
      </c>
    </row>
    <row r="55" spans="1:6">
      <c r="A55" s="117">
        <v>295</v>
      </c>
      <c r="B55" s="121">
        <f>B54+D55</f>
        <v>22.69</v>
      </c>
      <c r="D55" s="6">
        <v>0.02</v>
      </c>
    </row>
    <row r="56" spans="1:6">
      <c r="A56" s="117">
        <v>300</v>
      </c>
      <c r="B56" s="119">
        <f>F29</f>
        <v>23</v>
      </c>
      <c r="C56" s="119">
        <f>B60-B56</f>
        <v>0.51999999999999957</v>
      </c>
      <c r="D56" s="119">
        <f>C56/4</f>
        <v>0.12999999999999989</v>
      </c>
    </row>
    <row r="57" spans="1:6">
      <c r="A57" s="117">
        <v>315</v>
      </c>
      <c r="B57" s="121">
        <f>B56+D57</f>
        <v>23.08</v>
      </c>
      <c r="D57" s="6">
        <v>0.08</v>
      </c>
    </row>
    <row r="58" spans="1:6">
      <c r="A58" s="117">
        <v>330</v>
      </c>
      <c r="B58" s="121">
        <f>B57+D58</f>
        <v>23.139999999999997</v>
      </c>
      <c r="D58" s="6">
        <v>0.06</v>
      </c>
    </row>
    <row r="59" spans="1:6">
      <c r="A59" s="117">
        <v>345</v>
      </c>
      <c r="B59" s="121">
        <f>B58+D59</f>
        <v>23.189999999999998</v>
      </c>
      <c r="D59" s="6">
        <v>0.05</v>
      </c>
    </row>
    <row r="60" spans="1:6">
      <c r="A60" s="118">
        <v>360</v>
      </c>
      <c r="B60" s="119">
        <f>F30</f>
        <v>23.52</v>
      </c>
      <c r="C60" s="119">
        <f>B66-B60</f>
        <v>3.4499999999999993</v>
      </c>
      <c r="D60" s="120">
        <f>C60/10</f>
        <v>0.34499999999999992</v>
      </c>
    </row>
    <row r="61" spans="1:6">
      <c r="A61" s="117">
        <v>361</v>
      </c>
      <c r="B61" s="121">
        <f>B60+D61</f>
        <v>23.71</v>
      </c>
      <c r="D61" s="6">
        <v>0.19</v>
      </c>
    </row>
    <row r="62" spans="1:6">
      <c r="A62" s="117">
        <v>362</v>
      </c>
      <c r="B62" s="121">
        <f>B61+D62</f>
        <v>23.880000000000003</v>
      </c>
      <c r="D62" s="6">
        <v>0.17</v>
      </c>
    </row>
    <row r="63" spans="1:6">
      <c r="A63" s="117">
        <v>363</v>
      </c>
      <c r="B63" s="121">
        <f>B62+D63</f>
        <v>24.040000000000003</v>
      </c>
      <c r="D63" s="6">
        <v>0.16</v>
      </c>
      <c r="E63" s="6">
        <v>370</v>
      </c>
      <c r="F63" s="6">
        <f>StepTest!G42</f>
        <v>26.97</v>
      </c>
    </row>
    <row r="64" spans="1:6">
      <c r="A64" s="117">
        <v>364</v>
      </c>
      <c r="B64" s="121">
        <f>B63+D64</f>
        <v>24.19</v>
      </c>
      <c r="D64" s="6">
        <v>0.15</v>
      </c>
      <c r="E64" s="6">
        <v>380</v>
      </c>
      <c r="F64" s="6">
        <f>StepTest!G43</f>
        <v>27.55</v>
      </c>
    </row>
    <row r="65" spans="1:6">
      <c r="A65" s="117">
        <v>365</v>
      </c>
      <c r="B65" s="121">
        <f>B64+D65</f>
        <v>24.330000000000002</v>
      </c>
      <c r="D65" s="6">
        <v>0.14000000000000001</v>
      </c>
      <c r="E65" s="6">
        <v>390</v>
      </c>
      <c r="F65" s="6">
        <f>StepTest!G44</f>
        <v>28.12</v>
      </c>
    </row>
    <row r="66" spans="1:6">
      <c r="A66" s="117">
        <v>370</v>
      </c>
      <c r="B66" s="119">
        <f>F63</f>
        <v>26.97</v>
      </c>
      <c r="C66" s="123">
        <f>B68-B66</f>
        <v>0.58000000000000185</v>
      </c>
      <c r="D66" s="119">
        <f>C66/2</f>
        <v>0.29000000000000092</v>
      </c>
      <c r="E66" s="6">
        <v>420</v>
      </c>
      <c r="F66" s="6">
        <f>StepTest!G45</f>
        <v>28.7</v>
      </c>
    </row>
    <row r="67" spans="1:6">
      <c r="A67" s="117">
        <v>375</v>
      </c>
      <c r="B67" s="121">
        <f>B66+D67</f>
        <v>27.09</v>
      </c>
      <c r="D67" s="6">
        <v>0.12</v>
      </c>
      <c r="E67" s="6">
        <v>480</v>
      </c>
      <c r="F67" s="6">
        <f>StepTest!G46</f>
        <v>29.28</v>
      </c>
    </row>
    <row r="68" spans="1:6">
      <c r="A68" s="117">
        <v>380</v>
      </c>
      <c r="B68" s="124">
        <f>F64</f>
        <v>27.55</v>
      </c>
      <c r="C68" s="119">
        <f>B70-B68</f>
        <v>0.57000000000000028</v>
      </c>
      <c r="D68" s="119">
        <f>C68/2</f>
        <v>0.28500000000000014</v>
      </c>
      <c r="E68" s="6">
        <v>490</v>
      </c>
      <c r="F68" s="6">
        <f>StepTest!G47</f>
        <v>32.79</v>
      </c>
    </row>
    <row r="69" spans="1:6">
      <c r="A69" s="117">
        <v>385</v>
      </c>
      <c r="B69" s="121">
        <f>B68+D69</f>
        <v>27.67</v>
      </c>
      <c r="D69" s="6">
        <v>0.12</v>
      </c>
      <c r="E69" s="6">
        <v>500</v>
      </c>
      <c r="F69" s="6">
        <f>StepTest!G48</f>
        <v>34.1</v>
      </c>
    </row>
    <row r="70" spans="1:6">
      <c r="A70" s="117">
        <v>390</v>
      </c>
      <c r="B70" s="124">
        <f>F65</f>
        <v>28.12</v>
      </c>
      <c r="C70" s="119">
        <f>B76-B70</f>
        <v>0.57999999999999829</v>
      </c>
      <c r="D70" s="122">
        <f>C70/6</f>
        <v>9.6666666666666387E-2</v>
      </c>
      <c r="E70" s="6">
        <v>510</v>
      </c>
      <c r="F70" s="6">
        <f>StepTest!G49</f>
        <v>35.42</v>
      </c>
    </row>
    <row r="71" spans="1:6">
      <c r="A71" s="117">
        <v>395</v>
      </c>
      <c r="B71" s="121">
        <f>B70+D71</f>
        <v>28.19</v>
      </c>
      <c r="D71" s="6">
        <v>7.0000000000000007E-2</v>
      </c>
      <c r="E71" s="6">
        <v>540</v>
      </c>
      <c r="F71" s="6">
        <f>StepTest!G50</f>
        <v>36.74</v>
      </c>
    </row>
    <row r="72" spans="1:6">
      <c r="A72" s="117">
        <v>400</v>
      </c>
      <c r="B72" s="121">
        <f>B71+D72</f>
        <v>28.240000000000002</v>
      </c>
      <c r="D72" s="6">
        <v>0.05</v>
      </c>
      <c r="E72" s="6">
        <v>600</v>
      </c>
      <c r="F72" s="6">
        <f>StepTest!G51</f>
        <v>38.06</v>
      </c>
    </row>
    <row r="73" spans="1:6">
      <c r="A73" s="117">
        <v>405</v>
      </c>
      <c r="B73" s="121">
        <f>B72+D73</f>
        <v>28.28</v>
      </c>
      <c r="D73" s="6">
        <v>0.04</v>
      </c>
    </row>
    <row r="74" spans="1:6">
      <c r="A74" s="117">
        <v>410</v>
      </c>
      <c r="B74" s="121">
        <f>B73+D74</f>
        <v>28.310000000000002</v>
      </c>
      <c r="D74" s="6">
        <v>0.03</v>
      </c>
    </row>
    <row r="75" spans="1:6">
      <c r="A75" s="117">
        <v>415</v>
      </c>
      <c r="B75" s="121">
        <f>B74+D75</f>
        <v>28.340000000000003</v>
      </c>
      <c r="D75" s="6">
        <v>0.03</v>
      </c>
    </row>
    <row r="76" spans="1:6">
      <c r="A76" s="117">
        <v>420</v>
      </c>
      <c r="B76" s="124">
        <f>F66</f>
        <v>28.7</v>
      </c>
      <c r="C76" s="119">
        <f>B80-B76</f>
        <v>0.58000000000000185</v>
      </c>
      <c r="D76" s="119">
        <f>C76/4</f>
        <v>0.14500000000000046</v>
      </c>
    </row>
    <row r="77" spans="1:6">
      <c r="A77" s="117">
        <v>435</v>
      </c>
      <c r="B77" s="121">
        <f>B76+D77</f>
        <v>28.79</v>
      </c>
      <c r="D77" s="6">
        <v>0.09</v>
      </c>
    </row>
    <row r="78" spans="1:6">
      <c r="A78" s="117">
        <v>450</v>
      </c>
      <c r="B78" s="121">
        <f>B77+D78</f>
        <v>28.86</v>
      </c>
      <c r="D78" s="6">
        <v>7.0000000000000007E-2</v>
      </c>
    </row>
    <row r="79" spans="1:6">
      <c r="A79" s="117">
        <v>465</v>
      </c>
      <c r="B79" s="121">
        <f>B78+D79</f>
        <v>28.91</v>
      </c>
      <c r="D79" s="6">
        <v>0.05</v>
      </c>
    </row>
    <row r="80" spans="1:6">
      <c r="A80" s="118">
        <v>480</v>
      </c>
      <c r="B80" s="124">
        <f>F67</f>
        <v>29.28</v>
      </c>
      <c r="C80" s="119">
        <f>B86-B80</f>
        <v>3.509999999999998</v>
      </c>
      <c r="D80" s="120">
        <f>C80/10</f>
        <v>0.35099999999999981</v>
      </c>
    </row>
    <row r="81" spans="1:4">
      <c r="A81" s="117">
        <v>481</v>
      </c>
      <c r="B81" s="121">
        <f>B80+D81</f>
        <v>29.490000000000002</v>
      </c>
      <c r="D81" s="6">
        <v>0.21</v>
      </c>
    </row>
    <row r="82" spans="1:4">
      <c r="A82" s="117">
        <v>482</v>
      </c>
      <c r="B82" s="121">
        <f>B81+D82</f>
        <v>29.680000000000003</v>
      </c>
      <c r="D82" s="6">
        <v>0.19</v>
      </c>
    </row>
    <row r="83" spans="1:4">
      <c r="A83" s="117">
        <v>483</v>
      </c>
      <c r="B83" s="121">
        <f>B82+D83</f>
        <v>29.850000000000005</v>
      </c>
      <c r="D83" s="6">
        <v>0.17</v>
      </c>
    </row>
    <row r="84" spans="1:4">
      <c r="A84" s="117">
        <v>484</v>
      </c>
      <c r="B84" s="121">
        <f>B83+D84</f>
        <v>30.010000000000005</v>
      </c>
      <c r="D84" s="6">
        <v>0.16</v>
      </c>
    </row>
    <row r="85" spans="1:4">
      <c r="A85" s="117">
        <v>485</v>
      </c>
      <c r="B85" s="121">
        <f>B84+D85</f>
        <v>30.150000000000006</v>
      </c>
      <c r="D85" s="6">
        <v>0.14000000000000001</v>
      </c>
    </row>
    <row r="86" spans="1:4">
      <c r="A86" s="117">
        <v>490</v>
      </c>
      <c r="B86" s="124">
        <f>F68</f>
        <v>32.79</v>
      </c>
      <c r="C86" s="119">
        <f>B88-B86</f>
        <v>1.3100000000000023</v>
      </c>
      <c r="D86" s="119">
        <f>C86/2</f>
        <v>0.65500000000000114</v>
      </c>
    </row>
    <row r="87" spans="1:4">
      <c r="A87" s="117">
        <v>495</v>
      </c>
      <c r="B87" s="121">
        <f>B86+D87</f>
        <v>33.1</v>
      </c>
      <c r="D87" s="6">
        <v>0.31</v>
      </c>
    </row>
    <row r="88" spans="1:4">
      <c r="A88" s="117">
        <v>500</v>
      </c>
      <c r="B88" s="124">
        <f>F69</f>
        <v>34.1</v>
      </c>
      <c r="C88" s="119">
        <f>B90-B88</f>
        <v>1.3200000000000003</v>
      </c>
      <c r="D88" s="119">
        <f>C88/2</f>
        <v>0.66000000000000014</v>
      </c>
    </row>
    <row r="89" spans="1:4">
      <c r="A89" s="117">
        <v>505</v>
      </c>
      <c r="B89" s="121">
        <f>B88+D89</f>
        <v>34.4</v>
      </c>
      <c r="D89" s="6">
        <v>0.3</v>
      </c>
    </row>
    <row r="90" spans="1:4">
      <c r="A90" s="117">
        <v>510</v>
      </c>
      <c r="B90" s="124">
        <f>F70</f>
        <v>35.42</v>
      </c>
      <c r="C90" s="119">
        <f>B96-B90</f>
        <v>1.3200000000000003</v>
      </c>
      <c r="D90" s="122">
        <f>C90/6</f>
        <v>0.22000000000000006</v>
      </c>
    </row>
    <row r="91" spans="1:4">
      <c r="A91" s="117">
        <v>515</v>
      </c>
      <c r="B91" s="121">
        <f>B90+D91</f>
        <v>35.57</v>
      </c>
      <c r="D91" s="6">
        <v>0.15</v>
      </c>
    </row>
    <row r="92" spans="1:4">
      <c r="A92" s="117">
        <v>520</v>
      </c>
      <c r="B92" s="121">
        <f>B91+D92</f>
        <v>35.700000000000003</v>
      </c>
      <c r="D92" s="6">
        <v>0.13</v>
      </c>
    </row>
    <row r="93" spans="1:4">
      <c r="A93" s="117">
        <v>525</v>
      </c>
      <c r="B93" s="121">
        <f>B92+D93</f>
        <v>35.81</v>
      </c>
      <c r="D93" s="6">
        <v>0.11</v>
      </c>
    </row>
    <row r="94" spans="1:4">
      <c r="A94" s="117">
        <v>530</v>
      </c>
      <c r="B94" s="121">
        <f>B93+D94</f>
        <v>35.89</v>
      </c>
      <c r="D94" s="6">
        <v>0.08</v>
      </c>
    </row>
    <row r="95" spans="1:4">
      <c r="A95" s="117">
        <v>535</v>
      </c>
      <c r="B95" s="121">
        <f>B94+D95</f>
        <v>35.96</v>
      </c>
      <c r="D95" s="6">
        <v>7.0000000000000007E-2</v>
      </c>
    </row>
    <row r="96" spans="1:4">
      <c r="A96" s="117">
        <v>540</v>
      </c>
      <c r="B96" s="124">
        <f>F71</f>
        <v>36.74</v>
      </c>
      <c r="C96" s="119">
        <f>B100-B96</f>
        <v>1.3200000000000003</v>
      </c>
      <c r="D96" s="119">
        <f>C96/4</f>
        <v>0.33000000000000007</v>
      </c>
    </row>
    <row r="97" spans="1:4">
      <c r="A97" s="117">
        <v>555</v>
      </c>
      <c r="B97" s="121">
        <f>B96+D97</f>
        <v>36.93</v>
      </c>
      <c r="D97" s="6">
        <v>0.19</v>
      </c>
    </row>
    <row r="98" spans="1:4">
      <c r="A98" s="117">
        <v>570</v>
      </c>
      <c r="B98" s="121">
        <f>B97+D98</f>
        <v>37.089999999999996</v>
      </c>
      <c r="D98" s="6">
        <v>0.16</v>
      </c>
    </row>
    <row r="99" spans="1:4">
      <c r="A99" s="117">
        <v>585</v>
      </c>
      <c r="B99" s="121">
        <f>B98+D99</f>
        <v>37.229999999999997</v>
      </c>
      <c r="D99" s="6">
        <v>0.14000000000000001</v>
      </c>
    </row>
    <row r="100" spans="1:4">
      <c r="A100" s="118">
        <v>600</v>
      </c>
      <c r="B100" s="63">
        <f>F72</f>
        <v>38.06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zoomScaleNormal="100" workbookViewId="0">
      <selection activeCell="K62" sqref="K62"/>
    </sheetView>
  </sheetViews>
  <sheetFormatPr defaultColWidth="9" defaultRowHeight="13.5"/>
  <cols>
    <col min="1" max="1" width="13.875" style="1" customWidth="1"/>
    <col min="2" max="2" width="10.125" style="1" customWidth="1"/>
    <col min="3" max="3" width="12.25" style="1" bestFit="1" customWidth="1"/>
    <col min="4" max="4" width="8.375" style="1" customWidth="1"/>
    <col min="5" max="5" width="7.125" style="1" customWidth="1"/>
    <col min="6" max="6" width="6" style="1" bestFit="1" customWidth="1"/>
    <col min="7" max="7" width="9.75" style="1" bestFit="1" customWidth="1"/>
    <col min="8" max="8" width="10.375" style="2" customWidth="1"/>
    <col min="9" max="9" width="11.625" style="2" bestFit="1" customWidth="1"/>
    <col min="10" max="10" width="9" style="2"/>
    <col min="11" max="11" width="11.875" style="2" customWidth="1"/>
    <col min="12" max="12" width="10.375" style="2" customWidth="1"/>
    <col min="13" max="14" width="9" style="2"/>
    <col min="15" max="15" width="13.375" style="2" customWidth="1"/>
    <col min="16" max="16" width="9" style="2" customWidth="1"/>
    <col min="17" max="17" width="11.375" style="2" bestFit="1" customWidth="1"/>
    <col min="18" max="18" width="10.875" style="2" customWidth="1"/>
    <col min="19" max="19" width="12.75" style="2" customWidth="1"/>
    <col min="20" max="21" width="10.375" style="2" bestFit="1" customWidth="1"/>
    <col min="22" max="24" width="9.75" style="2" customWidth="1"/>
    <col min="25" max="16384" width="9" style="2"/>
  </cols>
  <sheetData>
    <row r="1" spans="1:15" s="202" customFormat="1">
      <c r="A1" s="4"/>
      <c r="B1" s="4"/>
      <c r="C1" s="4"/>
      <c r="D1" s="4"/>
      <c r="E1" s="3">
        <f>SUM(E3:E6)</f>
        <v>45.620833333333337</v>
      </c>
      <c r="F1" s="3"/>
      <c r="G1" s="3">
        <f>E1/E2</f>
        <v>0.85539062500000007</v>
      </c>
    </row>
    <row r="2" spans="1:15" s="202" customFormat="1">
      <c r="A2" s="427" t="s">
        <v>0</v>
      </c>
      <c r="B2" s="427" t="s">
        <v>240</v>
      </c>
      <c r="C2" s="4"/>
      <c r="D2" s="206">
        <f>D19</f>
        <v>87</v>
      </c>
      <c r="E2" s="3">
        <f>M51/3</f>
        <v>53.333333333333336</v>
      </c>
      <c r="F2" s="428" t="s">
        <v>2</v>
      </c>
      <c r="G2" s="427" t="s">
        <v>3</v>
      </c>
    </row>
    <row r="3" spans="1:15" s="202" customFormat="1">
      <c r="A3" s="207">
        <f>B3+$M$48</f>
        <v>24.07</v>
      </c>
      <c r="B3" s="265">
        <f>B20</f>
        <v>13.77</v>
      </c>
      <c r="C3" s="208"/>
      <c r="D3" s="266">
        <f t="shared" ref="D3:D7" si="0">D20</f>
        <v>97</v>
      </c>
      <c r="E3" s="4">
        <f>D3/12</f>
        <v>8.0833333333333339</v>
      </c>
      <c r="F3" s="209">
        <f>INT(B3/D3*1000)/1000</f>
        <v>0.14099999999999999</v>
      </c>
      <c r="G3" s="209">
        <f>1/F3</f>
        <v>7.0921985815602842</v>
      </c>
    </row>
    <row r="4" spans="1:15" s="202" customFormat="1">
      <c r="A4" s="207">
        <f>B4+$M$48</f>
        <v>28.66</v>
      </c>
      <c r="B4" s="208">
        <f>B21</f>
        <v>18.36</v>
      </c>
      <c r="C4" s="208"/>
      <c r="D4" s="206">
        <f t="shared" si="0"/>
        <v>123</v>
      </c>
      <c r="E4" s="4">
        <f>D4/12</f>
        <v>10.25</v>
      </c>
      <c r="F4" s="209">
        <f>INT(B4/D4*1000)/1000</f>
        <v>0.14899999999999999</v>
      </c>
      <c r="G4" s="209">
        <f t="shared" ref="G4:G7" si="1">1/F4</f>
        <v>6.7114093959731544</v>
      </c>
    </row>
    <row r="5" spans="1:15" s="202" customFormat="1">
      <c r="A5" s="207">
        <f>B5+$M$48</f>
        <v>33.82</v>
      </c>
      <c r="B5" s="208">
        <f>B22</f>
        <v>23.52</v>
      </c>
      <c r="C5" s="208"/>
      <c r="D5" s="206">
        <f t="shared" si="0"/>
        <v>150.44999999999999</v>
      </c>
      <c r="E5" s="4">
        <f>D5/12</f>
        <v>12.5375</v>
      </c>
      <c r="F5" s="209">
        <f>INT(B5/D5*1000)/1000</f>
        <v>0.156</v>
      </c>
      <c r="G5" s="209">
        <f t="shared" si="1"/>
        <v>6.4102564102564106</v>
      </c>
    </row>
    <row r="6" spans="1:15" s="202" customFormat="1">
      <c r="A6" s="207">
        <f>B6+$M$48</f>
        <v>39.58</v>
      </c>
      <c r="B6" s="265">
        <f>B23</f>
        <v>29.28</v>
      </c>
      <c r="C6" s="208"/>
      <c r="D6" s="206">
        <f>D23</f>
        <v>177</v>
      </c>
      <c r="E6" s="4">
        <f>D6/12</f>
        <v>14.75</v>
      </c>
      <c r="F6" s="209">
        <f>INT(B6/D6*1000)/1000</f>
        <v>0.16500000000000001</v>
      </c>
      <c r="G6" s="209">
        <f t="shared" si="1"/>
        <v>6.0606060606060606</v>
      </c>
    </row>
    <row r="7" spans="1:15" s="202" customFormat="1">
      <c r="A7" s="207">
        <f>B7+$M$48</f>
        <v>48.36</v>
      </c>
      <c r="B7" s="208">
        <f>B24</f>
        <v>38.06</v>
      </c>
      <c r="C7" s="208"/>
      <c r="D7" s="206">
        <f t="shared" si="0"/>
        <v>203.54999999999998</v>
      </c>
      <c r="E7" s="4">
        <f>D7/12</f>
        <v>16.962499999999999</v>
      </c>
      <c r="F7" s="209">
        <f>INT(B7/D7*1000)/1000</f>
        <v>0.186</v>
      </c>
      <c r="G7" s="209">
        <f t="shared" si="1"/>
        <v>5.376344086021505</v>
      </c>
    </row>
    <row r="8" spans="1:15" s="202" customFormat="1">
      <c r="A8" s="4"/>
      <c r="B8" s="4" t="s">
        <v>4</v>
      </c>
      <c r="C8" s="4"/>
      <c r="D8" s="4"/>
      <c r="E8" s="499" t="s">
        <v>5</v>
      </c>
      <c r="F8" s="499"/>
      <c r="G8" s="499"/>
    </row>
    <row r="9" spans="1:15" s="202" customFormat="1">
      <c r="A9" s="427" t="s">
        <v>6</v>
      </c>
      <c r="B9" s="427" t="s">
        <v>2</v>
      </c>
      <c r="C9" s="4"/>
      <c r="D9" s="4"/>
      <c r="E9" s="251">
        <v>0.98</v>
      </c>
      <c r="F9" s="500" t="s">
        <v>7</v>
      </c>
      <c r="G9" s="500"/>
    </row>
    <row r="10" spans="1:15" s="202" customFormat="1">
      <c r="A10" s="210">
        <f>D20/B20</f>
        <v>7.0442992011619463</v>
      </c>
      <c r="B10" s="210">
        <f>B20/D20</f>
        <v>0.14195876288659792</v>
      </c>
      <c r="C10" s="4"/>
      <c r="D10" s="4"/>
      <c r="E10" s="251">
        <v>0.98</v>
      </c>
      <c r="F10" s="500" t="s">
        <v>8</v>
      </c>
      <c r="G10" s="500"/>
    </row>
    <row r="11" spans="1:15" s="202" customFormat="1">
      <c r="A11" s="210">
        <f t="shared" ref="A11:A14" si="2">D21/B21</f>
        <v>6.6993464052287583</v>
      </c>
      <c r="B11" s="210">
        <f t="shared" ref="B11:B14" si="3">B21/D21</f>
        <v>0.14926829268292682</v>
      </c>
      <c r="C11" s="4"/>
      <c r="D11" s="4" t="s">
        <v>4</v>
      </c>
      <c r="E11" s="251">
        <v>0.98</v>
      </c>
      <c r="F11" s="500" t="s">
        <v>9</v>
      </c>
      <c r="G11" s="500"/>
    </row>
    <row r="12" spans="1:15" s="202" customFormat="1">
      <c r="A12" s="210">
        <f t="shared" si="2"/>
        <v>6.3966836734693873</v>
      </c>
      <c r="B12" s="210">
        <f t="shared" si="3"/>
        <v>0.15633100697906283</v>
      </c>
      <c r="C12" s="4"/>
      <c r="D12" s="4"/>
      <c r="E12" s="251">
        <v>1</v>
      </c>
      <c r="F12" s="500" t="s">
        <v>10</v>
      </c>
      <c r="G12" s="500"/>
    </row>
    <row r="13" spans="1:15" s="202" customFormat="1">
      <c r="A13" s="210">
        <f t="shared" si="2"/>
        <v>6.0450819672131146</v>
      </c>
      <c r="B13" s="210">
        <f t="shared" si="3"/>
        <v>0.16542372881355932</v>
      </c>
      <c r="C13" s="4"/>
      <c r="D13" s="4" t="s">
        <v>4</v>
      </c>
      <c r="E13" s="499" t="s">
        <v>11</v>
      </c>
      <c r="F13" s="499"/>
      <c r="G13" s="499"/>
    </row>
    <row r="14" spans="1:15" s="202" customFormat="1">
      <c r="A14" s="210">
        <f t="shared" si="2"/>
        <v>5.3481345244351015</v>
      </c>
      <c r="B14" s="210">
        <f t="shared" si="3"/>
        <v>0.18698108572832231</v>
      </c>
      <c r="C14" s="4"/>
      <c r="D14" s="4"/>
      <c r="E14" s="251">
        <v>1</v>
      </c>
      <c r="F14" s="500" t="s">
        <v>7</v>
      </c>
      <c r="G14" s="500"/>
    </row>
    <row r="15" spans="1:15" s="202" customFormat="1">
      <c r="A15" s="4"/>
      <c r="B15" s="4"/>
      <c r="C15" s="4"/>
      <c r="D15" s="4"/>
      <c r="E15" s="251">
        <v>1</v>
      </c>
      <c r="F15" s="500" t="s">
        <v>8</v>
      </c>
      <c r="G15" s="500"/>
    </row>
    <row r="16" spans="1:15" s="202" customFormat="1">
      <c r="A16" s="4"/>
      <c r="B16" s="429" t="s">
        <v>12</v>
      </c>
      <c r="C16" s="4"/>
      <c r="D16" s="429" t="s">
        <v>13</v>
      </c>
      <c r="E16" s="420">
        <v>1</v>
      </c>
      <c r="F16" s="500" t="s">
        <v>9</v>
      </c>
      <c r="G16" s="500"/>
      <c r="O16" s="246">
        <v>45024</v>
      </c>
    </row>
    <row r="17" spans="1:21" s="202" customFormat="1">
      <c r="A17" s="4"/>
      <c r="B17" s="430">
        <f>M52</f>
        <v>29.28</v>
      </c>
      <c r="C17" s="4"/>
      <c r="D17" s="431">
        <f>M47</f>
        <v>177</v>
      </c>
      <c r="E17" s="420">
        <v>1</v>
      </c>
      <c r="F17" s="500" t="s">
        <v>10</v>
      </c>
      <c r="G17" s="500"/>
      <c r="P17" s="5"/>
      <c r="Q17" s="211"/>
      <c r="S17" s="212"/>
    </row>
    <row r="18" spans="1:21" s="202" customFormat="1" ht="14.25" thickBot="1">
      <c r="A18" s="4"/>
      <c r="B18" s="4"/>
      <c r="C18" s="4"/>
      <c r="D18" s="4"/>
      <c r="E18" s="4"/>
      <c r="F18" s="208"/>
      <c r="G18" s="208"/>
      <c r="P18" s="5"/>
    </row>
    <row r="19" spans="1:21" s="202" customFormat="1" ht="14.25" thickBot="1">
      <c r="A19" s="4"/>
      <c r="B19" s="208"/>
      <c r="C19" s="208"/>
      <c r="D19" s="412">
        <f>INT(D20*0.9)</f>
        <v>87</v>
      </c>
      <c r="E19" s="413"/>
      <c r="F19" s="208"/>
      <c r="G19" s="208"/>
    </row>
    <row r="20" spans="1:21" s="202" customFormat="1">
      <c r="A20" s="426" t="s">
        <v>246</v>
      </c>
      <c r="B20" s="433">
        <f>INT(B$17*C20*100)/100</f>
        <v>13.77</v>
      </c>
      <c r="C20" s="4">
        <f>0.48*E9</f>
        <v>0.47039999999999998</v>
      </c>
      <c r="D20" s="414">
        <f>INT(D$17*E20)</f>
        <v>97</v>
      </c>
      <c r="E20" s="415">
        <f>0.55*E14</f>
        <v>0.55000000000000004</v>
      </c>
      <c r="F20" s="209">
        <f>B20/D20</f>
        <v>0.14195876288659792</v>
      </c>
      <c r="G20" s="4">
        <f>F20-F19</f>
        <v>0.14195876288659792</v>
      </c>
    </row>
    <row r="21" spans="1:21" s="202" customFormat="1" ht="16.5">
      <c r="A21" s="421">
        <f>B21-B20</f>
        <v>4.59</v>
      </c>
      <c r="B21" s="422">
        <f>INT(B$17*C21*100)/100</f>
        <v>18.36</v>
      </c>
      <c r="C21" s="4">
        <f>0.64*E10</f>
        <v>0.62719999999999998</v>
      </c>
      <c r="D21" s="414">
        <f>INT(D$17*E21)</f>
        <v>123</v>
      </c>
      <c r="E21" s="415">
        <f>0.7*E15</f>
        <v>0.7</v>
      </c>
      <c r="F21" s="209">
        <f>B21/D21</f>
        <v>0.14926829268292682</v>
      </c>
      <c r="G21" s="4">
        <f>F21-F20</f>
        <v>7.3095297963289008E-3</v>
      </c>
      <c r="O21" s="213"/>
      <c r="P21" s="213"/>
      <c r="Q21" s="213"/>
      <c r="R21" s="213"/>
      <c r="S21" s="213"/>
      <c r="T21" s="213"/>
    </row>
    <row r="22" spans="1:21" s="202" customFormat="1">
      <c r="A22" s="421">
        <f>B22-B21</f>
        <v>5.16</v>
      </c>
      <c r="B22" s="422">
        <f>INT(B$17*C22*100)/100</f>
        <v>23.52</v>
      </c>
      <c r="C22" s="4">
        <f>0.82*E11</f>
        <v>0.80359999999999998</v>
      </c>
      <c r="D22" s="416">
        <f>(D$17*E22)</f>
        <v>150.44999999999999</v>
      </c>
      <c r="E22" s="415">
        <f>0.85*E16</f>
        <v>0.85</v>
      </c>
      <c r="F22" s="209">
        <f>B22/D22</f>
        <v>0.15633100697906283</v>
      </c>
      <c r="G22" s="4">
        <f>F22-F21</f>
        <v>7.0627142961360023E-3</v>
      </c>
    </row>
    <row r="23" spans="1:21" s="202" customFormat="1">
      <c r="A23" s="421">
        <f>B23-B22</f>
        <v>5.7600000000000016</v>
      </c>
      <c r="B23" s="432">
        <f>INT(B$17*C23*100)/100</f>
        <v>29.28</v>
      </c>
      <c r="C23" s="4">
        <v>1</v>
      </c>
      <c r="D23" s="414">
        <f>D$17*E23</f>
        <v>177</v>
      </c>
      <c r="E23" s="417">
        <v>1</v>
      </c>
      <c r="F23" s="209">
        <f>B23/D23</f>
        <v>0.16542372881355932</v>
      </c>
      <c r="G23" s="4">
        <f>F23-F22</f>
        <v>9.0927218344964977E-3</v>
      </c>
      <c r="O23" s="214"/>
      <c r="Q23" s="214"/>
      <c r="S23" s="214"/>
      <c r="U23" s="214"/>
    </row>
    <row r="24" spans="1:21" s="202" customFormat="1" ht="14.25" thickBot="1">
      <c r="A24" s="423">
        <f>B24-B23</f>
        <v>8.7800000000000011</v>
      </c>
      <c r="B24" s="424">
        <f>INT(B$17*C24*100)/100</f>
        <v>38.06</v>
      </c>
      <c r="C24" s="4">
        <f>1.3*E12</f>
        <v>1.3</v>
      </c>
      <c r="D24" s="418">
        <f>D$17*E24</f>
        <v>203.54999999999998</v>
      </c>
      <c r="E24" s="419">
        <f>1.15*E17</f>
        <v>1.1499999999999999</v>
      </c>
      <c r="F24" s="209"/>
      <c r="G24" s="208"/>
      <c r="O24" s="214"/>
      <c r="Q24" s="214"/>
      <c r="S24" s="214"/>
      <c r="U24" s="214"/>
    </row>
    <row r="25" spans="1:21" s="202" customFormat="1">
      <c r="A25" s="4"/>
      <c r="B25" s="4"/>
      <c r="C25" s="4"/>
      <c r="D25" s="4"/>
      <c r="E25" s="4"/>
      <c r="F25" s="209">
        <f>B24/D24</f>
        <v>0.18698108572832231</v>
      </c>
      <c r="G25" s="208"/>
      <c r="O25" s="214"/>
      <c r="Q25" s="214"/>
      <c r="S25" s="214"/>
      <c r="U25" s="214"/>
    </row>
    <row r="26" spans="1:21" s="202" customFormat="1">
      <c r="A26" s="480" t="s">
        <v>14</v>
      </c>
      <c r="B26" s="480"/>
      <c r="C26" s="215">
        <f>INT(M51*1)</f>
        <v>160</v>
      </c>
      <c r="D26" s="4"/>
      <c r="E26" s="4"/>
      <c r="F26" s="216">
        <f>M50/M51</f>
        <v>0.20562500000000003</v>
      </c>
      <c r="G26" s="4"/>
      <c r="O26" s="214"/>
      <c r="Q26" s="214"/>
      <c r="S26" s="214"/>
      <c r="U26" s="214"/>
    </row>
    <row r="27" spans="1:21" s="202" customFormat="1">
      <c r="A27" s="480" t="s">
        <v>15</v>
      </c>
      <c r="B27" s="480"/>
      <c r="C27" s="217">
        <f>SafeYield!B7</f>
        <v>160.39709154225162</v>
      </c>
      <c r="D27" s="208">
        <f>(C27/D6)*100</f>
        <v>90.619825730085651</v>
      </c>
      <c r="E27" s="4"/>
      <c r="F27" s="4"/>
      <c r="G27" s="4"/>
      <c r="O27" s="214"/>
      <c r="Q27" s="214"/>
      <c r="S27" s="214"/>
      <c r="U27" s="214"/>
    </row>
    <row r="28" spans="1:21" s="202" customFormat="1">
      <c r="A28" s="4"/>
      <c r="B28" s="4"/>
      <c r="C28" s="4"/>
      <c r="D28" s="4"/>
      <c r="E28" s="4"/>
      <c r="F28" s="4"/>
      <c r="G28" s="4"/>
      <c r="O28" s="214"/>
      <c r="Q28" s="214"/>
      <c r="S28" s="214"/>
      <c r="U28" s="214"/>
    </row>
    <row r="29" spans="1:21" s="202" customFormat="1" ht="13.5" customHeight="1">
      <c r="A29" s="4"/>
      <c r="B29" s="4"/>
      <c r="C29" s="4"/>
      <c r="D29" s="4"/>
      <c r="E29" s="4"/>
      <c r="F29" s="4"/>
      <c r="G29" s="4"/>
      <c r="O29" s="214"/>
      <c r="Q29" s="214"/>
      <c r="S29" s="214"/>
      <c r="U29" s="214"/>
    </row>
    <row r="30" spans="1:21" s="202" customFormat="1" ht="13.5" customHeight="1">
      <c r="A30" s="425" t="s">
        <v>16</v>
      </c>
      <c r="B30" s="425" t="s">
        <v>17</v>
      </c>
      <c r="C30" s="4"/>
      <c r="D30" s="4"/>
      <c r="E30" s="218">
        <f>ROUNDUP(F32,-1)</f>
        <v>90</v>
      </c>
      <c r="F30" s="218">
        <f>ROUNDDOWN(F35,-1)</f>
        <v>60</v>
      </c>
      <c r="G30" s="4"/>
      <c r="O30" s="214"/>
      <c r="Q30" s="214"/>
      <c r="S30" s="214"/>
      <c r="U30" s="214"/>
    </row>
    <row r="31" spans="1:21" s="202" customFormat="1" ht="13.5" customHeight="1">
      <c r="A31" s="251">
        <v>2.8959999999999999E-4</v>
      </c>
      <c r="B31" s="251">
        <v>0.1136127</v>
      </c>
      <c r="C31" s="4"/>
      <c r="D31" s="206">
        <f t="shared" ref="D31:D36" si="4">D19</f>
        <v>87</v>
      </c>
      <c r="E31" s="4"/>
      <c r="F31" s="218"/>
      <c r="G31" s="218"/>
      <c r="O31" s="214"/>
      <c r="Q31" s="214"/>
      <c r="S31" s="214"/>
      <c r="U31" s="214"/>
    </row>
    <row r="32" spans="1:21" s="202" customFormat="1" ht="13.5" customHeight="1">
      <c r="A32" s="4">
        <f t="shared" ref="A32:B34" si="5">A31</f>
        <v>2.8959999999999999E-4</v>
      </c>
      <c r="B32" s="4">
        <f t="shared" si="5"/>
        <v>0.1136127</v>
      </c>
      <c r="C32" s="4"/>
      <c r="D32" s="206">
        <f t="shared" si="4"/>
        <v>97</v>
      </c>
      <c r="E32" s="4"/>
      <c r="F32" s="218">
        <f>B32*D32/(B32*D32+A32*D32*D32)*100</f>
        <v>80.176127827109909</v>
      </c>
      <c r="G32" s="218"/>
      <c r="O32" s="214"/>
      <c r="Q32" s="214"/>
      <c r="S32" s="214"/>
      <c r="U32" s="214"/>
    </row>
    <row r="33" spans="1:21" s="202" customFormat="1" ht="13.5" customHeight="1">
      <c r="A33" s="4">
        <f t="shared" si="5"/>
        <v>2.8959999999999999E-4</v>
      </c>
      <c r="B33" s="4">
        <f t="shared" si="5"/>
        <v>0.1136127</v>
      </c>
      <c r="C33" s="4"/>
      <c r="D33" s="206">
        <f t="shared" si="4"/>
        <v>123</v>
      </c>
      <c r="E33" s="4"/>
      <c r="F33" s="218">
        <f>B33*D33/(B33*D33+A33*D33*D33)*100</f>
        <v>76.130828533807758</v>
      </c>
      <c r="G33" s="218"/>
      <c r="N33" s="213"/>
      <c r="O33" s="219"/>
      <c r="P33" s="220"/>
      <c r="Q33" s="219"/>
      <c r="R33" s="220"/>
      <c r="S33" s="219"/>
      <c r="T33" s="220"/>
      <c r="U33" s="219"/>
    </row>
    <row r="34" spans="1:21" s="202" customFormat="1" ht="13.5" customHeight="1">
      <c r="A34" s="4">
        <f t="shared" si="5"/>
        <v>2.8959999999999999E-4</v>
      </c>
      <c r="B34" s="4">
        <f t="shared" si="5"/>
        <v>0.1136127</v>
      </c>
      <c r="C34" s="4"/>
      <c r="D34" s="206">
        <f t="shared" si="4"/>
        <v>150.44999999999999</v>
      </c>
      <c r="E34" s="4"/>
      <c r="F34" s="218">
        <f>B34*D34/(B34*D34+A34*D34*D34)*100</f>
        <v>72.280517323054355</v>
      </c>
      <c r="G34" s="218"/>
      <c r="N34" s="213"/>
      <c r="O34" s="219"/>
      <c r="P34" s="221"/>
      <c r="Q34" s="219"/>
      <c r="R34" s="221"/>
      <c r="S34" s="219"/>
      <c r="T34" s="221"/>
      <c r="U34" s="219"/>
    </row>
    <row r="35" spans="1:21" s="202" customFormat="1" ht="13.5" customHeight="1">
      <c r="A35" s="4">
        <f>A34</f>
        <v>2.8959999999999999E-4</v>
      </c>
      <c r="B35" s="4">
        <f>B34</f>
        <v>0.1136127</v>
      </c>
      <c r="C35" s="4"/>
      <c r="D35" s="206">
        <f t="shared" si="4"/>
        <v>177</v>
      </c>
      <c r="E35" s="4"/>
      <c r="F35" s="218">
        <f>B35*D35/(B35*D35+A35*D35*D35)*100</f>
        <v>68.909680788539461</v>
      </c>
      <c r="G35" s="218"/>
      <c r="N35" s="213"/>
    </row>
    <row r="36" spans="1:21" s="202" customFormat="1" ht="13.5" customHeight="1">
      <c r="A36" s="4"/>
      <c r="B36" s="4"/>
      <c r="C36" s="4"/>
      <c r="D36" s="206">
        <f t="shared" si="4"/>
        <v>203.54999999999998</v>
      </c>
      <c r="E36" s="4"/>
      <c r="F36" s="218"/>
      <c r="G36" s="218"/>
      <c r="N36" s="213"/>
    </row>
    <row r="37" spans="1:21" s="202" customFormat="1" ht="13.5" customHeight="1">
      <c r="A37" s="425" t="s">
        <v>18</v>
      </c>
      <c r="B37" s="425" t="s">
        <v>19</v>
      </c>
      <c r="C37" s="425" t="s">
        <v>20</v>
      </c>
      <c r="D37" s="4" t="s">
        <v>21</v>
      </c>
      <c r="E37" s="4" t="s">
        <v>21</v>
      </c>
      <c r="F37" s="218">
        <f>AVERAGE(F32:F35)</f>
        <v>74.374288618127864</v>
      </c>
      <c r="G37" s="4"/>
      <c r="P37" s="243">
        <v>2.8959999999999999E-4</v>
      </c>
      <c r="Q37" s="243">
        <v>0.14099999999999999</v>
      </c>
    </row>
    <row r="38" spans="1:21" s="202" customFormat="1" ht="13.5" customHeight="1">
      <c r="A38" s="252">
        <v>71.076999999999998</v>
      </c>
      <c r="B38" s="251">
        <v>0.14099999999999999</v>
      </c>
      <c r="C38" s="251">
        <v>93.637</v>
      </c>
      <c r="D38" s="4"/>
      <c r="E38" s="4" t="s">
        <v>21</v>
      </c>
      <c r="F38" s="4"/>
      <c r="G38" s="4"/>
      <c r="P38" s="243">
        <v>0.1136127</v>
      </c>
      <c r="Q38" s="243">
        <v>93.637</v>
      </c>
    </row>
    <row r="39" spans="1:21" s="202" customFormat="1" ht="13.5" customHeight="1">
      <c r="A39" s="203"/>
      <c r="B39" s="4" t="s">
        <v>22</v>
      </c>
      <c r="C39" s="208">
        <f>(C38-A38)/B38</f>
        <v>160.00000000000003</v>
      </c>
      <c r="D39" s="4">
        <f>C38-B38*M51</f>
        <v>71.076999999999998</v>
      </c>
      <c r="E39" s="4"/>
      <c r="F39" s="4"/>
      <c r="G39" s="4"/>
    </row>
    <row r="40" spans="1:21" s="202" customFormat="1" ht="13.5" customHeight="1">
      <c r="A40" s="203" t="s">
        <v>23</v>
      </c>
      <c r="B40" s="4" t="s">
        <v>22</v>
      </c>
      <c r="C40" s="411">
        <f>INT(C39)</f>
        <v>160</v>
      </c>
      <c r="D40" s="4"/>
      <c r="E40" s="4"/>
      <c r="F40" s="4"/>
      <c r="G40" s="4"/>
    </row>
    <row r="41" spans="1:21" s="202" customFormat="1" ht="13.5" customHeight="1" thickBot="1">
      <c r="A41" s="4"/>
      <c r="B41" s="4"/>
      <c r="C41" s="4"/>
      <c r="D41" s="4"/>
      <c r="E41" s="4"/>
      <c r="F41" s="4"/>
      <c r="G41" s="4"/>
    </row>
    <row r="42" spans="1:21" s="202" customFormat="1" ht="17.25" customHeight="1" thickBot="1">
      <c r="A42" s="434" t="s">
        <v>24</v>
      </c>
      <c r="B42" s="435"/>
      <c r="C42" s="4"/>
      <c r="D42" s="4"/>
      <c r="E42" s="4"/>
      <c r="F42" s="4"/>
      <c r="G42" s="4"/>
    </row>
    <row r="43" spans="1:21" s="202" customFormat="1" ht="21" customHeight="1" thickBot="1">
      <c r="A43" s="436" t="s">
        <v>25</v>
      </c>
      <c r="B43" s="437">
        <f>INT(SQRT((2.25*A44*A47)/(A45*10^(5.46*A44*A46)))*1000)/1000</f>
        <v>1.716</v>
      </c>
      <c r="C43" s="410" t="s">
        <v>26</v>
      </c>
      <c r="D43" s="4"/>
      <c r="E43" s="4"/>
      <c r="F43" s="4"/>
      <c r="G43" s="4"/>
      <c r="Q43" s="257" t="s">
        <v>27</v>
      </c>
      <c r="R43" s="258" t="s">
        <v>0</v>
      </c>
      <c r="S43" s="258" t="s">
        <v>1</v>
      </c>
      <c r="T43" s="258" t="s">
        <v>3</v>
      </c>
      <c r="U43" s="259" t="s">
        <v>2</v>
      </c>
    </row>
    <row r="44" spans="1:21" s="202" customFormat="1" ht="16.5">
      <c r="A44" s="438">
        <f>B58</f>
        <v>4.4359999999999999</v>
      </c>
      <c r="B44" s="439" t="s">
        <v>28</v>
      </c>
      <c r="C44" s="373"/>
      <c r="D44" s="373"/>
      <c r="E44" s="4"/>
      <c r="F44" s="4"/>
      <c r="G44" s="4"/>
      <c r="H44" s="445" t="s">
        <v>29</v>
      </c>
      <c r="I44" s="481" t="s">
        <v>255</v>
      </c>
      <c r="J44" s="482"/>
      <c r="K44" s="483"/>
      <c r="L44" s="446" t="s">
        <v>30</v>
      </c>
      <c r="M44" s="447">
        <v>250</v>
      </c>
      <c r="N44" s="458" t="s">
        <v>31</v>
      </c>
      <c r="Q44" s="377">
        <v>100</v>
      </c>
      <c r="R44" s="223">
        <v>24.07</v>
      </c>
      <c r="S44" s="223">
        <v>13.77</v>
      </c>
      <c r="T44" s="224">
        <v>7.2990000000000004</v>
      </c>
      <c r="U44" s="260">
        <v>0.13700000000000001</v>
      </c>
    </row>
    <row r="45" spans="1:21" s="202" customFormat="1" ht="17.25" thickBot="1">
      <c r="A45" s="440">
        <v>5.0000000000000001E-4</v>
      </c>
      <c r="B45" s="441" t="s">
        <v>32</v>
      </c>
      <c r="C45" s="373"/>
      <c r="D45" s="373"/>
      <c r="E45" s="4"/>
      <c r="F45" s="4"/>
      <c r="G45" s="4"/>
      <c r="H45" s="448" t="s">
        <v>33</v>
      </c>
      <c r="I45" s="490" t="s">
        <v>256</v>
      </c>
      <c r="J45" s="491"/>
      <c r="K45" s="492"/>
      <c r="L45" s="247" t="s">
        <v>34</v>
      </c>
      <c r="M45" s="449">
        <v>100</v>
      </c>
      <c r="N45" s="459">
        <f>M44</f>
        <v>250</v>
      </c>
      <c r="Q45" s="377">
        <v>128</v>
      </c>
      <c r="R45" s="223">
        <v>28.66</v>
      </c>
      <c r="S45" s="223">
        <v>18.36</v>
      </c>
      <c r="T45" s="224">
        <v>6.9930000000000003</v>
      </c>
      <c r="U45" s="260">
        <v>0.14299999999999999</v>
      </c>
    </row>
    <row r="46" spans="1:21" s="202" customFormat="1" ht="16.5">
      <c r="A46" s="442">
        <f>B34</f>
        <v>0.1136127</v>
      </c>
      <c r="B46" s="441" t="s">
        <v>35</v>
      </c>
      <c r="C46" s="484" t="s">
        <v>36</v>
      </c>
      <c r="D46" s="484"/>
      <c r="E46" s="4"/>
      <c r="F46" s="4"/>
      <c r="G46" s="4"/>
      <c r="H46" s="448" t="s">
        <v>37</v>
      </c>
      <c r="I46" s="496" t="s">
        <v>254</v>
      </c>
      <c r="J46" s="497"/>
      <c r="K46" s="498"/>
      <c r="L46" s="247" t="s">
        <v>38</v>
      </c>
      <c r="M46" s="450">
        <f>IF(I52&gt;M48, M45-I52,M45-M48)</f>
        <v>75</v>
      </c>
      <c r="N46" s="12"/>
      <c r="Q46" s="377">
        <v>156</v>
      </c>
      <c r="R46" s="223">
        <v>33.82</v>
      </c>
      <c r="S46" s="223">
        <v>23.52</v>
      </c>
      <c r="T46" s="224">
        <v>6.6230000000000002</v>
      </c>
      <c r="U46" s="260">
        <v>0.151</v>
      </c>
    </row>
    <row r="47" spans="1:21" s="202" customFormat="1" ht="17.25" thickBot="1">
      <c r="A47" s="443">
        <f>120/1440</f>
        <v>8.3333333333333329E-2</v>
      </c>
      <c r="B47" s="444" t="s">
        <v>39</v>
      </c>
      <c r="C47" s="484" t="s">
        <v>40</v>
      </c>
      <c r="D47" s="484"/>
      <c r="E47" s="4"/>
      <c r="F47" s="4"/>
      <c r="G47" s="4"/>
      <c r="H47" s="448" t="s">
        <v>41</v>
      </c>
      <c r="I47" s="493" t="s">
        <v>219</v>
      </c>
      <c r="J47" s="494"/>
      <c r="K47" s="495"/>
      <c r="L47" s="247" t="s">
        <v>42</v>
      </c>
      <c r="M47" s="451">
        <f>INT((M51*100)/M53)</f>
        <v>177</v>
      </c>
      <c r="N47" s="12"/>
      <c r="Q47" s="377">
        <v>183</v>
      </c>
      <c r="R47" s="223">
        <v>39.58</v>
      </c>
      <c r="S47" s="223">
        <v>29.28</v>
      </c>
      <c r="T47" s="224">
        <v>6.25</v>
      </c>
      <c r="U47" s="260">
        <v>0.16</v>
      </c>
    </row>
    <row r="48" spans="1:21" s="202" customFormat="1" ht="17.25" thickBot="1">
      <c r="A48" s="4"/>
      <c r="B48" s="373"/>
      <c r="C48" s="373"/>
      <c r="D48" s="373"/>
      <c r="E48" s="4"/>
      <c r="F48" s="4"/>
      <c r="G48" s="4"/>
      <c r="H48" s="448" t="s">
        <v>43</v>
      </c>
      <c r="I48" s="256">
        <v>5</v>
      </c>
      <c r="J48" s="485" t="s">
        <v>220</v>
      </c>
      <c r="K48" s="485"/>
      <c r="L48" s="247" t="s">
        <v>44</v>
      </c>
      <c r="M48" s="452">
        <v>10.3</v>
      </c>
      <c r="N48" s="12"/>
      <c r="Q48" s="378">
        <v>210</v>
      </c>
      <c r="R48" s="261">
        <v>48.36</v>
      </c>
      <c r="S48" s="261">
        <v>38.06</v>
      </c>
      <c r="T48" s="262">
        <v>5.556</v>
      </c>
      <c r="U48" s="263">
        <v>0.18</v>
      </c>
    </row>
    <row r="49" spans="1:24" s="202" customFormat="1" ht="16.5">
      <c r="A49" s="4" t="s">
        <v>45</v>
      </c>
      <c r="B49" s="374">
        <f>INT(SQRT(B54)*1000)/1000</f>
        <v>1.7190000000000001</v>
      </c>
      <c r="C49" s="372" t="s">
        <v>46</v>
      </c>
      <c r="D49" s="375" t="s">
        <v>21</v>
      </c>
      <c r="E49" s="4"/>
      <c r="F49" s="4"/>
      <c r="G49" s="4"/>
      <c r="H49" s="448" t="s">
        <v>47</v>
      </c>
      <c r="I49" s="486" t="str">
        <f>I45</f>
        <v>오포지구</v>
      </c>
      <c r="J49" s="486"/>
      <c r="K49" s="486"/>
      <c r="L49" s="247" t="s">
        <v>48</v>
      </c>
      <c r="M49" s="452">
        <v>43.2</v>
      </c>
      <c r="N49" s="12"/>
    </row>
    <row r="50" spans="1:24" s="202" customFormat="1" ht="16.5">
      <c r="A50" s="4" t="s">
        <v>49</v>
      </c>
      <c r="B50" s="372">
        <f>INT(2.25*A44*A47*1000)/1000</f>
        <v>0.83099999999999996</v>
      </c>
      <c r="C50" s="372">
        <f>B50</f>
        <v>0.83099999999999996</v>
      </c>
      <c r="D50" s="373"/>
      <c r="E50" s="4"/>
      <c r="F50" s="4"/>
      <c r="G50" s="4"/>
      <c r="H50" s="448"/>
      <c r="I50" s="486"/>
      <c r="J50" s="486"/>
      <c r="K50" s="486"/>
      <c r="L50" s="247" t="s">
        <v>50</v>
      </c>
      <c r="M50" s="453">
        <f>M49-M48</f>
        <v>32.900000000000006</v>
      </c>
      <c r="N50" s="12"/>
    </row>
    <row r="51" spans="1:24" s="202" customFormat="1" ht="16.5">
      <c r="A51" s="4" t="s">
        <v>51</v>
      </c>
      <c r="B51" s="372">
        <f>A45</f>
        <v>5.0000000000000001E-4</v>
      </c>
      <c r="C51" s="372" t="s">
        <v>35</v>
      </c>
      <c r="D51" s="376" t="s">
        <v>21</v>
      </c>
      <c r="E51" s="4"/>
      <c r="F51" s="4"/>
      <c r="G51" s="4"/>
      <c r="H51" s="448"/>
      <c r="I51" s="487" t="s">
        <v>52</v>
      </c>
      <c r="J51" s="488"/>
      <c r="K51" s="489"/>
      <c r="L51" s="204" t="s">
        <v>53</v>
      </c>
      <c r="M51" s="454">
        <v>160</v>
      </c>
      <c r="N51" s="12"/>
      <c r="O51" s="202">
        <f>M51</f>
        <v>160</v>
      </c>
      <c r="P51" s="201">
        <f>ROUND((O51/O52)*100,1)</f>
        <v>177.8</v>
      </c>
    </row>
    <row r="52" spans="1:24" s="202" customFormat="1" ht="16.5">
      <c r="A52" s="203" t="s">
        <v>54</v>
      </c>
      <c r="B52" s="372">
        <f>INT(10^((INT(5.46*A44*A46*1000))/1000)*1000)/1000</f>
        <v>563.63699999999994</v>
      </c>
      <c r="C52" s="372">
        <f>INT(B52*B51*1000)/1000</f>
        <v>0.28100000000000003</v>
      </c>
      <c r="D52" s="373"/>
      <c r="E52" s="4"/>
      <c r="F52" s="4"/>
      <c r="G52" s="4"/>
      <c r="H52" s="455" t="s">
        <v>55</v>
      </c>
      <c r="I52" s="256">
        <v>25</v>
      </c>
      <c r="J52" s="245" t="s">
        <v>56</v>
      </c>
      <c r="K52" s="205">
        <v>0</v>
      </c>
      <c r="L52" s="244" t="s">
        <v>57</v>
      </c>
      <c r="M52" s="450">
        <f>INT(M50*0.89*100)/100</f>
        <v>29.28</v>
      </c>
      <c r="N52" s="222"/>
      <c r="O52" s="202">
        <f>M53</f>
        <v>90</v>
      </c>
      <c r="P52" s="201"/>
    </row>
    <row r="53" spans="1:24" s="202" customFormat="1" ht="17.25" thickBot="1">
      <c r="A53" s="4"/>
      <c r="B53" s="4"/>
      <c r="C53" s="4"/>
      <c r="D53" s="4"/>
      <c r="E53" s="4"/>
      <c r="F53" s="4"/>
      <c r="G53" s="4"/>
      <c r="H53" s="456"/>
      <c r="I53" s="479" t="s">
        <v>245</v>
      </c>
      <c r="J53" s="479"/>
      <c r="K53" s="479"/>
      <c r="L53" s="479"/>
      <c r="M53" s="457">
        <v>90</v>
      </c>
      <c r="N53" s="12"/>
    </row>
    <row r="54" spans="1:24" ht="18.75" customHeight="1" thickBot="1">
      <c r="A54" s="7" t="s">
        <v>58</v>
      </c>
      <c r="B54" s="1">
        <f>INT(C50/C52*1000)/1000</f>
        <v>2.9569999999999999</v>
      </c>
      <c r="H54" s="460" t="s">
        <v>59</v>
      </c>
      <c r="I54" s="461" t="s">
        <v>60</v>
      </c>
      <c r="J54" s="201"/>
      <c r="K54" s="201"/>
      <c r="L54" s="201"/>
      <c r="M54" s="201"/>
      <c r="N54" s="201"/>
    </row>
    <row r="55" spans="1:24">
      <c r="A55" s="7"/>
      <c r="R55" s="264"/>
    </row>
    <row r="56" spans="1:24" ht="14.25" thickBot="1">
      <c r="A56" s="7"/>
    </row>
    <row r="57" spans="1:24" s="202" customFormat="1" ht="18" customHeight="1">
      <c r="A57" s="250"/>
      <c r="B57" s="357" t="s">
        <v>61</v>
      </c>
      <c r="C57" s="357" t="s">
        <v>62</v>
      </c>
      <c r="D57" s="468" t="s">
        <v>63</v>
      </c>
      <c r="E57" s="469"/>
      <c r="F57" s="468" t="s">
        <v>62</v>
      </c>
      <c r="G57" s="469"/>
      <c r="H57" s="357" t="s">
        <v>64</v>
      </c>
      <c r="I57" s="358">
        <f>M50</f>
        <v>32.900000000000006</v>
      </c>
      <c r="J57" s="357" t="s">
        <v>65</v>
      </c>
      <c r="K57" s="357" t="s">
        <v>66</v>
      </c>
      <c r="L57" s="468" t="s">
        <v>67</v>
      </c>
      <c r="M57" s="470"/>
    </row>
    <row r="58" spans="1:24" s="202" customFormat="1" ht="18" customHeight="1">
      <c r="A58" s="248" t="s">
        <v>68</v>
      </c>
      <c r="B58" s="405">
        <v>4.4359999999999999</v>
      </c>
      <c r="C58" s="245"/>
      <c r="D58" s="462">
        <v>0.22439999999999999</v>
      </c>
      <c r="E58" s="463"/>
      <c r="F58" s="462"/>
      <c r="G58" s="463"/>
      <c r="H58" s="245" t="s">
        <v>69</v>
      </c>
      <c r="I58" s="360">
        <f>C62/M46</f>
        <v>8.6293333333333333E-2</v>
      </c>
      <c r="J58" s="245" t="s">
        <v>70</v>
      </c>
      <c r="K58" s="361">
        <f>INT((6*I57*I58*I60/I59)^0.5)</f>
        <v>99</v>
      </c>
      <c r="L58" s="245" t="s">
        <v>71</v>
      </c>
      <c r="M58" s="362" t="s">
        <v>72</v>
      </c>
    </row>
    <row r="59" spans="1:24" s="202" customFormat="1" ht="18" customHeight="1">
      <c r="A59" s="248" t="s">
        <v>73</v>
      </c>
      <c r="B59" s="359">
        <v>3.0184000000000002</v>
      </c>
      <c r="C59" s="471">
        <f>B59</f>
        <v>3.0184000000000002</v>
      </c>
      <c r="D59" s="473">
        <v>8.5459999999999996E-4</v>
      </c>
      <c r="E59" s="474"/>
      <c r="F59" s="475">
        <f>INT((D59+D60)/1*10000000)/10000000</f>
        <v>8.5459999999999996E-4</v>
      </c>
      <c r="G59" s="476"/>
      <c r="H59" s="245" t="s">
        <v>32</v>
      </c>
      <c r="I59" s="245">
        <f>F62</f>
        <v>8.5459999999999996E-4</v>
      </c>
      <c r="J59" s="245" t="s">
        <v>74</v>
      </c>
      <c r="K59" s="361">
        <f>INT(3*(I57*I58*I60/I59)^0.5)</f>
        <v>122</v>
      </c>
      <c r="L59" s="361"/>
      <c r="M59" s="363"/>
    </row>
    <row r="60" spans="1:24" s="202" customFormat="1" ht="18" customHeight="1">
      <c r="A60" s="248" t="s">
        <v>75</v>
      </c>
      <c r="B60" s="359"/>
      <c r="C60" s="472"/>
      <c r="D60" s="473"/>
      <c r="E60" s="474"/>
      <c r="F60" s="477"/>
      <c r="G60" s="478"/>
      <c r="H60" s="364">
        <f>LongTest!AE33</f>
        <v>720</v>
      </c>
      <c r="I60" s="360">
        <f>INT(H60/1440*10000)/10000</f>
        <v>0.5</v>
      </c>
      <c r="J60" s="245" t="s">
        <v>76</v>
      </c>
      <c r="K60" s="361">
        <f>(2.25*I61*I60/I59)^0.5</f>
        <v>92.302629071383194</v>
      </c>
      <c r="L60" s="361"/>
      <c r="M60" s="363"/>
    </row>
    <row r="61" spans="1:24" s="202" customFormat="1" ht="18" customHeight="1">
      <c r="A61" s="248" t="s">
        <v>77</v>
      </c>
      <c r="B61" s="359">
        <v>9.9260000000000002</v>
      </c>
      <c r="C61" s="245">
        <f>B61</f>
        <v>9.9260000000000002</v>
      </c>
      <c r="D61" s="462"/>
      <c r="E61" s="463"/>
      <c r="F61" s="462"/>
      <c r="G61" s="463"/>
      <c r="H61" s="245" t="s">
        <v>28</v>
      </c>
      <c r="I61" s="245">
        <f>C62</f>
        <v>6.4720000000000004</v>
      </c>
      <c r="J61" s="245" t="s">
        <v>78</v>
      </c>
      <c r="K61" s="361">
        <f>((K58+K59+K60)/3)</f>
        <v>104.43420969046106</v>
      </c>
      <c r="L61" s="361"/>
      <c r="M61" s="363"/>
    </row>
    <row r="62" spans="1:24" s="202" customFormat="1" ht="18" customHeight="1" thickBot="1">
      <c r="A62" s="249" t="s">
        <v>62</v>
      </c>
      <c r="B62" s="365"/>
      <c r="C62" s="366">
        <f>INT((C58+C59+C61)*1000/2)/1000</f>
        <v>6.4720000000000004</v>
      </c>
      <c r="D62" s="464"/>
      <c r="E62" s="465"/>
      <c r="F62" s="466">
        <f>F59</f>
        <v>8.5459999999999996E-4</v>
      </c>
      <c r="G62" s="467"/>
      <c r="H62" s="367" t="s">
        <v>79</v>
      </c>
      <c r="I62" s="368">
        <v>70.33</v>
      </c>
      <c r="J62" s="367" t="s">
        <v>80</v>
      </c>
      <c r="K62" s="369">
        <f>MAX(K58:K60)</f>
        <v>122</v>
      </c>
      <c r="L62" s="370"/>
      <c r="M62" s="371"/>
    </row>
    <row r="63" spans="1:24" s="202" customFormat="1" ht="18" customHeight="1" thickBot="1">
      <c r="A63" s="4"/>
      <c r="B63" s="4"/>
      <c r="C63" s="4"/>
      <c r="D63" s="4"/>
      <c r="E63" s="4"/>
      <c r="F63" s="4"/>
      <c r="G63" s="4"/>
    </row>
    <row r="64" spans="1:24" s="133" customFormat="1" ht="97.5" customHeight="1" thickBot="1">
      <c r="A64" s="134"/>
      <c r="B64" s="134"/>
      <c r="C64" s="134"/>
      <c r="D64" s="134"/>
      <c r="E64" s="134"/>
      <c r="F64" s="134"/>
      <c r="G64" s="134"/>
      <c r="Q64" s="253" t="s">
        <v>257</v>
      </c>
      <c r="R64" s="254" t="s">
        <v>258</v>
      </c>
      <c r="S64" s="254" t="s">
        <v>259</v>
      </c>
      <c r="T64" s="254" t="s">
        <v>260</v>
      </c>
      <c r="U64" s="254" t="s">
        <v>261</v>
      </c>
      <c r="V64" s="254" t="s">
        <v>221</v>
      </c>
      <c r="W64" s="254" t="s">
        <v>222</v>
      </c>
      <c r="X64" s="255" t="s">
        <v>223</v>
      </c>
    </row>
    <row r="69" spans="17:17">
      <c r="Q69" s="8"/>
    </row>
    <row r="70" spans="17:17">
      <c r="Q70" s="8"/>
    </row>
    <row r="71" spans="17:17">
      <c r="Q71" s="8"/>
    </row>
    <row r="72" spans="17:17">
      <c r="Q72" s="8"/>
    </row>
    <row r="73" spans="17:17">
      <c r="Q73" s="8"/>
    </row>
    <row r="80" spans="17:17" ht="27.75" customHeight="1"/>
  </sheetData>
  <mergeCells count="36">
    <mergeCell ref="F14:G14"/>
    <mergeCell ref="F15:G15"/>
    <mergeCell ref="F16:G16"/>
    <mergeCell ref="F17:G17"/>
    <mergeCell ref="E13:G13"/>
    <mergeCell ref="E8:G8"/>
    <mergeCell ref="F9:G9"/>
    <mergeCell ref="F10:G10"/>
    <mergeCell ref="F11:G11"/>
    <mergeCell ref="F12:G12"/>
    <mergeCell ref="I53:L53"/>
    <mergeCell ref="A26:B26"/>
    <mergeCell ref="A27:B27"/>
    <mergeCell ref="I44:K44"/>
    <mergeCell ref="C46:D46"/>
    <mergeCell ref="C47:D47"/>
    <mergeCell ref="J48:K48"/>
    <mergeCell ref="I49:K49"/>
    <mergeCell ref="I50:K50"/>
    <mergeCell ref="I51:K51"/>
    <mergeCell ref="I45:K45"/>
    <mergeCell ref="I47:K47"/>
    <mergeCell ref="I46:K46"/>
    <mergeCell ref="L57:M57"/>
    <mergeCell ref="D58:E58"/>
    <mergeCell ref="F58:G58"/>
    <mergeCell ref="C59:C60"/>
    <mergeCell ref="D59:E59"/>
    <mergeCell ref="F59:G60"/>
    <mergeCell ref="D60:E60"/>
    <mergeCell ref="D61:E61"/>
    <mergeCell ref="F61:G61"/>
    <mergeCell ref="D62:E62"/>
    <mergeCell ref="F62:G62"/>
    <mergeCell ref="D57:E57"/>
    <mergeCell ref="F57:G57"/>
  </mergeCells>
  <phoneticPr fontId="8" type="noConversion"/>
  <dataValidations disablePrompts="1" count="4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>
              <from>
                <xdr:col>13</xdr:col>
                <xdr:colOff>161925</xdr:colOff>
                <xdr:row>36</xdr:row>
                <xdr:rowOff>47625</xdr:rowOff>
              </from>
              <to>
                <xdr:col>14</xdr:col>
                <xdr:colOff>704850</xdr:colOff>
                <xdr:row>38</xdr:row>
                <xdr:rowOff>47625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autoPict="0" r:id="rId7">
            <anchor moveWithCells="1">
              <from>
                <xdr:col>13</xdr:col>
                <xdr:colOff>152400</xdr:colOff>
                <xdr:row>17</xdr:row>
                <xdr:rowOff>142875</xdr:rowOff>
              </from>
              <to>
                <xdr:col>14</xdr:col>
                <xdr:colOff>657225</xdr:colOff>
                <xdr:row>19</xdr:row>
                <xdr:rowOff>123825</xdr:rowOff>
              </to>
            </anchor>
          </controlPr>
        </control>
      </mc:Choice>
      <mc:Fallback>
        <control shapeId="1026" r:id="rId6" name="CommandButton2"/>
      </mc:Fallback>
    </mc:AlternateContent>
    <mc:AlternateContent xmlns:mc="http://schemas.openxmlformats.org/markup-compatibility/2006">
      <mc:Choice Requires="x14">
        <control shapeId="1027" r:id="rId8" name="CommandButton3">
          <controlPr defaultSize="0" autoLine="0" autoPict="0" r:id="rId9">
            <anchor moveWithCells="1">
              <from>
                <xdr:col>13</xdr:col>
                <xdr:colOff>152400</xdr:colOff>
                <xdr:row>20</xdr:row>
                <xdr:rowOff>28575</xdr:rowOff>
              </from>
              <to>
                <xdr:col>14</xdr:col>
                <xdr:colOff>657225</xdr:colOff>
                <xdr:row>21</xdr:row>
                <xdr:rowOff>161925</xdr:rowOff>
              </to>
            </anchor>
          </controlPr>
        </control>
      </mc:Choice>
      <mc:Fallback>
        <control shapeId="1027" r:id="rId8" name="CommandButton3"/>
      </mc:Fallback>
    </mc:AlternateContent>
    <mc:AlternateContent xmlns:mc="http://schemas.openxmlformats.org/markup-compatibility/2006">
      <mc:Choice Requires="x14">
        <control shapeId="1028" r:id="rId10" name="CommandButton4">
          <controlPr defaultSize="0" autoLine="0" autoPict="0" r:id="rId11">
            <anchor moveWithCells="1">
              <from>
                <xdr:col>13</xdr:col>
                <xdr:colOff>152400</xdr:colOff>
                <xdr:row>28</xdr:row>
                <xdr:rowOff>85725</xdr:rowOff>
              </from>
              <to>
                <xdr:col>14</xdr:col>
                <xdr:colOff>695325</xdr:colOff>
                <xdr:row>30</xdr:row>
                <xdr:rowOff>85725</xdr:rowOff>
              </to>
            </anchor>
          </controlPr>
        </control>
      </mc:Choice>
      <mc:Fallback>
        <control shapeId="1028" r:id="rId10" name="CommandButton4"/>
      </mc:Fallback>
    </mc:AlternateContent>
    <mc:AlternateContent xmlns:mc="http://schemas.openxmlformats.org/markup-compatibility/2006">
      <mc:Choice Requires="x14">
        <control shapeId="1029" r:id="rId12" name="CommandButton5">
          <controlPr defaultSize="0" autoLine="0" autoPict="0" r:id="rId13">
            <anchor moveWithCells="1">
              <from>
                <xdr:col>13</xdr:col>
                <xdr:colOff>152400</xdr:colOff>
                <xdr:row>30</xdr:row>
                <xdr:rowOff>152400</xdr:rowOff>
              </from>
              <to>
                <xdr:col>14</xdr:col>
                <xdr:colOff>695325</xdr:colOff>
                <xdr:row>32</xdr:row>
                <xdr:rowOff>152400</xdr:rowOff>
              </to>
            </anchor>
          </controlPr>
        </control>
      </mc:Choice>
      <mc:Fallback>
        <control shapeId="1029" r:id="rId12" name="CommandButton5"/>
      </mc:Fallback>
    </mc:AlternateContent>
    <mc:AlternateContent xmlns:mc="http://schemas.openxmlformats.org/markup-compatibility/2006">
      <mc:Choice Requires="x14">
        <control shapeId="1030" r:id="rId14" name="CommandButton6">
          <controlPr defaultSize="0" autoLine="0" autoPict="0" r:id="rId15">
            <anchor moveWithCells="1">
              <from>
                <xdr:col>13</xdr:col>
                <xdr:colOff>152400</xdr:colOff>
                <xdr:row>22</xdr:row>
                <xdr:rowOff>38100</xdr:rowOff>
              </from>
              <to>
                <xdr:col>14</xdr:col>
                <xdr:colOff>657225</xdr:colOff>
                <xdr:row>24</xdr:row>
                <xdr:rowOff>28575</xdr:rowOff>
              </to>
            </anchor>
          </controlPr>
        </control>
      </mc:Choice>
      <mc:Fallback>
        <control shapeId="1030" r:id="rId14" name="CommandButton6"/>
      </mc:Fallback>
    </mc:AlternateContent>
    <mc:AlternateContent xmlns:mc="http://schemas.openxmlformats.org/markup-compatibility/2006">
      <mc:Choice Requires="x14">
        <control shapeId="1031" r:id="rId16" name="CommandButton7">
          <controlPr defaultSize="0" autoLine="0" autoPict="0" r:id="rId17">
            <anchor moveWithCells="1">
              <from>
                <xdr:col>13</xdr:col>
                <xdr:colOff>152400</xdr:colOff>
                <xdr:row>33</xdr:row>
                <xdr:rowOff>38100</xdr:rowOff>
              </from>
              <to>
                <xdr:col>14</xdr:col>
                <xdr:colOff>695325</xdr:colOff>
                <xdr:row>35</xdr:row>
                <xdr:rowOff>38100</xdr:rowOff>
              </to>
            </anchor>
          </controlPr>
        </control>
      </mc:Choice>
      <mc:Fallback>
        <control shapeId="1031" r:id="rId16" name="CommandButton7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11BF61FA-2F92-436B-8B34-9B479F345CBE}">
          <x14:formula1>
            <xm:f>REF!$J$4:$J$14</xm:f>
          </x14:formula1>
          <xm:sqref>I47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B26" sqref="B26"/>
    </sheetView>
  </sheetViews>
  <sheetFormatPr defaultColWidth="9" defaultRowHeight="13.5"/>
  <cols>
    <col min="1" max="1" width="9" style="6"/>
    <col min="2" max="2" width="17.875" style="6" customWidth="1"/>
    <col min="3" max="3" width="16.375" style="6" customWidth="1"/>
    <col min="4" max="4" width="22.125" style="6" customWidth="1"/>
    <col min="5" max="5" width="14.375" style="6" customWidth="1"/>
    <col min="6" max="7" width="13.25" style="6" customWidth="1"/>
    <col min="8" max="8" width="18" style="38" customWidth="1"/>
    <col min="9" max="9" width="18.75" style="38" customWidth="1"/>
    <col min="10" max="10" width="13.875" style="6" customWidth="1"/>
    <col min="11" max="11" width="13.125" style="6" bestFit="1" customWidth="1"/>
    <col min="12" max="12" width="13.375" style="6" customWidth="1"/>
    <col min="13" max="13" width="11.625" style="6" customWidth="1"/>
    <col min="14" max="16384" width="9" style="6"/>
  </cols>
  <sheetData>
    <row r="1" spans="1:15" ht="22.7" customHeight="1">
      <c r="A1" s="15"/>
      <c r="B1" s="409" t="str">
        <f>Input!I45</f>
        <v>오포지구</v>
      </c>
      <c r="C1" s="15"/>
      <c r="D1" s="15"/>
      <c r="E1" s="15"/>
      <c r="F1" s="15"/>
      <c r="G1" s="15"/>
      <c r="H1" s="16"/>
      <c r="I1" s="16"/>
      <c r="J1" s="15"/>
      <c r="K1" s="15"/>
      <c r="L1" s="15"/>
      <c r="M1" s="15"/>
      <c r="N1" s="15"/>
      <c r="O1" s="15"/>
    </row>
    <row r="2" spans="1:15" ht="22.7" customHeight="1" thickBot="1">
      <c r="A2" s="15"/>
      <c r="B2" s="407" t="str">
        <f>Input!J48</f>
        <v>공  번 : W - 1</v>
      </c>
      <c r="C2" s="408" t="str">
        <f>Input!I46</f>
        <v>충청남도 보령시 오천면 오포리 409-1</v>
      </c>
      <c r="D2" s="15"/>
      <c r="E2" s="15"/>
      <c r="F2" s="15"/>
      <c r="G2" s="15"/>
      <c r="H2" s="16"/>
      <c r="I2" s="16"/>
      <c r="J2" s="15"/>
      <c r="K2" s="15"/>
      <c r="L2" s="15"/>
      <c r="M2" s="17"/>
      <c r="N2" s="17"/>
      <c r="O2" s="15"/>
    </row>
    <row r="3" spans="1:15" ht="22.7" customHeight="1">
      <c r="A3" s="15"/>
      <c r="B3" s="291" t="s">
        <v>117</v>
      </c>
      <c r="C3" s="292" t="s">
        <v>13</v>
      </c>
      <c r="D3" s="292" t="s">
        <v>28</v>
      </c>
      <c r="E3" s="292" t="s">
        <v>118</v>
      </c>
      <c r="F3" s="292" t="s">
        <v>32</v>
      </c>
      <c r="G3" s="292" t="s">
        <v>119</v>
      </c>
      <c r="H3" s="293" t="s">
        <v>35</v>
      </c>
      <c r="I3" s="280" t="s">
        <v>120</v>
      </c>
      <c r="J3" s="15"/>
      <c r="K3" s="15"/>
      <c r="L3" s="15"/>
      <c r="M3" s="15"/>
      <c r="N3" s="15"/>
      <c r="O3" s="15"/>
    </row>
    <row r="4" spans="1:15" ht="22.7" customHeight="1">
      <c r="A4" s="15"/>
      <c r="B4" s="294">
        <f>LongTest!G10</f>
        <v>2.2682757361067729</v>
      </c>
      <c r="C4" s="286">
        <f>LongTest!B10</f>
        <v>160</v>
      </c>
      <c r="D4" s="287">
        <v>4.4359999999999999</v>
      </c>
      <c r="E4" s="288">
        <f>Input!M44/2000</f>
        <v>0.125</v>
      </c>
      <c r="F4" s="18">
        <v>5.0000000000000001E-4</v>
      </c>
      <c r="G4" s="18">
        <f>PI()</f>
        <v>3.1415926535897931</v>
      </c>
      <c r="H4" s="125">
        <f>Input!$A$46</f>
        <v>0.1136127</v>
      </c>
      <c r="I4" s="281">
        <f>Input!M48</f>
        <v>10.3</v>
      </c>
      <c r="J4" s="15"/>
      <c r="K4" s="15"/>
      <c r="L4" s="15"/>
      <c r="M4" s="15"/>
      <c r="N4" s="15"/>
      <c r="O4" s="15"/>
    </row>
    <row r="5" spans="1:15" ht="22.7" customHeight="1" thickBot="1">
      <c r="A5" s="15"/>
      <c r="B5" s="282"/>
      <c r="C5" s="20"/>
      <c r="D5" s="283">
        <v>3.0184000000000002</v>
      </c>
      <c r="E5" s="284" t="s">
        <v>239</v>
      </c>
      <c r="F5" s="20"/>
      <c r="G5" s="20"/>
      <c r="H5" s="285"/>
      <c r="I5" s="289" t="s">
        <v>48</v>
      </c>
      <c r="J5" s="15"/>
      <c r="K5" s="15"/>
      <c r="L5" s="15"/>
      <c r="M5" s="15"/>
      <c r="N5" s="15"/>
      <c r="O5" s="15"/>
    </row>
    <row r="6" spans="1:15" ht="22.7" customHeight="1">
      <c r="A6" s="15"/>
      <c r="B6" s="229" t="s">
        <v>121</v>
      </c>
      <c r="C6" s="225">
        <f>(2*G4*B4*D5)/(C4)</f>
        <v>0.26886391921202807</v>
      </c>
      <c r="D6" s="226"/>
      <c r="E6" s="225">
        <f>1.15*LOG((2.25*D5*(1/1440))/(F4*E4^2))</f>
        <v>3.1979278060354579</v>
      </c>
      <c r="F6" s="227" t="s">
        <v>122</v>
      </c>
      <c r="G6" s="391">
        <f>C6-E6</f>
        <v>-2.92906388682343</v>
      </c>
      <c r="H6" s="34"/>
      <c r="I6" s="281">
        <f>Input!M49</f>
        <v>43.2</v>
      </c>
      <c r="J6" s="274">
        <f>MAX(C13,C18,C23)</f>
        <v>153.80000000000001</v>
      </c>
      <c r="K6" s="272" t="s">
        <v>216</v>
      </c>
      <c r="M6" s="19"/>
      <c r="N6" s="15"/>
      <c r="O6" s="15"/>
    </row>
    <row r="7" spans="1:15" ht="22.7" customHeight="1">
      <c r="A7" s="15"/>
      <c r="B7" s="230" t="s">
        <v>123</v>
      </c>
      <c r="C7" s="27">
        <f>2.25*D4*(120/1440)</f>
        <v>0.83174999999999999</v>
      </c>
      <c r="D7" s="26"/>
      <c r="E7" s="228" t="s">
        <v>124</v>
      </c>
      <c r="F7" s="27">
        <f>F4*10^(5.46*D4*H4)</f>
        <v>0.28231452396108753</v>
      </c>
      <c r="G7" s="228" t="s">
        <v>125</v>
      </c>
      <c r="H7" s="34">
        <f>F4*EXP(4*G4*D4*H4)</f>
        <v>0.28149843574844108</v>
      </c>
      <c r="I7" s="289" t="s">
        <v>126</v>
      </c>
      <c r="J7" s="275">
        <f>ROUND((C13+C18+C23)/3,1)</f>
        <v>131.80000000000001</v>
      </c>
      <c r="K7" s="273" t="s">
        <v>217</v>
      </c>
      <c r="L7" s="15"/>
      <c r="M7" s="19"/>
      <c r="N7" s="15"/>
      <c r="O7" s="15"/>
    </row>
    <row r="8" spans="1:15" ht="22.7" customHeight="1" thickBot="1">
      <c r="A8" s="15"/>
      <c r="B8" s="231" t="s">
        <v>127</v>
      </c>
      <c r="C8" s="390">
        <f>ROUND(E4*EXP(-1*G6),3)</f>
        <v>2.339</v>
      </c>
      <c r="D8" s="232"/>
      <c r="E8" s="232"/>
      <c r="F8" s="233"/>
      <c r="G8" s="232"/>
      <c r="H8" s="234"/>
      <c r="I8" s="290">
        <f>Input!M45</f>
        <v>100</v>
      </c>
      <c r="J8" s="270" t="s">
        <v>242</v>
      </c>
      <c r="K8" s="276">
        <f>ROUND(SQRT(C7/F7),4)</f>
        <v>1.7163999999999999</v>
      </c>
      <c r="L8" s="15"/>
      <c r="M8" s="15"/>
      <c r="N8" s="21"/>
      <c r="O8" s="15"/>
    </row>
    <row r="9" spans="1:15" ht="22.7" customHeight="1" thickBot="1">
      <c r="A9" s="15"/>
      <c r="B9" s="15"/>
      <c r="C9" s="15"/>
      <c r="D9" s="15"/>
      <c r="E9" s="15"/>
      <c r="F9" s="15"/>
      <c r="G9" s="15"/>
      <c r="H9" s="16"/>
      <c r="I9" s="279" t="s">
        <v>128</v>
      </c>
      <c r="J9" s="270" t="s">
        <v>243</v>
      </c>
      <c r="K9" s="277">
        <f>ROUND(SQRT(C7/H7),4)</f>
        <v>1.7189000000000001</v>
      </c>
      <c r="L9" s="15"/>
      <c r="M9" s="15"/>
      <c r="N9" s="15"/>
      <c r="O9" s="15"/>
    </row>
    <row r="10" spans="1:15" ht="22.7" customHeight="1" thickBot="1">
      <c r="A10" s="15"/>
      <c r="B10" s="15" t="s">
        <v>129</v>
      </c>
      <c r="C10" s="22">
        <f>LongTest!F101</f>
        <v>12.170540416902476</v>
      </c>
      <c r="D10" s="23" t="s">
        <v>238</v>
      </c>
      <c r="E10" s="267">
        <v>0.3856</v>
      </c>
      <c r="H10" s="235" t="s">
        <v>215</v>
      </c>
      <c r="I10" s="241">
        <f>Input!I52</f>
        <v>25</v>
      </c>
      <c r="J10" s="271" t="s">
        <v>244</v>
      </c>
      <c r="K10" s="278">
        <f>ROUND(E4*SQRT(E10/F4),4)</f>
        <v>3.4712999999999998</v>
      </c>
      <c r="L10" s="15"/>
      <c r="M10" s="15"/>
      <c r="N10" s="15"/>
      <c r="O10" s="15"/>
    </row>
    <row r="11" spans="1:15" ht="22.7" customHeight="1">
      <c r="A11" s="15"/>
      <c r="B11" s="15" t="s">
        <v>130</v>
      </c>
      <c r="C11" s="22">
        <f>I6-C10</f>
        <v>31.029459583097527</v>
      </c>
      <c r="D11" s="15"/>
      <c r="E11" s="15"/>
      <c r="F11" s="15"/>
      <c r="G11" s="15"/>
      <c r="H11" s="16"/>
      <c r="J11" s="15"/>
      <c r="K11" s="15"/>
      <c r="L11" s="15"/>
      <c r="M11" s="15"/>
      <c r="N11" s="15"/>
      <c r="O11" s="15"/>
    </row>
    <row r="12" spans="1:15" ht="15" customHeight="1" thickBot="1">
      <c r="A12" s="15"/>
      <c r="B12" s="15"/>
      <c r="C12" s="15"/>
      <c r="D12" s="15"/>
      <c r="E12" s="15"/>
      <c r="F12" s="15"/>
      <c r="G12" s="15"/>
      <c r="H12" s="16"/>
      <c r="J12" s="15"/>
      <c r="K12" s="15"/>
      <c r="L12" s="15"/>
      <c r="M12" s="15"/>
      <c r="N12" s="15"/>
      <c r="O12" s="15"/>
    </row>
    <row r="13" spans="1:15" ht="22.7" customHeight="1" thickBot="1">
      <c r="A13" s="15"/>
      <c r="B13" s="296" t="s">
        <v>131</v>
      </c>
      <c r="C13" s="298">
        <f>ROUND(SQRT(6*B16*E16*H16/I16),1)</f>
        <v>125.6</v>
      </c>
      <c r="D13" s="24"/>
      <c r="E13" s="393" t="s">
        <v>253</v>
      </c>
      <c r="F13" s="297">
        <f>D5</f>
        <v>3.0184000000000002</v>
      </c>
      <c r="G13" s="393" t="s">
        <v>252</v>
      </c>
      <c r="H13" s="268">
        <v>9.9260000000000002</v>
      </c>
      <c r="I13" s="295">
        <v>93.09</v>
      </c>
      <c r="J13" s="15"/>
      <c r="K13" s="15"/>
      <c r="L13" s="15"/>
      <c r="M13" s="15"/>
      <c r="N13" s="15"/>
      <c r="O13" s="15"/>
    </row>
    <row r="14" spans="1:15" ht="22.7" customHeight="1">
      <c r="A14" s="15"/>
      <c r="B14" s="25"/>
      <c r="C14" s="20"/>
      <c r="D14" s="26"/>
      <c r="E14" s="26"/>
      <c r="F14" s="26"/>
      <c r="G14" s="26"/>
      <c r="H14" s="27"/>
      <c r="I14" s="34"/>
      <c r="J14" s="15"/>
      <c r="K14" s="15"/>
      <c r="L14" s="15"/>
      <c r="M14" s="15"/>
      <c r="N14" s="15"/>
      <c r="O14" s="15"/>
    </row>
    <row r="15" spans="1:15" ht="22.7" customHeight="1">
      <c r="A15" s="15"/>
      <c r="B15" s="28" t="s">
        <v>132</v>
      </c>
      <c r="C15" s="27" t="s">
        <v>133</v>
      </c>
      <c r="D15" s="27" t="s">
        <v>134</v>
      </c>
      <c r="E15" s="27" t="s">
        <v>69</v>
      </c>
      <c r="F15" s="27" t="s">
        <v>135</v>
      </c>
      <c r="G15" s="27" t="s">
        <v>136</v>
      </c>
      <c r="H15" s="27" t="s">
        <v>137</v>
      </c>
      <c r="I15" s="392" t="s">
        <v>251</v>
      </c>
      <c r="J15" s="15"/>
      <c r="K15" s="15"/>
      <c r="L15" s="15"/>
      <c r="M15" s="15"/>
      <c r="N15" s="15"/>
      <c r="O15" s="15"/>
    </row>
    <row r="16" spans="1:15" ht="22.7" customHeight="1" thickBot="1">
      <c r="A16" s="15"/>
      <c r="B16" s="239">
        <f>I6-I4</f>
        <v>32.900000000000006</v>
      </c>
      <c r="C16" s="236">
        <f>I8-IF(I4&gt;I10,I4,I10)</f>
        <v>75</v>
      </c>
      <c r="D16" s="238">
        <f>(F13+H13)/2</f>
        <v>6.4722</v>
      </c>
      <c r="E16" s="29">
        <f>INT(D16/C16*100000)/100000</f>
        <v>8.6290000000000006E-2</v>
      </c>
      <c r="F16" s="30">
        <v>1440</v>
      </c>
      <c r="G16" s="240">
        <v>1140</v>
      </c>
      <c r="H16" s="238">
        <f>INT(G16/F16*10000)/10000</f>
        <v>0.79159999999999997</v>
      </c>
      <c r="I16" s="269">
        <v>8.5459999999999996E-4</v>
      </c>
      <c r="J16" s="15"/>
      <c r="K16" s="15"/>
      <c r="L16" s="15"/>
      <c r="M16" s="15"/>
      <c r="N16" s="15"/>
      <c r="O16" s="15"/>
    </row>
    <row r="17" spans="1:15" ht="24" customHeight="1" thickBot="1">
      <c r="A17" s="15"/>
      <c r="B17" s="15"/>
      <c r="C17" s="15"/>
      <c r="D17" s="15"/>
      <c r="E17" s="31"/>
      <c r="F17" s="15"/>
      <c r="G17" s="15"/>
      <c r="H17" s="16"/>
      <c r="I17" s="16"/>
      <c r="J17" s="15"/>
      <c r="K17" s="15"/>
      <c r="L17" s="15"/>
      <c r="M17" s="15"/>
      <c r="N17" s="15"/>
      <c r="O17" s="15"/>
    </row>
    <row r="18" spans="1:15" ht="22.7" customHeight="1" thickBot="1">
      <c r="A18" s="15"/>
      <c r="B18" s="296" t="s">
        <v>138</v>
      </c>
      <c r="C18" s="298">
        <f>ROUND(3*SQRT(B21*E21*H21/I21),1)</f>
        <v>153.80000000000001</v>
      </c>
      <c r="D18" s="24"/>
      <c r="E18" s="32"/>
      <c r="F18" s="32"/>
      <c r="G18" s="32"/>
      <c r="H18" s="33"/>
      <c r="I18" s="136"/>
      <c r="J18" s="15"/>
      <c r="K18" s="15"/>
      <c r="L18" s="15"/>
      <c r="M18" s="15"/>
      <c r="N18" s="15"/>
      <c r="O18" s="15"/>
    </row>
    <row r="19" spans="1:15" ht="22.7" customHeight="1">
      <c r="A19" s="15"/>
      <c r="B19" s="25"/>
      <c r="C19" s="20"/>
      <c r="D19" s="26"/>
      <c r="E19" s="26"/>
      <c r="F19" s="26"/>
      <c r="G19" s="26"/>
      <c r="H19" s="27"/>
      <c r="I19" s="34"/>
      <c r="J19" s="15"/>
      <c r="K19" s="15"/>
      <c r="L19" s="15"/>
      <c r="M19" s="15"/>
      <c r="N19" s="15"/>
      <c r="O19" s="15"/>
    </row>
    <row r="20" spans="1:15" ht="22.7" customHeight="1">
      <c r="A20" s="15"/>
      <c r="B20" s="28" t="s">
        <v>139</v>
      </c>
      <c r="C20" s="27" t="s">
        <v>38</v>
      </c>
      <c r="D20" s="27" t="s">
        <v>140</v>
      </c>
      <c r="E20" s="135" t="s">
        <v>69</v>
      </c>
      <c r="F20" s="27" t="s">
        <v>135</v>
      </c>
      <c r="G20" s="27" t="s">
        <v>141</v>
      </c>
      <c r="H20" s="27" t="s">
        <v>39</v>
      </c>
      <c r="I20" s="34" t="s">
        <v>32</v>
      </c>
      <c r="J20" s="15"/>
      <c r="K20" s="15"/>
      <c r="L20" s="15"/>
      <c r="M20" s="15"/>
      <c r="N20" s="242" t="s">
        <v>241</v>
      </c>
      <c r="O20" s="15"/>
    </row>
    <row r="21" spans="1:15" ht="22.7" customHeight="1" thickBot="1">
      <c r="A21" s="15"/>
      <c r="B21" s="35">
        <f t="shared" ref="B21:I21" si="0">B16</f>
        <v>32.900000000000006</v>
      </c>
      <c r="C21" s="237">
        <f t="shared" si="0"/>
        <v>75</v>
      </c>
      <c r="D21" s="30">
        <f t="shared" si="0"/>
        <v>6.4722</v>
      </c>
      <c r="E21" s="238">
        <f t="shared" si="0"/>
        <v>8.6290000000000006E-2</v>
      </c>
      <c r="F21" s="30">
        <f t="shared" si="0"/>
        <v>1440</v>
      </c>
      <c r="G21" s="30">
        <f>G16</f>
        <v>1140</v>
      </c>
      <c r="H21" s="30">
        <f t="shared" si="0"/>
        <v>0.79159999999999997</v>
      </c>
      <c r="I21" s="36">
        <f t="shared" si="0"/>
        <v>8.5459999999999996E-4</v>
      </c>
      <c r="J21" s="15"/>
      <c r="K21" s="15"/>
      <c r="L21" s="15"/>
      <c r="M21" s="15"/>
      <c r="N21" s="15"/>
      <c r="O21" s="15"/>
    </row>
    <row r="22" spans="1:15" ht="24" customHeight="1" thickBot="1">
      <c r="A22" s="15"/>
      <c r="B22" s="15"/>
      <c r="C22" s="15"/>
      <c r="D22" s="15"/>
      <c r="E22" s="15"/>
      <c r="F22" s="15"/>
      <c r="G22" s="15"/>
      <c r="H22" s="16"/>
      <c r="I22" s="16"/>
      <c r="J22" s="15"/>
      <c r="K22" s="15"/>
      <c r="L22" s="15"/>
      <c r="M22" s="15"/>
      <c r="N22" s="15"/>
      <c r="O22" s="15"/>
    </row>
    <row r="23" spans="1:15" ht="22.7" customHeight="1" thickBot="1">
      <c r="A23" s="15"/>
      <c r="B23" s="296" t="s">
        <v>142</v>
      </c>
      <c r="C23" s="298">
        <f>ROUND(SQRT((2.25*D26*H26)/I26),1)</f>
        <v>116.1</v>
      </c>
      <c r="D23" s="24"/>
      <c r="E23" s="32"/>
      <c r="F23" s="32"/>
      <c r="G23" s="32"/>
      <c r="H23" s="33"/>
      <c r="I23" s="136"/>
      <c r="J23" s="15"/>
      <c r="K23" s="15"/>
      <c r="L23" s="15"/>
      <c r="M23" s="15"/>
      <c r="N23" s="15"/>
      <c r="O23" s="15"/>
    </row>
    <row r="24" spans="1:15" ht="22.7" customHeight="1">
      <c r="A24" s="15"/>
      <c r="B24" s="25"/>
      <c r="C24" s="20"/>
      <c r="D24" s="26"/>
      <c r="E24" s="26"/>
      <c r="F24" s="26"/>
      <c r="G24" s="26"/>
      <c r="H24" s="27"/>
      <c r="I24" s="34"/>
      <c r="J24" s="15"/>
      <c r="K24" s="15"/>
      <c r="L24" s="15"/>
      <c r="M24" s="15"/>
      <c r="N24" s="198"/>
      <c r="O24" s="15"/>
    </row>
    <row r="25" spans="1:15" ht="22.7" customHeight="1">
      <c r="A25" s="15"/>
      <c r="B25" s="28" t="s">
        <v>139</v>
      </c>
      <c r="C25" s="27" t="s">
        <v>38</v>
      </c>
      <c r="D25" s="27" t="s">
        <v>140</v>
      </c>
      <c r="E25" s="27" t="s">
        <v>69</v>
      </c>
      <c r="F25" s="27" t="s">
        <v>135</v>
      </c>
      <c r="G25" s="27" t="s">
        <v>141</v>
      </c>
      <c r="H25" s="135" t="s">
        <v>39</v>
      </c>
      <c r="I25" s="34" t="s">
        <v>32</v>
      </c>
      <c r="J25" s="15"/>
      <c r="K25" s="15"/>
      <c r="L25" s="15"/>
      <c r="M25" s="15"/>
      <c r="N25" s="15"/>
      <c r="O25" s="15"/>
    </row>
    <row r="26" spans="1:15" ht="22.7" customHeight="1" thickBot="1">
      <c r="A26" s="15"/>
      <c r="B26" s="35">
        <f t="shared" ref="B26:I26" si="1">B21</f>
        <v>32.900000000000006</v>
      </c>
      <c r="C26" s="30">
        <f t="shared" si="1"/>
        <v>75</v>
      </c>
      <c r="D26" s="30">
        <f t="shared" si="1"/>
        <v>6.4722</v>
      </c>
      <c r="E26" s="29">
        <f t="shared" si="1"/>
        <v>8.6290000000000006E-2</v>
      </c>
      <c r="F26" s="30">
        <f t="shared" si="1"/>
        <v>1440</v>
      </c>
      <c r="G26" s="30">
        <f t="shared" si="1"/>
        <v>1140</v>
      </c>
      <c r="H26" s="238">
        <f>INT(G16/F16*10000)/10000</f>
        <v>0.79159999999999997</v>
      </c>
      <c r="I26" s="36">
        <f t="shared" si="1"/>
        <v>8.5459999999999996E-4</v>
      </c>
      <c r="J26" s="15"/>
      <c r="K26" s="15"/>
      <c r="L26" s="15"/>
      <c r="M26" s="15"/>
      <c r="N26" s="15"/>
      <c r="O26" s="15"/>
    </row>
    <row r="27" spans="1:15" ht="22.7" customHeight="1">
      <c r="A27" s="15"/>
      <c r="B27" s="16"/>
      <c r="C27" s="16"/>
      <c r="D27" s="199"/>
      <c r="E27" s="200"/>
      <c r="F27" s="16"/>
      <c r="G27" s="16"/>
      <c r="H27"/>
      <c r="I27" s="16"/>
      <c r="J27" s="15"/>
      <c r="K27" s="15"/>
      <c r="L27"/>
      <c r="M27" s="15"/>
      <c r="N27" s="15"/>
      <c r="O27" s="15"/>
    </row>
    <row r="28" spans="1:15" ht="22.7" customHeight="1">
      <c r="A28" s="15"/>
      <c r="B28" s="37" t="s">
        <v>143</v>
      </c>
      <c r="C28" s="386">
        <f>D16</f>
        <v>6.4722</v>
      </c>
      <c r="D28" s="389">
        <f>(C28/C16)*(100/86400)</f>
        <v>9.9879629629629626E-5</v>
      </c>
      <c r="E28" s="198" t="s">
        <v>237</v>
      </c>
      <c r="F28" s="15"/>
      <c r="G28" s="15"/>
      <c r="H28" s="16"/>
      <c r="I28" s="16"/>
      <c r="J28" s="15" t="s">
        <v>21</v>
      </c>
      <c r="K28" s="15"/>
      <c r="L28"/>
      <c r="M28" s="15"/>
      <c r="N28" s="15"/>
      <c r="O28" s="15"/>
    </row>
    <row r="29" spans="1:15" ht="22.7" customHeight="1">
      <c r="A29" s="15"/>
      <c r="B29" s="37" t="s">
        <v>144</v>
      </c>
      <c r="C29" s="387">
        <f>I16</f>
        <v>8.5459999999999996E-4</v>
      </c>
      <c r="D29" s="16">
        <f>(C28*100)/(C16*86400)</f>
        <v>9.987962962962964E-5</v>
      </c>
      <c r="E29" s="15"/>
      <c r="F29" s="15"/>
      <c r="G29" s="15"/>
      <c r="H29" s="16"/>
      <c r="I29" s="16"/>
      <c r="J29" s="15"/>
      <c r="K29" s="15"/>
      <c r="L29" s="15"/>
      <c r="M29" s="15"/>
      <c r="N29" s="15"/>
      <c r="O29" s="15"/>
    </row>
    <row r="30" spans="1:15" ht="22.7" customHeight="1">
      <c r="A30" s="15"/>
      <c r="B30" s="37" t="s">
        <v>145</v>
      </c>
      <c r="C30" s="388">
        <f>(C13+C18+C23)/3</f>
        <v>131.83333333333334</v>
      </c>
      <c r="D30" s="15"/>
      <c r="E30" s="383">
        <f>(C13+C18)/2</f>
        <v>139.69999999999999</v>
      </c>
      <c r="F30" s="384">
        <f>MAX(C13,C18)</f>
        <v>153.80000000000001</v>
      </c>
      <c r="G30" s="385">
        <f>ROUND(C4/(G4*F30^2*I16),3)</f>
        <v>2.5190000000000001</v>
      </c>
      <c r="H30" s="16"/>
      <c r="I30" s="16"/>
      <c r="J30" s="15"/>
      <c r="K30" s="15"/>
      <c r="L30" s="15"/>
      <c r="M30" s="15"/>
      <c r="N30" s="15"/>
      <c r="O30" s="15"/>
    </row>
    <row r="31" spans="1:15" ht="22.7" customHeight="1">
      <c r="A31" s="15"/>
      <c r="F31" s="15"/>
      <c r="G31" s="15"/>
      <c r="H31" s="16"/>
      <c r="I31" s="16"/>
      <c r="J31" s="15"/>
      <c r="K31" s="15"/>
      <c r="L31" s="15"/>
      <c r="M31" s="15"/>
      <c r="N31" s="15"/>
      <c r="O31" s="15"/>
    </row>
    <row r="32" spans="1:15" ht="22.7" customHeight="1">
      <c r="A32" s="15"/>
      <c r="B32" s="15"/>
      <c r="C32" s="15"/>
      <c r="D32" s="15"/>
      <c r="E32" s="15"/>
      <c r="F32" s="15"/>
      <c r="G32" s="15"/>
      <c r="H32" s="16"/>
      <c r="I32" s="16"/>
      <c r="J32" s="15"/>
      <c r="K32" s="15"/>
      <c r="L32" s="15"/>
      <c r="M32" s="15"/>
      <c r="N32" s="15"/>
      <c r="O32" s="15"/>
    </row>
    <row r="33" spans="1:15" ht="22.7" customHeight="1">
      <c r="A33" s="15"/>
      <c r="D33" s="15"/>
      <c r="E33" s="15"/>
      <c r="F33" s="15"/>
      <c r="G33" s="15"/>
      <c r="H33" s="16"/>
      <c r="I33" s="16"/>
      <c r="J33" s="15"/>
      <c r="K33" s="15"/>
      <c r="L33" s="15"/>
      <c r="M33" s="15"/>
      <c r="N33" s="15"/>
      <c r="O33" s="15"/>
    </row>
    <row r="34" spans="1:15" ht="22.7" customHeight="1">
      <c r="A34" s="15"/>
      <c r="B34" s="15"/>
      <c r="C34" s="15"/>
      <c r="D34" s="15"/>
      <c r="E34" s="15"/>
      <c r="F34" s="15"/>
      <c r="G34" s="15"/>
      <c r="H34" s="16"/>
      <c r="I34" s="16"/>
      <c r="J34" s="15"/>
      <c r="K34" s="15"/>
      <c r="L34" s="15"/>
      <c r="M34" s="15"/>
      <c r="N34" s="15"/>
      <c r="O34" s="15"/>
    </row>
    <row r="35" spans="1:15" ht="22.7" customHeight="1">
      <c r="A35" s="15"/>
      <c r="B35" s="15"/>
      <c r="C35" s="15"/>
      <c r="D35" s="15"/>
      <c r="E35" s="15"/>
      <c r="F35" s="15"/>
      <c r="G35" s="15"/>
      <c r="H35" s="16"/>
      <c r="I35" s="16"/>
      <c r="J35" s="15"/>
      <c r="K35" s="15"/>
      <c r="L35" s="15"/>
      <c r="M35" s="15"/>
      <c r="N35" s="15"/>
      <c r="O35" s="15"/>
    </row>
    <row r="36" spans="1:15" ht="22.7" customHeight="1">
      <c r="A36" s="15"/>
      <c r="B36" s="15"/>
      <c r="C36" s="15"/>
      <c r="D36" s="15"/>
      <c r="E36" s="15"/>
      <c r="F36" s="15"/>
      <c r="G36" s="15"/>
      <c r="H36" s="16"/>
      <c r="I36" s="16"/>
      <c r="J36" s="15"/>
      <c r="K36" s="15"/>
      <c r="L36" s="15"/>
      <c r="M36" s="15"/>
      <c r="N36" s="15"/>
      <c r="O36" s="15"/>
    </row>
    <row r="37" spans="1:15" ht="22.7" customHeight="1">
      <c r="A37" s="15"/>
      <c r="B37" s="15"/>
      <c r="C37" s="15"/>
      <c r="D37" s="15"/>
      <c r="E37" s="15"/>
      <c r="F37" s="15"/>
      <c r="G37" s="15"/>
      <c r="H37" s="16"/>
      <c r="I37" s="16"/>
      <c r="J37" s="15"/>
      <c r="K37" s="15"/>
      <c r="L37" s="15"/>
      <c r="M37" s="15"/>
      <c r="N37" s="15"/>
      <c r="O37" s="15"/>
    </row>
    <row r="38" spans="1:15" ht="22.7" customHeight="1">
      <c r="A38" s="15"/>
      <c r="B38" s="15"/>
      <c r="C38" s="15"/>
      <c r="D38" s="15"/>
      <c r="E38" s="15"/>
      <c r="F38" s="15"/>
      <c r="G38" s="15"/>
      <c r="H38" s="16"/>
      <c r="I38" s="16"/>
      <c r="J38" s="15"/>
      <c r="K38" s="15"/>
      <c r="L38" s="15"/>
      <c r="M38" s="15"/>
      <c r="N38" s="15"/>
      <c r="O38" s="15"/>
    </row>
    <row r="39" spans="1:15" ht="22.7" customHeight="1">
      <c r="A39" s="15"/>
      <c r="B39" s="15"/>
      <c r="C39" s="15"/>
      <c r="D39" s="15"/>
      <c r="E39" s="15"/>
      <c r="F39" s="15"/>
      <c r="G39" s="15"/>
      <c r="H39" s="16"/>
      <c r="I39" s="16"/>
      <c r="J39" s="15"/>
      <c r="K39" s="15"/>
      <c r="L39" s="15"/>
      <c r="M39" s="15"/>
      <c r="N39" s="15"/>
      <c r="O39" s="15"/>
    </row>
    <row r="40" spans="1:15" ht="22.7" customHeight="1">
      <c r="A40" s="15"/>
      <c r="B40" s="15"/>
      <c r="C40" s="15"/>
      <c r="D40" s="15"/>
      <c r="E40" s="15"/>
      <c r="F40" s="15"/>
      <c r="G40" s="15"/>
      <c r="H40" s="16"/>
      <c r="I40" s="16"/>
      <c r="J40" s="15"/>
      <c r="K40" s="15"/>
      <c r="L40" s="15"/>
      <c r="M40" s="15"/>
      <c r="N40" s="15"/>
      <c r="O40" s="15"/>
    </row>
    <row r="41" spans="1:15" ht="16.5">
      <c r="A41" s="15"/>
      <c r="B41" s="15"/>
      <c r="C41" s="15"/>
      <c r="D41" s="15"/>
      <c r="E41" s="15"/>
      <c r="F41" s="15"/>
      <c r="G41" s="15"/>
      <c r="H41" s="16"/>
      <c r="I41" s="16"/>
      <c r="J41" s="15"/>
      <c r="K41" s="15"/>
      <c r="L41" s="15"/>
      <c r="M41" s="15"/>
      <c r="N41" s="15"/>
      <c r="O41" s="15"/>
    </row>
    <row r="42" spans="1:15" ht="16.5">
      <c r="A42" s="15"/>
      <c r="B42" s="15"/>
      <c r="C42" s="15"/>
      <c r="D42" s="15"/>
      <c r="E42" s="15"/>
      <c r="F42" s="15"/>
      <c r="G42" s="15"/>
      <c r="H42" s="16"/>
      <c r="I42" s="16"/>
      <c r="J42" s="15"/>
      <c r="K42" s="15"/>
      <c r="L42" s="15"/>
      <c r="M42" s="15"/>
      <c r="N42" s="15"/>
      <c r="O42" s="15"/>
    </row>
    <row r="43" spans="1:15" ht="16.5">
      <c r="A43" s="15"/>
      <c r="B43" s="15"/>
      <c r="C43" s="15"/>
      <c r="D43" s="15"/>
      <c r="E43" s="15"/>
      <c r="F43" s="15"/>
      <c r="G43" s="15"/>
      <c r="H43" s="16"/>
      <c r="I43" s="16"/>
      <c r="J43" s="15"/>
      <c r="K43" s="15"/>
      <c r="L43" s="15"/>
      <c r="M43" s="15"/>
      <c r="N43" s="15"/>
      <c r="O43" s="15"/>
    </row>
    <row r="44" spans="1:15" ht="16.5">
      <c r="A44" s="15"/>
      <c r="B44" s="15"/>
      <c r="C44" s="15"/>
      <c r="D44" s="15"/>
      <c r="E44" s="15"/>
      <c r="F44" s="15"/>
      <c r="G44" s="15"/>
      <c r="H44" s="16"/>
      <c r="I44" s="16"/>
      <c r="J44" s="15"/>
      <c r="K44" s="15"/>
      <c r="L44" s="15"/>
      <c r="M44" s="15"/>
      <c r="N44" s="15"/>
      <c r="O44" s="15"/>
    </row>
    <row r="45" spans="1:15" ht="16.5">
      <c r="A45" s="15"/>
      <c r="B45" s="15"/>
      <c r="C45" s="15"/>
      <c r="D45" s="15"/>
      <c r="E45" s="15"/>
      <c r="F45" s="15"/>
      <c r="G45" s="15"/>
      <c r="H45" s="16"/>
      <c r="I45" s="16"/>
      <c r="J45" s="15"/>
      <c r="K45" s="15"/>
      <c r="L45" s="15"/>
      <c r="M45" s="15"/>
      <c r="N45" s="15"/>
      <c r="O45" s="15"/>
    </row>
    <row r="46" spans="1:15" ht="16.5">
      <c r="A46" s="15"/>
      <c r="B46" s="15"/>
      <c r="C46" s="15"/>
      <c r="D46" s="15"/>
      <c r="E46" s="15"/>
      <c r="F46" s="15"/>
      <c r="G46" s="15"/>
      <c r="H46" s="16"/>
      <c r="I46" s="16"/>
      <c r="J46" s="15"/>
      <c r="K46" s="15"/>
      <c r="L46" s="15"/>
      <c r="M46" s="15"/>
      <c r="N46" s="15"/>
      <c r="O46" s="15"/>
    </row>
    <row r="47" spans="1:15" ht="16.5">
      <c r="A47" s="15"/>
      <c r="B47" s="15"/>
      <c r="C47" s="15"/>
      <c r="D47" s="15"/>
      <c r="E47" s="15"/>
      <c r="F47" s="15"/>
      <c r="G47" s="15"/>
      <c r="H47" s="16"/>
      <c r="I47" s="16"/>
      <c r="J47" s="15"/>
      <c r="K47" s="15"/>
      <c r="L47" s="15"/>
      <c r="M47" s="15"/>
      <c r="N47" s="15"/>
      <c r="O47" s="15"/>
    </row>
    <row r="48" spans="1:15" ht="16.5">
      <c r="A48" s="15"/>
      <c r="B48" s="15"/>
      <c r="C48" s="15"/>
      <c r="D48" s="15"/>
      <c r="E48" s="15"/>
      <c r="F48" s="15"/>
      <c r="G48" s="15"/>
      <c r="H48" s="16"/>
      <c r="I48" s="16"/>
      <c r="J48" s="15"/>
      <c r="K48" s="15"/>
      <c r="L48" s="15"/>
      <c r="M48" s="15"/>
      <c r="N48" s="15"/>
      <c r="O48" s="15"/>
    </row>
    <row r="49" spans="1:15" ht="16.5">
      <c r="A49" s="15"/>
      <c r="B49" s="15"/>
      <c r="C49" s="15"/>
      <c r="D49" s="15"/>
      <c r="E49" s="15"/>
      <c r="F49" s="15"/>
      <c r="G49" s="15"/>
      <c r="H49" s="16"/>
      <c r="I49" s="16"/>
      <c r="J49" s="15"/>
      <c r="K49" s="15"/>
      <c r="L49" s="15"/>
      <c r="M49" s="15"/>
      <c r="N49" s="15"/>
      <c r="O49" s="15"/>
    </row>
    <row r="50" spans="1:15" ht="16.5">
      <c r="A50" s="15"/>
      <c r="B50" s="15"/>
      <c r="C50" s="15"/>
      <c r="D50" s="15"/>
      <c r="E50" s="15"/>
      <c r="F50" s="15"/>
      <c r="G50" s="15"/>
      <c r="H50" s="16"/>
      <c r="I50" s="16"/>
      <c r="J50" s="15"/>
      <c r="K50" s="15"/>
      <c r="L50" s="15"/>
      <c r="M50" s="15"/>
      <c r="N50" s="15"/>
      <c r="O50" s="15"/>
    </row>
    <row r="51" spans="1:15" ht="16.5">
      <c r="A51" s="15"/>
      <c r="B51" s="15"/>
      <c r="C51" s="15"/>
      <c r="D51" s="15"/>
      <c r="E51" s="15"/>
      <c r="F51" s="15"/>
      <c r="G51" s="15"/>
      <c r="H51" s="16"/>
      <c r="I51" s="16"/>
      <c r="J51" s="15"/>
      <c r="K51" s="15"/>
      <c r="L51" s="15"/>
      <c r="M51" s="15"/>
      <c r="N51" s="15"/>
      <c r="O51" s="15"/>
    </row>
    <row r="52" spans="1:15" ht="16.5">
      <c r="A52" s="15"/>
      <c r="B52" s="15"/>
      <c r="C52" s="15"/>
      <c r="D52" s="15"/>
      <c r="E52" s="15"/>
      <c r="F52" s="15"/>
      <c r="G52" s="15"/>
      <c r="H52" s="16"/>
      <c r="I52" s="16"/>
      <c r="J52" s="15"/>
      <c r="K52" s="15"/>
      <c r="L52" s="15"/>
      <c r="M52" s="15"/>
      <c r="N52" s="15"/>
      <c r="O52" s="15"/>
    </row>
    <row r="53" spans="1:15" ht="16.5">
      <c r="A53" s="15"/>
      <c r="B53" s="15"/>
      <c r="C53" s="15"/>
      <c r="D53" s="15"/>
      <c r="E53" s="15"/>
      <c r="F53" s="15"/>
      <c r="G53" s="15"/>
      <c r="H53" s="16"/>
      <c r="I53" s="16"/>
      <c r="J53" s="15"/>
      <c r="K53" s="15"/>
      <c r="L53" s="15"/>
      <c r="M53" s="15"/>
      <c r="N53" s="15"/>
      <c r="O53" s="15"/>
    </row>
    <row r="54" spans="1:15" ht="16.5">
      <c r="A54" s="15"/>
      <c r="B54" s="15"/>
      <c r="C54" s="15"/>
      <c r="D54" s="15"/>
      <c r="E54" s="15"/>
      <c r="F54" s="15"/>
      <c r="G54" s="15"/>
      <c r="H54" s="16"/>
      <c r="I54" s="16"/>
      <c r="J54" s="15"/>
      <c r="K54" s="15"/>
      <c r="L54" s="15"/>
      <c r="M54" s="15"/>
      <c r="N54" s="15"/>
      <c r="O54" s="15"/>
    </row>
    <row r="55" spans="1:15" ht="16.5">
      <c r="A55" s="15"/>
      <c r="B55" s="15"/>
      <c r="C55" s="15"/>
      <c r="D55" s="15"/>
      <c r="E55" s="15"/>
      <c r="F55" s="15"/>
      <c r="G55" s="15"/>
      <c r="H55" s="16"/>
      <c r="I55" s="16"/>
      <c r="J55" s="15"/>
      <c r="K55" s="15"/>
      <c r="L55" s="15"/>
      <c r="M55" s="15"/>
      <c r="N55" s="15"/>
      <c r="O55" s="15"/>
    </row>
    <row r="56" spans="1:15" ht="16.5">
      <c r="A56" s="15"/>
      <c r="B56" s="15"/>
      <c r="C56" s="15"/>
      <c r="D56" s="15"/>
      <c r="E56" s="15"/>
      <c r="F56" s="15"/>
      <c r="G56" s="15"/>
      <c r="H56" s="16"/>
      <c r="I56" s="16"/>
      <c r="J56" s="15"/>
      <c r="K56" s="15"/>
      <c r="L56" s="15"/>
      <c r="M56" s="15"/>
      <c r="N56" s="15"/>
      <c r="O56" s="15"/>
    </row>
    <row r="57" spans="1:15" ht="16.5">
      <c r="A57" s="15"/>
      <c r="B57" s="15"/>
      <c r="C57" s="15"/>
      <c r="D57" s="15"/>
      <c r="E57" s="15"/>
      <c r="F57" s="15"/>
      <c r="G57" s="15"/>
      <c r="H57" s="16"/>
      <c r="I57" s="16"/>
      <c r="J57" s="15"/>
      <c r="K57" s="15"/>
      <c r="L57" s="15"/>
      <c r="M57" s="15"/>
      <c r="N57" s="15"/>
      <c r="O57" s="15"/>
    </row>
    <row r="58" spans="1:15" ht="16.5">
      <c r="A58" s="15"/>
      <c r="B58" s="15"/>
      <c r="C58" s="15"/>
      <c r="D58" s="15"/>
      <c r="E58" s="15"/>
      <c r="F58" s="15"/>
      <c r="G58" s="15"/>
      <c r="H58" s="16"/>
      <c r="I58" s="16"/>
      <c r="J58" s="15"/>
      <c r="K58" s="15"/>
      <c r="L58" s="15"/>
      <c r="M58" s="15"/>
      <c r="N58" s="15"/>
      <c r="O58" s="15"/>
    </row>
    <row r="59" spans="1:15" ht="16.5">
      <c r="A59" s="15"/>
      <c r="B59" s="15"/>
      <c r="C59" s="15"/>
      <c r="D59" s="15"/>
      <c r="E59" s="15"/>
      <c r="F59" s="15"/>
      <c r="G59" s="15"/>
      <c r="H59" s="16"/>
      <c r="I59" s="16"/>
      <c r="J59" s="15"/>
      <c r="K59" s="15"/>
      <c r="L59" s="15"/>
      <c r="M59" s="15"/>
      <c r="N59" s="15"/>
      <c r="O59" s="15"/>
    </row>
    <row r="60" spans="1:15" ht="16.5">
      <c r="A60" s="15"/>
      <c r="B60" s="15"/>
      <c r="C60" s="15"/>
      <c r="D60" s="15"/>
      <c r="E60" s="15"/>
      <c r="F60" s="15"/>
      <c r="G60" s="15"/>
      <c r="H60" s="16"/>
      <c r="I60" s="16"/>
      <c r="J60" s="15"/>
      <c r="K60" s="15"/>
      <c r="L60" s="15"/>
      <c r="M60" s="15"/>
      <c r="N60" s="15"/>
      <c r="O60" s="15"/>
    </row>
    <row r="61" spans="1:15" ht="16.5">
      <c r="A61" s="15"/>
      <c r="B61" s="15"/>
      <c r="C61" s="15"/>
      <c r="D61" s="15"/>
      <c r="E61" s="15"/>
      <c r="F61" s="15"/>
      <c r="G61" s="15"/>
      <c r="H61" s="16"/>
      <c r="I61" s="16"/>
      <c r="J61" s="15"/>
      <c r="K61" s="15"/>
      <c r="L61" s="15"/>
      <c r="M61" s="15"/>
      <c r="N61" s="15"/>
      <c r="O61" s="15"/>
    </row>
    <row r="62" spans="1:15" ht="16.5">
      <c r="A62" s="15"/>
      <c r="B62" s="15"/>
      <c r="C62" s="15"/>
      <c r="D62" s="15"/>
      <c r="E62" s="15"/>
      <c r="F62" s="15"/>
      <c r="G62" s="15"/>
      <c r="H62" s="16"/>
      <c r="I62" s="16"/>
      <c r="J62" s="15"/>
      <c r="K62" s="15"/>
      <c r="L62" s="15"/>
      <c r="M62" s="15"/>
      <c r="N62" s="15"/>
      <c r="O62" s="15"/>
    </row>
    <row r="63" spans="1:15" ht="16.5">
      <c r="A63" s="15"/>
      <c r="B63" s="15"/>
      <c r="C63" s="15"/>
      <c r="D63" s="15"/>
      <c r="E63" s="15"/>
      <c r="F63" s="15"/>
      <c r="G63" s="15"/>
      <c r="H63" s="16"/>
      <c r="I63" s="16"/>
      <c r="J63" s="15"/>
      <c r="K63" s="15"/>
      <c r="L63" s="15"/>
      <c r="M63" s="15"/>
      <c r="N63" s="15"/>
      <c r="O63" s="15"/>
    </row>
    <row r="64" spans="1:15" ht="16.5">
      <c r="A64" s="15"/>
      <c r="B64" s="15"/>
      <c r="C64" s="15"/>
      <c r="D64" s="15"/>
      <c r="E64" s="15"/>
      <c r="F64" s="15"/>
      <c r="G64" s="15"/>
      <c r="H64" s="16"/>
      <c r="I64" s="16"/>
      <c r="J64" s="15"/>
      <c r="K64" s="15"/>
      <c r="L64" s="15"/>
      <c r="M64" s="15"/>
      <c r="N64" s="15"/>
      <c r="O64" s="15"/>
    </row>
    <row r="65" spans="1:15" ht="16.5">
      <c r="A65" s="15"/>
      <c r="B65" s="15"/>
      <c r="C65" s="15"/>
      <c r="D65" s="15"/>
      <c r="E65" s="15"/>
      <c r="F65" s="15"/>
      <c r="G65" s="15"/>
      <c r="H65" s="16"/>
      <c r="I65" s="16"/>
      <c r="J65" s="15"/>
      <c r="K65" s="15"/>
      <c r="L65" s="15"/>
      <c r="M65" s="15"/>
      <c r="N65" s="15"/>
      <c r="O65" s="15"/>
    </row>
    <row r="66" spans="1:15" ht="16.5">
      <c r="A66" s="15"/>
      <c r="B66" s="15"/>
      <c r="C66" s="15"/>
      <c r="D66" s="15"/>
      <c r="E66" s="15"/>
      <c r="F66" s="15"/>
      <c r="G66" s="15"/>
      <c r="H66" s="16"/>
      <c r="I66" s="16"/>
      <c r="J66" s="15"/>
      <c r="K66" s="15"/>
      <c r="L66" s="15"/>
      <c r="M66" s="15"/>
      <c r="N66" s="15"/>
      <c r="O66" s="15"/>
    </row>
    <row r="67" spans="1:15" ht="16.5">
      <c r="A67" s="15"/>
      <c r="B67" s="15"/>
      <c r="C67" s="15"/>
      <c r="D67" s="15"/>
      <c r="E67" s="15"/>
      <c r="F67" s="15"/>
      <c r="G67" s="15"/>
      <c r="H67" s="16"/>
      <c r="I67" s="16"/>
      <c r="J67" s="15"/>
      <c r="K67" s="15"/>
      <c r="L67" s="15"/>
      <c r="M67" s="15"/>
      <c r="N67" s="15"/>
      <c r="O67" s="15"/>
    </row>
    <row r="68" spans="1:15" ht="16.5">
      <c r="A68" s="15"/>
      <c r="B68" s="15"/>
      <c r="C68" s="15"/>
      <c r="D68" s="15"/>
      <c r="E68" s="15"/>
      <c r="F68" s="15"/>
      <c r="G68" s="15"/>
      <c r="H68" s="16"/>
      <c r="I68" s="16"/>
      <c r="J68" s="15"/>
      <c r="K68" s="15"/>
      <c r="L68" s="15"/>
      <c r="M68" s="15"/>
      <c r="N68" s="15"/>
      <c r="O68" s="15"/>
    </row>
    <row r="69" spans="1:15" ht="16.5">
      <c r="A69" s="15"/>
      <c r="B69" s="15"/>
      <c r="C69" s="15"/>
      <c r="D69" s="15"/>
      <c r="E69" s="15"/>
      <c r="F69" s="15"/>
      <c r="G69" s="15"/>
      <c r="H69" s="16"/>
      <c r="I69" s="16"/>
      <c r="J69" s="15"/>
      <c r="K69" s="15"/>
      <c r="L69" s="15"/>
      <c r="M69" s="15"/>
      <c r="N69" s="15"/>
      <c r="O69" s="15"/>
    </row>
    <row r="70" spans="1:15" ht="16.5">
      <c r="A70" s="15"/>
      <c r="B70" s="15"/>
      <c r="C70" s="15"/>
      <c r="D70" s="15"/>
      <c r="E70" s="15"/>
      <c r="F70" s="15"/>
      <c r="G70" s="15"/>
      <c r="H70" s="16"/>
      <c r="I70" s="16"/>
      <c r="J70" s="15"/>
      <c r="K70" s="15"/>
      <c r="L70" s="15"/>
      <c r="M70" s="15"/>
      <c r="N70" s="15"/>
      <c r="O70" s="15"/>
    </row>
    <row r="71" spans="1:15" ht="16.5">
      <c r="A71" s="15"/>
      <c r="B71" s="15"/>
      <c r="C71" s="15"/>
      <c r="D71" s="15"/>
      <c r="E71" s="15"/>
      <c r="F71" s="15"/>
      <c r="G71" s="15"/>
      <c r="H71" s="16"/>
      <c r="I71" s="16"/>
      <c r="J71" s="15"/>
      <c r="K71" s="15"/>
      <c r="L71" s="15"/>
      <c r="M71" s="15"/>
      <c r="N71" s="15"/>
      <c r="O71" s="15"/>
    </row>
    <row r="72" spans="1:15" ht="16.5">
      <c r="A72" s="15"/>
      <c r="B72" s="15"/>
      <c r="C72" s="15"/>
      <c r="D72" s="15"/>
      <c r="E72" s="15"/>
      <c r="F72" s="15"/>
      <c r="G72" s="15"/>
      <c r="H72" s="16"/>
      <c r="I72" s="16"/>
      <c r="J72" s="15"/>
      <c r="K72" s="15"/>
      <c r="L72" s="15"/>
      <c r="M72" s="15"/>
      <c r="N72" s="15"/>
      <c r="O72" s="15"/>
    </row>
    <row r="73" spans="1:15" ht="16.5">
      <c r="A73" s="15"/>
      <c r="B73" s="15"/>
      <c r="C73" s="15"/>
      <c r="D73" s="15"/>
      <c r="E73" s="15"/>
      <c r="F73" s="15"/>
      <c r="G73" s="15"/>
      <c r="H73" s="16"/>
      <c r="I73" s="16"/>
      <c r="J73" s="15"/>
      <c r="K73" s="15"/>
      <c r="L73" s="15"/>
      <c r="M73" s="15"/>
      <c r="N73" s="15"/>
      <c r="O73" s="15"/>
    </row>
    <row r="74" spans="1:15" ht="16.5">
      <c r="A74" s="15"/>
      <c r="B74" s="15"/>
      <c r="C74" s="15"/>
      <c r="D74" s="15"/>
      <c r="E74" s="15"/>
      <c r="F74" s="15"/>
      <c r="G74" s="15"/>
      <c r="H74" s="16"/>
      <c r="I74" s="16"/>
      <c r="J74" s="15"/>
      <c r="K74" s="15"/>
      <c r="L74" s="15"/>
      <c r="M74" s="15"/>
      <c r="N74" s="15"/>
      <c r="O74" s="15"/>
    </row>
    <row r="75" spans="1:15" ht="16.5">
      <c r="A75" s="15"/>
      <c r="B75" s="15"/>
      <c r="C75" s="15"/>
      <c r="D75" s="15"/>
      <c r="E75" s="15"/>
      <c r="F75" s="15"/>
      <c r="G75" s="15"/>
      <c r="H75" s="16"/>
      <c r="I75" s="16"/>
      <c r="J75" s="15"/>
      <c r="K75" s="15"/>
      <c r="L75" s="15"/>
      <c r="M75" s="15"/>
      <c r="N75" s="15"/>
      <c r="O75" s="15"/>
    </row>
    <row r="76" spans="1:15" ht="16.5">
      <c r="A76" s="15"/>
      <c r="B76" s="15"/>
      <c r="C76" s="15"/>
      <c r="D76" s="15"/>
      <c r="E76" s="15"/>
      <c r="F76" s="15"/>
      <c r="G76" s="15"/>
      <c r="H76" s="16"/>
      <c r="I76" s="16"/>
      <c r="J76" s="15"/>
      <c r="K76" s="15"/>
      <c r="L76" s="15"/>
      <c r="M76" s="15"/>
      <c r="N76" s="15"/>
      <c r="O76" s="15"/>
    </row>
    <row r="77" spans="1:15" ht="16.5">
      <c r="A77" s="15"/>
      <c r="B77" s="15"/>
      <c r="C77" s="15"/>
      <c r="D77" s="15"/>
      <c r="E77" s="15"/>
      <c r="F77" s="15"/>
      <c r="G77" s="15"/>
      <c r="H77" s="16"/>
      <c r="I77" s="16"/>
      <c r="J77" s="15"/>
      <c r="K77" s="15"/>
      <c r="L77" s="15"/>
      <c r="M77" s="15"/>
      <c r="N77" s="15"/>
      <c r="O77" s="15"/>
    </row>
    <row r="78" spans="1:15" ht="16.5">
      <c r="A78" s="15"/>
      <c r="B78" s="15"/>
      <c r="C78" s="15"/>
      <c r="D78" s="15"/>
      <c r="E78" s="15"/>
      <c r="F78" s="15"/>
      <c r="G78" s="15"/>
      <c r="H78" s="16"/>
      <c r="I78" s="16"/>
      <c r="J78" s="15"/>
      <c r="K78" s="15"/>
      <c r="L78" s="15"/>
      <c r="M78" s="15"/>
      <c r="N78" s="15"/>
      <c r="O78" s="15"/>
    </row>
    <row r="79" spans="1:15" ht="16.5">
      <c r="A79" s="15"/>
      <c r="B79" s="15"/>
      <c r="C79" s="15"/>
      <c r="D79" s="15"/>
      <c r="E79" s="15"/>
      <c r="F79" s="15"/>
      <c r="G79" s="15"/>
      <c r="H79" s="16"/>
      <c r="I79" s="16"/>
      <c r="J79" s="15"/>
      <c r="K79" s="15"/>
      <c r="L79" s="15"/>
      <c r="M79" s="15"/>
      <c r="N79" s="15"/>
      <c r="O79" s="15"/>
    </row>
    <row r="80" spans="1:15" ht="16.5">
      <c r="A80" s="15"/>
      <c r="B80" s="15"/>
      <c r="C80" s="15"/>
      <c r="D80" s="15"/>
      <c r="E80" s="15"/>
      <c r="F80" s="15"/>
      <c r="G80" s="15"/>
      <c r="H80" s="16"/>
      <c r="I80" s="16"/>
      <c r="J80" s="15"/>
      <c r="K80" s="15"/>
      <c r="L80" s="15"/>
      <c r="M80" s="15"/>
      <c r="N80" s="15"/>
      <c r="O80" s="15"/>
    </row>
    <row r="81" spans="1:15" ht="16.5">
      <c r="A81" s="15"/>
      <c r="B81" s="15"/>
      <c r="C81" s="15"/>
      <c r="D81" s="15"/>
      <c r="E81" s="15"/>
      <c r="F81" s="15"/>
      <c r="G81" s="15"/>
      <c r="H81" s="16"/>
      <c r="I81" s="16"/>
      <c r="J81" s="15"/>
      <c r="K81" s="15"/>
      <c r="L81" s="15"/>
      <c r="M81" s="15"/>
      <c r="N81" s="15"/>
      <c r="O81" s="15"/>
    </row>
    <row r="82" spans="1:15" ht="16.5">
      <c r="A82" s="15"/>
      <c r="B82" s="15"/>
      <c r="C82" s="15"/>
      <c r="D82" s="15"/>
      <c r="E82" s="15"/>
      <c r="F82" s="15"/>
      <c r="G82" s="15"/>
      <c r="H82" s="16"/>
      <c r="I82" s="16"/>
      <c r="J82" s="15"/>
      <c r="K82" s="15"/>
      <c r="L82" s="15"/>
      <c r="M82" s="15"/>
      <c r="N82" s="15"/>
      <c r="O82" s="15"/>
    </row>
    <row r="83" spans="1:15" ht="16.5">
      <c r="A83" s="15"/>
      <c r="B83" s="15"/>
      <c r="C83" s="15"/>
      <c r="D83" s="15"/>
      <c r="E83" s="15"/>
      <c r="F83" s="15"/>
      <c r="G83" s="15"/>
      <c r="H83" s="16"/>
      <c r="I83" s="16"/>
      <c r="J83" s="15"/>
      <c r="K83" s="15"/>
      <c r="L83" s="15"/>
      <c r="M83" s="15"/>
      <c r="N83" s="15"/>
      <c r="O83" s="15"/>
    </row>
    <row r="84" spans="1:15" ht="16.5">
      <c r="A84" s="15"/>
      <c r="B84" s="15"/>
      <c r="C84" s="15"/>
      <c r="D84" s="15"/>
      <c r="E84" s="15"/>
      <c r="F84" s="15"/>
      <c r="G84" s="15"/>
      <c r="H84" s="16"/>
      <c r="I84" s="16"/>
      <c r="J84" s="15"/>
      <c r="K84" s="15"/>
      <c r="L84" s="15"/>
      <c r="M84" s="15"/>
      <c r="N84" s="15"/>
      <c r="O84" s="15"/>
    </row>
    <row r="85" spans="1:15" ht="16.5">
      <c r="A85" s="15"/>
      <c r="B85" s="15"/>
      <c r="C85" s="15"/>
      <c r="D85" s="15"/>
      <c r="E85" s="15"/>
      <c r="F85" s="15"/>
      <c r="G85" s="15"/>
      <c r="H85" s="16"/>
      <c r="I85" s="16"/>
      <c r="J85" s="15"/>
      <c r="K85" s="15"/>
      <c r="L85" s="15"/>
      <c r="M85" s="15"/>
      <c r="N85" s="15"/>
      <c r="O85" s="15"/>
    </row>
    <row r="86" spans="1:15" ht="16.5">
      <c r="A86" s="15"/>
      <c r="B86" s="15"/>
      <c r="C86" s="15"/>
      <c r="D86" s="15"/>
      <c r="E86" s="15"/>
      <c r="F86" s="15"/>
      <c r="G86" s="15"/>
      <c r="H86" s="16"/>
      <c r="I86" s="16"/>
      <c r="J86" s="15"/>
      <c r="K86" s="15"/>
      <c r="L86" s="15"/>
      <c r="M86" s="15"/>
      <c r="N86" s="15"/>
      <c r="O86" s="15"/>
    </row>
    <row r="87" spans="1:15" ht="16.5">
      <c r="A87" s="15"/>
      <c r="B87" s="15"/>
      <c r="C87" s="15"/>
      <c r="D87" s="15"/>
      <c r="E87" s="15"/>
      <c r="F87" s="15"/>
      <c r="G87" s="15"/>
      <c r="H87" s="16"/>
      <c r="I87" s="16"/>
      <c r="J87" s="15"/>
      <c r="K87" s="15"/>
      <c r="L87" s="15"/>
      <c r="M87" s="15"/>
      <c r="N87" s="15"/>
      <c r="O87" s="15"/>
    </row>
    <row r="88" spans="1:15" ht="16.5">
      <c r="A88" s="15"/>
      <c r="B88" s="15"/>
      <c r="C88" s="15"/>
      <c r="D88" s="15"/>
      <c r="E88" s="15"/>
      <c r="F88" s="15"/>
      <c r="G88" s="15"/>
      <c r="H88" s="16"/>
      <c r="I88" s="16"/>
      <c r="J88" s="15"/>
      <c r="K88" s="15"/>
      <c r="L88" s="15"/>
      <c r="M88" s="15"/>
      <c r="N88" s="15"/>
      <c r="O88" s="15"/>
    </row>
    <row r="89" spans="1:15" ht="16.5">
      <c r="A89" s="15"/>
      <c r="B89" s="15"/>
      <c r="C89" s="15"/>
      <c r="D89" s="15"/>
      <c r="E89" s="15"/>
      <c r="F89" s="15"/>
      <c r="G89" s="15"/>
      <c r="H89" s="16"/>
      <c r="I89" s="16"/>
      <c r="J89" s="15"/>
      <c r="K89" s="15"/>
      <c r="L89" s="15"/>
      <c r="M89" s="15"/>
      <c r="N89" s="15"/>
      <c r="O89" s="15"/>
    </row>
    <row r="90" spans="1:15" ht="16.5">
      <c r="A90" s="15"/>
      <c r="B90" s="15"/>
      <c r="C90" s="15"/>
      <c r="D90" s="15"/>
      <c r="E90" s="15"/>
      <c r="F90" s="15"/>
      <c r="G90" s="15"/>
      <c r="H90" s="16"/>
      <c r="I90" s="16"/>
      <c r="J90" s="15"/>
      <c r="K90" s="15"/>
      <c r="L90" s="15"/>
      <c r="M90" s="15"/>
      <c r="N90" s="15"/>
      <c r="O90" s="15"/>
    </row>
    <row r="91" spans="1:15" ht="16.5">
      <c r="A91" s="15"/>
      <c r="B91" s="15"/>
      <c r="C91" s="15"/>
      <c r="D91" s="15"/>
      <c r="E91" s="15"/>
      <c r="F91" s="15"/>
      <c r="G91" s="15"/>
      <c r="H91" s="16"/>
      <c r="I91" s="16"/>
      <c r="J91" s="15"/>
      <c r="K91" s="15"/>
      <c r="L91" s="15"/>
      <c r="M91" s="15"/>
      <c r="N91" s="15"/>
      <c r="O91" s="15"/>
    </row>
    <row r="92" spans="1:15" ht="16.5">
      <c r="A92" s="15"/>
      <c r="B92" s="15"/>
      <c r="C92" s="15"/>
      <c r="D92" s="15"/>
      <c r="E92" s="15"/>
      <c r="F92" s="15"/>
      <c r="G92" s="15"/>
      <c r="H92" s="16"/>
      <c r="I92" s="16"/>
      <c r="J92" s="15"/>
      <c r="K92" s="15"/>
      <c r="L92" s="15"/>
      <c r="M92" s="15"/>
      <c r="N92" s="15"/>
      <c r="O92" s="15"/>
    </row>
    <row r="93" spans="1:15" ht="16.5">
      <c r="A93" s="15"/>
      <c r="B93" s="15"/>
      <c r="C93" s="15"/>
      <c r="D93" s="15"/>
      <c r="E93" s="15"/>
      <c r="F93" s="15"/>
      <c r="G93" s="15"/>
      <c r="H93" s="16"/>
      <c r="I93" s="16"/>
      <c r="J93" s="15"/>
      <c r="K93" s="15"/>
      <c r="L93" s="15"/>
      <c r="M93" s="15"/>
      <c r="N93" s="15"/>
      <c r="O93" s="15"/>
    </row>
    <row r="94" spans="1:15" ht="16.5">
      <c r="A94" s="15"/>
      <c r="B94" s="15"/>
      <c r="C94" s="15"/>
      <c r="D94" s="15"/>
      <c r="E94" s="15"/>
      <c r="F94" s="15"/>
      <c r="G94" s="15"/>
      <c r="H94" s="16"/>
      <c r="I94" s="16"/>
      <c r="J94" s="15"/>
      <c r="K94" s="15"/>
      <c r="L94" s="15"/>
      <c r="M94" s="15"/>
      <c r="N94" s="15"/>
      <c r="O94" s="15"/>
    </row>
    <row r="95" spans="1:15" ht="16.5">
      <c r="A95" s="15"/>
      <c r="B95" s="15"/>
      <c r="C95" s="15"/>
      <c r="D95" s="15"/>
      <c r="E95" s="15"/>
      <c r="F95" s="15"/>
      <c r="G95" s="15"/>
      <c r="H95" s="16"/>
      <c r="I95" s="16"/>
      <c r="J95" s="15"/>
      <c r="K95" s="15"/>
      <c r="L95" s="15"/>
      <c r="M95" s="15"/>
      <c r="N95" s="15"/>
      <c r="O95" s="15"/>
    </row>
    <row r="96" spans="1:15" ht="16.5">
      <c r="A96" s="15"/>
      <c r="B96" s="15"/>
      <c r="C96" s="15"/>
      <c r="D96" s="15"/>
      <c r="E96" s="15"/>
      <c r="F96" s="15"/>
      <c r="G96" s="15"/>
      <c r="H96" s="16"/>
      <c r="I96" s="16"/>
      <c r="J96" s="15"/>
      <c r="K96" s="15"/>
      <c r="L96" s="15"/>
      <c r="M96" s="15"/>
      <c r="N96" s="15"/>
      <c r="O96" s="15"/>
    </row>
    <row r="97" spans="1:15" ht="16.5">
      <c r="A97" s="15"/>
      <c r="B97" s="15"/>
      <c r="C97" s="15"/>
      <c r="D97" s="15"/>
      <c r="E97" s="15"/>
      <c r="F97" s="15"/>
      <c r="G97" s="15"/>
      <c r="H97" s="16"/>
      <c r="I97" s="16"/>
      <c r="J97" s="15"/>
      <c r="K97" s="15"/>
      <c r="L97" s="15"/>
      <c r="M97" s="15"/>
      <c r="N97" s="15"/>
      <c r="O97" s="15"/>
    </row>
    <row r="98" spans="1:15" ht="16.5">
      <c r="A98" s="15"/>
      <c r="B98" s="15"/>
      <c r="C98" s="15"/>
      <c r="D98" s="15"/>
      <c r="E98" s="15"/>
      <c r="F98" s="15"/>
      <c r="G98" s="15"/>
      <c r="H98" s="16"/>
      <c r="I98" s="16"/>
      <c r="J98" s="15"/>
      <c r="K98" s="15"/>
      <c r="L98" s="15"/>
      <c r="M98" s="15"/>
      <c r="N98" s="15"/>
      <c r="O98" s="15"/>
    </row>
    <row r="99" spans="1:15" ht="16.5">
      <c r="A99" s="15"/>
      <c r="B99" s="15"/>
      <c r="C99" s="15"/>
      <c r="D99" s="15"/>
      <c r="E99" s="15"/>
      <c r="F99" s="15"/>
      <c r="G99" s="15"/>
      <c r="H99" s="16"/>
      <c r="I99" s="16"/>
      <c r="J99" s="15"/>
      <c r="K99" s="15"/>
      <c r="L99" s="15"/>
      <c r="M99" s="15"/>
      <c r="N99" s="15"/>
      <c r="O99" s="15"/>
    </row>
    <row r="100" spans="1:15" ht="16.5">
      <c r="A100" s="15"/>
      <c r="B100" s="15"/>
      <c r="C100" s="15"/>
      <c r="D100" s="15"/>
      <c r="E100" s="15"/>
      <c r="F100" s="15"/>
      <c r="G100" s="15"/>
      <c r="H100" s="16"/>
      <c r="I100" s="16"/>
      <c r="J100" s="15"/>
      <c r="K100" s="15"/>
      <c r="L100" s="15"/>
      <c r="M100" s="15"/>
      <c r="N100" s="15"/>
      <c r="O100" s="15"/>
    </row>
    <row r="101" spans="1:15" ht="16.5">
      <c r="A101" s="15"/>
      <c r="B101" s="15"/>
      <c r="C101" s="15"/>
      <c r="D101" s="15"/>
      <c r="E101" s="15"/>
      <c r="F101" s="15"/>
      <c r="G101" s="15"/>
      <c r="H101" s="16"/>
      <c r="I101" s="16"/>
      <c r="J101" s="15"/>
      <c r="K101" s="15"/>
      <c r="L101" s="15"/>
      <c r="M101" s="15"/>
      <c r="N101" s="15"/>
      <c r="O101" s="15"/>
    </row>
    <row r="102" spans="1:15" ht="16.5">
      <c r="A102" s="15"/>
      <c r="B102" s="15"/>
      <c r="C102" s="15"/>
      <c r="D102" s="15"/>
      <c r="E102" s="15"/>
      <c r="F102" s="15"/>
      <c r="G102" s="15"/>
      <c r="H102" s="16"/>
      <c r="I102" s="16"/>
      <c r="J102" s="15"/>
      <c r="K102" s="15"/>
      <c r="L102" s="15"/>
      <c r="M102" s="15"/>
      <c r="N102" s="15"/>
      <c r="O102" s="15"/>
    </row>
    <row r="103" spans="1:15" ht="16.5">
      <c r="A103" s="15"/>
      <c r="B103" s="15"/>
      <c r="C103" s="15"/>
      <c r="D103" s="15"/>
      <c r="E103" s="15"/>
      <c r="F103" s="15"/>
      <c r="G103" s="15"/>
      <c r="H103" s="16"/>
      <c r="I103" s="16"/>
      <c r="J103" s="15"/>
      <c r="K103" s="15"/>
      <c r="L103" s="15"/>
      <c r="M103" s="15"/>
      <c r="N103" s="15"/>
      <c r="O103" s="15"/>
    </row>
    <row r="104" spans="1:15" ht="16.5">
      <c r="A104" s="15"/>
      <c r="B104" s="15"/>
      <c r="C104" s="15"/>
      <c r="D104" s="15"/>
      <c r="E104" s="15"/>
      <c r="F104" s="15"/>
      <c r="G104" s="15"/>
      <c r="H104" s="16"/>
      <c r="I104" s="16"/>
      <c r="J104" s="15"/>
      <c r="K104" s="15"/>
      <c r="L104" s="15"/>
      <c r="M104" s="15"/>
      <c r="N104" s="15"/>
      <c r="O104" s="15"/>
    </row>
    <row r="105" spans="1:15" ht="16.5">
      <c r="A105" s="15"/>
      <c r="B105" s="15"/>
      <c r="C105" s="15"/>
      <c r="D105" s="15"/>
      <c r="E105" s="15"/>
      <c r="F105" s="15"/>
      <c r="G105" s="15"/>
      <c r="H105" s="16"/>
      <c r="I105" s="16"/>
      <c r="J105" s="15"/>
      <c r="K105" s="15"/>
      <c r="L105" s="15"/>
      <c r="M105" s="15"/>
      <c r="N105" s="15"/>
      <c r="O105" s="15"/>
    </row>
    <row r="106" spans="1:15" ht="16.5">
      <c r="A106" s="15"/>
      <c r="B106" s="15"/>
      <c r="C106" s="15"/>
      <c r="D106" s="15"/>
      <c r="E106" s="15"/>
      <c r="F106" s="15"/>
      <c r="G106" s="15"/>
      <c r="H106" s="16"/>
      <c r="I106" s="16"/>
      <c r="J106" s="15"/>
      <c r="K106" s="15"/>
      <c r="L106" s="15"/>
      <c r="M106" s="15"/>
      <c r="N106" s="15"/>
      <c r="O106" s="15"/>
    </row>
    <row r="107" spans="1:15" ht="16.5">
      <c r="A107" s="15"/>
      <c r="B107" s="15"/>
      <c r="C107" s="15"/>
      <c r="D107" s="15"/>
      <c r="E107" s="15"/>
      <c r="F107" s="15"/>
      <c r="G107" s="15"/>
      <c r="H107" s="16"/>
      <c r="I107" s="16"/>
      <c r="J107" s="15"/>
      <c r="K107" s="15"/>
      <c r="L107" s="15"/>
      <c r="M107" s="15"/>
      <c r="N107" s="15"/>
      <c r="O107" s="15"/>
    </row>
    <row r="108" spans="1:15" ht="16.5">
      <c r="A108" s="15"/>
      <c r="B108" s="15"/>
      <c r="C108" s="15"/>
      <c r="D108" s="15"/>
      <c r="E108" s="15"/>
      <c r="F108" s="15"/>
      <c r="G108" s="15"/>
      <c r="H108" s="16"/>
      <c r="I108" s="16"/>
      <c r="J108" s="15"/>
      <c r="K108" s="15"/>
      <c r="L108" s="15"/>
      <c r="M108" s="15"/>
      <c r="N108" s="15"/>
      <c r="O108" s="15"/>
    </row>
    <row r="109" spans="1:15" ht="16.5">
      <c r="A109" s="15"/>
      <c r="B109" s="15"/>
      <c r="C109" s="15"/>
      <c r="D109" s="15"/>
      <c r="E109" s="15"/>
      <c r="F109" s="15"/>
      <c r="G109" s="15"/>
      <c r="H109" s="16"/>
      <c r="I109" s="16"/>
      <c r="J109" s="15"/>
      <c r="K109" s="15"/>
      <c r="L109" s="15"/>
      <c r="M109" s="15"/>
      <c r="N109" s="15"/>
      <c r="O109" s="15"/>
    </row>
    <row r="110" spans="1:15" ht="16.5">
      <c r="A110" s="15"/>
      <c r="B110" s="15"/>
      <c r="C110" s="15"/>
      <c r="D110" s="15"/>
      <c r="E110" s="15"/>
      <c r="F110" s="15"/>
      <c r="G110" s="15"/>
      <c r="H110" s="16"/>
      <c r="I110" s="16"/>
      <c r="J110" s="15"/>
      <c r="K110" s="15"/>
      <c r="L110" s="15"/>
      <c r="M110" s="15"/>
      <c r="N110" s="15"/>
      <c r="O110" s="15"/>
    </row>
    <row r="111" spans="1:15" ht="16.5">
      <c r="A111" s="15"/>
      <c r="B111" s="15"/>
      <c r="C111" s="15"/>
      <c r="D111" s="15"/>
      <c r="E111" s="15"/>
      <c r="F111" s="15"/>
      <c r="G111" s="15"/>
      <c r="H111" s="16"/>
      <c r="I111" s="16"/>
      <c r="J111" s="15"/>
      <c r="K111" s="15"/>
      <c r="L111" s="15"/>
      <c r="M111" s="15"/>
      <c r="N111" s="15"/>
      <c r="O111" s="15"/>
    </row>
    <row r="112" spans="1:15" ht="16.5">
      <c r="A112" s="15"/>
      <c r="B112" s="15"/>
      <c r="C112" s="15"/>
      <c r="D112" s="15"/>
      <c r="E112" s="15"/>
      <c r="F112" s="15"/>
      <c r="G112" s="15"/>
      <c r="H112" s="16"/>
      <c r="I112" s="16"/>
      <c r="J112" s="15"/>
      <c r="K112" s="15"/>
      <c r="L112" s="15"/>
      <c r="M112" s="15"/>
      <c r="N112" s="15"/>
      <c r="O112" s="15"/>
    </row>
    <row r="113" spans="1:15" ht="16.5">
      <c r="A113" s="15"/>
      <c r="B113" s="15"/>
      <c r="C113" s="15"/>
      <c r="D113" s="15"/>
      <c r="E113" s="15"/>
      <c r="F113" s="15"/>
      <c r="G113" s="15"/>
      <c r="H113" s="16"/>
      <c r="I113" s="16"/>
      <c r="J113" s="15"/>
      <c r="K113" s="15"/>
      <c r="L113" s="15"/>
      <c r="M113" s="15"/>
      <c r="N113" s="15"/>
      <c r="O113" s="15"/>
    </row>
    <row r="114" spans="1:15" ht="16.5">
      <c r="A114" s="15"/>
      <c r="B114" s="15"/>
      <c r="C114" s="15"/>
      <c r="D114" s="15"/>
      <c r="E114" s="15"/>
      <c r="F114" s="15"/>
      <c r="G114" s="15"/>
      <c r="H114" s="16"/>
      <c r="I114" s="16"/>
      <c r="J114" s="15"/>
      <c r="K114" s="15"/>
      <c r="L114" s="15"/>
      <c r="M114" s="15"/>
      <c r="N114" s="15"/>
      <c r="O114" s="15"/>
    </row>
  </sheetData>
  <phoneticPr fontId="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11</xdr:col>
                <xdr:colOff>57150</xdr:colOff>
                <xdr:row>3</xdr:row>
                <xdr:rowOff>171450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>
      <selection activeCell="D15" sqref="D15"/>
    </sheetView>
  </sheetViews>
  <sheetFormatPr defaultColWidth="9" defaultRowHeight="16.5"/>
  <cols>
    <col min="1" max="1" width="20.75" style="39" bestFit="1" customWidth="1"/>
    <col min="2" max="2" width="8.375" style="93" bestFit="1" customWidth="1"/>
    <col min="3" max="16384" width="9" style="40"/>
  </cols>
  <sheetData>
    <row r="1" spans="1:2" ht="20.100000000000001" customHeight="1"/>
    <row r="2" spans="1:2" ht="20.100000000000001" customHeight="1">
      <c r="A2" s="39" t="s">
        <v>146</v>
      </c>
      <c r="B2" s="191">
        <f>StepTest!B12</f>
        <v>97</v>
      </c>
    </row>
    <row r="3" spans="1:2" ht="20.100000000000001" customHeight="1">
      <c r="A3" s="41" t="s">
        <v>147</v>
      </c>
      <c r="B3" s="192">
        <f>StepTest!G31</f>
        <v>13.77</v>
      </c>
    </row>
    <row r="4" spans="1:2" ht="20.100000000000001" customHeight="1">
      <c r="A4" s="41" t="s">
        <v>148</v>
      </c>
      <c r="B4" s="193">
        <f>StepTest!G46</f>
        <v>29.28</v>
      </c>
    </row>
    <row r="5" spans="1:2" ht="20.100000000000001" customHeight="1">
      <c r="A5" s="42" t="s">
        <v>149</v>
      </c>
      <c r="B5" s="193">
        <f>2/3</f>
        <v>0.66666666666666663</v>
      </c>
    </row>
    <row r="6" spans="1:2" ht="20.100000000000001" customHeight="1">
      <c r="A6" s="41"/>
      <c r="B6" s="193"/>
    </row>
    <row r="7" spans="1:2" ht="20.100000000000001" customHeight="1">
      <c r="A7" s="41" t="s">
        <v>150</v>
      </c>
      <c r="B7" s="193">
        <f>B2*(B4/B3)^(2/3)</f>
        <v>160.39709154225162</v>
      </c>
    </row>
    <row r="8" spans="1:2" ht="20.100000000000001" customHeight="1">
      <c r="A8" s="41" t="s">
        <v>151</v>
      </c>
      <c r="B8" s="193">
        <f>INT(B7)</f>
        <v>160</v>
      </c>
    </row>
    <row r="9" spans="1:2" ht="24.75" customHeight="1">
      <c r="B9" s="193"/>
    </row>
    <row r="10" spans="1:2" ht="24.75" customHeight="1">
      <c r="B10" s="193"/>
    </row>
    <row r="11" spans="1:2">
      <c r="B11" s="194">
        <f>B8/Input!$D$23</f>
        <v>0.903954802259887</v>
      </c>
    </row>
    <row r="12" spans="1:2" ht="17.25" thickBot="1"/>
    <row r="13" spans="1:2" ht="24.95" customHeight="1">
      <c r="A13" s="43" t="s">
        <v>152</v>
      </c>
      <c r="B13" s="195">
        <f>Input!$D$6</f>
        <v>177</v>
      </c>
    </row>
    <row r="14" spans="1:2" ht="24.95" customHeight="1">
      <c r="A14" s="44" t="s">
        <v>53</v>
      </c>
      <c r="B14" s="196">
        <f>B8</f>
        <v>160</v>
      </c>
    </row>
    <row r="15" spans="1:2" ht="24.95" customHeight="1" thickBot="1">
      <c r="A15" s="45" t="s">
        <v>153</v>
      </c>
      <c r="B15" s="197">
        <f>Input!$M$51</f>
        <v>160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K15" sqref="K15"/>
    </sheetView>
  </sheetViews>
  <sheetFormatPr defaultColWidth="9" defaultRowHeight="13.5"/>
  <cols>
    <col min="1" max="1" width="5.25" style="46" customWidth="1"/>
    <col min="2" max="2" width="17" style="46" customWidth="1"/>
    <col min="3" max="3" width="12.375" style="46" customWidth="1"/>
    <col min="4" max="4" width="8.75" style="46" customWidth="1"/>
    <col min="5" max="5" width="5.75" style="46" customWidth="1"/>
    <col min="6" max="6" width="13.625" style="46" customWidth="1"/>
    <col min="7" max="7" width="7.875" style="46" customWidth="1"/>
    <col min="8" max="8" width="8.125" style="46" customWidth="1"/>
    <col min="9" max="9" width="10.375" style="47" customWidth="1"/>
    <col min="10" max="10" width="10.875" style="47" customWidth="1"/>
    <col min="11" max="15" width="9" style="46"/>
    <col min="16" max="16" width="9.875" style="46" bestFit="1" customWidth="1"/>
    <col min="17" max="17" width="11.125" style="46" customWidth="1"/>
    <col min="18" max="18" width="9" style="46"/>
    <col min="19" max="19" width="3.75" style="46" bestFit="1" customWidth="1"/>
    <col min="20" max="20" width="5.375" style="46" bestFit="1" customWidth="1"/>
    <col min="21" max="21" width="7.375" style="49" bestFit="1" customWidth="1"/>
    <col min="22" max="23" width="8.75" style="46" customWidth="1"/>
    <col min="24" max="24" width="9.125" style="46" customWidth="1"/>
    <col min="25" max="25" width="7.375" style="46" customWidth="1"/>
    <col min="26" max="26" width="9" style="6" bestFit="1" customWidth="1"/>
    <col min="27" max="27" width="6.375" style="6" bestFit="1" customWidth="1"/>
    <col min="28" max="28" width="7.25" style="6" customWidth="1"/>
    <col min="29" max="29" width="6.625" style="6" customWidth="1"/>
    <col min="30" max="30" width="6.75" style="6" bestFit="1" customWidth="1"/>
    <col min="31" max="31" width="7.125" style="6" customWidth="1"/>
    <col min="32" max="32" width="6.875" style="6" customWidth="1"/>
    <col min="33" max="33" width="6.25" style="6" customWidth="1"/>
    <col min="34" max="34" width="5.375" style="6" customWidth="1"/>
    <col min="35" max="16384" width="9" style="46"/>
  </cols>
  <sheetData>
    <row r="1" spans="1:136" ht="26.25">
      <c r="A1" s="185" t="s">
        <v>154</v>
      </c>
      <c r="B1" s="186"/>
      <c r="C1" s="186"/>
      <c r="D1" s="186"/>
      <c r="E1" s="186"/>
      <c r="F1" s="186"/>
      <c r="G1" s="186"/>
      <c r="H1" s="186"/>
      <c r="I1" s="187"/>
      <c r="J1" s="534"/>
    </row>
    <row r="2" spans="1:136" s="48" customFormat="1" ht="20.25">
      <c r="A2" s="188"/>
      <c r="B2" s="186"/>
      <c r="C2" s="186"/>
      <c r="D2" s="186"/>
      <c r="E2" s="186"/>
      <c r="F2" s="186"/>
      <c r="G2" s="186"/>
      <c r="H2" s="186"/>
      <c r="I2" s="187"/>
      <c r="J2" s="52"/>
      <c r="Q2" s="306" t="s">
        <v>155</v>
      </c>
      <c r="T2" s="307" t="s">
        <v>156</v>
      </c>
      <c r="U2" s="308"/>
      <c r="V2" s="307"/>
    </row>
    <row r="3" spans="1:136" s="50" customFormat="1" ht="26.25">
      <c r="A3" s="189" t="s">
        <v>157</v>
      </c>
      <c r="B3" s="189"/>
      <c r="C3" s="189"/>
      <c r="D3" s="189"/>
      <c r="E3" s="189"/>
      <c r="F3" s="189"/>
      <c r="G3" s="189"/>
      <c r="H3" s="190"/>
      <c r="I3" s="189"/>
      <c r="J3" s="52"/>
      <c r="Q3" s="299" t="s">
        <v>158</v>
      </c>
      <c r="S3" s="52" t="s">
        <v>13</v>
      </c>
      <c r="T3" s="52" t="s">
        <v>28</v>
      </c>
      <c r="U3" s="53" t="s">
        <v>159</v>
      </c>
      <c r="V3" s="52" t="s">
        <v>32</v>
      </c>
      <c r="W3" s="52" t="s">
        <v>160</v>
      </c>
      <c r="X3" s="52" t="s">
        <v>39</v>
      </c>
      <c r="Y3" s="52" t="s">
        <v>12</v>
      </c>
      <c r="AC3" s="50">
        <v>0</v>
      </c>
      <c r="AI3" s="52"/>
    </row>
    <row r="4" spans="1:136" s="50" customFormat="1" ht="23.1" customHeight="1">
      <c r="A4" s="503" t="s">
        <v>161</v>
      </c>
      <c r="B4" s="503"/>
      <c r="C4" s="312" t="str">
        <f>Input!I44</f>
        <v>2023년 지하수영향조사 용역(북부)</v>
      </c>
      <c r="D4" s="313"/>
      <c r="E4" s="313"/>
      <c r="F4" s="313"/>
      <c r="G4" s="313"/>
      <c r="H4" s="314"/>
      <c r="I4" s="315"/>
      <c r="J4" s="52"/>
      <c r="P4" s="50">
        <v>1</v>
      </c>
      <c r="Q4" s="380">
        <v>-0.88523269653320336</v>
      </c>
      <c r="R4" s="54">
        <f>B12</f>
        <v>97</v>
      </c>
      <c r="S4" s="50">
        <f>$R$4</f>
        <v>97</v>
      </c>
      <c r="T4" s="310">
        <v>2.8919622695744311</v>
      </c>
      <c r="U4" s="309">
        <f>Input!M44/2/1000</f>
        <v>0.125</v>
      </c>
      <c r="V4" s="299">
        <v>5.0000000000000001E-4</v>
      </c>
      <c r="W4" s="50">
        <f t="shared" ref="W4:W43" si="0">X4/1440</f>
        <v>6.9444444444444447E-4</v>
      </c>
      <c r="X4" s="55">
        <f>D12</f>
        <v>1</v>
      </c>
      <c r="Y4" s="56">
        <f t="shared" ref="Y4:Y43" si="1">2.3*S4/(4*PI()*T4)*LOG10((2.25*T4*W4)/(U4*U4*V4))</f>
        <v>16.957263190422815</v>
      </c>
      <c r="Z4" s="57">
        <f>Z22</f>
        <v>15.95134070433323</v>
      </c>
      <c r="AA4" s="56">
        <f>$Z$4</f>
        <v>15.95134070433323</v>
      </c>
      <c r="AB4" s="56">
        <f>X4</f>
        <v>1</v>
      </c>
      <c r="AC4" s="56">
        <f>Y4-AA4</f>
        <v>1.0059224860895846</v>
      </c>
      <c r="AD4" s="58">
        <f>INT((AC4-AE4)*100)/100</f>
        <v>1.89</v>
      </c>
      <c r="AE4" s="59">
        <f>Q4</f>
        <v>-0.88523269653320336</v>
      </c>
      <c r="AF4" s="57">
        <f t="shared" ref="AF4:AF21" si="2">AF5-0.01</f>
        <v>0.80999999999999983</v>
      </c>
      <c r="AG4" s="56"/>
      <c r="AH4" s="56"/>
      <c r="AI4" s="56"/>
    </row>
    <row r="5" spans="1:136" s="50" customFormat="1" ht="23.1" customHeight="1">
      <c r="A5" s="503" t="s">
        <v>162</v>
      </c>
      <c r="B5" s="503"/>
      <c r="C5" s="316" t="str">
        <f>Input!I45</f>
        <v>오포지구</v>
      </c>
      <c r="D5" s="313"/>
      <c r="E5" s="313"/>
      <c r="F5" s="317"/>
      <c r="G5" s="313"/>
      <c r="H5" s="318" t="str">
        <f>Input!J48</f>
        <v>공  번 : W - 1</v>
      </c>
      <c r="I5" s="319"/>
      <c r="J5" s="52"/>
      <c r="P5" s="50">
        <v>2</v>
      </c>
      <c r="Q5" s="380"/>
      <c r="S5" s="50">
        <f t="shared" ref="S5:S23" si="3">$R$4</f>
        <v>97</v>
      </c>
      <c r="T5" s="50">
        <f>$T4</f>
        <v>2.8919622695744311</v>
      </c>
      <c r="U5" s="60">
        <f>$U4</f>
        <v>0.125</v>
      </c>
      <c r="V5" s="50">
        <f>$V4</f>
        <v>5.0000000000000001E-4</v>
      </c>
      <c r="W5" s="50">
        <f t="shared" si="0"/>
        <v>1.3888888888888889E-3</v>
      </c>
      <c r="X5" s="55">
        <f t="shared" ref="X5:X43" si="4">D13</f>
        <v>2</v>
      </c>
      <c r="Y5" s="56">
        <f t="shared" si="1"/>
        <v>18.805283994752042</v>
      </c>
      <c r="AA5" s="56">
        <f t="shared" ref="AA5:AA23" si="5">$Z$4</f>
        <v>15.95134070433323</v>
      </c>
      <c r="AB5" s="56">
        <f t="shared" ref="AB5:AB43" si="6">X5</f>
        <v>2</v>
      </c>
      <c r="AC5" s="56">
        <f t="shared" ref="AC5:AC43" si="7">Y5-AA5</f>
        <v>2.8539432904188118</v>
      </c>
      <c r="AD5" s="58">
        <f t="shared" ref="AD5:AD16" si="8">INT((AC5-AE5)*100)/100</f>
        <v>2.85</v>
      </c>
      <c r="AE5" s="59">
        <f t="shared" ref="AE5:AE16" si="9">Q5</f>
        <v>0</v>
      </c>
      <c r="AF5" s="57">
        <f t="shared" si="2"/>
        <v>0.81999999999999984</v>
      </c>
      <c r="AG5" s="56"/>
      <c r="AH5" s="56"/>
      <c r="AI5" s="56"/>
    </row>
    <row r="6" spans="1:136" s="50" customFormat="1" ht="23.1" customHeight="1">
      <c r="A6" s="503" t="s">
        <v>163</v>
      </c>
      <c r="B6" s="503"/>
      <c r="C6" s="320" t="str">
        <f>Input!I46</f>
        <v>충청남도 보령시 오천면 오포리 409-1</v>
      </c>
      <c r="D6" s="313"/>
      <c r="E6" s="313"/>
      <c r="F6" s="313"/>
      <c r="G6" s="313"/>
      <c r="H6" s="314"/>
      <c r="I6" s="315"/>
      <c r="J6" s="52"/>
      <c r="P6" s="50">
        <v>3</v>
      </c>
      <c r="Q6" s="380"/>
      <c r="S6" s="50">
        <f t="shared" si="3"/>
        <v>97</v>
      </c>
      <c r="T6" s="50">
        <f t="shared" ref="T6:T51" si="10">$T5</f>
        <v>2.8919622695744311</v>
      </c>
      <c r="U6" s="60">
        <f t="shared" ref="U6:U51" si="11">$U5</f>
        <v>0.125</v>
      </c>
      <c r="V6" s="50">
        <f t="shared" ref="V6:V51" si="12">$V5</f>
        <v>5.0000000000000001E-4</v>
      </c>
      <c r="W6" s="50">
        <f t="shared" si="0"/>
        <v>2.0833333333333333E-3</v>
      </c>
      <c r="X6" s="55">
        <f t="shared" si="4"/>
        <v>3</v>
      </c>
      <c r="Y6" s="56">
        <f t="shared" si="1"/>
        <v>19.886306865837184</v>
      </c>
      <c r="AA6" s="56">
        <f t="shared" si="5"/>
        <v>15.95134070433323</v>
      </c>
      <c r="AB6" s="56">
        <f t="shared" si="6"/>
        <v>3</v>
      </c>
      <c r="AC6" s="56">
        <f t="shared" si="7"/>
        <v>3.9349661615039544</v>
      </c>
      <c r="AD6" s="58">
        <f t="shared" si="8"/>
        <v>3.93</v>
      </c>
      <c r="AE6" s="59">
        <f t="shared" si="9"/>
        <v>0</v>
      </c>
      <c r="AF6" s="57">
        <f t="shared" si="2"/>
        <v>0.82999999999999985</v>
      </c>
      <c r="AG6" s="56"/>
      <c r="AH6" s="56"/>
      <c r="AI6" s="56"/>
    </row>
    <row r="7" spans="1:136" s="50" customFormat="1" ht="23.1" customHeight="1">
      <c r="A7" s="503" t="s">
        <v>164</v>
      </c>
      <c r="B7" s="503"/>
      <c r="C7" s="321" t="str">
        <f>Input!I47</f>
        <v xml:space="preserve">산수개발(주) </v>
      </c>
      <c r="D7" s="322"/>
      <c r="E7" s="313"/>
      <c r="F7" s="323"/>
      <c r="G7" s="324" t="str">
        <f>Input!I49</f>
        <v>오포지구</v>
      </c>
      <c r="H7" s="325"/>
      <c r="I7" s="326"/>
      <c r="J7" s="52"/>
      <c r="P7" s="50">
        <v>4</v>
      </c>
      <c r="Q7" s="380"/>
      <c r="S7" s="50">
        <f t="shared" si="3"/>
        <v>97</v>
      </c>
      <c r="T7" s="50">
        <f t="shared" si="10"/>
        <v>2.8919622695744311</v>
      </c>
      <c r="U7" s="60">
        <f t="shared" si="11"/>
        <v>0.125</v>
      </c>
      <c r="V7" s="50">
        <f t="shared" si="12"/>
        <v>5.0000000000000001E-4</v>
      </c>
      <c r="W7" s="50">
        <f t="shared" si="0"/>
        <v>2.7777777777777779E-3</v>
      </c>
      <c r="X7" s="55">
        <f t="shared" si="4"/>
        <v>4</v>
      </c>
      <c r="Y7" s="56">
        <f t="shared" si="1"/>
        <v>20.653304799081262</v>
      </c>
      <c r="AA7" s="56">
        <f t="shared" si="5"/>
        <v>15.95134070433323</v>
      </c>
      <c r="AB7" s="56">
        <f t="shared" si="6"/>
        <v>4</v>
      </c>
      <c r="AC7" s="56">
        <f t="shared" si="7"/>
        <v>4.7019640947480319</v>
      </c>
      <c r="AD7" s="58">
        <f t="shared" si="8"/>
        <v>4.7</v>
      </c>
      <c r="AE7" s="59">
        <f t="shared" si="9"/>
        <v>0</v>
      </c>
      <c r="AF7" s="57">
        <f t="shared" si="2"/>
        <v>0.83999999999999986</v>
      </c>
      <c r="AG7" s="56"/>
      <c r="AH7" s="56"/>
      <c r="AI7" s="56"/>
    </row>
    <row r="8" spans="1:136" s="50" customFormat="1" ht="23.1" customHeight="1">
      <c r="A8" s="327" t="s">
        <v>165</v>
      </c>
      <c r="B8" s="327"/>
      <c r="C8" s="504">
        <f>Input!I48</f>
        <v>5</v>
      </c>
      <c r="D8" s="505"/>
      <c r="E8" s="506"/>
      <c r="F8" s="328" t="s">
        <v>166</v>
      </c>
      <c r="G8" s="324" t="str">
        <f>G7</f>
        <v>오포지구</v>
      </c>
      <c r="H8" s="325"/>
      <c r="I8" s="329"/>
      <c r="J8" s="52"/>
      <c r="K8" s="61"/>
      <c r="P8" s="50">
        <v>5</v>
      </c>
      <c r="Q8" s="380"/>
      <c r="S8" s="50">
        <f t="shared" si="3"/>
        <v>97</v>
      </c>
      <c r="T8" s="50">
        <f t="shared" si="10"/>
        <v>2.8919622695744311</v>
      </c>
      <c r="U8" s="60">
        <f t="shared" si="11"/>
        <v>0.125</v>
      </c>
      <c r="V8" s="50">
        <f t="shared" si="12"/>
        <v>5.0000000000000001E-4</v>
      </c>
      <c r="W8" s="50">
        <f t="shared" si="0"/>
        <v>3.472222222222222E-3</v>
      </c>
      <c r="X8" s="55">
        <f>D16</f>
        <v>5</v>
      </c>
      <c r="Y8" s="56">
        <f t="shared" si="1"/>
        <v>21.248234615931185</v>
      </c>
      <c r="AA8" s="56">
        <f t="shared" si="5"/>
        <v>15.95134070433323</v>
      </c>
      <c r="AB8" s="56">
        <f t="shared" si="6"/>
        <v>5</v>
      </c>
      <c r="AC8" s="56">
        <f t="shared" si="7"/>
        <v>5.2968939115979552</v>
      </c>
      <c r="AD8" s="58">
        <f t="shared" si="8"/>
        <v>5.29</v>
      </c>
      <c r="AE8" s="59">
        <f t="shared" si="9"/>
        <v>0</v>
      </c>
      <c r="AF8" s="57">
        <f t="shared" si="2"/>
        <v>0.84999999999999987</v>
      </c>
      <c r="AG8" s="56"/>
      <c r="AH8" s="56"/>
      <c r="AI8" s="56"/>
    </row>
    <row r="9" spans="1:136" s="50" customFormat="1" ht="23.1" customHeight="1">
      <c r="A9" s="327" t="s">
        <v>167</v>
      </c>
      <c r="B9" s="327"/>
      <c r="C9" s="330" t="s">
        <v>168</v>
      </c>
      <c r="D9" s="507">
        <f>Input!M44</f>
        <v>250</v>
      </c>
      <c r="E9" s="507"/>
      <c r="F9" s="311" t="s">
        <v>169</v>
      </c>
      <c r="G9" s="508">
        <f>Input!M45</f>
        <v>100</v>
      </c>
      <c r="H9" s="508"/>
      <c r="I9" s="311"/>
      <c r="J9" s="52"/>
      <c r="P9" s="50">
        <v>10</v>
      </c>
      <c r="Q9" s="380"/>
      <c r="S9" s="50">
        <f t="shared" si="3"/>
        <v>97</v>
      </c>
      <c r="T9" s="50">
        <f t="shared" si="10"/>
        <v>2.8919622695744311</v>
      </c>
      <c r="U9" s="60">
        <f t="shared" si="11"/>
        <v>0.125</v>
      </c>
      <c r="V9" s="50">
        <f t="shared" si="12"/>
        <v>5.0000000000000001E-4</v>
      </c>
      <c r="W9" s="50">
        <f t="shared" si="0"/>
        <v>6.9444444444444441E-3</v>
      </c>
      <c r="X9" s="55">
        <f t="shared" si="4"/>
        <v>10</v>
      </c>
      <c r="Y9" s="56">
        <f t="shared" si="1"/>
        <v>23.096255420260409</v>
      </c>
      <c r="AA9" s="56">
        <f t="shared" si="5"/>
        <v>15.95134070433323</v>
      </c>
      <c r="AB9" s="56">
        <f t="shared" si="6"/>
        <v>10</v>
      </c>
      <c r="AC9" s="56">
        <f t="shared" si="7"/>
        <v>7.1449147159271789</v>
      </c>
      <c r="AD9" s="58">
        <f t="shared" si="8"/>
        <v>7.14</v>
      </c>
      <c r="AE9" s="59">
        <f t="shared" si="9"/>
        <v>0</v>
      </c>
      <c r="AF9" s="57">
        <f t="shared" si="2"/>
        <v>0.85999999999999988</v>
      </c>
      <c r="AG9" s="56"/>
      <c r="AH9" s="56"/>
      <c r="AI9" s="56"/>
    </row>
    <row r="10" spans="1:136" s="50" customFormat="1" ht="23.1" customHeight="1">
      <c r="A10" s="327" t="s">
        <v>170</v>
      </c>
      <c r="B10" s="327"/>
      <c r="C10" s="330" t="s">
        <v>218</v>
      </c>
      <c r="D10" s="509">
        <f>Input!M48</f>
        <v>10.3</v>
      </c>
      <c r="E10" s="510"/>
      <c r="F10" s="331" t="s">
        <v>4</v>
      </c>
      <c r="G10" s="511" t="s">
        <v>4</v>
      </c>
      <c r="H10" s="511"/>
      <c r="I10" s="319"/>
      <c r="J10" s="52"/>
      <c r="P10" s="50">
        <v>15</v>
      </c>
      <c r="Q10" s="380"/>
      <c r="S10" s="50">
        <f t="shared" si="3"/>
        <v>97</v>
      </c>
      <c r="T10" s="50">
        <f t="shared" si="10"/>
        <v>2.8919622695744311</v>
      </c>
      <c r="U10" s="60">
        <f t="shared" si="11"/>
        <v>0.125</v>
      </c>
      <c r="V10" s="50">
        <f t="shared" si="12"/>
        <v>5.0000000000000001E-4</v>
      </c>
      <c r="W10" s="50">
        <f t="shared" si="0"/>
        <v>1.0416666666666666E-2</v>
      </c>
      <c r="X10" s="55">
        <f t="shared" si="4"/>
        <v>15</v>
      </c>
      <c r="Y10" s="56">
        <f t="shared" si="1"/>
        <v>24.177278291345552</v>
      </c>
      <c r="AA10" s="56">
        <f t="shared" si="5"/>
        <v>15.95134070433323</v>
      </c>
      <c r="AB10" s="56">
        <f t="shared" si="6"/>
        <v>15</v>
      </c>
      <c r="AC10" s="56">
        <f t="shared" si="7"/>
        <v>8.2259375870123215</v>
      </c>
      <c r="AD10" s="58">
        <f t="shared" si="8"/>
        <v>8.2200000000000006</v>
      </c>
      <c r="AE10" s="59">
        <f t="shared" si="9"/>
        <v>0</v>
      </c>
      <c r="AF10" s="57">
        <f t="shared" si="2"/>
        <v>0.86999999999999988</v>
      </c>
      <c r="AG10" s="56"/>
      <c r="AH10" s="56"/>
      <c r="AI10" s="56"/>
    </row>
    <row r="11" spans="1:136" s="50" customFormat="1" ht="23.1" customHeight="1">
      <c r="A11" s="311" t="s">
        <v>171</v>
      </c>
      <c r="B11" s="332" t="s">
        <v>172</v>
      </c>
      <c r="C11" s="330" t="s">
        <v>173</v>
      </c>
      <c r="D11" s="512" t="s">
        <v>174</v>
      </c>
      <c r="E11" s="512"/>
      <c r="F11" s="332" t="s">
        <v>175</v>
      </c>
      <c r="G11" s="513" t="s">
        <v>176</v>
      </c>
      <c r="H11" s="513"/>
      <c r="I11" s="311" t="s">
        <v>177</v>
      </c>
      <c r="J11" s="62">
        <f>G12-J13</f>
        <v>0.92999999999999972</v>
      </c>
      <c r="P11" s="50">
        <v>20</v>
      </c>
      <c r="Q11" s="380"/>
      <c r="S11" s="50">
        <f t="shared" si="3"/>
        <v>97</v>
      </c>
      <c r="T11" s="50">
        <f t="shared" si="10"/>
        <v>2.8919622695744311</v>
      </c>
      <c r="U11" s="60">
        <f t="shared" si="11"/>
        <v>0.125</v>
      </c>
      <c r="V11" s="50">
        <f t="shared" si="12"/>
        <v>5.0000000000000001E-4</v>
      </c>
      <c r="W11" s="50">
        <f t="shared" si="0"/>
        <v>1.3888888888888888E-2</v>
      </c>
      <c r="X11" s="55">
        <f t="shared" si="4"/>
        <v>20</v>
      </c>
      <c r="Y11" s="56">
        <f t="shared" si="1"/>
        <v>24.944276224589633</v>
      </c>
      <c r="AA11" s="56">
        <f t="shared" si="5"/>
        <v>15.95134070433323</v>
      </c>
      <c r="AB11" s="56">
        <f t="shared" si="6"/>
        <v>20</v>
      </c>
      <c r="AC11" s="56">
        <f t="shared" si="7"/>
        <v>8.9929355202564025</v>
      </c>
      <c r="AD11" s="58">
        <f t="shared" si="8"/>
        <v>8.99</v>
      </c>
      <c r="AE11" s="59">
        <f t="shared" si="9"/>
        <v>0</v>
      </c>
      <c r="AF11" s="57">
        <f t="shared" si="2"/>
        <v>0.87999999999999989</v>
      </c>
      <c r="AG11" s="56"/>
      <c r="AH11" s="56"/>
      <c r="AI11" s="56"/>
    </row>
    <row r="12" spans="1:136" s="50" customFormat="1" ht="23.1" customHeight="1">
      <c r="A12" s="333">
        <v>1</v>
      </c>
      <c r="B12" s="334">
        <f>Input!D20</f>
        <v>97</v>
      </c>
      <c r="C12" s="335">
        <v>44992.479166666664</v>
      </c>
      <c r="D12" s="501">
        <v>1</v>
      </c>
      <c r="E12" s="501"/>
      <c r="F12" s="336">
        <f>G12+$D$10</f>
        <v>12.190000000000001</v>
      </c>
      <c r="G12" s="502">
        <f>AD4</f>
        <v>1.89</v>
      </c>
      <c r="H12" s="502"/>
      <c r="I12" s="311" t="s">
        <v>178</v>
      </c>
      <c r="J12" s="535"/>
      <c r="P12" s="50">
        <v>25</v>
      </c>
      <c r="Q12" s="380"/>
      <c r="S12" s="50">
        <f t="shared" si="3"/>
        <v>97</v>
      </c>
      <c r="T12" s="50">
        <f t="shared" si="10"/>
        <v>2.8919622695744311</v>
      </c>
      <c r="U12" s="60">
        <f t="shared" si="11"/>
        <v>0.125</v>
      </c>
      <c r="V12" s="50">
        <f t="shared" si="12"/>
        <v>5.0000000000000001E-4</v>
      </c>
      <c r="W12" s="50">
        <f t="shared" si="0"/>
        <v>1.7361111111111112E-2</v>
      </c>
      <c r="X12" s="55">
        <f t="shared" si="4"/>
        <v>25</v>
      </c>
      <c r="Y12" s="56">
        <f t="shared" si="1"/>
        <v>25.539206041439549</v>
      </c>
      <c r="AA12" s="56">
        <f t="shared" si="5"/>
        <v>15.95134070433323</v>
      </c>
      <c r="AB12" s="56">
        <f t="shared" si="6"/>
        <v>25</v>
      </c>
      <c r="AC12" s="56">
        <f t="shared" si="7"/>
        <v>9.5878653371063187</v>
      </c>
      <c r="AD12" s="58">
        <f t="shared" si="8"/>
        <v>9.58</v>
      </c>
      <c r="AE12" s="59">
        <f t="shared" si="9"/>
        <v>0</v>
      </c>
      <c r="AF12" s="57">
        <f t="shared" si="2"/>
        <v>0.8899999999999999</v>
      </c>
      <c r="AG12" s="56"/>
      <c r="AH12" s="56"/>
      <c r="AI12" s="56"/>
      <c r="EF12" s="50">
        <v>2.46</v>
      </c>
    </row>
    <row r="13" spans="1:136" s="50" customFormat="1" ht="23.1" customHeight="1">
      <c r="A13" s="333"/>
      <c r="B13" s="333"/>
      <c r="C13" s="335"/>
      <c r="D13" s="501">
        <v>2</v>
      </c>
      <c r="E13" s="501"/>
      <c r="F13" s="336">
        <f t="shared" ref="F13:F51" si="13">G13+$D$10</f>
        <v>13.15</v>
      </c>
      <c r="G13" s="502">
        <f t="shared" ref="G13:G51" si="14">AD5</f>
        <v>2.85</v>
      </c>
      <c r="H13" s="502"/>
      <c r="I13" s="337"/>
      <c r="J13" s="536">
        <f>G13-G12</f>
        <v>0.96000000000000019</v>
      </c>
      <c r="P13" s="50">
        <v>30</v>
      </c>
      <c r="Q13" s="380"/>
      <c r="S13" s="50">
        <f t="shared" si="3"/>
        <v>97</v>
      </c>
      <c r="T13" s="50">
        <f t="shared" si="10"/>
        <v>2.8919622695744311</v>
      </c>
      <c r="U13" s="60">
        <f t="shared" si="11"/>
        <v>0.125</v>
      </c>
      <c r="V13" s="50">
        <f t="shared" si="12"/>
        <v>5.0000000000000001E-4</v>
      </c>
      <c r="W13" s="50">
        <f t="shared" si="0"/>
        <v>2.0833333333333332E-2</v>
      </c>
      <c r="X13" s="55">
        <f t="shared" si="4"/>
        <v>30</v>
      </c>
      <c r="Y13" s="56">
        <f t="shared" si="1"/>
        <v>26.025299095674779</v>
      </c>
      <c r="AA13" s="56">
        <f t="shared" si="5"/>
        <v>15.95134070433323</v>
      </c>
      <c r="AB13" s="56">
        <f t="shared" si="6"/>
        <v>30</v>
      </c>
      <c r="AC13" s="56">
        <f t="shared" si="7"/>
        <v>10.073958391341549</v>
      </c>
      <c r="AD13" s="58">
        <f t="shared" si="8"/>
        <v>10.07</v>
      </c>
      <c r="AE13" s="59">
        <f t="shared" si="9"/>
        <v>0</v>
      </c>
      <c r="AF13" s="57">
        <f t="shared" si="2"/>
        <v>0.89999999999999991</v>
      </c>
      <c r="AG13" s="56"/>
      <c r="AH13" s="56"/>
      <c r="AI13" s="56"/>
      <c r="EF13" s="50">
        <v>3.77</v>
      </c>
    </row>
    <row r="14" spans="1:136" s="50" customFormat="1" ht="23.1" customHeight="1">
      <c r="A14" s="333"/>
      <c r="B14" s="333"/>
      <c r="C14" s="335"/>
      <c r="D14" s="501">
        <v>3</v>
      </c>
      <c r="E14" s="501"/>
      <c r="F14" s="336">
        <f t="shared" si="13"/>
        <v>14.23</v>
      </c>
      <c r="G14" s="502">
        <f t="shared" si="14"/>
        <v>3.93</v>
      </c>
      <c r="H14" s="502"/>
      <c r="I14" s="337"/>
      <c r="J14" s="536">
        <f t="shared" ref="J14:J51" si="15">G14-G13</f>
        <v>1.08</v>
      </c>
      <c r="Q14" s="380"/>
      <c r="S14" s="50">
        <f t="shared" si="3"/>
        <v>97</v>
      </c>
      <c r="T14" s="50">
        <f t="shared" si="10"/>
        <v>2.8919622695744311</v>
      </c>
      <c r="U14" s="60">
        <f t="shared" si="11"/>
        <v>0.125</v>
      </c>
      <c r="V14" s="50">
        <f t="shared" si="12"/>
        <v>5.0000000000000001E-4</v>
      </c>
      <c r="W14" s="50">
        <f t="shared" si="0"/>
        <v>2.4305555555555556E-2</v>
      </c>
      <c r="X14" s="55">
        <f t="shared" si="4"/>
        <v>35</v>
      </c>
      <c r="Y14" s="56">
        <f t="shared" si="1"/>
        <v>26.436284917029685</v>
      </c>
      <c r="AA14" s="56">
        <f t="shared" si="5"/>
        <v>15.95134070433323</v>
      </c>
      <c r="AB14" s="56">
        <f t="shared" si="6"/>
        <v>35</v>
      </c>
      <c r="AC14" s="56">
        <f t="shared" si="7"/>
        <v>10.484944212696455</v>
      </c>
      <c r="AD14" s="58">
        <f t="shared" si="8"/>
        <v>10.48</v>
      </c>
      <c r="AE14" s="59">
        <f t="shared" si="9"/>
        <v>0</v>
      </c>
      <c r="AF14" s="57">
        <f t="shared" si="2"/>
        <v>0.90999999999999992</v>
      </c>
      <c r="AG14" s="56"/>
      <c r="AH14" s="56"/>
      <c r="AI14" s="56"/>
      <c r="EF14" s="50">
        <v>4.87</v>
      </c>
    </row>
    <row r="15" spans="1:136" s="50" customFormat="1" ht="23.1" customHeight="1" thickBot="1">
      <c r="A15" s="333"/>
      <c r="B15" s="333"/>
      <c r="C15" s="335"/>
      <c r="D15" s="501">
        <v>4</v>
      </c>
      <c r="E15" s="501"/>
      <c r="F15" s="336">
        <f t="shared" si="13"/>
        <v>15</v>
      </c>
      <c r="G15" s="502">
        <f t="shared" si="14"/>
        <v>4.7</v>
      </c>
      <c r="H15" s="502"/>
      <c r="I15" s="337"/>
      <c r="J15" s="536">
        <f t="shared" si="15"/>
        <v>0.77</v>
      </c>
      <c r="Q15" s="380"/>
      <c r="S15" s="50">
        <f t="shared" si="3"/>
        <v>97</v>
      </c>
      <c r="T15" s="50">
        <f t="shared" si="10"/>
        <v>2.8919622695744311</v>
      </c>
      <c r="U15" s="60">
        <f t="shared" si="11"/>
        <v>0.125</v>
      </c>
      <c r="V15" s="50">
        <f t="shared" si="12"/>
        <v>5.0000000000000001E-4</v>
      </c>
      <c r="W15" s="50">
        <f t="shared" si="0"/>
        <v>2.7777777777777776E-2</v>
      </c>
      <c r="X15" s="55">
        <f t="shared" si="4"/>
        <v>40</v>
      </c>
      <c r="Y15" s="56">
        <f t="shared" si="1"/>
        <v>26.792297028918856</v>
      </c>
      <c r="AA15" s="56">
        <f t="shared" si="5"/>
        <v>15.95134070433323</v>
      </c>
      <c r="AB15" s="56">
        <f t="shared" si="6"/>
        <v>40</v>
      </c>
      <c r="AC15" s="56">
        <f t="shared" si="7"/>
        <v>10.840956324585626</v>
      </c>
      <c r="AD15" s="58">
        <f t="shared" si="8"/>
        <v>10.84</v>
      </c>
      <c r="AE15" s="59">
        <f t="shared" si="9"/>
        <v>0</v>
      </c>
      <c r="AF15" s="57">
        <f t="shared" si="2"/>
        <v>0.91999999999999993</v>
      </c>
      <c r="AG15" s="56"/>
      <c r="AH15" s="56"/>
      <c r="AI15" s="56"/>
      <c r="EF15" s="50">
        <v>5.79</v>
      </c>
    </row>
    <row r="16" spans="1:136" s="50" customFormat="1" ht="23.1" customHeight="1">
      <c r="A16" s="333"/>
      <c r="B16" s="333"/>
      <c r="C16" s="335"/>
      <c r="D16" s="501">
        <v>5</v>
      </c>
      <c r="E16" s="501"/>
      <c r="F16" s="336">
        <f t="shared" si="13"/>
        <v>15.59</v>
      </c>
      <c r="G16" s="502">
        <f t="shared" si="14"/>
        <v>5.29</v>
      </c>
      <c r="H16" s="502"/>
      <c r="I16" s="337"/>
      <c r="J16" s="536">
        <f t="shared" si="15"/>
        <v>0.58999999999999986</v>
      </c>
      <c r="K16" s="394" t="s">
        <v>249</v>
      </c>
      <c r="L16" s="395" t="s">
        <v>179</v>
      </c>
      <c r="M16" s="395" t="s">
        <v>180</v>
      </c>
      <c r="N16" s="395" t="s">
        <v>247</v>
      </c>
      <c r="O16" s="395" t="s">
        <v>248</v>
      </c>
      <c r="P16" s="396" t="s">
        <v>250</v>
      </c>
      <c r="S16" s="50">
        <f t="shared" si="3"/>
        <v>97</v>
      </c>
      <c r="T16" s="50">
        <f t="shared" si="10"/>
        <v>2.8919622695744311</v>
      </c>
      <c r="U16" s="60">
        <f t="shared" si="11"/>
        <v>0.125</v>
      </c>
      <c r="V16" s="50">
        <f t="shared" si="12"/>
        <v>5.0000000000000001E-4</v>
      </c>
      <c r="W16" s="50">
        <f t="shared" si="0"/>
        <v>3.125E-2</v>
      </c>
      <c r="X16" s="55">
        <f t="shared" si="4"/>
        <v>45</v>
      </c>
      <c r="Y16" s="56">
        <f t="shared" si="1"/>
        <v>27.106321966759925</v>
      </c>
      <c r="AA16" s="56">
        <f t="shared" si="5"/>
        <v>15.95134070433323</v>
      </c>
      <c r="AB16" s="56">
        <f t="shared" si="6"/>
        <v>45</v>
      </c>
      <c r="AC16" s="56">
        <f t="shared" si="7"/>
        <v>11.154981262426695</v>
      </c>
      <c r="AD16" s="58">
        <f t="shared" si="8"/>
        <v>11.15</v>
      </c>
      <c r="AE16" s="59">
        <f t="shared" si="9"/>
        <v>0</v>
      </c>
      <c r="AF16" s="57">
        <f t="shared" si="2"/>
        <v>0.92999999999999994</v>
      </c>
      <c r="AG16" s="56"/>
      <c r="AH16" s="56"/>
      <c r="AI16" s="56"/>
      <c r="EF16" s="50">
        <v>6.75</v>
      </c>
    </row>
    <row r="17" spans="1:136" s="50" customFormat="1" ht="23.1" customHeight="1">
      <c r="A17" s="333"/>
      <c r="B17" s="333"/>
      <c r="C17" s="335"/>
      <c r="D17" s="501">
        <v>10</v>
      </c>
      <c r="E17" s="501"/>
      <c r="F17" s="336">
        <f t="shared" si="13"/>
        <v>17.440000000000001</v>
      </c>
      <c r="G17" s="502">
        <f t="shared" si="14"/>
        <v>7.14</v>
      </c>
      <c r="H17" s="502"/>
      <c r="I17" s="337"/>
      <c r="J17" s="536">
        <f t="shared" si="15"/>
        <v>1.8499999999999996</v>
      </c>
      <c r="K17" s="397">
        <f>D12</f>
        <v>1</v>
      </c>
      <c r="L17" s="382">
        <f>INT(B12/1440*10000)/10000</f>
        <v>6.7299999999999999E-2</v>
      </c>
      <c r="M17" s="382">
        <f>K17*L17</f>
        <v>6.7299999999999999E-2</v>
      </c>
      <c r="N17" s="382">
        <f>INT((D9/2000)^2*3.14159*100000)/100000</f>
        <v>4.9079999999999999E-2</v>
      </c>
      <c r="O17" s="382">
        <f>INT(M17/N17*100)/100</f>
        <v>1.37</v>
      </c>
      <c r="P17" s="398">
        <f>INT((G12-O17)*100)/100</f>
        <v>0.52</v>
      </c>
      <c r="S17" s="50">
        <f t="shared" si="3"/>
        <v>97</v>
      </c>
      <c r="T17" s="50">
        <f t="shared" si="10"/>
        <v>2.8919622695744311</v>
      </c>
      <c r="U17" s="60">
        <f t="shared" si="11"/>
        <v>0.125</v>
      </c>
      <c r="V17" s="50">
        <f t="shared" si="12"/>
        <v>5.0000000000000001E-4</v>
      </c>
      <c r="W17" s="50">
        <f t="shared" si="0"/>
        <v>3.4722222222222224E-2</v>
      </c>
      <c r="X17" s="55">
        <f t="shared" si="4"/>
        <v>50</v>
      </c>
      <c r="Y17" s="56">
        <f t="shared" si="1"/>
        <v>27.387226845768776</v>
      </c>
      <c r="AA17" s="56">
        <f t="shared" si="5"/>
        <v>15.95134070433323</v>
      </c>
      <c r="AB17" s="56">
        <f t="shared" si="6"/>
        <v>50</v>
      </c>
      <c r="AC17" s="56">
        <f t="shared" si="7"/>
        <v>11.435886141435546</v>
      </c>
      <c r="AD17" s="58">
        <f t="shared" ref="AD17:AD22" si="16">INT(AC17*100)/100</f>
        <v>11.43</v>
      </c>
      <c r="AF17" s="57">
        <f t="shared" si="2"/>
        <v>0.94</v>
      </c>
      <c r="AG17" s="56"/>
      <c r="AH17" s="56"/>
      <c r="AI17" s="56"/>
      <c r="EF17" s="50">
        <v>7.73</v>
      </c>
    </row>
    <row r="18" spans="1:136" s="50" customFormat="1" ht="23.1" customHeight="1">
      <c r="A18" s="333"/>
      <c r="B18" s="333"/>
      <c r="C18" s="335"/>
      <c r="D18" s="501">
        <v>15</v>
      </c>
      <c r="E18" s="501"/>
      <c r="F18" s="336">
        <f t="shared" si="13"/>
        <v>18.520000000000003</v>
      </c>
      <c r="G18" s="502">
        <f t="shared" si="14"/>
        <v>8.2200000000000006</v>
      </c>
      <c r="H18" s="502"/>
      <c r="I18" s="337"/>
      <c r="J18" s="536">
        <f t="shared" si="15"/>
        <v>1.080000000000001</v>
      </c>
      <c r="K18" s="397">
        <f>D13</f>
        <v>2</v>
      </c>
      <c r="L18" s="382">
        <f>L17</f>
        <v>6.7299999999999999E-2</v>
      </c>
      <c r="M18" s="382">
        <f t="shared" ref="M18:M32" si="17">K18*L18</f>
        <v>0.1346</v>
      </c>
      <c r="N18" s="382">
        <f>N17</f>
        <v>4.9079999999999999E-2</v>
      </c>
      <c r="O18" s="382">
        <f>INT(M18/N18*100)/100</f>
        <v>2.74</v>
      </c>
      <c r="P18" s="398">
        <f>INT((G13-O18)*100*0.98)/100</f>
        <v>0.1</v>
      </c>
      <c r="S18" s="50">
        <f t="shared" si="3"/>
        <v>97</v>
      </c>
      <c r="T18" s="50">
        <f t="shared" si="10"/>
        <v>2.8919622695744311</v>
      </c>
      <c r="U18" s="60">
        <f t="shared" si="11"/>
        <v>0.125</v>
      </c>
      <c r="V18" s="50">
        <f t="shared" si="12"/>
        <v>5.0000000000000001E-4</v>
      </c>
      <c r="W18" s="50">
        <f t="shared" si="0"/>
        <v>3.8194444444444448E-2</v>
      </c>
      <c r="X18" s="55">
        <f t="shared" si="4"/>
        <v>55</v>
      </c>
      <c r="Y18" s="56">
        <f t="shared" si="1"/>
        <v>27.641336218327236</v>
      </c>
      <c r="AA18" s="56">
        <f t="shared" si="5"/>
        <v>15.95134070433323</v>
      </c>
      <c r="AB18" s="56">
        <f t="shared" si="6"/>
        <v>55</v>
      </c>
      <c r="AC18" s="56">
        <f t="shared" si="7"/>
        <v>11.689995513994006</v>
      </c>
      <c r="AD18" s="58">
        <f t="shared" si="16"/>
        <v>11.68</v>
      </c>
      <c r="AF18" s="57">
        <f t="shared" si="2"/>
        <v>0.95</v>
      </c>
      <c r="AG18" s="56"/>
      <c r="AH18" s="56"/>
      <c r="AI18" s="56"/>
      <c r="EF18" s="50">
        <v>8.74</v>
      </c>
    </row>
    <row r="19" spans="1:136" s="50" customFormat="1" ht="23.1" customHeight="1">
      <c r="A19" s="333"/>
      <c r="B19" s="333"/>
      <c r="C19" s="335"/>
      <c r="D19" s="501">
        <v>20</v>
      </c>
      <c r="E19" s="501"/>
      <c r="F19" s="336">
        <f t="shared" si="13"/>
        <v>19.29</v>
      </c>
      <c r="G19" s="502">
        <f t="shared" si="14"/>
        <v>8.99</v>
      </c>
      <c r="H19" s="502"/>
      <c r="I19" s="337"/>
      <c r="J19" s="536">
        <f t="shared" si="15"/>
        <v>0.76999999999999957</v>
      </c>
      <c r="K19" s="397">
        <f t="shared" ref="K19:K32" si="18">D14</f>
        <v>3</v>
      </c>
      <c r="L19" s="382">
        <f>L18</f>
        <v>6.7299999999999999E-2</v>
      </c>
      <c r="M19" s="382">
        <f t="shared" si="17"/>
        <v>0.2019</v>
      </c>
      <c r="N19" s="382">
        <f t="shared" ref="N19:N32" si="19">N18</f>
        <v>4.9079999999999999E-2</v>
      </c>
      <c r="O19" s="382">
        <f>INT(M19/N19*100)/100</f>
        <v>4.1100000000000003</v>
      </c>
      <c r="P19" s="398">
        <f>INT((G14-O19)*100*0.95)/100</f>
        <v>-0.18</v>
      </c>
      <c r="S19" s="50">
        <f t="shared" si="3"/>
        <v>97</v>
      </c>
      <c r="T19" s="50">
        <f t="shared" si="10"/>
        <v>2.8919622695744311</v>
      </c>
      <c r="U19" s="60">
        <f t="shared" si="11"/>
        <v>0.125</v>
      </c>
      <c r="V19" s="50">
        <f t="shared" si="12"/>
        <v>5.0000000000000001E-4</v>
      </c>
      <c r="W19" s="50">
        <f t="shared" si="0"/>
        <v>4.1666666666666664E-2</v>
      </c>
      <c r="X19" s="55">
        <f t="shared" si="4"/>
        <v>60</v>
      </c>
      <c r="Y19" s="56">
        <f t="shared" si="1"/>
        <v>27.873319900004006</v>
      </c>
      <c r="AA19" s="56">
        <f t="shared" si="5"/>
        <v>15.95134070433323</v>
      </c>
      <c r="AB19" s="56">
        <f t="shared" si="6"/>
        <v>60</v>
      </c>
      <c r="AC19" s="56">
        <f t="shared" si="7"/>
        <v>11.921979195670776</v>
      </c>
      <c r="AD19" s="58">
        <f t="shared" si="16"/>
        <v>11.92</v>
      </c>
      <c r="AF19" s="57">
        <f t="shared" si="2"/>
        <v>0.96</v>
      </c>
      <c r="AG19" s="56"/>
      <c r="AH19" s="56"/>
      <c r="AI19" s="56"/>
      <c r="EF19" s="50">
        <v>9.7799999999999994</v>
      </c>
    </row>
    <row r="20" spans="1:136" s="50" customFormat="1" ht="23.1" customHeight="1">
      <c r="A20" s="333"/>
      <c r="B20" s="333"/>
      <c r="C20" s="335"/>
      <c r="D20" s="501">
        <v>25</v>
      </c>
      <c r="E20" s="501"/>
      <c r="F20" s="336">
        <f t="shared" si="13"/>
        <v>19.880000000000003</v>
      </c>
      <c r="G20" s="502">
        <f t="shared" si="14"/>
        <v>9.58</v>
      </c>
      <c r="H20" s="502"/>
      <c r="I20" s="337"/>
      <c r="J20" s="536">
        <f t="shared" si="15"/>
        <v>0.58999999999999986</v>
      </c>
      <c r="K20" s="397">
        <f t="shared" si="18"/>
        <v>4</v>
      </c>
      <c r="L20" s="382">
        <f>L19</f>
        <v>6.7299999999999999E-2</v>
      </c>
      <c r="M20" s="382">
        <f t="shared" si="17"/>
        <v>0.26919999999999999</v>
      </c>
      <c r="N20" s="382">
        <f t="shared" si="19"/>
        <v>4.9079999999999999E-2</v>
      </c>
      <c r="O20" s="382">
        <f>INT(M20/N20*100)/100</f>
        <v>5.48</v>
      </c>
      <c r="P20" s="398">
        <f>INT((G15-O20)*100*0.91)/100</f>
        <v>-0.71</v>
      </c>
      <c r="S20" s="50">
        <f t="shared" si="3"/>
        <v>97</v>
      </c>
      <c r="T20" s="50">
        <f t="shared" si="10"/>
        <v>2.8919622695744311</v>
      </c>
      <c r="U20" s="60">
        <f t="shared" si="11"/>
        <v>0.125</v>
      </c>
      <c r="V20" s="50">
        <f t="shared" si="12"/>
        <v>5.0000000000000001E-4</v>
      </c>
      <c r="W20" s="50">
        <f t="shared" si="0"/>
        <v>5.2083333333333336E-2</v>
      </c>
      <c r="X20" s="55">
        <f t="shared" si="4"/>
        <v>75</v>
      </c>
      <c r="Y20" s="56">
        <f t="shared" si="1"/>
        <v>28.468249716853922</v>
      </c>
      <c r="AA20" s="56">
        <f t="shared" si="5"/>
        <v>15.95134070433323</v>
      </c>
      <c r="AB20" s="56">
        <f t="shared" si="6"/>
        <v>75</v>
      </c>
      <c r="AC20" s="56">
        <f t="shared" si="7"/>
        <v>12.516909012520692</v>
      </c>
      <c r="AD20" s="58">
        <f t="shared" si="16"/>
        <v>12.51</v>
      </c>
      <c r="AF20" s="57">
        <f t="shared" si="2"/>
        <v>0.97</v>
      </c>
      <c r="AG20" s="56"/>
      <c r="AH20" s="56"/>
      <c r="AI20" s="56"/>
      <c r="EF20" s="50">
        <v>10</v>
      </c>
    </row>
    <row r="21" spans="1:136" s="50" customFormat="1" ht="23.1" customHeight="1">
      <c r="A21" s="333"/>
      <c r="B21" s="333"/>
      <c r="C21" s="335"/>
      <c r="D21" s="501">
        <v>30</v>
      </c>
      <c r="E21" s="501"/>
      <c r="F21" s="336">
        <f t="shared" si="13"/>
        <v>20.37</v>
      </c>
      <c r="G21" s="502">
        <f t="shared" si="14"/>
        <v>10.07</v>
      </c>
      <c r="H21" s="502"/>
      <c r="I21" s="337"/>
      <c r="J21" s="536">
        <f t="shared" si="15"/>
        <v>0.49000000000000021</v>
      </c>
      <c r="K21" s="397">
        <f t="shared" si="18"/>
        <v>5</v>
      </c>
      <c r="L21" s="381">
        <f>L20</f>
        <v>6.7299999999999999E-2</v>
      </c>
      <c r="M21" s="382">
        <f t="shared" si="17"/>
        <v>0.33650000000000002</v>
      </c>
      <c r="N21" s="382">
        <f t="shared" si="19"/>
        <v>4.9079999999999999E-2</v>
      </c>
      <c r="O21" s="381">
        <f>INT(M21/N21*100)/100</f>
        <v>6.85</v>
      </c>
      <c r="P21" s="398">
        <f>INT((G16-O21)*100*0.86)/100</f>
        <v>-1.35</v>
      </c>
      <c r="S21" s="50">
        <f t="shared" si="3"/>
        <v>97</v>
      </c>
      <c r="T21" s="50">
        <f t="shared" si="10"/>
        <v>2.8919622695744311</v>
      </c>
      <c r="U21" s="60">
        <f t="shared" si="11"/>
        <v>0.125</v>
      </c>
      <c r="V21" s="50">
        <f t="shared" si="12"/>
        <v>5.0000000000000001E-4</v>
      </c>
      <c r="W21" s="50">
        <f t="shared" si="0"/>
        <v>6.25E-2</v>
      </c>
      <c r="X21" s="55">
        <f t="shared" si="4"/>
        <v>90</v>
      </c>
      <c r="Y21" s="56">
        <f t="shared" si="1"/>
        <v>28.954342771089152</v>
      </c>
      <c r="AA21" s="56">
        <f t="shared" si="5"/>
        <v>15.95134070433323</v>
      </c>
      <c r="AB21" s="56">
        <f t="shared" si="6"/>
        <v>90</v>
      </c>
      <c r="AC21" s="56">
        <f t="shared" si="7"/>
        <v>13.003002066755922</v>
      </c>
      <c r="AD21" s="58">
        <f t="shared" si="16"/>
        <v>13</v>
      </c>
      <c r="AF21" s="57">
        <f t="shared" si="2"/>
        <v>0.98</v>
      </c>
      <c r="AG21" s="56"/>
      <c r="AH21" s="56"/>
      <c r="AI21" s="56"/>
      <c r="EF21" s="50">
        <v>10.16</v>
      </c>
    </row>
    <row r="22" spans="1:136" s="50" customFormat="1" ht="23.1" customHeight="1">
      <c r="A22" s="333"/>
      <c r="B22" s="333"/>
      <c r="C22" s="335"/>
      <c r="D22" s="501">
        <v>35</v>
      </c>
      <c r="E22" s="501"/>
      <c r="F22" s="336">
        <f t="shared" si="13"/>
        <v>20.78</v>
      </c>
      <c r="G22" s="502">
        <f t="shared" si="14"/>
        <v>10.48</v>
      </c>
      <c r="H22" s="502"/>
      <c r="I22" s="311"/>
      <c r="J22" s="536">
        <f t="shared" si="15"/>
        <v>0.41000000000000014</v>
      </c>
      <c r="K22" s="397">
        <f t="shared" si="18"/>
        <v>10</v>
      </c>
      <c r="L22" s="381">
        <f t="shared" ref="L22:L32" si="20">L21</f>
        <v>6.7299999999999999E-2</v>
      </c>
      <c r="M22" s="382">
        <f t="shared" si="17"/>
        <v>0.67300000000000004</v>
      </c>
      <c r="N22" s="382">
        <f t="shared" si="19"/>
        <v>4.9079999999999999E-2</v>
      </c>
      <c r="O22" s="381">
        <f t="shared" ref="O22:O30" si="21">INT(M22/N22*100)/100</f>
        <v>13.71</v>
      </c>
      <c r="P22" s="398">
        <f>INT((G17-O22)*100*0.8)/100</f>
        <v>-5.26</v>
      </c>
      <c r="S22" s="50">
        <f t="shared" si="3"/>
        <v>97</v>
      </c>
      <c r="T22" s="50">
        <f t="shared" si="10"/>
        <v>2.8919622695744311</v>
      </c>
      <c r="U22" s="60">
        <f t="shared" si="11"/>
        <v>0.125</v>
      </c>
      <c r="V22" s="50">
        <f t="shared" si="12"/>
        <v>5.0000000000000001E-4</v>
      </c>
      <c r="W22" s="50">
        <f t="shared" si="0"/>
        <v>7.2916666666666671E-2</v>
      </c>
      <c r="X22" s="55">
        <f t="shared" si="4"/>
        <v>105</v>
      </c>
      <c r="Y22" s="56">
        <f t="shared" si="1"/>
        <v>29.365328592444058</v>
      </c>
      <c r="Z22" s="56">
        <f>Y23-Z23</f>
        <v>15.95134070433323</v>
      </c>
      <c r="AA22" s="56">
        <f t="shared" si="5"/>
        <v>15.95134070433323</v>
      </c>
      <c r="AB22" s="56">
        <f t="shared" si="6"/>
        <v>105</v>
      </c>
      <c r="AC22" s="56">
        <f t="shared" si="7"/>
        <v>13.413987888110828</v>
      </c>
      <c r="AD22" s="58">
        <f t="shared" si="16"/>
        <v>13.41</v>
      </c>
      <c r="AF22" s="57">
        <f>AF23-0.01</f>
        <v>0.99</v>
      </c>
      <c r="AG22" s="56"/>
      <c r="AH22" s="56"/>
      <c r="AI22" s="56"/>
      <c r="EF22" s="50">
        <v>10.02</v>
      </c>
    </row>
    <row r="23" spans="1:136" s="50" customFormat="1" ht="23.1" customHeight="1">
      <c r="A23" s="333"/>
      <c r="B23" s="333"/>
      <c r="C23" s="335"/>
      <c r="D23" s="501">
        <v>40</v>
      </c>
      <c r="E23" s="501"/>
      <c r="F23" s="336">
        <f t="shared" si="13"/>
        <v>21.14</v>
      </c>
      <c r="G23" s="502">
        <f t="shared" si="14"/>
        <v>10.84</v>
      </c>
      <c r="H23" s="502"/>
      <c r="I23" s="311"/>
      <c r="J23" s="536">
        <f t="shared" si="15"/>
        <v>0.35999999999999943</v>
      </c>
      <c r="K23" s="397">
        <f t="shared" si="18"/>
        <v>15</v>
      </c>
      <c r="L23" s="381">
        <f t="shared" si="20"/>
        <v>6.7299999999999999E-2</v>
      </c>
      <c r="M23" s="382">
        <f t="shared" si="17"/>
        <v>1.0095000000000001</v>
      </c>
      <c r="N23" s="382">
        <f t="shared" si="19"/>
        <v>4.9079999999999999E-2</v>
      </c>
      <c r="O23" s="381">
        <f t="shared" si="21"/>
        <v>20.56</v>
      </c>
      <c r="P23" s="398">
        <f t="shared" ref="P23:P32" si="22">INT((G18-O23)*100)/100</f>
        <v>-12.34</v>
      </c>
      <c r="S23" s="50">
        <f t="shared" si="3"/>
        <v>97</v>
      </c>
      <c r="T23" s="50">
        <f t="shared" si="10"/>
        <v>2.8919622695744311</v>
      </c>
      <c r="U23" s="60">
        <f t="shared" si="11"/>
        <v>0.125</v>
      </c>
      <c r="V23" s="50">
        <f t="shared" si="12"/>
        <v>5.0000000000000001E-4</v>
      </c>
      <c r="W23" s="50">
        <f t="shared" si="0"/>
        <v>8.3333333333333329E-2</v>
      </c>
      <c r="X23" s="55">
        <f t="shared" si="4"/>
        <v>120</v>
      </c>
      <c r="Y23" s="56">
        <f t="shared" si="1"/>
        <v>29.72134070433323</v>
      </c>
      <c r="Z23" s="56">
        <f>Input!B20</f>
        <v>13.77</v>
      </c>
      <c r="AA23" s="56">
        <f t="shared" si="5"/>
        <v>15.95134070433323</v>
      </c>
      <c r="AB23" s="56">
        <f t="shared" si="6"/>
        <v>120</v>
      </c>
      <c r="AC23" s="56">
        <f t="shared" si="7"/>
        <v>13.77</v>
      </c>
      <c r="AD23" s="58">
        <f>INT((AC$3+AE23)*100)/100</f>
        <v>13.77</v>
      </c>
      <c r="AE23" s="56">
        <f>AG$23*AF23</f>
        <v>13.77</v>
      </c>
      <c r="AF23" s="56">
        <v>1</v>
      </c>
      <c r="AG23" s="56">
        <f>AC23-AC3</f>
        <v>13.77</v>
      </c>
      <c r="AH23" s="56"/>
      <c r="AI23" s="56"/>
      <c r="EF23" s="50">
        <v>10.02</v>
      </c>
    </row>
    <row r="24" spans="1:136" s="50" customFormat="1" ht="23.1" customHeight="1">
      <c r="A24" s="333"/>
      <c r="B24" s="333"/>
      <c r="C24" s="335"/>
      <c r="D24" s="501">
        <v>45</v>
      </c>
      <c r="E24" s="501"/>
      <c r="F24" s="336">
        <f t="shared" si="13"/>
        <v>21.450000000000003</v>
      </c>
      <c r="G24" s="502">
        <f t="shared" si="14"/>
        <v>11.15</v>
      </c>
      <c r="H24" s="502"/>
      <c r="I24" s="311"/>
      <c r="J24" s="536">
        <f t="shared" si="15"/>
        <v>0.3100000000000005</v>
      </c>
      <c r="K24" s="397">
        <f t="shared" si="18"/>
        <v>20</v>
      </c>
      <c r="L24" s="381">
        <f t="shared" si="20"/>
        <v>6.7299999999999999E-2</v>
      </c>
      <c r="M24" s="382">
        <f t="shared" si="17"/>
        <v>1.3460000000000001</v>
      </c>
      <c r="N24" s="382">
        <f t="shared" si="19"/>
        <v>4.9079999999999999E-2</v>
      </c>
      <c r="O24" s="381">
        <f t="shared" si="21"/>
        <v>27.42</v>
      </c>
      <c r="P24" s="398">
        <f t="shared" si="22"/>
        <v>-18.43</v>
      </c>
      <c r="R24" s="54">
        <f>B32</f>
        <v>123</v>
      </c>
      <c r="S24" s="50">
        <f>$R$24</f>
        <v>123</v>
      </c>
      <c r="T24" s="50">
        <f t="shared" si="10"/>
        <v>2.8919622695744311</v>
      </c>
      <c r="U24" s="60">
        <f t="shared" si="11"/>
        <v>0.125</v>
      </c>
      <c r="V24" s="50">
        <f t="shared" si="12"/>
        <v>5.0000000000000001E-4</v>
      </c>
      <c r="W24" s="50">
        <f t="shared" si="0"/>
        <v>9.0277777777777776E-2</v>
      </c>
      <c r="X24" s="55">
        <f t="shared" si="4"/>
        <v>130</v>
      </c>
      <c r="Y24" s="56">
        <f t="shared" si="1"/>
        <v>37.958491088245488</v>
      </c>
      <c r="Z24" s="56">
        <f>Z27</f>
        <v>21.671252222324554</v>
      </c>
      <c r="AA24" s="56">
        <f>$Z$24</f>
        <v>21.671252222324554</v>
      </c>
      <c r="AB24" s="56">
        <f t="shared" si="6"/>
        <v>130</v>
      </c>
      <c r="AC24" s="56">
        <f t="shared" si="7"/>
        <v>16.287238865920934</v>
      </c>
      <c r="AD24" s="58">
        <f>INT((AC$23+AE24)*100)/100</f>
        <v>16.52</v>
      </c>
      <c r="AE24" s="56">
        <f>AF24*AG$28</f>
        <v>2.754</v>
      </c>
      <c r="AF24" s="56">
        <v>0.6</v>
      </c>
      <c r="AG24" s="56"/>
      <c r="AH24" s="56"/>
      <c r="EF24" s="50">
        <v>10.02</v>
      </c>
    </row>
    <row r="25" spans="1:136" s="50" customFormat="1" ht="23.1" customHeight="1">
      <c r="A25" s="333"/>
      <c r="B25" s="333"/>
      <c r="C25" s="335"/>
      <c r="D25" s="501">
        <v>50</v>
      </c>
      <c r="E25" s="501"/>
      <c r="F25" s="336">
        <f t="shared" si="13"/>
        <v>21.73</v>
      </c>
      <c r="G25" s="502">
        <f t="shared" si="14"/>
        <v>11.43</v>
      </c>
      <c r="H25" s="502"/>
      <c r="I25" s="311"/>
      <c r="J25" s="536">
        <f t="shared" si="15"/>
        <v>0.27999999999999936</v>
      </c>
      <c r="K25" s="397">
        <f t="shared" si="18"/>
        <v>25</v>
      </c>
      <c r="L25" s="381">
        <f t="shared" si="20"/>
        <v>6.7299999999999999E-2</v>
      </c>
      <c r="M25" s="382">
        <f t="shared" si="17"/>
        <v>1.6824999999999999</v>
      </c>
      <c r="N25" s="382">
        <f t="shared" si="19"/>
        <v>4.9079999999999999E-2</v>
      </c>
      <c r="O25" s="381">
        <f t="shared" si="21"/>
        <v>34.28</v>
      </c>
      <c r="P25" s="398">
        <f t="shared" si="22"/>
        <v>-24.7</v>
      </c>
      <c r="S25" s="50">
        <f>$R$24</f>
        <v>123</v>
      </c>
      <c r="T25" s="50">
        <f t="shared" si="10"/>
        <v>2.8919622695744311</v>
      </c>
      <c r="U25" s="60">
        <f t="shared" si="11"/>
        <v>0.125</v>
      </c>
      <c r="V25" s="50">
        <f t="shared" si="12"/>
        <v>5.0000000000000001E-4</v>
      </c>
      <c r="W25" s="50">
        <f t="shared" si="0"/>
        <v>9.7222222222222224E-2</v>
      </c>
      <c r="X25" s="55">
        <f t="shared" si="4"/>
        <v>140</v>
      </c>
      <c r="Y25" s="56">
        <f t="shared" si="1"/>
        <v>38.20903260473856</v>
      </c>
      <c r="AA25" s="56">
        <f>$Z$24</f>
        <v>21.671252222324554</v>
      </c>
      <c r="AB25" s="56">
        <f t="shared" si="6"/>
        <v>140</v>
      </c>
      <c r="AC25" s="56">
        <f t="shared" si="7"/>
        <v>16.537780382414006</v>
      </c>
      <c r="AD25" s="58">
        <f>INT((AC$23+AE25)*100)/100</f>
        <v>16.98</v>
      </c>
      <c r="AE25" s="56">
        <f>AF25*AG$28</f>
        <v>3.2129999999999996</v>
      </c>
      <c r="AF25" s="56">
        <v>0.7</v>
      </c>
      <c r="AG25" s="56"/>
      <c r="AH25" s="56"/>
      <c r="EF25" s="50">
        <v>10.02</v>
      </c>
    </row>
    <row r="26" spans="1:136" s="50" customFormat="1" ht="23.1" customHeight="1">
      <c r="A26" s="333"/>
      <c r="B26" s="333"/>
      <c r="C26" s="335"/>
      <c r="D26" s="501">
        <v>55</v>
      </c>
      <c r="E26" s="501"/>
      <c r="F26" s="336">
        <f t="shared" si="13"/>
        <v>21.98</v>
      </c>
      <c r="G26" s="502">
        <f t="shared" si="14"/>
        <v>11.68</v>
      </c>
      <c r="H26" s="502"/>
      <c r="I26" s="311"/>
      <c r="J26" s="536">
        <f t="shared" si="15"/>
        <v>0.25</v>
      </c>
      <c r="K26" s="397">
        <f t="shared" si="18"/>
        <v>30</v>
      </c>
      <c r="L26" s="381">
        <f t="shared" si="20"/>
        <v>6.7299999999999999E-2</v>
      </c>
      <c r="M26" s="382">
        <f t="shared" si="17"/>
        <v>2.0190000000000001</v>
      </c>
      <c r="N26" s="382">
        <f t="shared" si="19"/>
        <v>4.9079999999999999E-2</v>
      </c>
      <c r="O26" s="382">
        <f t="shared" si="21"/>
        <v>41.13</v>
      </c>
      <c r="P26" s="398">
        <f t="shared" si="22"/>
        <v>-31.06</v>
      </c>
      <c r="S26" s="50">
        <f>$R$24</f>
        <v>123</v>
      </c>
      <c r="T26" s="50">
        <f t="shared" si="10"/>
        <v>2.8919622695744311</v>
      </c>
      <c r="U26" s="60">
        <f t="shared" si="11"/>
        <v>0.125</v>
      </c>
      <c r="V26" s="50">
        <f t="shared" si="12"/>
        <v>5.0000000000000001E-4</v>
      </c>
      <c r="W26" s="50">
        <f t="shared" si="0"/>
        <v>0.10416666666666667</v>
      </c>
      <c r="X26" s="55">
        <f t="shared" si="4"/>
        <v>150</v>
      </c>
      <c r="Y26" s="56">
        <f t="shared" si="1"/>
        <v>38.442281176345638</v>
      </c>
      <c r="AA26" s="56">
        <f>$Z$24</f>
        <v>21.671252222324554</v>
      </c>
      <c r="AB26" s="56">
        <f t="shared" si="6"/>
        <v>150</v>
      </c>
      <c r="AC26" s="56">
        <f t="shared" si="7"/>
        <v>16.771028954021084</v>
      </c>
      <c r="AD26" s="58">
        <f>INT((AC$23+AE26)*100)/100</f>
        <v>17.440000000000001</v>
      </c>
      <c r="AE26" s="56">
        <f>AF26*AG$28</f>
        <v>3.6720000000000002</v>
      </c>
      <c r="AF26" s="56">
        <v>0.8</v>
      </c>
      <c r="AG26" s="56"/>
      <c r="AH26" s="56"/>
      <c r="EF26" s="50">
        <v>10.06</v>
      </c>
    </row>
    <row r="27" spans="1:136" s="50" customFormat="1" ht="23.1" customHeight="1">
      <c r="A27" s="333"/>
      <c r="B27" s="333"/>
      <c r="C27" s="335">
        <f>$C$12+D27/1440</f>
        <v>44992.520833333328</v>
      </c>
      <c r="D27" s="501">
        <v>60</v>
      </c>
      <c r="E27" s="501"/>
      <c r="F27" s="336">
        <f t="shared" si="13"/>
        <v>22.22</v>
      </c>
      <c r="G27" s="502">
        <f t="shared" si="14"/>
        <v>11.92</v>
      </c>
      <c r="H27" s="502"/>
      <c r="I27" s="311"/>
      <c r="J27" s="536">
        <f t="shared" si="15"/>
        <v>0.24000000000000021</v>
      </c>
      <c r="K27" s="397">
        <f t="shared" si="18"/>
        <v>35</v>
      </c>
      <c r="L27" s="381">
        <f t="shared" si="20"/>
        <v>6.7299999999999999E-2</v>
      </c>
      <c r="M27" s="382">
        <f t="shared" si="17"/>
        <v>2.3555000000000001</v>
      </c>
      <c r="N27" s="382">
        <f t="shared" si="19"/>
        <v>4.9079999999999999E-2</v>
      </c>
      <c r="O27" s="382">
        <f t="shared" si="21"/>
        <v>47.99</v>
      </c>
      <c r="P27" s="398">
        <f t="shared" si="22"/>
        <v>-37.51</v>
      </c>
      <c r="S27" s="50">
        <f>$R$24</f>
        <v>123</v>
      </c>
      <c r="T27" s="50">
        <f t="shared" si="10"/>
        <v>2.8919622695744311</v>
      </c>
      <c r="U27" s="60">
        <f t="shared" si="11"/>
        <v>0.125</v>
      </c>
      <c r="V27" s="50">
        <f t="shared" si="12"/>
        <v>5.0000000000000001E-4</v>
      </c>
      <c r="W27" s="50">
        <f t="shared" si="0"/>
        <v>0.125</v>
      </c>
      <c r="X27" s="55">
        <f t="shared" si="4"/>
        <v>180</v>
      </c>
      <c r="Y27" s="56">
        <f t="shared" si="1"/>
        <v>39.058667214190308</v>
      </c>
      <c r="Z27" s="56">
        <f>Y28-Z28</f>
        <v>21.671252222324554</v>
      </c>
      <c r="AA27" s="56">
        <f>$Z$24</f>
        <v>21.671252222324554</v>
      </c>
      <c r="AB27" s="56">
        <f t="shared" si="6"/>
        <v>180</v>
      </c>
      <c r="AC27" s="56">
        <f t="shared" si="7"/>
        <v>17.387414991865754</v>
      </c>
      <c r="AD27" s="58">
        <f>INT((AC$23+AE27)*100)/100</f>
        <v>17.899999999999999</v>
      </c>
      <c r="AE27" s="56">
        <f>AF27*AG$28</f>
        <v>4.1310000000000002</v>
      </c>
      <c r="AF27" s="56">
        <v>0.9</v>
      </c>
      <c r="AG27" s="56"/>
      <c r="AH27" s="56"/>
      <c r="EF27" s="50">
        <v>10.06</v>
      </c>
    </row>
    <row r="28" spans="1:136" s="50" customFormat="1" ht="23.1" customHeight="1">
      <c r="A28" s="333"/>
      <c r="B28" s="333"/>
      <c r="C28" s="335"/>
      <c r="D28" s="501">
        <v>75</v>
      </c>
      <c r="E28" s="501"/>
      <c r="F28" s="336">
        <f t="shared" si="13"/>
        <v>22.810000000000002</v>
      </c>
      <c r="G28" s="502">
        <f t="shared" si="14"/>
        <v>12.51</v>
      </c>
      <c r="H28" s="502"/>
      <c r="I28" s="311"/>
      <c r="J28" s="536">
        <f t="shared" si="15"/>
        <v>0.58999999999999986</v>
      </c>
      <c r="K28" s="397">
        <f t="shared" si="18"/>
        <v>40</v>
      </c>
      <c r="L28" s="381">
        <f t="shared" si="20"/>
        <v>6.7299999999999999E-2</v>
      </c>
      <c r="M28" s="382">
        <f t="shared" si="17"/>
        <v>2.6920000000000002</v>
      </c>
      <c r="N28" s="382">
        <f t="shared" si="19"/>
        <v>4.9079999999999999E-2</v>
      </c>
      <c r="O28" s="382">
        <f t="shared" si="21"/>
        <v>54.84</v>
      </c>
      <c r="P28" s="398">
        <f t="shared" si="22"/>
        <v>-44</v>
      </c>
      <c r="S28" s="50">
        <f>$R$24</f>
        <v>123</v>
      </c>
      <c r="T28" s="50">
        <f t="shared" si="10"/>
        <v>2.8919622695744311</v>
      </c>
      <c r="U28" s="60">
        <f t="shared" si="11"/>
        <v>0.125</v>
      </c>
      <c r="V28" s="50">
        <f t="shared" si="12"/>
        <v>5.0000000000000001E-4</v>
      </c>
      <c r="W28" s="50">
        <f t="shared" si="0"/>
        <v>0.16666666666666666</v>
      </c>
      <c r="X28" s="55">
        <f t="shared" si="4"/>
        <v>240</v>
      </c>
      <c r="Y28" s="56">
        <f t="shared" si="1"/>
        <v>40.031252222324554</v>
      </c>
      <c r="Z28" s="56">
        <f>Input!B21</f>
        <v>18.36</v>
      </c>
      <c r="AA28" s="56">
        <f>$Z$24</f>
        <v>21.671252222324554</v>
      </c>
      <c r="AB28" s="56">
        <f t="shared" si="6"/>
        <v>240</v>
      </c>
      <c r="AC28" s="56">
        <f t="shared" si="7"/>
        <v>18.36</v>
      </c>
      <c r="AD28" s="58">
        <f>INT((AC$23+AE28)*100)/100</f>
        <v>18.36</v>
      </c>
      <c r="AE28" s="56">
        <f>AF28*AG$28</f>
        <v>4.59</v>
      </c>
      <c r="AF28" s="56">
        <v>1</v>
      </c>
      <c r="AG28" s="56">
        <f>AC28-AC23</f>
        <v>4.59</v>
      </c>
      <c r="AH28" s="56"/>
      <c r="EF28" s="50">
        <v>10.15</v>
      </c>
    </row>
    <row r="29" spans="1:136" s="50" customFormat="1" ht="23.1" customHeight="1">
      <c r="A29" s="333"/>
      <c r="B29" s="333"/>
      <c r="C29" s="335"/>
      <c r="D29" s="501">
        <v>90</v>
      </c>
      <c r="E29" s="501"/>
      <c r="F29" s="336">
        <f t="shared" si="13"/>
        <v>23.3</v>
      </c>
      <c r="G29" s="502">
        <f t="shared" si="14"/>
        <v>13</v>
      </c>
      <c r="H29" s="502"/>
      <c r="I29" s="311"/>
      <c r="J29" s="536">
        <f t="shared" si="15"/>
        <v>0.49000000000000021</v>
      </c>
      <c r="K29" s="397">
        <f t="shared" si="18"/>
        <v>45</v>
      </c>
      <c r="L29" s="381">
        <f t="shared" si="20"/>
        <v>6.7299999999999999E-2</v>
      </c>
      <c r="M29" s="382">
        <f t="shared" si="17"/>
        <v>3.0284999999999997</v>
      </c>
      <c r="N29" s="382">
        <f t="shared" si="19"/>
        <v>4.9079999999999999E-2</v>
      </c>
      <c r="O29" s="382">
        <f t="shared" si="21"/>
        <v>61.7</v>
      </c>
      <c r="P29" s="398">
        <f t="shared" si="22"/>
        <v>-50.55</v>
      </c>
      <c r="R29" s="54">
        <f>B37</f>
        <v>150.44999999999999</v>
      </c>
      <c r="S29" s="50">
        <f>$R$29</f>
        <v>150.44999999999999</v>
      </c>
      <c r="T29" s="50">
        <f t="shared" si="10"/>
        <v>2.8919622695744311</v>
      </c>
      <c r="U29" s="60">
        <f t="shared" si="11"/>
        <v>0.125</v>
      </c>
      <c r="V29" s="50">
        <f t="shared" si="12"/>
        <v>5.0000000000000001E-4</v>
      </c>
      <c r="W29" s="50">
        <f t="shared" si="0"/>
        <v>0.1736111111111111</v>
      </c>
      <c r="X29" s="55">
        <f t="shared" si="4"/>
        <v>250</v>
      </c>
      <c r="Y29" s="56">
        <f t="shared" si="1"/>
        <v>49.133865256841709</v>
      </c>
      <c r="Z29" s="56">
        <f>Z32</f>
        <v>27.121755978690995</v>
      </c>
      <c r="AA29" s="56">
        <f>$Z$29</f>
        <v>27.121755978690995</v>
      </c>
      <c r="AB29" s="56">
        <f t="shared" si="6"/>
        <v>250</v>
      </c>
      <c r="AC29" s="56">
        <f t="shared" si="7"/>
        <v>22.012109278150714</v>
      </c>
      <c r="AD29" s="58">
        <f>INT((AC$28+AE29)*100)/100</f>
        <v>21.45</v>
      </c>
      <c r="AE29" s="56">
        <f>AF29*AG$33</f>
        <v>3.0960000000000001</v>
      </c>
      <c r="AF29" s="56">
        <v>0.6</v>
      </c>
      <c r="AG29" s="56"/>
      <c r="AH29" s="56"/>
      <c r="EF29" s="50">
        <v>10.15</v>
      </c>
    </row>
    <row r="30" spans="1:136" s="50" customFormat="1" ht="23.1" customHeight="1">
      <c r="A30" s="333"/>
      <c r="B30" s="333"/>
      <c r="C30" s="335"/>
      <c r="D30" s="501">
        <v>105</v>
      </c>
      <c r="E30" s="501"/>
      <c r="F30" s="336">
        <f t="shared" si="13"/>
        <v>23.71</v>
      </c>
      <c r="G30" s="502">
        <f t="shared" si="14"/>
        <v>13.41</v>
      </c>
      <c r="H30" s="502"/>
      <c r="I30" s="311"/>
      <c r="J30" s="536">
        <f t="shared" si="15"/>
        <v>0.41000000000000014</v>
      </c>
      <c r="K30" s="397">
        <f t="shared" si="18"/>
        <v>50</v>
      </c>
      <c r="L30" s="381">
        <f t="shared" si="20"/>
        <v>6.7299999999999999E-2</v>
      </c>
      <c r="M30" s="382">
        <f t="shared" si="17"/>
        <v>3.3649999999999998</v>
      </c>
      <c r="N30" s="382">
        <f t="shared" si="19"/>
        <v>4.9079999999999999E-2</v>
      </c>
      <c r="O30" s="382">
        <f t="shared" si="21"/>
        <v>68.56</v>
      </c>
      <c r="P30" s="398">
        <f t="shared" si="22"/>
        <v>-57.13</v>
      </c>
      <c r="R30" s="50" t="s">
        <v>21</v>
      </c>
      <c r="S30" s="50">
        <f>$R$29</f>
        <v>150.44999999999999</v>
      </c>
      <c r="T30" s="50">
        <f t="shared" si="10"/>
        <v>2.8919622695744311</v>
      </c>
      <c r="U30" s="60">
        <f t="shared" si="11"/>
        <v>0.125</v>
      </c>
      <c r="V30" s="50">
        <f t="shared" si="12"/>
        <v>5.0000000000000001E-4</v>
      </c>
      <c r="W30" s="50">
        <f t="shared" si="0"/>
        <v>0.18055555555555555</v>
      </c>
      <c r="X30" s="55">
        <f t="shared" si="4"/>
        <v>260</v>
      </c>
      <c r="Y30" s="56">
        <f t="shared" si="1"/>
        <v>49.296052741712138</v>
      </c>
      <c r="AA30" s="56">
        <f>$Z$29</f>
        <v>27.121755978690995</v>
      </c>
      <c r="AB30" s="56">
        <f t="shared" si="6"/>
        <v>260</v>
      </c>
      <c r="AC30" s="56">
        <f t="shared" si="7"/>
        <v>22.174296763021143</v>
      </c>
      <c r="AD30" s="58">
        <f>INT((AC$28+AE30)*100)/100</f>
        <v>21.97</v>
      </c>
      <c r="AE30" s="56">
        <f>AF30*AG$33</f>
        <v>3.6119999999999997</v>
      </c>
      <c r="AF30" s="56">
        <v>0.7</v>
      </c>
      <c r="AG30" s="56"/>
      <c r="AH30" s="56"/>
      <c r="EF30" s="50">
        <v>10.15</v>
      </c>
    </row>
    <row r="31" spans="1:136" s="50" customFormat="1" ht="23.1" customHeight="1">
      <c r="A31" s="333"/>
      <c r="B31" s="333"/>
      <c r="C31" s="335"/>
      <c r="D31" s="501">
        <v>120</v>
      </c>
      <c r="E31" s="501"/>
      <c r="F31" s="336">
        <f t="shared" si="13"/>
        <v>24.07</v>
      </c>
      <c r="G31" s="502">
        <f t="shared" si="14"/>
        <v>13.77</v>
      </c>
      <c r="H31" s="502"/>
      <c r="I31" s="311"/>
      <c r="J31" s="536">
        <f t="shared" si="15"/>
        <v>0.35999999999999943</v>
      </c>
      <c r="K31" s="397">
        <f t="shared" si="18"/>
        <v>55</v>
      </c>
      <c r="L31" s="381">
        <f t="shared" si="20"/>
        <v>6.7299999999999999E-2</v>
      </c>
      <c r="M31" s="382">
        <f t="shared" si="17"/>
        <v>3.7014999999999998</v>
      </c>
      <c r="N31" s="382">
        <f t="shared" si="19"/>
        <v>4.9079999999999999E-2</v>
      </c>
      <c r="O31" s="382">
        <f>INT(M31/N31*100)/100</f>
        <v>75.41</v>
      </c>
      <c r="P31" s="398">
        <f t="shared" si="22"/>
        <v>-63.73</v>
      </c>
      <c r="S31" s="50">
        <f>$R$29</f>
        <v>150.44999999999999</v>
      </c>
      <c r="T31" s="50">
        <f t="shared" si="10"/>
        <v>2.8919622695744311</v>
      </c>
      <c r="U31" s="60">
        <f t="shared" si="11"/>
        <v>0.125</v>
      </c>
      <c r="V31" s="50">
        <f t="shared" si="12"/>
        <v>5.0000000000000001E-4</v>
      </c>
      <c r="W31" s="50">
        <f t="shared" si="0"/>
        <v>0.1875</v>
      </c>
      <c r="X31" s="55">
        <f t="shared" si="4"/>
        <v>270</v>
      </c>
      <c r="Y31" s="56">
        <f t="shared" si="1"/>
        <v>49.45211846264386</v>
      </c>
      <c r="AA31" s="56">
        <f>$Z$29</f>
        <v>27.121755978690995</v>
      </c>
      <c r="AB31" s="56">
        <f t="shared" si="6"/>
        <v>270</v>
      </c>
      <c r="AC31" s="56">
        <f t="shared" si="7"/>
        <v>22.330362483952864</v>
      </c>
      <c r="AD31" s="58">
        <f>INT((AC$28+AE31)*100)/100</f>
        <v>22.48</v>
      </c>
      <c r="AE31" s="56">
        <f>AF31*AG$33</f>
        <v>4.1280000000000001</v>
      </c>
      <c r="AF31" s="56">
        <v>0.8</v>
      </c>
      <c r="AG31" s="56"/>
      <c r="AH31" s="56"/>
      <c r="EF31" s="50">
        <v>10.77</v>
      </c>
    </row>
    <row r="32" spans="1:136" s="50" customFormat="1" ht="23.1" customHeight="1" thickBot="1">
      <c r="A32" s="333">
        <v>2</v>
      </c>
      <c r="B32" s="334">
        <f>Input!D21</f>
        <v>123</v>
      </c>
      <c r="C32" s="335">
        <f>$C$12+D32/1440</f>
        <v>44992.569444444445</v>
      </c>
      <c r="D32" s="501">
        <v>130</v>
      </c>
      <c r="E32" s="501"/>
      <c r="F32" s="336">
        <f t="shared" si="13"/>
        <v>26.82</v>
      </c>
      <c r="G32" s="502">
        <f t="shared" si="14"/>
        <v>16.52</v>
      </c>
      <c r="H32" s="502"/>
      <c r="I32" s="311"/>
      <c r="J32" s="536">
        <f t="shared" si="15"/>
        <v>2.75</v>
      </c>
      <c r="K32" s="399">
        <f t="shared" si="18"/>
        <v>60</v>
      </c>
      <c r="L32" s="404">
        <f t="shared" si="20"/>
        <v>6.7299999999999999E-2</v>
      </c>
      <c r="M32" s="400">
        <f t="shared" si="17"/>
        <v>4.0380000000000003</v>
      </c>
      <c r="N32" s="400">
        <f t="shared" si="19"/>
        <v>4.9079999999999999E-2</v>
      </c>
      <c r="O32" s="400">
        <f>INT(M32/N32*100)/100</f>
        <v>82.27</v>
      </c>
      <c r="P32" s="401">
        <f t="shared" si="22"/>
        <v>-70.349999999999994</v>
      </c>
      <c r="S32" s="50">
        <f>$R$29</f>
        <v>150.44999999999999</v>
      </c>
      <c r="T32" s="50">
        <f t="shared" si="10"/>
        <v>2.8919622695744311</v>
      </c>
      <c r="U32" s="60">
        <f t="shared" si="11"/>
        <v>0.125</v>
      </c>
      <c r="V32" s="50">
        <f t="shared" si="12"/>
        <v>5.0000000000000001E-4</v>
      </c>
      <c r="W32" s="50">
        <f t="shared" si="0"/>
        <v>0.20833333333333334</v>
      </c>
      <c r="X32" s="55">
        <f t="shared" si="4"/>
        <v>300</v>
      </c>
      <c r="Y32" s="56">
        <f t="shared" si="1"/>
        <v>49.887810617766348</v>
      </c>
      <c r="Z32" s="56">
        <f>Y33-Z33</f>
        <v>27.121755978690995</v>
      </c>
      <c r="AA32" s="56">
        <f>$Z$29</f>
        <v>27.121755978690995</v>
      </c>
      <c r="AB32" s="56">
        <f t="shared" si="6"/>
        <v>300</v>
      </c>
      <c r="AC32" s="56">
        <f t="shared" si="7"/>
        <v>22.766054639075353</v>
      </c>
      <c r="AD32" s="58">
        <f>INT((AC$28+AE32)*100)/100</f>
        <v>23</v>
      </c>
      <c r="AE32" s="56">
        <f>AF32*AG$33</f>
        <v>4.6440000000000001</v>
      </c>
      <c r="AF32" s="56">
        <v>0.9</v>
      </c>
      <c r="AG32" s="56"/>
      <c r="AH32" s="56"/>
      <c r="EF32" s="50">
        <v>14.26</v>
      </c>
    </row>
    <row r="33" spans="1:136" s="50" customFormat="1" ht="23.1" customHeight="1">
      <c r="A33" s="333"/>
      <c r="B33" s="333"/>
      <c r="C33" s="335"/>
      <c r="D33" s="501">
        <v>140</v>
      </c>
      <c r="E33" s="501"/>
      <c r="F33" s="336">
        <f t="shared" si="13"/>
        <v>27.28</v>
      </c>
      <c r="G33" s="502">
        <f t="shared" si="14"/>
        <v>16.98</v>
      </c>
      <c r="H33" s="502"/>
      <c r="I33" s="311"/>
      <c r="J33" s="536">
        <f t="shared" si="15"/>
        <v>0.46000000000000085</v>
      </c>
      <c r="L33" s="64" t="s">
        <v>21</v>
      </c>
      <c r="P33" s="57"/>
      <c r="S33" s="50">
        <f>$R$29</f>
        <v>150.44999999999999</v>
      </c>
      <c r="T33" s="50">
        <f t="shared" si="10"/>
        <v>2.8919622695744311</v>
      </c>
      <c r="U33" s="60">
        <f t="shared" si="11"/>
        <v>0.125</v>
      </c>
      <c r="V33" s="50">
        <f t="shared" si="12"/>
        <v>5.0000000000000001E-4</v>
      </c>
      <c r="W33" s="50">
        <f t="shared" si="0"/>
        <v>0.25</v>
      </c>
      <c r="X33" s="55">
        <f t="shared" si="4"/>
        <v>360</v>
      </c>
      <c r="Y33" s="56">
        <f t="shared" si="1"/>
        <v>50.641755978690995</v>
      </c>
      <c r="Z33" s="56">
        <f>Input!B22</f>
        <v>23.52</v>
      </c>
      <c r="AA33" s="56">
        <f>$Z$29</f>
        <v>27.121755978690995</v>
      </c>
      <c r="AB33" s="56">
        <f t="shared" si="6"/>
        <v>360</v>
      </c>
      <c r="AC33" s="56">
        <f t="shared" si="7"/>
        <v>23.52</v>
      </c>
      <c r="AD33" s="58">
        <f>INT((AC$28+AE33)*100)/100</f>
        <v>23.52</v>
      </c>
      <c r="AE33" s="56">
        <f>AF33*AG$33</f>
        <v>5.16</v>
      </c>
      <c r="AF33" s="56">
        <v>1</v>
      </c>
      <c r="AG33" s="56">
        <f>AC33-AC28</f>
        <v>5.16</v>
      </c>
      <c r="AH33" s="56"/>
      <c r="EF33" s="50">
        <v>15.41</v>
      </c>
    </row>
    <row r="34" spans="1:136" s="50" customFormat="1" ht="23.1" customHeight="1">
      <c r="A34" s="333"/>
      <c r="B34" s="333"/>
      <c r="C34" s="335"/>
      <c r="D34" s="501">
        <v>150</v>
      </c>
      <c r="E34" s="501"/>
      <c r="F34" s="336">
        <f t="shared" si="13"/>
        <v>27.740000000000002</v>
      </c>
      <c r="G34" s="502">
        <f t="shared" si="14"/>
        <v>17.440000000000001</v>
      </c>
      <c r="H34" s="502"/>
      <c r="I34" s="311"/>
      <c r="J34" s="536">
        <f t="shared" si="15"/>
        <v>0.46000000000000085</v>
      </c>
      <c r="L34" s="64" t="s">
        <v>21</v>
      </c>
      <c r="R34" s="50">
        <f>B42</f>
        <v>177</v>
      </c>
      <c r="S34" s="50">
        <f>$R$34</f>
        <v>177</v>
      </c>
      <c r="T34" s="50">
        <f t="shared" si="10"/>
        <v>2.8919622695744311</v>
      </c>
      <c r="U34" s="60">
        <f t="shared" si="11"/>
        <v>0.125</v>
      </c>
      <c r="V34" s="50">
        <f t="shared" si="12"/>
        <v>5.0000000000000001E-4</v>
      </c>
      <c r="W34" s="50">
        <f t="shared" si="0"/>
        <v>0.25694444444444442</v>
      </c>
      <c r="X34" s="55">
        <f t="shared" si="4"/>
        <v>370</v>
      </c>
      <c r="Y34" s="56">
        <f t="shared" si="1"/>
        <v>59.711832480260128</v>
      </c>
      <c r="Z34" s="56">
        <f>Z37</f>
        <v>31.69810999380956</v>
      </c>
      <c r="AA34" s="56">
        <f>$Z$34</f>
        <v>31.69810999380956</v>
      </c>
      <c r="AB34" s="56">
        <f t="shared" si="6"/>
        <v>370</v>
      </c>
      <c r="AC34" s="56">
        <f t="shared" si="7"/>
        <v>28.013722486450568</v>
      </c>
      <c r="AD34" s="58">
        <f>INT((AC$33+AE34)*100)/100</f>
        <v>26.97</v>
      </c>
      <c r="AE34" s="56">
        <f>AG$38*AF34</f>
        <v>3.4560000000000008</v>
      </c>
      <c r="AF34" s="56">
        <v>0.6</v>
      </c>
      <c r="AG34" s="56"/>
      <c r="AH34" s="56"/>
      <c r="EF34" s="50">
        <v>15.6</v>
      </c>
    </row>
    <row r="35" spans="1:136" s="50" customFormat="1" ht="23.1" customHeight="1">
      <c r="A35" s="333"/>
      <c r="B35" s="333"/>
      <c r="C35" s="335"/>
      <c r="D35" s="501">
        <v>180</v>
      </c>
      <c r="E35" s="501"/>
      <c r="F35" s="336">
        <f t="shared" si="13"/>
        <v>28.2</v>
      </c>
      <c r="G35" s="502">
        <f t="shared" si="14"/>
        <v>17.899999999999999</v>
      </c>
      <c r="H35" s="502"/>
      <c r="I35" s="311"/>
      <c r="J35" s="536">
        <f t="shared" si="15"/>
        <v>0.4599999999999973</v>
      </c>
      <c r="L35" s="64" t="s">
        <v>21</v>
      </c>
      <c r="S35" s="50">
        <f>$R$34</f>
        <v>177</v>
      </c>
      <c r="T35" s="50">
        <f t="shared" si="10"/>
        <v>2.8919622695744311</v>
      </c>
      <c r="U35" s="60">
        <f t="shared" si="11"/>
        <v>0.125</v>
      </c>
      <c r="V35" s="50">
        <f t="shared" si="12"/>
        <v>5.0000000000000001E-4</v>
      </c>
      <c r="W35" s="50">
        <f t="shared" si="0"/>
        <v>0.2638888888888889</v>
      </c>
      <c r="X35" s="55">
        <f t="shared" si="4"/>
        <v>380</v>
      </c>
      <c r="Y35" s="56">
        <f t="shared" si="1"/>
        <v>59.841573526955798</v>
      </c>
      <c r="AA35" s="56">
        <f>$Z$34</f>
        <v>31.69810999380956</v>
      </c>
      <c r="AB35" s="56">
        <f t="shared" si="6"/>
        <v>380</v>
      </c>
      <c r="AC35" s="56">
        <f t="shared" si="7"/>
        <v>28.143463533146239</v>
      </c>
      <c r="AD35" s="58">
        <f>INT((AC$33+AE35)*100)/100</f>
        <v>27.55</v>
      </c>
      <c r="AE35" s="56">
        <f>AG$38*AF35</f>
        <v>4.0320000000000009</v>
      </c>
      <c r="AF35" s="56">
        <v>0.7</v>
      </c>
      <c r="AG35" s="56"/>
      <c r="AH35" s="56"/>
      <c r="EF35" s="50">
        <v>15.64</v>
      </c>
    </row>
    <row r="36" spans="1:136" s="50" customFormat="1" ht="23.1" customHeight="1">
      <c r="A36" s="333"/>
      <c r="B36" s="333"/>
      <c r="C36" s="335"/>
      <c r="D36" s="501">
        <v>240</v>
      </c>
      <c r="E36" s="501"/>
      <c r="F36" s="336">
        <f t="shared" si="13"/>
        <v>28.66</v>
      </c>
      <c r="G36" s="502">
        <f t="shared" si="14"/>
        <v>18.36</v>
      </c>
      <c r="H36" s="502"/>
      <c r="I36" s="311"/>
      <c r="J36" s="536">
        <f t="shared" si="15"/>
        <v>0.46000000000000085</v>
      </c>
      <c r="L36" s="64" t="s">
        <v>21</v>
      </c>
      <c r="S36" s="50">
        <f>$R$34</f>
        <v>177</v>
      </c>
      <c r="T36" s="50">
        <f t="shared" si="10"/>
        <v>2.8919622695744311</v>
      </c>
      <c r="U36" s="60">
        <f t="shared" si="11"/>
        <v>0.125</v>
      </c>
      <c r="V36" s="50">
        <f t="shared" si="12"/>
        <v>5.0000000000000001E-4</v>
      </c>
      <c r="W36" s="50">
        <f t="shared" si="0"/>
        <v>0.27083333333333331</v>
      </c>
      <c r="X36" s="55">
        <f t="shared" si="4"/>
        <v>390</v>
      </c>
      <c r="Y36" s="56">
        <f t="shared" si="1"/>
        <v>59.96794429230853</v>
      </c>
      <c r="AA36" s="56">
        <f>$Z$34</f>
        <v>31.69810999380956</v>
      </c>
      <c r="AB36" s="56">
        <f t="shared" si="6"/>
        <v>390</v>
      </c>
      <c r="AC36" s="56">
        <f t="shared" si="7"/>
        <v>28.269834298498971</v>
      </c>
      <c r="AD36" s="58">
        <f>INT((AC$33+AE36)*100)/100</f>
        <v>28.12</v>
      </c>
      <c r="AE36" s="56">
        <f>AG$38*AF36</f>
        <v>4.6080000000000014</v>
      </c>
      <c r="AF36" s="56">
        <v>0.8</v>
      </c>
      <c r="AG36" s="56"/>
      <c r="AH36" s="56"/>
      <c r="EF36" s="50">
        <v>15.67</v>
      </c>
    </row>
    <row r="37" spans="1:136" s="50" customFormat="1" ht="23.1" customHeight="1">
      <c r="A37" s="333">
        <v>3</v>
      </c>
      <c r="B37" s="334">
        <f>Input!D22</f>
        <v>150.44999999999999</v>
      </c>
      <c r="C37" s="335">
        <f>$C$12+D37/1440</f>
        <v>44992.652777777774</v>
      </c>
      <c r="D37" s="501">
        <v>250</v>
      </c>
      <c r="E37" s="501"/>
      <c r="F37" s="336">
        <f t="shared" si="13"/>
        <v>31.75</v>
      </c>
      <c r="G37" s="502">
        <f t="shared" si="14"/>
        <v>21.45</v>
      </c>
      <c r="H37" s="502"/>
      <c r="I37" s="311"/>
      <c r="J37" s="536">
        <f t="shared" si="15"/>
        <v>3.09</v>
      </c>
      <c r="L37" s="64" t="s">
        <v>21</v>
      </c>
      <c r="S37" s="50">
        <f>$R$34</f>
        <v>177</v>
      </c>
      <c r="T37" s="50">
        <f t="shared" si="10"/>
        <v>2.8919622695744311</v>
      </c>
      <c r="U37" s="60">
        <f t="shared" si="11"/>
        <v>0.125</v>
      </c>
      <c r="V37" s="50">
        <f t="shared" si="12"/>
        <v>5.0000000000000001E-4</v>
      </c>
      <c r="W37" s="50">
        <f t="shared" si="0"/>
        <v>0.29166666666666669</v>
      </c>
      <c r="X37" s="55">
        <f t="shared" si="4"/>
        <v>420</v>
      </c>
      <c r="Y37" s="56">
        <f t="shared" si="1"/>
        <v>60.328479645310757</v>
      </c>
      <c r="Z37" s="56">
        <f>Y38-Z38</f>
        <v>31.69810999380956</v>
      </c>
      <c r="AA37" s="56">
        <f>$Z$34</f>
        <v>31.69810999380956</v>
      </c>
      <c r="AB37" s="56">
        <f t="shared" si="6"/>
        <v>420</v>
      </c>
      <c r="AC37" s="56">
        <f t="shared" si="7"/>
        <v>28.630369651501198</v>
      </c>
      <c r="AD37" s="58">
        <f>INT((AC$33+AE37)*100)/100</f>
        <v>28.7</v>
      </c>
      <c r="AE37" s="56">
        <f>AG$38*AF37</f>
        <v>5.1840000000000019</v>
      </c>
      <c r="AF37" s="56">
        <v>0.9</v>
      </c>
      <c r="AG37" s="56"/>
      <c r="AH37" s="56"/>
      <c r="EF37" s="50">
        <v>19.260000000000002</v>
      </c>
    </row>
    <row r="38" spans="1:136" s="50" customFormat="1" ht="23.1" customHeight="1">
      <c r="A38" s="333"/>
      <c r="B38" s="333"/>
      <c r="C38" s="335"/>
      <c r="D38" s="501">
        <v>260</v>
      </c>
      <c r="E38" s="501"/>
      <c r="F38" s="336">
        <f t="shared" si="13"/>
        <v>32.269999999999996</v>
      </c>
      <c r="G38" s="502">
        <f t="shared" si="14"/>
        <v>21.97</v>
      </c>
      <c r="H38" s="502"/>
      <c r="I38" s="311"/>
      <c r="J38" s="536">
        <f t="shared" si="15"/>
        <v>0.51999999999999957</v>
      </c>
      <c r="L38" s="64" t="s">
        <v>21</v>
      </c>
      <c r="S38" s="50">
        <f>$R$34</f>
        <v>177</v>
      </c>
      <c r="T38" s="50">
        <f t="shared" si="10"/>
        <v>2.8919622695744311</v>
      </c>
      <c r="U38" s="60">
        <f t="shared" si="11"/>
        <v>0.125</v>
      </c>
      <c r="V38" s="50">
        <f t="shared" si="12"/>
        <v>5.0000000000000001E-4</v>
      </c>
      <c r="W38" s="50">
        <f t="shared" si="0"/>
        <v>0.33333333333333331</v>
      </c>
      <c r="X38" s="55">
        <f t="shared" si="4"/>
        <v>480</v>
      </c>
      <c r="Y38" s="56">
        <f t="shared" si="1"/>
        <v>60.978109993809561</v>
      </c>
      <c r="Z38" s="56">
        <f>Input!B23</f>
        <v>29.28</v>
      </c>
      <c r="AA38" s="56">
        <f>$Z$34</f>
        <v>31.69810999380956</v>
      </c>
      <c r="AB38" s="56">
        <f t="shared" si="6"/>
        <v>480</v>
      </c>
      <c r="AC38" s="56">
        <f t="shared" si="7"/>
        <v>29.28</v>
      </c>
      <c r="AD38" s="58">
        <f>INT((AC$33+AE38)*100)/100</f>
        <v>29.28</v>
      </c>
      <c r="AE38" s="56">
        <f>AG$38*AF38</f>
        <v>5.7600000000000016</v>
      </c>
      <c r="AF38" s="56">
        <v>1</v>
      </c>
      <c r="AG38" s="56">
        <f>AC38-AC33</f>
        <v>5.7600000000000016</v>
      </c>
      <c r="AH38" s="56"/>
      <c r="EF38" s="50">
        <v>20.059999999999999</v>
      </c>
    </row>
    <row r="39" spans="1:136" s="50" customFormat="1" ht="23.1" customHeight="1">
      <c r="A39" s="333"/>
      <c r="B39" s="333"/>
      <c r="C39" s="335"/>
      <c r="D39" s="501">
        <v>270</v>
      </c>
      <c r="E39" s="501"/>
      <c r="F39" s="336">
        <f t="shared" si="13"/>
        <v>32.78</v>
      </c>
      <c r="G39" s="502">
        <f t="shared" si="14"/>
        <v>22.48</v>
      </c>
      <c r="H39" s="502"/>
      <c r="I39" s="311"/>
      <c r="J39" s="536">
        <f t="shared" si="15"/>
        <v>0.51000000000000156</v>
      </c>
      <c r="K39" s="59" t="s">
        <v>21</v>
      </c>
      <c r="L39" s="64" t="s">
        <v>21</v>
      </c>
      <c r="R39" s="54">
        <f>B47</f>
        <v>203.54999999999998</v>
      </c>
      <c r="S39" s="50">
        <f>$R$39</f>
        <v>203.54999999999998</v>
      </c>
      <c r="T39" s="50">
        <f t="shared" si="10"/>
        <v>2.8919622695744311</v>
      </c>
      <c r="U39" s="60">
        <f t="shared" si="11"/>
        <v>0.125</v>
      </c>
      <c r="V39" s="50">
        <f t="shared" si="12"/>
        <v>5.0000000000000001E-4</v>
      </c>
      <c r="W39" s="50">
        <f t="shared" si="0"/>
        <v>0.34027777777777779</v>
      </c>
      <c r="X39" s="55">
        <f t="shared" si="4"/>
        <v>490</v>
      </c>
      <c r="Y39" s="56">
        <f t="shared" si="1"/>
        <v>70.240186271868097</v>
      </c>
      <c r="Z39" s="56">
        <f>Z42</f>
        <v>33.313259113703666</v>
      </c>
      <c r="AA39" s="56">
        <f>$Z$39</f>
        <v>33.313259113703666</v>
      </c>
      <c r="AB39" s="56">
        <f t="shared" si="6"/>
        <v>490</v>
      </c>
      <c r="AC39" s="56">
        <f t="shared" si="7"/>
        <v>36.926927158164432</v>
      </c>
      <c r="AD39" s="58">
        <f>INT((AC$38+AE39)*100)/100</f>
        <v>32.79</v>
      </c>
      <c r="AE39" s="56">
        <f>AG$43*AF39</f>
        <v>3.5120000000000005</v>
      </c>
      <c r="AF39" s="56">
        <v>0.4</v>
      </c>
      <c r="AG39" s="56"/>
      <c r="AH39" s="56"/>
      <c r="EF39" s="50">
        <v>20.46</v>
      </c>
    </row>
    <row r="40" spans="1:136" s="50" customFormat="1" ht="23.1" customHeight="1">
      <c r="A40" s="333"/>
      <c r="B40" s="333"/>
      <c r="C40" s="335"/>
      <c r="D40" s="501">
        <v>300</v>
      </c>
      <c r="E40" s="501"/>
      <c r="F40" s="336">
        <f t="shared" si="13"/>
        <v>33.299999999999997</v>
      </c>
      <c r="G40" s="502">
        <f t="shared" si="14"/>
        <v>23</v>
      </c>
      <c r="H40" s="502"/>
      <c r="I40" s="311"/>
      <c r="J40" s="536">
        <f t="shared" si="15"/>
        <v>0.51999999999999957</v>
      </c>
      <c r="K40" s="59" t="s">
        <v>21</v>
      </c>
      <c r="L40" s="64" t="s">
        <v>21</v>
      </c>
      <c r="S40" s="50">
        <f>$R$39</f>
        <v>203.54999999999998</v>
      </c>
      <c r="T40" s="50">
        <f t="shared" si="10"/>
        <v>2.8919622695744311</v>
      </c>
      <c r="U40" s="60">
        <f t="shared" si="11"/>
        <v>0.125</v>
      </c>
      <c r="V40" s="50">
        <f t="shared" si="12"/>
        <v>5.0000000000000001E-4</v>
      </c>
      <c r="W40" s="50">
        <f t="shared" si="0"/>
        <v>0.34722222222222221</v>
      </c>
      <c r="X40" s="55">
        <f t="shared" si="4"/>
        <v>500</v>
      </c>
      <c r="Y40" s="56">
        <f t="shared" si="1"/>
        <v>70.353215390099749</v>
      </c>
      <c r="AA40" s="56">
        <f>$Z$39</f>
        <v>33.313259113703666</v>
      </c>
      <c r="AB40" s="56">
        <f t="shared" si="6"/>
        <v>500</v>
      </c>
      <c r="AC40" s="56">
        <f t="shared" si="7"/>
        <v>37.039956276396083</v>
      </c>
      <c r="AD40" s="58">
        <f>INT((AC$38+AE40)*100)/100</f>
        <v>34.1</v>
      </c>
      <c r="AE40" s="56">
        <f>AG$43*AF40</f>
        <v>4.8290000000000006</v>
      </c>
      <c r="AF40" s="56">
        <v>0.55000000000000004</v>
      </c>
      <c r="AG40" s="56"/>
      <c r="AH40" s="56"/>
      <c r="EF40" s="50">
        <v>20.66</v>
      </c>
    </row>
    <row r="41" spans="1:136" s="50" customFormat="1" ht="23.1" customHeight="1">
      <c r="A41" s="333"/>
      <c r="B41" s="333"/>
      <c r="C41" s="335"/>
      <c r="D41" s="501">
        <v>360</v>
      </c>
      <c r="E41" s="501"/>
      <c r="F41" s="336">
        <f t="shared" si="13"/>
        <v>33.82</v>
      </c>
      <c r="G41" s="502">
        <f t="shared" si="14"/>
        <v>23.52</v>
      </c>
      <c r="H41" s="502"/>
      <c r="I41" s="311"/>
      <c r="J41" s="536">
        <f t="shared" si="15"/>
        <v>0.51999999999999957</v>
      </c>
      <c r="K41" s="59" t="s">
        <v>21</v>
      </c>
      <c r="L41" s="64" t="s">
        <v>21</v>
      </c>
      <c r="S41" s="50">
        <f>$R$39</f>
        <v>203.54999999999998</v>
      </c>
      <c r="T41" s="50">
        <f t="shared" si="10"/>
        <v>2.8919622695744311</v>
      </c>
      <c r="U41" s="60">
        <f t="shared" si="11"/>
        <v>0.125</v>
      </c>
      <c r="V41" s="50">
        <f t="shared" si="12"/>
        <v>5.0000000000000001E-4</v>
      </c>
      <c r="W41" s="50">
        <f t="shared" si="0"/>
        <v>0.35416666666666669</v>
      </c>
      <c r="X41" s="55">
        <f t="shared" si="4"/>
        <v>510</v>
      </c>
      <c r="Y41" s="56">
        <f t="shared" si="1"/>
        <v>70.464006160206893</v>
      </c>
      <c r="AA41" s="56">
        <f>$Z$39</f>
        <v>33.313259113703666</v>
      </c>
      <c r="AB41" s="56">
        <f t="shared" si="6"/>
        <v>510</v>
      </c>
      <c r="AC41" s="56">
        <f t="shared" si="7"/>
        <v>37.150747046503227</v>
      </c>
      <c r="AD41" s="58">
        <f>INT((AC$38+AE41)*100)/100</f>
        <v>35.42</v>
      </c>
      <c r="AE41" s="56">
        <f>AG$43*AF41</f>
        <v>6.1460000000000008</v>
      </c>
      <c r="AF41" s="56">
        <v>0.7</v>
      </c>
      <c r="AG41" s="56"/>
      <c r="AH41" s="56"/>
      <c r="EF41" s="50">
        <v>20.75</v>
      </c>
    </row>
    <row r="42" spans="1:136" s="50" customFormat="1" ht="23.1" customHeight="1">
      <c r="A42" s="333">
        <v>4</v>
      </c>
      <c r="B42" s="334">
        <f>Input!D23</f>
        <v>177</v>
      </c>
      <c r="C42" s="335">
        <f>$C$12+D42/1440</f>
        <v>44992.736111111109</v>
      </c>
      <c r="D42" s="501">
        <v>370</v>
      </c>
      <c r="E42" s="501"/>
      <c r="F42" s="336">
        <f t="shared" si="13"/>
        <v>37.269999999999996</v>
      </c>
      <c r="G42" s="502">
        <f t="shared" si="14"/>
        <v>26.97</v>
      </c>
      <c r="H42" s="502"/>
      <c r="I42" s="311"/>
      <c r="J42" s="536">
        <f t="shared" si="15"/>
        <v>3.4499999999999993</v>
      </c>
      <c r="K42" s="59" t="s">
        <v>21</v>
      </c>
      <c r="L42" s="64" t="s">
        <v>21</v>
      </c>
      <c r="S42" s="50">
        <f>$R$39</f>
        <v>203.54999999999998</v>
      </c>
      <c r="T42" s="50">
        <f t="shared" si="10"/>
        <v>2.8919622695744311</v>
      </c>
      <c r="U42" s="60">
        <f t="shared" si="11"/>
        <v>0.125</v>
      </c>
      <c r="V42" s="50">
        <f t="shared" si="12"/>
        <v>5.0000000000000001E-4</v>
      </c>
      <c r="W42" s="50">
        <f t="shared" si="0"/>
        <v>0.375</v>
      </c>
      <c r="X42" s="55">
        <f t="shared" si="4"/>
        <v>540</v>
      </c>
      <c r="Y42" s="56">
        <f t="shared" si="1"/>
        <v>70.783793256773251</v>
      </c>
      <c r="Z42" s="56">
        <f>Y43-Z43</f>
        <v>33.313259113703666</v>
      </c>
      <c r="AA42" s="56">
        <f>$Z$39</f>
        <v>33.313259113703666</v>
      </c>
      <c r="AB42" s="56">
        <f t="shared" si="6"/>
        <v>540</v>
      </c>
      <c r="AC42" s="56">
        <f t="shared" si="7"/>
        <v>37.470534143069585</v>
      </c>
      <c r="AD42" s="58">
        <f>INT((AC$38+AE42)*100)/100</f>
        <v>36.74</v>
      </c>
      <c r="AE42" s="56">
        <f>AG$43*AF42</f>
        <v>7.463000000000001</v>
      </c>
      <c r="AF42" s="56">
        <v>0.85</v>
      </c>
      <c r="AG42" s="56"/>
      <c r="AH42" s="56"/>
      <c r="EF42" s="50">
        <v>29.31</v>
      </c>
    </row>
    <row r="43" spans="1:136" s="50" customFormat="1" ht="23.1" customHeight="1">
      <c r="A43" s="333"/>
      <c r="B43" s="333"/>
      <c r="C43" s="335"/>
      <c r="D43" s="501">
        <v>380</v>
      </c>
      <c r="E43" s="501"/>
      <c r="F43" s="336">
        <f t="shared" si="13"/>
        <v>37.85</v>
      </c>
      <c r="G43" s="502">
        <f t="shared" si="14"/>
        <v>27.55</v>
      </c>
      <c r="H43" s="502"/>
      <c r="I43" s="311"/>
      <c r="J43" s="536">
        <f t="shared" si="15"/>
        <v>0.58000000000000185</v>
      </c>
      <c r="K43" s="59" t="s">
        <v>21</v>
      </c>
      <c r="L43" s="64" t="s">
        <v>21</v>
      </c>
      <c r="S43" s="50">
        <f>$R$39</f>
        <v>203.54999999999998</v>
      </c>
      <c r="T43" s="50">
        <f t="shared" si="10"/>
        <v>2.8919622695744311</v>
      </c>
      <c r="U43" s="60">
        <f t="shared" si="11"/>
        <v>0.125</v>
      </c>
      <c r="V43" s="50">
        <f t="shared" si="12"/>
        <v>5.0000000000000001E-4</v>
      </c>
      <c r="W43" s="50">
        <f t="shared" si="0"/>
        <v>0.41666666666666669</v>
      </c>
      <c r="X43" s="55">
        <f t="shared" si="4"/>
        <v>600</v>
      </c>
      <c r="Y43" s="56">
        <f t="shared" si="1"/>
        <v>71.373259113703668</v>
      </c>
      <c r="Z43" s="56">
        <f>Input!B24</f>
        <v>38.06</v>
      </c>
      <c r="AA43" s="56">
        <f>$Z$39</f>
        <v>33.313259113703666</v>
      </c>
      <c r="AB43" s="56">
        <f t="shared" si="6"/>
        <v>600</v>
      </c>
      <c r="AC43" s="56">
        <f t="shared" si="7"/>
        <v>38.06</v>
      </c>
      <c r="AD43" s="58">
        <f>INT((AC$38+AE43)*100)/100</f>
        <v>38.06</v>
      </c>
      <c r="AE43" s="56">
        <f>AG$43*AF43</f>
        <v>8.7800000000000011</v>
      </c>
      <c r="AF43" s="56">
        <v>1</v>
      </c>
      <c r="AG43" s="56">
        <f>AC43-AC38</f>
        <v>8.7800000000000011</v>
      </c>
      <c r="AH43" s="56"/>
      <c r="EF43" s="50">
        <v>31.81</v>
      </c>
    </row>
    <row r="44" spans="1:136" s="50" customFormat="1" ht="23.1" customHeight="1">
      <c r="A44" s="333"/>
      <c r="B44" s="333"/>
      <c r="C44" s="335"/>
      <c r="D44" s="501">
        <v>390</v>
      </c>
      <c r="E44" s="501"/>
      <c r="F44" s="336">
        <f t="shared" si="13"/>
        <v>38.42</v>
      </c>
      <c r="G44" s="502">
        <f t="shared" si="14"/>
        <v>28.12</v>
      </c>
      <c r="H44" s="502"/>
      <c r="I44" s="311"/>
      <c r="J44" s="536">
        <f t="shared" si="15"/>
        <v>0.57000000000000028</v>
      </c>
      <c r="K44" s="59" t="s">
        <v>21</v>
      </c>
      <c r="L44" s="64" t="s">
        <v>21</v>
      </c>
      <c r="S44" s="50" t="s">
        <v>21</v>
      </c>
      <c r="T44" s="50" t="s">
        <v>21</v>
      </c>
      <c r="U44" s="60" t="s">
        <v>21</v>
      </c>
      <c r="V44" s="50" t="s">
        <v>21</v>
      </c>
      <c r="W44" s="50" t="s">
        <v>21</v>
      </c>
      <c r="X44" s="55" t="s">
        <v>21</v>
      </c>
      <c r="Y44" s="56" t="s">
        <v>21</v>
      </c>
      <c r="AE44" s="56"/>
      <c r="AF44" s="56"/>
      <c r="EF44" s="50">
        <v>35.83</v>
      </c>
    </row>
    <row r="45" spans="1:136" s="50" customFormat="1" ht="23.1" customHeight="1">
      <c r="A45" s="333"/>
      <c r="B45" s="333"/>
      <c r="C45" s="335"/>
      <c r="D45" s="501">
        <v>420</v>
      </c>
      <c r="E45" s="501"/>
      <c r="F45" s="336">
        <f t="shared" si="13"/>
        <v>39</v>
      </c>
      <c r="G45" s="502">
        <f t="shared" si="14"/>
        <v>28.7</v>
      </c>
      <c r="H45" s="502"/>
      <c r="I45" s="311"/>
      <c r="J45" s="536">
        <f t="shared" si="15"/>
        <v>0.57999999999999829</v>
      </c>
      <c r="K45" s="59" t="s">
        <v>21</v>
      </c>
      <c r="L45" s="64" t="s">
        <v>21</v>
      </c>
      <c r="S45" s="50" t="str">
        <f t="shared" ref="S45:S51" si="23">$S44</f>
        <v xml:space="preserve"> </v>
      </c>
      <c r="T45" s="50" t="str">
        <f t="shared" si="10"/>
        <v xml:space="preserve"> </v>
      </c>
      <c r="U45" s="60" t="str">
        <f t="shared" si="11"/>
        <v xml:space="preserve"> </v>
      </c>
      <c r="V45" s="50" t="str">
        <f t="shared" si="12"/>
        <v xml:space="preserve"> </v>
      </c>
      <c r="W45" s="50" t="s">
        <v>21</v>
      </c>
      <c r="X45" s="55" t="s">
        <v>21</v>
      </c>
      <c r="Y45" s="56" t="s">
        <v>21</v>
      </c>
      <c r="AE45" s="56"/>
      <c r="AF45" s="56"/>
      <c r="EF45" s="50">
        <v>35.96</v>
      </c>
    </row>
    <row r="46" spans="1:136" s="50" customFormat="1" ht="23.1" customHeight="1">
      <c r="A46" s="333"/>
      <c r="B46" s="333"/>
      <c r="C46" s="335"/>
      <c r="D46" s="501">
        <v>480</v>
      </c>
      <c r="E46" s="501"/>
      <c r="F46" s="336">
        <f t="shared" si="13"/>
        <v>39.58</v>
      </c>
      <c r="G46" s="502">
        <f t="shared" si="14"/>
        <v>29.28</v>
      </c>
      <c r="H46" s="502"/>
      <c r="I46" s="311"/>
      <c r="J46" s="536">
        <f t="shared" si="15"/>
        <v>0.58000000000000185</v>
      </c>
      <c r="K46" s="59" t="s">
        <v>21</v>
      </c>
      <c r="L46" s="64" t="s">
        <v>21</v>
      </c>
      <c r="S46" s="50" t="str">
        <f t="shared" si="23"/>
        <v xml:space="preserve"> </v>
      </c>
      <c r="T46" s="50" t="str">
        <f t="shared" si="10"/>
        <v xml:space="preserve"> </v>
      </c>
      <c r="U46" s="60" t="str">
        <f t="shared" si="11"/>
        <v xml:space="preserve"> </v>
      </c>
      <c r="V46" s="50" t="str">
        <f t="shared" si="12"/>
        <v xml:space="preserve"> </v>
      </c>
      <c r="W46" s="50" t="s">
        <v>21</v>
      </c>
      <c r="X46" s="55" t="s">
        <v>21</v>
      </c>
      <c r="Y46" s="56" t="s">
        <v>21</v>
      </c>
      <c r="AE46" s="56"/>
      <c r="AF46" s="56"/>
      <c r="EF46" s="50">
        <v>36.01</v>
      </c>
    </row>
    <row r="47" spans="1:136" s="50" customFormat="1" ht="23.1" customHeight="1">
      <c r="A47" s="333">
        <v>5</v>
      </c>
      <c r="B47" s="334">
        <f>Input!D24</f>
        <v>203.54999999999998</v>
      </c>
      <c r="C47" s="335">
        <f>$C$12+D47/1440</f>
        <v>44992.819444444445</v>
      </c>
      <c r="D47" s="501">
        <v>490</v>
      </c>
      <c r="E47" s="501"/>
      <c r="F47" s="336">
        <f t="shared" si="13"/>
        <v>43.09</v>
      </c>
      <c r="G47" s="502">
        <f t="shared" si="14"/>
        <v>32.79</v>
      </c>
      <c r="H47" s="502"/>
      <c r="I47" s="311"/>
      <c r="J47" s="536">
        <f t="shared" si="15"/>
        <v>3.509999999999998</v>
      </c>
      <c r="K47" s="59" t="s">
        <v>21</v>
      </c>
      <c r="S47" s="50" t="str">
        <f t="shared" si="23"/>
        <v xml:space="preserve"> </v>
      </c>
      <c r="T47" s="50" t="str">
        <f t="shared" si="10"/>
        <v xml:space="preserve"> </v>
      </c>
      <c r="U47" s="60" t="str">
        <f t="shared" si="11"/>
        <v xml:space="preserve"> </v>
      </c>
      <c r="V47" s="50" t="str">
        <f t="shared" si="12"/>
        <v xml:space="preserve"> </v>
      </c>
      <c r="W47" s="50" t="s">
        <v>21</v>
      </c>
      <c r="X47" s="55" t="s">
        <v>21</v>
      </c>
      <c r="Y47" s="56" t="s">
        <v>21</v>
      </c>
      <c r="AE47" s="56"/>
      <c r="AF47" s="56"/>
      <c r="EF47" s="50">
        <v>30.66</v>
      </c>
    </row>
    <row r="48" spans="1:136" s="50" customFormat="1" ht="23.1" customHeight="1">
      <c r="A48" s="333"/>
      <c r="B48" s="333"/>
      <c r="C48" s="335"/>
      <c r="D48" s="501">
        <v>500</v>
      </c>
      <c r="E48" s="501"/>
      <c r="F48" s="336">
        <f t="shared" si="13"/>
        <v>44.400000000000006</v>
      </c>
      <c r="G48" s="502">
        <f t="shared" si="14"/>
        <v>34.1</v>
      </c>
      <c r="H48" s="502"/>
      <c r="I48" s="311"/>
      <c r="J48" s="536">
        <f t="shared" si="15"/>
        <v>1.3100000000000023</v>
      </c>
      <c r="K48" s="59" t="s">
        <v>21</v>
      </c>
      <c r="S48" s="50" t="str">
        <f t="shared" si="23"/>
        <v xml:space="preserve"> </v>
      </c>
      <c r="T48" s="50" t="str">
        <f t="shared" si="10"/>
        <v xml:space="preserve"> </v>
      </c>
      <c r="U48" s="60" t="str">
        <f t="shared" si="11"/>
        <v xml:space="preserve"> </v>
      </c>
      <c r="V48" s="50" t="str">
        <f t="shared" si="12"/>
        <v xml:space="preserve"> </v>
      </c>
      <c r="W48" s="50" t="s">
        <v>21</v>
      </c>
      <c r="X48" s="55" t="s">
        <v>21</v>
      </c>
      <c r="Y48" s="56" t="s">
        <v>21</v>
      </c>
      <c r="AE48" s="56"/>
      <c r="AF48" s="56"/>
      <c r="EF48" s="50">
        <v>30.83</v>
      </c>
    </row>
    <row r="49" spans="1:136" s="50" customFormat="1" ht="23.1" customHeight="1">
      <c r="A49" s="333"/>
      <c r="B49" s="333"/>
      <c r="C49" s="335"/>
      <c r="D49" s="501">
        <v>510</v>
      </c>
      <c r="E49" s="501"/>
      <c r="F49" s="336">
        <f t="shared" si="13"/>
        <v>45.72</v>
      </c>
      <c r="G49" s="502">
        <f t="shared" si="14"/>
        <v>35.42</v>
      </c>
      <c r="H49" s="502"/>
      <c r="I49" s="311"/>
      <c r="J49" s="536">
        <f t="shared" si="15"/>
        <v>1.3200000000000003</v>
      </c>
      <c r="K49" s="59" t="s">
        <v>21</v>
      </c>
      <c r="S49" s="50" t="str">
        <f t="shared" si="23"/>
        <v xml:space="preserve"> </v>
      </c>
      <c r="T49" s="50" t="str">
        <f t="shared" si="10"/>
        <v xml:space="preserve"> </v>
      </c>
      <c r="U49" s="60" t="str">
        <f t="shared" si="11"/>
        <v xml:space="preserve"> </v>
      </c>
      <c r="V49" s="50" t="str">
        <f t="shared" si="12"/>
        <v xml:space="preserve"> </v>
      </c>
      <c r="W49" s="50" t="s">
        <v>21</v>
      </c>
      <c r="X49" s="55" t="s">
        <v>21</v>
      </c>
      <c r="Y49" s="56" t="s">
        <v>21</v>
      </c>
      <c r="AE49" s="56"/>
      <c r="AF49" s="56"/>
      <c r="EF49" s="50">
        <v>30.83</v>
      </c>
    </row>
    <row r="50" spans="1:136" s="50" customFormat="1" ht="23.1" customHeight="1">
      <c r="A50" s="333"/>
      <c r="B50" s="333"/>
      <c r="C50" s="335"/>
      <c r="D50" s="501">
        <v>540</v>
      </c>
      <c r="E50" s="501"/>
      <c r="F50" s="336">
        <f t="shared" si="13"/>
        <v>47.040000000000006</v>
      </c>
      <c r="G50" s="502">
        <f t="shared" si="14"/>
        <v>36.74</v>
      </c>
      <c r="H50" s="502"/>
      <c r="I50" s="311"/>
      <c r="J50" s="536">
        <f t="shared" si="15"/>
        <v>1.3200000000000003</v>
      </c>
      <c r="K50" s="59" t="s">
        <v>21</v>
      </c>
      <c r="S50" s="50" t="str">
        <f t="shared" si="23"/>
        <v xml:space="preserve"> </v>
      </c>
      <c r="T50" s="50" t="str">
        <f t="shared" si="10"/>
        <v xml:space="preserve"> </v>
      </c>
      <c r="U50" s="60" t="str">
        <f t="shared" si="11"/>
        <v xml:space="preserve"> </v>
      </c>
      <c r="V50" s="50" t="str">
        <f t="shared" si="12"/>
        <v xml:space="preserve"> </v>
      </c>
      <c r="W50" s="50" t="s">
        <v>21</v>
      </c>
      <c r="X50" s="55" t="s">
        <v>21</v>
      </c>
      <c r="Y50" s="56" t="s">
        <v>21</v>
      </c>
      <c r="AE50" s="56"/>
      <c r="AF50" s="56"/>
      <c r="EF50" s="50">
        <v>30.83</v>
      </c>
    </row>
    <row r="51" spans="1:136" s="50" customFormat="1" ht="23.1" customHeight="1">
      <c r="A51" s="333"/>
      <c r="B51" s="333"/>
      <c r="C51" s="335">
        <f>$C$12+D51/1440</f>
        <v>44992.895833333328</v>
      </c>
      <c r="D51" s="501">
        <v>600</v>
      </c>
      <c r="E51" s="501"/>
      <c r="F51" s="336">
        <f t="shared" si="13"/>
        <v>48.36</v>
      </c>
      <c r="G51" s="502">
        <f t="shared" si="14"/>
        <v>38.06</v>
      </c>
      <c r="H51" s="502"/>
      <c r="I51" s="311" t="s">
        <v>181</v>
      </c>
      <c r="J51" s="536">
        <f t="shared" si="15"/>
        <v>1.3200000000000003</v>
      </c>
      <c r="K51" s="59" t="s">
        <v>21</v>
      </c>
      <c r="S51" s="50" t="str">
        <f t="shared" si="23"/>
        <v xml:space="preserve"> </v>
      </c>
      <c r="T51" s="50" t="str">
        <f t="shared" si="10"/>
        <v xml:space="preserve"> </v>
      </c>
      <c r="U51" s="60" t="str">
        <f t="shared" si="11"/>
        <v xml:space="preserve"> </v>
      </c>
      <c r="V51" s="50" t="str">
        <f t="shared" si="12"/>
        <v xml:space="preserve"> </v>
      </c>
      <c r="W51" s="50" t="s">
        <v>21</v>
      </c>
      <c r="X51" s="55" t="s">
        <v>21</v>
      </c>
      <c r="Y51" s="56" t="s">
        <v>21</v>
      </c>
      <c r="AE51" s="56"/>
      <c r="AF51" s="56"/>
      <c r="EF51" s="50">
        <v>31.590000000000117</v>
      </c>
    </row>
    <row r="52" spans="1:136" s="50" customFormat="1" ht="17.25" customHeight="1">
      <c r="J52" s="52" t="s">
        <v>21</v>
      </c>
      <c r="K52" s="59" t="s">
        <v>21</v>
      </c>
      <c r="U52" s="60"/>
      <c r="W52" s="50" t="s">
        <v>21</v>
      </c>
      <c r="X52" s="55" t="s">
        <v>21</v>
      </c>
      <c r="Y52" s="56" t="s">
        <v>21</v>
      </c>
      <c r="AE52" s="56"/>
      <c r="AF52" s="56"/>
      <c r="EF52" s="50">
        <v>13.38</v>
      </c>
    </row>
    <row r="53" spans="1:136" s="50" customFormat="1" ht="17.25" customHeight="1">
      <c r="J53" s="52" t="s">
        <v>21</v>
      </c>
      <c r="K53" s="59" t="s">
        <v>21</v>
      </c>
      <c r="U53" s="60"/>
      <c r="W53" s="50" t="s">
        <v>21</v>
      </c>
      <c r="X53" s="55" t="s">
        <v>21</v>
      </c>
      <c r="Y53" s="56" t="s">
        <v>21</v>
      </c>
      <c r="AE53" s="56"/>
      <c r="AF53" s="56"/>
      <c r="EF53" s="50">
        <v>9.48</v>
      </c>
    </row>
    <row r="54" spans="1:136" s="50" customFormat="1" ht="17.25" customHeight="1">
      <c r="J54" s="52" t="s">
        <v>21</v>
      </c>
      <c r="K54" s="59" t="s">
        <v>21</v>
      </c>
      <c r="U54" s="60"/>
      <c r="W54" s="50" t="s">
        <v>21</v>
      </c>
      <c r="X54" s="55" t="s">
        <v>21</v>
      </c>
      <c r="Y54" s="56" t="s">
        <v>21</v>
      </c>
      <c r="AE54" s="56"/>
      <c r="AF54" s="56"/>
      <c r="EF54" s="50">
        <v>6.56</v>
      </c>
    </row>
    <row r="55" spans="1:136" s="50" customFormat="1" ht="17.25" customHeight="1">
      <c r="J55" s="52" t="s">
        <v>21</v>
      </c>
      <c r="K55" s="59" t="s">
        <v>21</v>
      </c>
      <c r="U55" s="60"/>
      <c r="W55" s="50" t="s">
        <v>21</v>
      </c>
      <c r="X55" s="55" t="s">
        <v>21</v>
      </c>
      <c r="Y55" s="56" t="s">
        <v>21</v>
      </c>
      <c r="AE55" s="56"/>
      <c r="AF55" s="56"/>
      <c r="EF55" s="50">
        <v>4.22</v>
      </c>
    </row>
    <row r="56" spans="1:136" s="50" customFormat="1" ht="17.25" customHeight="1">
      <c r="J56" s="52" t="s">
        <v>21</v>
      </c>
      <c r="K56" s="59" t="s">
        <v>21</v>
      </c>
      <c r="U56" s="60"/>
      <c r="W56" s="50" t="s">
        <v>21</v>
      </c>
      <c r="X56" s="55" t="s">
        <v>21</v>
      </c>
      <c r="Y56" s="56" t="s">
        <v>21</v>
      </c>
      <c r="AE56" s="56"/>
      <c r="AF56" s="56"/>
      <c r="EF56" s="50">
        <v>3.05</v>
      </c>
    </row>
    <row r="57" spans="1:136" s="50" customFormat="1" ht="17.25" customHeight="1">
      <c r="J57" s="52" t="s">
        <v>21</v>
      </c>
      <c r="K57" s="59" t="s">
        <v>21</v>
      </c>
      <c r="U57" s="60"/>
      <c r="W57" s="50" t="s">
        <v>21</v>
      </c>
      <c r="X57" s="55" t="s">
        <v>21</v>
      </c>
      <c r="Y57" s="56" t="s">
        <v>21</v>
      </c>
      <c r="AE57" s="56"/>
      <c r="AF57" s="56"/>
      <c r="EF57" s="50">
        <v>2.27</v>
      </c>
    </row>
    <row r="58" spans="1:136" s="50" customFormat="1" ht="17.25" customHeight="1">
      <c r="J58" s="52" t="s">
        <v>21</v>
      </c>
      <c r="K58" s="59" t="s">
        <v>21</v>
      </c>
      <c r="U58" s="60"/>
      <c r="W58" s="50" t="s">
        <v>21</v>
      </c>
      <c r="X58" s="55" t="s">
        <v>21</v>
      </c>
      <c r="Y58" s="56" t="s">
        <v>21</v>
      </c>
      <c r="AE58" s="56"/>
      <c r="AF58" s="56"/>
      <c r="EF58" s="50">
        <v>1.69</v>
      </c>
    </row>
    <row r="59" spans="1:136" s="50" customFormat="1" ht="17.25" customHeight="1">
      <c r="J59" s="52" t="s">
        <v>21</v>
      </c>
      <c r="K59" s="59" t="s">
        <v>21</v>
      </c>
      <c r="U59" s="60"/>
      <c r="W59" s="50" t="s">
        <v>21</v>
      </c>
      <c r="X59" s="55" t="s">
        <v>21</v>
      </c>
      <c r="Y59" s="56" t="s">
        <v>21</v>
      </c>
      <c r="AE59" s="56"/>
      <c r="AF59" s="56"/>
      <c r="EF59" s="50">
        <v>1.22</v>
      </c>
    </row>
    <row r="60" spans="1:136" s="50" customFormat="1" ht="17.25" customHeight="1">
      <c r="J60" s="52" t="s">
        <v>21</v>
      </c>
      <c r="K60" s="59" t="s">
        <v>21</v>
      </c>
      <c r="U60" s="60"/>
      <c r="W60" s="50" t="s">
        <v>21</v>
      </c>
      <c r="X60" s="55" t="s">
        <v>21</v>
      </c>
      <c r="Y60" s="56" t="s">
        <v>21</v>
      </c>
      <c r="AE60" s="56"/>
      <c r="AF60" s="56"/>
      <c r="EF60" s="50">
        <v>0.83</v>
      </c>
    </row>
    <row r="61" spans="1:136" s="50" customFormat="1" ht="17.25" customHeight="1">
      <c r="J61" s="52" t="s">
        <v>21</v>
      </c>
      <c r="K61" s="59" t="s">
        <v>21</v>
      </c>
      <c r="U61" s="60"/>
      <c r="W61" s="50" t="s">
        <v>21</v>
      </c>
      <c r="X61" s="55" t="s">
        <v>21</v>
      </c>
      <c r="Y61" s="56" t="s">
        <v>21</v>
      </c>
      <c r="AE61" s="56"/>
      <c r="AF61" s="56"/>
      <c r="EF61" s="50">
        <v>0.5699999999999994</v>
      </c>
    </row>
    <row r="62" spans="1:136" s="50" customFormat="1" ht="17.25" customHeight="1">
      <c r="J62" s="52" t="s">
        <v>21</v>
      </c>
      <c r="K62" s="59" t="s">
        <v>21</v>
      </c>
      <c r="U62" s="60"/>
      <c r="W62" s="50" t="s">
        <v>21</v>
      </c>
      <c r="X62" s="55" t="s">
        <v>21</v>
      </c>
      <c r="Y62" s="56" t="s">
        <v>21</v>
      </c>
      <c r="AE62" s="56"/>
      <c r="AF62" s="56"/>
      <c r="EF62" s="50">
        <v>0.38</v>
      </c>
    </row>
    <row r="63" spans="1:136" s="50" customFormat="1" ht="17.25" customHeight="1">
      <c r="J63" s="52" t="s">
        <v>21</v>
      </c>
      <c r="K63" s="59" t="s">
        <v>21</v>
      </c>
      <c r="U63" s="60"/>
      <c r="W63" s="50" t="s">
        <v>21</v>
      </c>
      <c r="X63" s="55" t="s">
        <v>21</v>
      </c>
      <c r="Y63" s="56" t="s">
        <v>21</v>
      </c>
      <c r="AE63" s="56"/>
      <c r="AF63" s="56"/>
      <c r="EF63" s="50">
        <v>0.27999999999999936</v>
      </c>
    </row>
    <row r="64" spans="1:136" s="50" customFormat="1" ht="17.25" customHeight="1">
      <c r="J64" s="52" t="s">
        <v>21</v>
      </c>
      <c r="K64" s="59" t="s">
        <v>21</v>
      </c>
      <c r="U64" s="60"/>
      <c r="W64" s="50" t="s">
        <v>21</v>
      </c>
      <c r="X64" s="55" t="s">
        <v>21</v>
      </c>
      <c r="Y64" s="56" t="s">
        <v>21</v>
      </c>
      <c r="AE64" s="56"/>
      <c r="AF64" s="56"/>
      <c r="EF64" s="50">
        <v>0.22</v>
      </c>
    </row>
    <row r="65" spans="10:136" s="50" customFormat="1" ht="17.25" customHeight="1">
      <c r="J65" s="52" t="s">
        <v>21</v>
      </c>
      <c r="K65" s="59" t="s">
        <v>21</v>
      </c>
      <c r="U65" s="60"/>
      <c r="W65" s="50" t="s">
        <v>21</v>
      </c>
      <c r="X65" s="55" t="s">
        <v>21</v>
      </c>
      <c r="Y65" s="56" t="s">
        <v>21</v>
      </c>
      <c r="AE65" s="56"/>
      <c r="AF65" s="56"/>
      <c r="EF65" s="50">
        <v>0.17</v>
      </c>
    </row>
    <row r="66" spans="10:136" s="50" customFormat="1" ht="17.25" customHeight="1">
      <c r="J66" s="52" t="s">
        <v>21</v>
      </c>
      <c r="K66" s="59" t="s">
        <v>21</v>
      </c>
      <c r="U66" s="60"/>
      <c r="W66" s="50" t="s">
        <v>21</v>
      </c>
      <c r="X66" s="55" t="s">
        <v>21</v>
      </c>
      <c r="Y66" s="56" t="s">
        <v>21</v>
      </c>
      <c r="AE66" s="56"/>
      <c r="AF66" s="56"/>
      <c r="EF66" s="50">
        <v>0.13</v>
      </c>
    </row>
    <row r="67" spans="10:136" s="50" customFormat="1" ht="17.25" customHeight="1">
      <c r="J67" s="52" t="s">
        <v>21</v>
      </c>
      <c r="K67" s="59" t="s">
        <v>21</v>
      </c>
      <c r="U67" s="60"/>
      <c r="W67" s="55" t="s">
        <v>21</v>
      </c>
      <c r="X67" s="56" t="s">
        <v>21</v>
      </c>
      <c r="AD67" s="56"/>
      <c r="AE67" s="56"/>
      <c r="ED67" s="50">
        <v>9.9999999999999645E-2</v>
      </c>
    </row>
    <row r="68" spans="10:136" s="50" customFormat="1" ht="17.25" customHeight="1">
      <c r="J68" s="52" t="s">
        <v>21</v>
      </c>
      <c r="K68" s="59" t="s">
        <v>21</v>
      </c>
      <c r="U68" s="60"/>
      <c r="W68" s="50" t="s">
        <v>21</v>
      </c>
      <c r="X68" s="55" t="s">
        <v>21</v>
      </c>
      <c r="Y68" s="56" t="s">
        <v>21</v>
      </c>
      <c r="AE68" s="56"/>
      <c r="AF68" s="56"/>
    </row>
    <row r="69" spans="10:136" s="50" customFormat="1" ht="17.25" customHeight="1">
      <c r="J69" s="52" t="s">
        <v>21</v>
      </c>
      <c r="K69" s="59" t="s">
        <v>21</v>
      </c>
      <c r="U69" s="60"/>
      <c r="W69" s="50" t="s">
        <v>21</v>
      </c>
      <c r="X69" s="55" t="s">
        <v>21</v>
      </c>
      <c r="Y69" s="56" t="s">
        <v>21</v>
      </c>
      <c r="AE69" s="56"/>
      <c r="AF69" s="56"/>
    </row>
    <row r="70" spans="10:136" s="50" customFormat="1" ht="17.25" customHeight="1">
      <c r="J70" s="52" t="s">
        <v>21</v>
      </c>
      <c r="K70" s="59" t="s">
        <v>21</v>
      </c>
      <c r="U70" s="60"/>
      <c r="W70" s="50" t="s">
        <v>21</v>
      </c>
      <c r="X70" s="55" t="s">
        <v>21</v>
      </c>
      <c r="Y70" s="56" t="s">
        <v>21</v>
      </c>
      <c r="AE70" s="56"/>
      <c r="AF70" s="56"/>
    </row>
    <row r="71" spans="10:136" s="50" customFormat="1" ht="17.25" customHeight="1">
      <c r="J71" s="52" t="s">
        <v>21</v>
      </c>
      <c r="K71" s="59" t="s">
        <v>21</v>
      </c>
      <c r="U71" s="60"/>
      <c r="W71" s="50" t="s">
        <v>21</v>
      </c>
      <c r="X71" s="55" t="s">
        <v>21</v>
      </c>
      <c r="Y71" s="56" t="s">
        <v>21</v>
      </c>
      <c r="AE71" s="56"/>
      <c r="AF71" s="56"/>
    </row>
    <row r="72" spans="10:136" s="50" customFormat="1" ht="17.25" customHeight="1">
      <c r="J72" s="52" t="s">
        <v>21</v>
      </c>
      <c r="K72" s="59" t="s">
        <v>21</v>
      </c>
      <c r="U72" s="60"/>
      <c r="W72" s="50" t="s">
        <v>21</v>
      </c>
      <c r="X72" s="55" t="s">
        <v>21</v>
      </c>
      <c r="Y72" s="56" t="s">
        <v>21</v>
      </c>
      <c r="AE72" s="56"/>
      <c r="AF72" s="56"/>
    </row>
    <row r="73" spans="10:136" s="50" customFormat="1" ht="17.25" customHeight="1">
      <c r="J73" s="52" t="s">
        <v>21</v>
      </c>
      <c r="K73" s="59" t="s">
        <v>21</v>
      </c>
      <c r="U73" s="60"/>
      <c r="W73" s="50" t="s">
        <v>21</v>
      </c>
      <c r="X73" s="55" t="s">
        <v>21</v>
      </c>
      <c r="Y73" s="56" t="s">
        <v>21</v>
      </c>
      <c r="AE73" s="56"/>
      <c r="AF73" s="56"/>
    </row>
    <row r="74" spans="10:136" s="50" customFormat="1" ht="17.25" customHeight="1">
      <c r="J74" s="52" t="s">
        <v>21</v>
      </c>
      <c r="U74" s="60"/>
      <c r="W74" s="50" t="s">
        <v>21</v>
      </c>
      <c r="X74" s="55" t="s">
        <v>21</v>
      </c>
      <c r="Y74" s="56" t="s">
        <v>21</v>
      </c>
      <c r="AE74" s="56"/>
      <c r="AF74" s="56"/>
    </row>
    <row r="75" spans="10:136" s="50" customFormat="1" ht="17.25" customHeight="1">
      <c r="J75" s="52" t="s">
        <v>21</v>
      </c>
      <c r="U75" s="60"/>
      <c r="W75" s="50" t="s">
        <v>21</v>
      </c>
      <c r="X75" s="55" t="s">
        <v>21</v>
      </c>
      <c r="Y75" s="56" t="s">
        <v>21</v>
      </c>
      <c r="AE75" s="56"/>
      <c r="AF75" s="56"/>
    </row>
    <row r="76" spans="10:136" s="50" customFormat="1" ht="17.25" customHeight="1">
      <c r="J76" s="52" t="s">
        <v>21</v>
      </c>
      <c r="U76" s="60"/>
      <c r="W76" s="50" t="s">
        <v>21</v>
      </c>
      <c r="X76" s="55" t="s">
        <v>21</v>
      </c>
      <c r="Y76" s="56" t="s">
        <v>21</v>
      </c>
      <c r="AE76" s="56"/>
      <c r="AF76" s="56"/>
    </row>
    <row r="77" spans="10:136" s="50" customFormat="1" ht="17.25" customHeight="1">
      <c r="J77" s="52" t="s">
        <v>21</v>
      </c>
      <c r="U77" s="60"/>
      <c r="W77" s="50" t="s">
        <v>21</v>
      </c>
      <c r="X77" s="55" t="s">
        <v>21</v>
      </c>
      <c r="Y77" s="56" t="s">
        <v>21</v>
      </c>
      <c r="AE77" s="56"/>
      <c r="AF77" s="56"/>
    </row>
    <row r="78" spans="10:136" s="50" customFormat="1" ht="17.25" customHeight="1">
      <c r="J78" s="52" t="s">
        <v>21</v>
      </c>
      <c r="U78" s="60"/>
      <c r="W78" s="50" t="s">
        <v>21</v>
      </c>
      <c r="X78" s="55" t="s">
        <v>21</v>
      </c>
      <c r="Y78" s="56" t="s">
        <v>21</v>
      </c>
      <c r="AE78" s="56"/>
      <c r="AF78" s="56"/>
    </row>
    <row r="79" spans="10:136" s="50" customFormat="1" ht="17.25" customHeight="1">
      <c r="J79" s="52" t="s">
        <v>21</v>
      </c>
      <c r="U79" s="60"/>
      <c r="AE79" s="56"/>
      <c r="AF79" s="56"/>
    </row>
    <row r="80" spans="10:136" s="50" customFormat="1" ht="17.25" customHeight="1">
      <c r="J80" s="52" t="s">
        <v>21</v>
      </c>
      <c r="U80" s="60"/>
      <c r="AE80" s="56"/>
      <c r="AF80" s="56"/>
    </row>
    <row r="81" spans="10:32" s="50" customFormat="1" ht="17.25" customHeight="1">
      <c r="J81" s="52" t="s">
        <v>21</v>
      </c>
      <c r="U81" s="60"/>
      <c r="AE81" s="56"/>
      <c r="AF81" s="56"/>
    </row>
    <row r="82" spans="10:32" s="50" customFormat="1" ht="17.25" customHeight="1">
      <c r="J82" s="52" t="s">
        <v>21</v>
      </c>
      <c r="U82" s="60"/>
      <c r="AE82" s="56"/>
      <c r="AF82" s="56"/>
    </row>
    <row r="83" spans="10:32" s="50" customFormat="1" ht="17.25" customHeight="1">
      <c r="J83" s="52" t="s">
        <v>21</v>
      </c>
      <c r="U83" s="60"/>
      <c r="AE83" s="56"/>
      <c r="AF83" s="56"/>
    </row>
    <row r="84" spans="10:32" s="50" customFormat="1" ht="17.25" customHeight="1">
      <c r="J84" s="52" t="s">
        <v>21</v>
      </c>
      <c r="U84" s="60"/>
      <c r="AE84" s="56"/>
      <c r="AF84" s="56"/>
    </row>
    <row r="85" spans="10:32" s="50" customFormat="1" ht="17.25" customHeight="1">
      <c r="J85" s="52" t="s">
        <v>21</v>
      </c>
      <c r="U85" s="60"/>
      <c r="AE85" s="56"/>
      <c r="AF85" s="56"/>
    </row>
    <row r="86" spans="10:32" s="50" customFormat="1" ht="17.25" customHeight="1">
      <c r="J86" s="52" t="s">
        <v>21</v>
      </c>
      <c r="U86" s="60"/>
      <c r="AE86" s="56"/>
      <c r="AF86" s="56"/>
    </row>
    <row r="87" spans="10:32" s="50" customFormat="1" ht="17.25" customHeight="1">
      <c r="J87" s="52"/>
      <c r="U87" s="60"/>
      <c r="AE87" s="56"/>
      <c r="AF87" s="56"/>
    </row>
    <row r="88" spans="10:32" s="50" customFormat="1" ht="17.25" customHeight="1">
      <c r="J88" s="52"/>
      <c r="U88" s="60"/>
      <c r="AE88" s="56"/>
      <c r="AF88" s="56"/>
    </row>
    <row r="89" spans="10:32" s="50" customFormat="1" ht="17.25" customHeight="1">
      <c r="J89" s="52"/>
      <c r="U89" s="60"/>
      <c r="AE89" s="56"/>
      <c r="AF89" s="56"/>
    </row>
    <row r="90" spans="10:32" s="50" customFormat="1" ht="17.25" customHeight="1">
      <c r="J90" s="52"/>
      <c r="U90" s="60"/>
      <c r="AE90" s="56"/>
      <c r="AF90" s="56"/>
    </row>
    <row r="91" spans="10:32" s="50" customFormat="1" ht="17.25" customHeight="1">
      <c r="J91" s="52"/>
      <c r="U91" s="60"/>
      <c r="AE91" s="56"/>
      <c r="AF91" s="56"/>
    </row>
    <row r="92" spans="10:32" s="50" customFormat="1" ht="17.25" customHeight="1">
      <c r="J92" s="52"/>
      <c r="U92" s="60"/>
      <c r="AE92" s="56"/>
      <c r="AF92" s="56"/>
    </row>
    <row r="93" spans="10:32" s="50" customFormat="1" ht="17.25" customHeight="1">
      <c r="J93" s="52"/>
      <c r="U93" s="60"/>
      <c r="AE93" s="56"/>
      <c r="AF93" s="56"/>
    </row>
    <row r="94" spans="10:32" s="50" customFormat="1" ht="17.25" customHeight="1">
      <c r="J94" s="52"/>
      <c r="U94" s="60"/>
      <c r="AE94" s="56"/>
      <c r="AF94" s="56"/>
    </row>
    <row r="95" spans="10:32" s="50" customFormat="1" ht="17.25" customHeight="1">
      <c r="J95" s="52"/>
      <c r="U95" s="60"/>
      <c r="AE95" s="56"/>
      <c r="AF95" s="56"/>
    </row>
    <row r="96" spans="10:32" s="50" customFormat="1" ht="17.25" customHeight="1">
      <c r="J96" s="52"/>
      <c r="U96" s="60"/>
      <c r="AE96" s="56"/>
      <c r="AF96" s="56"/>
    </row>
    <row r="97" spans="10:32" s="50" customFormat="1" ht="17.25" customHeight="1">
      <c r="J97" s="52"/>
      <c r="U97" s="60"/>
      <c r="AE97" s="56"/>
      <c r="AF97" s="56"/>
    </row>
    <row r="98" spans="10:32" s="50" customFormat="1" ht="17.25" customHeight="1">
      <c r="J98" s="52"/>
      <c r="U98" s="60"/>
      <c r="AE98" s="56"/>
      <c r="AF98" s="56"/>
    </row>
    <row r="99" spans="10:32" s="50" customFormat="1" ht="17.25" customHeight="1">
      <c r="J99" s="52"/>
      <c r="U99" s="60"/>
      <c r="AE99" s="56"/>
      <c r="AF99" s="56"/>
    </row>
    <row r="100" spans="10:32" s="50" customFormat="1" ht="17.25" customHeight="1">
      <c r="J100" s="52"/>
      <c r="U100" s="60"/>
      <c r="AE100" s="56"/>
      <c r="AF100" s="56"/>
    </row>
    <row r="101" spans="10:32" s="50" customFormat="1" ht="17.25" customHeight="1">
      <c r="J101" s="52"/>
      <c r="U101" s="60"/>
      <c r="AE101" s="56"/>
      <c r="AF101" s="56"/>
    </row>
    <row r="102" spans="10:32" s="50" customFormat="1" ht="17.25" customHeight="1">
      <c r="J102" s="52"/>
      <c r="U102" s="60"/>
      <c r="AE102" s="56"/>
      <c r="AF102" s="56"/>
    </row>
    <row r="103" spans="10:32" s="50" customFormat="1" ht="17.25" customHeight="1">
      <c r="J103" s="52"/>
      <c r="U103" s="60"/>
      <c r="AE103" s="56"/>
      <c r="AF103" s="56"/>
    </row>
    <row r="104" spans="10:32" s="50" customFormat="1" ht="17.25" customHeight="1">
      <c r="J104" s="52"/>
      <c r="U104" s="60"/>
      <c r="AE104" s="56"/>
      <c r="AF104" s="56"/>
    </row>
    <row r="105" spans="10:32" s="50" customFormat="1" ht="17.25" customHeight="1">
      <c r="J105" s="52"/>
      <c r="U105" s="60"/>
      <c r="AE105" s="56"/>
      <c r="AF105" s="56"/>
    </row>
    <row r="106" spans="10:32" s="50" customFormat="1" ht="17.25" customHeight="1">
      <c r="J106" s="52"/>
      <c r="U106" s="60"/>
      <c r="AE106" s="56"/>
      <c r="AF106" s="56"/>
    </row>
    <row r="107" spans="10:32" s="50" customFormat="1" ht="17.25" customHeight="1">
      <c r="J107" s="52"/>
      <c r="U107" s="60"/>
      <c r="AE107" s="56"/>
      <c r="AF107" s="56"/>
    </row>
    <row r="108" spans="10:32" s="50" customFormat="1" ht="17.25" customHeight="1">
      <c r="J108" s="52"/>
      <c r="U108" s="60"/>
      <c r="AE108" s="56"/>
      <c r="AF108" s="56"/>
    </row>
    <row r="109" spans="10:32" s="50" customFormat="1" ht="17.25" customHeight="1">
      <c r="J109" s="52"/>
      <c r="U109" s="60"/>
      <c r="AE109" s="56"/>
      <c r="AF109" s="56"/>
    </row>
    <row r="110" spans="10:32" s="50" customFormat="1" ht="17.25" customHeight="1">
      <c r="J110" s="52"/>
      <c r="U110" s="60"/>
      <c r="AE110" s="56"/>
      <c r="AF110" s="56"/>
    </row>
    <row r="111" spans="10:32" s="50" customFormat="1" ht="17.25" customHeight="1">
      <c r="J111" s="52"/>
      <c r="U111" s="60"/>
      <c r="AE111" s="56"/>
      <c r="AF111" s="56"/>
    </row>
    <row r="112" spans="10:32" s="50" customFormat="1" ht="17.25" customHeight="1">
      <c r="J112" s="52"/>
      <c r="U112" s="60"/>
      <c r="AE112" s="56"/>
      <c r="AF112" s="56"/>
    </row>
    <row r="113" spans="10:32" s="50" customFormat="1" ht="17.25" customHeight="1">
      <c r="J113" s="52"/>
      <c r="U113" s="60"/>
      <c r="AE113" s="56"/>
      <c r="AF113" s="56"/>
    </row>
    <row r="114" spans="10:32" s="50" customFormat="1" ht="17.25" customHeight="1">
      <c r="J114" s="52"/>
      <c r="U114" s="60"/>
      <c r="AE114" s="56"/>
      <c r="AF114" s="56"/>
    </row>
    <row r="115" spans="10:32" s="50" customFormat="1" ht="17.25" customHeight="1">
      <c r="J115" s="52"/>
      <c r="U115" s="60"/>
      <c r="AE115" s="56"/>
      <c r="AF115" s="56"/>
    </row>
    <row r="116" spans="10:32" s="50" customFormat="1" ht="17.25" customHeight="1">
      <c r="J116" s="52"/>
      <c r="U116" s="60"/>
      <c r="AE116" s="56"/>
      <c r="AF116" s="56"/>
    </row>
    <row r="117" spans="10:32" s="50" customFormat="1" ht="17.25" customHeight="1">
      <c r="J117" s="52"/>
      <c r="U117" s="60"/>
      <c r="AE117" s="56"/>
      <c r="AF117" s="56"/>
    </row>
    <row r="118" spans="10:32" s="50" customFormat="1" ht="17.25" customHeight="1">
      <c r="J118" s="52"/>
      <c r="U118" s="60"/>
      <c r="AE118" s="56"/>
      <c r="AF118" s="56"/>
    </row>
    <row r="119" spans="10:32" s="50" customFormat="1" ht="17.25" customHeight="1">
      <c r="J119" s="52"/>
      <c r="U119" s="60"/>
      <c r="AE119" s="56"/>
      <c r="AF119" s="56"/>
    </row>
    <row r="120" spans="10:32" s="50" customFormat="1" ht="17.25" customHeight="1">
      <c r="J120" s="52"/>
      <c r="U120" s="60"/>
      <c r="AE120" s="56"/>
      <c r="AF120" s="56"/>
    </row>
    <row r="121" spans="10:32" s="50" customFormat="1" ht="17.25" customHeight="1">
      <c r="J121" s="52"/>
      <c r="U121" s="60"/>
      <c r="AE121" s="56"/>
      <c r="AF121" s="56"/>
    </row>
    <row r="122" spans="10:32" s="50" customFormat="1" ht="17.25" customHeight="1">
      <c r="J122" s="52"/>
      <c r="U122" s="60"/>
      <c r="AE122" s="56"/>
      <c r="AF122" s="56"/>
    </row>
    <row r="123" spans="10:32" s="50" customFormat="1" ht="17.25" customHeight="1">
      <c r="J123" s="52"/>
      <c r="U123" s="60"/>
      <c r="AE123" s="56"/>
      <c r="AF123" s="56"/>
    </row>
    <row r="124" spans="10:32" s="50" customFormat="1" ht="17.25" customHeight="1">
      <c r="J124" s="52"/>
      <c r="U124" s="60"/>
      <c r="AE124" s="56"/>
      <c r="AF124" s="56"/>
    </row>
    <row r="125" spans="10:32" s="50" customFormat="1" ht="17.25" customHeight="1">
      <c r="J125" s="52"/>
      <c r="U125" s="60"/>
      <c r="AE125" s="56"/>
      <c r="AF125" s="56"/>
    </row>
    <row r="126" spans="10:32" s="50" customFormat="1" ht="17.25" customHeight="1">
      <c r="J126" s="52"/>
      <c r="U126" s="60"/>
      <c r="AE126" s="56"/>
      <c r="AF126" s="56"/>
    </row>
    <row r="127" spans="10:32" s="50" customFormat="1" ht="17.25" customHeight="1">
      <c r="J127" s="52"/>
      <c r="U127" s="60"/>
      <c r="AE127" s="56"/>
      <c r="AF127" s="56"/>
    </row>
    <row r="128" spans="10:32" s="50" customFormat="1" ht="17.25" customHeight="1">
      <c r="J128" s="52"/>
      <c r="U128" s="60"/>
      <c r="AE128" s="56"/>
      <c r="AF128" s="56"/>
    </row>
    <row r="129" spans="10:32" s="50" customFormat="1" ht="17.25" customHeight="1">
      <c r="J129" s="52"/>
      <c r="U129" s="60"/>
      <c r="AE129" s="56"/>
      <c r="AF129" s="56"/>
    </row>
    <row r="130" spans="10:32" s="50" customFormat="1" ht="17.25" customHeight="1">
      <c r="J130" s="52"/>
      <c r="U130" s="60"/>
      <c r="AE130" s="56"/>
      <c r="AF130" s="56"/>
    </row>
    <row r="131" spans="10:32" s="50" customFormat="1" ht="17.25" customHeight="1">
      <c r="J131" s="52"/>
      <c r="U131" s="60"/>
      <c r="AE131" s="56"/>
      <c r="AF131" s="56"/>
    </row>
    <row r="132" spans="10:32" s="50" customFormat="1" ht="17.25" customHeight="1">
      <c r="J132" s="52"/>
      <c r="U132" s="60"/>
      <c r="AE132" s="56"/>
      <c r="AF132" s="56"/>
    </row>
    <row r="133" spans="10:32" s="50" customFormat="1" ht="17.25" customHeight="1">
      <c r="J133" s="52"/>
      <c r="U133" s="60"/>
      <c r="AE133" s="56"/>
      <c r="AF133" s="56"/>
    </row>
    <row r="134" spans="10:32" s="50" customFormat="1" ht="17.25" customHeight="1">
      <c r="J134" s="52"/>
      <c r="U134" s="60"/>
      <c r="AE134" s="56"/>
      <c r="AF134" s="56"/>
    </row>
    <row r="135" spans="10:32" s="50" customFormat="1" ht="17.25" customHeight="1">
      <c r="J135" s="52"/>
      <c r="U135" s="60"/>
      <c r="AE135" s="56"/>
      <c r="AF135" s="56"/>
    </row>
    <row r="136" spans="10:32" s="50" customFormat="1" ht="17.25" customHeight="1">
      <c r="J136" s="52"/>
      <c r="U136" s="60"/>
      <c r="AE136" s="56"/>
      <c r="AF136" s="56"/>
    </row>
    <row r="137" spans="10:32" s="50" customFormat="1" ht="17.25" customHeight="1">
      <c r="J137" s="52"/>
      <c r="U137" s="60"/>
      <c r="AE137" s="56"/>
      <c r="AF137" s="56"/>
    </row>
    <row r="138" spans="10:32" s="50" customFormat="1" ht="17.25" customHeight="1">
      <c r="J138" s="52"/>
      <c r="U138" s="60"/>
      <c r="AE138" s="56"/>
      <c r="AF138" s="56"/>
    </row>
    <row r="139" spans="10:32" s="50" customFormat="1" ht="17.25" customHeight="1">
      <c r="J139" s="52"/>
      <c r="U139" s="60"/>
      <c r="AE139" s="56"/>
      <c r="AF139" s="56"/>
    </row>
    <row r="140" spans="10:32" s="50" customFormat="1" ht="17.25" customHeight="1">
      <c r="J140" s="52"/>
      <c r="U140" s="60"/>
      <c r="AE140" s="56"/>
      <c r="AF140" s="56"/>
    </row>
    <row r="141" spans="10:32" s="50" customFormat="1" ht="17.25" customHeight="1">
      <c r="J141" s="52"/>
      <c r="U141" s="60"/>
      <c r="AE141" s="56"/>
      <c r="AF141" s="56"/>
    </row>
    <row r="142" spans="10:32" s="50" customFormat="1" ht="17.25" customHeight="1">
      <c r="J142" s="52"/>
      <c r="U142" s="60"/>
      <c r="AE142" s="56"/>
      <c r="AF142" s="56"/>
    </row>
    <row r="143" spans="10:32" s="50" customFormat="1" ht="17.25" customHeight="1">
      <c r="J143" s="52"/>
      <c r="U143" s="60"/>
      <c r="AE143" s="56"/>
      <c r="AF143" s="56"/>
    </row>
    <row r="144" spans="10:32" s="50" customFormat="1" ht="17.25" customHeight="1">
      <c r="J144" s="52"/>
      <c r="U144" s="60"/>
      <c r="AE144" s="56"/>
      <c r="AF144" s="56"/>
    </row>
    <row r="145" spans="10:32" s="50" customFormat="1" ht="17.25" customHeight="1">
      <c r="J145" s="52"/>
      <c r="U145" s="60"/>
      <c r="AE145" s="56"/>
      <c r="AF145" s="56"/>
    </row>
    <row r="146" spans="10:32" s="50" customFormat="1" ht="17.25" customHeight="1">
      <c r="J146" s="52"/>
      <c r="U146" s="60"/>
      <c r="AE146" s="56"/>
      <c r="AF146" s="56"/>
    </row>
    <row r="147" spans="10:32" s="50" customFormat="1" ht="17.25" customHeight="1">
      <c r="J147" s="52"/>
      <c r="U147" s="60"/>
      <c r="AE147" s="56"/>
      <c r="AF147" s="56"/>
    </row>
    <row r="148" spans="10:32" s="50" customFormat="1" ht="17.25" customHeight="1">
      <c r="J148" s="52"/>
      <c r="U148" s="60"/>
      <c r="AE148" s="56"/>
      <c r="AF148" s="56"/>
    </row>
    <row r="149" spans="10:32" s="50" customFormat="1" ht="17.25" customHeight="1">
      <c r="J149" s="52"/>
      <c r="U149" s="60"/>
      <c r="AE149" s="56"/>
      <c r="AF149" s="56"/>
    </row>
    <row r="150" spans="10:32" s="50" customFormat="1" ht="17.25" customHeight="1">
      <c r="J150" s="52"/>
      <c r="U150" s="60"/>
      <c r="AE150" s="56"/>
      <c r="AF150" s="56"/>
    </row>
    <row r="151" spans="10:32" s="50" customFormat="1" ht="17.25" customHeight="1">
      <c r="J151" s="52"/>
      <c r="U151" s="60"/>
      <c r="AE151" s="56"/>
      <c r="AF151" s="56"/>
    </row>
    <row r="152" spans="10:32" s="50" customFormat="1" ht="17.25" customHeight="1">
      <c r="J152" s="52"/>
      <c r="U152" s="60"/>
      <c r="AE152" s="56"/>
      <c r="AF152" s="56"/>
    </row>
    <row r="153" spans="10:32" s="50" customFormat="1" ht="17.25" customHeight="1">
      <c r="J153" s="52"/>
      <c r="U153" s="60"/>
      <c r="AE153" s="56"/>
      <c r="AF153" s="56"/>
    </row>
    <row r="154" spans="10:32" s="50" customFormat="1" ht="17.25" customHeight="1">
      <c r="J154" s="52"/>
      <c r="U154" s="60"/>
      <c r="AE154" s="56"/>
      <c r="AF154" s="56"/>
    </row>
    <row r="155" spans="10:32" s="50" customFormat="1" ht="17.25" customHeight="1">
      <c r="J155" s="52"/>
      <c r="U155" s="60"/>
      <c r="AE155" s="56"/>
      <c r="AF155" s="56"/>
    </row>
    <row r="156" spans="10:32" s="50" customFormat="1" ht="17.25" customHeight="1">
      <c r="J156" s="52"/>
      <c r="U156" s="60"/>
      <c r="AE156" s="56"/>
      <c r="AF156" s="56"/>
    </row>
    <row r="157" spans="10:32" s="50" customFormat="1" ht="17.25" customHeight="1">
      <c r="J157" s="52"/>
      <c r="U157" s="60"/>
      <c r="AE157" s="56"/>
      <c r="AF157" s="56"/>
    </row>
    <row r="158" spans="10:32" s="50" customFormat="1" ht="17.25" customHeight="1">
      <c r="J158" s="52"/>
      <c r="U158" s="60"/>
      <c r="AE158" s="56"/>
      <c r="AF158" s="56"/>
    </row>
    <row r="159" spans="10:32" s="50" customFormat="1" ht="17.25" customHeight="1">
      <c r="J159" s="52"/>
      <c r="U159" s="60"/>
      <c r="AE159" s="56"/>
      <c r="AF159" s="56"/>
    </row>
    <row r="160" spans="10:32" s="50" customFormat="1" ht="17.25" customHeight="1">
      <c r="J160" s="52"/>
      <c r="U160" s="60"/>
      <c r="AE160" s="56"/>
      <c r="AF160" s="56"/>
    </row>
    <row r="161" spans="10:32" s="50" customFormat="1" ht="17.25" customHeight="1">
      <c r="J161" s="52"/>
      <c r="U161" s="60"/>
      <c r="AE161" s="56"/>
      <c r="AF161" s="56"/>
    </row>
    <row r="162" spans="10:32" s="50" customFormat="1" ht="17.25" customHeight="1">
      <c r="J162" s="52"/>
      <c r="U162" s="60"/>
      <c r="AE162" s="56"/>
      <c r="AF162" s="56"/>
    </row>
    <row r="163" spans="10:32" s="50" customFormat="1" ht="17.25" customHeight="1">
      <c r="J163" s="52"/>
      <c r="U163" s="60"/>
      <c r="AE163" s="56"/>
      <c r="AF163" s="56"/>
    </row>
    <row r="164" spans="10:32" s="50" customFormat="1" ht="17.25" customHeight="1">
      <c r="J164" s="52"/>
      <c r="U164" s="60"/>
      <c r="AE164" s="56"/>
      <c r="AF164" s="56"/>
    </row>
    <row r="165" spans="10:32" s="50" customFormat="1" ht="17.25" customHeight="1">
      <c r="J165" s="52"/>
      <c r="U165" s="60"/>
      <c r="AE165" s="56"/>
      <c r="AF165" s="56"/>
    </row>
    <row r="166" spans="10:32" s="50" customFormat="1" ht="17.25" customHeight="1">
      <c r="J166" s="52"/>
      <c r="U166" s="60"/>
      <c r="AE166" s="56"/>
      <c r="AF166" s="56"/>
    </row>
    <row r="167" spans="10:32" s="50" customFormat="1" ht="17.25" customHeight="1">
      <c r="J167" s="52"/>
      <c r="U167" s="60"/>
      <c r="AE167" s="56"/>
      <c r="AF167" s="56"/>
    </row>
    <row r="168" spans="10:32" s="50" customFormat="1" ht="17.25" customHeight="1">
      <c r="J168" s="52"/>
      <c r="U168" s="60"/>
      <c r="AE168" s="56"/>
      <c r="AF168" s="56"/>
    </row>
    <row r="169" spans="10:32" s="50" customFormat="1" ht="17.25" customHeight="1">
      <c r="J169" s="52"/>
      <c r="U169" s="60"/>
      <c r="AE169" s="56"/>
      <c r="AF169" s="56"/>
    </row>
    <row r="170" spans="10:32" s="50" customFormat="1" ht="17.25" customHeight="1">
      <c r="J170" s="52"/>
      <c r="U170" s="60"/>
      <c r="AE170" s="56"/>
      <c r="AF170" s="56"/>
    </row>
    <row r="171" spans="10:32" s="50" customFormat="1" ht="17.25" customHeight="1">
      <c r="J171" s="52"/>
      <c r="U171" s="60"/>
      <c r="AE171" s="56"/>
      <c r="AF171" s="56"/>
    </row>
    <row r="172" spans="10:32" s="50" customFormat="1" ht="17.25" customHeight="1">
      <c r="J172" s="52"/>
      <c r="U172" s="60"/>
      <c r="AE172" s="56"/>
      <c r="AF172" s="56"/>
    </row>
    <row r="173" spans="10:32" s="50" customFormat="1" ht="17.25" customHeight="1">
      <c r="J173" s="52"/>
      <c r="U173" s="60"/>
      <c r="AE173" s="56"/>
      <c r="AF173" s="56"/>
    </row>
    <row r="174" spans="10:32" s="50" customFormat="1" ht="17.25" customHeight="1">
      <c r="J174" s="52"/>
      <c r="U174" s="60"/>
      <c r="AE174" s="56"/>
      <c r="AF174" s="56"/>
    </row>
    <row r="175" spans="10:32" s="50" customFormat="1" ht="17.25" customHeight="1">
      <c r="J175" s="52"/>
      <c r="U175" s="60"/>
      <c r="AE175" s="56"/>
      <c r="AF175" s="56"/>
    </row>
    <row r="176" spans="10:32" s="50" customFormat="1" ht="17.25" customHeight="1">
      <c r="J176" s="52"/>
      <c r="U176" s="60"/>
      <c r="AE176" s="56"/>
      <c r="AF176" s="56"/>
    </row>
    <row r="177" spans="10:32" s="50" customFormat="1" ht="17.25" customHeight="1">
      <c r="J177" s="52"/>
      <c r="U177" s="60"/>
      <c r="AE177" s="56"/>
      <c r="AF177" s="56"/>
    </row>
    <row r="178" spans="10:32" s="50" customFormat="1" ht="17.25" customHeight="1">
      <c r="J178" s="52"/>
      <c r="U178" s="60"/>
      <c r="AE178" s="56"/>
      <c r="AF178" s="56"/>
    </row>
    <row r="179" spans="10:32" s="50" customFormat="1" ht="17.25" customHeight="1">
      <c r="J179" s="52"/>
      <c r="U179" s="60"/>
      <c r="AE179" s="56"/>
      <c r="AF179" s="56"/>
    </row>
    <row r="180" spans="10:32" s="50" customFormat="1" ht="17.25" customHeight="1">
      <c r="J180" s="52"/>
      <c r="U180" s="60"/>
      <c r="AE180" s="56"/>
      <c r="AF180" s="56"/>
    </row>
    <row r="181" spans="10:32" s="50" customFormat="1" ht="17.25" customHeight="1">
      <c r="J181" s="52"/>
      <c r="U181" s="60"/>
      <c r="AE181" s="56"/>
      <c r="AF181" s="56"/>
    </row>
    <row r="182" spans="10:32" s="50" customFormat="1" ht="17.25" customHeight="1">
      <c r="J182" s="52"/>
      <c r="U182" s="60"/>
      <c r="AE182" s="56"/>
      <c r="AF182" s="56"/>
    </row>
    <row r="183" spans="10:32" s="50" customFormat="1" ht="17.25" customHeight="1">
      <c r="J183" s="52"/>
      <c r="U183" s="60"/>
      <c r="AE183" s="56"/>
      <c r="AF183" s="56"/>
    </row>
    <row r="184" spans="10:32" s="50" customFormat="1" ht="17.25" customHeight="1">
      <c r="J184" s="52"/>
      <c r="U184" s="60"/>
      <c r="AE184" s="56"/>
      <c r="AF184" s="56"/>
    </row>
    <row r="185" spans="10:32" s="50" customFormat="1" ht="17.25" customHeight="1">
      <c r="J185" s="52"/>
      <c r="U185" s="60"/>
      <c r="AE185" s="56"/>
      <c r="AF185" s="56"/>
    </row>
    <row r="186" spans="10:32" s="50" customFormat="1" ht="17.25" customHeight="1">
      <c r="J186" s="52"/>
      <c r="U186" s="60"/>
      <c r="AE186" s="56"/>
      <c r="AF186" s="56"/>
    </row>
    <row r="187" spans="10:32" s="50" customFormat="1" ht="17.25" customHeight="1">
      <c r="J187" s="52"/>
      <c r="U187" s="60"/>
      <c r="AE187" s="56"/>
      <c r="AF187" s="56"/>
    </row>
    <row r="188" spans="10:32" s="50" customFormat="1" ht="17.25" customHeight="1">
      <c r="J188" s="52"/>
      <c r="U188" s="60"/>
      <c r="AE188" s="56"/>
      <c r="AF188" s="56"/>
    </row>
    <row r="189" spans="10:32" s="50" customFormat="1" ht="17.25" customHeight="1">
      <c r="J189" s="52"/>
      <c r="U189" s="60"/>
      <c r="AE189" s="56"/>
      <c r="AF189" s="56"/>
    </row>
    <row r="190" spans="10:32" s="50" customFormat="1" ht="17.25" customHeight="1">
      <c r="J190" s="52"/>
      <c r="U190" s="60"/>
      <c r="AE190" s="56"/>
      <c r="AF190" s="56"/>
    </row>
    <row r="191" spans="10:32" s="50" customFormat="1" ht="17.25" customHeight="1">
      <c r="J191" s="52"/>
      <c r="U191" s="60"/>
      <c r="AE191" s="56"/>
      <c r="AF191" s="56"/>
    </row>
    <row r="192" spans="10:32" s="50" customFormat="1" ht="17.25" customHeight="1">
      <c r="J192" s="52"/>
      <c r="U192" s="60"/>
      <c r="AE192" s="56"/>
      <c r="AF192" s="56"/>
    </row>
    <row r="193" spans="10:32" s="50" customFormat="1" ht="17.25" customHeight="1">
      <c r="J193" s="52"/>
      <c r="U193" s="60"/>
      <c r="AE193" s="56"/>
      <c r="AF193" s="56"/>
    </row>
    <row r="194" spans="10:32" s="50" customFormat="1" ht="17.25" customHeight="1">
      <c r="J194" s="52"/>
      <c r="U194" s="60"/>
      <c r="AE194" s="56"/>
      <c r="AF194" s="56"/>
    </row>
    <row r="195" spans="10:32" s="50" customFormat="1" ht="17.25" customHeight="1">
      <c r="J195" s="52"/>
      <c r="U195" s="60"/>
      <c r="AE195" s="56"/>
      <c r="AF195" s="56"/>
    </row>
    <row r="196" spans="10:32" s="50" customFormat="1" ht="17.25" customHeight="1">
      <c r="J196" s="52"/>
      <c r="U196" s="60"/>
      <c r="AE196" s="56"/>
      <c r="AF196" s="56"/>
    </row>
    <row r="197" spans="10:32" s="50" customFormat="1" ht="17.25" customHeight="1">
      <c r="J197" s="52"/>
      <c r="U197" s="60"/>
      <c r="AE197" s="56"/>
      <c r="AF197" s="56"/>
    </row>
    <row r="198" spans="10:32" s="50" customFormat="1" ht="17.25" customHeight="1">
      <c r="J198" s="52"/>
      <c r="U198" s="60"/>
      <c r="AE198" s="56"/>
      <c r="AF198" s="56"/>
    </row>
    <row r="199" spans="10:32" s="50" customFormat="1" ht="17.25" customHeight="1">
      <c r="J199" s="52"/>
      <c r="U199" s="60"/>
      <c r="AE199" s="56"/>
      <c r="AF199" s="56"/>
    </row>
    <row r="200" spans="10:32" s="50" customFormat="1" ht="17.25" customHeight="1">
      <c r="J200" s="52"/>
      <c r="U200" s="60"/>
      <c r="AE200" s="56"/>
      <c r="AF200" s="56"/>
    </row>
    <row r="201" spans="10:32" s="50" customFormat="1" ht="17.25" customHeight="1">
      <c r="J201" s="52"/>
      <c r="U201" s="60"/>
      <c r="AE201" s="56"/>
      <c r="AF201" s="56"/>
    </row>
    <row r="202" spans="10:32" s="50" customFormat="1" ht="17.25" customHeight="1">
      <c r="J202" s="52"/>
      <c r="U202" s="60"/>
      <c r="AE202" s="56"/>
      <c r="AF202" s="56"/>
    </row>
    <row r="203" spans="10:32" s="50" customFormat="1" ht="17.25" customHeight="1">
      <c r="J203" s="52"/>
      <c r="U203" s="60"/>
      <c r="AE203" s="56"/>
      <c r="AF203" s="56"/>
    </row>
    <row r="204" spans="10:32" s="50" customFormat="1" ht="17.25" customHeight="1">
      <c r="J204" s="52"/>
      <c r="U204" s="60"/>
      <c r="AE204" s="56"/>
      <c r="AF204" s="56"/>
    </row>
    <row r="205" spans="10:32" s="50" customFormat="1" ht="17.25" customHeight="1">
      <c r="J205" s="52"/>
      <c r="U205" s="60"/>
      <c r="AE205" s="56"/>
      <c r="AF205" s="56"/>
    </row>
    <row r="206" spans="10:32" s="50" customFormat="1" ht="17.25" customHeight="1">
      <c r="J206" s="52"/>
      <c r="U206" s="60"/>
      <c r="AE206" s="56"/>
      <c r="AF206" s="56"/>
    </row>
    <row r="207" spans="10:32" s="50" customFormat="1" ht="17.25" customHeight="1">
      <c r="J207" s="52"/>
      <c r="U207" s="60"/>
      <c r="AE207" s="56"/>
      <c r="AF207" s="56"/>
    </row>
    <row r="208" spans="10:32" s="50" customFormat="1" ht="17.25" customHeight="1">
      <c r="J208" s="52"/>
      <c r="U208" s="60"/>
      <c r="AE208" s="56"/>
      <c r="AF208" s="56"/>
    </row>
    <row r="209" spans="10:32" s="50" customFormat="1" ht="17.25" customHeight="1">
      <c r="J209" s="52"/>
      <c r="U209" s="60"/>
      <c r="AE209" s="56"/>
      <c r="AF209" s="56"/>
    </row>
    <row r="210" spans="10:32" s="50" customFormat="1" ht="17.25" customHeight="1">
      <c r="J210" s="52"/>
      <c r="U210" s="60"/>
      <c r="AE210" s="56"/>
      <c r="AF210" s="56"/>
    </row>
    <row r="211" spans="10:32" s="50" customFormat="1" ht="17.25" customHeight="1">
      <c r="J211" s="52"/>
      <c r="U211" s="60"/>
      <c r="AE211" s="56"/>
      <c r="AF211" s="56"/>
    </row>
    <row r="212" spans="10:32" s="50" customFormat="1" ht="17.25" customHeight="1">
      <c r="J212" s="52"/>
      <c r="U212" s="60"/>
      <c r="AE212" s="56"/>
      <c r="AF212" s="56"/>
    </row>
    <row r="213" spans="10:32" s="50" customFormat="1" ht="17.25" customHeight="1">
      <c r="J213" s="52"/>
      <c r="U213" s="60"/>
      <c r="AE213" s="56"/>
      <c r="AF213" s="56"/>
    </row>
    <row r="214" spans="10:32" s="50" customFormat="1" ht="17.25" customHeight="1">
      <c r="J214" s="52"/>
      <c r="U214" s="60"/>
      <c r="AE214" s="56"/>
      <c r="AF214" s="56"/>
    </row>
    <row r="215" spans="10:32" s="50" customFormat="1" ht="17.25" customHeight="1">
      <c r="J215" s="52"/>
      <c r="U215" s="60"/>
      <c r="AE215" s="56"/>
      <c r="AF215" s="56"/>
    </row>
    <row r="216" spans="10:32" s="50" customFormat="1" ht="17.25" customHeight="1">
      <c r="J216" s="52"/>
      <c r="U216" s="60"/>
      <c r="AE216" s="56"/>
      <c r="AF216" s="56"/>
    </row>
    <row r="217" spans="10:32" s="50" customFormat="1" ht="17.25" customHeight="1">
      <c r="J217" s="52"/>
      <c r="U217" s="60"/>
      <c r="AE217" s="56"/>
      <c r="AF217" s="56"/>
    </row>
    <row r="218" spans="10:32" s="50" customFormat="1" ht="17.25" customHeight="1">
      <c r="J218" s="52"/>
      <c r="U218" s="60"/>
      <c r="AE218" s="56"/>
      <c r="AF218" s="56"/>
    </row>
    <row r="219" spans="10:32" s="50" customFormat="1" ht="17.25" customHeight="1">
      <c r="J219" s="52"/>
      <c r="U219" s="60"/>
      <c r="AE219" s="56"/>
      <c r="AF219" s="56"/>
    </row>
    <row r="220" spans="10:32" s="50" customFormat="1" ht="17.25" customHeight="1">
      <c r="J220" s="52"/>
      <c r="U220" s="60"/>
      <c r="AE220" s="56"/>
      <c r="AF220" s="56"/>
    </row>
    <row r="221" spans="10:32" s="50" customFormat="1" ht="17.25" customHeight="1">
      <c r="J221" s="52"/>
      <c r="U221" s="60"/>
      <c r="AE221" s="56"/>
      <c r="AF221" s="56"/>
    </row>
    <row r="222" spans="10:32" s="50" customFormat="1" ht="17.25" customHeight="1">
      <c r="J222" s="52"/>
      <c r="U222" s="60"/>
      <c r="AE222" s="56"/>
      <c r="AF222" s="56"/>
    </row>
    <row r="223" spans="10:32" s="50" customFormat="1" ht="17.25" customHeight="1">
      <c r="J223" s="52"/>
      <c r="U223" s="60"/>
      <c r="AE223" s="56"/>
      <c r="AF223" s="56"/>
    </row>
    <row r="224" spans="10:32" s="50" customFormat="1" ht="17.25" customHeight="1">
      <c r="J224" s="52"/>
      <c r="U224" s="60"/>
      <c r="AE224" s="56"/>
      <c r="AF224" s="56"/>
    </row>
    <row r="225" spans="10:32" s="50" customFormat="1" ht="17.25" customHeight="1">
      <c r="J225" s="52"/>
      <c r="U225" s="60"/>
      <c r="AE225" s="56"/>
      <c r="AF225" s="56"/>
    </row>
    <row r="226" spans="10:32" s="50" customFormat="1" ht="17.25" customHeight="1">
      <c r="J226" s="52"/>
      <c r="U226" s="60"/>
      <c r="AE226" s="56"/>
      <c r="AF226" s="56"/>
    </row>
    <row r="227" spans="10:32" s="50" customFormat="1" ht="17.25" customHeight="1">
      <c r="J227" s="52"/>
      <c r="U227" s="60"/>
      <c r="AE227" s="56"/>
      <c r="AF227" s="56"/>
    </row>
    <row r="228" spans="10:32" s="50" customFormat="1" ht="17.25" customHeight="1">
      <c r="J228" s="52"/>
      <c r="U228" s="60"/>
      <c r="AE228" s="56"/>
      <c r="AF228" s="56"/>
    </row>
    <row r="229" spans="10:32" s="50" customFormat="1" ht="17.25" customHeight="1">
      <c r="J229" s="52"/>
      <c r="U229" s="60"/>
      <c r="AE229" s="56"/>
      <c r="AF229" s="56"/>
    </row>
    <row r="230" spans="10:32" s="50" customFormat="1" ht="17.25" customHeight="1">
      <c r="J230" s="52"/>
      <c r="U230" s="60"/>
      <c r="AE230" s="56"/>
      <c r="AF230" s="56"/>
    </row>
    <row r="231" spans="10:32" s="50" customFormat="1" ht="17.25" customHeight="1">
      <c r="J231" s="52"/>
      <c r="U231" s="60"/>
      <c r="AE231" s="56"/>
      <c r="AF231" s="56"/>
    </row>
    <row r="232" spans="10:32" s="50" customFormat="1" ht="17.25" customHeight="1">
      <c r="J232" s="52"/>
      <c r="U232" s="60"/>
      <c r="AE232" s="56"/>
      <c r="AF232" s="56"/>
    </row>
    <row r="233" spans="10:32" s="50" customFormat="1" ht="17.25" customHeight="1">
      <c r="J233" s="52"/>
      <c r="U233" s="60"/>
      <c r="AE233" s="56"/>
      <c r="AF233" s="56"/>
    </row>
    <row r="234" spans="10:32" s="50" customFormat="1" ht="17.25" customHeight="1">
      <c r="J234" s="52"/>
      <c r="U234" s="60"/>
      <c r="AE234" s="56"/>
      <c r="AF234" s="56"/>
    </row>
    <row r="235" spans="10:32" s="50" customFormat="1" ht="17.25" customHeight="1">
      <c r="J235" s="52"/>
      <c r="U235" s="60"/>
      <c r="AE235" s="56"/>
      <c r="AF235" s="56"/>
    </row>
    <row r="236" spans="10:32" s="50" customFormat="1" ht="17.25" customHeight="1">
      <c r="J236" s="52"/>
      <c r="U236" s="60"/>
      <c r="AE236" s="56"/>
      <c r="AF236" s="56"/>
    </row>
    <row r="237" spans="10:32" s="50" customFormat="1" ht="17.25" customHeight="1">
      <c r="J237" s="52"/>
      <c r="U237" s="60"/>
      <c r="AE237" s="56"/>
      <c r="AF237" s="56"/>
    </row>
    <row r="238" spans="10:32" s="50" customFormat="1" ht="17.25" customHeight="1">
      <c r="J238" s="52"/>
      <c r="U238" s="60"/>
      <c r="AE238" s="56"/>
      <c r="AF238" s="56"/>
    </row>
    <row r="239" spans="10:32" s="50" customFormat="1" ht="17.25" customHeight="1">
      <c r="J239" s="52"/>
      <c r="U239" s="60"/>
      <c r="AE239" s="56"/>
      <c r="AF239" s="56"/>
    </row>
    <row r="240" spans="10:32" s="50" customFormat="1" ht="17.25" customHeight="1">
      <c r="J240" s="52"/>
      <c r="U240" s="60"/>
      <c r="AE240" s="56"/>
      <c r="AF240" s="56"/>
    </row>
    <row r="241" spans="10:32" s="50" customFormat="1" ht="17.25" customHeight="1">
      <c r="J241" s="52"/>
      <c r="U241" s="60"/>
      <c r="AE241" s="56"/>
      <c r="AF241" s="56"/>
    </row>
    <row r="242" spans="10:32" s="50" customFormat="1" ht="17.25" customHeight="1">
      <c r="J242" s="52"/>
      <c r="U242" s="60"/>
      <c r="AE242" s="56"/>
      <c r="AF242" s="56"/>
    </row>
    <row r="243" spans="10:32" s="50" customFormat="1" ht="17.25" customHeight="1">
      <c r="J243" s="52"/>
      <c r="U243" s="60"/>
      <c r="AE243" s="56"/>
      <c r="AF243" s="56"/>
    </row>
    <row r="244" spans="10:32" s="50" customFormat="1" ht="17.25" customHeight="1">
      <c r="J244" s="52"/>
      <c r="U244" s="60"/>
      <c r="AE244" s="56"/>
      <c r="AF244" s="56"/>
    </row>
    <row r="245" spans="10:32" s="50" customFormat="1" ht="17.25" customHeight="1">
      <c r="J245" s="52"/>
      <c r="U245" s="60"/>
      <c r="AE245" s="56"/>
      <c r="AF245" s="56"/>
    </row>
    <row r="246" spans="10:32" s="50" customFormat="1" ht="17.25" customHeight="1">
      <c r="J246" s="52"/>
      <c r="U246" s="60"/>
      <c r="AE246" s="56"/>
      <c r="AF246" s="56"/>
    </row>
    <row r="247" spans="10:32" s="50" customFormat="1" ht="17.25" customHeight="1">
      <c r="J247" s="52"/>
      <c r="U247" s="60"/>
      <c r="AE247" s="56"/>
      <c r="AF247" s="56"/>
    </row>
    <row r="248" spans="10:32" s="50" customFormat="1" ht="17.25" customHeight="1">
      <c r="J248" s="52"/>
      <c r="U248" s="60"/>
      <c r="AE248" s="56"/>
      <c r="AF248" s="56"/>
    </row>
    <row r="249" spans="10:32" s="50" customFormat="1" ht="17.25" customHeight="1">
      <c r="J249" s="52"/>
      <c r="U249" s="60"/>
      <c r="AE249" s="56"/>
      <c r="AF249" s="56"/>
    </row>
    <row r="250" spans="10:32" s="50" customFormat="1" ht="17.25" customHeight="1">
      <c r="J250" s="52"/>
      <c r="U250" s="60"/>
      <c r="AE250" s="56"/>
      <c r="AF250" s="56"/>
    </row>
    <row r="251" spans="10:32" s="50" customFormat="1" ht="17.25" customHeight="1">
      <c r="J251" s="52"/>
      <c r="U251" s="60"/>
      <c r="AE251" s="56"/>
      <c r="AF251" s="56"/>
    </row>
    <row r="252" spans="10:32" s="50" customFormat="1" ht="17.25" customHeight="1">
      <c r="J252" s="52"/>
      <c r="U252" s="60"/>
      <c r="AE252" s="56"/>
      <c r="AF252" s="56"/>
    </row>
    <row r="253" spans="10:32" s="50" customFormat="1" ht="17.25" customHeight="1">
      <c r="J253" s="52"/>
      <c r="U253" s="60"/>
      <c r="AE253" s="56"/>
      <c r="AF253" s="56"/>
    </row>
    <row r="254" spans="10:32" s="50" customFormat="1" ht="17.25" customHeight="1">
      <c r="J254" s="52"/>
      <c r="U254" s="60"/>
      <c r="AE254" s="56"/>
      <c r="AF254" s="56"/>
    </row>
    <row r="255" spans="10:32" s="50" customFormat="1" ht="17.25" customHeight="1">
      <c r="J255" s="52"/>
      <c r="U255" s="60"/>
      <c r="AE255" s="56"/>
      <c r="AF255" s="56"/>
    </row>
    <row r="256" spans="10:32" s="50" customFormat="1" ht="17.25" customHeight="1">
      <c r="J256" s="52"/>
      <c r="U256" s="60"/>
      <c r="AE256" s="56"/>
      <c r="AF256" s="56"/>
    </row>
    <row r="257" spans="10:32" s="50" customFormat="1" ht="17.25" customHeight="1">
      <c r="J257" s="52"/>
      <c r="U257" s="60"/>
      <c r="AE257" s="56"/>
      <c r="AF257" s="56"/>
    </row>
    <row r="258" spans="10:32" s="50" customFormat="1" ht="17.25" customHeight="1">
      <c r="J258" s="52"/>
      <c r="U258" s="60"/>
      <c r="AE258" s="56"/>
      <c r="AF258" s="56"/>
    </row>
    <row r="259" spans="10:32" s="50" customFormat="1" ht="17.25" customHeight="1">
      <c r="J259" s="52"/>
      <c r="U259" s="60"/>
      <c r="AE259" s="56"/>
      <c r="AF259" s="56"/>
    </row>
    <row r="260" spans="10:32" s="50" customFormat="1" ht="17.25" customHeight="1">
      <c r="J260" s="52"/>
      <c r="U260" s="60"/>
      <c r="AE260" s="56"/>
      <c r="AF260" s="56"/>
    </row>
    <row r="261" spans="10:32" s="50" customFormat="1" ht="17.25" customHeight="1">
      <c r="J261" s="52"/>
      <c r="U261" s="60"/>
      <c r="AE261" s="56"/>
      <c r="AF261" s="56"/>
    </row>
    <row r="262" spans="10:32" s="50" customFormat="1" ht="17.25" customHeight="1">
      <c r="J262" s="52"/>
      <c r="U262" s="60"/>
      <c r="AE262" s="56"/>
      <c r="AF262" s="56"/>
    </row>
    <row r="263" spans="10:32" s="50" customFormat="1" ht="17.25" customHeight="1">
      <c r="J263" s="52"/>
      <c r="U263" s="60"/>
      <c r="AE263" s="56"/>
      <c r="AF263" s="56"/>
    </row>
    <row r="264" spans="10:32" s="50" customFormat="1" ht="17.25" customHeight="1">
      <c r="J264" s="52"/>
      <c r="U264" s="60"/>
      <c r="AE264" s="56"/>
      <c r="AF264" s="56"/>
    </row>
    <row r="265" spans="10:32" s="50" customFormat="1" ht="17.25" customHeight="1">
      <c r="J265" s="52"/>
      <c r="U265" s="60"/>
      <c r="AE265" s="56"/>
      <c r="AF265" s="56"/>
    </row>
    <row r="266" spans="10:32" s="50" customFormat="1" ht="17.25" customHeight="1">
      <c r="J266" s="52"/>
      <c r="U266" s="60"/>
      <c r="AE266" s="56"/>
      <c r="AF266" s="56"/>
    </row>
    <row r="267" spans="10:32" s="50" customFormat="1" ht="17.25" customHeight="1">
      <c r="J267" s="52"/>
      <c r="U267" s="60"/>
      <c r="AE267" s="56"/>
      <c r="AF267" s="56"/>
    </row>
    <row r="268" spans="10:32" s="50" customFormat="1" ht="17.25" customHeight="1">
      <c r="J268" s="52"/>
      <c r="U268" s="60"/>
      <c r="AE268" s="56"/>
      <c r="AF268" s="56"/>
    </row>
    <row r="269" spans="10:32" s="50" customFormat="1" ht="17.25" customHeight="1">
      <c r="J269" s="52"/>
      <c r="U269" s="60"/>
      <c r="AE269" s="56"/>
      <c r="AF269" s="56"/>
    </row>
    <row r="270" spans="10:32" s="50" customFormat="1" ht="17.25" customHeight="1">
      <c r="J270" s="52"/>
      <c r="U270" s="60"/>
      <c r="AE270" s="56"/>
      <c r="AF270" s="56"/>
    </row>
    <row r="271" spans="10:32" s="50" customFormat="1" ht="17.25" customHeight="1">
      <c r="J271" s="52"/>
      <c r="U271" s="60"/>
      <c r="AE271" s="56"/>
      <c r="AF271" s="56"/>
    </row>
    <row r="272" spans="10:32" s="50" customFormat="1" ht="17.25" customHeight="1">
      <c r="J272" s="52"/>
      <c r="U272" s="60"/>
      <c r="AE272" s="56"/>
      <c r="AF272" s="56"/>
    </row>
    <row r="273" spans="10:32" s="50" customFormat="1" ht="17.25" customHeight="1">
      <c r="J273" s="52"/>
      <c r="U273" s="60"/>
      <c r="AE273" s="56"/>
      <c r="AF273" s="56"/>
    </row>
    <row r="274" spans="10:32" s="50" customFormat="1" ht="17.25" customHeight="1">
      <c r="J274" s="52"/>
      <c r="U274" s="60"/>
      <c r="AE274" s="56"/>
      <c r="AF274" s="56"/>
    </row>
    <row r="275" spans="10:32" s="50" customFormat="1" ht="17.25" customHeight="1">
      <c r="J275" s="52"/>
      <c r="U275" s="60"/>
      <c r="AE275" s="56"/>
      <c r="AF275" s="56"/>
    </row>
    <row r="276" spans="10:32" s="50" customFormat="1" ht="17.25" customHeight="1">
      <c r="J276" s="52"/>
      <c r="U276" s="60"/>
      <c r="AE276" s="56"/>
      <c r="AF276" s="56"/>
    </row>
    <row r="277" spans="10:32" s="50" customFormat="1" ht="17.25" customHeight="1">
      <c r="J277" s="52"/>
      <c r="U277" s="60"/>
      <c r="AE277" s="56"/>
      <c r="AF277" s="56"/>
    </row>
    <row r="278" spans="10:32" s="50" customFormat="1" ht="17.25" customHeight="1">
      <c r="J278" s="52"/>
      <c r="U278" s="60"/>
      <c r="AE278" s="56"/>
      <c r="AF278" s="56"/>
    </row>
    <row r="279" spans="10:32" s="50" customFormat="1" ht="17.25" customHeight="1">
      <c r="J279" s="52"/>
      <c r="U279" s="60"/>
      <c r="AE279" s="56"/>
      <c r="AF279" s="56"/>
    </row>
    <row r="280" spans="10:32" s="50" customFormat="1" ht="17.25" customHeight="1">
      <c r="J280" s="52"/>
      <c r="U280" s="60"/>
      <c r="AE280" s="56"/>
      <c r="AF280" s="56"/>
    </row>
    <row r="281" spans="10:32" s="50" customFormat="1" ht="17.25" customHeight="1">
      <c r="J281" s="52"/>
      <c r="U281" s="60"/>
      <c r="AE281" s="56"/>
      <c r="AF281" s="56"/>
    </row>
    <row r="282" spans="10:32" s="50" customFormat="1" ht="17.25" customHeight="1">
      <c r="J282" s="52"/>
      <c r="U282" s="60"/>
      <c r="AE282" s="56"/>
      <c r="AF282" s="56"/>
    </row>
    <row r="283" spans="10:32" s="50" customFormat="1" ht="17.25" customHeight="1">
      <c r="J283" s="52"/>
      <c r="U283" s="60"/>
      <c r="AE283" s="56"/>
      <c r="AF283" s="56"/>
    </row>
    <row r="284" spans="10:32" s="50" customFormat="1" ht="17.25" customHeight="1">
      <c r="J284" s="52"/>
      <c r="U284" s="60"/>
      <c r="AE284" s="56"/>
      <c r="AF284" s="56"/>
    </row>
    <row r="285" spans="10:32" s="50" customFormat="1" ht="17.25" customHeight="1">
      <c r="J285" s="52"/>
      <c r="U285" s="60"/>
      <c r="AE285" s="56"/>
      <c r="AF285" s="56"/>
    </row>
    <row r="286" spans="10:32" s="50" customFormat="1" ht="17.25" customHeight="1">
      <c r="J286" s="52"/>
      <c r="U286" s="60"/>
      <c r="AE286" s="56"/>
      <c r="AF286" s="56"/>
    </row>
    <row r="287" spans="10:32" s="50" customFormat="1" ht="17.25" customHeight="1">
      <c r="J287" s="52"/>
      <c r="U287" s="60"/>
      <c r="AE287" s="56"/>
      <c r="AF287" s="56"/>
    </row>
    <row r="288" spans="10:32" s="50" customFormat="1" ht="17.25" customHeight="1">
      <c r="J288" s="52"/>
      <c r="U288" s="60"/>
      <c r="AE288" s="56"/>
      <c r="AF288" s="56"/>
    </row>
    <row r="289" spans="10:32" s="50" customFormat="1" ht="17.25" customHeight="1">
      <c r="J289" s="52"/>
      <c r="U289" s="60"/>
      <c r="AE289" s="56"/>
      <c r="AF289" s="56"/>
    </row>
    <row r="290" spans="10:32" s="50" customFormat="1" ht="17.25" customHeight="1">
      <c r="J290" s="52"/>
      <c r="U290" s="60"/>
      <c r="AE290" s="56"/>
      <c r="AF290" s="56"/>
    </row>
    <row r="291" spans="10:32" s="50" customFormat="1" ht="17.25" customHeight="1">
      <c r="J291" s="52"/>
      <c r="U291" s="60"/>
      <c r="AE291" s="56"/>
      <c r="AF291" s="56"/>
    </row>
    <row r="292" spans="10:32" s="50" customFormat="1" ht="17.25" customHeight="1">
      <c r="J292" s="52"/>
      <c r="U292" s="60"/>
      <c r="AE292" s="56"/>
      <c r="AF292" s="56"/>
    </row>
    <row r="293" spans="10:32" s="50" customFormat="1" ht="17.25" customHeight="1">
      <c r="J293" s="52"/>
      <c r="U293" s="60"/>
      <c r="AE293" s="56"/>
      <c r="AF293" s="56"/>
    </row>
    <row r="294" spans="10:32" s="50" customFormat="1" ht="17.25" customHeight="1">
      <c r="J294" s="52"/>
      <c r="U294" s="60"/>
      <c r="AE294" s="56"/>
      <c r="AF294" s="56"/>
    </row>
    <row r="295" spans="10:32" s="50" customFormat="1" ht="17.25" customHeight="1">
      <c r="J295" s="52"/>
      <c r="U295" s="60"/>
      <c r="AE295" s="56"/>
      <c r="AF295" s="56"/>
    </row>
    <row r="296" spans="10:32" s="50" customFormat="1" ht="17.25" customHeight="1">
      <c r="J296" s="52"/>
      <c r="U296" s="60"/>
      <c r="AE296" s="56"/>
      <c r="AF296" s="56"/>
    </row>
    <row r="297" spans="10:32" s="50" customFormat="1" ht="17.25" customHeight="1">
      <c r="J297" s="52"/>
      <c r="U297" s="60"/>
      <c r="AE297" s="56"/>
      <c r="AF297" s="56"/>
    </row>
    <row r="298" spans="10:32" s="50" customFormat="1" ht="17.25" customHeight="1">
      <c r="J298" s="52"/>
      <c r="U298" s="60"/>
      <c r="AE298" s="56"/>
      <c r="AF298" s="56"/>
    </row>
    <row r="299" spans="10:32" s="50" customFormat="1" ht="17.25" customHeight="1">
      <c r="J299" s="52"/>
      <c r="U299" s="60"/>
      <c r="AE299" s="56"/>
      <c r="AF299" s="56"/>
    </row>
    <row r="300" spans="10:32" s="50" customFormat="1" ht="17.25" customHeight="1">
      <c r="J300" s="52"/>
      <c r="U300" s="60"/>
      <c r="AE300" s="56"/>
      <c r="AF300" s="56"/>
    </row>
    <row r="301" spans="10:32" s="50" customFormat="1" ht="17.25" customHeight="1">
      <c r="J301" s="52"/>
      <c r="U301" s="60"/>
      <c r="AE301" s="56"/>
      <c r="AF301" s="56"/>
    </row>
    <row r="302" spans="10:32" s="50" customFormat="1" ht="17.25" customHeight="1">
      <c r="J302" s="52"/>
      <c r="U302" s="60"/>
      <c r="AE302" s="56"/>
      <c r="AF302" s="56"/>
    </row>
    <row r="303" spans="10:32" s="50" customFormat="1" ht="17.25" customHeight="1">
      <c r="J303" s="52"/>
      <c r="U303" s="60"/>
      <c r="AE303" s="56"/>
      <c r="AF303" s="56"/>
    </row>
    <row r="304" spans="10:32" s="50" customFormat="1" ht="17.25" customHeight="1">
      <c r="J304" s="52"/>
      <c r="U304" s="60"/>
      <c r="AE304" s="56"/>
      <c r="AF304" s="56"/>
    </row>
    <row r="305" spans="10:32" s="50" customFormat="1" ht="17.25" customHeight="1">
      <c r="J305" s="52"/>
      <c r="U305" s="60"/>
      <c r="AE305" s="56"/>
      <c r="AF305" s="56"/>
    </row>
    <row r="306" spans="10:32" s="50" customFormat="1" ht="17.25" customHeight="1">
      <c r="J306" s="52"/>
      <c r="U306" s="60"/>
      <c r="AE306" s="56"/>
      <c r="AF306" s="56"/>
    </row>
    <row r="307" spans="10:32" s="50" customFormat="1" ht="17.25" customHeight="1">
      <c r="J307" s="52"/>
      <c r="U307" s="60"/>
      <c r="AE307" s="56"/>
      <c r="AF307" s="56"/>
    </row>
    <row r="308" spans="10:32" s="50" customFormat="1" ht="17.25" customHeight="1">
      <c r="J308" s="52"/>
      <c r="U308" s="60"/>
      <c r="AE308" s="56"/>
      <c r="AF308" s="56"/>
    </row>
    <row r="309" spans="10:32" s="50" customFormat="1" ht="17.25" customHeight="1">
      <c r="J309" s="52"/>
      <c r="U309" s="60"/>
      <c r="AE309" s="56"/>
      <c r="AF309" s="56"/>
    </row>
    <row r="310" spans="10:32" s="50" customFormat="1" ht="17.25" customHeight="1">
      <c r="J310" s="52"/>
      <c r="U310" s="60"/>
      <c r="AE310" s="56"/>
      <c r="AF310" s="56"/>
    </row>
    <row r="311" spans="10:32" s="50" customFormat="1" ht="17.25" customHeight="1">
      <c r="J311" s="52"/>
      <c r="U311" s="60"/>
      <c r="AE311" s="56"/>
      <c r="AF311" s="56"/>
    </row>
    <row r="312" spans="10:32" s="50" customFormat="1" ht="17.25" customHeight="1">
      <c r="J312" s="52"/>
      <c r="U312" s="60"/>
      <c r="AE312" s="56"/>
      <c r="AF312" s="56"/>
    </row>
    <row r="313" spans="10:32" s="50" customFormat="1" ht="17.25" customHeight="1">
      <c r="J313" s="52"/>
      <c r="U313" s="60"/>
      <c r="AE313" s="56"/>
      <c r="AF313" s="56"/>
    </row>
    <row r="314" spans="10:32" s="50" customFormat="1" ht="17.25" customHeight="1">
      <c r="J314" s="52"/>
      <c r="U314" s="60"/>
      <c r="AE314" s="56"/>
      <c r="AF314" s="56"/>
    </row>
    <row r="315" spans="10:32" s="50" customFormat="1" ht="17.25" customHeight="1">
      <c r="J315" s="52"/>
      <c r="U315" s="60"/>
      <c r="AE315" s="56"/>
      <c r="AF315" s="56"/>
    </row>
    <row r="316" spans="10:32" s="50" customFormat="1" ht="17.25" customHeight="1">
      <c r="J316" s="52"/>
      <c r="U316" s="60"/>
      <c r="AE316" s="56"/>
      <c r="AF316" s="56"/>
    </row>
    <row r="317" spans="10:32" s="50" customFormat="1" ht="17.25" customHeight="1">
      <c r="J317" s="52"/>
      <c r="U317" s="60"/>
      <c r="AE317" s="56"/>
      <c r="AF317" s="56"/>
    </row>
    <row r="318" spans="10:32" s="50" customFormat="1" ht="17.25" customHeight="1">
      <c r="J318" s="52"/>
      <c r="U318" s="60"/>
      <c r="AE318" s="56"/>
      <c r="AF318" s="56"/>
    </row>
    <row r="319" spans="10:32" s="50" customFormat="1" ht="17.25" customHeight="1">
      <c r="J319" s="52"/>
      <c r="U319" s="60"/>
      <c r="AE319" s="56"/>
      <c r="AF319" s="56"/>
    </row>
    <row r="320" spans="10:32" s="50" customFormat="1" ht="17.25" customHeight="1">
      <c r="J320" s="52"/>
      <c r="U320" s="60"/>
      <c r="AE320" s="56"/>
      <c r="AF320" s="56"/>
    </row>
    <row r="321" spans="10:32" s="50" customFormat="1" ht="17.25" customHeight="1">
      <c r="J321" s="52"/>
      <c r="U321" s="60"/>
      <c r="AE321" s="56"/>
      <c r="AF321" s="56"/>
    </row>
    <row r="322" spans="10:32" s="50" customFormat="1" ht="17.25" customHeight="1">
      <c r="J322" s="52"/>
      <c r="U322" s="60"/>
      <c r="AE322" s="56"/>
      <c r="AF322" s="56"/>
    </row>
    <row r="323" spans="10:32" s="50" customFormat="1" ht="17.25" customHeight="1">
      <c r="J323" s="52"/>
      <c r="U323" s="60"/>
      <c r="AE323" s="56"/>
      <c r="AF323" s="56"/>
    </row>
    <row r="324" spans="10:32" s="50" customFormat="1" ht="17.25" customHeight="1">
      <c r="J324" s="52"/>
      <c r="U324" s="60"/>
      <c r="AE324" s="56"/>
      <c r="AF324" s="56"/>
    </row>
    <row r="325" spans="10:32" s="50" customFormat="1" ht="17.25" customHeight="1">
      <c r="J325" s="52"/>
      <c r="U325" s="60"/>
      <c r="AE325" s="56"/>
      <c r="AF325" s="56"/>
    </row>
    <row r="326" spans="10:32" s="50" customFormat="1" ht="17.25" customHeight="1">
      <c r="J326" s="52"/>
      <c r="U326" s="60"/>
      <c r="AE326" s="56"/>
      <c r="AF326" s="56"/>
    </row>
    <row r="327" spans="10:32" s="50" customFormat="1" ht="17.25" customHeight="1">
      <c r="J327" s="52"/>
      <c r="U327" s="60"/>
      <c r="AE327" s="56"/>
      <c r="AF327" s="56"/>
    </row>
    <row r="328" spans="10:32" s="50" customFormat="1" ht="17.25" customHeight="1">
      <c r="J328" s="52"/>
      <c r="U328" s="60"/>
      <c r="AE328" s="56"/>
      <c r="AF328" s="56"/>
    </row>
    <row r="329" spans="10:32" s="50" customFormat="1" ht="17.25" customHeight="1">
      <c r="J329" s="52"/>
      <c r="U329" s="60"/>
      <c r="AE329" s="56"/>
      <c r="AF329" s="56"/>
    </row>
    <row r="330" spans="10:32" s="50" customFormat="1" ht="17.25" customHeight="1">
      <c r="J330" s="52"/>
      <c r="U330" s="60"/>
      <c r="AE330" s="56"/>
      <c r="AF330" s="56"/>
    </row>
    <row r="331" spans="10:32" s="50" customFormat="1" ht="17.25" customHeight="1">
      <c r="J331" s="52"/>
      <c r="U331" s="60"/>
      <c r="AE331" s="56"/>
      <c r="AF331" s="56"/>
    </row>
    <row r="332" spans="10:32" s="50" customFormat="1" ht="17.25" customHeight="1">
      <c r="J332" s="52"/>
      <c r="U332" s="60"/>
      <c r="AE332" s="56"/>
      <c r="AF332" s="56"/>
    </row>
    <row r="333" spans="10:32" s="50" customFormat="1" ht="17.25" customHeight="1">
      <c r="J333" s="52"/>
      <c r="U333" s="60"/>
      <c r="AE333" s="56"/>
      <c r="AF333" s="56"/>
    </row>
    <row r="334" spans="10:32" s="50" customFormat="1" ht="17.25" customHeight="1">
      <c r="J334" s="52"/>
      <c r="U334" s="60"/>
      <c r="AE334" s="56"/>
      <c r="AF334" s="56"/>
    </row>
    <row r="335" spans="10:32" s="50" customFormat="1" ht="17.25" customHeight="1">
      <c r="J335" s="52"/>
      <c r="U335" s="60"/>
      <c r="AE335" s="56"/>
      <c r="AF335" s="56"/>
    </row>
    <row r="336" spans="10:32" s="50" customFormat="1" ht="17.25" customHeight="1">
      <c r="J336" s="52"/>
      <c r="U336" s="60"/>
      <c r="AE336" s="56"/>
      <c r="AF336" s="56"/>
    </row>
    <row r="337" spans="10:32" s="50" customFormat="1" ht="17.25" customHeight="1">
      <c r="J337" s="52"/>
      <c r="U337" s="60"/>
      <c r="AE337" s="56"/>
      <c r="AF337" s="56"/>
    </row>
    <row r="338" spans="10:32" s="50" customFormat="1" ht="17.25" customHeight="1">
      <c r="J338" s="52"/>
      <c r="U338" s="60"/>
      <c r="AE338" s="56"/>
      <c r="AF338" s="56"/>
    </row>
    <row r="339" spans="10:32" s="50" customFormat="1" ht="17.25" customHeight="1">
      <c r="J339" s="52"/>
      <c r="U339" s="60"/>
      <c r="AE339" s="56"/>
      <c r="AF339" s="56"/>
    </row>
    <row r="340" spans="10:32" s="50" customFormat="1" ht="17.25" customHeight="1">
      <c r="J340" s="52"/>
      <c r="U340" s="60"/>
      <c r="AE340" s="56"/>
      <c r="AF340" s="56"/>
    </row>
    <row r="341" spans="10:32" s="50" customFormat="1" ht="17.25" customHeight="1">
      <c r="J341" s="52"/>
      <c r="U341" s="60"/>
      <c r="AE341" s="56"/>
      <c r="AF341" s="56"/>
    </row>
    <row r="342" spans="10:32" s="50" customFormat="1" ht="17.25" customHeight="1">
      <c r="J342" s="52"/>
      <c r="U342" s="60"/>
      <c r="AE342" s="56"/>
      <c r="AF342" s="56"/>
    </row>
    <row r="343" spans="10:32" s="50" customFormat="1" ht="17.25" customHeight="1">
      <c r="J343" s="52"/>
      <c r="U343" s="60"/>
      <c r="AE343" s="56"/>
      <c r="AF343" s="56"/>
    </row>
    <row r="344" spans="10:32" s="50" customFormat="1" ht="17.25" customHeight="1">
      <c r="J344" s="52"/>
      <c r="U344" s="60"/>
      <c r="AE344" s="56"/>
      <c r="AF344" s="56"/>
    </row>
    <row r="345" spans="10:32" s="50" customFormat="1" ht="17.25" customHeight="1">
      <c r="J345" s="52"/>
      <c r="U345" s="60"/>
      <c r="AE345" s="56"/>
      <c r="AF345" s="56"/>
    </row>
    <row r="346" spans="10:32" s="50" customFormat="1" ht="17.25" customHeight="1">
      <c r="J346" s="52"/>
      <c r="U346" s="60"/>
      <c r="AE346" s="56"/>
      <c r="AF346" s="56"/>
    </row>
    <row r="347" spans="10:32" s="50" customFormat="1" ht="17.25" customHeight="1">
      <c r="J347" s="52"/>
      <c r="U347" s="60"/>
      <c r="AE347" s="56"/>
      <c r="AF347" s="56"/>
    </row>
    <row r="348" spans="10:32" s="50" customFormat="1" ht="17.25" customHeight="1">
      <c r="J348" s="52"/>
      <c r="U348" s="60"/>
      <c r="AE348" s="56"/>
      <c r="AF348" s="56"/>
    </row>
    <row r="349" spans="10:32" s="50" customFormat="1" ht="17.25" customHeight="1">
      <c r="J349" s="52"/>
      <c r="U349" s="60"/>
      <c r="AE349" s="56"/>
      <c r="AF349" s="56"/>
    </row>
    <row r="350" spans="10:32" s="50" customFormat="1" ht="17.25" customHeight="1">
      <c r="J350" s="52"/>
      <c r="U350" s="60"/>
      <c r="AE350" s="56"/>
      <c r="AF350" s="56"/>
    </row>
    <row r="351" spans="10:32" s="50" customFormat="1" ht="17.25" customHeight="1">
      <c r="J351" s="52"/>
      <c r="U351" s="60"/>
      <c r="AE351" s="56"/>
      <c r="AF351" s="56"/>
    </row>
    <row r="352" spans="10:32" s="50" customFormat="1" ht="17.25" customHeight="1">
      <c r="J352" s="52"/>
      <c r="U352" s="60"/>
      <c r="AE352" s="56"/>
      <c r="AF352" s="56"/>
    </row>
    <row r="353" spans="10:32" s="50" customFormat="1" ht="17.25" customHeight="1">
      <c r="J353" s="52"/>
      <c r="U353" s="60"/>
      <c r="AE353" s="56"/>
      <c r="AF353" s="56"/>
    </row>
    <row r="354" spans="10:32" s="50" customFormat="1" ht="17.25" customHeight="1">
      <c r="J354" s="52"/>
      <c r="U354" s="60"/>
      <c r="AE354" s="56"/>
      <c r="AF354" s="56"/>
    </row>
    <row r="355" spans="10:32" s="50" customFormat="1" ht="17.25" customHeight="1">
      <c r="J355" s="52"/>
      <c r="U355" s="60"/>
      <c r="AE355" s="56"/>
      <c r="AF355" s="56"/>
    </row>
    <row r="356" spans="10:32" s="50" customFormat="1" ht="17.25" customHeight="1">
      <c r="J356" s="52"/>
      <c r="U356" s="60"/>
      <c r="AE356" s="56"/>
      <c r="AF356" s="56"/>
    </row>
    <row r="357" spans="10:32" s="50" customFormat="1" ht="17.25" customHeight="1">
      <c r="J357" s="52"/>
      <c r="U357" s="60"/>
      <c r="AE357" s="56"/>
      <c r="AF357" s="56"/>
    </row>
    <row r="358" spans="10:32" s="50" customFormat="1" ht="17.25" customHeight="1">
      <c r="J358" s="52"/>
      <c r="U358" s="60"/>
      <c r="AE358" s="56"/>
      <c r="AF358" s="56"/>
    </row>
    <row r="359" spans="10:32" s="50" customFormat="1" ht="17.25" customHeight="1">
      <c r="J359" s="52"/>
      <c r="U359" s="60"/>
      <c r="AE359" s="56"/>
      <c r="AF359" s="56"/>
    </row>
    <row r="360" spans="10:32" s="50" customFormat="1" ht="17.25" customHeight="1">
      <c r="J360" s="52"/>
      <c r="U360" s="60"/>
      <c r="AE360" s="56"/>
      <c r="AF360" s="56"/>
    </row>
    <row r="361" spans="10:32" s="50" customFormat="1" ht="17.25" customHeight="1">
      <c r="J361" s="52"/>
      <c r="U361" s="60"/>
      <c r="AE361" s="56"/>
      <c r="AF361" s="56"/>
    </row>
    <row r="362" spans="10:32" s="50" customFormat="1" ht="17.25" customHeight="1">
      <c r="J362" s="52"/>
      <c r="U362" s="60"/>
      <c r="AE362" s="56"/>
      <c r="AF362" s="56"/>
    </row>
    <row r="363" spans="10:32" s="50" customFormat="1" ht="17.25" customHeight="1">
      <c r="J363" s="52"/>
      <c r="U363" s="60"/>
      <c r="AE363" s="56"/>
      <c r="AF363" s="56"/>
    </row>
    <row r="364" spans="10:32" s="50" customFormat="1" ht="17.25" customHeight="1">
      <c r="J364" s="52"/>
      <c r="U364" s="60"/>
      <c r="AE364" s="56"/>
      <c r="AF364" s="56"/>
    </row>
    <row r="365" spans="10:32" s="50" customFormat="1" ht="17.25" customHeight="1">
      <c r="J365" s="52"/>
      <c r="U365" s="60"/>
      <c r="AE365" s="56"/>
      <c r="AF365" s="56"/>
    </row>
    <row r="366" spans="10:32" s="50" customFormat="1" ht="17.25" customHeight="1">
      <c r="J366" s="52"/>
      <c r="U366" s="60"/>
      <c r="AE366" s="56"/>
      <c r="AF366" s="56"/>
    </row>
    <row r="367" spans="10:32" s="50" customFormat="1" ht="17.25" customHeight="1">
      <c r="J367" s="52"/>
      <c r="U367" s="60"/>
      <c r="AE367" s="56"/>
      <c r="AF367" s="56"/>
    </row>
    <row r="368" spans="10:32" s="50" customFormat="1" ht="17.25" customHeight="1">
      <c r="J368" s="52"/>
      <c r="U368" s="60"/>
      <c r="AE368" s="56"/>
      <c r="AF368" s="56"/>
    </row>
    <row r="369" spans="10:32" s="50" customFormat="1" ht="17.25" customHeight="1">
      <c r="J369" s="52"/>
      <c r="U369" s="60"/>
      <c r="AE369" s="56"/>
      <c r="AF369" s="56"/>
    </row>
    <row r="370" spans="10:32" s="50" customFormat="1" ht="17.25" customHeight="1">
      <c r="J370" s="52"/>
      <c r="U370" s="60"/>
      <c r="AE370" s="56"/>
      <c r="AF370" s="56"/>
    </row>
    <row r="371" spans="10:32" s="50" customFormat="1" ht="17.25" customHeight="1">
      <c r="J371" s="52"/>
      <c r="U371" s="60"/>
      <c r="AE371" s="56"/>
      <c r="AF371" s="56"/>
    </row>
    <row r="372" spans="10:32" s="50" customFormat="1" ht="17.25" customHeight="1">
      <c r="J372" s="52"/>
      <c r="U372" s="60"/>
      <c r="AE372" s="56"/>
      <c r="AF372" s="56"/>
    </row>
    <row r="373" spans="10:32" s="50" customFormat="1" ht="17.25" customHeight="1">
      <c r="J373" s="52"/>
      <c r="U373" s="60"/>
      <c r="AE373" s="56"/>
      <c r="AF373" s="56"/>
    </row>
    <row r="374" spans="10:32" s="50" customFormat="1" ht="17.25" customHeight="1">
      <c r="J374" s="52"/>
      <c r="U374" s="60"/>
      <c r="AE374" s="56"/>
      <c r="AF374" s="56"/>
    </row>
    <row r="375" spans="10:32" s="50" customFormat="1" ht="17.25" customHeight="1">
      <c r="J375" s="52"/>
      <c r="U375" s="60"/>
      <c r="AE375" s="56"/>
      <c r="AF375" s="56"/>
    </row>
    <row r="376" spans="10:32" s="50" customFormat="1" ht="17.25" customHeight="1">
      <c r="J376" s="52"/>
      <c r="U376" s="60"/>
      <c r="AE376" s="56"/>
      <c r="AF376" s="56"/>
    </row>
    <row r="377" spans="10:32" s="50" customFormat="1" ht="17.25" customHeight="1">
      <c r="J377" s="52"/>
      <c r="U377" s="60"/>
      <c r="AE377" s="56"/>
      <c r="AF377" s="56"/>
    </row>
    <row r="378" spans="10:32" s="50" customFormat="1" ht="17.25" customHeight="1">
      <c r="J378" s="52"/>
      <c r="U378" s="60"/>
      <c r="AE378" s="56"/>
      <c r="AF378" s="56"/>
    </row>
    <row r="379" spans="10:32" s="50" customFormat="1" ht="17.25" customHeight="1">
      <c r="J379" s="52"/>
      <c r="U379" s="60"/>
      <c r="AE379" s="56"/>
      <c r="AF379" s="56"/>
    </row>
    <row r="380" spans="10:32" s="50" customFormat="1" ht="17.25" customHeight="1">
      <c r="J380" s="52"/>
      <c r="U380" s="60"/>
      <c r="AE380" s="56"/>
      <c r="AF380" s="56"/>
    </row>
    <row r="381" spans="10:32" s="50" customFormat="1" ht="17.25" customHeight="1">
      <c r="J381" s="52"/>
      <c r="U381" s="60"/>
      <c r="AE381" s="56"/>
      <c r="AF381" s="56"/>
    </row>
    <row r="382" spans="10:32" s="50" customFormat="1" ht="17.25" customHeight="1">
      <c r="J382" s="52"/>
      <c r="U382" s="60"/>
      <c r="AE382" s="56"/>
      <c r="AF382" s="56"/>
    </row>
    <row r="383" spans="10:32" s="50" customFormat="1" ht="17.25" customHeight="1">
      <c r="J383" s="52"/>
      <c r="U383" s="60"/>
      <c r="AE383" s="56"/>
      <c r="AF383" s="56"/>
    </row>
    <row r="384" spans="10:32" s="50" customFormat="1" ht="17.25" customHeight="1">
      <c r="J384" s="52"/>
      <c r="U384" s="60"/>
      <c r="AE384" s="56"/>
      <c r="AF384" s="56"/>
    </row>
    <row r="385" spans="10:32" s="50" customFormat="1" ht="17.25" customHeight="1">
      <c r="J385" s="52"/>
      <c r="U385" s="60"/>
      <c r="AE385" s="56"/>
      <c r="AF385" s="56"/>
    </row>
    <row r="386" spans="10:32" s="50" customFormat="1" ht="17.25" customHeight="1">
      <c r="J386" s="52"/>
      <c r="U386" s="60"/>
      <c r="AE386" s="56"/>
      <c r="AF386" s="56"/>
    </row>
    <row r="387" spans="10:32" s="50" customFormat="1" ht="17.25" customHeight="1">
      <c r="J387" s="52"/>
      <c r="U387" s="60"/>
      <c r="AE387" s="56"/>
      <c r="AF387" s="56"/>
    </row>
    <row r="388" spans="10:32" s="50" customFormat="1" ht="17.25" customHeight="1">
      <c r="J388" s="52"/>
      <c r="U388" s="60"/>
      <c r="AE388" s="56"/>
      <c r="AF388" s="56"/>
    </row>
    <row r="389" spans="10:32" s="50" customFormat="1" ht="17.25" customHeight="1">
      <c r="J389" s="52"/>
      <c r="U389" s="60"/>
      <c r="AE389" s="56"/>
      <c r="AF389" s="56"/>
    </row>
    <row r="390" spans="10:32" s="50" customFormat="1" ht="17.25" customHeight="1">
      <c r="J390" s="52"/>
      <c r="U390" s="60"/>
      <c r="AE390" s="56"/>
      <c r="AF390" s="56"/>
    </row>
    <row r="391" spans="10:32" s="50" customFormat="1" ht="17.25" customHeight="1">
      <c r="J391" s="52"/>
      <c r="U391" s="60"/>
      <c r="AE391" s="56"/>
      <c r="AF391" s="56"/>
    </row>
    <row r="392" spans="10:32" s="50" customFormat="1" ht="17.25" customHeight="1">
      <c r="J392" s="52"/>
      <c r="U392" s="60"/>
      <c r="AE392" s="56"/>
      <c r="AF392" s="56"/>
    </row>
    <row r="393" spans="10:32" s="50" customFormat="1" ht="17.25" customHeight="1">
      <c r="J393" s="52"/>
      <c r="U393" s="60"/>
      <c r="AE393" s="56"/>
      <c r="AF393" s="56"/>
    </row>
    <row r="394" spans="10:32" s="50" customFormat="1" ht="17.25" customHeight="1">
      <c r="J394" s="52"/>
      <c r="U394" s="60"/>
      <c r="AE394" s="56"/>
      <c r="AF394" s="56"/>
    </row>
    <row r="395" spans="10:32" s="50" customFormat="1" ht="17.25" customHeight="1">
      <c r="J395" s="52"/>
      <c r="U395" s="60"/>
      <c r="AE395" s="56"/>
      <c r="AF395" s="56"/>
    </row>
    <row r="396" spans="10:32" s="50" customFormat="1" ht="17.25" customHeight="1">
      <c r="J396" s="52"/>
      <c r="U396" s="60"/>
      <c r="AE396" s="56"/>
      <c r="AF396" s="56"/>
    </row>
    <row r="397" spans="10:32" s="50" customFormat="1" ht="17.25" customHeight="1">
      <c r="J397" s="52"/>
      <c r="U397" s="60"/>
      <c r="AE397" s="56"/>
      <c r="AF397" s="56"/>
    </row>
    <row r="398" spans="10:32" s="50" customFormat="1" ht="17.25" customHeight="1">
      <c r="J398" s="52"/>
      <c r="U398" s="60"/>
      <c r="AE398" s="56"/>
      <c r="AF398" s="56"/>
    </row>
    <row r="399" spans="10:32" s="50" customFormat="1" ht="17.25" customHeight="1">
      <c r="J399" s="52"/>
      <c r="U399" s="60"/>
      <c r="AE399" s="56"/>
      <c r="AF399" s="56"/>
    </row>
    <row r="400" spans="10:32" s="50" customFormat="1" ht="17.25" customHeight="1">
      <c r="J400" s="52"/>
      <c r="U400" s="60"/>
      <c r="AE400" s="56"/>
      <c r="AF400" s="56"/>
    </row>
    <row r="401" spans="10:32" s="50" customFormat="1" ht="17.25" customHeight="1">
      <c r="J401" s="52"/>
      <c r="U401" s="60"/>
      <c r="AE401" s="56"/>
      <c r="AF401" s="56"/>
    </row>
    <row r="402" spans="10:32" s="50" customFormat="1" ht="17.25" customHeight="1">
      <c r="J402" s="52"/>
      <c r="U402" s="60"/>
      <c r="AE402" s="56"/>
      <c r="AF402" s="56"/>
    </row>
    <row r="403" spans="10:32" s="50" customFormat="1" ht="17.25" customHeight="1">
      <c r="J403" s="52"/>
      <c r="U403" s="60"/>
      <c r="AE403" s="56"/>
      <c r="AF403" s="56"/>
    </row>
    <row r="404" spans="10:32" s="50" customFormat="1" ht="17.25" customHeight="1">
      <c r="J404" s="52"/>
      <c r="U404" s="60"/>
      <c r="AE404" s="56"/>
      <c r="AF404" s="56"/>
    </row>
    <row r="405" spans="10:32" s="50" customFormat="1" ht="17.25" customHeight="1">
      <c r="J405" s="52"/>
      <c r="U405" s="60"/>
      <c r="AE405" s="56"/>
      <c r="AF405" s="56"/>
    </row>
    <row r="406" spans="10:32" s="50" customFormat="1" ht="17.25" customHeight="1">
      <c r="J406" s="52"/>
      <c r="U406" s="60"/>
      <c r="AE406" s="56"/>
      <c r="AF406" s="56"/>
    </row>
    <row r="407" spans="10:32" s="50" customFormat="1" ht="17.25" customHeight="1">
      <c r="J407" s="52"/>
      <c r="U407" s="60"/>
      <c r="AE407" s="56"/>
      <c r="AF407" s="56"/>
    </row>
    <row r="408" spans="10:32" s="50" customFormat="1" ht="17.25" customHeight="1">
      <c r="J408" s="52"/>
      <c r="U408" s="60"/>
      <c r="AE408" s="56"/>
      <c r="AF408" s="56"/>
    </row>
    <row r="409" spans="10:32" s="50" customFormat="1" ht="17.25" customHeight="1">
      <c r="J409" s="52"/>
      <c r="U409" s="60"/>
      <c r="AE409" s="56"/>
      <c r="AF409" s="56"/>
    </row>
    <row r="410" spans="10:32" s="50" customFormat="1" ht="17.25" customHeight="1">
      <c r="J410" s="52"/>
      <c r="U410" s="60"/>
      <c r="AE410" s="56"/>
      <c r="AF410" s="56"/>
    </row>
    <row r="411" spans="10:32" s="50" customFormat="1" ht="17.25" customHeight="1">
      <c r="J411" s="52"/>
      <c r="U411" s="60"/>
      <c r="AE411" s="56"/>
      <c r="AF411" s="56"/>
    </row>
    <row r="412" spans="10:32" s="50" customFormat="1" ht="17.25" customHeight="1">
      <c r="J412" s="52"/>
      <c r="U412" s="60"/>
      <c r="AE412" s="56"/>
      <c r="AF412" s="56"/>
    </row>
    <row r="413" spans="10:32" s="50" customFormat="1" ht="17.25" customHeight="1">
      <c r="J413" s="52"/>
      <c r="U413" s="60"/>
      <c r="AE413" s="56"/>
      <c r="AF413" s="56"/>
    </row>
    <row r="414" spans="10:32" s="50" customFormat="1" ht="17.25" customHeight="1">
      <c r="J414" s="52"/>
      <c r="U414" s="60"/>
      <c r="AE414" s="56"/>
      <c r="AF414" s="56"/>
    </row>
    <row r="415" spans="10:32" s="50" customFormat="1" ht="12">
      <c r="J415" s="52"/>
      <c r="U415" s="60"/>
      <c r="AE415" s="56"/>
      <c r="AF415" s="56"/>
    </row>
    <row r="416" spans="10:32" s="50" customFormat="1" ht="12">
      <c r="J416" s="52"/>
      <c r="U416" s="60"/>
      <c r="AE416" s="56"/>
      <c r="AF416" s="56"/>
    </row>
    <row r="417" spans="10:32" s="50" customFormat="1" ht="12">
      <c r="J417" s="52"/>
      <c r="U417" s="60"/>
      <c r="AE417" s="56"/>
      <c r="AF417" s="56"/>
    </row>
    <row r="418" spans="10:32" s="50" customFormat="1" ht="12">
      <c r="J418" s="52"/>
      <c r="U418" s="60"/>
      <c r="AE418" s="56"/>
      <c r="AF418" s="56"/>
    </row>
    <row r="419" spans="10:32" s="50" customFormat="1" ht="12">
      <c r="J419" s="52"/>
      <c r="U419" s="60"/>
      <c r="AE419" s="56"/>
      <c r="AF419" s="56"/>
    </row>
    <row r="420" spans="10:32" s="50" customFormat="1" ht="12">
      <c r="J420" s="52"/>
      <c r="U420" s="60"/>
      <c r="AE420" s="56"/>
      <c r="AF420" s="56"/>
    </row>
    <row r="421" spans="10:32" s="50" customFormat="1" ht="12">
      <c r="J421" s="52"/>
      <c r="U421" s="60"/>
      <c r="AE421" s="56"/>
      <c r="AF421" s="56"/>
    </row>
    <row r="422" spans="10:32" s="50" customFormat="1" ht="12">
      <c r="J422" s="52"/>
      <c r="U422" s="60"/>
      <c r="AE422" s="56"/>
      <c r="AF422" s="56"/>
    </row>
    <row r="423" spans="10:32" s="50" customFormat="1" ht="12">
      <c r="J423" s="52"/>
      <c r="U423" s="60"/>
      <c r="AE423" s="56"/>
      <c r="AF423" s="56"/>
    </row>
    <row r="424" spans="10:32" s="50" customFormat="1" ht="12">
      <c r="J424" s="52"/>
      <c r="U424" s="60"/>
      <c r="AE424" s="56"/>
      <c r="AF424" s="56"/>
    </row>
    <row r="425" spans="10:32" s="50" customFormat="1" ht="12">
      <c r="J425" s="52"/>
      <c r="U425" s="60"/>
      <c r="AE425" s="56"/>
      <c r="AF425" s="56"/>
    </row>
    <row r="426" spans="10:32" s="50" customFormat="1" ht="12">
      <c r="J426" s="52"/>
      <c r="U426" s="60"/>
      <c r="AE426" s="56"/>
      <c r="AF426" s="56"/>
    </row>
    <row r="427" spans="10:32" s="50" customFormat="1" ht="12">
      <c r="J427" s="52"/>
      <c r="U427" s="60"/>
      <c r="AE427" s="56"/>
      <c r="AF427" s="56"/>
    </row>
    <row r="428" spans="10:32" s="50" customFormat="1" ht="12">
      <c r="J428" s="52"/>
      <c r="U428" s="60"/>
      <c r="AE428" s="56"/>
      <c r="AF428" s="56"/>
    </row>
    <row r="429" spans="10:32" s="50" customFormat="1" ht="12">
      <c r="J429" s="52"/>
      <c r="U429" s="60"/>
      <c r="AE429" s="56"/>
      <c r="AF429" s="56"/>
    </row>
    <row r="430" spans="10:32" s="50" customFormat="1" ht="12">
      <c r="J430" s="52"/>
      <c r="U430" s="60"/>
      <c r="AE430" s="56"/>
      <c r="AF430" s="56"/>
    </row>
    <row r="431" spans="10:32" s="50" customFormat="1" ht="12">
      <c r="J431" s="52"/>
      <c r="U431" s="60"/>
      <c r="AE431" s="56"/>
      <c r="AF431" s="56"/>
    </row>
    <row r="432" spans="10:32" s="50" customFormat="1" ht="12">
      <c r="J432" s="52"/>
      <c r="U432" s="60"/>
      <c r="AE432" s="56"/>
      <c r="AF432" s="56"/>
    </row>
    <row r="433" spans="10:32" s="50" customFormat="1" ht="12">
      <c r="J433" s="52"/>
      <c r="U433" s="60"/>
      <c r="AE433" s="56"/>
      <c r="AF433" s="56"/>
    </row>
    <row r="434" spans="10:32" s="50" customFormat="1" ht="12">
      <c r="J434" s="52"/>
      <c r="U434" s="60"/>
      <c r="AE434" s="56"/>
      <c r="AF434" s="56"/>
    </row>
    <row r="435" spans="10:32" s="50" customFormat="1" ht="12">
      <c r="J435" s="52"/>
      <c r="U435" s="60"/>
      <c r="AE435" s="56"/>
      <c r="AF435" s="56"/>
    </row>
    <row r="436" spans="10:32" s="50" customFormat="1" ht="12">
      <c r="J436" s="52"/>
      <c r="U436" s="60"/>
      <c r="AE436" s="56"/>
      <c r="AF436" s="56"/>
    </row>
    <row r="437" spans="10:32" s="50" customFormat="1" ht="12">
      <c r="J437" s="52"/>
      <c r="U437" s="60"/>
      <c r="AE437" s="56"/>
      <c r="AF437" s="56"/>
    </row>
    <row r="438" spans="10:32" s="50" customFormat="1" ht="12">
      <c r="J438" s="52"/>
      <c r="U438" s="60"/>
      <c r="AE438" s="56"/>
      <c r="AF438" s="56"/>
    </row>
    <row r="439" spans="10:32" s="50" customFormat="1" ht="12">
      <c r="J439" s="52"/>
      <c r="U439" s="60"/>
      <c r="AE439" s="56"/>
      <c r="AF439" s="56"/>
    </row>
    <row r="440" spans="10:32" s="50" customFormat="1" ht="12">
      <c r="J440" s="52"/>
      <c r="U440" s="60"/>
      <c r="AE440" s="56"/>
      <c r="AF440" s="56"/>
    </row>
    <row r="441" spans="10:32" s="50" customFormat="1" ht="12">
      <c r="J441" s="52"/>
      <c r="U441" s="60"/>
      <c r="AE441" s="56"/>
      <c r="AF441" s="56"/>
    </row>
    <row r="442" spans="10:32" s="50" customFormat="1" ht="12">
      <c r="J442" s="52"/>
      <c r="U442" s="60"/>
      <c r="AE442" s="56"/>
      <c r="AF442" s="56"/>
    </row>
    <row r="443" spans="10:32" s="50" customFormat="1" ht="12">
      <c r="J443" s="52"/>
      <c r="U443" s="60"/>
      <c r="AE443" s="56"/>
      <c r="AF443" s="56"/>
    </row>
    <row r="444" spans="10:32" s="50" customFormat="1" ht="12">
      <c r="J444" s="52"/>
      <c r="U444" s="60"/>
      <c r="AE444" s="56"/>
      <c r="AF444" s="56"/>
    </row>
    <row r="445" spans="10:32" s="50" customFormat="1" ht="12">
      <c r="J445" s="52"/>
      <c r="U445" s="60"/>
      <c r="AE445" s="56"/>
      <c r="AF445" s="56"/>
    </row>
    <row r="446" spans="10:32" s="50" customFormat="1" ht="12">
      <c r="J446" s="52"/>
      <c r="U446" s="60"/>
      <c r="AE446" s="56"/>
      <c r="AF446" s="56"/>
    </row>
    <row r="447" spans="10:32" s="50" customFormat="1" ht="12">
      <c r="J447" s="52"/>
      <c r="U447" s="60"/>
      <c r="AE447" s="56"/>
      <c r="AF447" s="56"/>
    </row>
    <row r="448" spans="10:32" s="50" customFormat="1" ht="12">
      <c r="J448" s="52"/>
      <c r="U448" s="60"/>
      <c r="AE448" s="56"/>
      <c r="AF448" s="56"/>
    </row>
    <row r="449" spans="10:32" s="50" customFormat="1" ht="12">
      <c r="J449" s="52"/>
      <c r="U449" s="60"/>
      <c r="AE449" s="56"/>
      <c r="AF449" s="56"/>
    </row>
    <row r="450" spans="10:32" s="50" customFormat="1" ht="12">
      <c r="J450" s="52"/>
      <c r="U450" s="60"/>
      <c r="AE450" s="56"/>
      <c r="AF450" s="56"/>
    </row>
    <row r="451" spans="10:32" s="50" customFormat="1" ht="12">
      <c r="J451" s="52"/>
      <c r="U451" s="60"/>
      <c r="AE451" s="56"/>
      <c r="AF451" s="56"/>
    </row>
    <row r="452" spans="10:32" s="50" customFormat="1" ht="12">
      <c r="J452" s="52"/>
      <c r="U452" s="60"/>
      <c r="AE452" s="56"/>
      <c r="AF452" s="56"/>
    </row>
    <row r="453" spans="10:32" s="50" customFormat="1" ht="12">
      <c r="J453" s="52"/>
      <c r="U453" s="60"/>
      <c r="AE453" s="56"/>
      <c r="AF453" s="56"/>
    </row>
    <row r="454" spans="10:32" s="50" customFormat="1" ht="12">
      <c r="J454" s="52"/>
      <c r="U454" s="60"/>
      <c r="AE454" s="56"/>
      <c r="AF454" s="56"/>
    </row>
    <row r="455" spans="10:32" s="50" customFormat="1" ht="12">
      <c r="J455" s="52"/>
      <c r="U455" s="60"/>
      <c r="AE455" s="56"/>
      <c r="AF455" s="56"/>
    </row>
    <row r="456" spans="10:32" s="50" customFormat="1" ht="12">
      <c r="J456" s="52"/>
      <c r="U456" s="60"/>
      <c r="AE456" s="56"/>
      <c r="AF456" s="56"/>
    </row>
    <row r="457" spans="10:32" s="50" customFormat="1" ht="12">
      <c r="J457" s="52"/>
      <c r="U457" s="60"/>
      <c r="AE457" s="56"/>
      <c r="AF457" s="56"/>
    </row>
    <row r="458" spans="10:32" s="50" customFormat="1" ht="12">
      <c r="J458" s="52"/>
      <c r="U458" s="60"/>
      <c r="AE458" s="56"/>
      <c r="AF458" s="56"/>
    </row>
    <row r="459" spans="10:32" s="50" customFormat="1" ht="12">
      <c r="J459" s="52"/>
      <c r="U459" s="60"/>
      <c r="AE459" s="56"/>
      <c r="AF459" s="56"/>
    </row>
    <row r="460" spans="10:32" s="50" customFormat="1" ht="12">
      <c r="J460" s="52"/>
      <c r="U460" s="60"/>
      <c r="AE460" s="56"/>
      <c r="AF460" s="56"/>
    </row>
    <row r="461" spans="10:32" s="50" customFormat="1" ht="12">
      <c r="J461" s="52"/>
      <c r="U461" s="60"/>
      <c r="AE461" s="56"/>
      <c r="AF461" s="56"/>
    </row>
    <row r="462" spans="10:32" s="50" customFormat="1" ht="12">
      <c r="J462" s="52"/>
      <c r="U462" s="60"/>
      <c r="AE462" s="56"/>
      <c r="AF462" s="56"/>
    </row>
    <row r="463" spans="10:32" s="50" customFormat="1" ht="12">
      <c r="J463" s="52"/>
      <c r="U463" s="60"/>
    </row>
    <row r="464" spans="10:32" s="50" customFormat="1" ht="12">
      <c r="J464" s="52"/>
      <c r="U464" s="60"/>
    </row>
    <row r="465" spans="10:21" s="50" customFormat="1" ht="12">
      <c r="J465" s="52"/>
      <c r="U465" s="60"/>
    </row>
    <row r="466" spans="10:21" s="50" customFormat="1" ht="12">
      <c r="J466" s="52"/>
      <c r="U466" s="60"/>
    </row>
    <row r="467" spans="10:21" s="50" customFormat="1" ht="12">
      <c r="J467" s="52"/>
      <c r="U467" s="60"/>
    </row>
    <row r="468" spans="10:21" s="50" customFormat="1" ht="12">
      <c r="J468" s="52"/>
      <c r="U468" s="60"/>
    </row>
    <row r="469" spans="10:21" s="50" customFormat="1" ht="12">
      <c r="J469" s="52"/>
      <c r="U469" s="60"/>
    </row>
    <row r="470" spans="10:21" s="50" customFormat="1" ht="12">
      <c r="J470" s="52"/>
      <c r="U470" s="60"/>
    </row>
    <row r="471" spans="10:21" s="50" customFormat="1" ht="12">
      <c r="J471" s="52"/>
      <c r="U471" s="60"/>
    </row>
    <row r="472" spans="10:21" s="50" customFormat="1" ht="12">
      <c r="J472" s="52"/>
      <c r="U472" s="60"/>
    </row>
    <row r="473" spans="10:21" s="50" customFormat="1" ht="12">
      <c r="J473" s="52"/>
      <c r="U473" s="60"/>
    </row>
    <row r="474" spans="10:21" s="50" customFormat="1" ht="12">
      <c r="J474" s="52"/>
      <c r="U474" s="60"/>
    </row>
    <row r="475" spans="10:21" s="50" customFormat="1" ht="12">
      <c r="J475" s="52"/>
      <c r="U475" s="60"/>
    </row>
    <row r="476" spans="10:21" s="50" customFormat="1" ht="12">
      <c r="J476" s="52"/>
      <c r="U476" s="60"/>
    </row>
    <row r="477" spans="10:21" s="50" customFormat="1" ht="12">
      <c r="J477" s="52"/>
      <c r="U477" s="60"/>
    </row>
    <row r="478" spans="10:21" s="50" customFormat="1" ht="12">
      <c r="J478" s="52"/>
      <c r="U478" s="60"/>
    </row>
    <row r="479" spans="10:21" s="50" customFormat="1" ht="12">
      <c r="J479" s="52"/>
      <c r="U479" s="60"/>
    </row>
    <row r="480" spans="10:21" s="50" customFormat="1" ht="12">
      <c r="J480" s="52"/>
      <c r="U480" s="60"/>
    </row>
    <row r="481" spans="10:21" s="50" customFormat="1" ht="12">
      <c r="J481" s="52"/>
      <c r="U481" s="60"/>
    </row>
    <row r="482" spans="10:21" s="50" customFormat="1" ht="12">
      <c r="J482" s="52"/>
      <c r="U482" s="60"/>
    </row>
    <row r="483" spans="10:21" s="50" customFormat="1" ht="12">
      <c r="J483" s="52"/>
      <c r="U483" s="60"/>
    </row>
    <row r="484" spans="10:21" s="50" customFormat="1" ht="12">
      <c r="J484" s="52"/>
      <c r="U484" s="60"/>
    </row>
    <row r="485" spans="10:21" s="50" customFormat="1" ht="12">
      <c r="J485" s="52"/>
      <c r="U485" s="60"/>
    </row>
    <row r="486" spans="10:21" s="50" customFormat="1" ht="12">
      <c r="J486" s="52"/>
      <c r="U486" s="60"/>
    </row>
    <row r="487" spans="10:21" s="50" customFormat="1" ht="12">
      <c r="J487" s="52"/>
      <c r="U487" s="60"/>
    </row>
    <row r="488" spans="10:21" s="50" customFormat="1" ht="12">
      <c r="J488" s="52"/>
      <c r="U488" s="60"/>
    </row>
    <row r="489" spans="10:21" s="50" customFormat="1" ht="12">
      <c r="J489" s="52"/>
      <c r="U489" s="60"/>
    </row>
    <row r="490" spans="10:21" s="50" customFormat="1" ht="12">
      <c r="J490" s="52"/>
      <c r="U490" s="60"/>
    </row>
    <row r="491" spans="10:21" s="50" customFormat="1" ht="12">
      <c r="J491" s="52"/>
      <c r="U491" s="60"/>
    </row>
    <row r="492" spans="10:21" s="50" customFormat="1" ht="12">
      <c r="J492" s="52"/>
      <c r="U492" s="60"/>
    </row>
    <row r="493" spans="10:21" s="50" customFormat="1" ht="12">
      <c r="J493" s="52"/>
      <c r="U493" s="60"/>
    </row>
    <row r="494" spans="10:21" s="50" customFormat="1" ht="12">
      <c r="J494" s="52"/>
      <c r="U494" s="60"/>
    </row>
    <row r="495" spans="10:21" s="50" customFormat="1" ht="12">
      <c r="J495" s="52"/>
      <c r="U495" s="60"/>
    </row>
    <row r="496" spans="10:21" s="50" customFormat="1" ht="12">
      <c r="J496" s="52"/>
      <c r="U496" s="60"/>
    </row>
    <row r="497" spans="10:21" s="50" customFormat="1" ht="12">
      <c r="J497" s="52"/>
      <c r="U497" s="60"/>
    </row>
    <row r="498" spans="10:21" s="50" customFormat="1" ht="12">
      <c r="J498" s="52"/>
      <c r="U498" s="60"/>
    </row>
    <row r="499" spans="10:21" s="50" customFormat="1" ht="12">
      <c r="J499" s="52"/>
      <c r="U499" s="60"/>
    </row>
    <row r="500" spans="10:21" s="50" customFormat="1" ht="12">
      <c r="J500" s="52"/>
      <c r="U500" s="60"/>
    </row>
    <row r="501" spans="10:21" s="50" customFormat="1" ht="12">
      <c r="J501" s="52"/>
      <c r="U501" s="60"/>
    </row>
    <row r="502" spans="10:21" s="50" customFormat="1" ht="12">
      <c r="J502" s="52"/>
      <c r="U502" s="60"/>
    </row>
    <row r="503" spans="10:21" s="50" customFormat="1" ht="12">
      <c r="J503" s="52"/>
      <c r="U503" s="60"/>
    </row>
    <row r="504" spans="10:21" s="50" customFormat="1" ht="12">
      <c r="J504" s="52"/>
      <c r="U504" s="60"/>
    </row>
    <row r="505" spans="10:21" s="50" customFormat="1" ht="12">
      <c r="J505" s="52"/>
      <c r="U505" s="60"/>
    </row>
    <row r="506" spans="10:21" s="50" customFormat="1" ht="12">
      <c r="J506" s="52"/>
      <c r="U506" s="60"/>
    </row>
    <row r="507" spans="10:21" s="50" customFormat="1" ht="12">
      <c r="J507" s="52"/>
      <c r="U507" s="60"/>
    </row>
    <row r="508" spans="10:21" s="50" customFormat="1" ht="12">
      <c r="J508" s="52"/>
      <c r="U508" s="60"/>
    </row>
    <row r="509" spans="10:21" s="50" customFormat="1" ht="12">
      <c r="J509" s="52"/>
      <c r="U509" s="60"/>
    </row>
    <row r="510" spans="10:21" s="50" customFormat="1" ht="12">
      <c r="J510" s="52"/>
      <c r="U510" s="60"/>
    </row>
    <row r="511" spans="10:21" s="50" customFormat="1" ht="12">
      <c r="J511" s="52"/>
      <c r="U511" s="60"/>
    </row>
    <row r="512" spans="10:21" s="50" customFormat="1" ht="12">
      <c r="J512" s="52"/>
      <c r="U512" s="60"/>
    </row>
    <row r="513" spans="10:21" s="50" customFormat="1" ht="12">
      <c r="J513" s="52"/>
      <c r="U513" s="60"/>
    </row>
    <row r="514" spans="10:21" s="50" customFormat="1" ht="12">
      <c r="J514" s="52"/>
      <c r="U514" s="60"/>
    </row>
    <row r="515" spans="10:21" s="50" customFormat="1" ht="12">
      <c r="J515" s="52"/>
      <c r="U515" s="60"/>
    </row>
    <row r="516" spans="10:21" s="50" customFormat="1" ht="12">
      <c r="J516" s="52"/>
      <c r="U516" s="60"/>
    </row>
    <row r="517" spans="10:21" s="50" customFormat="1" ht="12">
      <c r="J517" s="52"/>
      <c r="U517" s="60"/>
    </row>
    <row r="518" spans="10:21" s="50" customFormat="1" ht="12">
      <c r="J518" s="52"/>
      <c r="U518" s="60"/>
    </row>
    <row r="519" spans="10:21" s="50" customFormat="1" ht="12">
      <c r="J519" s="52"/>
      <c r="U519" s="60"/>
    </row>
    <row r="520" spans="10:21" s="50" customFormat="1" ht="12">
      <c r="J520" s="52"/>
      <c r="U520" s="60"/>
    </row>
    <row r="521" spans="10:21" s="50" customFormat="1" ht="12">
      <c r="J521" s="52"/>
      <c r="U521" s="60"/>
    </row>
    <row r="522" spans="10:21" s="50" customFormat="1" ht="12">
      <c r="J522" s="52"/>
      <c r="U522" s="60"/>
    </row>
    <row r="523" spans="10:21" s="50" customFormat="1" ht="12">
      <c r="J523" s="52"/>
      <c r="U523" s="60"/>
    </row>
    <row r="524" spans="10:21" s="50" customFormat="1" ht="12">
      <c r="J524" s="52"/>
      <c r="U524" s="60"/>
    </row>
    <row r="525" spans="10:21" s="50" customFormat="1" ht="12">
      <c r="J525" s="52"/>
      <c r="U525" s="60"/>
    </row>
    <row r="526" spans="10:21" s="50" customFormat="1" ht="12">
      <c r="J526" s="52"/>
      <c r="U526" s="60"/>
    </row>
    <row r="527" spans="10:21" s="50" customFormat="1" ht="12">
      <c r="J527" s="52"/>
      <c r="U527" s="60"/>
    </row>
    <row r="528" spans="10:21" s="50" customFormat="1" ht="12">
      <c r="J528" s="52"/>
      <c r="U528" s="60"/>
    </row>
    <row r="529" spans="10:21" s="50" customFormat="1" ht="12">
      <c r="J529" s="52"/>
      <c r="U529" s="60"/>
    </row>
    <row r="530" spans="10:21" s="50" customFormat="1" ht="12">
      <c r="J530" s="52"/>
      <c r="U530" s="60"/>
    </row>
    <row r="531" spans="10:21" s="50" customFormat="1" ht="12">
      <c r="J531" s="52"/>
      <c r="U531" s="60"/>
    </row>
    <row r="532" spans="10:21" s="50" customFormat="1" ht="12">
      <c r="J532" s="52"/>
      <c r="U532" s="60"/>
    </row>
    <row r="533" spans="10:21" s="50" customFormat="1" ht="12">
      <c r="J533" s="52"/>
      <c r="U533" s="60"/>
    </row>
    <row r="534" spans="10:21" s="50" customFormat="1" ht="12">
      <c r="J534" s="52"/>
      <c r="U534" s="60"/>
    </row>
    <row r="535" spans="10:21" s="50" customFormat="1" ht="12">
      <c r="J535" s="52"/>
      <c r="U535" s="60"/>
    </row>
    <row r="536" spans="10:21" s="50" customFormat="1" ht="12">
      <c r="J536" s="52"/>
      <c r="U536" s="60"/>
    </row>
    <row r="537" spans="10:21" s="50" customFormat="1" ht="12">
      <c r="J537" s="52"/>
      <c r="U537" s="60"/>
    </row>
    <row r="538" spans="10:21" s="50" customFormat="1" ht="12">
      <c r="J538" s="52"/>
      <c r="U538" s="60"/>
    </row>
    <row r="539" spans="10:21" s="50" customFormat="1" ht="12">
      <c r="J539" s="52"/>
      <c r="U539" s="60"/>
    </row>
    <row r="540" spans="10:21" s="50" customFormat="1" ht="12">
      <c r="J540" s="52"/>
      <c r="U540" s="60"/>
    </row>
    <row r="541" spans="10:21" s="50" customFormat="1" ht="12">
      <c r="J541" s="52"/>
      <c r="U541" s="60"/>
    </row>
    <row r="542" spans="10:21" s="50" customFormat="1" ht="12">
      <c r="J542" s="52"/>
      <c r="U542" s="60"/>
    </row>
    <row r="543" spans="10:21" s="50" customFormat="1" ht="12">
      <c r="J543" s="52"/>
      <c r="U543" s="60"/>
    </row>
    <row r="544" spans="10:21" s="50" customFormat="1" ht="12">
      <c r="J544" s="52"/>
      <c r="U544" s="60"/>
    </row>
    <row r="545" spans="10:21" s="50" customFormat="1" ht="12">
      <c r="J545" s="52"/>
      <c r="U545" s="60"/>
    </row>
    <row r="546" spans="10:21" s="50" customFormat="1" ht="12">
      <c r="J546" s="52"/>
      <c r="U546" s="60"/>
    </row>
    <row r="547" spans="10:21" s="50" customFormat="1" ht="12">
      <c r="J547" s="52"/>
      <c r="U547" s="60"/>
    </row>
    <row r="548" spans="10:21" s="50" customFormat="1" ht="12">
      <c r="J548" s="52"/>
      <c r="U548" s="60"/>
    </row>
    <row r="549" spans="10:21" s="50" customFormat="1" ht="12">
      <c r="J549" s="52"/>
      <c r="U549" s="60"/>
    </row>
    <row r="550" spans="10:21" s="50" customFormat="1" ht="12">
      <c r="J550" s="52"/>
      <c r="U550" s="60"/>
    </row>
    <row r="551" spans="10:21" s="50" customFormat="1" ht="12">
      <c r="J551" s="52"/>
      <c r="U551" s="60"/>
    </row>
    <row r="552" spans="10:21" s="50" customFormat="1" ht="12">
      <c r="J552" s="52"/>
      <c r="U552" s="60"/>
    </row>
    <row r="553" spans="10:21" s="50" customFormat="1" ht="12">
      <c r="J553" s="52"/>
      <c r="U553" s="60"/>
    </row>
    <row r="554" spans="10:21" s="50" customFormat="1" ht="12">
      <c r="J554" s="52"/>
      <c r="U554" s="60"/>
    </row>
    <row r="555" spans="10:21" s="50" customFormat="1" ht="12">
      <c r="J555" s="52"/>
      <c r="U555" s="60"/>
    </row>
    <row r="556" spans="10:21" s="50" customFormat="1" ht="12">
      <c r="J556" s="52"/>
      <c r="U556" s="60"/>
    </row>
    <row r="557" spans="10:21" s="50" customFormat="1" ht="12">
      <c r="J557" s="52"/>
      <c r="U557" s="60"/>
    </row>
    <row r="558" spans="10:21" s="50" customFormat="1" ht="12">
      <c r="J558" s="52"/>
      <c r="U558" s="60"/>
    </row>
    <row r="559" spans="10:21" s="50" customFormat="1" ht="12">
      <c r="J559" s="52"/>
      <c r="U559" s="60"/>
    </row>
    <row r="560" spans="10:21" s="50" customFormat="1" ht="12">
      <c r="J560" s="52"/>
      <c r="U560" s="60"/>
    </row>
    <row r="561" spans="10:21" s="50" customFormat="1" ht="12">
      <c r="J561" s="52"/>
      <c r="U561" s="60"/>
    </row>
    <row r="562" spans="10:21" s="50" customFormat="1" ht="12">
      <c r="J562" s="52"/>
      <c r="U562" s="60"/>
    </row>
    <row r="563" spans="10:21" s="50" customFormat="1" ht="12">
      <c r="J563" s="52"/>
      <c r="U563" s="60"/>
    </row>
    <row r="564" spans="10:21" s="50" customFormat="1" ht="12">
      <c r="J564" s="52"/>
      <c r="U564" s="60"/>
    </row>
    <row r="565" spans="10:21" s="50" customFormat="1" ht="12">
      <c r="J565" s="52"/>
      <c r="U565" s="60"/>
    </row>
    <row r="566" spans="10:21" s="50" customFormat="1" ht="12">
      <c r="J566" s="52"/>
      <c r="U566" s="60"/>
    </row>
    <row r="567" spans="10:21" s="50" customFormat="1" ht="12">
      <c r="J567" s="52"/>
      <c r="U567" s="60"/>
    </row>
    <row r="568" spans="10:21" s="50" customFormat="1" ht="12">
      <c r="J568" s="52"/>
      <c r="U568" s="60"/>
    </row>
    <row r="569" spans="10:21" s="50" customFormat="1" ht="12">
      <c r="J569" s="52"/>
      <c r="U569" s="60"/>
    </row>
    <row r="570" spans="10:21" s="50" customFormat="1" ht="12">
      <c r="J570" s="52"/>
      <c r="U570" s="60"/>
    </row>
    <row r="571" spans="10:21" s="50" customFormat="1" ht="12">
      <c r="J571" s="52"/>
      <c r="U571" s="60"/>
    </row>
    <row r="572" spans="10:21" s="50" customFormat="1" ht="12">
      <c r="J572" s="52"/>
      <c r="U572" s="60"/>
    </row>
    <row r="573" spans="10:21" s="50" customFormat="1" ht="12">
      <c r="J573" s="52"/>
      <c r="U573" s="60"/>
    </row>
    <row r="574" spans="10:21" s="50" customFormat="1" ht="12">
      <c r="J574" s="52"/>
      <c r="U574" s="60"/>
    </row>
    <row r="575" spans="10:21" s="50" customFormat="1" ht="12">
      <c r="J575" s="52"/>
      <c r="U575" s="60"/>
    </row>
    <row r="576" spans="10:21" s="50" customFormat="1" ht="12">
      <c r="J576" s="52"/>
      <c r="U576" s="60"/>
    </row>
    <row r="577" spans="10:21" s="50" customFormat="1" ht="12">
      <c r="J577" s="52"/>
      <c r="U577" s="60"/>
    </row>
    <row r="578" spans="10:21" s="50" customFormat="1" ht="12">
      <c r="J578" s="52"/>
      <c r="U578" s="60"/>
    </row>
    <row r="579" spans="10:21" s="50" customFormat="1" ht="12">
      <c r="J579" s="52"/>
      <c r="U579" s="60"/>
    </row>
    <row r="580" spans="10:21" s="50" customFormat="1" ht="12">
      <c r="J580" s="52"/>
      <c r="U580" s="60"/>
    </row>
    <row r="581" spans="10:21" s="50" customFormat="1" ht="12">
      <c r="J581" s="52"/>
      <c r="U581" s="60"/>
    </row>
    <row r="582" spans="10:21" s="50" customFormat="1" ht="12">
      <c r="J582" s="52"/>
      <c r="U582" s="60"/>
    </row>
    <row r="583" spans="10:21" s="50" customFormat="1" ht="12">
      <c r="J583" s="52"/>
      <c r="U583" s="60"/>
    </row>
    <row r="584" spans="10:21" s="50" customFormat="1" ht="12">
      <c r="J584" s="52"/>
      <c r="U584" s="60"/>
    </row>
    <row r="585" spans="10:21" s="50" customFormat="1" ht="12">
      <c r="J585" s="52"/>
      <c r="U585" s="60"/>
    </row>
    <row r="586" spans="10:21" s="50" customFormat="1" ht="12">
      <c r="J586" s="52"/>
      <c r="U586" s="60"/>
    </row>
    <row r="587" spans="10:21" s="50" customFormat="1" ht="12">
      <c r="J587" s="52"/>
      <c r="U587" s="60"/>
    </row>
    <row r="588" spans="10:21" s="50" customFormat="1" ht="12">
      <c r="J588" s="52"/>
      <c r="U588" s="60"/>
    </row>
    <row r="589" spans="10:21" s="50" customFormat="1" ht="12">
      <c r="J589" s="52"/>
      <c r="U589" s="60"/>
    </row>
    <row r="590" spans="10:21" s="50" customFormat="1" ht="12">
      <c r="J590" s="52"/>
      <c r="U590" s="60"/>
    </row>
    <row r="591" spans="10:21" s="50" customFormat="1" ht="12">
      <c r="J591" s="52"/>
      <c r="U591" s="60"/>
    </row>
    <row r="592" spans="10:21" s="50" customFormat="1" ht="12">
      <c r="J592" s="52"/>
      <c r="U592" s="60"/>
    </row>
    <row r="593" spans="10:21" s="50" customFormat="1" ht="12">
      <c r="J593" s="52"/>
      <c r="U593" s="60"/>
    </row>
    <row r="594" spans="10:21" s="50" customFormat="1" ht="12">
      <c r="J594" s="52"/>
      <c r="U594" s="60"/>
    </row>
    <row r="595" spans="10:21" s="50" customFormat="1" ht="12">
      <c r="J595" s="52"/>
      <c r="U595" s="60"/>
    </row>
    <row r="596" spans="10:21" s="50" customFormat="1" ht="12">
      <c r="J596" s="52"/>
      <c r="U596" s="60"/>
    </row>
    <row r="597" spans="10:21" s="50" customFormat="1" ht="12">
      <c r="J597" s="52"/>
      <c r="U597" s="60"/>
    </row>
    <row r="598" spans="10:21" s="50" customFormat="1" ht="12">
      <c r="J598" s="52"/>
      <c r="U598" s="60"/>
    </row>
    <row r="599" spans="10:21" s="50" customFormat="1" ht="12">
      <c r="J599" s="52"/>
      <c r="U599" s="60"/>
    </row>
    <row r="600" spans="10:21" s="50" customFormat="1" ht="12">
      <c r="J600" s="52"/>
      <c r="U600" s="60"/>
    </row>
    <row r="601" spans="10:21" s="50" customFormat="1" ht="12">
      <c r="J601" s="52"/>
      <c r="U601" s="60"/>
    </row>
    <row r="602" spans="10:21" s="50" customFormat="1" ht="12">
      <c r="J602" s="52"/>
      <c r="U602" s="60"/>
    </row>
    <row r="603" spans="10:21" s="50" customFormat="1" ht="12">
      <c r="J603" s="52"/>
      <c r="U603" s="60"/>
    </row>
    <row r="604" spans="10:21" s="50" customFormat="1" ht="12">
      <c r="J604" s="52"/>
      <c r="U604" s="60"/>
    </row>
    <row r="605" spans="10:21" s="50" customFormat="1" ht="12">
      <c r="J605" s="52"/>
      <c r="U605" s="60"/>
    </row>
    <row r="606" spans="10:21" s="50" customFormat="1" ht="12">
      <c r="J606" s="52"/>
      <c r="U606" s="60"/>
    </row>
    <row r="607" spans="10:21" s="50" customFormat="1" ht="12">
      <c r="J607" s="52"/>
      <c r="U607" s="60"/>
    </row>
    <row r="608" spans="10:21" s="50" customFormat="1" ht="12">
      <c r="J608" s="52"/>
      <c r="U608" s="60"/>
    </row>
    <row r="609" spans="10:21" s="50" customFormat="1" ht="12">
      <c r="J609" s="52"/>
      <c r="U609" s="60"/>
    </row>
    <row r="610" spans="10:21" s="50" customFormat="1" ht="12">
      <c r="J610" s="52"/>
      <c r="L610" s="46"/>
      <c r="M610" s="46"/>
      <c r="N610" s="46"/>
      <c r="O610" s="46"/>
      <c r="P610" s="46"/>
      <c r="U610" s="60"/>
    </row>
    <row r="611" spans="10:21" s="50" customFormat="1" ht="12">
      <c r="J611" s="52"/>
      <c r="L611" s="46"/>
      <c r="M611" s="46"/>
      <c r="N611" s="46"/>
      <c r="O611" s="46"/>
      <c r="P611" s="46"/>
      <c r="U611" s="60"/>
    </row>
    <row r="612" spans="10:21" s="50" customFormat="1" ht="12">
      <c r="J612" s="52"/>
      <c r="L612" s="46"/>
      <c r="M612" s="46"/>
      <c r="N612" s="46"/>
      <c r="O612" s="46"/>
      <c r="P612" s="46"/>
      <c r="U612" s="60"/>
    </row>
    <row r="613" spans="10:21" s="50" customFormat="1" ht="12">
      <c r="J613" s="52"/>
      <c r="L613" s="46"/>
      <c r="M613" s="46"/>
      <c r="N613" s="46"/>
      <c r="O613" s="46"/>
      <c r="P613" s="46"/>
      <c r="U613" s="60"/>
    </row>
    <row r="614" spans="10:21" s="50" customFormat="1" ht="12">
      <c r="J614" s="52"/>
      <c r="L614" s="46"/>
      <c r="M614" s="46"/>
      <c r="N614" s="46"/>
      <c r="O614" s="46"/>
      <c r="P614" s="46"/>
      <c r="U614" s="60"/>
    </row>
    <row r="615" spans="10:21" s="50" customFormat="1" ht="12">
      <c r="J615" s="52"/>
      <c r="L615" s="46"/>
      <c r="M615" s="46"/>
      <c r="N615" s="46"/>
      <c r="O615" s="46"/>
      <c r="P615" s="46"/>
      <c r="U615" s="60"/>
    </row>
    <row r="616" spans="10:21" s="50" customFormat="1" ht="12">
      <c r="J616" s="52"/>
      <c r="L616" s="46"/>
      <c r="M616" s="46"/>
      <c r="N616" s="46"/>
      <c r="O616" s="46"/>
      <c r="P616" s="46"/>
      <c r="U616" s="60"/>
    </row>
    <row r="617" spans="10:21" s="50" customFormat="1" ht="12">
      <c r="J617" s="52"/>
      <c r="L617" s="46"/>
      <c r="M617" s="46"/>
      <c r="N617" s="46"/>
      <c r="O617" s="46"/>
      <c r="P617" s="46"/>
      <c r="U617" s="60"/>
    </row>
    <row r="618" spans="10:21" s="50" customFormat="1" ht="12">
      <c r="J618" s="52"/>
      <c r="L618" s="46"/>
      <c r="M618" s="46"/>
      <c r="N618" s="46"/>
      <c r="O618" s="46"/>
      <c r="P618" s="46"/>
      <c r="U618" s="60"/>
    </row>
    <row r="619" spans="10:21" s="50" customFormat="1" ht="12">
      <c r="J619" s="52"/>
      <c r="L619" s="46"/>
      <c r="M619" s="46"/>
      <c r="N619" s="46"/>
      <c r="O619" s="46"/>
      <c r="P619" s="46"/>
      <c r="U619" s="60"/>
    </row>
    <row r="620" spans="10:21" s="50" customFormat="1" ht="12">
      <c r="J620" s="52"/>
      <c r="L620" s="46"/>
      <c r="M620" s="46"/>
      <c r="N620" s="46"/>
      <c r="O620" s="46"/>
      <c r="P620" s="46"/>
      <c r="U620" s="60"/>
    </row>
    <row r="621" spans="10:21" s="50" customFormat="1" ht="12">
      <c r="J621" s="52"/>
      <c r="L621" s="46"/>
      <c r="M621" s="46"/>
      <c r="N621" s="46"/>
      <c r="O621" s="46"/>
      <c r="P621" s="46"/>
      <c r="U621" s="60"/>
    </row>
    <row r="622" spans="10:21" s="50" customFormat="1" ht="12">
      <c r="J622" s="52"/>
      <c r="L622" s="46"/>
      <c r="M622" s="46"/>
      <c r="N622" s="46"/>
      <c r="O622" s="46"/>
      <c r="P622" s="46"/>
      <c r="Q622" s="46"/>
      <c r="U622" s="60"/>
    </row>
    <row r="623" spans="10:21" s="50" customFormat="1" ht="12">
      <c r="J623" s="52"/>
      <c r="L623" s="46"/>
      <c r="M623" s="46"/>
      <c r="N623" s="46"/>
      <c r="O623" s="46"/>
      <c r="P623" s="46"/>
      <c r="Q623" s="46"/>
      <c r="U623" s="60"/>
    </row>
    <row r="624" spans="10:21" s="50" customFormat="1" ht="12">
      <c r="J624" s="52"/>
      <c r="L624" s="46"/>
      <c r="M624" s="46"/>
      <c r="N624" s="46"/>
      <c r="O624" s="46"/>
      <c r="P624" s="46"/>
      <c r="Q624" s="46"/>
      <c r="U624" s="60"/>
    </row>
    <row r="625" spans="10:21" s="50" customFormat="1" ht="12">
      <c r="J625" s="52"/>
      <c r="L625" s="46"/>
      <c r="M625" s="46"/>
      <c r="N625" s="46"/>
      <c r="O625" s="46"/>
      <c r="P625" s="46"/>
      <c r="Q625" s="46"/>
      <c r="U625" s="60"/>
    </row>
    <row r="626" spans="10:21" s="50" customFormat="1" ht="12">
      <c r="J626" s="52"/>
      <c r="L626" s="46"/>
      <c r="M626" s="46"/>
      <c r="N626" s="46"/>
      <c r="O626" s="46"/>
      <c r="P626" s="46"/>
      <c r="Q626" s="46"/>
      <c r="U626" s="60"/>
    </row>
    <row r="627" spans="10:21" s="50" customFormat="1" ht="12">
      <c r="J627" s="52"/>
      <c r="L627" s="46"/>
      <c r="M627" s="46"/>
      <c r="N627" s="46"/>
      <c r="O627" s="46"/>
      <c r="P627" s="46"/>
      <c r="Q627" s="46"/>
      <c r="U627" s="60"/>
    </row>
    <row r="628" spans="10:21" s="50" customFormat="1" ht="12">
      <c r="J628" s="52"/>
      <c r="L628" s="46"/>
      <c r="M628" s="46"/>
      <c r="N628" s="46"/>
      <c r="O628" s="46"/>
      <c r="P628" s="46"/>
      <c r="Q628" s="46"/>
      <c r="U628" s="60"/>
    </row>
    <row r="629" spans="10:21" s="50" customFormat="1" ht="12">
      <c r="J629" s="52"/>
      <c r="L629" s="46"/>
      <c r="M629" s="46"/>
      <c r="N629" s="46"/>
      <c r="O629" s="46"/>
      <c r="P629" s="46"/>
      <c r="Q629" s="46"/>
      <c r="U629" s="60"/>
    </row>
    <row r="630" spans="10:21" s="50" customFormat="1" ht="12">
      <c r="J630" s="52"/>
      <c r="L630" s="46"/>
      <c r="M630" s="46"/>
      <c r="N630" s="46"/>
      <c r="O630" s="46"/>
      <c r="P630" s="46"/>
      <c r="Q630" s="46"/>
      <c r="U630" s="60"/>
    </row>
    <row r="631" spans="10:21" s="50" customFormat="1" ht="12">
      <c r="J631" s="52"/>
      <c r="L631" s="46"/>
      <c r="M631" s="46"/>
      <c r="N631" s="46"/>
      <c r="O631" s="46"/>
      <c r="P631" s="46"/>
      <c r="Q631" s="46"/>
      <c r="U631" s="60"/>
    </row>
    <row r="632" spans="10:21" s="50" customFormat="1" ht="12">
      <c r="J632" s="52"/>
      <c r="L632" s="46"/>
      <c r="M632" s="46"/>
      <c r="N632" s="46"/>
      <c r="O632" s="46"/>
      <c r="P632" s="46"/>
      <c r="Q632" s="46"/>
      <c r="U632" s="60"/>
    </row>
    <row r="633" spans="10:21" s="50" customFormat="1" ht="12">
      <c r="J633" s="52"/>
      <c r="L633" s="46"/>
      <c r="M633" s="46"/>
      <c r="N633" s="46"/>
      <c r="O633" s="46"/>
      <c r="P633" s="46"/>
      <c r="Q633" s="46"/>
      <c r="U633" s="60"/>
    </row>
    <row r="634" spans="10:21" s="50" customFormat="1" ht="12">
      <c r="J634" s="52"/>
      <c r="L634" s="46"/>
      <c r="M634" s="46"/>
      <c r="N634" s="46"/>
      <c r="O634" s="46"/>
      <c r="P634" s="46"/>
      <c r="Q634" s="46"/>
      <c r="U634" s="60"/>
    </row>
    <row r="635" spans="10:21" s="50" customFormat="1" ht="12">
      <c r="J635" s="52"/>
      <c r="L635" s="46"/>
      <c r="M635" s="46"/>
      <c r="N635" s="46"/>
      <c r="O635" s="46"/>
      <c r="P635" s="46"/>
      <c r="Q635" s="46"/>
      <c r="U635" s="60"/>
    </row>
    <row r="636" spans="10:21" s="50" customFormat="1" ht="12">
      <c r="J636" s="52"/>
      <c r="L636" s="46"/>
      <c r="M636" s="46"/>
      <c r="N636" s="46"/>
      <c r="O636" s="46"/>
      <c r="P636" s="46"/>
      <c r="Q636" s="46"/>
      <c r="U636" s="60"/>
    </row>
    <row r="637" spans="10:21" s="50" customFormat="1" ht="12">
      <c r="J637" s="52"/>
      <c r="L637" s="46"/>
      <c r="M637" s="46"/>
      <c r="N637" s="46"/>
      <c r="O637" s="46"/>
      <c r="P637" s="46"/>
      <c r="Q637" s="46"/>
      <c r="U637" s="60"/>
    </row>
    <row r="638" spans="10:21" s="50" customFormat="1" ht="12">
      <c r="J638" s="52"/>
      <c r="K638" s="46"/>
      <c r="L638" s="46"/>
      <c r="M638" s="46"/>
      <c r="N638" s="46"/>
      <c r="O638" s="46"/>
      <c r="P638" s="46"/>
      <c r="Q638" s="46"/>
      <c r="U638" s="60"/>
    </row>
    <row r="639" spans="10:21" s="50" customFormat="1" ht="12">
      <c r="J639" s="52"/>
      <c r="K639" s="46"/>
      <c r="L639" s="46"/>
      <c r="M639" s="46"/>
      <c r="N639" s="46"/>
      <c r="O639" s="46"/>
      <c r="P639" s="46"/>
      <c r="Q639" s="46"/>
      <c r="U639" s="60"/>
    </row>
    <row r="640" spans="10:21" s="50" customFormat="1" ht="12">
      <c r="J640" s="52"/>
      <c r="K640" s="46"/>
      <c r="L640" s="46"/>
      <c r="M640" s="46"/>
      <c r="N640" s="46"/>
      <c r="O640" s="46"/>
      <c r="P640" s="46"/>
      <c r="Q640" s="46"/>
      <c r="U640" s="60"/>
    </row>
    <row r="641" spans="9:21" s="50" customFormat="1" ht="12">
      <c r="J641" s="52"/>
      <c r="K641" s="46"/>
      <c r="L641" s="46"/>
      <c r="M641" s="46"/>
      <c r="N641" s="46"/>
      <c r="O641" s="46"/>
      <c r="P641" s="46"/>
      <c r="Q641" s="46"/>
      <c r="U641" s="60"/>
    </row>
    <row r="642" spans="9:21" s="50" customFormat="1" ht="12">
      <c r="J642" s="52"/>
      <c r="K642" s="46"/>
      <c r="L642" s="46"/>
      <c r="M642" s="46"/>
      <c r="N642" s="46"/>
      <c r="O642" s="46"/>
      <c r="P642" s="46"/>
      <c r="Q642" s="46"/>
      <c r="U642" s="60"/>
    </row>
    <row r="643" spans="9:21" s="50" customFormat="1" ht="12">
      <c r="J643" s="52"/>
      <c r="K643" s="46"/>
      <c r="L643" s="46"/>
      <c r="M643" s="46"/>
      <c r="N643" s="46"/>
      <c r="O643" s="46"/>
      <c r="P643" s="46"/>
      <c r="Q643" s="46"/>
      <c r="U643" s="60"/>
    </row>
    <row r="644" spans="9:21" s="50" customFormat="1" ht="12">
      <c r="J644" s="52"/>
      <c r="K644" s="46"/>
      <c r="L644" s="46"/>
      <c r="M644" s="46"/>
      <c r="N644" s="46"/>
      <c r="O644" s="46"/>
      <c r="P644" s="46"/>
      <c r="Q644" s="46"/>
      <c r="U644" s="60"/>
    </row>
    <row r="645" spans="9:21" s="50" customFormat="1" ht="12">
      <c r="J645" s="52"/>
      <c r="K645" s="46"/>
      <c r="L645" s="46"/>
      <c r="M645" s="46"/>
      <c r="N645" s="46"/>
      <c r="O645" s="46"/>
      <c r="P645" s="46"/>
      <c r="Q645" s="46"/>
      <c r="U645" s="60"/>
    </row>
    <row r="646" spans="9:21" s="50" customFormat="1" ht="12">
      <c r="J646" s="52"/>
      <c r="K646" s="46"/>
      <c r="L646" s="46"/>
      <c r="M646" s="46"/>
      <c r="N646" s="46"/>
      <c r="O646" s="46"/>
      <c r="P646" s="46"/>
      <c r="Q646" s="46"/>
      <c r="U646" s="60"/>
    </row>
    <row r="647" spans="9:21" s="50" customFormat="1" ht="12">
      <c r="J647" s="52"/>
      <c r="K647" s="46"/>
      <c r="L647" s="46"/>
      <c r="M647" s="46"/>
      <c r="N647" s="46"/>
      <c r="O647" s="46"/>
      <c r="P647" s="46"/>
      <c r="Q647" s="46"/>
      <c r="U647" s="60"/>
    </row>
    <row r="648" spans="9:21" s="50" customFormat="1" ht="12">
      <c r="J648" s="52"/>
      <c r="K648" s="46"/>
      <c r="L648" s="46"/>
      <c r="M648" s="46"/>
      <c r="N648" s="46"/>
      <c r="O648" s="46"/>
      <c r="P648" s="46"/>
      <c r="Q648" s="46"/>
      <c r="U648" s="60"/>
    </row>
    <row r="649" spans="9:21" s="50" customFormat="1" ht="12">
      <c r="J649" s="52"/>
      <c r="K649" s="46"/>
      <c r="L649" s="46"/>
      <c r="M649" s="46"/>
      <c r="N649" s="46"/>
      <c r="O649" s="46"/>
      <c r="P649" s="46"/>
      <c r="Q649" s="46"/>
      <c r="U649" s="60"/>
    </row>
    <row r="650" spans="9:21">
      <c r="I650" s="46"/>
      <c r="J650" s="52"/>
    </row>
    <row r="651" spans="9:21">
      <c r="I651" s="46"/>
    </row>
    <row r="652" spans="9:21">
      <c r="I652" s="46"/>
    </row>
    <row r="653" spans="9:21">
      <c r="I653" s="46"/>
    </row>
    <row r="654" spans="9:21">
      <c r="I654" s="46"/>
    </row>
    <row r="655" spans="9:21">
      <c r="I655" s="46"/>
    </row>
    <row r="656" spans="9:21">
      <c r="I656" s="46"/>
    </row>
    <row r="657" spans="9:9">
      <c r="I657" s="46"/>
    </row>
    <row r="658" spans="9:9">
      <c r="I658" s="46"/>
    </row>
    <row r="659" spans="9:9">
      <c r="I659" s="46"/>
    </row>
    <row r="660" spans="9:9">
      <c r="I660" s="46"/>
    </row>
    <row r="661" spans="9:9">
      <c r="I661" s="46"/>
    </row>
    <row r="662" spans="9:9">
      <c r="I662" s="46"/>
    </row>
    <row r="663" spans="9:9">
      <c r="I663" s="46"/>
    </row>
    <row r="664" spans="9:9">
      <c r="I664" s="46"/>
    </row>
    <row r="665" spans="9:9">
      <c r="I665" s="46"/>
    </row>
    <row r="666" spans="9:9">
      <c r="I666" s="46"/>
    </row>
    <row r="667" spans="9:9">
      <c r="I667" s="46"/>
    </row>
    <row r="668" spans="9:9">
      <c r="I668" s="46"/>
    </row>
    <row r="669" spans="9:9">
      <c r="I669" s="46"/>
    </row>
    <row r="670" spans="9:9">
      <c r="I670" s="46"/>
    </row>
    <row r="671" spans="9:9">
      <c r="I671" s="46"/>
    </row>
    <row r="672" spans="9:9">
      <c r="I672" s="46"/>
    </row>
    <row r="673" spans="9:9">
      <c r="I673" s="46"/>
    </row>
    <row r="674" spans="9:9">
      <c r="I674" s="46"/>
    </row>
    <row r="675" spans="9:9">
      <c r="I675" s="46"/>
    </row>
    <row r="676" spans="9:9">
      <c r="I676" s="46"/>
    </row>
    <row r="677" spans="9:9">
      <c r="I677" s="46"/>
    </row>
    <row r="678" spans="9:9">
      <c r="I678" s="46"/>
    </row>
    <row r="679" spans="9:9">
      <c r="I679" s="46"/>
    </row>
    <row r="680" spans="9:9">
      <c r="I680" s="46"/>
    </row>
    <row r="681" spans="9:9">
      <c r="I681" s="46"/>
    </row>
    <row r="682" spans="9:9">
      <c r="I682" s="46"/>
    </row>
    <row r="683" spans="9:9">
      <c r="I683" s="46"/>
    </row>
    <row r="684" spans="9:9">
      <c r="I684" s="46"/>
    </row>
    <row r="685" spans="9:9">
      <c r="I685" s="46"/>
    </row>
    <row r="686" spans="9:9">
      <c r="I686" s="46"/>
    </row>
    <row r="687" spans="9:9">
      <c r="I687" s="46"/>
    </row>
    <row r="688" spans="9:9">
      <c r="I688" s="46"/>
    </row>
    <row r="689" spans="9:9">
      <c r="I689" s="46"/>
    </row>
    <row r="690" spans="9:9">
      <c r="I690" s="46"/>
    </row>
    <row r="691" spans="9:9">
      <c r="I691" s="46"/>
    </row>
    <row r="692" spans="9:9">
      <c r="I692" s="46"/>
    </row>
    <row r="693" spans="9:9">
      <c r="I693" s="46"/>
    </row>
    <row r="694" spans="9:9">
      <c r="I694" s="46"/>
    </row>
    <row r="695" spans="9:9">
      <c r="I695" s="46"/>
    </row>
    <row r="696" spans="9:9">
      <c r="I696" s="46"/>
    </row>
    <row r="697" spans="9:9">
      <c r="I697" s="46"/>
    </row>
    <row r="698" spans="9:9">
      <c r="I698" s="46"/>
    </row>
    <row r="699" spans="9:9">
      <c r="I699" s="46"/>
    </row>
    <row r="700" spans="9:9">
      <c r="I700" s="46"/>
    </row>
    <row r="701" spans="9:9">
      <c r="I701" s="46"/>
    </row>
    <row r="702" spans="9:9">
      <c r="I702" s="46"/>
    </row>
    <row r="703" spans="9:9">
      <c r="I703" s="46"/>
    </row>
    <row r="704" spans="9:9">
      <c r="I704" s="46"/>
    </row>
    <row r="705" spans="9:9">
      <c r="I705" s="46"/>
    </row>
    <row r="706" spans="9:9">
      <c r="I706" s="46"/>
    </row>
    <row r="707" spans="9:9">
      <c r="I707" s="46"/>
    </row>
    <row r="708" spans="9:9">
      <c r="I708" s="46"/>
    </row>
    <row r="709" spans="9:9">
      <c r="I709" s="46"/>
    </row>
    <row r="710" spans="9:9">
      <c r="I710" s="46"/>
    </row>
    <row r="711" spans="9:9">
      <c r="I711" s="46"/>
    </row>
    <row r="712" spans="9:9">
      <c r="I712" s="46"/>
    </row>
    <row r="713" spans="9:9">
      <c r="I713" s="46"/>
    </row>
    <row r="714" spans="9:9">
      <c r="I714" s="46"/>
    </row>
    <row r="715" spans="9:9">
      <c r="I715" s="46"/>
    </row>
  </sheetData>
  <mergeCells count="91"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  <mergeCell ref="D13:E13"/>
    <mergeCell ref="G13:H13"/>
    <mergeCell ref="D14:E14"/>
    <mergeCell ref="G14:H14"/>
    <mergeCell ref="D15:E15"/>
    <mergeCell ref="G15:H15"/>
    <mergeCell ref="D16:E16"/>
    <mergeCell ref="G16:H16"/>
    <mergeCell ref="D17:E17"/>
    <mergeCell ref="G17:H17"/>
    <mergeCell ref="D18:E18"/>
    <mergeCell ref="G18:H18"/>
    <mergeCell ref="D19:E19"/>
    <mergeCell ref="G19:H19"/>
    <mergeCell ref="D20:E20"/>
    <mergeCell ref="G20:H20"/>
    <mergeCell ref="D21:E21"/>
    <mergeCell ref="G21:H21"/>
    <mergeCell ref="D22:E22"/>
    <mergeCell ref="G22:H22"/>
    <mergeCell ref="D23:E23"/>
    <mergeCell ref="G23:H23"/>
    <mergeCell ref="D24:E24"/>
    <mergeCell ref="G24:H24"/>
    <mergeCell ref="D25:E25"/>
    <mergeCell ref="G25:H25"/>
    <mergeCell ref="D26:E26"/>
    <mergeCell ref="G26:H26"/>
    <mergeCell ref="D27:E27"/>
    <mergeCell ref="G27:H27"/>
    <mergeCell ref="D28:E28"/>
    <mergeCell ref="G28:H28"/>
    <mergeCell ref="D29:E29"/>
    <mergeCell ref="G29:H29"/>
    <mergeCell ref="D30:E30"/>
    <mergeCell ref="G30:H30"/>
    <mergeCell ref="D31:E31"/>
    <mergeCell ref="G31:H31"/>
    <mergeCell ref="D32:E32"/>
    <mergeCell ref="G32:H32"/>
    <mergeCell ref="D33:E33"/>
    <mergeCell ref="G33:H33"/>
    <mergeCell ref="D34:E34"/>
    <mergeCell ref="G34:H34"/>
    <mergeCell ref="D35:E35"/>
    <mergeCell ref="G35:H35"/>
    <mergeCell ref="D36:E36"/>
    <mergeCell ref="G36:H36"/>
    <mergeCell ref="D37:E37"/>
    <mergeCell ref="G37:H37"/>
    <mergeCell ref="D38:E38"/>
    <mergeCell ref="G38:H38"/>
    <mergeCell ref="D39:E39"/>
    <mergeCell ref="G39:H39"/>
    <mergeCell ref="D40:E40"/>
    <mergeCell ref="G40:H40"/>
    <mergeCell ref="D41:E41"/>
    <mergeCell ref="G41:H41"/>
    <mergeCell ref="D42:E42"/>
    <mergeCell ref="G42:H42"/>
    <mergeCell ref="D43:E43"/>
    <mergeCell ref="G43:H43"/>
    <mergeCell ref="D44:E44"/>
    <mergeCell ref="G44:H44"/>
    <mergeCell ref="D45:E45"/>
    <mergeCell ref="G45:H45"/>
    <mergeCell ref="D46:E46"/>
    <mergeCell ref="G46:H46"/>
    <mergeCell ref="D47:E47"/>
    <mergeCell ref="G47:H47"/>
    <mergeCell ref="D48:E48"/>
    <mergeCell ref="G48:H48"/>
    <mergeCell ref="D49:E49"/>
    <mergeCell ref="G49:H49"/>
    <mergeCell ref="D50:E50"/>
    <mergeCell ref="G50:H50"/>
    <mergeCell ref="D51:E51"/>
    <mergeCell ref="G51:H51"/>
  </mergeCells>
  <phoneticPr fontId="5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30" r:id="rId4" name="CommandButton4">
          <controlPr defaultSize="0" autoLine="0" autoPict="0" r:id="rId5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4" name="CommandButton4"/>
      </mc:Fallback>
    </mc:AlternateContent>
    <mc:AlternateContent xmlns:mc="http://schemas.openxmlformats.org/markup-compatibility/2006">
      <mc:Choice Requires="x14">
        <control shapeId="5129" r:id="rId6" name="ComboBox1">
          <controlPr defaultSize="0" autoLine="0" autoPict="0" r:id="rId7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6" name="ComboBox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1" r:id="rId10" name="CommandButton1">
          <controlPr defaultSize="0" autoLine="0" autoPict="0" r:id="rId11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10" name="CommandButton1"/>
      </mc:Fallback>
    </mc:AlternateContent>
    <mc:AlternateContent xmlns:mc="http://schemas.openxmlformats.org/markup-compatibility/2006">
      <mc:Choice Requires="x14">
        <control shapeId="5122" r:id="rId12" name="CommandButton2">
          <controlPr defaultSize="0" autoLine="0" autoPict="0" r:id="rId13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12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T1" sqref="T1"/>
    </sheetView>
  </sheetViews>
  <sheetFormatPr defaultColWidth="9" defaultRowHeight="12"/>
  <cols>
    <col min="1" max="1" width="5.25" style="46" customWidth="1"/>
    <col min="2" max="2" width="13.875" style="46" customWidth="1"/>
    <col min="3" max="3" width="10.875" style="46" customWidth="1"/>
    <col min="4" max="4" width="11.25" style="46" customWidth="1"/>
    <col min="5" max="5" width="0.125" style="46" customWidth="1"/>
    <col min="6" max="6" width="11.125" style="46" customWidth="1"/>
    <col min="7" max="7" width="13.125" style="46" customWidth="1"/>
    <col min="8" max="8" width="8.25" style="46" customWidth="1"/>
    <col min="9" max="9" width="8.625" style="46" customWidth="1"/>
    <col min="10" max="10" width="7.625" style="47" customWidth="1"/>
    <col min="11" max="11" width="9" style="47" customWidth="1"/>
    <col min="12" max="12" width="13.625" style="46" customWidth="1"/>
    <col min="13" max="14" width="10.125" style="46" bestFit="1" customWidth="1"/>
    <col min="15" max="15" width="8.625" style="46" customWidth="1"/>
    <col min="16" max="16" width="8" style="46" customWidth="1"/>
    <col min="17" max="17" width="9.75" style="46" customWidth="1"/>
    <col min="18" max="20" width="9" style="46"/>
    <col min="21" max="21" width="10.125" style="46" customWidth="1"/>
    <col min="22" max="22" width="10" style="46" customWidth="1"/>
    <col min="23" max="23" width="12.375" style="46" customWidth="1"/>
    <col min="24" max="24" width="5.375" style="46" customWidth="1"/>
    <col min="25" max="25" width="8.375" style="46" customWidth="1"/>
    <col min="26" max="26" width="9.875" style="46" customWidth="1"/>
    <col min="27" max="27" width="12.625" style="46" customWidth="1"/>
    <col min="28" max="28" width="6.375" style="90" customWidth="1"/>
    <col min="29" max="29" width="9" style="46" customWidth="1"/>
    <col min="30" max="30" width="8" style="46" customWidth="1"/>
    <col min="31" max="31" width="10.25" style="46" customWidth="1"/>
    <col min="32" max="33" width="10.125" style="46" bestFit="1" customWidth="1"/>
    <col min="34" max="16384" width="9" style="46"/>
  </cols>
  <sheetData>
    <row r="1" spans="1:38" s="50" customFormat="1" ht="31.5" customHeight="1">
      <c r="A1" s="154" t="s">
        <v>182</v>
      </c>
      <c r="B1" s="155"/>
      <c r="C1" s="155"/>
      <c r="D1" s="155"/>
      <c r="E1" s="155"/>
      <c r="F1" s="155"/>
      <c r="G1" s="155"/>
      <c r="H1" s="155"/>
      <c r="I1" s="155"/>
      <c r="J1" s="155"/>
      <c r="K1" s="52"/>
      <c r="L1" s="65" t="s">
        <v>183</v>
      </c>
      <c r="M1" s="66">
        <f>P1-R1</f>
        <v>3.9986755444104602</v>
      </c>
      <c r="N1" s="515" t="s">
        <v>184</v>
      </c>
      <c r="O1" s="515"/>
      <c r="P1" s="67">
        <f>StepTest!G41</f>
        <v>23.52</v>
      </c>
      <c r="Q1" s="68" t="s">
        <v>185</v>
      </c>
      <c r="R1" s="69">
        <f>G35</f>
        <v>19.521324455589539</v>
      </c>
      <c r="S1" s="403">
        <f>D7/2000</f>
        <v>0.125</v>
      </c>
      <c r="T1" s="402">
        <v>3.0183979517608415</v>
      </c>
      <c r="V1" s="304" t="s">
        <v>13</v>
      </c>
      <c r="W1" s="304" t="s">
        <v>28</v>
      </c>
      <c r="X1" s="304" t="s">
        <v>159</v>
      </c>
      <c r="Y1" s="304" t="s">
        <v>32</v>
      </c>
      <c r="Z1" s="304" t="s">
        <v>160</v>
      </c>
      <c r="AA1" s="304" t="s">
        <v>39</v>
      </c>
      <c r="AB1" s="305" t="s">
        <v>12</v>
      </c>
      <c r="AC1" s="304" t="s">
        <v>12</v>
      </c>
    </row>
    <row r="2" spans="1:38" s="50" customFormat="1" ht="21.6" customHeight="1">
      <c r="A2" s="156" t="str">
        <f>StepTest!A4</f>
        <v>조 사 명</v>
      </c>
      <c r="B2" s="156"/>
      <c r="C2" s="157" t="str">
        <f>StepTest!C4</f>
        <v>2023년 지하수영향조사 용역(북부)</v>
      </c>
      <c r="D2" s="158"/>
      <c r="E2" s="158"/>
      <c r="F2" s="158"/>
      <c r="G2" s="158"/>
      <c r="H2" s="158"/>
      <c r="I2" s="158"/>
      <c r="J2" s="159"/>
      <c r="K2" s="52"/>
      <c r="O2" s="50" t="s">
        <v>186</v>
      </c>
      <c r="P2" s="71">
        <f>G8</f>
        <v>33.200000000000003</v>
      </c>
      <c r="T2" s="50">
        <v>44</v>
      </c>
      <c r="U2" s="54">
        <f>B10</f>
        <v>160</v>
      </c>
      <c r="V2" s="54">
        <f>U2</f>
        <v>160</v>
      </c>
      <c r="W2" s="50">
        <f>T1</f>
        <v>3.0183979517608415</v>
      </c>
      <c r="X2" s="50">
        <f>StepTest!U4</f>
        <v>0.125</v>
      </c>
      <c r="Y2" s="50">
        <f>Input!A45</f>
        <v>5.0000000000000001E-4</v>
      </c>
      <c r="Z2" s="50">
        <f>E10</f>
        <v>6.9444444444444447E-4</v>
      </c>
      <c r="AA2" s="55">
        <f>D10</f>
        <v>1</v>
      </c>
      <c r="AB2" s="72">
        <f t="shared" ref="AB2:AB65" si="0">AC2+AD$2</f>
        <v>18.768275621290417</v>
      </c>
      <c r="AC2" s="56">
        <f>1.6*V2/(4*PI()*W2)*LOG10((2.25*W2*Z2)/(X2*X2*Y2))</f>
        <v>18.768275621290417</v>
      </c>
      <c r="AD2" s="70">
        <v>0</v>
      </c>
      <c r="AE2" s="55">
        <f>AA2</f>
        <v>1</v>
      </c>
      <c r="AF2" s="56">
        <f t="shared" ref="AF2:AF14" si="1">AC2-$P$3-O3</f>
        <v>2.2682757361067729</v>
      </c>
      <c r="AG2" s="56">
        <f>AC2</f>
        <v>18.768275621290417</v>
      </c>
    </row>
    <row r="3" spans="1:38" s="50" customFormat="1" ht="21.6" customHeight="1">
      <c r="A3" s="156" t="str">
        <f>StepTest!A5</f>
        <v>지 구 명</v>
      </c>
      <c r="B3" s="156"/>
      <c r="C3" s="157" t="str">
        <f>StepTest!C5</f>
        <v>오포지구</v>
      </c>
      <c r="D3" s="158"/>
      <c r="E3" s="158"/>
      <c r="F3" s="160"/>
      <c r="G3" s="158"/>
      <c r="H3" s="161" t="str">
        <f>StepTest!H5</f>
        <v>공  번 : W - 1</v>
      </c>
      <c r="I3" s="161"/>
      <c r="J3" s="162"/>
      <c r="K3" s="52"/>
      <c r="L3" s="73" t="s">
        <v>48</v>
      </c>
      <c r="M3" s="57">
        <f t="shared" ref="M3:M10" si="2">Q17</f>
        <v>0</v>
      </c>
      <c r="N3" s="74"/>
      <c r="O3" s="300"/>
      <c r="P3" s="302">
        <v>16.499999885183644</v>
      </c>
      <c r="V3" s="54">
        <f>V2</f>
        <v>160</v>
      </c>
      <c r="W3" s="50">
        <f>W$2</f>
        <v>3.0183979517608415</v>
      </c>
      <c r="X3" s="50">
        <f>X2</f>
        <v>0.125</v>
      </c>
      <c r="Y3" s="50">
        <f>Y$2</f>
        <v>5.0000000000000001E-4</v>
      </c>
      <c r="Z3" s="50">
        <f t="shared" ref="Z3:Z66" si="3">E11</f>
        <v>1.3888888888888889E-3</v>
      </c>
      <c r="AA3" s="55">
        <f t="shared" ref="AA3:AA66" si="4">D11</f>
        <v>2</v>
      </c>
      <c r="AB3" s="72">
        <f t="shared" si="0"/>
        <v>20.799993377564348</v>
      </c>
      <c r="AC3" s="56">
        <f t="shared" ref="AC3:AC40" si="5">1.6*V3/(4*PI()*W3)*LOG10((2.25*W3*Z3)/(X3*X3*Y3))</f>
        <v>20.799993377564348</v>
      </c>
      <c r="AD3" s="56">
        <f>AB69</f>
        <v>39.399999885183647</v>
      </c>
      <c r="AE3" s="55">
        <f t="shared" ref="AE3:AE66" si="6">AA3</f>
        <v>2</v>
      </c>
      <c r="AF3" s="56">
        <f t="shared" si="1"/>
        <v>4.2999934923807039</v>
      </c>
      <c r="AG3" s="56">
        <f t="shared" ref="AG3:AG16" si="7">AC3</f>
        <v>20.799993377564348</v>
      </c>
    </row>
    <row r="4" spans="1:38" s="50" customFormat="1" ht="21.6" customHeight="1">
      <c r="A4" s="156" t="str">
        <f>StepTest!A6</f>
        <v>위    치</v>
      </c>
      <c r="B4" s="156"/>
      <c r="C4" s="157" t="str">
        <f>StepTest!C6</f>
        <v>충청남도 보령시 오천면 오포리 409-1</v>
      </c>
      <c r="D4" s="161"/>
      <c r="E4" s="161"/>
      <c r="F4" s="158"/>
      <c r="G4" s="158"/>
      <c r="H4" s="158"/>
      <c r="I4" s="158"/>
      <c r="J4" s="159"/>
      <c r="K4" s="52"/>
      <c r="L4" s="73" t="s">
        <v>187</v>
      </c>
      <c r="M4" s="57">
        <f t="shared" si="2"/>
        <v>-0.23</v>
      </c>
      <c r="N4" s="74"/>
      <c r="O4" s="301"/>
      <c r="P4" s="301"/>
      <c r="V4" s="54">
        <f t="shared" ref="V4:V67" si="8">V3</f>
        <v>160</v>
      </c>
      <c r="W4" s="50">
        <f t="shared" ref="W4:W67" si="9">W$2</f>
        <v>3.0183979517608415</v>
      </c>
      <c r="X4" s="50">
        <f t="shared" ref="X4:X67" si="10">X3</f>
        <v>0.125</v>
      </c>
      <c r="Y4" s="50">
        <f t="shared" ref="Y4:Y67" si="11">Y$2</f>
        <v>5.0000000000000001E-4</v>
      </c>
      <c r="Z4" s="50">
        <f t="shared" si="3"/>
        <v>2.0833333333333333E-3</v>
      </c>
      <c r="AA4" s="55">
        <f t="shared" si="4"/>
        <v>3</v>
      </c>
      <c r="AB4" s="72">
        <f t="shared" si="0"/>
        <v>21.988472077033926</v>
      </c>
      <c r="AC4" s="56">
        <f>1.6*V4/(4*PI()*W4)*LOG10((2.25*W4*Z4)/(X4*X4*Y4))</f>
        <v>21.988472077033926</v>
      </c>
      <c r="AD4" s="56">
        <f>AC69</f>
        <v>39.399999885183647</v>
      </c>
      <c r="AE4" s="55">
        <f t="shared" si="6"/>
        <v>3</v>
      </c>
      <c r="AF4" s="56">
        <f t="shared" si="1"/>
        <v>5.4884721918502812</v>
      </c>
      <c r="AG4" s="56">
        <f t="shared" si="7"/>
        <v>21.988472077033926</v>
      </c>
    </row>
    <row r="5" spans="1:38" s="50" customFormat="1" ht="21.6" customHeight="1">
      <c r="A5" s="156" t="str">
        <f>StepTest!A7</f>
        <v>조 사 자</v>
      </c>
      <c r="B5" s="156"/>
      <c r="C5" s="163" t="str">
        <f>StepTest!C7</f>
        <v xml:space="preserve">산수개발(주) </v>
      </c>
      <c r="D5" s="338"/>
      <c r="E5" s="158"/>
      <c r="F5" s="164" t="s">
        <v>170</v>
      </c>
      <c r="G5" s="165">
        <f>Input!I50</f>
        <v>0</v>
      </c>
      <c r="H5" s="166"/>
      <c r="I5" s="166"/>
      <c r="J5" s="166"/>
      <c r="K5" s="52"/>
      <c r="L5" s="73" t="s">
        <v>188</v>
      </c>
      <c r="M5" s="57">
        <f t="shared" si="2"/>
        <v>-1.31</v>
      </c>
      <c r="N5" s="74"/>
      <c r="O5" s="301"/>
      <c r="P5" s="301"/>
      <c r="V5" s="54">
        <f t="shared" si="8"/>
        <v>160</v>
      </c>
      <c r="W5" s="50">
        <f t="shared" si="9"/>
        <v>3.0183979517608415</v>
      </c>
      <c r="X5" s="50">
        <f t="shared" si="10"/>
        <v>0.125</v>
      </c>
      <c r="Y5" s="50">
        <f t="shared" si="11"/>
        <v>5.0000000000000001E-4</v>
      </c>
      <c r="Z5" s="50">
        <f t="shared" si="3"/>
        <v>2.7777777777777779E-3</v>
      </c>
      <c r="AA5" s="55">
        <f t="shared" si="4"/>
        <v>4</v>
      </c>
      <c r="AB5" s="72">
        <f t="shared" si="0"/>
        <v>22.831711133838279</v>
      </c>
      <c r="AC5" s="56">
        <f t="shared" si="5"/>
        <v>22.831711133838279</v>
      </c>
      <c r="AD5" s="56">
        <f>AF69</f>
        <v>22.900000000000002</v>
      </c>
      <c r="AE5" s="55">
        <f t="shared" si="6"/>
        <v>4</v>
      </c>
      <c r="AF5" s="56">
        <f t="shared" si="1"/>
        <v>6.331711248654635</v>
      </c>
      <c r="AG5" s="56">
        <f t="shared" si="7"/>
        <v>22.831711133838279</v>
      </c>
    </row>
    <row r="6" spans="1:38" s="50" customFormat="1" ht="21.6" customHeight="1">
      <c r="A6" s="156" t="str">
        <f>StepTest!A8</f>
        <v>수중모타</v>
      </c>
      <c r="B6" s="156"/>
      <c r="C6" s="516">
        <f>StepTest!C8</f>
        <v>5</v>
      </c>
      <c r="D6" s="516"/>
      <c r="E6" s="517"/>
      <c r="F6" s="164" t="s">
        <v>166</v>
      </c>
      <c r="G6" s="165" t="str">
        <f>Input!I51</f>
        <v>개발시 적정채수량으로 적용 =</v>
      </c>
      <c r="H6" s="166"/>
      <c r="I6" s="166"/>
      <c r="J6" s="166"/>
      <c r="K6" s="52">
        <v>0.2</v>
      </c>
      <c r="L6" s="303">
        <v>0.2</v>
      </c>
      <c r="M6" s="57">
        <f t="shared" si="2"/>
        <v>-2.72</v>
      </c>
      <c r="N6" s="74"/>
      <c r="O6" s="301"/>
      <c r="P6" s="301"/>
      <c r="V6" s="54">
        <f t="shared" si="8"/>
        <v>160</v>
      </c>
      <c r="W6" s="50">
        <f t="shared" si="9"/>
        <v>3.0183979517608415</v>
      </c>
      <c r="X6" s="50">
        <f t="shared" si="10"/>
        <v>0.125</v>
      </c>
      <c r="Y6" s="50">
        <f t="shared" si="11"/>
        <v>5.0000000000000001E-4</v>
      </c>
      <c r="Z6" s="50">
        <f t="shared" si="3"/>
        <v>3.472222222222222E-3</v>
      </c>
      <c r="AA6" s="55">
        <f t="shared" si="4"/>
        <v>5</v>
      </c>
      <c r="AB6" s="72">
        <f t="shared" si="0"/>
        <v>23.485778160464371</v>
      </c>
      <c r="AC6" s="56">
        <f t="shared" si="5"/>
        <v>23.485778160464371</v>
      </c>
      <c r="AE6" s="55">
        <f t="shared" si="6"/>
        <v>5</v>
      </c>
      <c r="AF6" s="56">
        <f t="shared" si="1"/>
        <v>6.985778275280726</v>
      </c>
      <c r="AG6" s="56">
        <f t="shared" si="7"/>
        <v>23.485778160464371</v>
      </c>
      <c r="AL6" s="50">
        <f>10*(2.54/2/100)</f>
        <v>0.127</v>
      </c>
    </row>
    <row r="7" spans="1:38" s="50" customFormat="1" ht="21.6" customHeight="1">
      <c r="A7" s="156" t="str">
        <f>StepTest!A9</f>
        <v>우물현황</v>
      </c>
      <c r="B7" s="156"/>
      <c r="C7" s="167" t="str">
        <f>StepTest!C9</f>
        <v>직     경</v>
      </c>
      <c r="D7" s="168">
        <f>StepTest!D9</f>
        <v>250</v>
      </c>
      <c r="E7" s="169"/>
      <c r="F7" s="170" t="s">
        <v>169</v>
      </c>
      <c r="G7" s="171">
        <f>StepTest!G9</f>
        <v>100</v>
      </c>
      <c r="H7" s="158"/>
      <c r="I7" s="158"/>
      <c r="J7" s="159"/>
      <c r="K7" s="52"/>
      <c r="M7" s="57">
        <f t="shared" si="2"/>
        <v>-4.33</v>
      </c>
      <c r="N7" s="74"/>
      <c r="O7" s="301"/>
      <c r="P7" s="301"/>
      <c r="V7" s="54">
        <f t="shared" si="8"/>
        <v>160</v>
      </c>
      <c r="W7" s="50">
        <f t="shared" si="9"/>
        <v>3.0183979517608415</v>
      </c>
      <c r="X7" s="50">
        <f t="shared" si="10"/>
        <v>0.125</v>
      </c>
      <c r="Y7" s="50">
        <f t="shared" si="11"/>
        <v>5.0000000000000001E-4</v>
      </c>
      <c r="Z7" s="50">
        <f t="shared" si="3"/>
        <v>6.9444444444444441E-3</v>
      </c>
      <c r="AA7" s="55">
        <f t="shared" si="4"/>
        <v>10</v>
      </c>
      <c r="AB7" s="72">
        <f t="shared" si="0"/>
        <v>25.517495916738305</v>
      </c>
      <c r="AC7" s="56">
        <f t="shared" si="5"/>
        <v>25.517495916738305</v>
      </c>
      <c r="AE7" s="55">
        <f t="shared" si="6"/>
        <v>10</v>
      </c>
      <c r="AF7" s="56">
        <f t="shared" si="1"/>
        <v>9.0174960315546606</v>
      </c>
      <c r="AG7" s="56">
        <f t="shared" si="7"/>
        <v>25.517495916738305</v>
      </c>
      <c r="AL7" s="50">
        <f>AL6*2</f>
        <v>0.254</v>
      </c>
    </row>
    <row r="8" spans="1:38" s="50" customFormat="1" ht="21.6" customHeight="1">
      <c r="A8" s="156" t="str">
        <f>StepTest!A10</f>
        <v>양수시험</v>
      </c>
      <c r="B8" s="156"/>
      <c r="C8" s="172" t="s">
        <v>189</v>
      </c>
      <c r="D8" s="173">
        <f>StepTest!D10</f>
        <v>10.3</v>
      </c>
      <c r="E8" s="169"/>
      <c r="F8" s="170" t="s">
        <v>190</v>
      </c>
      <c r="G8" s="174">
        <f>F77</f>
        <v>33.200000000000003</v>
      </c>
      <c r="H8" s="166">
        <f>Input!C40</f>
        <v>160</v>
      </c>
      <c r="I8" s="166"/>
      <c r="J8" s="156"/>
      <c r="K8" s="530">
        <f>Input!M50</f>
        <v>32.900000000000006</v>
      </c>
      <c r="L8" s="379">
        <f>G10-K11</f>
        <v>0.23655797983284188</v>
      </c>
      <c r="M8" s="57">
        <f t="shared" si="2"/>
        <v>-13.62</v>
      </c>
      <c r="N8" s="74"/>
      <c r="O8" s="301"/>
      <c r="P8" s="301"/>
      <c r="V8" s="54">
        <f t="shared" si="8"/>
        <v>160</v>
      </c>
      <c r="W8" s="50">
        <f t="shared" si="9"/>
        <v>3.0183979517608415</v>
      </c>
      <c r="X8" s="50">
        <f t="shared" si="10"/>
        <v>0.125</v>
      </c>
      <c r="Y8" s="50">
        <f t="shared" si="11"/>
        <v>5.0000000000000001E-4</v>
      </c>
      <c r="Z8" s="50">
        <f t="shared" si="3"/>
        <v>1.0416666666666666E-2</v>
      </c>
      <c r="AA8" s="55">
        <f t="shared" si="4"/>
        <v>15</v>
      </c>
      <c r="AB8" s="72">
        <f t="shared" si="0"/>
        <v>26.705974616207879</v>
      </c>
      <c r="AC8" s="56">
        <f t="shared" si="5"/>
        <v>26.705974616207879</v>
      </c>
      <c r="AE8" s="55">
        <f t="shared" si="6"/>
        <v>15</v>
      </c>
      <c r="AF8" s="56">
        <f t="shared" si="1"/>
        <v>10.205974731024234</v>
      </c>
      <c r="AG8" s="56">
        <f t="shared" si="7"/>
        <v>26.705974616207879</v>
      </c>
    </row>
    <row r="9" spans="1:38" s="50" customFormat="1" ht="21.6" customHeight="1">
      <c r="A9" s="170" t="s">
        <v>171</v>
      </c>
      <c r="B9" s="175" t="s">
        <v>172</v>
      </c>
      <c r="C9" s="172" t="s">
        <v>191</v>
      </c>
      <c r="D9" s="518" t="s">
        <v>174</v>
      </c>
      <c r="E9" s="518"/>
      <c r="F9" s="175" t="s">
        <v>175</v>
      </c>
      <c r="G9" s="175" t="s">
        <v>176</v>
      </c>
      <c r="H9" s="176"/>
      <c r="I9" s="176"/>
      <c r="J9" s="176"/>
      <c r="K9" s="531">
        <f>G8-D8</f>
        <v>22.900000000000002</v>
      </c>
      <c r="M9" s="57">
        <f t="shared" si="2"/>
        <v>-23.75</v>
      </c>
      <c r="N9" s="74"/>
      <c r="O9" s="301"/>
      <c r="P9" s="301"/>
      <c r="V9" s="54">
        <f t="shared" si="8"/>
        <v>160</v>
      </c>
      <c r="W9" s="50">
        <f t="shared" si="9"/>
        <v>3.0183979517608415</v>
      </c>
      <c r="X9" s="50">
        <f t="shared" si="10"/>
        <v>0.125</v>
      </c>
      <c r="Y9" s="50">
        <f t="shared" si="11"/>
        <v>5.0000000000000001E-4</v>
      </c>
      <c r="Z9" s="50">
        <f t="shared" si="3"/>
        <v>1.3888888888888888E-2</v>
      </c>
      <c r="AA9" s="55">
        <f t="shared" si="4"/>
        <v>20</v>
      </c>
      <c r="AB9" s="72">
        <f t="shared" si="0"/>
        <v>27.549213673012236</v>
      </c>
      <c r="AC9" s="56">
        <f t="shared" si="5"/>
        <v>27.549213673012236</v>
      </c>
      <c r="AE9" s="55">
        <f t="shared" si="6"/>
        <v>20</v>
      </c>
      <c r="AF9" s="56">
        <f t="shared" si="1"/>
        <v>11.049213787828592</v>
      </c>
      <c r="AG9" s="56">
        <f t="shared" si="7"/>
        <v>27.549213673012236</v>
      </c>
    </row>
    <row r="10" spans="1:38" s="50" customFormat="1" ht="21" customHeight="1">
      <c r="A10" s="176">
        <v>1</v>
      </c>
      <c r="B10" s="177">
        <f>Input!C26</f>
        <v>160</v>
      </c>
      <c r="C10" s="178">
        <v>44993.479166666664</v>
      </c>
      <c r="D10" s="179">
        <v>1</v>
      </c>
      <c r="E10" s="169">
        <f>D10/1440</f>
        <v>6.9444444444444447E-4</v>
      </c>
      <c r="F10" s="180">
        <f>G10+D$8</f>
        <v>12.568275736106774</v>
      </c>
      <c r="G10" s="181">
        <f>AF2</f>
        <v>2.2682757361067729</v>
      </c>
      <c r="H10" s="182"/>
      <c r="I10" s="182"/>
      <c r="J10" s="182"/>
      <c r="K10" s="532">
        <f>K8-K9</f>
        <v>10.000000000000004</v>
      </c>
      <c r="L10" s="71">
        <f>K10+Q17</f>
        <v>10.000000000000004</v>
      </c>
      <c r="M10" s="57">
        <f t="shared" si="2"/>
        <v>-34.229999999999997</v>
      </c>
      <c r="N10" s="74"/>
      <c r="O10" s="301"/>
      <c r="P10" s="301"/>
      <c r="V10" s="54">
        <f t="shared" si="8"/>
        <v>160</v>
      </c>
      <c r="W10" s="50">
        <f t="shared" si="9"/>
        <v>3.0183979517608415</v>
      </c>
      <c r="X10" s="50">
        <f t="shared" si="10"/>
        <v>0.125</v>
      </c>
      <c r="Y10" s="50">
        <f t="shared" si="11"/>
        <v>5.0000000000000001E-4</v>
      </c>
      <c r="Z10" s="50">
        <f t="shared" si="3"/>
        <v>1.7361111111111112E-2</v>
      </c>
      <c r="AA10" s="55">
        <f t="shared" si="4"/>
        <v>25</v>
      </c>
      <c r="AB10" s="72">
        <f t="shared" si="0"/>
        <v>28.203280699638327</v>
      </c>
      <c r="AC10" s="56">
        <f t="shared" si="5"/>
        <v>28.203280699638327</v>
      </c>
      <c r="AE10" s="55">
        <f t="shared" si="6"/>
        <v>25</v>
      </c>
      <c r="AF10" s="56">
        <f t="shared" si="1"/>
        <v>11.703280814454683</v>
      </c>
      <c r="AG10" s="56">
        <f t="shared" si="7"/>
        <v>28.203280699638327</v>
      </c>
    </row>
    <row r="11" spans="1:38" s="50" customFormat="1" ht="21" customHeight="1">
      <c r="A11" s="176"/>
      <c r="B11" s="176"/>
      <c r="C11" s="178"/>
      <c r="D11" s="179">
        <v>2</v>
      </c>
      <c r="E11" s="169">
        <f t="shared" ref="E11:E74" si="12">D11/1440</f>
        <v>1.3888888888888889E-3</v>
      </c>
      <c r="F11" s="180">
        <f t="shared" ref="F11:F62" si="13">G11+D$8</f>
        <v>14.599993492380705</v>
      </c>
      <c r="G11" s="180">
        <f>AF3</f>
        <v>4.2999934923807039</v>
      </c>
      <c r="H11" s="182"/>
      <c r="I11" s="182"/>
      <c r="J11" s="182"/>
      <c r="K11" s="533">
        <f>G11-G10</f>
        <v>2.031717756273931</v>
      </c>
      <c r="L11" s="71" t="s">
        <v>21</v>
      </c>
      <c r="N11" s="74"/>
      <c r="O11" s="301"/>
      <c r="V11" s="54">
        <f t="shared" si="8"/>
        <v>160</v>
      </c>
      <c r="W11" s="50">
        <f t="shared" si="9"/>
        <v>3.0183979517608415</v>
      </c>
      <c r="X11" s="50">
        <f t="shared" si="10"/>
        <v>0.125</v>
      </c>
      <c r="Y11" s="50">
        <f t="shared" si="11"/>
        <v>5.0000000000000001E-4</v>
      </c>
      <c r="Z11" s="50">
        <f t="shared" si="3"/>
        <v>2.0833333333333332E-2</v>
      </c>
      <c r="AA11" s="55">
        <f t="shared" si="4"/>
        <v>30</v>
      </c>
      <c r="AB11" s="72">
        <f t="shared" si="0"/>
        <v>28.73769237248181</v>
      </c>
      <c r="AC11" s="56">
        <f t="shared" si="5"/>
        <v>28.73769237248181</v>
      </c>
      <c r="AE11" s="55">
        <f t="shared" si="6"/>
        <v>30</v>
      </c>
      <c r="AF11" s="56">
        <f t="shared" si="1"/>
        <v>12.237692487298165</v>
      </c>
      <c r="AG11" s="56">
        <f t="shared" si="7"/>
        <v>28.73769237248181</v>
      </c>
    </row>
    <row r="12" spans="1:38" s="50" customFormat="1" ht="21" customHeight="1">
      <c r="A12" s="176"/>
      <c r="B12" s="176"/>
      <c r="C12" s="178"/>
      <c r="D12" s="179">
        <v>3</v>
      </c>
      <c r="E12" s="169">
        <f t="shared" si="12"/>
        <v>2.0833333333333333E-3</v>
      </c>
      <c r="F12" s="180">
        <f t="shared" si="13"/>
        <v>15.788472191850282</v>
      </c>
      <c r="G12" s="180">
        <f t="shared" ref="G12:G74" si="14">AF4</f>
        <v>5.4884721918502812</v>
      </c>
      <c r="H12" s="182"/>
      <c r="I12" s="182"/>
      <c r="J12" s="182"/>
      <c r="K12" s="533">
        <f t="shared" ref="K12:K47" si="15">G12-G11</f>
        <v>1.1884786994695773</v>
      </c>
      <c r="L12" s="71" t="s">
        <v>21</v>
      </c>
      <c r="N12" s="74"/>
      <c r="O12" s="301"/>
      <c r="V12" s="54">
        <f t="shared" si="8"/>
        <v>160</v>
      </c>
      <c r="W12" s="50">
        <f t="shared" si="9"/>
        <v>3.0183979517608415</v>
      </c>
      <c r="X12" s="50">
        <f t="shared" si="10"/>
        <v>0.125</v>
      </c>
      <c r="Y12" s="50">
        <f t="shared" si="11"/>
        <v>5.0000000000000001E-4</v>
      </c>
      <c r="Z12" s="50">
        <f t="shared" si="3"/>
        <v>2.4305555555555556E-2</v>
      </c>
      <c r="AA12" s="55">
        <f t="shared" si="4"/>
        <v>35</v>
      </c>
      <c r="AB12" s="72">
        <f t="shared" si="0"/>
        <v>29.189531003771826</v>
      </c>
      <c r="AC12" s="56">
        <f t="shared" si="5"/>
        <v>29.189531003771826</v>
      </c>
      <c r="AE12" s="55">
        <f t="shared" si="6"/>
        <v>35</v>
      </c>
      <c r="AF12" s="56">
        <f t="shared" si="1"/>
        <v>12.689531118588182</v>
      </c>
      <c r="AG12" s="56">
        <f t="shared" si="7"/>
        <v>29.189531003771826</v>
      </c>
    </row>
    <row r="13" spans="1:38" s="50" customFormat="1" ht="21" customHeight="1">
      <c r="A13" s="176"/>
      <c r="B13" s="176"/>
      <c r="C13" s="178"/>
      <c r="D13" s="179">
        <v>4</v>
      </c>
      <c r="E13" s="169">
        <f t="shared" si="12"/>
        <v>2.7777777777777779E-3</v>
      </c>
      <c r="F13" s="180">
        <f t="shared" si="13"/>
        <v>16.631711248654636</v>
      </c>
      <c r="G13" s="180">
        <f t="shared" si="14"/>
        <v>6.331711248654635</v>
      </c>
      <c r="H13" s="182"/>
      <c r="I13" s="182"/>
      <c r="J13" s="182"/>
      <c r="K13" s="533">
        <f t="shared" si="15"/>
        <v>0.84323905680435374</v>
      </c>
      <c r="L13" s="71" t="s">
        <v>21</v>
      </c>
      <c r="M13" s="303">
        <v>0</v>
      </c>
      <c r="N13" s="74"/>
      <c r="O13" s="301"/>
      <c r="V13" s="54">
        <f t="shared" si="8"/>
        <v>160</v>
      </c>
      <c r="W13" s="50">
        <f t="shared" si="9"/>
        <v>3.0183979517608415</v>
      </c>
      <c r="X13" s="50">
        <f t="shared" si="10"/>
        <v>0.125</v>
      </c>
      <c r="Y13" s="50">
        <f t="shared" si="11"/>
        <v>5.0000000000000001E-4</v>
      </c>
      <c r="Z13" s="50">
        <f t="shared" si="3"/>
        <v>2.7777777777777776E-2</v>
      </c>
      <c r="AA13" s="55">
        <f t="shared" si="4"/>
        <v>40</v>
      </c>
      <c r="AB13" s="72">
        <f t="shared" si="0"/>
        <v>29.580931429286167</v>
      </c>
      <c r="AC13" s="56">
        <f t="shared" si="5"/>
        <v>29.580931429286167</v>
      </c>
      <c r="AE13" s="55">
        <f t="shared" si="6"/>
        <v>40</v>
      </c>
      <c r="AF13" s="56">
        <f t="shared" si="1"/>
        <v>13.080931544102523</v>
      </c>
      <c r="AG13" s="56">
        <f t="shared" si="7"/>
        <v>29.580931429286167</v>
      </c>
    </row>
    <row r="14" spans="1:38" s="50" customFormat="1" ht="21" customHeight="1">
      <c r="A14" s="176"/>
      <c r="B14" s="176"/>
      <c r="C14" s="178"/>
      <c r="D14" s="179">
        <v>5</v>
      </c>
      <c r="E14" s="169">
        <f t="shared" si="12"/>
        <v>3.472222222222222E-3</v>
      </c>
      <c r="F14" s="180">
        <f t="shared" si="13"/>
        <v>17.285778275280727</v>
      </c>
      <c r="G14" s="180">
        <f t="shared" si="14"/>
        <v>6.985778275280726</v>
      </c>
      <c r="H14" s="182"/>
      <c r="I14" s="182"/>
      <c r="J14" s="182"/>
      <c r="K14" s="533">
        <f t="shared" si="15"/>
        <v>0.65406702662609106</v>
      </c>
      <c r="L14" s="71" t="s">
        <v>21</v>
      </c>
      <c r="N14" s="74"/>
      <c r="O14" s="301"/>
      <c r="V14" s="54">
        <f t="shared" si="8"/>
        <v>160</v>
      </c>
      <c r="W14" s="50">
        <f t="shared" si="9"/>
        <v>3.0183979517608415</v>
      </c>
      <c r="X14" s="50">
        <f t="shared" si="10"/>
        <v>0.125</v>
      </c>
      <c r="Y14" s="50">
        <f t="shared" si="11"/>
        <v>5.0000000000000001E-4</v>
      </c>
      <c r="Z14" s="50">
        <f t="shared" si="3"/>
        <v>3.125E-2</v>
      </c>
      <c r="AA14" s="55">
        <f t="shared" si="4"/>
        <v>45</v>
      </c>
      <c r="AB14" s="72">
        <f t="shared" si="0"/>
        <v>29.926171071951387</v>
      </c>
      <c r="AC14" s="56">
        <f t="shared" si="5"/>
        <v>29.926171071951387</v>
      </c>
      <c r="AE14" s="55">
        <f t="shared" si="6"/>
        <v>45</v>
      </c>
      <c r="AF14" s="56">
        <f t="shared" si="1"/>
        <v>13.426171186767743</v>
      </c>
      <c r="AG14" s="56">
        <f t="shared" si="7"/>
        <v>29.926171071951387</v>
      </c>
    </row>
    <row r="15" spans="1:38" s="50" customFormat="1" ht="21" customHeight="1" thickBot="1">
      <c r="A15" s="176"/>
      <c r="B15" s="338"/>
      <c r="C15" s="178"/>
      <c r="D15" s="179">
        <v>10</v>
      </c>
      <c r="E15" s="169">
        <f t="shared" si="12"/>
        <v>6.9444444444444441E-3</v>
      </c>
      <c r="F15" s="180">
        <f t="shared" si="13"/>
        <v>19.317496031554661</v>
      </c>
      <c r="G15" s="180">
        <f t="shared" si="14"/>
        <v>9.0174960315546606</v>
      </c>
      <c r="H15" s="182"/>
      <c r="I15" s="182"/>
      <c r="J15" s="182"/>
      <c r="K15" s="533">
        <f t="shared" si="15"/>
        <v>2.0317177562739346</v>
      </c>
      <c r="L15" s="71" t="s">
        <v>21</v>
      </c>
      <c r="N15" s="75"/>
      <c r="O15" s="52"/>
      <c r="V15" s="54">
        <f t="shared" si="8"/>
        <v>160</v>
      </c>
      <c r="W15" s="50">
        <f t="shared" si="9"/>
        <v>3.0183979517608415</v>
      </c>
      <c r="X15" s="50">
        <f t="shared" si="10"/>
        <v>0.125</v>
      </c>
      <c r="Y15" s="50">
        <f t="shared" si="11"/>
        <v>5.0000000000000001E-4</v>
      </c>
      <c r="Z15" s="50">
        <f t="shared" si="3"/>
        <v>3.4722222222222224E-2</v>
      </c>
      <c r="AA15" s="55">
        <f t="shared" si="4"/>
        <v>50</v>
      </c>
      <c r="AB15" s="72">
        <f t="shared" si="0"/>
        <v>30.234998455912258</v>
      </c>
      <c r="AC15" s="56">
        <f t="shared" si="5"/>
        <v>30.234998455912258</v>
      </c>
      <c r="AE15" s="55">
        <f t="shared" si="6"/>
        <v>50</v>
      </c>
      <c r="AF15" s="56">
        <f>AC15-$P$3</f>
        <v>13.734998570728614</v>
      </c>
      <c r="AG15" s="56">
        <f t="shared" si="7"/>
        <v>30.234998455912258</v>
      </c>
    </row>
    <row r="16" spans="1:38" s="50" customFormat="1" ht="21" customHeight="1">
      <c r="A16" s="176"/>
      <c r="B16" s="176"/>
      <c r="C16" s="178"/>
      <c r="D16" s="179">
        <v>15</v>
      </c>
      <c r="E16" s="169">
        <f t="shared" si="12"/>
        <v>1.0416666666666666E-2</v>
      </c>
      <c r="F16" s="180">
        <f t="shared" si="13"/>
        <v>20.505974731024235</v>
      </c>
      <c r="G16" s="180">
        <f t="shared" si="14"/>
        <v>10.205974731024234</v>
      </c>
      <c r="H16" s="182"/>
      <c r="I16" s="182"/>
      <c r="J16" s="182"/>
      <c r="K16" s="533">
        <f t="shared" si="15"/>
        <v>1.1884786994695737</v>
      </c>
      <c r="L16" s="394" t="s">
        <v>249</v>
      </c>
      <c r="M16" s="395" t="s">
        <v>179</v>
      </c>
      <c r="N16" s="395" t="s">
        <v>180</v>
      </c>
      <c r="O16" s="395" t="s">
        <v>247</v>
      </c>
      <c r="P16" s="395" t="s">
        <v>248</v>
      </c>
      <c r="Q16" s="396" t="s">
        <v>250</v>
      </c>
      <c r="V16" s="54">
        <f t="shared" si="8"/>
        <v>160</v>
      </c>
      <c r="W16" s="50">
        <f t="shared" si="9"/>
        <v>3.0183979517608415</v>
      </c>
      <c r="X16" s="50">
        <f t="shared" si="10"/>
        <v>0.125</v>
      </c>
      <c r="Y16" s="50">
        <f t="shared" si="11"/>
        <v>5.0000000000000001E-4</v>
      </c>
      <c r="Z16" s="50">
        <f t="shared" si="3"/>
        <v>3.8194444444444448E-2</v>
      </c>
      <c r="AA16" s="55">
        <f t="shared" si="4"/>
        <v>55</v>
      </c>
      <c r="AB16" s="72">
        <f t="shared" si="0"/>
        <v>30.514366806665237</v>
      </c>
      <c r="AC16" s="56">
        <f t="shared" si="5"/>
        <v>30.514366806665237</v>
      </c>
      <c r="AE16" s="55">
        <f t="shared" si="6"/>
        <v>55</v>
      </c>
      <c r="AF16" s="56">
        <f>AC16-$P$3</f>
        <v>14.014366921481592</v>
      </c>
      <c r="AG16" s="56">
        <f t="shared" si="7"/>
        <v>30.514366806665237</v>
      </c>
    </row>
    <row r="17" spans="1:32" s="50" customFormat="1" ht="21" customHeight="1">
      <c r="A17" s="176"/>
      <c r="B17" s="176"/>
      <c r="C17" s="178"/>
      <c r="D17" s="179">
        <v>20</v>
      </c>
      <c r="E17" s="169">
        <f t="shared" si="12"/>
        <v>1.3888888888888888E-2</v>
      </c>
      <c r="F17" s="180">
        <f t="shared" si="13"/>
        <v>21.349213787828592</v>
      </c>
      <c r="G17" s="180">
        <f t="shared" si="14"/>
        <v>11.049213787828592</v>
      </c>
      <c r="H17" s="182"/>
      <c r="I17" s="182"/>
      <c r="J17" s="182"/>
      <c r="K17" s="533">
        <f t="shared" si="15"/>
        <v>0.84323905680435729</v>
      </c>
      <c r="L17" s="397">
        <f>D10</f>
        <v>1</v>
      </c>
      <c r="M17" s="382">
        <f>INT(B10/1440*10000)/10000</f>
        <v>0.1111</v>
      </c>
      <c r="N17" s="382">
        <f>L17*M17</f>
        <v>0.1111</v>
      </c>
      <c r="O17" s="382">
        <f>INT((D7/2/1000)^2*PI()*100000)/100000</f>
        <v>4.9079999999999999E-2</v>
      </c>
      <c r="P17" s="382">
        <f>INT(N17/O17*100)/100</f>
        <v>2.2599999999999998</v>
      </c>
      <c r="Q17" s="398">
        <f>INT((G10-P17)*100)/100</f>
        <v>0</v>
      </c>
      <c r="V17" s="54">
        <f t="shared" si="8"/>
        <v>160</v>
      </c>
      <c r="W17" s="50">
        <f t="shared" si="9"/>
        <v>3.0183979517608415</v>
      </c>
      <c r="X17" s="50">
        <f t="shared" si="10"/>
        <v>0.125</v>
      </c>
      <c r="Y17" s="50">
        <f t="shared" si="11"/>
        <v>5.0000000000000001E-4</v>
      </c>
      <c r="Z17" s="50">
        <f t="shared" si="3"/>
        <v>4.1666666666666664E-2</v>
      </c>
      <c r="AA17" s="55">
        <f t="shared" si="4"/>
        <v>60</v>
      </c>
      <c r="AB17" s="72">
        <f t="shared" si="0"/>
        <v>30.769410128755744</v>
      </c>
      <c r="AC17" s="56">
        <f t="shared" si="5"/>
        <v>30.769410128755744</v>
      </c>
      <c r="AE17" s="55">
        <f t="shared" si="6"/>
        <v>60</v>
      </c>
      <c r="AF17" s="56">
        <f>AC17-$P$3</f>
        <v>14.2694102435721</v>
      </c>
    </row>
    <row r="18" spans="1:32" s="50" customFormat="1" ht="21" customHeight="1">
      <c r="A18" s="176"/>
      <c r="B18" s="176"/>
      <c r="C18" s="178"/>
      <c r="D18" s="179">
        <v>25</v>
      </c>
      <c r="E18" s="169">
        <f t="shared" si="12"/>
        <v>1.7361111111111112E-2</v>
      </c>
      <c r="F18" s="180">
        <f t="shared" si="13"/>
        <v>22.003280814454683</v>
      </c>
      <c r="G18" s="180">
        <f t="shared" si="14"/>
        <v>11.703280814454683</v>
      </c>
      <c r="H18" s="182"/>
      <c r="I18" s="182"/>
      <c r="J18" s="182"/>
      <c r="K18" s="533">
        <f t="shared" si="15"/>
        <v>0.65406702662609106</v>
      </c>
      <c r="L18" s="397">
        <f t="shared" ref="L18:L31" si="16">D11</f>
        <v>2</v>
      </c>
      <c r="M18" s="382">
        <f>M17</f>
        <v>0.1111</v>
      </c>
      <c r="N18" s="382">
        <f>L18*M18</f>
        <v>0.22220000000000001</v>
      </c>
      <c r="O18" s="382">
        <f>O17</f>
        <v>4.9079999999999999E-2</v>
      </c>
      <c r="P18" s="382">
        <f>INT(N18/O18*100)/100</f>
        <v>4.5199999999999996</v>
      </c>
      <c r="Q18" s="398">
        <f t="shared" ref="Q18:Q27" si="17">INT((G11-P18)*100)/100</f>
        <v>-0.23</v>
      </c>
      <c r="V18" s="54">
        <f t="shared" si="8"/>
        <v>160</v>
      </c>
      <c r="W18" s="50">
        <f t="shared" si="9"/>
        <v>3.0183979517608415</v>
      </c>
      <c r="X18" s="50">
        <f t="shared" si="10"/>
        <v>0.125</v>
      </c>
      <c r="Y18" s="50">
        <f t="shared" si="11"/>
        <v>5.0000000000000001E-4</v>
      </c>
      <c r="Z18" s="50">
        <f t="shared" si="3"/>
        <v>5.2083333333333336E-2</v>
      </c>
      <c r="AA18" s="55">
        <f t="shared" si="4"/>
        <v>75</v>
      </c>
      <c r="AB18" s="72">
        <f t="shared" si="0"/>
        <v>31.423477155381836</v>
      </c>
      <c r="AC18" s="56">
        <f t="shared" si="5"/>
        <v>31.423477155381836</v>
      </c>
      <c r="AE18" s="55">
        <f t="shared" si="6"/>
        <v>75</v>
      </c>
      <c r="AF18" s="56">
        <f>AC18-$P$3</f>
        <v>14.923477270198191</v>
      </c>
    </row>
    <row r="19" spans="1:32" s="50" customFormat="1" ht="21" customHeight="1">
      <c r="A19" s="176"/>
      <c r="B19" s="176"/>
      <c r="C19" s="178"/>
      <c r="D19" s="179">
        <v>30</v>
      </c>
      <c r="E19" s="169">
        <f t="shared" si="12"/>
        <v>2.0833333333333332E-2</v>
      </c>
      <c r="F19" s="180">
        <f t="shared" si="13"/>
        <v>22.537692487298166</v>
      </c>
      <c r="G19" s="180">
        <f t="shared" si="14"/>
        <v>12.237692487298165</v>
      </c>
      <c r="H19" s="182"/>
      <c r="I19" s="182"/>
      <c r="J19" s="182"/>
      <c r="K19" s="533">
        <f t="shared" si="15"/>
        <v>0.53441167284348268</v>
      </c>
      <c r="L19" s="397">
        <f t="shared" si="16"/>
        <v>3</v>
      </c>
      <c r="M19" s="382">
        <f>M18</f>
        <v>0.1111</v>
      </c>
      <c r="N19" s="382">
        <f t="shared" ref="N19:N27" si="18">L19*M19</f>
        <v>0.33330000000000004</v>
      </c>
      <c r="O19" s="382">
        <f t="shared" ref="O19:O31" si="19">O18</f>
        <v>4.9079999999999999E-2</v>
      </c>
      <c r="P19" s="382">
        <f>INT(N19/O19*100)/100</f>
        <v>6.79</v>
      </c>
      <c r="Q19" s="398">
        <f t="shared" si="17"/>
        <v>-1.31</v>
      </c>
      <c r="V19" s="54">
        <f t="shared" si="8"/>
        <v>160</v>
      </c>
      <c r="W19" s="50">
        <f t="shared" si="9"/>
        <v>3.0183979517608415</v>
      </c>
      <c r="X19" s="50">
        <f t="shared" si="10"/>
        <v>0.125</v>
      </c>
      <c r="Y19" s="50">
        <f t="shared" si="11"/>
        <v>5.0000000000000001E-4</v>
      </c>
      <c r="Z19" s="50">
        <f t="shared" si="3"/>
        <v>6.25E-2</v>
      </c>
      <c r="AA19" s="55">
        <f t="shared" si="4"/>
        <v>90</v>
      </c>
      <c r="AB19" s="72">
        <f t="shared" si="0"/>
        <v>31.957888828225318</v>
      </c>
      <c r="AC19" s="56">
        <f t="shared" si="5"/>
        <v>31.957888828225318</v>
      </c>
      <c r="AE19" s="55">
        <f t="shared" si="6"/>
        <v>90</v>
      </c>
      <c r="AF19" s="56">
        <f>AC19-$P$3</f>
        <v>15.457888943041674</v>
      </c>
    </row>
    <row r="20" spans="1:32" s="50" customFormat="1" ht="21" customHeight="1">
      <c r="A20" s="176"/>
      <c r="B20" s="176"/>
      <c r="C20" s="178"/>
      <c r="D20" s="179">
        <v>35</v>
      </c>
      <c r="E20" s="169">
        <f t="shared" si="12"/>
        <v>2.4305555555555556E-2</v>
      </c>
      <c r="F20" s="180">
        <f t="shared" si="13"/>
        <v>22.989531118588182</v>
      </c>
      <c r="G20" s="180">
        <f t="shared" si="14"/>
        <v>12.689531118588182</v>
      </c>
      <c r="H20" s="182"/>
      <c r="I20" s="182"/>
      <c r="J20" s="182"/>
      <c r="K20" s="533">
        <f t="shared" si="15"/>
        <v>0.45183863129001622</v>
      </c>
      <c r="L20" s="397">
        <f t="shared" si="16"/>
        <v>4</v>
      </c>
      <c r="M20" s="382">
        <f>M19</f>
        <v>0.1111</v>
      </c>
      <c r="N20" s="382">
        <f>L20*M20</f>
        <v>0.44440000000000002</v>
      </c>
      <c r="O20" s="382">
        <f>O19</f>
        <v>4.9079999999999999E-2</v>
      </c>
      <c r="P20" s="382">
        <f>INT(N20/O20*100)/100</f>
        <v>9.0500000000000007</v>
      </c>
      <c r="Q20" s="398">
        <f t="shared" si="17"/>
        <v>-2.72</v>
      </c>
      <c r="V20" s="54">
        <f t="shared" si="8"/>
        <v>160</v>
      </c>
      <c r="W20" s="50">
        <f t="shared" si="9"/>
        <v>3.0183979517608415</v>
      </c>
      <c r="X20" s="50">
        <f t="shared" si="10"/>
        <v>0.125</v>
      </c>
      <c r="Y20" s="50">
        <f t="shared" si="11"/>
        <v>5.0000000000000001E-4</v>
      </c>
      <c r="Z20" s="50">
        <f t="shared" si="3"/>
        <v>7.2916666666666671E-2</v>
      </c>
      <c r="AA20" s="55">
        <f t="shared" si="4"/>
        <v>105</v>
      </c>
      <c r="AB20" s="72">
        <f t="shared" si="0"/>
        <v>32.409727459515331</v>
      </c>
      <c r="AC20" s="56">
        <f t="shared" si="5"/>
        <v>32.409727459515331</v>
      </c>
      <c r="AE20" s="55">
        <f t="shared" si="6"/>
        <v>105</v>
      </c>
      <c r="AF20" s="56">
        <f t="shared" ref="AF20:AF69" si="20">AC20-$P$3</f>
        <v>15.909727574331686</v>
      </c>
    </row>
    <row r="21" spans="1:32" s="50" customFormat="1" ht="21" customHeight="1">
      <c r="A21" s="176"/>
      <c r="B21" s="176"/>
      <c r="C21" s="178"/>
      <c r="D21" s="179">
        <v>40</v>
      </c>
      <c r="E21" s="169">
        <f t="shared" si="12"/>
        <v>2.7777777777777776E-2</v>
      </c>
      <c r="F21" s="180">
        <f t="shared" si="13"/>
        <v>23.380931544102523</v>
      </c>
      <c r="G21" s="180">
        <f t="shared" si="14"/>
        <v>13.080931544102523</v>
      </c>
      <c r="H21" s="182"/>
      <c r="I21" s="182"/>
      <c r="J21" s="182"/>
      <c r="K21" s="533">
        <f t="shared" si="15"/>
        <v>0.39140042551434107</v>
      </c>
      <c r="L21" s="397">
        <f t="shared" si="16"/>
        <v>5</v>
      </c>
      <c r="M21" s="382">
        <f>M20</f>
        <v>0.1111</v>
      </c>
      <c r="N21" s="382">
        <f t="shared" si="18"/>
        <v>0.55549999999999999</v>
      </c>
      <c r="O21" s="382">
        <f t="shared" si="19"/>
        <v>4.9079999999999999E-2</v>
      </c>
      <c r="P21" s="382">
        <f>INT(N21/O21*100)/100</f>
        <v>11.31</v>
      </c>
      <c r="Q21" s="398">
        <f t="shared" si="17"/>
        <v>-4.33</v>
      </c>
      <c r="V21" s="54">
        <f t="shared" si="8"/>
        <v>160</v>
      </c>
      <c r="W21" s="50">
        <f t="shared" si="9"/>
        <v>3.0183979517608415</v>
      </c>
      <c r="X21" s="50">
        <f t="shared" si="10"/>
        <v>0.125</v>
      </c>
      <c r="Y21" s="50">
        <f t="shared" si="11"/>
        <v>5.0000000000000001E-4</v>
      </c>
      <c r="Z21" s="50">
        <f t="shared" si="3"/>
        <v>8.3333333333333329E-2</v>
      </c>
      <c r="AA21" s="55">
        <f t="shared" si="4"/>
        <v>120</v>
      </c>
      <c r="AB21" s="72">
        <f t="shared" si="0"/>
        <v>32.801127885029672</v>
      </c>
      <c r="AC21" s="56">
        <f t="shared" si="5"/>
        <v>32.801127885029672</v>
      </c>
      <c r="AE21" s="55">
        <f t="shared" si="6"/>
        <v>120</v>
      </c>
      <c r="AF21" s="56">
        <f t="shared" si="20"/>
        <v>16.301127999846027</v>
      </c>
    </row>
    <row r="22" spans="1:32" s="50" customFormat="1" ht="21" customHeight="1">
      <c r="A22" s="176"/>
      <c r="B22" s="176"/>
      <c r="C22" s="178"/>
      <c r="D22" s="179">
        <v>45</v>
      </c>
      <c r="E22" s="169">
        <f t="shared" si="12"/>
        <v>3.125E-2</v>
      </c>
      <c r="F22" s="180">
        <f t="shared" si="13"/>
        <v>23.726171186767743</v>
      </c>
      <c r="G22" s="180">
        <f t="shared" si="14"/>
        <v>13.426171186767743</v>
      </c>
      <c r="H22" s="182"/>
      <c r="I22" s="182"/>
      <c r="J22" s="182"/>
      <c r="K22" s="533">
        <f t="shared" si="15"/>
        <v>0.34523964266522</v>
      </c>
      <c r="L22" s="397">
        <f t="shared" si="16"/>
        <v>10</v>
      </c>
      <c r="M22" s="382">
        <f t="shared" ref="M22:M31" si="21">M21</f>
        <v>0.1111</v>
      </c>
      <c r="N22" s="382">
        <f>L22*M22</f>
        <v>1.111</v>
      </c>
      <c r="O22" s="382">
        <f>O21</f>
        <v>4.9079999999999999E-2</v>
      </c>
      <c r="P22" s="382">
        <f t="shared" ref="P22:P27" si="22">INT(N22/O22*100)/100</f>
        <v>22.63</v>
      </c>
      <c r="Q22" s="398">
        <f t="shared" si="17"/>
        <v>-13.62</v>
      </c>
      <c r="V22" s="54">
        <f t="shared" si="8"/>
        <v>160</v>
      </c>
      <c r="W22" s="50">
        <f t="shared" si="9"/>
        <v>3.0183979517608415</v>
      </c>
      <c r="X22" s="50">
        <f t="shared" si="10"/>
        <v>0.125</v>
      </c>
      <c r="Y22" s="50">
        <f t="shared" si="11"/>
        <v>5.0000000000000001E-4</v>
      </c>
      <c r="Z22" s="50">
        <f t="shared" si="3"/>
        <v>9.7222222222222224E-2</v>
      </c>
      <c r="AA22" s="55">
        <f t="shared" si="4"/>
        <v>140</v>
      </c>
      <c r="AB22" s="72">
        <f t="shared" si="0"/>
        <v>33.252966516319688</v>
      </c>
      <c r="AC22" s="56">
        <f t="shared" si="5"/>
        <v>33.252966516319688</v>
      </c>
      <c r="AE22" s="55">
        <f t="shared" si="6"/>
        <v>140</v>
      </c>
      <c r="AF22" s="56">
        <f t="shared" si="20"/>
        <v>16.752966631136044</v>
      </c>
    </row>
    <row r="23" spans="1:32" s="50" customFormat="1" ht="21" customHeight="1">
      <c r="A23" s="176"/>
      <c r="B23" s="176"/>
      <c r="C23" s="178"/>
      <c r="D23" s="179">
        <v>50</v>
      </c>
      <c r="E23" s="169">
        <f t="shared" si="12"/>
        <v>3.4722222222222224E-2</v>
      </c>
      <c r="F23" s="180">
        <f t="shared" si="13"/>
        <v>24.034998570728614</v>
      </c>
      <c r="G23" s="180">
        <f t="shared" si="14"/>
        <v>13.734998570728614</v>
      </c>
      <c r="H23" s="182"/>
      <c r="I23" s="182"/>
      <c r="J23" s="182"/>
      <c r="K23" s="533">
        <f t="shared" si="15"/>
        <v>0.30882738396087106</v>
      </c>
      <c r="L23" s="397">
        <f t="shared" si="16"/>
        <v>15</v>
      </c>
      <c r="M23" s="382">
        <f t="shared" si="21"/>
        <v>0.1111</v>
      </c>
      <c r="N23" s="382">
        <f t="shared" si="18"/>
        <v>1.6665000000000001</v>
      </c>
      <c r="O23" s="382">
        <f t="shared" si="19"/>
        <v>4.9079999999999999E-2</v>
      </c>
      <c r="P23" s="382">
        <f t="shared" si="22"/>
        <v>33.950000000000003</v>
      </c>
      <c r="Q23" s="398">
        <f t="shared" si="17"/>
        <v>-23.75</v>
      </c>
      <c r="V23" s="54">
        <f t="shared" si="8"/>
        <v>160</v>
      </c>
      <c r="W23" s="50">
        <f t="shared" si="9"/>
        <v>3.0183979517608415</v>
      </c>
      <c r="X23" s="50">
        <f t="shared" si="10"/>
        <v>0.125</v>
      </c>
      <c r="Y23" s="50">
        <f t="shared" si="11"/>
        <v>5.0000000000000001E-4</v>
      </c>
      <c r="Z23" s="50">
        <f t="shared" si="3"/>
        <v>0.1111111111111111</v>
      </c>
      <c r="AA23" s="55">
        <f t="shared" si="4"/>
        <v>160</v>
      </c>
      <c r="AB23" s="72">
        <f t="shared" si="0"/>
        <v>33.644366941834029</v>
      </c>
      <c r="AC23" s="56">
        <f t="shared" si="5"/>
        <v>33.644366941834029</v>
      </c>
      <c r="AE23" s="55">
        <f t="shared" si="6"/>
        <v>160</v>
      </c>
      <c r="AF23" s="56">
        <f t="shared" si="20"/>
        <v>17.144367056650385</v>
      </c>
    </row>
    <row r="24" spans="1:32" s="50" customFormat="1" ht="21" customHeight="1">
      <c r="A24" s="176"/>
      <c r="B24" s="176"/>
      <c r="C24" s="178"/>
      <c r="D24" s="179">
        <v>55</v>
      </c>
      <c r="E24" s="169">
        <f t="shared" si="12"/>
        <v>3.8194444444444448E-2</v>
      </c>
      <c r="F24" s="180">
        <f t="shared" si="13"/>
        <v>24.314366921481593</v>
      </c>
      <c r="G24" s="180">
        <f t="shared" si="14"/>
        <v>14.014366921481592</v>
      </c>
      <c r="H24" s="182"/>
      <c r="I24" s="182"/>
      <c r="J24" s="182"/>
      <c r="K24" s="533">
        <f t="shared" si="15"/>
        <v>0.2793683507529785</v>
      </c>
      <c r="L24" s="397">
        <f t="shared" si="16"/>
        <v>20</v>
      </c>
      <c r="M24" s="382">
        <f t="shared" si="21"/>
        <v>0.1111</v>
      </c>
      <c r="N24" s="382">
        <f t="shared" si="18"/>
        <v>2.222</v>
      </c>
      <c r="O24" s="382">
        <f t="shared" si="19"/>
        <v>4.9079999999999999E-2</v>
      </c>
      <c r="P24" s="382">
        <f t="shared" si="22"/>
        <v>45.27</v>
      </c>
      <c r="Q24" s="398">
        <f t="shared" si="17"/>
        <v>-34.229999999999997</v>
      </c>
      <c r="V24" s="54">
        <f t="shared" si="8"/>
        <v>160</v>
      </c>
      <c r="W24" s="50">
        <f t="shared" si="9"/>
        <v>3.0183979517608415</v>
      </c>
      <c r="X24" s="50">
        <f t="shared" si="10"/>
        <v>0.125</v>
      </c>
      <c r="Y24" s="50">
        <f t="shared" si="11"/>
        <v>5.0000000000000001E-4</v>
      </c>
      <c r="Z24" s="50">
        <f t="shared" si="3"/>
        <v>0.125</v>
      </c>
      <c r="AA24" s="55">
        <f t="shared" si="4"/>
        <v>180</v>
      </c>
      <c r="AB24" s="72">
        <f t="shared" si="0"/>
        <v>33.989606584499249</v>
      </c>
      <c r="AC24" s="56">
        <f t="shared" si="5"/>
        <v>33.989606584499249</v>
      </c>
      <c r="AE24" s="55">
        <f t="shared" si="6"/>
        <v>180</v>
      </c>
      <c r="AF24" s="56">
        <f t="shared" si="20"/>
        <v>17.489606699315605</v>
      </c>
    </row>
    <row r="25" spans="1:32" s="50" customFormat="1" ht="21" customHeight="1">
      <c r="A25" s="176"/>
      <c r="B25" s="176"/>
      <c r="C25" s="178">
        <f>$C$10+D25/1440</f>
        <v>44993.520833333328</v>
      </c>
      <c r="D25" s="179">
        <v>60</v>
      </c>
      <c r="E25" s="169">
        <f t="shared" si="12"/>
        <v>4.1666666666666664E-2</v>
      </c>
      <c r="F25" s="180">
        <f t="shared" si="13"/>
        <v>24.569410243572101</v>
      </c>
      <c r="G25" s="180">
        <f t="shared" si="14"/>
        <v>14.2694102435721</v>
      </c>
      <c r="H25" s="182"/>
      <c r="I25" s="182"/>
      <c r="J25" s="182"/>
      <c r="K25" s="533">
        <f t="shared" si="15"/>
        <v>0.25504332209050773</v>
      </c>
      <c r="L25" s="397">
        <f t="shared" si="16"/>
        <v>25</v>
      </c>
      <c r="M25" s="382">
        <f t="shared" si="21"/>
        <v>0.1111</v>
      </c>
      <c r="N25" s="382">
        <f t="shared" si="18"/>
        <v>2.7775000000000003</v>
      </c>
      <c r="O25" s="382">
        <f t="shared" si="19"/>
        <v>4.9079999999999999E-2</v>
      </c>
      <c r="P25" s="382">
        <f t="shared" si="22"/>
        <v>56.59</v>
      </c>
      <c r="Q25" s="398">
        <f t="shared" si="17"/>
        <v>-44.89</v>
      </c>
      <c r="V25" s="54">
        <f t="shared" si="8"/>
        <v>160</v>
      </c>
      <c r="W25" s="50">
        <f t="shared" si="9"/>
        <v>3.0183979517608415</v>
      </c>
      <c r="X25" s="50">
        <f t="shared" si="10"/>
        <v>0.125</v>
      </c>
      <c r="Y25" s="50">
        <f t="shared" si="11"/>
        <v>5.0000000000000001E-4</v>
      </c>
      <c r="Z25" s="50">
        <f t="shared" si="3"/>
        <v>0.16666666666666666</v>
      </c>
      <c r="AA25" s="55">
        <f t="shared" si="4"/>
        <v>240</v>
      </c>
      <c r="AB25" s="72">
        <f t="shared" si="0"/>
        <v>34.832845641303606</v>
      </c>
      <c r="AC25" s="56">
        <f t="shared" si="5"/>
        <v>34.832845641303606</v>
      </c>
      <c r="AE25" s="55">
        <f t="shared" si="6"/>
        <v>240</v>
      </c>
      <c r="AF25" s="56">
        <f t="shared" si="20"/>
        <v>18.332845756119962</v>
      </c>
    </row>
    <row r="26" spans="1:32" s="50" customFormat="1" ht="21" customHeight="1">
      <c r="A26" s="176"/>
      <c r="B26" s="176"/>
      <c r="C26" s="178"/>
      <c r="D26" s="179">
        <v>75</v>
      </c>
      <c r="E26" s="169">
        <f t="shared" si="12"/>
        <v>5.2083333333333336E-2</v>
      </c>
      <c r="F26" s="180">
        <f t="shared" si="13"/>
        <v>25.223477270198192</v>
      </c>
      <c r="G26" s="180">
        <f t="shared" si="14"/>
        <v>14.923477270198191</v>
      </c>
      <c r="H26" s="182"/>
      <c r="I26" s="182"/>
      <c r="J26" s="182"/>
      <c r="K26" s="533">
        <f t="shared" si="15"/>
        <v>0.65406702662609106</v>
      </c>
      <c r="L26" s="397">
        <f t="shared" si="16"/>
        <v>30</v>
      </c>
      <c r="M26" s="382">
        <f t="shared" si="21"/>
        <v>0.1111</v>
      </c>
      <c r="N26" s="382">
        <f t="shared" si="18"/>
        <v>3.3330000000000002</v>
      </c>
      <c r="O26" s="382">
        <f t="shared" si="19"/>
        <v>4.9079999999999999E-2</v>
      </c>
      <c r="P26" s="382">
        <f t="shared" si="22"/>
        <v>67.900000000000006</v>
      </c>
      <c r="Q26" s="398">
        <f t="shared" si="17"/>
        <v>-55.67</v>
      </c>
      <c r="V26" s="54">
        <f t="shared" si="8"/>
        <v>160</v>
      </c>
      <c r="W26" s="50">
        <f t="shared" si="9"/>
        <v>3.0183979517608415</v>
      </c>
      <c r="X26" s="50">
        <f t="shared" si="10"/>
        <v>0.125</v>
      </c>
      <c r="Y26" s="50">
        <f t="shared" si="11"/>
        <v>5.0000000000000001E-4</v>
      </c>
      <c r="Z26" s="50">
        <f t="shared" si="3"/>
        <v>0.20833333333333334</v>
      </c>
      <c r="AA26" s="55">
        <f t="shared" si="4"/>
        <v>300</v>
      </c>
      <c r="AB26" s="72">
        <f t="shared" si="0"/>
        <v>35.486912667929701</v>
      </c>
      <c r="AC26" s="56">
        <f t="shared" si="5"/>
        <v>35.486912667929701</v>
      </c>
      <c r="AE26" s="55">
        <f t="shared" si="6"/>
        <v>300</v>
      </c>
      <c r="AF26" s="56">
        <f t="shared" si="20"/>
        <v>18.986912782746057</v>
      </c>
    </row>
    <row r="27" spans="1:32" s="50" customFormat="1" ht="21" customHeight="1">
      <c r="A27" s="176"/>
      <c r="B27" s="176"/>
      <c r="C27" s="178"/>
      <c r="D27" s="179">
        <v>90</v>
      </c>
      <c r="E27" s="169">
        <f t="shared" si="12"/>
        <v>6.25E-2</v>
      </c>
      <c r="F27" s="180">
        <f t="shared" si="13"/>
        <v>25.757888943041674</v>
      </c>
      <c r="G27" s="180">
        <f t="shared" si="14"/>
        <v>15.457888943041674</v>
      </c>
      <c r="H27" s="182"/>
      <c r="I27" s="182"/>
      <c r="J27" s="182"/>
      <c r="K27" s="533">
        <f t="shared" si="15"/>
        <v>0.53441167284348268</v>
      </c>
      <c r="L27" s="397">
        <f t="shared" si="16"/>
        <v>35</v>
      </c>
      <c r="M27" s="382">
        <f t="shared" si="21"/>
        <v>0.1111</v>
      </c>
      <c r="N27" s="382">
        <f t="shared" si="18"/>
        <v>3.8885000000000001</v>
      </c>
      <c r="O27" s="382">
        <f t="shared" si="19"/>
        <v>4.9079999999999999E-2</v>
      </c>
      <c r="P27" s="382">
        <f t="shared" si="22"/>
        <v>79.22</v>
      </c>
      <c r="Q27" s="398">
        <f t="shared" si="17"/>
        <v>-66.540000000000006</v>
      </c>
      <c r="V27" s="54">
        <f t="shared" si="8"/>
        <v>160</v>
      </c>
      <c r="W27" s="50">
        <f t="shared" si="9"/>
        <v>3.0183979517608415</v>
      </c>
      <c r="X27" s="50">
        <f t="shared" si="10"/>
        <v>0.125</v>
      </c>
      <c r="Y27" s="50">
        <f t="shared" si="11"/>
        <v>5.0000000000000001E-4</v>
      </c>
      <c r="Z27" s="50">
        <f t="shared" si="3"/>
        <v>0.25</v>
      </c>
      <c r="AA27" s="55">
        <f t="shared" si="4"/>
        <v>360</v>
      </c>
      <c r="AB27" s="72">
        <f t="shared" si="0"/>
        <v>36.021324340773184</v>
      </c>
      <c r="AC27" s="56">
        <f t="shared" si="5"/>
        <v>36.021324340773184</v>
      </c>
      <c r="AE27" s="55">
        <f t="shared" si="6"/>
        <v>360</v>
      </c>
      <c r="AF27" s="56">
        <f t="shared" si="20"/>
        <v>19.521324455589539</v>
      </c>
    </row>
    <row r="28" spans="1:32" s="50" customFormat="1" ht="21" customHeight="1">
      <c r="A28" s="176"/>
      <c r="B28" s="176"/>
      <c r="C28" s="178"/>
      <c r="D28" s="179">
        <v>105</v>
      </c>
      <c r="E28" s="169">
        <f t="shared" si="12"/>
        <v>7.2916666666666671E-2</v>
      </c>
      <c r="F28" s="180">
        <f t="shared" si="13"/>
        <v>26.209727574331687</v>
      </c>
      <c r="G28" s="180">
        <f t="shared" si="14"/>
        <v>15.909727574331686</v>
      </c>
      <c r="H28" s="182"/>
      <c r="I28" s="182"/>
      <c r="J28" s="182"/>
      <c r="K28" s="533">
        <f t="shared" si="15"/>
        <v>0.45183863129001267</v>
      </c>
      <c r="L28" s="397">
        <f t="shared" si="16"/>
        <v>40</v>
      </c>
      <c r="M28" s="382">
        <f t="shared" si="21"/>
        <v>0.1111</v>
      </c>
      <c r="N28" s="382">
        <f>L28*M28</f>
        <v>4.444</v>
      </c>
      <c r="O28" s="382">
        <f t="shared" si="19"/>
        <v>4.9079999999999999E-2</v>
      </c>
      <c r="P28" s="382">
        <f>INT(N28/O28*100)/100</f>
        <v>90.54</v>
      </c>
      <c r="Q28" s="398">
        <f>INT((G21-P28)*100)/100</f>
        <v>-77.459999999999994</v>
      </c>
      <c r="S28"/>
      <c r="V28" s="54">
        <f t="shared" si="8"/>
        <v>160</v>
      </c>
      <c r="W28" s="50">
        <f t="shared" si="9"/>
        <v>3.0183979517608415</v>
      </c>
      <c r="X28" s="50">
        <f t="shared" si="10"/>
        <v>0.125</v>
      </c>
      <c r="Y28" s="50">
        <f t="shared" si="11"/>
        <v>5.0000000000000001E-4</v>
      </c>
      <c r="Z28" s="50">
        <f t="shared" si="3"/>
        <v>0.29166666666666669</v>
      </c>
      <c r="AA28" s="77">
        <f t="shared" si="4"/>
        <v>420</v>
      </c>
      <c r="AB28" s="72">
        <f t="shared" si="0"/>
        <v>36.473162972063193</v>
      </c>
      <c r="AC28" s="56">
        <f t="shared" si="5"/>
        <v>36.473162972063193</v>
      </c>
      <c r="AE28" s="55">
        <f t="shared" si="6"/>
        <v>420</v>
      </c>
      <c r="AF28" s="56">
        <f t="shared" si="20"/>
        <v>19.973163086879548</v>
      </c>
    </row>
    <row r="29" spans="1:32" s="50" customFormat="1" ht="21" customHeight="1">
      <c r="A29" s="176"/>
      <c r="B29" s="176"/>
      <c r="C29" s="178"/>
      <c r="D29" s="179">
        <v>120</v>
      </c>
      <c r="E29" s="169">
        <f t="shared" si="12"/>
        <v>8.3333333333333329E-2</v>
      </c>
      <c r="F29" s="180">
        <f t="shared" si="13"/>
        <v>26.601127999846028</v>
      </c>
      <c r="G29" s="180">
        <f t="shared" si="14"/>
        <v>16.301127999846027</v>
      </c>
      <c r="H29" s="182"/>
      <c r="I29" s="182"/>
      <c r="J29" s="182"/>
      <c r="K29" s="533">
        <f t="shared" si="15"/>
        <v>0.39140042551434107</v>
      </c>
      <c r="L29" s="397">
        <f t="shared" si="16"/>
        <v>45</v>
      </c>
      <c r="M29" s="382">
        <f t="shared" si="21"/>
        <v>0.1111</v>
      </c>
      <c r="N29" s="382">
        <f>L29*M29</f>
        <v>4.9995000000000003</v>
      </c>
      <c r="O29" s="382">
        <f t="shared" si="19"/>
        <v>4.9079999999999999E-2</v>
      </c>
      <c r="P29" s="382">
        <f>INT(N29/O29*100)/100</f>
        <v>101.86</v>
      </c>
      <c r="Q29" s="398">
        <f>INT((G22-P29)*100)/100</f>
        <v>-88.44</v>
      </c>
      <c r="V29" s="54">
        <f t="shared" si="8"/>
        <v>160</v>
      </c>
      <c r="W29" s="50">
        <f t="shared" si="9"/>
        <v>3.0183979517608415</v>
      </c>
      <c r="X29" s="50">
        <f t="shared" si="10"/>
        <v>0.125</v>
      </c>
      <c r="Y29" s="50">
        <f t="shared" si="11"/>
        <v>5.0000000000000001E-4</v>
      </c>
      <c r="Z29" s="50">
        <f t="shared" si="3"/>
        <v>0.33333333333333331</v>
      </c>
      <c r="AA29" s="55">
        <f t="shared" si="4"/>
        <v>480</v>
      </c>
      <c r="AB29" s="72">
        <f t="shared" si="0"/>
        <v>36.864563397577541</v>
      </c>
      <c r="AC29" s="56">
        <f t="shared" si="5"/>
        <v>36.864563397577541</v>
      </c>
      <c r="AE29" s="55">
        <f t="shared" si="6"/>
        <v>480</v>
      </c>
      <c r="AF29" s="56">
        <f t="shared" si="20"/>
        <v>20.364563512393897</v>
      </c>
    </row>
    <row r="30" spans="1:32" s="50" customFormat="1" ht="21" customHeight="1">
      <c r="A30" s="176" t="s">
        <v>4</v>
      </c>
      <c r="B30" s="176" t="s">
        <v>4</v>
      </c>
      <c r="C30" s="178" t="s">
        <v>4</v>
      </c>
      <c r="D30" s="179">
        <v>140</v>
      </c>
      <c r="E30" s="169">
        <f t="shared" si="12"/>
        <v>9.7222222222222224E-2</v>
      </c>
      <c r="F30" s="180">
        <f t="shared" si="13"/>
        <v>27.052966631136044</v>
      </c>
      <c r="G30" s="180">
        <f t="shared" si="14"/>
        <v>16.752966631136044</v>
      </c>
      <c r="H30" s="182"/>
      <c r="I30" s="182"/>
      <c r="J30" s="182"/>
      <c r="K30" s="533">
        <f t="shared" si="15"/>
        <v>0.45183863129001622</v>
      </c>
      <c r="L30" s="397">
        <f t="shared" si="16"/>
        <v>50</v>
      </c>
      <c r="M30" s="382">
        <f t="shared" si="21"/>
        <v>0.1111</v>
      </c>
      <c r="N30" s="382">
        <f>L30*M30</f>
        <v>5.5550000000000006</v>
      </c>
      <c r="O30" s="382">
        <f t="shared" si="19"/>
        <v>4.9079999999999999E-2</v>
      </c>
      <c r="P30" s="382">
        <f>INT(N30/O30*100)/100</f>
        <v>113.18</v>
      </c>
      <c r="Q30" s="398">
        <f>INT((G23-P30)*100)/100</f>
        <v>-99.45</v>
      </c>
      <c r="V30" s="54">
        <f t="shared" si="8"/>
        <v>160</v>
      </c>
      <c r="W30" s="50">
        <f t="shared" si="9"/>
        <v>3.0183979517608415</v>
      </c>
      <c r="X30" s="50">
        <f t="shared" si="10"/>
        <v>0.125</v>
      </c>
      <c r="Y30" s="50">
        <f t="shared" si="11"/>
        <v>5.0000000000000001E-4</v>
      </c>
      <c r="Z30" s="50">
        <f t="shared" si="3"/>
        <v>0.375</v>
      </c>
      <c r="AA30" s="77">
        <f t="shared" si="4"/>
        <v>540</v>
      </c>
      <c r="AB30" s="72">
        <f t="shared" si="0"/>
        <v>37.209803040242754</v>
      </c>
      <c r="AC30" s="56">
        <f t="shared" si="5"/>
        <v>37.209803040242754</v>
      </c>
      <c r="AE30" s="55">
        <f t="shared" si="6"/>
        <v>540</v>
      </c>
      <c r="AF30" s="56">
        <f t="shared" si="20"/>
        <v>20.70980315505911</v>
      </c>
    </row>
    <row r="31" spans="1:32" s="50" customFormat="1" ht="21" customHeight="1" thickBot="1">
      <c r="A31" s="176"/>
      <c r="B31" s="176"/>
      <c r="C31" s="178"/>
      <c r="D31" s="179">
        <v>160</v>
      </c>
      <c r="E31" s="169">
        <f t="shared" si="12"/>
        <v>0.1111111111111111</v>
      </c>
      <c r="F31" s="180">
        <f t="shared" si="13"/>
        <v>27.444367056650385</v>
      </c>
      <c r="G31" s="180">
        <f t="shared" si="14"/>
        <v>17.144367056650385</v>
      </c>
      <c r="H31" s="182"/>
      <c r="I31" s="182"/>
      <c r="J31" s="182"/>
      <c r="K31" s="533">
        <f t="shared" si="15"/>
        <v>0.39140042551434107</v>
      </c>
      <c r="L31" s="399">
        <f t="shared" si="16"/>
        <v>55</v>
      </c>
      <c r="M31" s="400">
        <f t="shared" si="21"/>
        <v>0.1111</v>
      </c>
      <c r="N31" s="400">
        <f>L31*M31</f>
        <v>6.1105</v>
      </c>
      <c r="O31" s="400">
        <f t="shared" si="19"/>
        <v>4.9079999999999999E-2</v>
      </c>
      <c r="P31" s="400">
        <f>INT(N31/O31*100)/100</f>
        <v>124.5</v>
      </c>
      <c r="Q31" s="401">
        <f>INT((G24-P31)*100)/100</f>
        <v>-110.49</v>
      </c>
      <c r="V31" s="54">
        <f t="shared" si="8"/>
        <v>160</v>
      </c>
      <c r="W31" s="50">
        <f t="shared" si="9"/>
        <v>3.0183979517608415</v>
      </c>
      <c r="X31" s="50">
        <f t="shared" si="10"/>
        <v>0.125</v>
      </c>
      <c r="Y31" s="50">
        <f t="shared" si="11"/>
        <v>5.0000000000000001E-4</v>
      </c>
      <c r="Z31" s="50">
        <f t="shared" si="3"/>
        <v>0.41666666666666669</v>
      </c>
      <c r="AA31" s="55">
        <f t="shared" si="4"/>
        <v>600</v>
      </c>
      <c r="AB31" s="72">
        <f t="shared" si="0"/>
        <v>37.518630424203629</v>
      </c>
      <c r="AC31" s="56">
        <f t="shared" si="5"/>
        <v>37.518630424203629</v>
      </c>
      <c r="AE31" s="55">
        <f t="shared" si="6"/>
        <v>600</v>
      </c>
      <c r="AF31" s="56">
        <f t="shared" si="20"/>
        <v>21.018630539019984</v>
      </c>
    </row>
    <row r="32" spans="1:32" s="50" customFormat="1" ht="21" customHeight="1">
      <c r="A32" s="176"/>
      <c r="B32" s="176"/>
      <c r="C32" s="178"/>
      <c r="D32" s="179">
        <v>180</v>
      </c>
      <c r="E32" s="169">
        <f t="shared" si="12"/>
        <v>0.125</v>
      </c>
      <c r="F32" s="180">
        <f t="shared" si="13"/>
        <v>27.789606699315605</v>
      </c>
      <c r="G32" s="180">
        <f t="shared" si="14"/>
        <v>17.489606699315605</v>
      </c>
      <c r="H32" s="182"/>
      <c r="I32" s="182"/>
      <c r="J32" s="182"/>
      <c r="K32" s="533">
        <f t="shared" si="15"/>
        <v>0.34523964266522</v>
      </c>
      <c r="L32" s="76" t="s">
        <v>21</v>
      </c>
      <c r="O32" s="78"/>
      <c r="V32" s="54">
        <f t="shared" si="8"/>
        <v>160</v>
      </c>
      <c r="W32" s="50">
        <f t="shared" si="9"/>
        <v>3.0183979517608415</v>
      </c>
      <c r="X32" s="50">
        <f t="shared" si="10"/>
        <v>0.125</v>
      </c>
      <c r="Y32" s="50">
        <f t="shared" si="11"/>
        <v>5.0000000000000001E-4</v>
      </c>
      <c r="Z32" s="50">
        <f t="shared" si="3"/>
        <v>0.45833333333333331</v>
      </c>
      <c r="AA32" s="77">
        <f t="shared" si="4"/>
        <v>660</v>
      </c>
      <c r="AB32" s="72">
        <f t="shared" si="0"/>
        <v>37.797998774956611</v>
      </c>
      <c r="AC32" s="56">
        <f t="shared" si="5"/>
        <v>37.797998774956611</v>
      </c>
      <c r="AE32" s="55">
        <f t="shared" si="6"/>
        <v>660</v>
      </c>
      <c r="AF32" s="56">
        <f t="shared" si="20"/>
        <v>21.297998889772966</v>
      </c>
    </row>
    <row r="33" spans="1:32" s="50" customFormat="1" ht="21" customHeight="1">
      <c r="A33" s="176"/>
      <c r="B33" s="176"/>
      <c r="C33" s="178">
        <f>$C$10+D33/1440</f>
        <v>44993.645833333328</v>
      </c>
      <c r="D33" s="179">
        <f t="shared" ref="D33:D76" si="23">D32+60</f>
        <v>240</v>
      </c>
      <c r="E33" s="169">
        <f t="shared" si="12"/>
        <v>0.16666666666666666</v>
      </c>
      <c r="F33" s="180">
        <f t="shared" si="13"/>
        <v>28.632845756119963</v>
      </c>
      <c r="G33" s="180">
        <f t="shared" si="14"/>
        <v>18.332845756119962</v>
      </c>
      <c r="H33" s="182"/>
      <c r="I33" s="182"/>
      <c r="J33" s="182"/>
      <c r="K33" s="533">
        <f t="shared" si="15"/>
        <v>0.84323905680435729</v>
      </c>
      <c r="L33" s="71" t="s">
        <v>21</v>
      </c>
      <c r="O33" s="78"/>
      <c r="V33" s="54">
        <f t="shared" si="8"/>
        <v>160</v>
      </c>
      <c r="W33" s="50">
        <f t="shared" si="9"/>
        <v>3.0183979517608415</v>
      </c>
      <c r="X33" s="50">
        <f t="shared" si="10"/>
        <v>0.125</v>
      </c>
      <c r="Y33" s="50">
        <f t="shared" si="11"/>
        <v>5.0000000000000001E-4</v>
      </c>
      <c r="Z33" s="50">
        <f t="shared" si="3"/>
        <v>0.5</v>
      </c>
      <c r="AA33" s="55">
        <f t="shared" si="4"/>
        <v>720</v>
      </c>
      <c r="AB33" s="72">
        <f t="shared" si="0"/>
        <v>38.053042097047111</v>
      </c>
      <c r="AC33" s="56">
        <f t="shared" si="5"/>
        <v>38.053042097047111</v>
      </c>
      <c r="AE33" s="406">
        <f t="shared" si="6"/>
        <v>720</v>
      </c>
      <c r="AF33" s="56">
        <f t="shared" si="20"/>
        <v>21.553042211863467</v>
      </c>
    </row>
    <row r="34" spans="1:32" s="50" customFormat="1" ht="21" customHeight="1">
      <c r="A34" s="176"/>
      <c r="B34" s="176"/>
      <c r="C34" s="178"/>
      <c r="D34" s="179">
        <f t="shared" si="23"/>
        <v>300</v>
      </c>
      <c r="E34" s="169">
        <f t="shared" si="12"/>
        <v>0.20833333333333334</v>
      </c>
      <c r="F34" s="180">
        <f t="shared" si="13"/>
        <v>29.286912782746057</v>
      </c>
      <c r="G34" s="180">
        <f t="shared" si="14"/>
        <v>18.986912782746057</v>
      </c>
      <c r="H34" s="182"/>
      <c r="I34" s="182"/>
      <c r="J34" s="182"/>
      <c r="K34" s="533">
        <f t="shared" si="15"/>
        <v>0.65406702662609462</v>
      </c>
      <c r="L34" s="71" t="s">
        <v>21</v>
      </c>
      <c r="P34" s="78"/>
      <c r="V34" s="54">
        <f t="shared" si="8"/>
        <v>160</v>
      </c>
      <c r="W34" s="50">
        <f t="shared" si="9"/>
        <v>3.0183979517608415</v>
      </c>
      <c r="X34" s="50">
        <f t="shared" si="10"/>
        <v>0.125</v>
      </c>
      <c r="Y34" s="50">
        <f t="shared" si="11"/>
        <v>5.0000000000000001E-4</v>
      </c>
      <c r="Z34" s="50">
        <f t="shared" si="3"/>
        <v>0.54166666666666663</v>
      </c>
      <c r="AA34" s="77">
        <f t="shared" si="4"/>
        <v>780</v>
      </c>
      <c r="AB34" s="72">
        <f t="shared" si="0"/>
        <v>38.287659210124303</v>
      </c>
      <c r="AC34" s="56">
        <f t="shared" si="5"/>
        <v>38.287659210124303</v>
      </c>
      <c r="AE34" s="55">
        <f t="shared" si="6"/>
        <v>780</v>
      </c>
      <c r="AF34" s="56">
        <f t="shared" si="20"/>
        <v>21.787659324940659</v>
      </c>
    </row>
    <row r="35" spans="1:32" s="50" customFormat="1" ht="21" customHeight="1">
      <c r="A35" s="176" t="s">
        <v>4</v>
      </c>
      <c r="B35" s="176" t="s">
        <v>4</v>
      </c>
      <c r="C35" s="178" t="s">
        <v>4</v>
      </c>
      <c r="D35" s="179">
        <f t="shared" si="23"/>
        <v>360</v>
      </c>
      <c r="E35" s="169">
        <f t="shared" si="12"/>
        <v>0.25</v>
      </c>
      <c r="F35" s="180">
        <f t="shared" si="13"/>
        <v>29.82132445558954</v>
      </c>
      <c r="G35" s="180">
        <f t="shared" si="14"/>
        <v>19.521324455589539</v>
      </c>
      <c r="H35" s="182"/>
      <c r="I35" s="182"/>
      <c r="J35" s="182"/>
      <c r="K35" s="533">
        <f t="shared" si="15"/>
        <v>0.53441167284348268</v>
      </c>
      <c r="L35" s="71" t="s">
        <v>21</v>
      </c>
      <c r="O35" s="78"/>
      <c r="V35" s="54">
        <f t="shared" si="8"/>
        <v>160</v>
      </c>
      <c r="W35" s="50">
        <f t="shared" si="9"/>
        <v>3.0183979517608415</v>
      </c>
      <c r="X35" s="50">
        <f t="shared" si="10"/>
        <v>0.125</v>
      </c>
      <c r="Y35" s="50">
        <f t="shared" si="11"/>
        <v>5.0000000000000001E-4</v>
      </c>
      <c r="Z35" s="50">
        <f t="shared" si="3"/>
        <v>0.58333333333333337</v>
      </c>
      <c r="AA35" s="55">
        <f t="shared" si="4"/>
        <v>840</v>
      </c>
      <c r="AB35" s="72">
        <f t="shared" si="0"/>
        <v>38.504880728337127</v>
      </c>
      <c r="AC35" s="56">
        <f t="shared" si="5"/>
        <v>38.504880728337127</v>
      </c>
      <c r="AE35" s="55">
        <f t="shared" si="6"/>
        <v>840</v>
      </c>
      <c r="AF35" s="56">
        <f t="shared" si="20"/>
        <v>22.004880843153483</v>
      </c>
    </row>
    <row r="36" spans="1:32" s="50" customFormat="1" ht="21" customHeight="1">
      <c r="A36" s="176"/>
      <c r="B36" s="176"/>
      <c r="C36" s="178"/>
      <c r="D36" s="179">
        <f t="shared" si="23"/>
        <v>420</v>
      </c>
      <c r="E36" s="169">
        <f t="shared" si="12"/>
        <v>0.29166666666666669</v>
      </c>
      <c r="F36" s="180">
        <f t="shared" si="13"/>
        <v>30.273163086879549</v>
      </c>
      <c r="G36" s="180">
        <f t="shared" si="14"/>
        <v>19.973163086879548</v>
      </c>
      <c r="H36" s="182"/>
      <c r="I36" s="182"/>
      <c r="J36" s="182"/>
      <c r="K36" s="533">
        <f t="shared" si="15"/>
        <v>0.45183863129000912</v>
      </c>
      <c r="L36" s="71" t="s">
        <v>21</v>
      </c>
      <c r="V36" s="54">
        <f t="shared" si="8"/>
        <v>160</v>
      </c>
      <c r="W36" s="50">
        <f t="shared" si="9"/>
        <v>3.0183979517608415</v>
      </c>
      <c r="X36" s="50">
        <f t="shared" si="10"/>
        <v>0.125</v>
      </c>
      <c r="Y36" s="50">
        <f t="shared" si="11"/>
        <v>5.0000000000000001E-4</v>
      </c>
      <c r="Z36" s="50">
        <f t="shared" si="3"/>
        <v>0.625</v>
      </c>
      <c r="AA36" s="77">
        <f t="shared" si="4"/>
        <v>900</v>
      </c>
      <c r="AB36" s="72">
        <f t="shared" si="0"/>
        <v>38.707109123673206</v>
      </c>
      <c r="AC36" s="56">
        <f t="shared" si="5"/>
        <v>38.707109123673206</v>
      </c>
      <c r="AE36" s="55">
        <f t="shared" si="6"/>
        <v>900</v>
      </c>
      <c r="AF36" s="56">
        <f t="shared" si="20"/>
        <v>22.207109238489561</v>
      </c>
    </row>
    <row r="37" spans="1:32" s="50" customFormat="1" ht="21" customHeight="1">
      <c r="A37" s="176"/>
      <c r="B37" s="176"/>
      <c r="C37" s="178"/>
      <c r="D37" s="179">
        <f t="shared" si="23"/>
        <v>480</v>
      </c>
      <c r="E37" s="169">
        <f t="shared" si="12"/>
        <v>0.33333333333333331</v>
      </c>
      <c r="F37" s="180">
        <f t="shared" si="13"/>
        <v>30.664563512393897</v>
      </c>
      <c r="G37" s="180">
        <f t="shared" si="14"/>
        <v>20.364563512393897</v>
      </c>
      <c r="H37" s="182"/>
      <c r="I37" s="182"/>
      <c r="J37" s="182"/>
      <c r="K37" s="533">
        <f t="shared" si="15"/>
        <v>0.39140042551434817</v>
      </c>
      <c r="L37" s="71" t="s">
        <v>21</v>
      </c>
      <c r="V37" s="54">
        <f t="shared" si="8"/>
        <v>160</v>
      </c>
      <c r="W37" s="50">
        <f t="shared" si="9"/>
        <v>3.0183979517608415</v>
      </c>
      <c r="X37" s="50">
        <f t="shared" si="10"/>
        <v>0.125</v>
      </c>
      <c r="Y37" s="50">
        <f t="shared" si="11"/>
        <v>5.0000000000000001E-4</v>
      </c>
      <c r="Z37" s="50">
        <f t="shared" si="3"/>
        <v>0.66666666666666663</v>
      </c>
      <c r="AA37" s="55">
        <f t="shared" si="4"/>
        <v>960</v>
      </c>
      <c r="AB37" s="72">
        <f t="shared" si="0"/>
        <v>38.896281153851469</v>
      </c>
      <c r="AC37" s="56">
        <f t="shared" si="5"/>
        <v>38.896281153851469</v>
      </c>
      <c r="AD37" s="50">
        <v>37</v>
      </c>
      <c r="AE37" s="55">
        <f t="shared" si="6"/>
        <v>960</v>
      </c>
      <c r="AF37" s="56">
        <f t="shared" si="20"/>
        <v>22.396281268667824</v>
      </c>
    </row>
    <row r="38" spans="1:32" s="50" customFormat="1" ht="21" customHeight="1">
      <c r="A38" s="176"/>
      <c r="B38" s="176"/>
      <c r="C38" s="178"/>
      <c r="D38" s="179">
        <f t="shared" si="23"/>
        <v>540</v>
      </c>
      <c r="E38" s="169">
        <f t="shared" si="12"/>
        <v>0.375</v>
      </c>
      <c r="F38" s="180">
        <f t="shared" si="13"/>
        <v>31.00980315505911</v>
      </c>
      <c r="G38" s="180">
        <f t="shared" si="14"/>
        <v>20.70980315505911</v>
      </c>
      <c r="H38" s="182"/>
      <c r="I38" s="182"/>
      <c r="J38" s="182"/>
      <c r="K38" s="533">
        <f t="shared" si="15"/>
        <v>0.3452396426652129</v>
      </c>
      <c r="L38" s="71" t="s">
        <v>21</v>
      </c>
      <c r="V38" s="54">
        <f t="shared" si="8"/>
        <v>160</v>
      </c>
      <c r="W38" s="50">
        <f t="shared" si="9"/>
        <v>3.0183979517608415</v>
      </c>
      <c r="X38" s="50">
        <f t="shared" si="10"/>
        <v>0.125</v>
      </c>
      <c r="Y38" s="50">
        <f t="shared" si="11"/>
        <v>5.0000000000000001E-4</v>
      </c>
      <c r="Z38" s="50">
        <f t="shared" si="3"/>
        <v>0.70833333333333337</v>
      </c>
      <c r="AA38" s="55">
        <f t="shared" si="4"/>
        <v>1020</v>
      </c>
      <c r="AB38" s="72">
        <f t="shared" si="0"/>
        <v>39.073980961433953</v>
      </c>
      <c r="AC38" s="56">
        <f t="shared" si="5"/>
        <v>39.073980961433953</v>
      </c>
      <c r="AD38" s="51" t="s">
        <v>40</v>
      </c>
      <c r="AE38" s="55">
        <f t="shared" si="6"/>
        <v>1020</v>
      </c>
      <c r="AF38" s="56">
        <f t="shared" si="20"/>
        <v>22.573981076250309</v>
      </c>
    </row>
    <row r="39" spans="1:32" s="50" customFormat="1" ht="21" customHeight="1">
      <c r="A39" s="176"/>
      <c r="B39" s="176"/>
      <c r="C39" s="178">
        <f>$C$10+D39/1440</f>
        <v>44993.895833333328</v>
      </c>
      <c r="D39" s="179">
        <f t="shared" si="23"/>
        <v>600</v>
      </c>
      <c r="E39" s="169">
        <f t="shared" si="12"/>
        <v>0.41666666666666669</v>
      </c>
      <c r="F39" s="180">
        <f t="shared" si="13"/>
        <v>31.318630539019985</v>
      </c>
      <c r="G39" s="180">
        <f t="shared" si="14"/>
        <v>21.018630539019984</v>
      </c>
      <c r="H39" s="182"/>
      <c r="I39" s="182"/>
      <c r="J39" s="182"/>
      <c r="K39" s="533">
        <f t="shared" si="15"/>
        <v>0.30882738396087461</v>
      </c>
      <c r="L39" s="71" t="s">
        <v>21</v>
      </c>
      <c r="V39" s="54">
        <f t="shared" si="8"/>
        <v>160</v>
      </c>
      <c r="W39" s="50">
        <f t="shared" si="9"/>
        <v>3.0183979517608415</v>
      </c>
      <c r="X39" s="50">
        <f t="shared" si="10"/>
        <v>0.125</v>
      </c>
      <c r="Y39" s="50">
        <f t="shared" si="11"/>
        <v>5.0000000000000001E-4</v>
      </c>
      <c r="Z39" s="50">
        <f t="shared" si="3"/>
        <v>0.75</v>
      </c>
      <c r="AA39" s="55">
        <f t="shared" si="4"/>
        <v>1080</v>
      </c>
      <c r="AB39" s="72">
        <f t="shared" si="0"/>
        <v>39.241520796516681</v>
      </c>
      <c r="AC39" s="56">
        <f t="shared" si="5"/>
        <v>39.241520796516681</v>
      </c>
      <c r="AD39" s="79">
        <v>39</v>
      </c>
      <c r="AE39" s="55">
        <f t="shared" si="6"/>
        <v>1080</v>
      </c>
      <c r="AF39" s="56">
        <f t="shared" si="20"/>
        <v>22.741520911333037</v>
      </c>
    </row>
    <row r="40" spans="1:32" s="50" customFormat="1" ht="21" customHeight="1">
      <c r="A40" s="176" t="s">
        <v>4</v>
      </c>
      <c r="B40" s="176" t="s">
        <v>4</v>
      </c>
      <c r="C40" s="178" t="s">
        <v>4</v>
      </c>
      <c r="D40" s="179">
        <f t="shared" si="23"/>
        <v>660</v>
      </c>
      <c r="E40" s="169">
        <f t="shared" si="12"/>
        <v>0.45833333333333331</v>
      </c>
      <c r="F40" s="180">
        <f t="shared" si="13"/>
        <v>31.597998889772967</v>
      </c>
      <c r="G40" s="180">
        <f t="shared" si="14"/>
        <v>21.297998889772966</v>
      </c>
      <c r="H40" s="182"/>
      <c r="I40" s="182"/>
      <c r="J40" s="182"/>
      <c r="K40" s="533">
        <f t="shared" si="15"/>
        <v>0.27936835075298205</v>
      </c>
      <c r="L40" s="71" t="s">
        <v>21</v>
      </c>
      <c r="V40" s="54">
        <f t="shared" si="8"/>
        <v>160</v>
      </c>
      <c r="W40" s="50">
        <f t="shared" si="9"/>
        <v>3.0183979517608415</v>
      </c>
      <c r="X40" s="50">
        <f t="shared" si="10"/>
        <v>0.125</v>
      </c>
      <c r="Y40" s="50">
        <f t="shared" si="11"/>
        <v>5.0000000000000001E-4</v>
      </c>
      <c r="Z40" s="50">
        <f t="shared" si="3"/>
        <v>0.79166666666666663</v>
      </c>
      <c r="AA40" s="55">
        <f t="shared" si="4"/>
        <v>1140</v>
      </c>
      <c r="AB40" s="72">
        <f t="shared" si="0"/>
        <v>39.399999885183647</v>
      </c>
      <c r="AC40" s="56">
        <f t="shared" si="5"/>
        <v>39.399999885183647</v>
      </c>
      <c r="AD40" s="79">
        <v>40</v>
      </c>
      <c r="AE40" s="55">
        <f t="shared" si="6"/>
        <v>1140</v>
      </c>
      <c r="AF40" s="56">
        <f t="shared" si="20"/>
        <v>22.900000000000002</v>
      </c>
    </row>
    <row r="41" spans="1:32" s="50" customFormat="1" ht="21" customHeight="1">
      <c r="A41" s="176"/>
      <c r="B41" s="176"/>
      <c r="C41" s="178"/>
      <c r="D41" s="179">
        <f t="shared" si="23"/>
        <v>720</v>
      </c>
      <c r="E41" s="169">
        <f t="shared" si="12"/>
        <v>0.5</v>
      </c>
      <c r="F41" s="180">
        <f t="shared" si="13"/>
        <v>31.853042211863468</v>
      </c>
      <c r="G41" s="180">
        <f t="shared" si="14"/>
        <v>21.553042211863467</v>
      </c>
      <c r="H41" s="182"/>
      <c r="I41" s="182"/>
      <c r="J41" s="182"/>
      <c r="K41" s="533">
        <f t="shared" si="15"/>
        <v>0.25504332209050062</v>
      </c>
      <c r="L41" s="71" t="s">
        <v>21</v>
      </c>
      <c r="V41" s="80">
        <f t="shared" si="8"/>
        <v>160</v>
      </c>
      <c r="W41" s="81">
        <f t="shared" si="9"/>
        <v>3.0183979517608415</v>
      </c>
      <c r="X41" s="81">
        <f t="shared" si="10"/>
        <v>0.125</v>
      </c>
      <c r="Y41" s="81">
        <f t="shared" si="11"/>
        <v>5.0000000000000001E-4</v>
      </c>
      <c r="Z41" s="81">
        <f t="shared" si="3"/>
        <v>0.83333333333333337</v>
      </c>
      <c r="AA41" s="82">
        <f t="shared" si="4"/>
        <v>1200</v>
      </c>
      <c r="AB41" s="83">
        <f t="shared" si="0"/>
        <v>39.399999885183647</v>
      </c>
      <c r="AC41" s="56">
        <f t="shared" ref="AC41:AC46" si="24">AC40</f>
        <v>39.399999885183647</v>
      </c>
      <c r="AD41" s="84">
        <v>41</v>
      </c>
      <c r="AE41" s="55">
        <f t="shared" si="6"/>
        <v>1200</v>
      </c>
      <c r="AF41" s="56">
        <f t="shared" si="20"/>
        <v>22.900000000000002</v>
      </c>
    </row>
    <row r="42" spans="1:32" s="50" customFormat="1" ht="21" customHeight="1">
      <c r="A42" s="176"/>
      <c r="B42" s="176"/>
      <c r="C42" s="178"/>
      <c r="D42" s="179">
        <f t="shared" si="23"/>
        <v>780</v>
      </c>
      <c r="E42" s="169">
        <f t="shared" si="12"/>
        <v>0.54166666666666663</v>
      </c>
      <c r="F42" s="180">
        <f t="shared" si="13"/>
        <v>32.08765932494066</v>
      </c>
      <c r="G42" s="180">
        <f t="shared" si="14"/>
        <v>21.787659324940659</v>
      </c>
      <c r="H42" s="182"/>
      <c r="I42" s="182"/>
      <c r="J42" s="182"/>
      <c r="K42" s="533">
        <f t="shared" si="15"/>
        <v>0.23461711307719213</v>
      </c>
      <c r="L42" s="71" t="s">
        <v>21</v>
      </c>
      <c r="V42" s="54">
        <f t="shared" si="8"/>
        <v>160</v>
      </c>
      <c r="W42" s="50">
        <f t="shared" si="9"/>
        <v>3.0183979517608415</v>
      </c>
      <c r="X42" s="50">
        <f t="shared" si="10"/>
        <v>0.125</v>
      </c>
      <c r="Y42" s="50">
        <f t="shared" si="11"/>
        <v>5.0000000000000001E-4</v>
      </c>
      <c r="Z42" s="50">
        <f t="shared" si="3"/>
        <v>0.875</v>
      </c>
      <c r="AA42" s="55">
        <f t="shared" si="4"/>
        <v>1260</v>
      </c>
      <c r="AB42" s="72">
        <f t="shared" si="0"/>
        <v>39.399999885183647</v>
      </c>
      <c r="AC42" s="56">
        <f t="shared" si="24"/>
        <v>39.399999885183647</v>
      </c>
      <c r="AD42" s="79">
        <v>42</v>
      </c>
      <c r="AE42" s="55">
        <f t="shared" si="6"/>
        <v>1260</v>
      </c>
      <c r="AF42" s="56">
        <f t="shared" si="20"/>
        <v>22.900000000000002</v>
      </c>
    </row>
    <row r="43" spans="1:32" s="50" customFormat="1" ht="21" customHeight="1">
      <c r="A43" s="176"/>
      <c r="B43" s="176"/>
      <c r="C43" s="178"/>
      <c r="D43" s="179">
        <f t="shared" si="23"/>
        <v>840</v>
      </c>
      <c r="E43" s="169">
        <f t="shared" si="12"/>
        <v>0.58333333333333337</v>
      </c>
      <c r="F43" s="180">
        <f t="shared" si="13"/>
        <v>32.304880843153484</v>
      </c>
      <c r="G43" s="180">
        <f t="shared" si="14"/>
        <v>22.004880843153483</v>
      </c>
      <c r="H43" s="182"/>
      <c r="I43" s="182"/>
      <c r="J43" s="182"/>
      <c r="K43" s="533">
        <f t="shared" si="15"/>
        <v>0.21722151821282409</v>
      </c>
      <c r="L43" s="71" t="s">
        <v>21</v>
      </c>
      <c r="V43" s="80">
        <f t="shared" si="8"/>
        <v>160</v>
      </c>
      <c r="W43" s="81">
        <f t="shared" si="9"/>
        <v>3.0183979517608415</v>
      </c>
      <c r="X43" s="81">
        <f t="shared" si="10"/>
        <v>0.125</v>
      </c>
      <c r="Y43" s="81">
        <f t="shared" si="11"/>
        <v>5.0000000000000001E-4</v>
      </c>
      <c r="Z43" s="81">
        <f t="shared" si="3"/>
        <v>0.91666666666666663</v>
      </c>
      <c r="AA43" s="82">
        <f t="shared" si="4"/>
        <v>1320</v>
      </c>
      <c r="AB43" s="83">
        <f t="shared" si="0"/>
        <v>39.399999885183647</v>
      </c>
      <c r="AC43" s="56">
        <f t="shared" si="24"/>
        <v>39.399999885183647</v>
      </c>
      <c r="AD43" s="84">
        <v>43</v>
      </c>
      <c r="AE43" s="55">
        <f t="shared" si="6"/>
        <v>1320</v>
      </c>
      <c r="AF43" s="56">
        <f t="shared" si="20"/>
        <v>22.900000000000002</v>
      </c>
    </row>
    <row r="44" spans="1:32" s="50" customFormat="1" ht="21" customHeight="1">
      <c r="A44" s="176"/>
      <c r="B44" s="176"/>
      <c r="C44" s="178"/>
      <c r="D44" s="179">
        <f t="shared" si="23"/>
        <v>900</v>
      </c>
      <c r="E44" s="169">
        <f t="shared" si="12"/>
        <v>0.625</v>
      </c>
      <c r="F44" s="180">
        <f t="shared" si="13"/>
        <v>32.507109238489562</v>
      </c>
      <c r="G44" s="180">
        <f t="shared" si="14"/>
        <v>22.207109238489561</v>
      </c>
      <c r="H44" s="182"/>
      <c r="I44" s="182"/>
      <c r="J44" s="182"/>
      <c r="K44" s="533">
        <f t="shared" si="15"/>
        <v>0.20222839533607839</v>
      </c>
      <c r="L44" s="71" t="s">
        <v>21</v>
      </c>
      <c r="V44" s="54">
        <f t="shared" si="8"/>
        <v>160</v>
      </c>
      <c r="W44" s="50">
        <f t="shared" si="9"/>
        <v>3.0183979517608415</v>
      </c>
      <c r="X44" s="50">
        <f t="shared" si="10"/>
        <v>0.125</v>
      </c>
      <c r="Y44" s="50">
        <f t="shared" si="11"/>
        <v>5.0000000000000001E-4</v>
      </c>
      <c r="Z44" s="50">
        <f t="shared" si="3"/>
        <v>0.95833333333333337</v>
      </c>
      <c r="AA44" s="55">
        <f t="shared" si="4"/>
        <v>1380</v>
      </c>
      <c r="AB44" s="72">
        <f t="shared" si="0"/>
        <v>39.399999885183647</v>
      </c>
      <c r="AC44" s="56">
        <f t="shared" si="24"/>
        <v>39.399999885183647</v>
      </c>
      <c r="AD44" s="79">
        <v>44</v>
      </c>
      <c r="AE44" s="55">
        <f t="shared" si="6"/>
        <v>1380</v>
      </c>
      <c r="AF44" s="56">
        <f t="shared" si="20"/>
        <v>22.900000000000002</v>
      </c>
    </row>
    <row r="45" spans="1:32" s="50" customFormat="1" ht="21" customHeight="1">
      <c r="A45" s="176" t="s">
        <v>4</v>
      </c>
      <c r="B45" s="176" t="s">
        <v>4</v>
      </c>
      <c r="C45" s="178">
        <f>$C$10+D45/1440</f>
        <v>44994.145833333328</v>
      </c>
      <c r="D45" s="179">
        <f t="shared" si="23"/>
        <v>960</v>
      </c>
      <c r="E45" s="169">
        <f t="shared" si="12"/>
        <v>0.66666666666666663</v>
      </c>
      <c r="F45" s="180">
        <f t="shared" si="13"/>
        <v>32.696281268667825</v>
      </c>
      <c r="G45" s="180">
        <f t="shared" si="14"/>
        <v>22.396281268667824</v>
      </c>
      <c r="H45" s="182"/>
      <c r="I45" s="182"/>
      <c r="J45" s="182"/>
      <c r="K45" s="533">
        <f t="shared" si="15"/>
        <v>0.18917203017826267</v>
      </c>
      <c r="L45" s="71" t="s">
        <v>21</v>
      </c>
      <c r="V45" s="80">
        <f t="shared" si="8"/>
        <v>160</v>
      </c>
      <c r="W45" s="81">
        <f t="shared" si="9"/>
        <v>3.0183979517608415</v>
      </c>
      <c r="X45" s="81">
        <f t="shared" si="10"/>
        <v>0.125</v>
      </c>
      <c r="Y45" s="81">
        <f t="shared" si="11"/>
        <v>5.0000000000000001E-4</v>
      </c>
      <c r="Z45" s="81">
        <f t="shared" si="3"/>
        <v>1</v>
      </c>
      <c r="AA45" s="82">
        <f t="shared" si="4"/>
        <v>1440</v>
      </c>
      <c r="AB45" s="83">
        <f t="shared" si="0"/>
        <v>39.399999885183647</v>
      </c>
      <c r="AC45" s="56">
        <f t="shared" si="24"/>
        <v>39.399999885183647</v>
      </c>
      <c r="AD45" s="84">
        <v>45</v>
      </c>
      <c r="AE45" s="55">
        <f t="shared" si="6"/>
        <v>1440</v>
      </c>
      <c r="AF45" s="56">
        <f t="shared" si="20"/>
        <v>22.900000000000002</v>
      </c>
    </row>
    <row r="46" spans="1:32" s="50" customFormat="1" ht="21" customHeight="1">
      <c r="A46" s="176"/>
      <c r="B46" s="176"/>
      <c r="C46" s="176"/>
      <c r="D46" s="183">
        <f t="shared" si="23"/>
        <v>1020</v>
      </c>
      <c r="E46" s="169">
        <f t="shared" si="12"/>
        <v>0.70833333333333337</v>
      </c>
      <c r="F46" s="180">
        <f t="shared" si="13"/>
        <v>32.87398107625031</v>
      </c>
      <c r="G46" s="180">
        <f t="shared" si="14"/>
        <v>22.573981076250309</v>
      </c>
      <c r="H46" s="182"/>
      <c r="I46" s="182"/>
      <c r="J46" s="182"/>
      <c r="K46" s="533">
        <f t="shared" si="15"/>
        <v>0.17769980758248494</v>
      </c>
      <c r="L46" s="71" t="s">
        <v>21</v>
      </c>
      <c r="V46" s="54">
        <f t="shared" si="8"/>
        <v>160</v>
      </c>
      <c r="W46" s="50">
        <f t="shared" si="9"/>
        <v>3.0183979517608415</v>
      </c>
      <c r="X46" s="50">
        <f t="shared" si="10"/>
        <v>0.125</v>
      </c>
      <c r="Y46" s="50">
        <f t="shared" si="11"/>
        <v>5.0000000000000001E-4</v>
      </c>
      <c r="Z46" s="50">
        <f t="shared" si="3"/>
        <v>1.0416666666666667</v>
      </c>
      <c r="AA46" s="85">
        <f t="shared" si="4"/>
        <v>1500</v>
      </c>
      <c r="AB46" s="86">
        <f t="shared" si="0"/>
        <v>39.399999885183647</v>
      </c>
      <c r="AC46" s="56">
        <f t="shared" si="24"/>
        <v>39.399999885183647</v>
      </c>
      <c r="AD46" s="79">
        <v>46</v>
      </c>
      <c r="AE46" s="85">
        <f t="shared" si="6"/>
        <v>1500</v>
      </c>
      <c r="AF46" s="87">
        <f t="shared" si="20"/>
        <v>22.900000000000002</v>
      </c>
    </row>
    <row r="47" spans="1:32" s="50" customFormat="1" ht="21" customHeight="1">
      <c r="A47" s="176"/>
      <c r="B47" s="176"/>
      <c r="C47" s="178"/>
      <c r="D47" s="179">
        <f t="shared" si="23"/>
        <v>1080</v>
      </c>
      <c r="E47" s="169">
        <f t="shared" si="12"/>
        <v>0.75</v>
      </c>
      <c r="F47" s="180">
        <f t="shared" si="13"/>
        <v>33.041520911333038</v>
      </c>
      <c r="G47" s="180">
        <f t="shared" si="14"/>
        <v>22.741520911333037</v>
      </c>
      <c r="H47" s="182"/>
      <c r="I47" s="182"/>
      <c r="J47" s="182"/>
      <c r="K47" s="533">
        <f t="shared" si="15"/>
        <v>0.16753983508272796</v>
      </c>
      <c r="L47" s="71" t="s">
        <v>21</v>
      </c>
      <c r="V47" s="54">
        <f t="shared" si="8"/>
        <v>160</v>
      </c>
      <c r="W47" s="50">
        <f t="shared" si="9"/>
        <v>3.0183979517608415</v>
      </c>
      <c r="X47" s="50">
        <f t="shared" si="10"/>
        <v>0.125</v>
      </c>
      <c r="Y47" s="50">
        <f t="shared" si="11"/>
        <v>5.0000000000000001E-4</v>
      </c>
      <c r="Z47" s="50">
        <f t="shared" si="3"/>
        <v>1.0833333333333333</v>
      </c>
      <c r="AA47" s="55">
        <f t="shared" si="4"/>
        <v>1560</v>
      </c>
      <c r="AB47" s="72">
        <f t="shared" si="0"/>
        <v>39.399999885183647</v>
      </c>
      <c r="AC47" s="56">
        <f t="shared" ref="AC47:AC69" si="25">AC46</f>
        <v>39.399999885183647</v>
      </c>
      <c r="AE47" s="55">
        <f t="shared" si="6"/>
        <v>1560</v>
      </c>
      <c r="AF47" s="56">
        <f t="shared" si="20"/>
        <v>22.900000000000002</v>
      </c>
    </row>
    <row r="48" spans="1:32" s="50" customFormat="1" ht="21" customHeight="1">
      <c r="A48" s="176"/>
      <c r="B48" s="176"/>
      <c r="C48" s="178"/>
      <c r="D48" s="179">
        <f t="shared" si="23"/>
        <v>1140</v>
      </c>
      <c r="E48" s="169">
        <f t="shared" si="12"/>
        <v>0.79166666666666663</v>
      </c>
      <c r="F48" s="180">
        <f t="shared" si="13"/>
        <v>33.200000000000003</v>
      </c>
      <c r="G48" s="180">
        <f t="shared" si="14"/>
        <v>22.900000000000002</v>
      </c>
      <c r="H48" s="182"/>
      <c r="I48" s="182"/>
      <c r="J48" s="182"/>
      <c r="K48" s="52" t="s">
        <v>21</v>
      </c>
      <c r="L48" s="71" t="s">
        <v>21</v>
      </c>
      <c r="V48" s="54">
        <f t="shared" si="8"/>
        <v>160</v>
      </c>
      <c r="W48" s="50">
        <f t="shared" si="9"/>
        <v>3.0183979517608415</v>
      </c>
      <c r="X48" s="50">
        <f t="shared" si="10"/>
        <v>0.125</v>
      </c>
      <c r="Y48" s="50">
        <f t="shared" si="11"/>
        <v>5.0000000000000001E-4</v>
      </c>
      <c r="Z48" s="50">
        <f t="shared" si="3"/>
        <v>1.125</v>
      </c>
      <c r="AA48" s="55">
        <f t="shared" si="4"/>
        <v>1620</v>
      </c>
      <c r="AB48" s="72">
        <f t="shared" si="0"/>
        <v>39.399999885183647</v>
      </c>
      <c r="AC48" s="56">
        <f t="shared" si="25"/>
        <v>39.399999885183647</v>
      </c>
      <c r="AE48" s="55">
        <f t="shared" si="6"/>
        <v>1620</v>
      </c>
      <c r="AF48" s="56">
        <f t="shared" si="20"/>
        <v>22.900000000000002</v>
      </c>
    </row>
    <row r="49" spans="1:32" s="50" customFormat="1" ht="21" customHeight="1">
      <c r="A49" s="176"/>
      <c r="B49" s="176"/>
      <c r="C49" s="178"/>
      <c r="D49" s="179">
        <f t="shared" si="23"/>
        <v>1200</v>
      </c>
      <c r="E49" s="169">
        <f t="shared" si="12"/>
        <v>0.83333333333333337</v>
      </c>
      <c r="F49" s="180">
        <f t="shared" si="13"/>
        <v>33.200000000000003</v>
      </c>
      <c r="G49" s="180">
        <f t="shared" si="14"/>
        <v>22.900000000000002</v>
      </c>
      <c r="H49" s="182"/>
      <c r="I49" s="182"/>
      <c r="J49" s="182"/>
      <c r="K49" s="52" t="s">
        <v>21</v>
      </c>
      <c r="L49" s="71" t="s">
        <v>21</v>
      </c>
      <c r="V49" s="54">
        <f t="shared" si="8"/>
        <v>160</v>
      </c>
      <c r="W49" s="50">
        <f t="shared" si="9"/>
        <v>3.0183979517608415</v>
      </c>
      <c r="X49" s="50">
        <f t="shared" si="10"/>
        <v>0.125</v>
      </c>
      <c r="Y49" s="50">
        <f t="shared" si="11"/>
        <v>5.0000000000000001E-4</v>
      </c>
      <c r="Z49" s="50">
        <f t="shared" si="3"/>
        <v>1.1666666666666667</v>
      </c>
      <c r="AA49" s="55">
        <f t="shared" si="4"/>
        <v>1680</v>
      </c>
      <c r="AB49" s="72">
        <f t="shared" si="0"/>
        <v>39.399999885183647</v>
      </c>
      <c r="AC49" s="56">
        <f t="shared" si="25"/>
        <v>39.399999885183647</v>
      </c>
      <c r="AE49" s="55">
        <f t="shared" si="6"/>
        <v>1680</v>
      </c>
      <c r="AF49" s="56">
        <f t="shared" si="20"/>
        <v>22.900000000000002</v>
      </c>
    </row>
    <row r="50" spans="1:32" s="50" customFormat="1" ht="21" customHeight="1">
      <c r="A50" s="176"/>
      <c r="B50" s="176"/>
      <c r="C50" s="178"/>
      <c r="D50" s="179">
        <f t="shared" si="23"/>
        <v>1260</v>
      </c>
      <c r="E50" s="169">
        <f t="shared" si="12"/>
        <v>0.875</v>
      </c>
      <c r="F50" s="180">
        <f t="shared" si="13"/>
        <v>33.200000000000003</v>
      </c>
      <c r="G50" s="180">
        <f t="shared" si="14"/>
        <v>22.900000000000002</v>
      </c>
      <c r="H50" s="182"/>
      <c r="I50" s="182"/>
      <c r="J50" s="182"/>
      <c r="K50" s="52" t="s">
        <v>21</v>
      </c>
      <c r="L50" s="71" t="s">
        <v>21</v>
      </c>
      <c r="V50" s="54">
        <f t="shared" si="8"/>
        <v>160</v>
      </c>
      <c r="W50" s="50">
        <f t="shared" si="9"/>
        <v>3.0183979517608415</v>
      </c>
      <c r="X50" s="50">
        <f t="shared" si="10"/>
        <v>0.125</v>
      </c>
      <c r="Y50" s="50">
        <f t="shared" si="11"/>
        <v>5.0000000000000001E-4</v>
      </c>
      <c r="Z50" s="50">
        <f t="shared" si="3"/>
        <v>1.2083333333333333</v>
      </c>
      <c r="AA50" s="55">
        <f t="shared" si="4"/>
        <v>1740</v>
      </c>
      <c r="AB50" s="72">
        <f t="shared" si="0"/>
        <v>39.399999885183647</v>
      </c>
      <c r="AC50" s="56">
        <f t="shared" si="25"/>
        <v>39.399999885183647</v>
      </c>
      <c r="AE50" s="55">
        <f t="shared" si="6"/>
        <v>1740</v>
      </c>
      <c r="AF50" s="56">
        <f t="shared" si="20"/>
        <v>22.900000000000002</v>
      </c>
    </row>
    <row r="51" spans="1:32" s="50" customFormat="1" ht="21" customHeight="1">
      <c r="A51" s="176"/>
      <c r="B51" s="176"/>
      <c r="C51" s="178">
        <f>$C$10+D51/1440</f>
        <v>44994.395833333328</v>
      </c>
      <c r="D51" s="179">
        <f t="shared" si="23"/>
        <v>1320</v>
      </c>
      <c r="E51" s="169">
        <f t="shared" si="12"/>
        <v>0.91666666666666663</v>
      </c>
      <c r="F51" s="180">
        <f t="shared" si="13"/>
        <v>33.200000000000003</v>
      </c>
      <c r="G51" s="180">
        <f t="shared" si="14"/>
        <v>22.900000000000002</v>
      </c>
      <c r="H51" s="182"/>
      <c r="I51" s="182"/>
      <c r="J51" s="182"/>
      <c r="K51" s="52" t="s">
        <v>21</v>
      </c>
      <c r="L51" s="71" t="s">
        <v>21</v>
      </c>
      <c r="V51" s="54">
        <f t="shared" si="8"/>
        <v>160</v>
      </c>
      <c r="W51" s="50">
        <f t="shared" si="9"/>
        <v>3.0183979517608415</v>
      </c>
      <c r="X51" s="50">
        <f t="shared" si="10"/>
        <v>0.125</v>
      </c>
      <c r="Y51" s="50">
        <f t="shared" si="11"/>
        <v>5.0000000000000001E-4</v>
      </c>
      <c r="Z51" s="50">
        <f t="shared" si="3"/>
        <v>1.25</v>
      </c>
      <c r="AA51" s="55">
        <f t="shared" si="4"/>
        <v>1800</v>
      </c>
      <c r="AB51" s="72">
        <f t="shared" si="0"/>
        <v>39.399999885183647</v>
      </c>
      <c r="AC51" s="56">
        <f t="shared" si="25"/>
        <v>39.399999885183647</v>
      </c>
      <c r="AE51" s="55">
        <f t="shared" si="6"/>
        <v>1800</v>
      </c>
      <c r="AF51" s="56">
        <f t="shared" si="20"/>
        <v>22.900000000000002</v>
      </c>
    </row>
    <row r="52" spans="1:32" s="50" customFormat="1" ht="21" customHeight="1">
      <c r="A52" s="176"/>
      <c r="B52" s="176"/>
      <c r="C52" s="178"/>
      <c r="D52" s="179">
        <f t="shared" si="23"/>
        <v>1380</v>
      </c>
      <c r="E52" s="169">
        <f t="shared" si="12"/>
        <v>0.95833333333333337</v>
      </c>
      <c r="F52" s="180">
        <f t="shared" si="13"/>
        <v>33.200000000000003</v>
      </c>
      <c r="G52" s="180">
        <f t="shared" si="14"/>
        <v>22.900000000000002</v>
      </c>
      <c r="H52" s="182"/>
      <c r="I52" s="182"/>
      <c r="J52" s="182"/>
      <c r="K52" s="52" t="s">
        <v>21</v>
      </c>
      <c r="L52" s="71" t="s">
        <v>21</v>
      </c>
      <c r="V52" s="54">
        <f t="shared" si="8"/>
        <v>160</v>
      </c>
      <c r="W52" s="50">
        <f t="shared" si="9"/>
        <v>3.0183979517608415</v>
      </c>
      <c r="X52" s="50">
        <f t="shared" si="10"/>
        <v>0.125</v>
      </c>
      <c r="Y52" s="50">
        <f t="shared" si="11"/>
        <v>5.0000000000000001E-4</v>
      </c>
      <c r="Z52" s="50">
        <f t="shared" si="3"/>
        <v>1.2916666666666667</v>
      </c>
      <c r="AA52" s="55">
        <f t="shared" si="4"/>
        <v>1860</v>
      </c>
      <c r="AB52" s="72">
        <f t="shared" si="0"/>
        <v>39.399999885183647</v>
      </c>
      <c r="AC52" s="56">
        <f t="shared" si="25"/>
        <v>39.399999885183647</v>
      </c>
      <c r="AE52" s="55">
        <f t="shared" si="6"/>
        <v>1860</v>
      </c>
      <c r="AF52" s="56">
        <f t="shared" si="20"/>
        <v>22.900000000000002</v>
      </c>
    </row>
    <row r="53" spans="1:32" s="50" customFormat="1" ht="21" customHeight="1">
      <c r="A53" s="176"/>
      <c r="B53" s="176"/>
      <c r="C53" s="178"/>
      <c r="D53" s="179">
        <f t="shared" si="23"/>
        <v>1440</v>
      </c>
      <c r="E53" s="169">
        <f t="shared" si="12"/>
        <v>1</v>
      </c>
      <c r="F53" s="180">
        <f t="shared" si="13"/>
        <v>33.200000000000003</v>
      </c>
      <c r="G53" s="180">
        <f t="shared" si="14"/>
        <v>22.900000000000002</v>
      </c>
      <c r="H53" s="182"/>
      <c r="I53" s="182"/>
      <c r="J53" s="182"/>
      <c r="K53" s="52" t="s">
        <v>21</v>
      </c>
      <c r="L53" s="71" t="s">
        <v>21</v>
      </c>
      <c r="V53" s="54">
        <f t="shared" si="8"/>
        <v>160</v>
      </c>
      <c r="W53" s="50">
        <f t="shared" si="9"/>
        <v>3.0183979517608415</v>
      </c>
      <c r="X53" s="50">
        <f t="shared" si="10"/>
        <v>0.125</v>
      </c>
      <c r="Y53" s="50">
        <f t="shared" si="11"/>
        <v>5.0000000000000001E-4</v>
      </c>
      <c r="Z53" s="50">
        <f t="shared" si="3"/>
        <v>1.3333333333333333</v>
      </c>
      <c r="AA53" s="55">
        <f t="shared" si="4"/>
        <v>1920</v>
      </c>
      <c r="AB53" s="72">
        <f t="shared" si="0"/>
        <v>39.399999885183647</v>
      </c>
      <c r="AC53" s="56">
        <f t="shared" si="25"/>
        <v>39.399999885183647</v>
      </c>
      <c r="AE53" s="55">
        <f t="shared" si="6"/>
        <v>1920</v>
      </c>
      <c r="AF53" s="56">
        <f t="shared" si="20"/>
        <v>22.900000000000002</v>
      </c>
    </row>
    <row r="54" spans="1:32" s="50" customFormat="1" ht="21" customHeight="1">
      <c r="A54" s="176"/>
      <c r="B54" s="176"/>
      <c r="C54" s="178"/>
      <c r="D54" s="179">
        <f t="shared" si="23"/>
        <v>1500</v>
      </c>
      <c r="E54" s="169">
        <f t="shared" si="12"/>
        <v>1.0416666666666667</v>
      </c>
      <c r="F54" s="180">
        <f t="shared" si="13"/>
        <v>33.200000000000003</v>
      </c>
      <c r="G54" s="180">
        <f t="shared" si="14"/>
        <v>22.900000000000002</v>
      </c>
      <c r="H54" s="182"/>
      <c r="I54" s="182"/>
      <c r="J54" s="182"/>
      <c r="K54" s="52" t="s">
        <v>21</v>
      </c>
      <c r="L54" s="71" t="s">
        <v>21</v>
      </c>
      <c r="V54" s="54">
        <f t="shared" si="8"/>
        <v>160</v>
      </c>
      <c r="W54" s="50">
        <f t="shared" si="9"/>
        <v>3.0183979517608415</v>
      </c>
      <c r="X54" s="50">
        <f t="shared" si="10"/>
        <v>0.125</v>
      </c>
      <c r="Y54" s="50">
        <f t="shared" si="11"/>
        <v>5.0000000000000001E-4</v>
      </c>
      <c r="Z54" s="50">
        <f t="shared" si="3"/>
        <v>1.375</v>
      </c>
      <c r="AA54" s="55">
        <f t="shared" si="4"/>
        <v>1980</v>
      </c>
      <c r="AB54" s="72">
        <f t="shared" si="0"/>
        <v>39.399999885183647</v>
      </c>
      <c r="AC54" s="56">
        <f t="shared" si="25"/>
        <v>39.399999885183647</v>
      </c>
      <c r="AE54" s="55">
        <f t="shared" si="6"/>
        <v>1980</v>
      </c>
      <c r="AF54" s="56">
        <f t="shared" si="20"/>
        <v>22.900000000000002</v>
      </c>
    </row>
    <row r="55" spans="1:32" s="50" customFormat="1" ht="21" customHeight="1">
      <c r="A55" s="176"/>
      <c r="B55" s="176"/>
      <c r="C55" s="178" t="s">
        <v>4</v>
      </c>
      <c r="D55" s="179">
        <f t="shared" si="23"/>
        <v>1560</v>
      </c>
      <c r="E55" s="169">
        <f t="shared" si="12"/>
        <v>1.0833333333333333</v>
      </c>
      <c r="F55" s="180">
        <f t="shared" si="13"/>
        <v>33.200000000000003</v>
      </c>
      <c r="G55" s="180">
        <f t="shared" si="14"/>
        <v>22.900000000000002</v>
      </c>
      <c r="H55" s="182"/>
      <c r="I55" s="182"/>
      <c r="J55" s="182"/>
      <c r="K55" s="52" t="s">
        <v>21</v>
      </c>
      <c r="L55" s="71" t="s">
        <v>21</v>
      </c>
      <c r="V55" s="54">
        <f t="shared" si="8"/>
        <v>160</v>
      </c>
      <c r="W55" s="50">
        <f t="shared" si="9"/>
        <v>3.0183979517608415</v>
      </c>
      <c r="X55" s="50">
        <f t="shared" si="10"/>
        <v>0.125</v>
      </c>
      <c r="Y55" s="50">
        <f t="shared" si="11"/>
        <v>5.0000000000000001E-4</v>
      </c>
      <c r="Z55" s="50">
        <f t="shared" si="3"/>
        <v>1.4166666666666667</v>
      </c>
      <c r="AA55" s="55">
        <f t="shared" si="4"/>
        <v>2040</v>
      </c>
      <c r="AB55" s="72">
        <f t="shared" si="0"/>
        <v>39.399999885183647</v>
      </c>
      <c r="AC55" s="56">
        <f t="shared" si="25"/>
        <v>39.399999885183647</v>
      </c>
      <c r="AE55" s="55">
        <f t="shared" si="6"/>
        <v>2040</v>
      </c>
      <c r="AF55" s="56">
        <f t="shared" si="20"/>
        <v>22.900000000000002</v>
      </c>
    </row>
    <row r="56" spans="1:32" s="50" customFormat="1" ht="21.6" customHeight="1">
      <c r="A56" s="176"/>
      <c r="B56" s="176"/>
      <c r="C56" s="178">
        <f>$C$10+D56/1440</f>
        <v>44994.604166666664</v>
      </c>
      <c r="D56" s="179">
        <f t="shared" si="23"/>
        <v>1620</v>
      </c>
      <c r="E56" s="169">
        <f t="shared" si="12"/>
        <v>1.125</v>
      </c>
      <c r="F56" s="180">
        <f t="shared" si="13"/>
        <v>33.200000000000003</v>
      </c>
      <c r="G56" s="180">
        <f t="shared" si="14"/>
        <v>22.900000000000002</v>
      </c>
      <c r="H56" s="182"/>
      <c r="I56" s="182"/>
      <c r="J56" s="182"/>
      <c r="K56" s="52" t="s">
        <v>21</v>
      </c>
      <c r="L56" s="71" t="s">
        <v>21</v>
      </c>
      <c r="V56" s="54">
        <f t="shared" si="8"/>
        <v>160</v>
      </c>
      <c r="W56" s="50">
        <f t="shared" si="9"/>
        <v>3.0183979517608415</v>
      </c>
      <c r="X56" s="50">
        <f t="shared" si="10"/>
        <v>0.125</v>
      </c>
      <c r="Y56" s="50">
        <f t="shared" si="11"/>
        <v>5.0000000000000001E-4</v>
      </c>
      <c r="Z56" s="50">
        <f t="shared" si="3"/>
        <v>1.4583333333333333</v>
      </c>
      <c r="AA56" s="55">
        <f t="shared" si="4"/>
        <v>2100</v>
      </c>
      <c r="AB56" s="72">
        <f t="shared" si="0"/>
        <v>39.399999885183647</v>
      </c>
      <c r="AC56" s="56">
        <f t="shared" si="25"/>
        <v>39.399999885183647</v>
      </c>
      <c r="AE56" s="55">
        <f t="shared" si="6"/>
        <v>2100</v>
      </c>
      <c r="AF56" s="56">
        <f t="shared" si="20"/>
        <v>22.900000000000002</v>
      </c>
    </row>
    <row r="57" spans="1:32" s="50" customFormat="1" ht="21.6" customHeight="1">
      <c r="A57" s="176"/>
      <c r="B57" s="176"/>
      <c r="C57" s="178"/>
      <c r="D57" s="179">
        <f t="shared" si="23"/>
        <v>1680</v>
      </c>
      <c r="E57" s="169">
        <f t="shared" si="12"/>
        <v>1.1666666666666667</v>
      </c>
      <c r="F57" s="180">
        <f t="shared" si="13"/>
        <v>33.200000000000003</v>
      </c>
      <c r="G57" s="180">
        <f t="shared" si="14"/>
        <v>22.900000000000002</v>
      </c>
      <c r="H57" s="182"/>
      <c r="I57" s="182"/>
      <c r="J57" s="182"/>
      <c r="K57" s="52" t="s">
        <v>21</v>
      </c>
      <c r="L57" s="71" t="s">
        <v>21</v>
      </c>
      <c r="V57" s="54">
        <f t="shared" si="8"/>
        <v>160</v>
      </c>
      <c r="W57" s="50">
        <f t="shared" si="9"/>
        <v>3.0183979517608415</v>
      </c>
      <c r="X57" s="50">
        <f t="shared" si="10"/>
        <v>0.125</v>
      </c>
      <c r="Y57" s="50">
        <f t="shared" si="11"/>
        <v>5.0000000000000001E-4</v>
      </c>
      <c r="Z57" s="50">
        <f t="shared" si="3"/>
        <v>1.5</v>
      </c>
      <c r="AA57" s="55">
        <f t="shared" si="4"/>
        <v>2160</v>
      </c>
      <c r="AB57" s="72">
        <f t="shared" si="0"/>
        <v>39.399999885183647</v>
      </c>
      <c r="AC57" s="56">
        <f t="shared" si="25"/>
        <v>39.399999885183647</v>
      </c>
      <c r="AE57" s="55">
        <f t="shared" si="6"/>
        <v>2160</v>
      </c>
      <c r="AF57" s="56">
        <f t="shared" si="20"/>
        <v>22.900000000000002</v>
      </c>
    </row>
    <row r="58" spans="1:32" s="50" customFormat="1" ht="21.6" customHeight="1">
      <c r="A58" s="176"/>
      <c r="B58" s="176"/>
      <c r="C58" s="178"/>
      <c r="D58" s="179">
        <f t="shared" si="23"/>
        <v>1740</v>
      </c>
      <c r="E58" s="169">
        <f t="shared" si="12"/>
        <v>1.2083333333333333</v>
      </c>
      <c r="F58" s="180">
        <f t="shared" si="13"/>
        <v>33.200000000000003</v>
      </c>
      <c r="G58" s="180">
        <f t="shared" si="14"/>
        <v>22.900000000000002</v>
      </c>
      <c r="H58" s="182"/>
      <c r="I58" s="182"/>
      <c r="J58" s="182"/>
      <c r="K58" s="52" t="s">
        <v>21</v>
      </c>
      <c r="L58" s="71" t="s">
        <v>21</v>
      </c>
      <c r="V58" s="54">
        <f t="shared" si="8"/>
        <v>160</v>
      </c>
      <c r="W58" s="50">
        <f t="shared" si="9"/>
        <v>3.0183979517608415</v>
      </c>
      <c r="X58" s="50">
        <f t="shared" si="10"/>
        <v>0.125</v>
      </c>
      <c r="Y58" s="50">
        <f t="shared" si="11"/>
        <v>5.0000000000000001E-4</v>
      </c>
      <c r="Z58" s="50">
        <f t="shared" si="3"/>
        <v>1.5416666666666667</v>
      </c>
      <c r="AA58" s="55">
        <f t="shared" si="4"/>
        <v>2220</v>
      </c>
      <c r="AB58" s="72">
        <f t="shared" si="0"/>
        <v>39.399999885183647</v>
      </c>
      <c r="AC58" s="56">
        <f t="shared" si="25"/>
        <v>39.399999885183647</v>
      </c>
      <c r="AE58" s="55">
        <f t="shared" si="6"/>
        <v>2220</v>
      </c>
      <c r="AF58" s="56">
        <f t="shared" si="20"/>
        <v>22.900000000000002</v>
      </c>
    </row>
    <row r="59" spans="1:32" s="50" customFormat="1" ht="21.6" customHeight="1">
      <c r="A59" s="176"/>
      <c r="B59" s="176"/>
      <c r="C59" s="178"/>
      <c r="D59" s="179">
        <f t="shared" si="23"/>
        <v>1800</v>
      </c>
      <c r="E59" s="169">
        <f t="shared" si="12"/>
        <v>1.25</v>
      </c>
      <c r="F59" s="180">
        <f t="shared" si="13"/>
        <v>33.200000000000003</v>
      </c>
      <c r="G59" s="180">
        <f t="shared" si="14"/>
        <v>22.900000000000002</v>
      </c>
      <c r="H59" s="182"/>
      <c r="I59" s="182"/>
      <c r="J59" s="182"/>
      <c r="K59" s="52" t="s">
        <v>21</v>
      </c>
      <c r="L59" s="71" t="s">
        <v>21</v>
      </c>
      <c r="V59" s="54">
        <f t="shared" si="8"/>
        <v>160</v>
      </c>
      <c r="W59" s="50">
        <f t="shared" si="9"/>
        <v>3.0183979517608415</v>
      </c>
      <c r="X59" s="50">
        <f t="shared" si="10"/>
        <v>0.125</v>
      </c>
      <c r="Y59" s="50">
        <f t="shared" si="11"/>
        <v>5.0000000000000001E-4</v>
      </c>
      <c r="Z59" s="50">
        <f t="shared" si="3"/>
        <v>1.5833333333333333</v>
      </c>
      <c r="AA59" s="55">
        <f t="shared" si="4"/>
        <v>2280</v>
      </c>
      <c r="AB59" s="72">
        <f t="shared" si="0"/>
        <v>39.399999885183647</v>
      </c>
      <c r="AC59" s="56">
        <f t="shared" si="25"/>
        <v>39.399999885183647</v>
      </c>
      <c r="AE59" s="55">
        <f t="shared" si="6"/>
        <v>2280</v>
      </c>
      <c r="AF59" s="56">
        <f t="shared" si="20"/>
        <v>22.900000000000002</v>
      </c>
    </row>
    <row r="60" spans="1:32" s="50" customFormat="1" ht="21.6" customHeight="1">
      <c r="A60" s="176"/>
      <c r="B60" s="176"/>
      <c r="C60" s="178"/>
      <c r="D60" s="179">
        <f t="shared" si="23"/>
        <v>1860</v>
      </c>
      <c r="E60" s="169">
        <f t="shared" si="12"/>
        <v>1.2916666666666667</v>
      </c>
      <c r="F60" s="180">
        <f t="shared" si="13"/>
        <v>33.200000000000003</v>
      </c>
      <c r="G60" s="180">
        <f t="shared" si="14"/>
        <v>22.900000000000002</v>
      </c>
      <c r="H60" s="182"/>
      <c r="I60" s="182"/>
      <c r="J60" s="182"/>
      <c r="K60" s="52" t="s">
        <v>21</v>
      </c>
      <c r="L60" s="71" t="s">
        <v>21</v>
      </c>
      <c r="V60" s="54">
        <f t="shared" si="8"/>
        <v>160</v>
      </c>
      <c r="W60" s="50">
        <f t="shared" si="9"/>
        <v>3.0183979517608415</v>
      </c>
      <c r="X60" s="50">
        <f t="shared" si="10"/>
        <v>0.125</v>
      </c>
      <c r="Y60" s="50">
        <f t="shared" si="11"/>
        <v>5.0000000000000001E-4</v>
      </c>
      <c r="Z60" s="50">
        <f t="shared" si="3"/>
        <v>1.625</v>
      </c>
      <c r="AA60" s="55">
        <f t="shared" si="4"/>
        <v>2340</v>
      </c>
      <c r="AB60" s="72">
        <f t="shared" si="0"/>
        <v>39.399999885183647</v>
      </c>
      <c r="AC60" s="56">
        <f t="shared" si="25"/>
        <v>39.399999885183647</v>
      </c>
      <c r="AE60" s="55">
        <f t="shared" si="6"/>
        <v>2340</v>
      </c>
      <c r="AF60" s="56">
        <f t="shared" si="20"/>
        <v>22.900000000000002</v>
      </c>
    </row>
    <row r="61" spans="1:32" s="50" customFormat="1" ht="21.6" customHeight="1">
      <c r="A61" s="176"/>
      <c r="B61" s="176"/>
      <c r="C61" s="178">
        <f>$C$10+D61/1440</f>
        <v>44994.8125</v>
      </c>
      <c r="D61" s="179">
        <f t="shared" si="23"/>
        <v>1920</v>
      </c>
      <c r="E61" s="169">
        <f t="shared" si="12"/>
        <v>1.3333333333333333</v>
      </c>
      <c r="F61" s="180">
        <f t="shared" si="13"/>
        <v>33.200000000000003</v>
      </c>
      <c r="G61" s="180">
        <f t="shared" si="14"/>
        <v>22.900000000000002</v>
      </c>
      <c r="H61" s="182"/>
      <c r="I61" s="182"/>
      <c r="J61" s="182"/>
      <c r="K61" s="52" t="s">
        <v>21</v>
      </c>
      <c r="L61" s="71" t="s">
        <v>21</v>
      </c>
      <c r="V61" s="54">
        <f t="shared" si="8"/>
        <v>160</v>
      </c>
      <c r="W61" s="50">
        <f t="shared" si="9"/>
        <v>3.0183979517608415</v>
      </c>
      <c r="X61" s="50">
        <f t="shared" si="10"/>
        <v>0.125</v>
      </c>
      <c r="Y61" s="50">
        <f t="shared" si="11"/>
        <v>5.0000000000000001E-4</v>
      </c>
      <c r="Z61" s="50">
        <f t="shared" si="3"/>
        <v>1.6666666666666667</v>
      </c>
      <c r="AA61" s="55">
        <f t="shared" si="4"/>
        <v>2400</v>
      </c>
      <c r="AB61" s="72">
        <f t="shared" si="0"/>
        <v>39.399999885183647</v>
      </c>
      <c r="AC61" s="56">
        <f t="shared" si="25"/>
        <v>39.399999885183647</v>
      </c>
      <c r="AE61" s="55">
        <f t="shared" si="6"/>
        <v>2400</v>
      </c>
      <c r="AF61" s="56">
        <f t="shared" si="20"/>
        <v>22.900000000000002</v>
      </c>
    </row>
    <row r="62" spans="1:32" s="50" customFormat="1" ht="21.6" customHeight="1">
      <c r="A62" s="176"/>
      <c r="B62" s="176"/>
      <c r="C62" s="178"/>
      <c r="D62" s="179">
        <f t="shared" si="23"/>
        <v>1980</v>
      </c>
      <c r="E62" s="169">
        <f t="shared" si="12"/>
        <v>1.375</v>
      </c>
      <c r="F62" s="180">
        <f t="shared" si="13"/>
        <v>33.200000000000003</v>
      </c>
      <c r="G62" s="180">
        <f t="shared" si="14"/>
        <v>22.900000000000002</v>
      </c>
      <c r="H62" s="182"/>
      <c r="I62" s="182"/>
      <c r="J62" s="182"/>
      <c r="K62" s="52" t="s">
        <v>21</v>
      </c>
      <c r="L62" s="71" t="s">
        <v>21</v>
      </c>
      <c r="V62" s="54">
        <f t="shared" si="8"/>
        <v>160</v>
      </c>
      <c r="W62" s="50">
        <f t="shared" si="9"/>
        <v>3.0183979517608415</v>
      </c>
      <c r="X62" s="50">
        <f t="shared" si="10"/>
        <v>0.125</v>
      </c>
      <c r="Y62" s="50">
        <f t="shared" si="11"/>
        <v>5.0000000000000001E-4</v>
      </c>
      <c r="Z62" s="50">
        <f t="shared" si="3"/>
        <v>1.7083333333333333</v>
      </c>
      <c r="AA62" s="55">
        <f t="shared" si="4"/>
        <v>2460</v>
      </c>
      <c r="AB62" s="72">
        <f t="shared" si="0"/>
        <v>39.399999885183647</v>
      </c>
      <c r="AC62" s="56">
        <f t="shared" si="25"/>
        <v>39.399999885183647</v>
      </c>
      <c r="AE62" s="55">
        <f t="shared" si="6"/>
        <v>2460</v>
      </c>
      <c r="AF62" s="56">
        <f t="shared" si="20"/>
        <v>22.900000000000002</v>
      </c>
    </row>
    <row r="63" spans="1:32" s="50" customFormat="1" ht="21.6" customHeight="1">
      <c r="A63" s="176"/>
      <c r="B63" s="176"/>
      <c r="C63" s="178"/>
      <c r="D63" s="179">
        <f t="shared" si="23"/>
        <v>2040</v>
      </c>
      <c r="E63" s="169">
        <f t="shared" si="12"/>
        <v>1.4166666666666667</v>
      </c>
      <c r="F63" s="180">
        <f>F62</f>
        <v>33.200000000000003</v>
      </c>
      <c r="G63" s="180">
        <f t="shared" si="14"/>
        <v>22.900000000000002</v>
      </c>
      <c r="H63" s="182"/>
      <c r="I63" s="182"/>
      <c r="J63" s="182"/>
      <c r="K63" s="52" t="s">
        <v>21</v>
      </c>
      <c r="L63" s="71" t="s">
        <v>21</v>
      </c>
      <c r="V63" s="54">
        <f t="shared" si="8"/>
        <v>160</v>
      </c>
      <c r="W63" s="50">
        <f t="shared" si="9"/>
        <v>3.0183979517608415</v>
      </c>
      <c r="X63" s="50">
        <f t="shared" si="10"/>
        <v>0.125</v>
      </c>
      <c r="Y63" s="50">
        <f t="shared" si="11"/>
        <v>5.0000000000000001E-4</v>
      </c>
      <c r="Z63" s="50">
        <f t="shared" si="3"/>
        <v>1.75</v>
      </c>
      <c r="AA63" s="55">
        <f t="shared" si="4"/>
        <v>2520</v>
      </c>
      <c r="AB63" s="72">
        <f t="shared" si="0"/>
        <v>39.399999885183647</v>
      </c>
      <c r="AC63" s="56">
        <f t="shared" si="25"/>
        <v>39.399999885183647</v>
      </c>
      <c r="AE63" s="55">
        <f t="shared" si="6"/>
        <v>2520</v>
      </c>
      <c r="AF63" s="56">
        <f t="shared" si="20"/>
        <v>22.900000000000002</v>
      </c>
    </row>
    <row r="64" spans="1:32" s="50" customFormat="1" ht="21.6" customHeight="1">
      <c r="A64" s="176"/>
      <c r="B64" s="176"/>
      <c r="C64" s="178"/>
      <c r="D64" s="179">
        <f t="shared" si="23"/>
        <v>2100</v>
      </c>
      <c r="E64" s="169">
        <f t="shared" si="12"/>
        <v>1.4583333333333333</v>
      </c>
      <c r="F64" s="180">
        <f t="shared" ref="F64:F77" si="26">F63</f>
        <v>33.200000000000003</v>
      </c>
      <c r="G64" s="180">
        <f t="shared" si="14"/>
        <v>22.900000000000002</v>
      </c>
      <c r="H64" s="182"/>
      <c r="I64" s="182"/>
      <c r="J64" s="182"/>
      <c r="K64" s="52" t="s">
        <v>21</v>
      </c>
      <c r="L64" s="71" t="s">
        <v>21</v>
      </c>
      <c r="V64" s="54">
        <f t="shared" si="8"/>
        <v>160</v>
      </c>
      <c r="W64" s="50">
        <f t="shared" si="9"/>
        <v>3.0183979517608415</v>
      </c>
      <c r="X64" s="50">
        <f t="shared" si="10"/>
        <v>0.125</v>
      </c>
      <c r="Y64" s="50">
        <f t="shared" si="11"/>
        <v>5.0000000000000001E-4</v>
      </c>
      <c r="Z64" s="50">
        <f t="shared" si="3"/>
        <v>1.7916666666666667</v>
      </c>
      <c r="AA64" s="55">
        <f t="shared" si="4"/>
        <v>2580</v>
      </c>
      <c r="AB64" s="72">
        <f t="shared" si="0"/>
        <v>39.399999885183647</v>
      </c>
      <c r="AC64" s="56">
        <f t="shared" si="25"/>
        <v>39.399999885183647</v>
      </c>
      <c r="AE64" s="55">
        <f t="shared" si="6"/>
        <v>2580</v>
      </c>
      <c r="AF64" s="56">
        <f t="shared" si="20"/>
        <v>22.900000000000002</v>
      </c>
    </row>
    <row r="65" spans="1:32" s="50" customFormat="1" ht="21.6" customHeight="1">
      <c r="A65" s="176"/>
      <c r="B65" s="176"/>
      <c r="C65" s="178"/>
      <c r="D65" s="179">
        <f t="shared" si="23"/>
        <v>2160</v>
      </c>
      <c r="E65" s="169">
        <f t="shared" si="12"/>
        <v>1.5</v>
      </c>
      <c r="F65" s="180">
        <f t="shared" si="26"/>
        <v>33.200000000000003</v>
      </c>
      <c r="G65" s="180">
        <f t="shared" si="14"/>
        <v>22.900000000000002</v>
      </c>
      <c r="H65" s="182"/>
      <c r="I65" s="182"/>
      <c r="J65" s="182"/>
      <c r="K65" s="52" t="s">
        <v>21</v>
      </c>
      <c r="L65" s="71" t="s">
        <v>21</v>
      </c>
      <c r="V65" s="54">
        <f t="shared" si="8"/>
        <v>160</v>
      </c>
      <c r="W65" s="50">
        <f t="shared" si="9"/>
        <v>3.0183979517608415</v>
      </c>
      <c r="X65" s="50">
        <f t="shared" si="10"/>
        <v>0.125</v>
      </c>
      <c r="Y65" s="50">
        <f t="shared" si="11"/>
        <v>5.0000000000000001E-4</v>
      </c>
      <c r="Z65" s="50">
        <f t="shared" si="3"/>
        <v>1.8333333333333333</v>
      </c>
      <c r="AA65" s="55">
        <f t="shared" si="4"/>
        <v>2640</v>
      </c>
      <c r="AB65" s="72">
        <f t="shared" si="0"/>
        <v>39.399999885183647</v>
      </c>
      <c r="AC65" s="56">
        <f t="shared" si="25"/>
        <v>39.399999885183647</v>
      </c>
      <c r="AE65" s="55">
        <f t="shared" si="6"/>
        <v>2640</v>
      </c>
      <c r="AF65" s="56">
        <f t="shared" si="20"/>
        <v>22.900000000000002</v>
      </c>
    </row>
    <row r="66" spans="1:32" s="50" customFormat="1" ht="21.6" customHeight="1">
      <c r="A66" s="176"/>
      <c r="B66" s="176"/>
      <c r="C66" s="178">
        <f>$C$10+D66/1440</f>
        <v>44995.020833333328</v>
      </c>
      <c r="D66" s="179">
        <f t="shared" si="23"/>
        <v>2220</v>
      </c>
      <c r="E66" s="169">
        <f t="shared" si="12"/>
        <v>1.5416666666666667</v>
      </c>
      <c r="F66" s="180">
        <f t="shared" si="26"/>
        <v>33.200000000000003</v>
      </c>
      <c r="G66" s="180">
        <f t="shared" si="14"/>
        <v>22.900000000000002</v>
      </c>
      <c r="H66" s="182"/>
      <c r="I66" s="182"/>
      <c r="J66" s="182"/>
      <c r="K66" s="52" t="s">
        <v>21</v>
      </c>
      <c r="L66" s="71" t="s">
        <v>21</v>
      </c>
      <c r="V66" s="54">
        <f t="shared" si="8"/>
        <v>160</v>
      </c>
      <c r="W66" s="50">
        <f t="shared" si="9"/>
        <v>3.0183979517608415</v>
      </c>
      <c r="X66" s="50">
        <f t="shared" si="10"/>
        <v>0.125</v>
      </c>
      <c r="Y66" s="50">
        <f t="shared" si="11"/>
        <v>5.0000000000000001E-4</v>
      </c>
      <c r="Z66" s="50">
        <f t="shared" si="3"/>
        <v>1.875</v>
      </c>
      <c r="AA66" s="55">
        <f t="shared" si="4"/>
        <v>2700</v>
      </c>
      <c r="AB66" s="72">
        <f>AC66+AD$2</f>
        <v>39.399999885183647</v>
      </c>
      <c r="AC66" s="56">
        <f t="shared" si="25"/>
        <v>39.399999885183647</v>
      </c>
      <c r="AE66" s="55">
        <f t="shared" si="6"/>
        <v>2700</v>
      </c>
      <c r="AF66" s="56">
        <f t="shared" si="20"/>
        <v>22.900000000000002</v>
      </c>
    </row>
    <row r="67" spans="1:32" s="50" customFormat="1" ht="21.6" customHeight="1">
      <c r="A67" s="176"/>
      <c r="B67" s="176"/>
      <c r="C67" s="178"/>
      <c r="D67" s="179">
        <f t="shared" si="23"/>
        <v>2280</v>
      </c>
      <c r="E67" s="169">
        <f t="shared" si="12"/>
        <v>1.5833333333333333</v>
      </c>
      <c r="F67" s="180">
        <f t="shared" si="26"/>
        <v>33.200000000000003</v>
      </c>
      <c r="G67" s="180">
        <f t="shared" si="14"/>
        <v>22.900000000000002</v>
      </c>
      <c r="H67" s="182"/>
      <c r="I67" s="182"/>
      <c r="J67" s="182"/>
      <c r="K67" s="52" t="s">
        <v>21</v>
      </c>
      <c r="L67" s="71" t="s">
        <v>21</v>
      </c>
      <c r="V67" s="54">
        <f t="shared" si="8"/>
        <v>160</v>
      </c>
      <c r="W67" s="50">
        <f t="shared" si="9"/>
        <v>3.0183979517608415</v>
      </c>
      <c r="X67" s="50">
        <f t="shared" si="10"/>
        <v>0.125</v>
      </c>
      <c r="Y67" s="50">
        <f t="shared" si="11"/>
        <v>5.0000000000000001E-4</v>
      </c>
      <c r="Z67" s="50">
        <f t="shared" ref="Z67:Z79" si="27">E75</f>
        <v>1.9166666666666667</v>
      </c>
      <c r="AA67" s="55">
        <f t="shared" ref="AA67:AA79" si="28">D75</f>
        <v>2760</v>
      </c>
      <c r="AB67" s="72">
        <f>AC67+AD$2</f>
        <v>39.399999885183647</v>
      </c>
      <c r="AC67" s="56">
        <f t="shared" si="25"/>
        <v>39.399999885183647</v>
      </c>
      <c r="AE67" s="55">
        <f>AA67</f>
        <v>2760</v>
      </c>
      <c r="AF67" s="56">
        <f t="shared" si="20"/>
        <v>22.900000000000002</v>
      </c>
    </row>
    <row r="68" spans="1:32" s="50" customFormat="1" ht="21.6" customHeight="1">
      <c r="A68" s="176"/>
      <c r="B68" s="176"/>
      <c r="C68" s="178" t="s">
        <v>4</v>
      </c>
      <c r="D68" s="179">
        <f t="shared" si="23"/>
        <v>2340</v>
      </c>
      <c r="E68" s="169">
        <f t="shared" si="12"/>
        <v>1.625</v>
      </c>
      <c r="F68" s="180">
        <f t="shared" si="26"/>
        <v>33.200000000000003</v>
      </c>
      <c r="G68" s="180">
        <f t="shared" si="14"/>
        <v>22.900000000000002</v>
      </c>
      <c r="H68" s="182"/>
      <c r="I68" s="182"/>
      <c r="J68" s="182"/>
      <c r="K68" s="52" t="s">
        <v>21</v>
      </c>
      <c r="L68" s="71" t="s">
        <v>21</v>
      </c>
      <c r="V68" s="54">
        <f>V67</f>
        <v>160</v>
      </c>
      <c r="W68" s="50">
        <f t="shared" ref="W68:W83" si="29">W$2</f>
        <v>3.0183979517608415</v>
      </c>
      <c r="X68" s="50">
        <f t="shared" ref="X68:X83" si="30">X67</f>
        <v>0.125</v>
      </c>
      <c r="Y68" s="50">
        <f t="shared" ref="Y68:Y83" si="31">Y$2</f>
        <v>5.0000000000000001E-4</v>
      </c>
      <c r="Z68" s="50">
        <f t="shared" si="27"/>
        <v>1.9583333333333333</v>
      </c>
      <c r="AA68" s="55">
        <f t="shared" si="28"/>
        <v>2820</v>
      </c>
      <c r="AB68" s="72">
        <f>AC68+AD$2</f>
        <v>39.399999885183647</v>
      </c>
      <c r="AC68" s="56">
        <f t="shared" si="25"/>
        <v>39.399999885183647</v>
      </c>
      <c r="AE68" s="55">
        <f>AA68</f>
        <v>2820</v>
      </c>
      <c r="AF68" s="56">
        <f t="shared" si="20"/>
        <v>22.900000000000002</v>
      </c>
    </row>
    <row r="69" spans="1:32" s="50" customFormat="1" ht="21.6" customHeight="1">
      <c r="A69" s="176"/>
      <c r="B69" s="176"/>
      <c r="C69" s="178"/>
      <c r="D69" s="179">
        <f t="shared" si="23"/>
        <v>2400</v>
      </c>
      <c r="E69" s="169">
        <f t="shared" si="12"/>
        <v>1.6666666666666667</v>
      </c>
      <c r="F69" s="180">
        <f t="shared" si="26"/>
        <v>33.200000000000003</v>
      </c>
      <c r="G69" s="180">
        <f t="shared" si="14"/>
        <v>22.900000000000002</v>
      </c>
      <c r="H69" s="182"/>
      <c r="I69" s="182"/>
      <c r="J69" s="182"/>
      <c r="K69" s="52" t="s">
        <v>21</v>
      </c>
      <c r="L69" s="71" t="s">
        <v>21</v>
      </c>
      <c r="V69" s="54">
        <f>V68</f>
        <v>160</v>
      </c>
      <c r="W69" s="50">
        <f t="shared" si="29"/>
        <v>3.0183979517608415</v>
      </c>
      <c r="X69" s="50">
        <f t="shared" si="30"/>
        <v>0.125</v>
      </c>
      <c r="Y69" s="50">
        <f t="shared" si="31"/>
        <v>5.0000000000000001E-4</v>
      </c>
      <c r="Z69" s="50">
        <f t="shared" si="27"/>
        <v>2</v>
      </c>
      <c r="AA69" s="55">
        <f t="shared" si="28"/>
        <v>2880</v>
      </c>
      <c r="AB69" s="72">
        <f>AC69+AD$2</f>
        <v>39.399999885183647</v>
      </c>
      <c r="AC69" s="56">
        <f t="shared" si="25"/>
        <v>39.399999885183647</v>
      </c>
      <c r="AE69" s="55">
        <f>AA69</f>
        <v>2880</v>
      </c>
      <c r="AF69" s="56">
        <f t="shared" si="20"/>
        <v>22.900000000000002</v>
      </c>
    </row>
    <row r="70" spans="1:32" s="50" customFormat="1" ht="21.6" customHeight="1">
      <c r="A70" s="176"/>
      <c r="B70" s="176"/>
      <c r="C70" s="178"/>
      <c r="D70" s="179">
        <f t="shared" si="23"/>
        <v>2460</v>
      </c>
      <c r="E70" s="169">
        <f t="shared" si="12"/>
        <v>1.7083333333333333</v>
      </c>
      <c r="F70" s="180">
        <f t="shared" si="26"/>
        <v>33.200000000000003</v>
      </c>
      <c r="G70" s="180">
        <f t="shared" si="14"/>
        <v>22.900000000000002</v>
      </c>
      <c r="H70" s="182"/>
      <c r="I70" s="182"/>
      <c r="J70" s="182"/>
      <c r="K70" s="52" t="s">
        <v>21</v>
      </c>
      <c r="L70" s="71" t="s">
        <v>21</v>
      </c>
      <c r="V70" s="54"/>
      <c r="W70" s="50">
        <f t="shared" si="29"/>
        <v>3.0183979517608415</v>
      </c>
      <c r="X70" s="50">
        <f t="shared" si="30"/>
        <v>0.125</v>
      </c>
      <c r="Y70" s="50">
        <f t="shared" si="31"/>
        <v>5.0000000000000001E-4</v>
      </c>
      <c r="Z70" s="50">
        <f t="shared" si="27"/>
        <v>6.9444444444444447E-4</v>
      </c>
      <c r="AA70" s="55">
        <f t="shared" si="28"/>
        <v>1</v>
      </c>
      <c r="AB70" s="72"/>
      <c r="AC70" s="56"/>
      <c r="AF70" s="56"/>
    </row>
    <row r="71" spans="1:32" s="50" customFormat="1" ht="21.6" customHeight="1">
      <c r="A71" s="176"/>
      <c r="B71" s="176"/>
      <c r="C71" s="178">
        <f>$C$10+D71/1440</f>
        <v>44995.229166666664</v>
      </c>
      <c r="D71" s="179">
        <f t="shared" si="23"/>
        <v>2520</v>
      </c>
      <c r="E71" s="169">
        <f t="shared" si="12"/>
        <v>1.75</v>
      </c>
      <c r="F71" s="180">
        <f t="shared" si="26"/>
        <v>33.200000000000003</v>
      </c>
      <c r="G71" s="180">
        <f t="shared" si="14"/>
        <v>22.900000000000002</v>
      </c>
      <c r="H71" s="182"/>
      <c r="I71" s="182"/>
      <c r="J71" s="182"/>
      <c r="K71" s="52" t="s">
        <v>21</v>
      </c>
      <c r="L71" s="71" t="s">
        <v>21</v>
      </c>
      <c r="V71" s="54"/>
      <c r="W71" s="50">
        <f t="shared" si="29"/>
        <v>3.0183979517608415</v>
      </c>
      <c r="X71" s="50">
        <f t="shared" si="30"/>
        <v>0.125</v>
      </c>
      <c r="Y71" s="50">
        <f t="shared" si="31"/>
        <v>5.0000000000000001E-4</v>
      </c>
      <c r="Z71" s="50">
        <f t="shared" si="27"/>
        <v>1.3888888888888889E-3</v>
      </c>
      <c r="AA71" s="55">
        <f t="shared" si="28"/>
        <v>2</v>
      </c>
      <c r="AB71" s="72"/>
      <c r="AC71" s="56"/>
      <c r="AF71" s="56"/>
    </row>
    <row r="72" spans="1:32" s="50" customFormat="1" ht="21.6" customHeight="1">
      <c r="A72" s="176"/>
      <c r="B72" s="176"/>
      <c r="C72" s="178"/>
      <c r="D72" s="179">
        <f t="shared" si="23"/>
        <v>2580</v>
      </c>
      <c r="E72" s="169">
        <f t="shared" si="12"/>
        <v>1.7916666666666667</v>
      </c>
      <c r="F72" s="180">
        <f t="shared" si="26"/>
        <v>33.200000000000003</v>
      </c>
      <c r="G72" s="180">
        <f t="shared" si="14"/>
        <v>22.900000000000002</v>
      </c>
      <c r="H72" s="182"/>
      <c r="I72" s="182"/>
      <c r="J72" s="182"/>
      <c r="K72" s="52" t="s">
        <v>21</v>
      </c>
      <c r="L72" s="71" t="s">
        <v>21</v>
      </c>
      <c r="V72" s="54"/>
      <c r="W72" s="50">
        <f t="shared" si="29"/>
        <v>3.0183979517608415</v>
      </c>
      <c r="X72" s="50">
        <f t="shared" si="30"/>
        <v>0.125</v>
      </c>
      <c r="Y72" s="50">
        <f t="shared" si="31"/>
        <v>5.0000000000000001E-4</v>
      </c>
      <c r="Z72" s="50">
        <f t="shared" si="27"/>
        <v>2.0833333333333333E-3</v>
      </c>
      <c r="AA72" s="55">
        <f t="shared" si="28"/>
        <v>3</v>
      </c>
      <c r="AB72" s="72"/>
      <c r="AC72" s="56"/>
      <c r="AF72" s="56"/>
    </row>
    <row r="73" spans="1:32" s="50" customFormat="1" ht="21.6" customHeight="1">
      <c r="A73" s="176"/>
      <c r="B73" s="176"/>
      <c r="C73" s="178"/>
      <c r="D73" s="179">
        <f t="shared" si="23"/>
        <v>2640</v>
      </c>
      <c r="E73" s="169">
        <f t="shared" si="12"/>
        <v>1.8333333333333333</v>
      </c>
      <c r="F73" s="180">
        <f t="shared" si="26"/>
        <v>33.200000000000003</v>
      </c>
      <c r="G73" s="180">
        <f t="shared" si="14"/>
        <v>22.900000000000002</v>
      </c>
      <c r="H73" s="182"/>
      <c r="I73" s="182"/>
      <c r="J73" s="182"/>
      <c r="K73" s="52" t="s">
        <v>21</v>
      </c>
      <c r="L73" s="71" t="s">
        <v>21</v>
      </c>
      <c r="V73" s="54"/>
      <c r="W73" s="50">
        <f t="shared" si="29"/>
        <v>3.0183979517608415</v>
      </c>
      <c r="X73" s="50">
        <f t="shared" si="30"/>
        <v>0.125</v>
      </c>
      <c r="Y73" s="50">
        <f t="shared" si="31"/>
        <v>5.0000000000000001E-4</v>
      </c>
      <c r="Z73" s="50">
        <f t="shared" si="27"/>
        <v>2.7777777777777779E-3</v>
      </c>
      <c r="AA73" s="55">
        <f t="shared" si="28"/>
        <v>4</v>
      </c>
      <c r="AB73" s="72"/>
      <c r="AC73" s="56"/>
      <c r="AF73" s="56"/>
    </row>
    <row r="74" spans="1:32" s="50" customFormat="1" ht="21.6" customHeight="1">
      <c r="A74" s="176"/>
      <c r="B74" s="176"/>
      <c r="C74" s="178"/>
      <c r="D74" s="179">
        <f t="shared" si="23"/>
        <v>2700</v>
      </c>
      <c r="E74" s="169">
        <f t="shared" si="12"/>
        <v>1.875</v>
      </c>
      <c r="F74" s="180">
        <f t="shared" si="26"/>
        <v>33.200000000000003</v>
      </c>
      <c r="G74" s="180">
        <f t="shared" si="14"/>
        <v>22.900000000000002</v>
      </c>
      <c r="H74" s="182"/>
      <c r="I74" s="182"/>
      <c r="J74" s="182"/>
      <c r="K74" s="52" t="s">
        <v>21</v>
      </c>
      <c r="L74" s="71" t="s">
        <v>21</v>
      </c>
      <c r="V74" s="54"/>
      <c r="W74" s="50">
        <f t="shared" si="29"/>
        <v>3.0183979517608415</v>
      </c>
      <c r="X74" s="50">
        <f t="shared" si="30"/>
        <v>0.125</v>
      </c>
      <c r="Y74" s="50">
        <f t="shared" si="31"/>
        <v>5.0000000000000001E-4</v>
      </c>
      <c r="Z74" s="50">
        <f t="shared" si="27"/>
        <v>3.472222222222222E-3</v>
      </c>
      <c r="AA74" s="55">
        <f t="shared" si="28"/>
        <v>5</v>
      </c>
      <c r="AB74" s="72"/>
      <c r="AC74" s="56"/>
      <c r="AF74" s="56"/>
    </row>
    <row r="75" spans="1:32" s="50" customFormat="1" ht="21.6" customHeight="1">
      <c r="A75" s="176"/>
      <c r="B75" s="176"/>
      <c r="C75" s="178"/>
      <c r="D75" s="179">
        <f t="shared" si="23"/>
        <v>2760</v>
      </c>
      <c r="E75" s="169">
        <f>D75/1440</f>
        <v>1.9166666666666667</v>
      </c>
      <c r="F75" s="180">
        <f t="shared" si="26"/>
        <v>33.200000000000003</v>
      </c>
      <c r="G75" s="180">
        <f>AF67</f>
        <v>22.900000000000002</v>
      </c>
      <c r="H75" s="182"/>
      <c r="I75" s="182"/>
      <c r="J75" s="182"/>
      <c r="K75" s="52" t="s">
        <v>21</v>
      </c>
      <c r="L75" s="71" t="s">
        <v>21</v>
      </c>
      <c r="V75" s="54"/>
      <c r="W75" s="50">
        <f t="shared" si="29"/>
        <v>3.0183979517608415</v>
      </c>
      <c r="X75" s="50">
        <f t="shared" si="30"/>
        <v>0.125</v>
      </c>
      <c r="Y75" s="50">
        <f t="shared" si="31"/>
        <v>5.0000000000000001E-4</v>
      </c>
      <c r="Z75" s="50">
        <f t="shared" si="27"/>
        <v>6.9444444444444441E-3</v>
      </c>
      <c r="AA75" s="55">
        <f t="shared" si="28"/>
        <v>10</v>
      </c>
      <c r="AB75" s="72"/>
      <c r="AC75" s="56"/>
      <c r="AF75" s="56"/>
    </row>
    <row r="76" spans="1:32" s="50" customFormat="1" ht="21.6" customHeight="1">
      <c r="A76" s="176"/>
      <c r="B76" s="176"/>
      <c r="C76" s="178"/>
      <c r="D76" s="179">
        <f t="shared" si="23"/>
        <v>2820</v>
      </c>
      <c r="E76" s="169">
        <f>D76/1440</f>
        <v>1.9583333333333333</v>
      </c>
      <c r="F76" s="180">
        <f t="shared" si="26"/>
        <v>33.200000000000003</v>
      </c>
      <c r="G76" s="180">
        <f>AF68</f>
        <v>22.900000000000002</v>
      </c>
      <c r="H76" s="182"/>
      <c r="I76" s="182"/>
      <c r="J76" s="182"/>
      <c r="K76" s="52" t="s">
        <v>21</v>
      </c>
      <c r="L76" s="71" t="s">
        <v>21</v>
      </c>
      <c r="V76" s="54"/>
      <c r="W76" s="50">
        <f t="shared" si="29"/>
        <v>3.0183979517608415</v>
      </c>
      <c r="X76" s="50">
        <f t="shared" si="30"/>
        <v>0.125</v>
      </c>
      <c r="Y76" s="50">
        <f t="shared" si="31"/>
        <v>5.0000000000000001E-4</v>
      </c>
      <c r="Z76" s="50">
        <f t="shared" si="27"/>
        <v>1.0416666666666666E-2</v>
      </c>
      <c r="AA76" s="55">
        <f t="shared" si="28"/>
        <v>15</v>
      </c>
      <c r="AB76" s="72"/>
      <c r="AC76" s="56"/>
      <c r="AF76" s="56"/>
    </row>
    <row r="77" spans="1:32" s="50" customFormat="1" ht="21.6" customHeight="1">
      <c r="A77" s="176"/>
      <c r="B77" s="176"/>
      <c r="C77" s="178">
        <f>$C$10+D77/1440</f>
        <v>44995.479166666664</v>
      </c>
      <c r="D77" s="179">
        <f>D76+60</f>
        <v>2880</v>
      </c>
      <c r="E77" s="169">
        <f>D77/1440</f>
        <v>2</v>
      </c>
      <c r="F77" s="181">
        <f t="shared" si="26"/>
        <v>33.200000000000003</v>
      </c>
      <c r="G77" s="180">
        <f>AF69</f>
        <v>22.900000000000002</v>
      </c>
      <c r="H77" s="182" t="s">
        <v>181</v>
      </c>
      <c r="I77" s="182"/>
      <c r="J77" s="182"/>
      <c r="K77" s="52" t="s">
        <v>21</v>
      </c>
      <c r="L77" s="71" t="s">
        <v>21</v>
      </c>
      <c r="V77" s="54"/>
      <c r="W77" s="50">
        <f t="shared" si="29"/>
        <v>3.0183979517608415</v>
      </c>
      <c r="X77" s="50">
        <f t="shared" si="30"/>
        <v>0.125</v>
      </c>
      <c r="Y77" s="50">
        <f t="shared" si="31"/>
        <v>5.0000000000000001E-4</v>
      </c>
      <c r="Z77" s="50">
        <f t="shared" si="27"/>
        <v>1.3888888888888888E-2</v>
      </c>
      <c r="AA77" s="55">
        <f t="shared" si="28"/>
        <v>20</v>
      </c>
      <c r="AB77" s="72"/>
      <c r="AC77" s="56"/>
      <c r="AF77" s="56"/>
    </row>
    <row r="78" spans="1:32" s="50" customFormat="1" ht="20.45" customHeight="1">
      <c r="A78" s="176">
        <v>2</v>
      </c>
      <c r="B78" s="176">
        <v>0</v>
      </c>
      <c r="C78" s="178">
        <f>$C$10+(D78+2880)/1440</f>
        <v>44995.479861111111</v>
      </c>
      <c r="D78" s="179">
        <v>1</v>
      </c>
      <c r="E78" s="169">
        <f t="shared" ref="E78:E101" si="32">D78/1440</f>
        <v>6.9444444444444447E-4</v>
      </c>
      <c r="F78" s="180">
        <f>G78+D$8</f>
        <v>25.072653617722807</v>
      </c>
      <c r="G78" s="180">
        <f>H114</f>
        <v>14.772653617722808</v>
      </c>
      <c r="H78" s="514" t="s">
        <v>192</v>
      </c>
      <c r="I78" s="514"/>
      <c r="J78" s="514"/>
      <c r="K78" s="52" t="s">
        <v>21</v>
      </c>
      <c r="L78" s="71"/>
      <c r="V78" s="54"/>
      <c r="W78" s="50">
        <f t="shared" si="29"/>
        <v>3.0183979517608415</v>
      </c>
      <c r="X78" s="50">
        <f t="shared" si="30"/>
        <v>0.125</v>
      </c>
      <c r="Y78" s="50">
        <f t="shared" si="31"/>
        <v>5.0000000000000001E-4</v>
      </c>
      <c r="Z78" s="50">
        <f t="shared" si="27"/>
        <v>1.7361111111111112E-2</v>
      </c>
      <c r="AA78" s="55">
        <f t="shared" si="28"/>
        <v>25</v>
      </c>
      <c r="AB78" s="72"/>
      <c r="AC78" s="56"/>
      <c r="AF78" s="56"/>
    </row>
    <row r="79" spans="1:32" s="50" customFormat="1" ht="20.45" customHeight="1">
      <c r="A79" s="176"/>
      <c r="B79" s="176"/>
      <c r="C79" s="176" t="s">
        <v>21</v>
      </c>
      <c r="D79" s="179">
        <v>2</v>
      </c>
      <c r="E79" s="169">
        <f t="shared" si="32"/>
        <v>1.3888888888888889E-3</v>
      </c>
      <c r="F79" s="180">
        <f t="shared" ref="F79:F101" si="33">G79+D$8</f>
        <v>23.748178048108127</v>
      </c>
      <c r="G79" s="180">
        <f>H115</f>
        <v>13.448178048108126</v>
      </c>
      <c r="H79" s="514"/>
      <c r="I79" s="514"/>
      <c r="J79" s="514"/>
      <c r="K79" s="52" t="s">
        <v>21</v>
      </c>
      <c r="L79" s="71" t="s">
        <v>21</v>
      </c>
      <c r="V79" s="54"/>
      <c r="W79" s="50">
        <f t="shared" si="29"/>
        <v>3.0183979517608415</v>
      </c>
      <c r="X79" s="50">
        <f t="shared" si="30"/>
        <v>0.125</v>
      </c>
      <c r="Y79" s="50">
        <f t="shared" si="31"/>
        <v>5.0000000000000001E-4</v>
      </c>
      <c r="Z79" s="50">
        <f t="shared" si="27"/>
        <v>2.0833333333333332E-2</v>
      </c>
      <c r="AA79" s="55">
        <f t="shared" si="28"/>
        <v>30</v>
      </c>
      <c r="AB79" s="72"/>
      <c r="AC79" s="56"/>
      <c r="AF79" s="56"/>
    </row>
    <row r="80" spans="1:32" s="50" customFormat="1" ht="20.45" customHeight="1">
      <c r="A80" s="176"/>
      <c r="B80" s="176"/>
      <c r="C80" s="178" t="s">
        <v>21</v>
      </c>
      <c r="D80" s="179">
        <v>3</v>
      </c>
      <c r="E80" s="169">
        <f t="shared" si="32"/>
        <v>2.0833333333333333E-3</v>
      </c>
      <c r="F80" s="180">
        <f t="shared" si="33"/>
        <v>22.542451322127171</v>
      </c>
      <c r="G80" s="180">
        <f>H116</f>
        <v>12.242451322127168</v>
      </c>
      <c r="H80" s="514"/>
      <c r="I80" s="514"/>
      <c r="J80" s="514"/>
      <c r="K80" s="52" t="s">
        <v>21</v>
      </c>
      <c r="L80" s="71" t="s">
        <v>21</v>
      </c>
      <c r="V80" s="54"/>
      <c r="W80" s="50">
        <f t="shared" si="29"/>
        <v>3.0183979517608415</v>
      </c>
      <c r="X80" s="50">
        <f t="shared" si="30"/>
        <v>0.125</v>
      </c>
      <c r="Y80" s="50">
        <f t="shared" si="31"/>
        <v>5.0000000000000001E-4</v>
      </c>
      <c r="Z80" s="50">
        <f>E90</f>
        <v>3.125E-2</v>
      </c>
      <c r="AA80" s="55">
        <f>D90</f>
        <v>45</v>
      </c>
      <c r="AB80" s="72"/>
      <c r="AC80" s="56"/>
      <c r="AF80" s="56"/>
    </row>
    <row r="81" spans="1:32" s="50" customFormat="1" ht="20.45" customHeight="1">
      <c r="A81" s="176"/>
      <c r="B81" s="176"/>
      <c r="C81" s="178" t="s">
        <v>21</v>
      </c>
      <c r="D81" s="179">
        <v>4</v>
      </c>
      <c r="E81" s="169">
        <f t="shared" si="32"/>
        <v>2.7777777777777779E-3</v>
      </c>
      <c r="F81" s="180">
        <f t="shared" si="33"/>
        <v>21.444826744447944</v>
      </c>
      <c r="G81" s="180">
        <f>H117</f>
        <v>11.144826744447943</v>
      </c>
      <c r="H81" s="514"/>
      <c r="I81" s="514"/>
      <c r="J81" s="514"/>
      <c r="K81" s="52" t="s">
        <v>21</v>
      </c>
      <c r="L81" s="71" t="s">
        <v>21</v>
      </c>
      <c r="V81" s="54"/>
      <c r="W81" s="50">
        <f t="shared" si="29"/>
        <v>3.0183979517608415</v>
      </c>
      <c r="X81" s="50">
        <f t="shared" si="30"/>
        <v>0.125</v>
      </c>
      <c r="Y81" s="50">
        <f t="shared" si="31"/>
        <v>5.0000000000000001E-4</v>
      </c>
      <c r="Z81" s="50">
        <f>E93</f>
        <v>4.1666666666666664E-2</v>
      </c>
      <c r="AA81" s="55">
        <f>D93</f>
        <v>60</v>
      </c>
      <c r="AB81" s="72"/>
      <c r="AC81" s="56"/>
      <c r="AF81" s="56"/>
    </row>
    <row r="82" spans="1:32" s="50" customFormat="1" ht="20.45" customHeight="1">
      <c r="A82" s="176"/>
      <c r="B82" s="176"/>
      <c r="C82" s="178" t="s">
        <v>21</v>
      </c>
      <c r="D82" s="179">
        <v>5</v>
      </c>
      <c r="E82" s="169">
        <f t="shared" si="32"/>
        <v>3.472222222222222E-3</v>
      </c>
      <c r="F82" s="180">
        <f t="shared" si="33"/>
        <v>20.445612173214727</v>
      </c>
      <c r="G82" s="180">
        <f>H118</f>
        <v>10.145612173214728</v>
      </c>
      <c r="H82" s="514"/>
      <c r="I82" s="514"/>
      <c r="J82" s="514"/>
      <c r="K82" s="52" t="s">
        <v>21</v>
      </c>
      <c r="L82" s="71" t="s">
        <v>21</v>
      </c>
      <c r="V82" s="54"/>
      <c r="W82" s="50">
        <f t="shared" si="29"/>
        <v>3.0183979517608415</v>
      </c>
      <c r="X82" s="50">
        <f t="shared" si="30"/>
        <v>0.125</v>
      </c>
      <c r="Y82" s="50">
        <f t="shared" si="31"/>
        <v>5.0000000000000001E-4</v>
      </c>
      <c r="Z82" s="50">
        <f>E97</f>
        <v>8.3333333333333329E-2</v>
      </c>
      <c r="AA82" s="55">
        <f>D97</f>
        <v>120</v>
      </c>
      <c r="AB82" s="72"/>
      <c r="AC82" s="56"/>
      <c r="AF82" s="56"/>
    </row>
    <row r="83" spans="1:32" s="50" customFormat="1" ht="20.45" customHeight="1">
      <c r="A83" s="176"/>
      <c r="B83" s="176"/>
      <c r="C83" s="178" t="s">
        <v>21</v>
      </c>
      <c r="D83" s="179">
        <v>10</v>
      </c>
      <c r="E83" s="169">
        <f t="shared" si="32"/>
        <v>6.9444444444444441E-3</v>
      </c>
      <c r="F83" s="180">
        <f t="shared" si="33"/>
        <v>17.95408117003355</v>
      </c>
      <c r="G83" s="180">
        <f>H121</f>
        <v>7.6540811700335487</v>
      </c>
      <c r="H83" s="514"/>
      <c r="I83" s="514"/>
      <c r="J83" s="514"/>
      <c r="K83" s="52" t="s">
        <v>21</v>
      </c>
      <c r="L83" s="71" t="s">
        <v>21</v>
      </c>
      <c r="V83" s="54"/>
      <c r="W83" s="50">
        <f t="shared" si="29"/>
        <v>3.0183979517608415</v>
      </c>
      <c r="X83" s="50">
        <f t="shared" si="30"/>
        <v>0.125</v>
      </c>
      <c r="Y83" s="50">
        <f t="shared" si="31"/>
        <v>5.0000000000000001E-4</v>
      </c>
      <c r="Z83" s="50">
        <f>E98</f>
        <v>0.125</v>
      </c>
      <c r="AA83" s="55">
        <f>D98</f>
        <v>180</v>
      </c>
      <c r="AB83" s="72"/>
      <c r="AC83" s="56"/>
      <c r="AF83" s="56"/>
    </row>
    <row r="84" spans="1:32" s="50" customFormat="1" ht="20.45" customHeight="1">
      <c r="A84" s="176"/>
      <c r="B84" s="176"/>
      <c r="C84" s="178" t="s">
        <v>21</v>
      </c>
      <c r="D84" s="179">
        <v>15</v>
      </c>
      <c r="E84" s="169">
        <f t="shared" si="32"/>
        <v>1.0416666666666666E-2</v>
      </c>
      <c r="F84" s="180">
        <f t="shared" si="33"/>
        <v>17.489461359181782</v>
      </c>
      <c r="G84" s="180">
        <f>H124</f>
        <v>7.1894613591817826</v>
      </c>
      <c r="H84" s="514"/>
      <c r="I84" s="514"/>
      <c r="J84" s="514"/>
      <c r="K84" s="52" t="s">
        <v>21</v>
      </c>
      <c r="L84" s="71" t="s">
        <v>21</v>
      </c>
      <c r="V84" s="54"/>
      <c r="AA84" s="55">
        <f>D99</f>
        <v>240</v>
      </c>
      <c r="AB84" s="72"/>
      <c r="AC84" s="56"/>
      <c r="AF84" s="56"/>
    </row>
    <row r="85" spans="1:32" s="50" customFormat="1" ht="20.45" customHeight="1">
      <c r="A85" s="176"/>
      <c r="B85" s="176"/>
      <c r="C85" s="178" t="s">
        <v>21</v>
      </c>
      <c r="D85" s="179">
        <v>20</v>
      </c>
      <c r="E85" s="169">
        <f t="shared" si="32"/>
        <v>1.3888888888888888E-2</v>
      </c>
      <c r="F85" s="180">
        <f t="shared" si="33"/>
        <v>16.258078555128598</v>
      </c>
      <c r="G85" s="180">
        <f>H126</f>
        <v>5.9580785551285969</v>
      </c>
      <c r="H85" s="514"/>
      <c r="I85" s="514"/>
      <c r="J85" s="514"/>
      <c r="K85" s="52" t="s">
        <v>21</v>
      </c>
      <c r="L85" s="71" t="s">
        <v>21</v>
      </c>
      <c r="V85" s="54"/>
      <c r="AA85" s="55">
        <f>D100</f>
        <v>300</v>
      </c>
      <c r="AB85" s="88"/>
      <c r="AF85" s="56"/>
    </row>
    <row r="86" spans="1:32" s="50" customFormat="1" ht="20.45" customHeight="1">
      <c r="A86" s="176"/>
      <c r="B86" s="176"/>
      <c r="C86" s="178" t="s">
        <v>21</v>
      </c>
      <c r="D86" s="179">
        <v>25</v>
      </c>
      <c r="E86" s="169">
        <f t="shared" si="32"/>
        <v>1.7361111111111112E-2</v>
      </c>
      <c r="F86" s="180">
        <f t="shared" si="33"/>
        <v>15.723893587937212</v>
      </c>
      <c r="G86" s="180">
        <f t="shared" ref="G86:G92" si="34">H127</f>
        <v>5.4238935879372114</v>
      </c>
      <c r="H86" s="514"/>
      <c r="I86" s="514"/>
      <c r="J86" s="514"/>
      <c r="K86" s="52" t="s">
        <v>21</v>
      </c>
      <c r="L86" s="71" t="s">
        <v>21</v>
      </c>
      <c r="V86" s="54"/>
      <c r="AA86" s="55">
        <f>D101</f>
        <v>360</v>
      </c>
      <c r="AB86" s="88"/>
      <c r="AF86" s="56"/>
    </row>
    <row r="87" spans="1:32" s="50" customFormat="1" ht="20.45" customHeight="1">
      <c r="A87" s="176"/>
      <c r="B87" s="176"/>
      <c r="C87" s="178" t="s">
        <v>21</v>
      </c>
      <c r="D87" s="179">
        <v>30</v>
      </c>
      <c r="E87" s="169">
        <f t="shared" si="32"/>
        <v>2.0833333333333332E-2</v>
      </c>
      <c r="F87" s="180">
        <f t="shared" si="33"/>
        <v>15.237602178464636</v>
      </c>
      <c r="G87" s="180">
        <f t="shared" si="34"/>
        <v>4.9376021784646351</v>
      </c>
      <c r="H87" s="514"/>
      <c r="I87" s="514"/>
      <c r="J87" s="514"/>
      <c r="K87" s="52" t="s">
        <v>21</v>
      </c>
      <c r="L87" s="71" t="s">
        <v>21</v>
      </c>
      <c r="V87" s="54" t="s">
        <v>21</v>
      </c>
      <c r="AA87" s="55" t="s">
        <v>21</v>
      </c>
      <c r="AB87" s="88"/>
    </row>
    <row r="88" spans="1:32" s="50" customFormat="1" ht="20.45" customHeight="1">
      <c r="A88" s="176"/>
      <c r="B88" s="176"/>
      <c r="C88" s="178"/>
      <c r="D88" s="179">
        <v>35</v>
      </c>
      <c r="E88" s="169">
        <f t="shared" si="32"/>
        <v>2.4305555555555556E-2</v>
      </c>
      <c r="F88" s="180">
        <f t="shared" si="33"/>
        <v>15.08539444560216</v>
      </c>
      <c r="G88" s="180">
        <f t="shared" si="34"/>
        <v>4.7853944456021598</v>
      </c>
      <c r="H88" s="514"/>
      <c r="I88" s="514"/>
      <c r="J88" s="514"/>
      <c r="K88" s="52"/>
      <c r="L88" s="71"/>
      <c r="V88" s="54"/>
      <c r="AA88" s="55"/>
      <c r="AB88" s="88"/>
    </row>
    <row r="89" spans="1:32" s="50" customFormat="1" ht="20.45" customHeight="1">
      <c r="A89" s="176"/>
      <c r="B89" s="176"/>
      <c r="C89" s="178"/>
      <c r="D89" s="179">
        <v>40</v>
      </c>
      <c r="E89" s="169">
        <f t="shared" si="32"/>
        <v>2.7777777777777776E-2</v>
      </c>
      <c r="F89" s="180">
        <f t="shared" si="33"/>
        <v>14.937878705554372</v>
      </c>
      <c r="G89" s="180">
        <f t="shared" si="34"/>
        <v>4.6378787055543711</v>
      </c>
      <c r="H89" s="514"/>
      <c r="I89" s="514"/>
      <c r="J89" s="514"/>
      <c r="K89" s="52"/>
      <c r="L89" s="71"/>
      <c r="V89" s="54"/>
      <c r="AA89" s="55"/>
      <c r="AB89" s="88"/>
    </row>
    <row r="90" spans="1:32" s="50" customFormat="1" ht="20.45" customHeight="1">
      <c r="A90" s="176"/>
      <c r="B90" s="176"/>
      <c r="C90" s="178" t="s">
        <v>21</v>
      </c>
      <c r="D90" s="179">
        <v>45</v>
      </c>
      <c r="E90" s="169">
        <f t="shared" si="32"/>
        <v>3.125E-2</v>
      </c>
      <c r="F90" s="180">
        <f t="shared" si="33"/>
        <v>14.79491032180275</v>
      </c>
      <c r="G90" s="180">
        <f t="shared" si="34"/>
        <v>4.494910321802748</v>
      </c>
      <c r="H90" s="514"/>
      <c r="I90" s="514"/>
      <c r="J90" s="514"/>
      <c r="K90" s="52" t="s">
        <v>21</v>
      </c>
      <c r="L90" s="71" t="s">
        <v>21</v>
      </c>
      <c r="V90" s="54" t="s">
        <v>21</v>
      </c>
      <c r="AA90" s="55" t="s">
        <v>21</v>
      </c>
      <c r="AB90" s="88"/>
    </row>
    <row r="91" spans="1:32" s="50" customFormat="1" ht="20.45" customHeight="1">
      <c r="A91" s="176"/>
      <c r="B91" s="176"/>
      <c r="C91" s="178"/>
      <c r="D91" s="179">
        <v>50</v>
      </c>
      <c r="E91" s="169">
        <f t="shared" si="32"/>
        <v>3.4722222222222224E-2</v>
      </c>
      <c r="F91" s="180">
        <f t="shared" si="33"/>
        <v>14.65634911642948</v>
      </c>
      <c r="G91" s="180">
        <f t="shared" si="34"/>
        <v>4.3563491164294792</v>
      </c>
      <c r="H91" s="514"/>
      <c r="I91" s="514"/>
      <c r="J91" s="514"/>
      <c r="K91" s="52"/>
      <c r="L91" s="71"/>
      <c r="V91" s="54"/>
      <c r="AA91" s="55"/>
      <c r="AB91" s="88"/>
    </row>
    <row r="92" spans="1:32" s="50" customFormat="1" ht="20.45" customHeight="1">
      <c r="A92" s="176"/>
      <c r="B92" s="176"/>
      <c r="C92" s="178"/>
      <c r="D92" s="179">
        <v>55</v>
      </c>
      <c r="E92" s="169">
        <f t="shared" si="32"/>
        <v>3.8194444444444448E-2</v>
      </c>
      <c r="F92" s="180">
        <f t="shared" si="33"/>
        <v>14.522059232675549</v>
      </c>
      <c r="G92" s="180">
        <f t="shared" si="34"/>
        <v>4.2220592326755471</v>
      </c>
      <c r="H92" s="514"/>
      <c r="I92" s="514"/>
      <c r="J92" s="514"/>
      <c r="K92" s="52"/>
      <c r="L92" s="71"/>
      <c r="V92" s="54"/>
      <c r="AA92" s="55"/>
      <c r="AB92" s="88"/>
    </row>
    <row r="93" spans="1:32" s="50" customFormat="1" ht="20.45" customHeight="1">
      <c r="A93" s="176"/>
      <c r="B93" s="176"/>
      <c r="C93" s="178">
        <f>$C$10+(D93+2880)/1440</f>
        <v>44995.520833333328</v>
      </c>
      <c r="D93" s="179">
        <v>60</v>
      </c>
      <c r="E93" s="169">
        <f t="shared" si="32"/>
        <v>4.1666666666666664E-2</v>
      </c>
      <c r="F93" s="180">
        <f t="shared" si="33"/>
        <v>14.391909001735627</v>
      </c>
      <c r="G93" s="180">
        <f>H134</f>
        <v>4.091909001735627</v>
      </c>
      <c r="H93" s="514"/>
      <c r="I93" s="514"/>
      <c r="J93" s="514"/>
      <c r="K93" s="52" t="s">
        <v>21</v>
      </c>
      <c r="L93" s="71" t="s">
        <v>21</v>
      </c>
      <c r="V93" s="54" t="s">
        <v>21</v>
      </c>
      <c r="AA93" s="55" t="s">
        <v>21</v>
      </c>
      <c r="AB93" s="88"/>
    </row>
    <row r="94" spans="1:32" s="50" customFormat="1" ht="20.45" customHeight="1">
      <c r="A94" s="176"/>
      <c r="B94" s="176"/>
      <c r="C94" s="178"/>
      <c r="D94" s="179">
        <v>75</v>
      </c>
      <c r="E94" s="169">
        <f t="shared" si="32"/>
        <v>5.2083333333333336E-2</v>
      </c>
      <c r="F94" s="180">
        <f t="shared" si="33"/>
        <v>14.265770813659204</v>
      </c>
      <c r="G94" s="180">
        <f>H135</f>
        <v>3.9657708136592027</v>
      </c>
      <c r="H94" s="514"/>
      <c r="I94" s="514"/>
      <c r="J94" s="514"/>
      <c r="K94" s="52"/>
      <c r="L94" s="71"/>
      <c r="V94" s="54"/>
      <c r="AA94" s="55"/>
      <c r="AB94" s="88"/>
    </row>
    <row r="95" spans="1:32" s="50" customFormat="1" ht="20.45" customHeight="1">
      <c r="A95" s="176"/>
      <c r="B95" s="176"/>
      <c r="C95" s="178"/>
      <c r="D95" s="179">
        <v>90</v>
      </c>
      <c r="E95" s="169">
        <f t="shared" si="32"/>
        <v>6.25E-2</v>
      </c>
      <c r="F95" s="180">
        <f t="shared" si="33"/>
        <v>14.143520992231318</v>
      </c>
      <c r="G95" s="180">
        <f>H136</f>
        <v>3.8435209922313169</v>
      </c>
      <c r="H95" s="514"/>
      <c r="I95" s="514"/>
      <c r="J95" s="514"/>
      <c r="K95" s="52"/>
      <c r="L95" s="71"/>
      <c r="V95" s="54"/>
      <c r="AA95" s="55"/>
      <c r="AB95" s="88"/>
    </row>
    <row r="96" spans="1:32" s="50" customFormat="1" ht="20.45" customHeight="1">
      <c r="A96" s="176"/>
      <c r="B96" s="176"/>
      <c r="C96" s="178"/>
      <c r="D96" s="179">
        <v>105</v>
      </c>
      <c r="E96" s="169">
        <f t="shared" si="32"/>
        <v>7.2916666666666671E-2</v>
      </c>
      <c r="F96" s="180">
        <f t="shared" si="33"/>
        <v>14.025039673710275</v>
      </c>
      <c r="G96" s="180">
        <f>H137</f>
        <v>3.7250396737102749</v>
      </c>
      <c r="H96" s="514"/>
      <c r="I96" s="514"/>
      <c r="J96" s="514"/>
      <c r="K96" s="52"/>
      <c r="L96" s="71"/>
      <c r="V96" s="54"/>
      <c r="AA96" s="55"/>
      <c r="AB96" s="88"/>
    </row>
    <row r="97" spans="1:28" s="50" customFormat="1" ht="20.45" customHeight="1">
      <c r="A97" s="176"/>
      <c r="B97" s="176"/>
      <c r="C97" s="178">
        <f>$C$10+(D97+2880)/1440</f>
        <v>44995.5625</v>
      </c>
      <c r="D97" s="179">
        <v>120</v>
      </c>
      <c r="E97" s="169">
        <f t="shared" si="32"/>
        <v>8.3333333333333329E-2</v>
      </c>
      <c r="F97" s="180">
        <f t="shared" si="33"/>
        <v>13.691062842509435</v>
      </c>
      <c r="G97" s="180">
        <f>H138</f>
        <v>3.3910628425094336</v>
      </c>
      <c r="H97" s="514"/>
      <c r="I97" s="514"/>
      <c r="J97" s="514"/>
      <c r="K97" s="52" t="s">
        <v>21</v>
      </c>
      <c r="L97" s="71" t="s">
        <v>21</v>
      </c>
      <c r="V97" s="54" t="s">
        <v>21</v>
      </c>
      <c r="AA97" s="55" t="s">
        <v>21</v>
      </c>
      <c r="AB97" s="88"/>
    </row>
    <row r="98" spans="1:28" s="50" customFormat="1" ht="20.45" customHeight="1">
      <c r="A98" s="176"/>
      <c r="B98" s="176"/>
      <c r="C98" s="178" t="s">
        <v>21</v>
      </c>
      <c r="D98" s="179">
        <v>180</v>
      </c>
      <c r="E98" s="169">
        <f t="shared" si="32"/>
        <v>0.125</v>
      </c>
      <c r="F98" s="180">
        <f t="shared" si="33"/>
        <v>13.586529109617038</v>
      </c>
      <c r="G98" s="180">
        <f>H140</f>
        <v>3.2865291096170366</v>
      </c>
      <c r="H98" s="514"/>
      <c r="I98" s="514"/>
      <c r="J98" s="514"/>
      <c r="K98" s="533"/>
      <c r="L98" s="71" t="s">
        <v>21</v>
      </c>
      <c r="V98" s="54" t="str">
        <f t="shared" ref="V98:V103" si="35">V97</f>
        <v xml:space="preserve"> </v>
      </c>
      <c r="AA98" s="55" t="s">
        <v>21</v>
      </c>
      <c r="AB98" s="88"/>
    </row>
    <row r="99" spans="1:28" s="50" customFormat="1" ht="20.45" customHeight="1">
      <c r="A99" s="176"/>
      <c r="B99" s="176"/>
      <c r="C99" s="178">
        <f>$C$10+(D99+2880)/1440</f>
        <v>44995.645833333328</v>
      </c>
      <c r="D99" s="179">
        <v>240</v>
      </c>
      <c r="E99" s="169">
        <f t="shared" si="32"/>
        <v>0.16666666666666666</v>
      </c>
      <c r="F99" s="180">
        <f t="shared" si="33"/>
        <v>13.023625266280543</v>
      </c>
      <c r="G99" s="180">
        <f>H142</f>
        <v>2.7236252662805418</v>
      </c>
      <c r="H99" s="514"/>
      <c r="I99" s="514"/>
      <c r="J99" s="514"/>
      <c r="K99" s="52"/>
      <c r="V99" s="54" t="str">
        <f t="shared" si="35"/>
        <v xml:space="preserve"> </v>
      </c>
      <c r="AA99" s="55" t="s">
        <v>21</v>
      </c>
      <c r="AB99" s="88"/>
    </row>
    <row r="100" spans="1:28" s="50" customFormat="1" ht="20.45" customHeight="1">
      <c r="A100" s="176"/>
      <c r="B100" s="176"/>
      <c r="C100" s="178" t="s">
        <v>21</v>
      </c>
      <c r="D100" s="179">
        <v>300</v>
      </c>
      <c r="E100" s="169">
        <f t="shared" si="32"/>
        <v>0.20833333333333334</v>
      </c>
      <c r="F100" s="180">
        <f t="shared" si="33"/>
        <v>12.557133390182008</v>
      </c>
      <c r="G100" s="180">
        <f>H144</f>
        <v>2.2571333901820068</v>
      </c>
      <c r="H100" s="514"/>
      <c r="I100" s="514"/>
      <c r="J100" s="514"/>
      <c r="K100" s="52"/>
      <c r="V100" s="54" t="str">
        <f t="shared" si="35"/>
        <v xml:space="preserve"> </v>
      </c>
      <c r="AA100" s="55" t="s">
        <v>21</v>
      </c>
      <c r="AB100" s="88"/>
    </row>
    <row r="101" spans="1:28" s="50" customFormat="1" ht="20.45" customHeight="1">
      <c r="A101" s="176"/>
      <c r="B101" s="176"/>
      <c r="C101" s="178">
        <f>$C$10+(D101+2880)/1440</f>
        <v>44995.729166666664</v>
      </c>
      <c r="D101" s="179">
        <v>360</v>
      </c>
      <c r="E101" s="169">
        <f t="shared" si="32"/>
        <v>0.25</v>
      </c>
      <c r="F101" s="181">
        <f t="shared" si="33"/>
        <v>12.170540416902476</v>
      </c>
      <c r="G101" s="184">
        <f>H146</f>
        <v>1.8705404169024751</v>
      </c>
      <c r="H101" s="514"/>
      <c r="I101" s="514"/>
      <c r="J101" s="514"/>
      <c r="K101" s="52"/>
      <c r="V101" s="54" t="str">
        <f t="shared" si="35"/>
        <v xml:space="preserve"> </v>
      </c>
      <c r="AA101" s="55" t="s">
        <v>21</v>
      </c>
      <c r="AB101" s="88"/>
    </row>
    <row r="102" spans="1:28" s="50" customFormat="1" ht="17.25" customHeight="1">
      <c r="D102" s="89"/>
      <c r="K102" s="52"/>
      <c r="V102" s="54" t="str">
        <f t="shared" si="35"/>
        <v xml:space="preserve"> </v>
      </c>
      <c r="AA102" s="55" t="s">
        <v>21</v>
      </c>
      <c r="AB102" s="88"/>
    </row>
    <row r="103" spans="1:28" s="50" customFormat="1" ht="17.25" customHeight="1">
      <c r="D103" s="89"/>
      <c r="K103" s="52"/>
      <c r="V103" s="54" t="str">
        <f t="shared" si="35"/>
        <v xml:space="preserve"> </v>
      </c>
      <c r="AA103" s="55"/>
      <c r="AB103" s="88"/>
    </row>
    <row r="104" spans="1:28" s="50" customFormat="1" ht="17.25" customHeight="1">
      <c r="D104" s="89"/>
      <c r="K104" s="52"/>
      <c r="AA104" s="55"/>
      <c r="AB104" s="88"/>
    </row>
    <row r="105" spans="1:28" s="50" customFormat="1" ht="17.25" customHeight="1">
      <c r="D105" s="89"/>
      <c r="K105" s="52"/>
      <c r="AA105" s="55"/>
      <c r="AB105" s="88"/>
    </row>
    <row r="106" spans="1:28" s="50" customFormat="1" ht="17.25" customHeight="1">
      <c r="K106" s="52"/>
      <c r="AA106" s="55"/>
      <c r="AB106" s="88"/>
    </row>
    <row r="107" spans="1:28" s="50" customFormat="1" ht="17.25" customHeight="1">
      <c r="K107" s="52"/>
      <c r="AA107" s="55"/>
      <c r="AB107" s="88"/>
    </row>
    <row r="108" spans="1:28" s="50" customFormat="1" ht="17.25" customHeight="1">
      <c r="K108" s="52"/>
      <c r="AA108" s="55"/>
      <c r="AB108" s="88"/>
    </row>
    <row r="109" spans="1:28" s="50" customFormat="1" ht="17.25" customHeight="1">
      <c r="A109" s="339"/>
      <c r="B109" s="339"/>
      <c r="C109" s="339"/>
      <c r="D109" s="339"/>
      <c r="E109" s="339"/>
      <c r="F109" s="339"/>
      <c r="G109" s="339"/>
      <c r="H109" s="339"/>
      <c r="I109" s="339"/>
      <c r="J109" s="339"/>
      <c r="K109" s="52"/>
      <c r="AA109" s="55"/>
      <c r="AB109" s="88"/>
    </row>
    <row r="110" spans="1:28" s="50" customFormat="1" ht="17.25" customHeight="1">
      <c r="A110" s="339"/>
      <c r="B110" s="339"/>
      <c r="C110" s="340">
        <v>3</v>
      </c>
      <c r="D110" s="341">
        <f>G77</f>
        <v>22.900000000000002</v>
      </c>
      <c r="E110" s="339"/>
      <c r="F110" s="342" t="s">
        <v>193</v>
      </c>
      <c r="G110" s="339"/>
      <c r="H110" s="343" t="s">
        <v>194</v>
      </c>
      <c r="I110" s="344"/>
      <c r="J110" s="339"/>
      <c r="K110" s="52"/>
      <c r="AA110" s="55"/>
      <c r="AB110" s="88"/>
    </row>
    <row r="111" spans="1:28" s="50" customFormat="1" ht="17.25" hidden="1" customHeight="1">
      <c r="A111" s="339"/>
      <c r="B111" s="339">
        <v>1</v>
      </c>
      <c r="C111" s="339">
        <v>95</v>
      </c>
      <c r="D111" s="345">
        <f>D110</f>
        <v>22.900000000000002</v>
      </c>
      <c r="E111" s="346">
        <f>C111/100</f>
        <v>0.95</v>
      </c>
      <c r="F111" s="347" t="s">
        <v>21</v>
      </c>
      <c r="G111" s="339">
        <v>1</v>
      </c>
      <c r="H111" s="348">
        <f t="shared" ref="H111:H146" si="36">D111^E111</f>
        <v>19.581398608815142</v>
      </c>
      <c r="I111" s="349"/>
      <c r="J111" s="339"/>
      <c r="K111" s="52"/>
      <c r="AA111" s="55"/>
      <c r="AB111" s="88"/>
    </row>
    <row r="112" spans="1:28" s="50" customFormat="1" ht="17.25" hidden="1" customHeight="1">
      <c r="A112" s="339"/>
      <c r="B112" s="339">
        <v>2</v>
      </c>
      <c r="C112" s="339">
        <f t="shared" ref="C112:C119" si="37">C111-C$110</f>
        <v>92</v>
      </c>
      <c r="D112" s="344">
        <f>D111</f>
        <v>22.900000000000002</v>
      </c>
      <c r="E112" s="346">
        <f t="shared" ref="E112:E141" si="38">C112/100</f>
        <v>0.92</v>
      </c>
      <c r="F112" s="350"/>
      <c r="G112" s="339">
        <v>2</v>
      </c>
      <c r="H112" s="348">
        <f t="shared" si="36"/>
        <v>17.825784164220831</v>
      </c>
      <c r="I112" s="349"/>
      <c r="J112" s="351">
        <f>H111-H112</f>
        <v>1.7556144445943112</v>
      </c>
      <c r="K112" s="52"/>
      <c r="AA112" s="55"/>
      <c r="AB112" s="88"/>
    </row>
    <row r="113" spans="1:28" s="50" customFormat="1" ht="17.25" hidden="1" customHeight="1">
      <c r="A113" s="339"/>
      <c r="B113" s="339">
        <v>3</v>
      </c>
      <c r="C113" s="339">
        <f t="shared" si="37"/>
        <v>89</v>
      </c>
      <c r="D113" s="344">
        <f t="shared" ref="D113:D146" si="39">D112</f>
        <v>22.900000000000002</v>
      </c>
      <c r="E113" s="346">
        <f t="shared" si="38"/>
        <v>0.89</v>
      </c>
      <c r="F113" s="347" t="s">
        <v>21</v>
      </c>
      <c r="G113" s="339">
        <v>3</v>
      </c>
      <c r="H113" s="348">
        <f t="shared" si="36"/>
        <v>16.227573291232517</v>
      </c>
      <c r="I113" s="349"/>
      <c r="J113" s="351">
        <f t="shared" ref="J113:J146" si="40">H112-H113</f>
        <v>1.5982108729883144</v>
      </c>
      <c r="K113" s="52"/>
      <c r="AA113" s="55"/>
      <c r="AB113" s="88"/>
    </row>
    <row r="114" spans="1:28" s="50" customFormat="1" ht="17.25" customHeight="1">
      <c r="A114" s="339"/>
      <c r="B114" s="339">
        <v>4</v>
      </c>
      <c r="C114" s="339">
        <f t="shared" si="37"/>
        <v>86</v>
      </c>
      <c r="D114" s="344">
        <f t="shared" si="39"/>
        <v>22.900000000000002</v>
      </c>
      <c r="E114" s="346">
        <f t="shared" si="38"/>
        <v>0.86</v>
      </c>
      <c r="F114" s="350">
        <v>1</v>
      </c>
      <c r="G114" s="352">
        <v>4</v>
      </c>
      <c r="H114" s="353">
        <f t="shared" si="36"/>
        <v>14.772653617722808</v>
      </c>
      <c r="I114" s="354"/>
      <c r="J114" s="351">
        <f t="shared" si="40"/>
        <v>1.4549196735097087</v>
      </c>
      <c r="K114" s="52"/>
      <c r="AA114" s="55"/>
      <c r="AB114" s="88"/>
    </row>
    <row r="115" spans="1:28" s="50" customFormat="1" ht="17.25" customHeight="1">
      <c r="A115" s="339"/>
      <c r="B115" s="339">
        <v>5</v>
      </c>
      <c r="C115" s="339">
        <f t="shared" si="37"/>
        <v>83</v>
      </c>
      <c r="D115" s="344">
        <f t="shared" si="39"/>
        <v>22.900000000000002</v>
      </c>
      <c r="E115" s="346">
        <f t="shared" si="38"/>
        <v>0.83</v>
      </c>
      <c r="F115" s="350">
        <v>2</v>
      </c>
      <c r="G115" s="352">
        <v>5</v>
      </c>
      <c r="H115" s="353">
        <f t="shared" si="36"/>
        <v>13.448178048108126</v>
      </c>
      <c r="I115" s="354"/>
      <c r="J115" s="351">
        <f t="shared" si="40"/>
        <v>1.3244755696146822</v>
      </c>
      <c r="K115" s="52"/>
      <c r="AA115" s="55"/>
      <c r="AB115" s="88"/>
    </row>
    <row r="116" spans="1:28" s="50" customFormat="1" ht="17.25" customHeight="1">
      <c r="A116" s="339"/>
      <c r="B116" s="339">
        <v>6</v>
      </c>
      <c r="C116" s="339">
        <f t="shared" si="37"/>
        <v>80</v>
      </c>
      <c r="D116" s="344">
        <f t="shared" si="39"/>
        <v>22.900000000000002</v>
      </c>
      <c r="E116" s="346">
        <f t="shared" si="38"/>
        <v>0.8</v>
      </c>
      <c r="F116" s="350">
        <v>3</v>
      </c>
      <c r="G116" s="352">
        <v>6</v>
      </c>
      <c r="H116" s="353">
        <f t="shared" si="36"/>
        <v>12.242451322127168</v>
      </c>
      <c r="I116" s="354"/>
      <c r="J116" s="351">
        <f t="shared" si="40"/>
        <v>1.2057267259809574</v>
      </c>
      <c r="K116" s="52"/>
      <c r="AA116" s="55"/>
      <c r="AB116" s="88"/>
    </row>
    <row r="117" spans="1:28" s="50" customFormat="1" ht="17.25" customHeight="1">
      <c r="A117" s="339"/>
      <c r="B117" s="339">
        <v>7</v>
      </c>
      <c r="C117" s="339">
        <f t="shared" si="37"/>
        <v>77</v>
      </c>
      <c r="D117" s="344">
        <f t="shared" si="39"/>
        <v>22.900000000000002</v>
      </c>
      <c r="E117" s="346">
        <f t="shared" si="38"/>
        <v>0.77</v>
      </c>
      <c r="F117" s="350">
        <v>4</v>
      </c>
      <c r="G117" s="352">
        <v>7</v>
      </c>
      <c r="H117" s="353">
        <f t="shared" si="36"/>
        <v>11.144826744447943</v>
      </c>
      <c r="I117" s="354"/>
      <c r="J117" s="351">
        <f t="shared" si="40"/>
        <v>1.0976245776792251</v>
      </c>
      <c r="K117" s="52"/>
      <c r="AA117" s="55"/>
      <c r="AB117" s="88"/>
    </row>
    <row r="118" spans="1:28" s="50" customFormat="1" ht="17.25" customHeight="1">
      <c r="A118" s="339"/>
      <c r="B118" s="339">
        <v>8</v>
      </c>
      <c r="C118" s="339">
        <f t="shared" si="37"/>
        <v>74</v>
      </c>
      <c r="D118" s="344">
        <f t="shared" si="39"/>
        <v>22.900000000000002</v>
      </c>
      <c r="E118" s="346">
        <f t="shared" si="38"/>
        <v>0.74</v>
      </c>
      <c r="F118" s="350">
        <v>5</v>
      </c>
      <c r="G118" s="352">
        <v>8</v>
      </c>
      <c r="H118" s="353">
        <f t="shared" si="36"/>
        <v>10.145612173214728</v>
      </c>
      <c r="I118" s="354"/>
      <c r="J118" s="351">
        <f t="shared" si="40"/>
        <v>0.99921457123321566</v>
      </c>
      <c r="K118" s="52"/>
      <c r="AA118" s="55"/>
      <c r="AB118" s="88"/>
    </row>
    <row r="119" spans="1:28" s="50" customFormat="1" ht="17.25" hidden="1" customHeight="1">
      <c r="A119" s="339"/>
      <c r="B119" s="339">
        <v>9</v>
      </c>
      <c r="C119" s="339">
        <f t="shared" si="37"/>
        <v>71</v>
      </c>
      <c r="D119" s="344">
        <f t="shared" si="39"/>
        <v>22.900000000000002</v>
      </c>
      <c r="E119" s="346">
        <f t="shared" si="38"/>
        <v>0.71</v>
      </c>
      <c r="F119" s="347"/>
      <c r="G119" s="339">
        <v>9</v>
      </c>
      <c r="H119" s="355">
        <f t="shared" si="36"/>
        <v>9.2359844374038058</v>
      </c>
      <c r="I119" s="356"/>
      <c r="J119" s="351">
        <f t="shared" si="40"/>
        <v>0.90962773581092193</v>
      </c>
      <c r="K119" s="52"/>
      <c r="AA119" s="55"/>
      <c r="AB119" s="88"/>
    </row>
    <row r="120" spans="1:28" s="50" customFormat="1" ht="17.25" hidden="1" customHeight="1">
      <c r="A120" s="339">
        <f>C110</f>
        <v>3</v>
      </c>
      <c r="B120" s="339">
        <v>10</v>
      </c>
      <c r="C120" s="339">
        <f>C119-A$120</f>
        <v>68</v>
      </c>
      <c r="D120" s="344">
        <f t="shared" si="39"/>
        <v>22.900000000000002</v>
      </c>
      <c r="E120" s="346">
        <f t="shared" si="38"/>
        <v>0.68</v>
      </c>
      <c r="F120" s="347" t="s">
        <v>21</v>
      </c>
      <c r="G120" s="339">
        <v>10</v>
      </c>
      <c r="H120" s="348">
        <f t="shared" si="36"/>
        <v>8.4079114272841515</v>
      </c>
      <c r="I120" s="349"/>
      <c r="J120" s="351">
        <f t="shared" si="40"/>
        <v>0.82807301011965428</v>
      </c>
      <c r="K120" s="52"/>
      <c r="AA120" s="55"/>
      <c r="AB120" s="88"/>
    </row>
    <row r="121" spans="1:28" s="50" customFormat="1" ht="17.25" customHeight="1">
      <c r="A121" s="339"/>
      <c r="B121" s="339">
        <v>11</v>
      </c>
      <c r="C121" s="339">
        <f t="shared" ref="C121:C128" si="41">C120-A$120</f>
        <v>65</v>
      </c>
      <c r="D121" s="344">
        <f t="shared" si="39"/>
        <v>22.900000000000002</v>
      </c>
      <c r="E121" s="346">
        <f t="shared" si="38"/>
        <v>0.65</v>
      </c>
      <c r="F121" s="350">
        <v>10</v>
      </c>
      <c r="G121" s="352">
        <v>12</v>
      </c>
      <c r="H121" s="353">
        <f t="shared" si="36"/>
        <v>7.6540811700335487</v>
      </c>
      <c r="I121" s="354"/>
      <c r="J121" s="351">
        <f t="shared" si="40"/>
        <v>0.75383025725060282</v>
      </c>
      <c r="K121" s="52"/>
      <c r="AA121" s="55"/>
      <c r="AB121" s="88"/>
    </row>
    <row r="122" spans="1:28" s="50" customFormat="1" ht="17.25" hidden="1" customHeight="1">
      <c r="A122" s="339"/>
      <c r="B122" s="339">
        <v>12</v>
      </c>
      <c r="C122" s="339">
        <f t="shared" si="41"/>
        <v>62</v>
      </c>
      <c r="D122" s="344">
        <f t="shared" si="39"/>
        <v>22.900000000000002</v>
      </c>
      <c r="E122" s="346">
        <f t="shared" si="38"/>
        <v>0.62</v>
      </c>
      <c r="F122" s="347"/>
      <c r="G122" s="339">
        <v>14</v>
      </c>
      <c r="H122" s="348">
        <f t="shared" si="36"/>
        <v>6.9678372642402762</v>
      </c>
      <c r="I122" s="349"/>
      <c r="J122" s="351">
        <f t="shared" si="40"/>
        <v>0.68624390579327255</v>
      </c>
      <c r="K122" s="52"/>
      <c r="AA122" s="55"/>
      <c r="AB122" s="88"/>
    </row>
    <row r="123" spans="1:28" s="50" customFormat="1" ht="17.25" hidden="1" customHeight="1">
      <c r="A123" s="339"/>
      <c r="B123" s="339"/>
      <c r="C123" s="339">
        <v>37</v>
      </c>
      <c r="D123" s="344">
        <f t="shared" si="39"/>
        <v>22.900000000000002</v>
      </c>
      <c r="E123" s="346">
        <f t="shared" si="38"/>
        <v>0.37</v>
      </c>
      <c r="F123" s="347"/>
      <c r="G123" s="339">
        <v>15</v>
      </c>
      <c r="H123" s="348">
        <f t="shared" si="36"/>
        <v>3.1852177591515982</v>
      </c>
      <c r="I123" s="349"/>
      <c r="J123" s="351">
        <f t="shared" si="40"/>
        <v>3.7826195050886779</v>
      </c>
      <c r="K123" s="52"/>
      <c r="AA123" s="55"/>
      <c r="AB123" s="88"/>
    </row>
    <row r="124" spans="1:28" s="50" customFormat="1" ht="17.25" customHeight="1">
      <c r="A124" s="339"/>
      <c r="B124" s="339">
        <v>13</v>
      </c>
      <c r="C124" s="339">
        <v>63</v>
      </c>
      <c r="D124" s="344">
        <f t="shared" si="39"/>
        <v>22.900000000000002</v>
      </c>
      <c r="E124" s="346">
        <f t="shared" si="38"/>
        <v>0.63</v>
      </c>
      <c r="F124" s="350">
        <v>15</v>
      </c>
      <c r="G124" s="352">
        <v>16</v>
      </c>
      <c r="H124" s="353">
        <f t="shared" si="36"/>
        <v>7.1894613591817826</v>
      </c>
      <c r="I124" s="354"/>
      <c r="J124" s="351">
        <f t="shared" si="40"/>
        <v>-4.0042436000301844</v>
      </c>
      <c r="K124" s="52"/>
      <c r="AA124" s="55"/>
      <c r="AB124" s="88"/>
    </row>
    <row r="125" spans="1:28" s="50" customFormat="1" ht="17.25" hidden="1" customHeight="1">
      <c r="A125" s="339"/>
      <c r="B125" s="339">
        <v>14</v>
      </c>
      <c r="C125" s="339">
        <f t="shared" si="41"/>
        <v>60</v>
      </c>
      <c r="D125" s="344">
        <f t="shared" si="39"/>
        <v>22.900000000000002</v>
      </c>
      <c r="E125" s="346">
        <f t="shared" si="38"/>
        <v>0.6</v>
      </c>
      <c r="F125" s="347"/>
      <c r="G125" s="339">
        <v>18</v>
      </c>
      <c r="H125" s="348">
        <f t="shared" si="36"/>
        <v>6.5448739901595259</v>
      </c>
      <c r="I125" s="349"/>
      <c r="J125" s="351">
        <f t="shared" si="40"/>
        <v>0.64458736902225677</v>
      </c>
      <c r="K125" s="52"/>
      <c r="AA125" s="55"/>
      <c r="AB125" s="88"/>
    </row>
    <row r="126" spans="1:28" s="50" customFormat="1" ht="17.25" customHeight="1">
      <c r="A126" s="339"/>
      <c r="B126" s="339">
        <v>15</v>
      </c>
      <c r="C126" s="339">
        <f t="shared" si="41"/>
        <v>57</v>
      </c>
      <c r="D126" s="344">
        <f t="shared" si="39"/>
        <v>22.900000000000002</v>
      </c>
      <c r="E126" s="346">
        <f t="shared" si="38"/>
        <v>0.56999999999999995</v>
      </c>
      <c r="F126" s="350">
        <v>20</v>
      </c>
      <c r="G126" s="352">
        <v>20</v>
      </c>
      <c r="H126" s="353">
        <f t="shared" si="36"/>
        <v>5.9580785551285969</v>
      </c>
      <c r="I126" s="354"/>
      <c r="J126" s="351">
        <f t="shared" si="40"/>
        <v>0.58679543503092901</v>
      </c>
      <c r="K126" s="52"/>
      <c r="AA126" s="55"/>
      <c r="AB126" s="88"/>
    </row>
    <row r="127" spans="1:28" s="50" customFormat="1" ht="17.25" customHeight="1">
      <c r="A127" s="339"/>
      <c r="B127" s="339">
        <v>16</v>
      </c>
      <c r="C127" s="339">
        <f t="shared" si="41"/>
        <v>54</v>
      </c>
      <c r="D127" s="344">
        <f t="shared" si="39"/>
        <v>22.900000000000002</v>
      </c>
      <c r="E127" s="346">
        <f t="shared" si="38"/>
        <v>0.54</v>
      </c>
      <c r="F127" s="350">
        <v>25</v>
      </c>
      <c r="G127" s="352">
        <v>25</v>
      </c>
      <c r="H127" s="353">
        <f t="shared" si="36"/>
        <v>5.4238935879372114</v>
      </c>
      <c r="I127" s="354"/>
      <c r="J127" s="351">
        <f t="shared" si="40"/>
        <v>0.53418496719138542</v>
      </c>
      <c r="K127" s="52"/>
      <c r="AA127" s="55"/>
      <c r="AB127" s="88"/>
    </row>
    <row r="128" spans="1:28" s="50" customFormat="1" ht="17.25" customHeight="1">
      <c r="A128" s="339"/>
      <c r="B128" s="339">
        <v>17</v>
      </c>
      <c r="C128" s="339">
        <f t="shared" si="41"/>
        <v>51</v>
      </c>
      <c r="D128" s="344">
        <f t="shared" si="39"/>
        <v>22.900000000000002</v>
      </c>
      <c r="E128" s="346">
        <f t="shared" si="38"/>
        <v>0.51</v>
      </c>
      <c r="F128" s="350">
        <v>30</v>
      </c>
      <c r="G128" s="352">
        <v>30</v>
      </c>
      <c r="H128" s="353">
        <f>D128^E128</f>
        <v>4.9376021784646351</v>
      </c>
      <c r="I128" s="354"/>
      <c r="J128" s="351">
        <f t="shared" si="40"/>
        <v>0.48629140947257632</v>
      </c>
      <c r="K128" s="52"/>
      <c r="AA128" s="55"/>
      <c r="AB128" s="88"/>
    </row>
    <row r="129" spans="1:28" s="50" customFormat="1" ht="17.25" customHeight="1">
      <c r="A129" s="339"/>
      <c r="B129" s="339"/>
      <c r="C129" s="339">
        <v>50</v>
      </c>
      <c r="D129" s="344">
        <f t="shared" si="39"/>
        <v>22.900000000000002</v>
      </c>
      <c r="E129" s="346">
        <f t="shared" si="38"/>
        <v>0.5</v>
      </c>
      <c r="F129" s="350">
        <v>35</v>
      </c>
      <c r="G129" s="352">
        <v>35</v>
      </c>
      <c r="H129" s="353">
        <f t="shared" si="36"/>
        <v>4.7853944456021598</v>
      </c>
      <c r="I129" s="354"/>
      <c r="J129" s="351">
        <f t="shared" si="40"/>
        <v>0.15220773286247535</v>
      </c>
      <c r="K129" s="52"/>
      <c r="AA129" s="55"/>
      <c r="AB129" s="88"/>
    </row>
    <row r="130" spans="1:28" s="50" customFormat="1" ht="17.25" customHeight="1">
      <c r="A130" s="339"/>
      <c r="B130" s="339"/>
      <c r="C130" s="339">
        <v>49</v>
      </c>
      <c r="D130" s="344">
        <f t="shared" si="39"/>
        <v>22.900000000000002</v>
      </c>
      <c r="E130" s="346">
        <f t="shared" si="38"/>
        <v>0.49</v>
      </c>
      <c r="F130" s="350">
        <v>40</v>
      </c>
      <c r="G130" s="352">
        <v>40</v>
      </c>
      <c r="H130" s="353">
        <f t="shared" si="36"/>
        <v>4.6378787055543711</v>
      </c>
      <c r="I130" s="354"/>
      <c r="J130" s="351">
        <f t="shared" si="40"/>
        <v>0.14751574004778867</v>
      </c>
      <c r="K130" s="52"/>
      <c r="AA130" s="55"/>
      <c r="AB130" s="88"/>
    </row>
    <row r="131" spans="1:28" s="50" customFormat="1" ht="17.25" customHeight="1">
      <c r="A131" s="339">
        <f>A120</f>
        <v>3</v>
      </c>
      <c r="B131" s="339">
        <v>18</v>
      </c>
      <c r="C131" s="339">
        <f>C128-A$131</f>
        <v>48</v>
      </c>
      <c r="D131" s="344">
        <f t="shared" si="39"/>
        <v>22.900000000000002</v>
      </c>
      <c r="E131" s="346">
        <f t="shared" si="38"/>
        <v>0.48</v>
      </c>
      <c r="F131" s="350">
        <v>45</v>
      </c>
      <c r="G131" s="352">
        <v>45</v>
      </c>
      <c r="H131" s="353">
        <f t="shared" si="36"/>
        <v>4.494910321802748</v>
      </c>
      <c r="I131" s="354"/>
      <c r="J131" s="351">
        <f t="shared" si="40"/>
        <v>0.14296838375162313</v>
      </c>
      <c r="K131" s="52"/>
      <c r="AA131" s="55"/>
      <c r="AB131" s="88"/>
    </row>
    <row r="132" spans="1:28" s="50" customFormat="1" ht="17.25" customHeight="1">
      <c r="A132" s="339"/>
      <c r="B132" s="339"/>
      <c r="C132" s="339">
        <v>47</v>
      </c>
      <c r="D132" s="344">
        <f t="shared" si="39"/>
        <v>22.900000000000002</v>
      </c>
      <c r="E132" s="346">
        <f t="shared" si="38"/>
        <v>0.47</v>
      </c>
      <c r="F132" s="350">
        <v>50</v>
      </c>
      <c r="G132" s="352">
        <v>50</v>
      </c>
      <c r="H132" s="353">
        <f t="shared" si="36"/>
        <v>4.3563491164294792</v>
      </c>
      <c r="I132" s="354"/>
      <c r="J132" s="351">
        <f t="shared" si="40"/>
        <v>0.13856120537326877</v>
      </c>
      <c r="K132" s="52"/>
      <c r="AA132" s="55"/>
      <c r="AB132" s="88"/>
    </row>
    <row r="133" spans="1:28" s="50" customFormat="1" ht="17.25" customHeight="1">
      <c r="A133" s="339"/>
      <c r="B133" s="339"/>
      <c r="C133" s="339">
        <v>46</v>
      </c>
      <c r="D133" s="344">
        <f t="shared" si="39"/>
        <v>22.900000000000002</v>
      </c>
      <c r="E133" s="346">
        <f t="shared" si="38"/>
        <v>0.46</v>
      </c>
      <c r="F133" s="350">
        <v>55</v>
      </c>
      <c r="G133" s="352">
        <v>55</v>
      </c>
      <c r="H133" s="353">
        <f t="shared" si="36"/>
        <v>4.2220592326755471</v>
      </c>
      <c r="I133" s="354"/>
      <c r="J133" s="351">
        <f t="shared" si="40"/>
        <v>0.13428988375393214</v>
      </c>
      <c r="K133" s="52"/>
      <c r="AA133" s="55"/>
      <c r="AB133" s="88"/>
    </row>
    <row r="134" spans="1:28" s="50" customFormat="1" ht="17.25" customHeight="1">
      <c r="A134" s="339"/>
      <c r="B134" s="339">
        <v>19</v>
      </c>
      <c r="C134" s="339">
        <f>C131-A$131</f>
        <v>45</v>
      </c>
      <c r="D134" s="344">
        <f t="shared" si="39"/>
        <v>22.900000000000002</v>
      </c>
      <c r="E134" s="346">
        <f t="shared" si="38"/>
        <v>0.45</v>
      </c>
      <c r="F134" s="350">
        <v>60</v>
      </c>
      <c r="G134" s="352">
        <v>60</v>
      </c>
      <c r="H134" s="353">
        <f t="shared" si="36"/>
        <v>4.091909001735627</v>
      </c>
      <c r="I134" s="354"/>
      <c r="J134" s="351">
        <f t="shared" si="40"/>
        <v>0.13015023093992006</v>
      </c>
      <c r="K134" s="52"/>
      <c r="AA134" s="55"/>
      <c r="AB134" s="88"/>
    </row>
    <row r="135" spans="1:28" s="50" customFormat="1" ht="17.25" customHeight="1">
      <c r="A135" s="339"/>
      <c r="B135" s="339"/>
      <c r="C135" s="339">
        <v>44</v>
      </c>
      <c r="D135" s="344">
        <f t="shared" si="39"/>
        <v>22.900000000000002</v>
      </c>
      <c r="E135" s="346">
        <f t="shared" si="38"/>
        <v>0.44</v>
      </c>
      <c r="F135" s="350">
        <v>75</v>
      </c>
      <c r="G135" s="352">
        <v>75</v>
      </c>
      <c r="H135" s="353">
        <f t="shared" si="36"/>
        <v>3.9657708136592027</v>
      </c>
      <c r="I135" s="354"/>
      <c r="J135" s="351">
        <f t="shared" si="40"/>
        <v>0.1261381880764243</v>
      </c>
      <c r="K135" s="52"/>
      <c r="AA135" s="55"/>
      <c r="AB135" s="88"/>
    </row>
    <row r="136" spans="1:28" s="50" customFormat="1" ht="17.25" customHeight="1">
      <c r="A136" s="339"/>
      <c r="B136" s="339"/>
      <c r="C136" s="339">
        <v>43</v>
      </c>
      <c r="D136" s="344">
        <f t="shared" si="39"/>
        <v>22.900000000000002</v>
      </c>
      <c r="E136" s="346">
        <f t="shared" si="38"/>
        <v>0.43</v>
      </c>
      <c r="F136" s="350">
        <v>90</v>
      </c>
      <c r="G136" s="352">
        <v>90</v>
      </c>
      <c r="H136" s="353">
        <f t="shared" si="36"/>
        <v>3.8435209922313169</v>
      </c>
      <c r="I136" s="354"/>
      <c r="J136" s="351">
        <f t="shared" si="40"/>
        <v>0.12224982142788576</v>
      </c>
      <c r="K136" s="52"/>
      <c r="AA136" s="55"/>
      <c r="AB136" s="88"/>
    </row>
    <row r="137" spans="1:28" s="50" customFormat="1" ht="17.25" customHeight="1">
      <c r="A137" s="339"/>
      <c r="B137" s="339">
        <v>20</v>
      </c>
      <c r="C137" s="339">
        <f>C134-A$131</f>
        <v>42</v>
      </c>
      <c r="D137" s="344">
        <f t="shared" si="39"/>
        <v>22.900000000000002</v>
      </c>
      <c r="E137" s="346">
        <f t="shared" si="38"/>
        <v>0.42</v>
      </c>
      <c r="F137" s="350">
        <v>105</v>
      </c>
      <c r="G137" s="352">
        <v>105</v>
      </c>
      <c r="H137" s="353">
        <f t="shared" si="36"/>
        <v>3.7250396737102749</v>
      </c>
      <c r="I137" s="354"/>
      <c r="J137" s="351">
        <f t="shared" si="40"/>
        <v>0.11848131852104204</v>
      </c>
      <c r="K137" s="52"/>
      <c r="AA137" s="55"/>
      <c r="AB137" s="88"/>
    </row>
    <row r="138" spans="1:28" s="50" customFormat="1" ht="17.25" customHeight="1">
      <c r="A138" s="339">
        <f>A131</f>
        <v>3</v>
      </c>
      <c r="B138" s="339"/>
      <c r="C138" s="339">
        <f>C137-A$138</f>
        <v>39</v>
      </c>
      <c r="D138" s="344">
        <f t="shared" si="39"/>
        <v>22.900000000000002</v>
      </c>
      <c r="E138" s="346">
        <f t="shared" si="38"/>
        <v>0.39</v>
      </c>
      <c r="F138" s="350">
        <v>120</v>
      </c>
      <c r="G138" s="352">
        <v>120</v>
      </c>
      <c r="H138" s="353">
        <f t="shared" si="36"/>
        <v>3.3910628425094336</v>
      </c>
      <c r="I138" s="354"/>
      <c r="J138" s="351">
        <f t="shared" si="40"/>
        <v>0.33397683120084132</v>
      </c>
      <c r="K138" s="52"/>
      <c r="AA138" s="55"/>
      <c r="AB138" s="88"/>
    </row>
    <row r="139" spans="1:28" s="50" customFormat="1" ht="17.25" hidden="1" customHeight="1">
      <c r="A139" s="339"/>
      <c r="B139" s="339"/>
      <c r="C139" s="339">
        <f t="shared" ref="C139:C146" si="42">C138-A$138</f>
        <v>36</v>
      </c>
      <c r="D139" s="344">
        <f t="shared" si="39"/>
        <v>22.900000000000002</v>
      </c>
      <c r="E139" s="346">
        <f t="shared" si="38"/>
        <v>0.36</v>
      </c>
      <c r="F139" s="347"/>
      <c r="G139" s="339">
        <v>150</v>
      </c>
      <c r="H139" s="348">
        <f t="shared" si="36"/>
        <v>3.08702945716399</v>
      </c>
      <c r="I139" s="349"/>
      <c r="J139" s="351">
        <f t="shared" si="40"/>
        <v>0.30403338534544355</v>
      </c>
      <c r="K139" s="52"/>
      <c r="AA139" s="55"/>
      <c r="AB139" s="88"/>
    </row>
    <row r="140" spans="1:28" s="50" customFormat="1" ht="17.25" customHeight="1">
      <c r="A140" s="339"/>
      <c r="B140" s="339"/>
      <c r="C140" s="339">
        <v>38</v>
      </c>
      <c r="D140" s="344">
        <f t="shared" si="39"/>
        <v>22.900000000000002</v>
      </c>
      <c r="E140" s="346">
        <f t="shared" si="38"/>
        <v>0.38</v>
      </c>
      <c r="F140" s="350">
        <v>180</v>
      </c>
      <c r="G140" s="352">
        <v>180</v>
      </c>
      <c r="H140" s="353">
        <f t="shared" si="36"/>
        <v>3.2865291096170366</v>
      </c>
      <c r="I140" s="354"/>
      <c r="J140" s="351">
        <f t="shared" si="40"/>
        <v>-0.19949965245304657</v>
      </c>
      <c r="K140" s="52"/>
      <c r="AA140" s="55"/>
      <c r="AB140" s="88"/>
    </row>
    <row r="141" spans="1:28" s="50" customFormat="1" ht="17.25" hidden="1" customHeight="1">
      <c r="A141" s="339"/>
      <c r="B141" s="339"/>
      <c r="C141" s="339">
        <f t="shared" si="42"/>
        <v>35</v>
      </c>
      <c r="D141" s="344">
        <f t="shared" si="39"/>
        <v>22.900000000000002</v>
      </c>
      <c r="E141" s="346">
        <f t="shared" si="38"/>
        <v>0.35</v>
      </c>
      <c r="F141" s="347"/>
      <c r="G141" s="339">
        <v>210</v>
      </c>
      <c r="H141" s="348">
        <f t="shared" si="36"/>
        <v>2.9918679317977004</v>
      </c>
      <c r="I141" s="349"/>
      <c r="J141" s="351">
        <f t="shared" si="40"/>
        <v>0.29466117781933621</v>
      </c>
      <c r="K141" s="52"/>
      <c r="AA141" s="55"/>
      <c r="AB141" s="88"/>
    </row>
    <row r="142" spans="1:28" s="50" customFormat="1" ht="17.25" customHeight="1">
      <c r="A142" s="339"/>
      <c r="B142" s="339"/>
      <c r="C142" s="339">
        <f t="shared" si="42"/>
        <v>32</v>
      </c>
      <c r="D142" s="344">
        <f t="shared" si="39"/>
        <v>22.900000000000002</v>
      </c>
      <c r="E142" s="346">
        <f>C142/100</f>
        <v>0.32</v>
      </c>
      <c r="F142" s="350">
        <v>240</v>
      </c>
      <c r="G142" s="352">
        <v>240</v>
      </c>
      <c r="H142" s="353">
        <f t="shared" si="36"/>
        <v>2.7236252662805418</v>
      </c>
      <c r="I142" s="354"/>
      <c r="J142" s="351">
        <f t="shared" si="40"/>
        <v>0.26824266551715858</v>
      </c>
      <c r="K142" s="52"/>
      <c r="AA142" s="55"/>
      <c r="AB142" s="88"/>
    </row>
    <row r="143" spans="1:28" s="50" customFormat="1" ht="17.25" hidden="1" customHeight="1">
      <c r="A143" s="339"/>
      <c r="B143" s="339"/>
      <c r="C143" s="339">
        <f t="shared" si="42"/>
        <v>29</v>
      </c>
      <c r="D143" s="344">
        <f t="shared" si="39"/>
        <v>22.900000000000002</v>
      </c>
      <c r="E143" s="346">
        <f>C143/100</f>
        <v>0.28999999999999998</v>
      </c>
      <c r="F143" s="347"/>
      <c r="G143" s="339">
        <v>270</v>
      </c>
      <c r="H143" s="348">
        <f t="shared" si="36"/>
        <v>2.4794325017763983</v>
      </c>
      <c r="I143" s="349"/>
      <c r="J143" s="351">
        <f t="shared" si="40"/>
        <v>0.24419276450414351</v>
      </c>
      <c r="K143" s="52"/>
      <c r="AA143" s="55"/>
      <c r="AB143" s="88"/>
    </row>
    <row r="144" spans="1:28" s="50" customFormat="1" ht="17.25" customHeight="1">
      <c r="A144" s="339"/>
      <c r="B144" s="339"/>
      <c r="C144" s="339">
        <f t="shared" si="42"/>
        <v>26</v>
      </c>
      <c r="D144" s="344">
        <f t="shared" si="39"/>
        <v>22.900000000000002</v>
      </c>
      <c r="E144" s="346">
        <f>C144/100</f>
        <v>0.26</v>
      </c>
      <c r="F144" s="350">
        <v>300</v>
      </c>
      <c r="G144" s="352">
        <v>300</v>
      </c>
      <c r="H144" s="353">
        <f t="shared" si="36"/>
        <v>2.2571333901820068</v>
      </c>
      <c r="I144" s="354"/>
      <c r="J144" s="351">
        <f t="shared" si="40"/>
        <v>0.22229911159439153</v>
      </c>
      <c r="K144" s="52"/>
      <c r="AA144" s="55"/>
      <c r="AB144" s="88"/>
    </row>
    <row r="145" spans="1:28" s="50" customFormat="1" ht="17.25" hidden="1" customHeight="1">
      <c r="A145" s="339"/>
      <c r="B145" s="339"/>
      <c r="C145" s="339">
        <f t="shared" si="42"/>
        <v>23</v>
      </c>
      <c r="D145" s="344">
        <f t="shared" si="39"/>
        <v>22.900000000000002</v>
      </c>
      <c r="E145" s="346">
        <f>C145/100</f>
        <v>0.23</v>
      </c>
      <c r="F145" s="347"/>
      <c r="G145" s="339">
        <v>330</v>
      </c>
      <c r="H145" s="348">
        <f t="shared" si="36"/>
        <v>2.0547650066797289</v>
      </c>
      <c r="I145" s="349"/>
      <c r="J145" s="351">
        <f t="shared" si="40"/>
        <v>0.20236838350227782</v>
      </c>
      <c r="K145" s="52"/>
      <c r="AA145" s="55"/>
      <c r="AB145" s="88"/>
    </row>
    <row r="146" spans="1:28" s="50" customFormat="1" ht="17.25" customHeight="1">
      <c r="A146" s="339"/>
      <c r="B146" s="339"/>
      <c r="C146" s="339">
        <f t="shared" si="42"/>
        <v>20</v>
      </c>
      <c r="D146" s="344">
        <f t="shared" si="39"/>
        <v>22.900000000000002</v>
      </c>
      <c r="E146" s="346">
        <f>C146/100</f>
        <v>0.2</v>
      </c>
      <c r="F146" s="350">
        <v>360</v>
      </c>
      <c r="G146" s="352">
        <v>360</v>
      </c>
      <c r="H146" s="353">
        <f t="shared" si="36"/>
        <v>1.8705404169024751</v>
      </c>
      <c r="I146" s="354"/>
      <c r="J146" s="351">
        <f t="shared" si="40"/>
        <v>0.18422458977725387</v>
      </c>
      <c r="K146" s="52"/>
      <c r="AA146" s="55"/>
      <c r="AB146" s="88"/>
    </row>
    <row r="147" spans="1:28" s="50" customFormat="1" ht="17.25" customHeight="1">
      <c r="C147" s="50" t="s">
        <v>21</v>
      </c>
      <c r="D147" s="52" t="s">
        <v>21</v>
      </c>
      <c r="E147" s="70" t="s">
        <v>21</v>
      </c>
      <c r="F147" s="50" t="s">
        <v>21</v>
      </c>
      <c r="G147" s="56" t="s">
        <v>21</v>
      </c>
      <c r="K147" s="52"/>
      <c r="AA147" s="55"/>
      <c r="AB147" s="88"/>
    </row>
    <row r="148" spans="1:28" s="50" customFormat="1" ht="17.25" customHeight="1">
      <c r="C148" s="50" t="s">
        <v>21</v>
      </c>
      <c r="D148" s="52" t="s">
        <v>21</v>
      </c>
      <c r="E148" s="70" t="s">
        <v>21</v>
      </c>
      <c r="F148" s="50" t="s">
        <v>21</v>
      </c>
      <c r="G148" s="56" t="s">
        <v>21</v>
      </c>
      <c r="K148" s="52"/>
      <c r="AB148" s="88"/>
    </row>
    <row r="149" spans="1:28" s="50" customFormat="1" ht="17.25" customHeight="1">
      <c r="C149" s="50" t="s">
        <v>21</v>
      </c>
      <c r="D149" s="52" t="s">
        <v>21</v>
      </c>
      <c r="E149" s="70" t="s">
        <v>21</v>
      </c>
      <c r="F149" s="50" t="s">
        <v>21</v>
      </c>
      <c r="G149" s="56" t="s">
        <v>21</v>
      </c>
      <c r="K149" s="52"/>
      <c r="AB149" s="88"/>
    </row>
    <row r="150" spans="1:28" s="50" customFormat="1" ht="17.25" customHeight="1">
      <c r="C150" s="50" t="s">
        <v>21</v>
      </c>
      <c r="D150" s="52" t="s">
        <v>21</v>
      </c>
      <c r="E150" s="70" t="s">
        <v>21</v>
      </c>
      <c r="F150" s="50" t="s">
        <v>21</v>
      </c>
      <c r="G150" s="56" t="s">
        <v>21</v>
      </c>
      <c r="K150" s="52"/>
      <c r="AB150" s="88"/>
    </row>
    <row r="151" spans="1:28" s="50" customFormat="1" ht="17.25" customHeight="1">
      <c r="C151" s="50" t="s">
        <v>21</v>
      </c>
      <c r="D151" s="52" t="s">
        <v>21</v>
      </c>
      <c r="E151" s="70" t="s">
        <v>21</v>
      </c>
      <c r="F151" s="50" t="s">
        <v>21</v>
      </c>
      <c r="G151" s="56" t="s">
        <v>21</v>
      </c>
      <c r="K151" s="52"/>
      <c r="AB151" s="88"/>
    </row>
    <row r="152" spans="1:28" s="50" customFormat="1" ht="17.25" customHeight="1">
      <c r="C152" s="50" t="s">
        <v>21</v>
      </c>
      <c r="D152" s="52" t="s">
        <v>21</v>
      </c>
      <c r="E152" s="70" t="s">
        <v>21</v>
      </c>
      <c r="F152" s="50" t="s">
        <v>21</v>
      </c>
      <c r="G152" s="56" t="s">
        <v>21</v>
      </c>
      <c r="K152" s="52"/>
      <c r="AB152" s="88"/>
    </row>
    <row r="153" spans="1:28" s="50" customFormat="1" ht="17.25" customHeight="1">
      <c r="C153" s="50" t="s">
        <v>21</v>
      </c>
      <c r="D153" s="52" t="s">
        <v>21</v>
      </c>
      <c r="E153" s="70" t="s">
        <v>21</v>
      </c>
      <c r="F153" s="50" t="s">
        <v>21</v>
      </c>
      <c r="G153" s="56" t="s">
        <v>21</v>
      </c>
      <c r="K153" s="52"/>
      <c r="AB153" s="88"/>
    </row>
    <row r="154" spans="1:28" s="50" customFormat="1" ht="17.25" customHeight="1">
      <c r="C154" s="50" t="s">
        <v>21</v>
      </c>
      <c r="D154" s="52" t="s">
        <v>21</v>
      </c>
      <c r="E154" s="70" t="s">
        <v>21</v>
      </c>
      <c r="F154" s="50" t="s">
        <v>21</v>
      </c>
      <c r="G154" s="56" t="s">
        <v>21</v>
      </c>
      <c r="K154" s="52"/>
      <c r="AB154" s="88"/>
    </row>
    <row r="155" spans="1:28" s="50" customFormat="1" ht="17.25" customHeight="1">
      <c r="C155" s="50" t="s">
        <v>21</v>
      </c>
      <c r="D155" s="52" t="s">
        <v>21</v>
      </c>
      <c r="E155" s="70" t="s">
        <v>21</v>
      </c>
      <c r="F155" s="50" t="s">
        <v>21</v>
      </c>
      <c r="G155" s="56" t="s">
        <v>21</v>
      </c>
      <c r="K155" s="52"/>
      <c r="AB155" s="88"/>
    </row>
    <row r="156" spans="1:28" s="50" customFormat="1" ht="17.25" customHeight="1">
      <c r="C156" s="50" t="s">
        <v>21</v>
      </c>
      <c r="D156" s="52" t="s">
        <v>21</v>
      </c>
      <c r="E156" s="70" t="s">
        <v>21</v>
      </c>
      <c r="F156" s="50" t="s">
        <v>21</v>
      </c>
      <c r="G156" s="56" t="s">
        <v>21</v>
      </c>
      <c r="K156" s="52"/>
      <c r="AB156" s="88"/>
    </row>
    <row r="157" spans="1:28" s="50" customFormat="1" ht="17.25" customHeight="1">
      <c r="C157" s="50" t="s">
        <v>21</v>
      </c>
      <c r="D157" s="52" t="s">
        <v>21</v>
      </c>
      <c r="E157" s="70" t="s">
        <v>21</v>
      </c>
      <c r="F157" s="50" t="s">
        <v>21</v>
      </c>
      <c r="G157" s="56" t="s">
        <v>21</v>
      </c>
      <c r="K157" s="52"/>
      <c r="AB157" s="88"/>
    </row>
    <row r="158" spans="1:28" s="50" customFormat="1" ht="17.25" customHeight="1">
      <c r="C158" s="50" t="s">
        <v>21</v>
      </c>
      <c r="D158" s="52" t="s">
        <v>21</v>
      </c>
      <c r="E158" s="70" t="s">
        <v>21</v>
      </c>
      <c r="F158" s="50" t="s">
        <v>21</v>
      </c>
      <c r="G158" s="56" t="s">
        <v>21</v>
      </c>
      <c r="K158" s="52"/>
      <c r="AB158" s="88"/>
    </row>
    <row r="159" spans="1:28" s="50" customFormat="1" ht="17.25" customHeight="1">
      <c r="C159" s="50" t="s">
        <v>21</v>
      </c>
      <c r="D159" s="52" t="s">
        <v>21</v>
      </c>
      <c r="E159" s="70" t="s">
        <v>21</v>
      </c>
      <c r="F159" s="50" t="s">
        <v>21</v>
      </c>
      <c r="G159" s="56" t="s">
        <v>21</v>
      </c>
      <c r="K159" s="52"/>
      <c r="AB159" s="88"/>
    </row>
    <row r="160" spans="1:28" s="50" customFormat="1" ht="17.25" customHeight="1">
      <c r="C160" s="50" t="s">
        <v>21</v>
      </c>
      <c r="D160" s="52" t="s">
        <v>21</v>
      </c>
      <c r="E160" s="70" t="s">
        <v>21</v>
      </c>
      <c r="F160" s="50" t="s">
        <v>21</v>
      </c>
      <c r="G160" s="56" t="s">
        <v>21</v>
      </c>
      <c r="K160" s="52"/>
      <c r="AB160" s="88"/>
    </row>
    <row r="161" spans="3:28" s="50" customFormat="1" ht="17.25" customHeight="1">
      <c r="C161" s="50" t="s">
        <v>21</v>
      </c>
      <c r="D161" s="52" t="s">
        <v>21</v>
      </c>
      <c r="E161" s="70" t="s">
        <v>21</v>
      </c>
      <c r="F161" s="50" t="s">
        <v>21</v>
      </c>
      <c r="G161" s="56" t="s">
        <v>21</v>
      </c>
      <c r="K161" s="52"/>
      <c r="AB161" s="88"/>
    </row>
    <row r="162" spans="3:28" s="50" customFormat="1" ht="17.25" customHeight="1">
      <c r="C162" s="50" t="s">
        <v>21</v>
      </c>
      <c r="D162" s="52" t="s">
        <v>21</v>
      </c>
      <c r="E162" s="70" t="s">
        <v>21</v>
      </c>
      <c r="F162" s="50" t="s">
        <v>21</v>
      </c>
      <c r="G162" s="56" t="s">
        <v>21</v>
      </c>
      <c r="K162" s="52"/>
      <c r="AB162" s="88"/>
    </row>
    <row r="163" spans="3:28" s="50" customFormat="1" ht="17.25" customHeight="1">
      <c r="C163" s="50" t="s">
        <v>21</v>
      </c>
      <c r="D163" s="52" t="s">
        <v>21</v>
      </c>
      <c r="E163" s="70" t="s">
        <v>21</v>
      </c>
      <c r="F163" s="50" t="s">
        <v>21</v>
      </c>
      <c r="G163" s="56" t="s">
        <v>21</v>
      </c>
      <c r="K163" s="52"/>
      <c r="AB163" s="88"/>
    </row>
    <row r="164" spans="3:28" s="50" customFormat="1" ht="17.25" customHeight="1">
      <c r="C164" s="50" t="s">
        <v>21</v>
      </c>
      <c r="D164" s="52" t="s">
        <v>21</v>
      </c>
      <c r="E164" s="70" t="s">
        <v>21</v>
      </c>
      <c r="F164" s="50" t="s">
        <v>21</v>
      </c>
      <c r="G164" s="56" t="s">
        <v>21</v>
      </c>
      <c r="K164" s="52"/>
      <c r="AB164" s="88"/>
    </row>
    <row r="165" spans="3:28" s="50" customFormat="1" ht="17.25" customHeight="1">
      <c r="C165" s="50" t="s">
        <v>21</v>
      </c>
      <c r="D165" s="52" t="s">
        <v>21</v>
      </c>
      <c r="E165" s="70" t="s">
        <v>21</v>
      </c>
      <c r="F165" s="50" t="s">
        <v>21</v>
      </c>
      <c r="G165" s="56" t="s">
        <v>21</v>
      </c>
      <c r="K165" s="52"/>
      <c r="AB165" s="88"/>
    </row>
    <row r="166" spans="3:28" s="50" customFormat="1" ht="17.25" customHeight="1">
      <c r="C166" s="50" t="s">
        <v>21</v>
      </c>
      <c r="D166" s="52" t="s">
        <v>21</v>
      </c>
      <c r="E166" s="70" t="s">
        <v>21</v>
      </c>
      <c r="F166" s="50" t="s">
        <v>21</v>
      </c>
      <c r="G166" s="56" t="s">
        <v>21</v>
      </c>
      <c r="K166" s="52"/>
      <c r="AB166" s="88"/>
    </row>
    <row r="167" spans="3:28" s="50" customFormat="1" ht="17.25" customHeight="1">
      <c r="C167" s="50" t="s">
        <v>21</v>
      </c>
      <c r="D167" s="52" t="s">
        <v>21</v>
      </c>
      <c r="E167" s="70" t="s">
        <v>21</v>
      </c>
      <c r="F167" s="50" t="s">
        <v>21</v>
      </c>
      <c r="G167" s="56" t="s">
        <v>21</v>
      </c>
      <c r="K167" s="52"/>
      <c r="AB167" s="88"/>
    </row>
    <row r="168" spans="3:28" s="50" customFormat="1" ht="17.25" customHeight="1">
      <c r="C168" s="50" t="s">
        <v>21</v>
      </c>
      <c r="D168" s="52" t="s">
        <v>21</v>
      </c>
      <c r="E168" s="70" t="s">
        <v>21</v>
      </c>
      <c r="F168" s="50" t="s">
        <v>21</v>
      </c>
      <c r="G168" s="56" t="s">
        <v>21</v>
      </c>
      <c r="K168" s="52"/>
      <c r="AB168" s="88"/>
    </row>
    <row r="169" spans="3:28" s="50" customFormat="1" ht="17.25" customHeight="1">
      <c r="C169" s="50" t="s">
        <v>21</v>
      </c>
      <c r="D169" s="52" t="s">
        <v>21</v>
      </c>
      <c r="E169" s="70" t="s">
        <v>21</v>
      </c>
      <c r="F169" s="50" t="s">
        <v>21</v>
      </c>
      <c r="G169" s="56" t="s">
        <v>21</v>
      </c>
      <c r="K169" s="52"/>
      <c r="AB169" s="88"/>
    </row>
    <row r="170" spans="3:28" s="50" customFormat="1" ht="17.25" customHeight="1">
      <c r="C170" s="50" t="s">
        <v>21</v>
      </c>
      <c r="D170" s="52" t="s">
        <v>21</v>
      </c>
      <c r="E170" s="70" t="s">
        <v>21</v>
      </c>
      <c r="F170" s="50" t="s">
        <v>21</v>
      </c>
      <c r="G170" s="56" t="s">
        <v>21</v>
      </c>
      <c r="K170" s="52"/>
      <c r="AB170" s="88"/>
    </row>
    <row r="171" spans="3:28" s="50" customFormat="1" ht="17.25" customHeight="1">
      <c r="C171" s="50" t="s">
        <v>21</v>
      </c>
      <c r="D171" s="52" t="s">
        <v>21</v>
      </c>
      <c r="E171" s="70" t="s">
        <v>21</v>
      </c>
      <c r="F171" s="50" t="s">
        <v>21</v>
      </c>
      <c r="G171" s="56" t="s">
        <v>21</v>
      </c>
      <c r="K171" s="52"/>
      <c r="AB171" s="88"/>
    </row>
    <row r="172" spans="3:28" s="50" customFormat="1" ht="17.25" customHeight="1">
      <c r="C172" s="50" t="s">
        <v>21</v>
      </c>
      <c r="D172" s="52" t="s">
        <v>21</v>
      </c>
      <c r="E172" s="70" t="s">
        <v>21</v>
      </c>
      <c r="F172" s="50" t="s">
        <v>21</v>
      </c>
      <c r="G172" s="56" t="s">
        <v>21</v>
      </c>
      <c r="K172" s="52"/>
      <c r="AB172" s="88"/>
    </row>
    <row r="173" spans="3:28" s="50" customFormat="1" ht="17.25" customHeight="1">
      <c r="C173" s="50" t="s">
        <v>21</v>
      </c>
      <c r="D173" s="52" t="s">
        <v>21</v>
      </c>
      <c r="E173" s="70" t="s">
        <v>21</v>
      </c>
      <c r="F173" s="50" t="s">
        <v>21</v>
      </c>
      <c r="G173" s="56" t="s">
        <v>21</v>
      </c>
      <c r="K173" s="52"/>
      <c r="AB173" s="88"/>
    </row>
    <row r="174" spans="3:28" s="50" customFormat="1" ht="17.25" customHeight="1">
      <c r="C174" s="50" t="s">
        <v>21</v>
      </c>
      <c r="D174" s="52" t="s">
        <v>21</v>
      </c>
      <c r="E174" s="70" t="s">
        <v>21</v>
      </c>
      <c r="F174" s="50" t="s">
        <v>21</v>
      </c>
      <c r="G174" s="56" t="s">
        <v>21</v>
      </c>
      <c r="K174" s="52"/>
      <c r="AB174" s="88"/>
    </row>
    <row r="175" spans="3:28" s="50" customFormat="1" ht="17.25" customHeight="1">
      <c r="C175" s="50" t="s">
        <v>21</v>
      </c>
      <c r="D175" s="52" t="s">
        <v>21</v>
      </c>
      <c r="E175" s="70" t="s">
        <v>21</v>
      </c>
      <c r="F175" s="50" t="s">
        <v>21</v>
      </c>
      <c r="G175" s="56" t="s">
        <v>21</v>
      </c>
      <c r="K175" s="52"/>
      <c r="AB175" s="88"/>
    </row>
    <row r="176" spans="3:28" s="50" customFormat="1" ht="17.25" customHeight="1">
      <c r="C176" s="50" t="s">
        <v>21</v>
      </c>
      <c r="D176" s="52" t="s">
        <v>21</v>
      </c>
      <c r="E176" s="70" t="s">
        <v>21</v>
      </c>
      <c r="F176" s="50" t="s">
        <v>21</v>
      </c>
      <c r="G176" s="56" t="s">
        <v>21</v>
      </c>
      <c r="K176" s="52"/>
      <c r="AB176" s="88"/>
    </row>
    <row r="177" spans="3:28" s="50" customFormat="1" ht="17.25" customHeight="1">
      <c r="C177" s="50" t="s">
        <v>21</v>
      </c>
      <c r="D177" s="52" t="s">
        <v>21</v>
      </c>
      <c r="E177" s="70" t="s">
        <v>21</v>
      </c>
      <c r="F177" s="50" t="s">
        <v>21</v>
      </c>
      <c r="G177" s="56" t="s">
        <v>21</v>
      </c>
      <c r="K177" s="52"/>
      <c r="AB177" s="88"/>
    </row>
    <row r="178" spans="3:28" s="50" customFormat="1" ht="17.25" customHeight="1">
      <c r="C178" s="50" t="s">
        <v>21</v>
      </c>
      <c r="D178" s="52" t="s">
        <v>21</v>
      </c>
      <c r="E178" s="70" t="s">
        <v>21</v>
      </c>
      <c r="F178" s="50" t="s">
        <v>21</v>
      </c>
      <c r="G178" s="56" t="s">
        <v>21</v>
      </c>
      <c r="K178" s="52"/>
      <c r="AB178" s="88"/>
    </row>
    <row r="179" spans="3:28" s="50" customFormat="1" ht="17.25" customHeight="1">
      <c r="C179" s="50" t="s">
        <v>21</v>
      </c>
      <c r="D179" s="52" t="s">
        <v>21</v>
      </c>
      <c r="E179" s="70" t="s">
        <v>21</v>
      </c>
      <c r="F179" s="50" t="s">
        <v>21</v>
      </c>
      <c r="G179" s="56" t="s">
        <v>21</v>
      </c>
      <c r="K179" s="52"/>
      <c r="AB179" s="88"/>
    </row>
    <row r="180" spans="3:28" s="50" customFormat="1" ht="17.25" customHeight="1">
      <c r="C180" s="50" t="s">
        <v>21</v>
      </c>
      <c r="D180" s="52" t="s">
        <v>21</v>
      </c>
      <c r="E180" s="70" t="s">
        <v>21</v>
      </c>
      <c r="F180" s="50" t="s">
        <v>21</v>
      </c>
      <c r="G180" s="56" t="s">
        <v>21</v>
      </c>
      <c r="K180" s="52"/>
      <c r="AB180" s="88"/>
    </row>
    <row r="181" spans="3:28" s="50" customFormat="1" ht="17.25" customHeight="1">
      <c r="C181" s="50" t="s">
        <v>21</v>
      </c>
      <c r="D181" s="52" t="s">
        <v>21</v>
      </c>
      <c r="E181" s="70" t="s">
        <v>21</v>
      </c>
      <c r="F181" s="50" t="s">
        <v>21</v>
      </c>
      <c r="G181" s="56" t="s">
        <v>21</v>
      </c>
      <c r="K181" s="52"/>
      <c r="AB181" s="88"/>
    </row>
    <row r="182" spans="3:28" s="50" customFormat="1" ht="17.25" customHeight="1">
      <c r="C182" s="50" t="s">
        <v>21</v>
      </c>
      <c r="D182" s="52" t="s">
        <v>21</v>
      </c>
      <c r="E182" s="70" t="s">
        <v>21</v>
      </c>
      <c r="F182" s="50" t="s">
        <v>21</v>
      </c>
      <c r="G182" s="56" t="s">
        <v>21</v>
      </c>
      <c r="K182" s="52"/>
      <c r="AB182" s="88"/>
    </row>
    <row r="183" spans="3:28" s="50" customFormat="1" ht="17.25" customHeight="1">
      <c r="C183" s="50" t="s">
        <v>21</v>
      </c>
      <c r="D183" s="52" t="s">
        <v>21</v>
      </c>
      <c r="E183" s="70" t="s">
        <v>21</v>
      </c>
      <c r="F183" s="50" t="s">
        <v>21</v>
      </c>
      <c r="G183" s="56" t="s">
        <v>21</v>
      </c>
      <c r="K183" s="52"/>
      <c r="AB183" s="88"/>
    </row>
    <row r="184" spans="3:28" s="50" customFormat="1" ht="17.25" customHeight="1">
      <c r="C184" s="50" t="s">
        <v>21</v>
      </c>
      <c r="D184" s="52" t="s">
        <v>21</v>
      </c>
      <c r="E184" s="70" t="s">
        <v>21</v>
      </c>
      <c r="F184" s="50" t="s">
        <v>21</v>
      </c>
      <c r="G184" s="56" t="s">
        <v>21</v>
      </c>
      <c r="K184" s="52"/>
      <c r="AB184" s="88"/>
    </row>
    <row r="185" spans="3:28" s="50" customFormat="1" ht="17.25" customHeight="1">
      <c r="C185" s="50" t="s">
        <v>21</v>
      </c>
      <c r="D185" s="52" t="s">
        <v>21</v>
      </c>
      <c r="E185" s="70" t="s">
        <v>21</v>
      </c>
      <c r="F185" s="50" t="s">
        <v>21</v>
      </c>
      <c r="G185" s="56" t="s">
        <v>21</v>
      </c>
      <c r="K185" s="52"/>
      <c r="AB185" s="88"/>
    </row>
    <row r="186" spans="3:28" s="50" customFormat="1" ht="17.25" customHeight="1">
      <c r="C186" s="50" t="s">
        <v>21</v>
      </c>
      <c r="D186" s="52" t="s">
        <v>21</v>
      </c>
      <c r="E186" s="70" t="s">
        <v>21</v>
      </c>
      <c r="F186" s="50" t="s">
        <v>21</v>
      </c>
      <c r="G186" s="56" t="s">
        <v>21</v>
      </c>
      <c r="K186" s="52"/>
      <c r="AB186" s="88"/>
    </row>
    <row r="187" spans="3:28" s="50" customFormat="1" ht="17.25" customHeight="1">
      <c r="C187" s="50" t="s">
        <v>21</v>
      </c>
      <c r="D187" s="52" t="s">
        <v>21</v>
      </c>
      <c r="E187" s="70" t="s">
        <v>21</v>
      </c>
      <c r="F187" s="50" t="s">
        <v>21</v>
      </c>
      <c r="G187" s="56" t="s">
        <v>21</v>
      </c>
      <c r="K187" s="52"/>
      <c r="AB187" s="88"/>
    </row>
    <row r="188" spans="3:28" s="50" customFormat="1" ht="17.25" customHeight="1">
      <c r="C188" s="50" t="s">
        <v>21</v>
      </c>
      <c r="D188" s="52" t="s">
        <v>21</v>
      </c>
      <c r="E188" s="70" t="s">
        <v>21</v>
      </c>
      <c r="F188" s="50" t="s">
        <v>21</v>
      </c>
      <c r="G188" s="56" t="s">
        <v>21</v>
      </c>
      <c r="K188" s="52"/>
      <c r="AB188" s="88"/>
    </row>
    <row r="189" spans="3:28" s="50" customFormat="1" ht="17.25" customHeight="1">
      <c r="C189" s="50" t="s">
        <v>21</v>
      </c>
      <c r="D189" s="52" t="s">
        <v>21</v>
      </c>
      <c r="E189" s="70" t="s">
        <v>21</v>
      </c>
      <c r="F189" s="50" t="s">
        <v>21</v>
      </c>
      <c r="G189" s="56" t="s">
        <v>21</v>
      </c>
      <c r="K189" s="52"/>
      <c r="AB189" s="88"/>
    </row>
    <row r="190" spans="3:28" s="50" customFormat="1" ht="17.25" customHeight="1">
      <c r="C190" s="50" t="s">
        <v>21</v>
      </c>
      <c r="D190" s="52" t="s">
        <v>21</v>
      </c>
      <c r="E190" s="70" t="s">
        <v>21</v>
      </c>
      <c r="F190" s="50" t="s">
        <v>21</v>
      </c>
      <c r="G190" s="56" t="s">
        <v>21</v>
      </c>
      <c r="K190" s="52"/>
      <c r="AB190" s="88"/>
    </row>
    <row r="191" spans="3:28" s="50" customFormat="1" ht="17.25" customHeight="1">
      <c r="C191" s="50" t="s">
        <v>21</v>
      </c>
      <c r="D191" s="52" t="s">
        <v>21</v>
      </c>
      <c r="E191" s="70" t="s">
        <v>21</v>
      </c>
      <c r="F191" s="50" t="s">
        <v>21</v>
      </c>
      <c r="G191" s="56" t="s">
        <v>21</v>
      </c>
      <c r="K191" s="52"/>
      <c r="AB191" s="88"/>
    </row>
    <row r="192" spans="3:28" s="50" customFormat="1" ht="17.25" customHeight="1">
      <c r="C192" s="50" t="s">
        <v>21</v>
      </c>
      <c r="D192" s="52" t="s">
        <v>21</v>
      </c>
      <c r="E192" s="70" t="s">
        <v>21</v>
      </c>
      <c r="F192" s="50" t="s">
        <v>21</v>
      </c>
      <c r="G192" s="56" t="s">
        <v>21</v>
      </c>
      <c r="K192" s="52"/>
      <c r="AB192" s="88"/>
    </row>
    <row r="193" spans="3:28" s="50" customFormat="1" ht="17.25" customHeight="1">
      <c r="C193" s="50" t="s">
        <v>21</v>
      </c>
      <c r="D193" s="52" t="s">
        <v>21</v>
      </c>
      <c r="E193" s="70" t="s">
        <v>21</v>
      </c>
      <c r="F193" s="50" t="s">
        <v>21</v>
      </c>
      <c r="G193" s="56" t="s">
        <v>21</v>
      </c>
      <c r="K193" s="52"/>
      <c r="AB193" s="88"/>
    </row>
    <row r="194" spans="3:28" s="50" customFormat="1" ht="17.25" customHeight="1">
      <c r="C194" s="50" t="s">
        <v>21</v>
      </c>
      <c r="D194" s="52" t="s">
        <v>21</v>
      </c>
      <c r="E194" s="70" t="s">
        <v>21</v>
      </c>
      <c r="F194" s="50" t="s">
        <v>21</v>
      </c>
      <c r="G194" s="56" t="s">
        <v>21</v>
      </c>
      <c r="K194" s="52"/>
      <c r="AB194" s="88"/>
    </row>
    <row r="195" spans="3:28" s="50" customFormat="1" ht="17.25" customHeight="1">
      <c r="C195" s="50" t="s">
        <v>21</v>
      </c>
      <c r="D195" s="52" t="s">
        <v>21</v>
      </c>
      <c r="E195" s="70" t="s">
        <v>21</v>
      </c>
      <c r="F195" s="50" t="s">
        <v>21</v>
      </c>
      <c r="G195" s="56" t="s">
        <v>21</v>
      </c>
      <c r="K195" s="52"/>
      <c r="AB195" s="88"/>
    </row>
    <row r="196" spans="3:28" s="50" customFormat="1" ht="17.25" customHeight="1">
      <c r="C196" s="50" t="s">
        <v>21</v>
      </c>
      <c r="D196" s="52" t="s">
        <v>21</v>
      </c>
      <c r="E196" s="70" t="s">
        <v>21</v>
      </c>
      <c r="F196" s="50" t="s">
        <v>21</v>
      </c>
      <c r="G196" s="56" t="s">
        <v>21</v>
      </c>
      <c r="K196" s="52"/>
      <c r="AB196" s="88"/>
    </row>
    <row r="197" spans="3:28" s="50" customFormat="1" ht="17.25" customHeight="1">
      <c r="C197" s="50" t="s">
        <v>21</v>
      </c>
      <c r="D197" s="52" t="s">
        <v>21</v>
      </c>
      <c r="E197" s="70" t="s">
        <v>21</v>
      </c>
      <c r="F197" s="50" t="s">
        <v>21</v>
      </c>
      <c r="G197" s="56" t="s">
        <v>21</v>
      </c>
      <c r="K197" s="52"/>
      <c r="AB197" s="88"/>
    </row>
    <row r="198" spans="3:28" s="50" customFormat="1" ht="17.25" customHeight="1">
      <c r="C198" s="50" t="s">
        <v>21</v>
      </c>
      <c r="D198" s="52" t="s">
        <v>21</v>
      </c>
      <c r="E198" s="70" t="s">
        <v>21</v>
      </c>
      <c r="F198" s="50" t="s">
        <v>21</v>
      </c>
      <c r="G198" s="56" t="s">
        <v>21</v>
      </c>
      <c r="K198" s="52"/>
      <c r="AB198" s="88"/>
    </row>
    <row r="199" spans="3:28" s="50" customFormat="1" ht="17.25" customHeight="1">
      <c r="C199" s="50" t="s">
        <v>21</v>
      </c>
      <c r="D199" s="52" t="s">
        <v>21</v>
      </c>
      <c r="E199" s="70" t="s">
        <v>21</v>
      </c>
      <c r="F199" s="50" t="s">
        <v>21</v>
      </c>
      <c r="G199" s="56" t="s">
        <v>21</v>
      </c>
      <c r="K199" s="52"/>
      <c r="AB199" s="88"/>
    </row>
    <row r="200" spans="3:28" s="50" customFormat="1" ht="17.25" customHeight="1">
      <c r="C200" s="50" t="s">
        <v>21</v>
      </c>
      <c r="D200" s="52" t="s">
        <v>21</v>
      </c>
      <c r="E200" s="70" t="s">
        <v>21</v>
      </c>
      <c r="F200" s="50" t="s">
        <v>21</v>
      </c>
      <c r="G200" s="56" t="s">
        <v>21</v>
      </c>
      <c r="K200" s="52"/>
      <c r="AB200" s="88"/>
    </row>
    <row r="201" spans="3:28" s="50" customFormat="1" ht="17.25" customHeight="1">
      <c r="C201" s="50" t="s">
        <v>21</v>
      </c>
      <c r="D201" s="52" t="s">
        <v>21</v>
      </c>
      <c r="E201" s="70" t="s">
        <v>21</v>
      </c>
      <c r="F201" s="50" t="s">
        <v>21</v>
      </c>
      <c r="G201" s="56" t="s">
        <v>21</v>
      </c>
      <c r="K201" s="52"/>
      <c r="AB201" s="88"/>
    </row>
    <row r="202" spans="3:28" s="50" customFormat="1" ht="17.25" customHeight="1">
      <c r="C202" s="50" t="s">
        <v>21</v>
      </c>
      <c r="D202" s="52" t="s">
        <v>21</v>
      </c>
      <c r="E202" s="70" t="s">
        <v>21</v>
      </c>
      <c r="F202" s="50" t="s">
        <v>21</v>
      </c>
      <c r="G202" s="56" t="s">
        <v>21</v>
      </c>
      <c r="K202" s="52"/>
      <c r="AB202" s="88"/>
    </row>
    <row r="203" spans="3:28" s="50" customFormat="1" ht="17.25" customHeight="1">
      <c r="C203" s="50" t="s">
        <v>21</v>
      </c>
      <c r="D203" s="52" t="s">
        <v>21</v>
      </c>
      <c r="E203" s="70" t="s">
        <v>21</v>
      </c>
      <c r="F203" s="50" t="s">
        <v>21</v>
      </c>
      <c r="G203" s="56" t="s">
        <v>21</v>
      </c>
      <c r="K203" s="52"/>
      <c r="AB203" s="88"/>
    </row>
    <row r="204" spans="3:28" s="50" customFormat="1" ht="17.25" customHeight="1">
      <c r="C204" s="50" t="s">
        <v>21</v>
      </c>
      <c r="D204" s="52" t="s">
        <v>21</v>
      </c>
      <c r="E204" s="70" t="s">
        <v>21</v>
      </c>
      <c r="F204" s="50" t="s">
        <v>21</v>
      </c>
      <c r="G204" s="56" t="s">
        <v>21</v>
      </c>
      <c r="K204" s="52"/>
      <c r="AB204" s="88"/>
    </row>
    <row r="205" spans="3:28" s="50" customFormat="1" ht="17.25" customHeight="1">
      <c r="C205" s="50" t="s">
        <v>21</v>
      </c>
      <c r="D205" s="52" t="s">
        <v>21</v>
      </c>
      <c r="E205" s="70" t="s">
        <v>21</v>
      </c>
      <c r="F205" s="50" t="s">
        <v>21</v>
      </c>
      <c r="G205" s="56" t="s">
        <v>21</v>
      </c>
      <c r="K205" s="52"/>
      <c r="AB205" s="88"/>
    </row>
    <row r="206" spans="3:28" s="50" customFormat="1" ht="17.25" customHeight="1">
      <c r="C206" s="50" t="s">
        <v>21</v>
      </c>
      <c r="D206" s="52" t="s">
        <v>21</v>
      </c>
      <c r="E206" s="70" t="s">
        <v>21</v>
      </c>
      <c r="F206" s="50" t="s">
        <v>21</v>
      </c>
      <c r="G206" s="56" t="s">
        <v>21</v>
      </c>
      <c r="K206" s="52"/>
      <c r="AB206" s="88"/>
    </row>
    <row r="207" spans="3:28" s="50" customFormat="1" ht="17.25" customHeight="1">
      <c r="C207" s="50" t="s">
        <v>21</v>
      </c>
      <c r="D207" s="52" t="s">
        <v>21</v>
      </c>
      <c r="E207" s="70" t="s">
        <v>21</v>
      </c>
      <c r="F207" s="50" t="s">
        <v>21</v>
      </c>
      <c r="G207" s="56" t="s">
        <v>21</v>
      </c>
      <c r="K207" s="52"/>
      <c r="AB207" s="88"/>
    </row>
    <row r="208" spans="3:28" s="50" customFormat="1" ht="17.25" customHeight="1">
      <c r="C208" s="50" t="s">
        <v>21</v>
      </c>
      <c r="D208" s="52" t="s">
        <v>21</v>
      </c>
      <c r="E208" s="70" t="s">
        <v>21</v>
      </c>
      <c r="F208" s="50" t="s">
        <v>21</v>
      </c>
      <c r="G208" s="56" t="s">
        <v>21</v>
      </c>
      <c r="K208" s="52"/>
      <c r="AB208" s="88"/>
    </row>
    <row r="209" spans="3:28" s="50" customFormat="1" ht="17.25" customHeight="1">
      <c r="C209" s="50" t="s">
        <v>21</v>
      </c>
      <c r="D209" s="52" t="s">
        <v>21</v>
      </c>
      <c r="E209" s="70" t="s">
        <v>21</v>
      </c>
      <c r="F209" s="50" t="s">
        <v>21</v>
      </c>
      <c r="G209" s="56" t="s">
        <v>21</v>
      </c>
      <c r="K209" s="52"/>
      <c r="AB209" s="88"/>
    </row>
    <row r="210" spans="3:28" s="50" customFormat="1" ht="17.25" customHeight="1">
      <c r="C210" s="50" t="s">
        <v>21</v>
      </c>
      <c r="D210" s="52" t="s">
        <v>21</v>
      </c>
      <c r="E210" s="70" t="s">
        <v>21</v>
      </c>
      <c r="F210" s="50" t="s">
        <v>21</v>
      </c>
      <c r="G210" s="56" t="s">
        <v>21</v>
      </c>
      <c r="K210" s="52"/>
      <c r="AB210" s="88"/>
    </row>
    <row r="211" spans="3:28" s="50" customFormat="1" ht="17.25" customHeight="1">
      <c r="C211" s="50" t="s">
        <v>21</v>
      </c>
      <c r="D211" s="52" t="s">
        <v>21</v>
      </c>
      <c r="E211" s="70" t="s">
        <v>21</v>
      </c>
      <c r="F211" s="50" t="s">
        <v>21</v>
      </c>
      <c r="G211" s="56" t="s">
        <v>21</v>
      </c>
      <c r="K211" s="52"/>
      <c r="AB211" s="88"/>
    </row>
    <row r="212" spans="3:28" s="50" customFormat="1" ht="17.25" customHeight="1">
      <c r="C212" s="50" t="s">
        <v>21</v>
      </c>
      <c r="D212" s="52" t="s">
        <v>21</v>
      </c>
      <c r="E212" s="70" t="s">
        <v>21</v>
      </c>
      <c r="F212" s="50" t="s">
        <v>21</v>
      </c>
      <c r="G212" s="56" t="s">
        <v>21</v>
      </c>
      <c r="K212" s="52"/>
      <c r="AB212" s="88"/>
    </row>
    <row r="213" spans="3:28" s="50" customFormat="1" ht="17.25" customHeight="1">
      <c r="C213" s="50" t="s">
        <v>21</v>
      </c>
      <c r="D213" s="52" t="s">
        <v>21</v>
      </c>
      <c r="E213" s="70" t="s">
        <v>21</v>
      </c>
      <c r="F213" s="50" t="s">
        <v>21</v>
      </c>
      <c r="G213" s="56" t="s">
        <v>21</v>
      </c>
      <c r="K213" s="52"/>
      <c r="AB213" s="88"/>
    </row>
    <row r="214" spans="3:28" s="50" customFormat="1" ht="17.25" customHeight="1">
      <c r="C214" s="50" t="s">
        <v>21</v>
      </c>
      <c r="D214" s="52" t="s">
        <v>21</v>
      </c>
      <c r="E214" s="70" t="s">
        <v>21</v>
      </c>
      <c r="F214" s="50" t="s">
        <v>21</v>
      </c>
      <c r="G214" s="56" t="s">
        <v>21</v>
      </c>
      <c r="K214" s="52"/>
      <c r="AB214" s="88"/>
    </row>
    <row r="215" spans="3:28" s="50" customFormat="1" ht="17.25" customHeight="1">
      <c r="C215" s="50" t="s">
        <v>21</v>
      </c>
      <c r="D215" s="52" t="s">
        <v>21</v>
      </c>
      <c r="E215" s="70" t="s">
        <v>21</v>
      </c>
      <c r="F215" s="50" t="s">
        <v>21</v>
      </c>
      <c r="G215" s="56" t="s">
        <v>21</v>
      </c>
      <c r="K215" s="52"/>
      <c r="AB215" s="88"/>
    </row>
    <row r="216" spans="3:28" s="50" customFormat="1" ht="17.25" customHeight="1">
      <c r="C216" s="50" t="s">
        <v>21</v>
      </c>
      <c r="D216" s="52" t="s">
        <v>21</v>
      </c>
      <c r="E216" s="70" t="s">
        <v>21</v>
      </c>
      <c r="F216" s="50" t="s">
        <v>21</v>
      </c>
      <c r="G216" s="56" t="s">
        <v>21</v>
      </c>
      <c r="K216" s="52"/>
      <c r="AB216" s="88"/>
    </row>
    <row r="217" spans="3:28" s="50" customFormat="1" ht="17.25" customHeight="1">
      <c r="C217" s="50" t="s">
        <v>21</v>
      </c>
      <c r="D217" s="52" t="s">
        <v>21</v>
      </c>
      <c r="E217" s="70" t="s">
        <v>21</v>
      </c>
      <c r="F217" s="50" t="s">
        <v>21</v>
      </c>
      <c r="G217" s="56" t="s">
        <v>21</v>
      </c>
      <c r="K217" s="52"/>
      <c r="AB217" s="88"/>
    </row>
    <row r="218" spans="3:28" s="50" customFormat="1" ht="17.25" customHeight="1">
      <c r="C218" s="50" t="s">
        <v>21</v>
      </c>
      <c r="D218" s="52" t="s">
        <v>21</v>
      </c>
      <c r="E218" s="70" t="s">
        <v>21</v>
      </c>
      <c r="F218" s="50" t="s">
        <v>21</v>
      </c>
      <c r="G218" s="56" t="s">
        <v>21</v>
      </c>
      <c r="K218" s="52"/>
      <c r="AB218" s="88"/>
    </row>
    <row r="219" spans="3:28" s="50" customFormat="1" ht="17.25" customHeight="1">
      <c r="C219" s="50" t="s">
        <v>21</v>
      </c>
      <c r="D219" s="52" t="s">
        <v>21</v>
      </c>
      <c r="E219" s="70" t="s">
        <v>21</v>
      </c>
      <c r="F219" s="50" t="s">
        <v>21</v>
      </c>
      <c r="G219" s="56" t="s">
        <v>21</v>
      </c>
      <c r="K219" s="52"/>
      <c r="AB219" s="88"/>
    </row>
    <row r="220" spans="3:28" s="50" customFormat="1" ht="17.25" customHeight="1">
      <c r="C220" s="50" t="s">
        <v>21</v>
      </c>
      <c r="D220" s="52" t="s">
        <v>21</v>
      </c>
      <c r="E220" s="70" t="s">
        <v>21</v>
      </c>
      <c r="F220" s="50" t="s">
        <v>21</v>
      </c>
      <c r="G220" s="56" t="s">
        <v>21</v>
      </c>
      <c r="K220" s="52"/>
      <c r="AB220" s="88"/>
    </row>
    <row r="221" spans="3:28" s="50" customFormat="1" ht="17.25" customHeight="1">
      <c r="C221" s="50" t="s">
        <v>21</v>
      </c>
      <c r="D221" s="52" t="s">
        <v>21</v>
      </c>
      <c r="E221" s="70" t="s">
        <v>21</v>
      </c>
      <c r="F221" s="50" t="s">
        <v>21</v>
      </c>
      <c r="G221" s="56" t="s">
        <v>21</v>
      </c>
      <c r="K221" s="52"/>
      <c r="AB221" s="88"/>
    </row>
    <row r="222" spans="3:28" s="50" customFormat="1" ht="17.25" customHeight="1">
      <c r="C222" s="50" t="s">
        <v>21</v>
      </c>
      <c r="D222" s="52" t="s">
        <v>21</v>
      </c>
      <c r="E222" s="70" t="s">
        <v>21</v>
      </c>
      <c r="F222" s="50" t="s">
        <v>21</v>
      </c>
      <c r="G222" s="56" t="s">
        <v>21</v>
      </c>
      <c r="K222" s="52"/>
      <c r="AB222" s="88"/>
    </row>
    <row r="223" spans="3:28" s="50" customFormat="1" ht="17.25" customHeight="1">
      <c r="C223" s="50" t="s">
        <v>21</v>
      </c>
      <c r="D223" s="52" t="s">
        <v>21</v>
      </c>
      <c r="E223" s="70" t="s">
        <v>21</v>
      </c>
      <c r="F223" s="50" t="s">
        <v>21</v>
      </c>
      <c r="G223" s="56" t="s">
        <v>21</v>
      </c>
      <c r="K223" s="52"/>
      <c r="AB223" s="88"/>
    </row>
    <row r="224" spans="3:28" s="50" customFormat="1" ht="17.25" customHeight="1">
      <c r="C224" s="50" t="s">
        <v>21</v>
      </c>
      <c r="D224" s="52" t="s">
        <v>21</v>
      </c>
      <c r="E224" s="70" t="s">
        <v>21</v>
      </c>
      <c r="F224" s="50" t="s">
        <v>21</v>
      </c>
      <c r="G224" s="56" t="s">
        <v>21</v>
      </c>
      <c r="K224" s="52"/>
      <c r="AB224" s="88"/>
    </row>
    <row r="225" spans="3:28" s="50" customFormat="1" ht="17.25" customHeight="1">
      <c r="C225" s="50" t="s">
        <v>21</v>
      </c>
      <c r="D225" s="52" t="s">
        <v>21</v>
      </c>
      <c r="E225" s="70" t="s">
        <v>21</v>
      </c>
      <c r="F225" s="50" t="s">
        <v>21</v>
      </c>
      <c r="G225" s="56" t="s">
        <v>21</v>
      </c>
      <c r="K225" s="52"/>
      <c r="AB225" s="88"/>
    </row>
    <row r="226" spans="3:28" s="50" customFormat="1" ht="17.25" customHeight="1">
      <c r="C226" s="50" t="s">
        <v>21</v>
      </c>
      <c r="D226" s="52" t="s">
        <v>21</v>
      </c>
      <c r="E226" s="70" t="s">
        <v>21</v>
      </c>
      <c r="F226" s="50" t="s">
        <v>21</v>
      </c>
      <c r="G226" s="56" t="s">
        <v>21</v>
      </c>
      <c r="K226" s="52"/>
      <c r="AB226" s="88"/>
    </row>
    <row r="227" spans="3:28" s="50" customFormat="1" ht="17.25" customHeight="1">
      <c r="C227" s="50" t="s">
        <v>21</v>
      </c>
      <c r="D227" s="52" t="s">
        <v>21</v>
      </c>
      <c r="E227" s="70" t="s">
        <v>21</v>
      </c>
      <c r="F227" s="50" t="s">
        <v>21</v>
      </c>
      <c r="G227" s="56" t="s">
        <v>21</v>
      </c>
      <c r="K227" s="52"/>
      <c r="AB227" s="88"/>
    </row>
    <row r="228" spans="3:28" s="50" customFormat="1" ht="17.25" customHeight="1">
      <c r="K228" s="52"/>
      <c r="AB228" s="88"/>
    </row>
    <row r="229" spans="3:28" s="50" customFormat="1" ht="17.25" customHeight="1">
      <c r="K229" s="52"/>
      <c r="AB229" s="88"/>
    </row>
    <row r="230" spans="3:28" s="50" customFormat="1" ht="17.25" customHeight="1">
      <c r="K230" s="52"/>
      <c r="AB230" s="88"/>
    </row>
    <row r="231" spans="3:28" s="50" customFormat="1" ht="17.25" customHeight="1">
      <c r="K231" s="52"/>
      <c r="AB231" s="88"/>
    </row>
    <row r="232" spans="3:28" s="50" customFormat="1" ht="17.25" customHeight="1">
      <c r="K232" s="52"/>
      <c r="AB232" s="88"/>
    </row>
    <row r="233" spans="3:28" s="50" customFormat="1" ht="17.25" customHeight="1">
      <c r="K233" s="52"/>
      <c r="AB233" s="88"/>
    </row>
    <row r="234" spans="3:28" s="50" customFormat="1" ht="17.25" customHeight="1">
      <c r="K234" s="52"/>
      <c r="AB234" s="88"/>
    </row>
    <row r="235" spans="3:28" s="50" customFormat="1" ht="17.25" customHeight="1">
      <c r="K235" s="52"/>
      <c r="AB235" s="88"/>
    </row>
    <row r="236" spans="3:28" s="50" customFormat="1" ht="17.25" customHeight="1">
      <c r="K236" s="52"/>
      <c r="AB236" s="88"/>
    </row>
    <row r="237" spans="3:28" s="50" customFormat="1" ht="17.25" customHeight="1">
      <c r="K237" s="52"/>
      <c r="AB237" s="88"/>
    </row>
    <row r="238" spans="3:28" s="50" customFormat="1" ht="17.25" customHeight="1">
      <c r="K238" s="52"/>
      <c r="AB238" s="88"/>
    </row>
    <row r="239" spans="3:28" s="50" customFormat="1" ht="17.25" customHeight="1">
      <c r="K239" s="52"/>
      <c r="AB239" s="88"/>
    </row>
    <row r="240" spans="3:28" s="50" customFormat="1" ht="17.25" customHeight="1">
      <c r="K240" s="52"/>
      <c r="AB240" s="88"/>
    </row>
    <row r="241" spans="11:28" s="50" customFormat="1" ht="17.25" customHeight="1">
      <c r="K241" s="52"/>
      <c r="AB241" s="88"/>
    </row>
    <row r="242" spans="11:28" s="50" customFormat="1" ht="17.25" customHeight="1">
      <c r="K242" s="52"/>
      <c r="AB242" s="88"/>
    </row>
    <row r="243" spans="11:28" s="50" customFormat="1" ht="17.25" customHeight="1">
      <c r="K243" s="52"/>
      <c r="AB243" s="88"/>
    </row>
    <row r="244" spans="11:28" s="50" customFormat="1" ht="17.25" customHeight="1">
      <c r="K244" s="52"/>
      <c r="AB244" s="88"/>
    </row>
    <row r="245" spans="11:28" s="50" customFormat="1" ht="17.25" customHeight="1">
      <c r="K245" s="52"/>
      <c r="AB245" s="88"/>
    </row>
    <row r="246" spans="11:28" s="50" customFormat="1" ht="17.25" customHeight="1">
      <c r="K246" s="52"/>
      <c r="AB246" s="88"/>
    </row>
    <row r="247" spans="11:28" s="50" customFormat="1" ht="17.25" customHeight="1">
      <c r="K247" s="52"/>
      <c r="AB247" s="88"/>
    </row>
    <row r="248" spans="11:28" s="50" customFormat="1" ht="17.25" customHeight="1">
      <c r="K248" s="52"/>
      <c r="AB248" s="88"/>
    </row>
    <row r="249" spans="11:28" s="50" customFormat="1" ht="17.25" customHeight="1">
      <c r="K249" s="52"/>
      <c r="AB249" s="88"/>
    </row>
    <row r="250" spans="11:28" s="50" customFormat="1" ht="17.25" customHeight="1">
      <c r="K250" s="52"/>
      <c r="AB250" s="88"/>
    </row>
    <row r="251" spans="11:28" s="50" customFormat="1" ht="17.25" customHeight="1">
      <c r="K251" s="52"/>
      <c r="AB251" s="88"/>
    </row>
    <row r="252" spans="11:28" s="50" customFormat="1" ht="17.25" customHeight="1">
      <c r="K252" s="52"/>
      <c r="AB252" s="88"/>
    </row>
    <row r="253" spans="11:28" s="50" customFormat="1" ht="17.25" customHeight="1">
      <c r="K253" s="52"/>
      <c r="AB253" s="88"/>
    </row>
    <row r="254" spans="11:28" s="50" customFormat="1" ht="17.25" customHeight="1">
      <c r="K254" s="52"/>
      <c r="AB254" s="88"/>
    </row>
    <row r="255" spans="11:28" s="50" customFormat="1" ht="17.25" customHeight="1">
      <c r="K255" s="52"/>
      <c r="AB255" s="88"/>
    </row>
    <row r="256" spans="11:28" s="50" customFormat="1" ht="17.25" customHeight="1">
      <c r="K256" s="52"/>
      <c r="AB256" s="88"/>
    </row>
    <row r="257" spans="11:28" s="50" customFormat="1" ht="17.25" customHeight="1">
      <c r="K257" s="52"/>
      <c r="AB257" s="88"/>
    </row>
    <row r="258" spans="11:28" s="50" customFormat="1" ht="17.25" customHeight="1">
      <c r="K258" s="52"/>
      <c r="AB258" s="88"/>
    </row>
    <row r="259" spans="11:28" s="50" customFormat="1" ht="17.25" customHeight="1">
      <c r="K259" s="52"/>
      <c r="AB259" s="88"/>
    </row>
    <row r="260" spans="11:28" s="50" customFormat="1" ht="17.25" customHeight="1">
      <c r="K260" s="52"/>
      <c r="AB260" s="88"/>
    </row>
    <row r="261" spans="11:28" s="50" customFormat="1" ht="17.25" customHeight="1">
      <c r="K261" s="52"/>
      <c r="AB261" s="88"/>
    </row>
    <row r="262" spans="11:28" s="50" customFormat="1" ht="17.25" customHeight="1">
      <c r="K262" s="52"/>
      <c r="AB262" s="88"/>
    </row>
    <row r="263" spans="11:28" s="50" customFormat="1" ht="17.25" customHeight="1">
      <c r="K263" s="52"/>
      <c r="AB263" s="88"/>
    </row>
    <row r="264" spans="11:28" s="50" customFormat="1" ht="17.25" customHeight="1">
      <c r="K264" s="52"/>
      <c r="AB264" s="88"/>
    </row>
    <row r="265" spans="11:28" s="50" customFormat="1" ht="17.25" customHeight="1">
      <c r="K265" s="52"/>
      <c r="AB265" s="88"/>
    </row>
    <row r="266" spans="11:28" s="50" customFormat="1" ht="17.25" customHeight="1">
      <c r="K266" s="52"/>
      <c r="AB266" s="88"/>
    </row>
    <row r="267" spans="11:28" s="50" customFormat="1" ht="17.25" customHeight="1">
      <c r="K267" s="52"/>
      <c r="AB267" s="88"/>
    </row>
    <row r="268" spans="11:28" s="50" customFormat="1" ht="17.25" customHeight="1">
      <c r="K268" s="52"/>
      <c r="AB268" s="88"/>
    </row>
    <row r="269" spans="11:28" s="50" customFormat="1" ht="17.25" customHeight="1">
      <c r="K269" s="52"/>
      <c r="AB269" s="88"/>
    </row>
    <row r="270" spans="11:28" s="50" customFormat="1" ht="17.25" customHeight="1">
      <c r="K270" s="52"/>
      <c r="AB270" s="88"/>
    </row>
    <row r="271" spans="11:28" s="50" customFormat="1" ht="17.25" customHeight="1">
      <c r="K271" s="52"/>
      <c r="AB271" s="88"/>
    </row>
    <row r="272" spans="11:28" s="50" customFormat="1" ht="17.25" customHeight="1">
      <c r="K272" s="52"/>
      <c r="AB272" s="88"/>
    </row>
    <row r="273" spans="11:28" s="50" customFormat="1" ht="17.25" customHeight="1">
      <c r="K273" s="52"/>
      <c r="AB273" s="88"/>
    </row>
    <row r="274" spans="11:28" s="50" customFormat="1" ht="17.25" customHeight="1">
      <c r="K274" s="52"/>
      <c r="AB274" s="88"/>
    </row>
    <row r="275" spans="11:28" s="50" customFormat="1" ht="17.25" customHeight="1">
      <c r="K275" s="52"/>
      <c r="AB275" s="88"/>
    </row>
    <row r="276" spans="11:28" s="50" customFormat="1" ht="17.25" customHeight="1">
      <c r="K276" s="52"/>
      <c r="AB276" s="88"/>
    </row>
    <row r="277" spans="11:28" s="50" customFormat="1" ht="17.25" customHeight="1">
      <c r="K277" s="52"/>
      <c r="AB277" s="88"/>
    </row>
    <row r="278" spans="11:28" s="50" customFormat="1" ht="17.25" customHeight="1">
      <c r="K278" s="52"/>
      <c r="AB278" s="88"/>
    </row>
    <row r="279" spans="11:28" s="50" customFormat="1" ht="17.25" customHeight="1">
      <c r="K279" s="52"/>
      <c r="AB279" s="88"/>
    </row>
    <row r="280" spans="11:28" s="50" customFormat="1" ht="17.25" customHeight="1">
      <c r="K280" s="52"/>
      <c r="AB280" s="88"/>
    </row>
    <row r="281" spans="11:28" s="50" customFormat="1" ht="17.25" customHeight="1">
      <c r="K281" s="52"/>
      <c r="AB281" s="88"/>
    </row>
    <row r="282" spans="11:28" s="50" customFormat="1" ht="17.25" customHeight="1">
      <c r="K282" s="52"/>
      <c r="AB282" s="88"/>
    </row>
    <row r="283" spans="11:28" s="50" customFormat="1" ht="17.25" customHeight="1">
      <c r="K283" s="52"/>
      <c r="AB283" s="88"/>
    </row>
    <row r="284" spans="11:28" s="50" customFormat="1" ht="17.25" customHeight="1">
      <c r="K284" s="52"/>
      <c r="AB284" s="88"/>
    </row>
    <row r="285" spans="11:28" s="50" customFormat="1" ht="17.25" customHeight="1">
      <c r="K285" s="52"/>
      <c r="AB285" s="88"/>
    </row>
    <row r="286" spans="11:28" s="50" customFormat="1" ht="17.25" customHeight="1">
      <c r="K286" s="52"/>
      <c r="AB286" s="88"/>
    </row>
    <row r="287" spans="11:28" s="50" customFormat="1" ht="17.25" customHeight="1">
      <c r="K287" s="52"/>
      <c r="AB287" s="88"/>
    </row>
    <row r="288" spans="11:28" s="50" customFormat="1" ht="17.25" customHeight="1">
      <c r="K288" s="52"/>
      <c r="AB288" s="88"/>
    </row>
    <row r="289" spans="11:28" s="50" customFormat="1" ht="17.25" customHeight="1">
      <c r="K289" s="52"/>
      <c r="AB289" s="88"/>
    </row>
    <row r="290" spans="11:28" s="50" customFormat="1" ht="17.25" customHeight="1">
      <c r="K290" s="52"/>
      <c r="AB290" s="88"/>
    </row>
    <row r="291" spans="11:28" s="50" customFormat="1" ht="17.25" customHeight="1">
      <c r="K291" s="52"/>
      <c r="AB291" s="88"/>
    </row>
    <row r="292" spans="11:28" s="50" customFormat="1" ht="17.25" customHeight="1">
      <c r="K292" s="52"/>
      <c r="AB292" s="88"/>
    </row>
    <row r="293" spans="11:28" s="50" customFormat="1" ht="17.25" customHeight="1">
      <c r="K293" s="52"/>
      <c r="AB293" s="88"/>
    </row>
    <row r="294" spans="11:28" s="50" customFormat="1" ht="17.25" customHeight="1">
      <c r="K294" s="52"/>
      <c r="AB294" s="88"/>
    </row>
    <row r="295" spans="11:28" s="50" customFormat="1" ht="17.25" customHeight="1">
      <c r="K295" s="52"/>
      <c r="AB295" s="88"/>
    </row>
    <row r="296" spans="11:28" s="50" customFormat="1" ht="17.25" customHeight="1">
      <c r="K296" s="52"/>
      <c r="AB296" s="88"/>
    </row>
    <row r="297" spans="11:28" s="50" customFormat="1" ht="17.25" customHeight="1">
      <c r="K297" s="52"/>
      <c r="AB297" s="88"/>
    </row>
    <row r="298" spans="11:28" s="50" customFormat="1" ht="17.25" customHeight="1">
      <c r="K298" s="52"/>
      <c r="AB298" s="88"/>
    </row>
    <row r="299" spans="11:28" s="50" customFormat="1" ht="17.25" customHeight="1">
      <c r="K299" s="52"/>
      <c r="AB299" s="88"/>
    </row>
    <row r="300" spans="11:28" s="50" customFormat="1" ht="17.25" customHeight="1">
      <c r="K300" s="52"/>
      <c r="AB300" s="88"/>
    </row>
    <row r="301" spans="11:28" s="50" customFormat="1" ht="17.25" customHeight="1">
      <c r="K301" s="52"/>
      <c r="AB301" s="88"/>
    </row>
    <row r="302" spans="11:28" s="50" customFormat="1" ht="17.25" customHeight="1">
      <c r="K302" s="52"/>
      <c r="AB302" s="88"/>
    </row>
    <row r="303" spans="11:28" s="50" customFormat="1" ht="17.25" customHeight="1">
      <c r="K303" s="52"/>
      <c r="AB303" s="88"/>
    </row>
    <row r="304" spans="11:28" s="50" customFormat="1" ht="17.25" customHeight="1">
      <c r="K304" s="52"/>
      <c r="AB304" s="88"/>
    </row>
    <row r="305" spans="11:28" s="50" customFormat="1" ht="17.25" customHeight="1">
      <c r="K305" s="52"/>
      <c r="AB305" s="88"/>
    </row>
    <row r="306" spans="11:28" s="50" customFormat="1" ht="17.25" customHeight="1">
      <c r="K306" s="52"/>
      <c r="AB306" s="88"/>
    </row>
    <row r="307" spans="11:28" s="50" customFormat="1" ht="17.25" customHeight="1">
      <c r="K307" s="52"/>
      <c r="AB307" s="88"/>
    </row>
    <row r="308" spans="11:28" s="50" customFormat="1" ht="17.25" customHeight="1">
      <c r="K308" s="52"/>
      <c r="AB308" s="88"/>
    </row>
    <row r="309" spans="11:28" s="50" customFormat="1" ht="17.25" customHeight="1">
      <c r="K309" s="52"/>
      <c r="AB309" s="88"/>
    </row>
    <row r="310" spans="11:28" s="50" customFormat="1" ht="17.25" customHeight="1">
      <c r="K310" s="52"/>
      <c r="AB310" s="88"/>
    </row>
    <row r="311" spans="11:28" s="50" customFormat="1" ht="17.25" customHeight="1">
      <c r="K311" s="52"/>
      <c r="AB311" s="88"/>
    </row>
    <row r="312" spans="11:28" s="50" customFormat="1" ht="17.25" customHeight="1">
      <c r="K312" s="52"/>
      <c r="AB312" s="88"/>
    </row>
    <row r="313" spans="11:28" s="50" customFormat="1" ht="17.25" customHeight="1">
      <c r="K313" s="52"/>
      <c r="AB313" s="88"/>
    </row>
    <row r="314" spans="11:28" s="50" customFormat="1" ht="17.25" customHeight="1">
      <c r="K314" s="52"/>
      <c r="AB314" s="88"/>
    </row>
    <row r="315" spans="11:28" s="50" customFormat="1" ht="17.25" customHeight="1">
      <c r="K315" s="52"/>
      <c r="AB315" s="88"/>
    </row>
    <row r="316" spans="11:28" s="50" customFormat="1" ht="17.25" customHeight="1">
      <c r="K316" s="52"/>
      <c r="AB316" s="88"/>
    </row>
    <row r="317" spans="11:28" s="50" customFormat="1" ht="17.25" customHeight="1">
      <c r="K317" s="52"/>
      <c r="AB317" s="88"/>
    </row>
    <row r="318" spans="11:28" s="50" customFormat="1" ht="17.25" customHeight="1">
      <c r="K318" s="52"/>
      <c r="AB318" s="88"/>
    </row>
    <row r="319" spans="11:28" s="50" customFormat="1" ht="17.25" customHeight="1">
      <c r="K319" s="52"/>
      <c r="AB319" s="88"/>
    </row>
    <row r="320" spans="11:28" s="50" customFormat="1" ht="17.25" customHeight="1">
      <c r="K320" s="52"/>
      <c r="AB320" s="88"/>
    </row>
    <row r="321" spans="11:28" s="50" customFormat="1" ht="17.25" customHeight="1">
      <c r="K321" s="52"/>
      <c r="AB321" s="88"/>
    </row>
    <row r="322" spans="11:28" s="50" customFormat="1" ht="17.25" customHeight="1">
      <c r="K322" s="52"/>
      <c r="AB322" s="88"/>
    </row>
    <row r="323" spans="11:28" s="50" customFormat="1" ht="17.25" customHeight="1">
      <c r="K323" s="52"/>
      <c r="AB323" s="88"/>
    </row>
    <row r="324" spans="11:28" s="50" customFormat="1" ht="17.25" customHeight="1">
      <c r="K324" s="52"/>
      <c r="AB324" s="88"/>
    </row>
    <row r="325" spans="11:28" s="50" customFormat="1" ht="17.25" customHeight="1">
      <c r="K325" s="52"/>
      <c r="AB325" s="88"/>
    </row>
    <row r="326" spans="11:28" s="50" customFormat="1" ht="17.25" customHeight="1">
      <c r="K326" s="52"/>
      <c r="AB326" s="88"/>
    </row>
    <row r="327" spans="11:28" s="50" customFormat="1" ht="17.25" customHeight="1">
      <c r="K327" s="52"/>
      <c r="AB327" s="88"/>
    </row>
    <row r="328" spans="11:28" s="50" customFormat="1" ht="17.25" customHeight="1">
      <c r="K328" s="52"/>
      <c r="AB328" s="88"/>
    </row>
    <row r="329" spans="11:28" s="50" customFormat="1" ht="17.25" customHeight="1">
      <c r="K329" s="52"/>
      <c r="AB329" s="88"/>
    </row>
    <row r="330" spans="11:28" s="50" customFormat="1" ht="17.25" customHeight="1">
      <c r="K330" s="52"/>
      <c r="AB330" s="88"/>
    </row>
    <row r="331" spans="11:28" s="50" customFormat="1" ht="17.25" customHeight="1">
      <c r="K331" s="52"/>
      <c r="AB331" s="88"/>
    </row>
    <row r="332" spans="11:28" s="50" customFormat="1" ht="17.25" customHeight="1">
      <c r="K332" s="52"/>
      <c r="AB332" s="88"/>
    </row>
    <row r="333" spans="11:28" s="50" customFormat="1" ht="17.25" customHeight="1">
      <c r="K333" s="52"/>
      <c r="AB333" s="88"/>
    </row>
    <row r="334" spans="11:28" s="50" customFormat="1" ht="17.25" customHeight="1">
      <c r="K334" s="52"/>
      <c r="AB334" s="88"/>
    </row>
    <row r="335" spans="11:28" s="50" customFormat="1" ht="17.25" customHeight="1">
      <c r="K335" s="52"/>
      <c r="AB335" s="88"/>
    </row>
    <row r="336" spans="11:28" s="50" customFormat="1" ht="17.25" customHeight="1">
      <c r="K336" s="52"/>
      <c r="AB336" s="88"/>
    </row>
    <row r="337" spans="11:28" s="50" customFormat="1" ht="17.25" customHeight="1">
      <c r="K337" s="52"/>
      <c r="AB337" s="88"/>
    </row>
    <row r="338" spans="11:28" s="50" customFormat="1" ht="17.25" customHeight="1">
      <c r="K338" s="52"/>
      <c r="AB338" s="88"/>
    </row>
    <row r="339" spans="11:28" s="50" customFormat="1" ht="17.25" customHeight="1">
      <c r="K339" s="52"/>
      <c r="AB339" s="88"/>
    </row>
    <row r="340" spans="11:28" s="50" customFormat="1" ht="17.25" customHeight="1">
      <c r="K340" s="52"/>
      <c r="AB340" s="88"/>
    </row>
    <row r="341" spans="11:28" s="50" customFormat="1" ht="17.25" customHeight="1">
      <c r="K341" s="52"/>
      <c r="AB341" s="88"/>
    </row>
    <row r="342" spans="11:28" s="50" customFormat="1" ht="17.25" customHeight="1">
      <c r="K342" s="52"/>
      <c r="AB342" s="88"/>
    </row>
    <row r="343" spans="11:28" s="50" customFormat="1" ht="17.25" customHeight="1">
      <c r="K343" s="52"/>
      <c r="AB343" s="88"/>
    </row>
    <row r="344" spans="11:28" s="50" customFormat="1" ht="17.25" customHeight="1">
      <c r="K344" s="52"/>
      <c r="AB344" s="88"/>
    </row>
    <row r="345" spans="11:28" s="50" customFormat="1" ht="17.25" customHeight="1">
      <c r="K345" s="52"/>
      <c r="AB345" s="88"/>
    </row>
    <row r="346" spans="11:28" s="50" customFormat="1" ht="17.25" customHeight="1">
      <c r="K346" s="52"/>
      <c r="AB346" s="88"/>
    </row>
    <row r="347" spans="11:28" s="50" customFormat="1" ht="17.25" customHeight="1">
      <c r="K347" s="52"/>
      <c r="AB347" s="88"/>
    </row>
    <row r="348" spans="11:28" s="50" customFormat="1" ht="17.25" customHeight="1">
      <c r="K348" s="52"/>
      <c r="AB348" s="88"/>
    </row>
    <row r="349" spans="11:28" s="50" customFormat="1" ht="17.25" customHeight="1">
      <c r="K349" s="52"/>
      <c r="AB349" s="88"/>
    </row>
    <row r="350" spans="11:28" s="50" customFormat="1" ht="17.25" customHeight="1">
      <c r="K350" s="52"/>
      <c r="AB350" s="88"/>
    </row>
    <row r="351" spans="11:28" s="50" customFormat="1" ht="17.25" customHeight="1">
      <c r="K351" s="52"/>
      <c r="AB351" s="88"/>
    </row>
    <row r="352" spans="11:28" s="50" customFormat="1" ht="17.25" customHeight="1">
      <c r="K352" s="52"/>
      <c r="AB352" s="88"/>
    </row>
    <row r="353" spans="11:28" s="50" customFormat="1" ht="17.25" customHeight="1">
      <c r="K353" s="52"/>
      <c r="AB353" s="88"/>
    </row>
    <row r="354" spans="11:28" s="50" customFormat="1" ht="17.25" customHeight="1">
      <c r="K354" s="52"/>
      <c r="AB354" s="88"/>
    </row>
    <row r="355" spans="11:28" s="50" customFormat="1" ht="17.25" customHeight="1">
      <c r="K355" s="52"/>
      <c r="AB355" s="88"/>
    </row>
    <row r="356" spans="11:28" s="50" customFormat="1" ht="17.25" customHeight="1">
      <c r="K356" s="52"/>
      <c r="AB356" s="88"/>
    </row>
    <row r="357" spans="11:28" s="50" customFormat="1" ht="17.25" customHeight="1">
      <c r="K357" s="52"/>
      <c r="AB357" s="88"/>
    </row>
    <row r="358" spans="11:28" s="50" customFormat="1" ht="17.25" customHeight="1">
      <c r="K358" s="52"/>
      <c r="AB358" s="88"/>
    </row>
    <row r="359" spans="11:28" s="50" customFormat="1" ht="17.25" customHeight="1">
      <c r="K359" s="52"/>
      <c r="AB359" s="88"/>
    </row>
    <row r="360" spans="11:28" s="50" customFormat="1" ht="17.25" customHeight="1">
      <c r="K360" s="52"/>
      <c r="AB360" s="88"/>
    </row>
    <row r="361" spans="11:28" s="50" customFormat="1" ht="17.25" customHeight="1">
      <c r="K361" s="52"/>
      <c r="AB361" s="88"/>
    </row>
    <row r="362" spans="11:28" s="50" customFormat="1" ht="17.25" customHeight="1">
      <c r="K362" s="52"/>
      <c r="AB362" s="88"/>
    </row>
    <row r="363" spans="11:28" s="50" customFormat="1" ht="17.25" customHeight="1">
      <c r="K363" s="52"/>
      <c r="AB363" s="88"/>
    </row>
    <row r="364" spans="11:28" s="50" customFormat="1" ht="17.25" customHeight="1">
      <c r="K364" s="52"/>
      <c r="AB364" s="88"/>
    </row>
    <row r="365" spans="11:28" s="50" customFormat="1" ht="17.25" customHeight="1">
      <c r="K365" s="52"/>
      <c r="AB365" s="88"/>
    </row>
    <row r="366" spans="11:28" s="50" customFormat="1" ht="17.25" customHeight="1">
      <c r="K366" s="52"/>
      <c r="AB366" s="88"/>
    </row>
    <row r="367" spans="11:28" s="50" customFormat="1" ht="17.25" customHeight="1">
      <c r="K367" s="52"/>
      <c r="AB367" s="88"/>
    </row>
    <row r="368" spans="11:28" s="50" customFormat="1" ht="17.25" customHeight="1">
      <c r="K368" s="52"/>
      <c r="AB368" s="88"/>
    </row>
    <row r="369" spans="11:28" s="50" customFormat="1" ht="17.25" customHeight="1">
      <c r="K369" s="52"/>
      <c r="AB369" s="88"/>
    </row>
    <row r="370" spans="11:28" s="50" customFormat="1" ht="17.25" customHeight="1">
      <c r="K370" s="52"/>
      <c r="AB370" s="88"/>
    </row>
    <row r="371" spans="11:28" s="50" customFormat="1" ht="17.25" customHeight="1">
      <c r="K371" s="52"/>
      <c r="AB371" s="88"/>
    </row>
    <row r="372" spans="11:28" s="50" customFormat="1" ht="17.25" customHeight="1">
      <c r="K372" s="52"/>
      <c r="AB372" s="88"/>
    </row>
    <row r="373" spans="11:28" s="50" customFormat="1" ht="17.25" customHeight="1">
      <c r="K373" s="52"/>
      <c r="AB373" s="88"/>
    </row>
    <row r="374" spans="11:28" s="50" customFormat="1" ht="17.25" customHeight="1">
      <c r="K374" s="52"/>
      <c r="AB374" s="88"/>
    </row>
    <row r="375" spans="11:28" s="50" customFormat="1" ht="17.25" customHeight="1">
      <c r="K375" s="52"/>
      <c r="AB375" s="88"/>
    </row>
    <row r="376" spans="11:28" s="50" customFormat="1" ht="17.25" customHeight="1">
      <c r="K376" s="52"/>
      <c r="AB376" s="88"/>
    </row>
    <row r="377" spans="11:28" s="50" customFormat="1" ht="17.25" customHeight="1">
      <c r="K377" s="52"/>
      <c r="AB377" s="88"/>
    </row>
    <row r="378" spans="11:28" s="50" customFormat="1" ht="17.25" customHeight="1">
      <c r="K378" s="52"/>
      <c r="AB378" s="88"/>
    </row>
    <row r="379" spans="11:28" s="50" customFormat="1" ht="17.25" customHeight="1">
      <c r="K379" s="52"/>
      <c r="AB379" s="88"/>
    </row>
    <row r="380" spans="11:28" s="50" customFormat="1" ht="17.25" customHeight="1">
      <c r="K380" s="52"/>
      <c r="AB380" s="88"/>
    </row>
    <row r="381" spans="11:28" s="50" customFormat="1" ht="17.25" customHeight="1">
      <c r="K381" s="52"/>
      <c r="AB381" s="88"/>
    </row>
    <row r="382" spans="11:28" s="50" customFormat="1" ht="17.25" customHeight="1">
      <c r="K382" s="52"/>
      <c r="AB382" s="88"/>
    </row>
    <row r="383" spans="11:28" s="50" customFormat="1" ht="17.25" customHeight="1">
      <c r="K383" s="52"/>
      <c r="AB383" s="88"/>
    </row>
    <row r="384" spans="11:28" s="50" customFormat="1" ht="17.25" customHeight="1">
      <c r="K384" s="52"/>
      <c r="AB384" s="88"/>
    </row>
    <row r="385" spans="11:28" s="50" customFormat="1" ht="17.25" customHeight="1">
      <c r="K385" s="52"/>
      <c r="AB385" s="88"/>
    </row>
    <row r="386" spans="11:28" s="50" customFormat="1" ht="17.25" customHeight="1">
      <c r="K386" s="52"/>
      <c r="AB386" s="88"/>
    </row>
    <row r="387" spans="11:28" s="50" customFormat="1" ht="17.25" customHeight="1">
      <c r="K387" s="52"/>
      <c r="AB387" s="88"/>
    </row>
    <row r="388" spans="11:28" s="50" customFormat="1" ht="17.25" customHeight="1">
      <c r="K388" s="52"/>
      <c r="AB388" s="88"/>
    </row>
    <row r="389" spans="11:28" s="50" customFormat="1" ht="17.25" customHeight="1">
      <c r="K389" s="52"/>
      <c r="AB389" s="88"/>
    </row>
    <row r="390" spans="11:28" s="50" customFormat="1" ht="17.25" customHeight="1">
      <c r="K390" s="52"/>
      <c r="AB390" s="88"/>
    </row>
    <row r="391" spans="11:28" s="50" customFormat="1" ht="17.25" customHeight="1">
      <c r="K391" s="52"/>
      <c r="AB391" s="88"/>
    </row>
    <row r="392" spans="11:28" s="50" customFormat="1" ht="17.25" customHeight="1">
      <c r="K392" s="52"/>
      <c r="AB392" s="88"/>
    </row>
    <row r="393" spans="11:28" s="50" customFormat="1" ht="17.25" customHeight="1">
      <c r="K393" s="52"/>
      <c r="AB393" s="88"/>
    </row>
    <row r="394" spans="11:28" s="50" customFormat="1" ht="17.25" customHeight="1">
      <c r="K394" s="52"/>
      <c r="AB394" s="88"/>
    </row>
    <row r="395" spans="11:28" s="50" customFormat="1" ht="17.25" customHeight="1">
      <c r="K395" s="52"/>
      <c r="AB395" s="88"/>
    </row>
    <row r="396" spans="11:28" s="50" customFormat="1" ht="17.25" customHeight="1">
      <c r="K396" s="52"/>
      <c r="AB396" s="88"/>
    </row>
    <row r="397" spans="11:28" s="50" customFormat="1" ht="17.25" customHeight="1">
      <c r="K397" s="52"/>
      <c r="AB397" s="88"/>
    </row>
    <row r="398" spans="11:28" s="50" customFormat="1" ht="17.25" customHeight="1">
      <c r="K398" s="52"/>
      <c r="AB398" s="88"/>
    </row>
    <row r="399" spans="11:28" s="50" customFormat="1" ht="17.25" customHeight="1">
      <c r="K399" s="52"/>
      <c r="AB399" s="88"/>
    </row>
    <row r="400" spans="11:28" s="50" customFormat="1" ht="17.25" customHeight="1">
      <c r="K400" s="52"/>
      <c r="AB400" s="88"/>
    </row>
    <row r="401" spans="11:28" s="50" customFormat="1" ht="17.25" customHeight="1">
      <c r="K401" s="52"/>
      <c r="AB401" s="88"/>
    </row>
    <row r="402" spans="11:28" s="50" customFormat="1" ht="17.25" customHeight="1">
      <c r="K402" s="52"/>
      <c r="AB402" s="88"/>
    </row>
    <row r="403" spans="11:28" s="50" customFormat="1" ht="17.25" customHeight="1">
      <c r="K403" s="52"/>
      <c r="AB403" s="88"/>
    </row>
    <row r="404" spans="11:28" s="50" customFormat="1" ht="17.25" customHeight="1">
      <c r="K404" s="52"/>
      <c r="AB404" s="88"/>
    </row>
    <row r="405" spans="11:28" s="50" customFormat="1" ht="17.25" customHeight="1">
      <c r="K405" s="52"/>
      <c r="AB405" s="88"/>
    </row>
    <row r="406" spans="11:28" s="50" customFormat="1" ht="17.25" customHeight="1">
      <c r="K406" s="52"/>
      <c r="AB406" s="88"/>
    </row>
    <row r="407" spans="11:28" s="50" customFormat="1" ht="17.25" customHeight="1">
      <c r="K407" s="52"/>
      <c r="AB407" s="88"/>
    </row>
    <row r="408" spans="11:28" s="50" customFormat="1" ht="17.25" customHeight="1">
      <c r="K408" s="52"/>
      <c r="AB408" s="88"/>
    </row>
    <row r="409" spans="11:28" s="50" customFormat="1" ht="17.25" customHeight="1">
      <c r="K409" s="52"/>
      <c r="AB409" s="88"/>
    </row>
    <row r="410" spans="11:28" s="50" customFormat="1" ht="17.25" customHeight="1">
      <c r="K410" s="52"/>
      <c r="AB410" s="88"/>
    </row>
    <row r="411" spans="11:28" s="50" customFormat="1" ht="17.25" customHeight="1">
      <c r="K411" s="52"/>
      <c r="AB411" s="88"/>
    </row>
    <row r="412" spans="11:28" s="50" customFormat="1" ht="17.25" customHeight="1">
      <c r="K412" s="52"/>
      <c r="AB412" s="88"/>
    </row>
    <row r="413" spans="11:28" s="50" customFormat="1" ht="17.25" customHeight="1">
      <c r="K413" s="52"/>
      <c r="AB413" s="88"/>
    </row>
    <row r="414" spans="11:28" s="50" customFormat="1" ht="17.25" customHeight="1">
      <c r="K414" s="52"/>
      <c r="AB414" s="88"/>
    </row>
    <row r="415" spans="11:28" s="50" customFormat="1" ht="17.25" customHeight="1">
      <c r="K415" s="52"/>
      <c r="AB415" s="88"/>
    </row>
    <row r="416" spans="11:28" s="50" customFormat="1" ht="17.25" customHeight="1">
      <c r="K416" s="52"/>
      <c r="AB416" s="88"/>
    </row>
    <row r="417" spans="11:28" s="50" customFormat="1" ht="17.25" customHeight="1">
      <c r="K417" s="52"/>
      <c r="AB417" s="88"/>
    </row>
    <row r="418" spans="11:28" s="50" customFormat="1" ht="17.25" customHeight="1">
      <c r="K418" s="52"/>
      <c r="AB418" s="88"/>
    </row>
    <row r="419" spans="11:28" s="50" customFormat="1" ht="17.25" customHeight="1">
      <c r="K419" s="52"/>
      <c r="AB419" s="88"/>
    </row>
    <row r="420" spans="11:28" s="50" customFormat="1" ht="17.25" customHeight="1">
      <c r="K420" s="52"/>
      <c r="AB420" s="88"/>
    </row>
    <row r="421" spans="11:28" s="50" customFormat="1" ht="17.25" customHeight="1">
      <c r="K421" s="52"/>
      <c r="AB421" s="88"/>
    </row>
    <row r="422" spans="11:28" s="50" customFormat="1" ht="17.25" customHeight="1">
      <c r="K422" s="52"/>
      <c r="AB422" s="88"/>
    </row>
    <row r="423" spans="11:28" s="50" customFormat="1" ht="17.25" customHeight="1">
      <c r="K423" s="52"/>
      <c r="AB423" s="88"/>
    </row>
    <row r="424" spans="11:28" s="50" customFormat="1" ht="17.25" customHeight="1">
      <c r="K424" s="52"/>
      <c r="AB424" s="88"/>
    </row>
    <row r="425" spans="11:28" s="50" customFormat="1" ht="17.25" customHeight="1">
      <c r="K425" s="52"/>
      <c r="AB425" s="88"/>
    </row>
    <row r="426" spans="11:28" s="50" customFormat="1" ht="17.25" customHeight="1">
      <c r="K426" s="52"/>
      <c r="AB426" s="88"/>
    </row>
    <row r="427" spans="11:28" s="50" customFormat="1" ht="17.25" customHeight="1">
      <c r="K427" s="52"/>
      <c r="AB427" s="88"/>
    </row>
    <row r="428" spans="11:28" s="50" customFormat="1" ht="17.25" customHeight="1">
      <c r="K428" s="52"/>
      <c r="AB428" s="88"/>
    </row>
    <row r="429" spans="11:28" s="50" customFormat="1" ht="17.25" customHeight="1">
      <c r="K429" s="52"/>
      <c r="AB429" s="88"/>
    </row>
    <row r="430" spans="11:28" s="50" customFormat="1" ht="17.25" customHeight="1">
      <c r="K430" s="52"/>
      <c r="AB430" s="88"/>
    </row>
    <row r="431" spans="11:28" s="50" customFormat="1" ht="17.25" customHeight="1">
      <c r="K431" s="52"/>
      <c r="AB431" s="88"/>
    </row>
    <row r="432" spans="11:28" s="50" customFormat="1" ht="17.25" customHeight="1">
      <c r="K432" s="52"/>
      <c r="AB432" s="88"/>
    </row>
    <row r="433" spans="11:28" s="50" customFormat="1" ht="17.25" customHeight="1">
      <c r="K433" s="52"/>
      <c r="AB433" s="88"/>
    </row>
    <row r="434" spans="11:28" s="50" customFormat="1" ht="17.25" customHeight="1">
      <c r="K434" s="52"/>
      <c r="AB434" s="88"/>
    </row>
    <row r="435" spans="11:28" s="50" customFormat="1" ht="17.25" customHeight="1">
      <c r="K435" s="52"/>
      <c r="AB435" s="88"/>
    </row>
    <row r="436" spans="11:28" s="50" customFormat="1" ht="17.25" customHeight="1">
      <c r="K436" s="52"/>
      <c r="AB436" s="88"/>
    </row>
    <row r="437" spans="11:28" s="50" customFormat="1" ht="17.25" customHeight="1">
      <c r="K437" s="52"/>
      <c r="AB437" s="88"/>
    </row>
    <row r="438" spans="11:28" s="50" customFormat="1" ht="17.25" customHeight="1">
      <c r="K438" s="52"/>
      <c r="AB438" s="88"/>
    </row>
    <row r="439" spans="11:28" s="50" customFormat="1" ht="17.25" customHeight="1">
      <c r="K439" s="52"/>
      <c r="AB439" s="88"/>
    </row>
    <row r="440" spans="11:28" s="50" customFormat="1" ht="17.25" customHeight="1">
      <c r="K440" s="52"/>
      <c r="AB440" s="88"/>
    </row>
    <row r="441" spans="11:28" s="50" customFormat="1" ht="17.25" customHeight="1">
      <c r="K441" s="52"/>
      <c r="AB441" s="88"/>
    </row>
    <row r="442" spans="11:28" s="50" customFormat="1" ht="17.25" customHeight="1">
      <c r="K442" s="52"/>
      <c r="AB442" s="88"/>
    </row>
    <row r="443" spans="11:28" s="50" customFormat="1" ht="17.25" customHeight="1">
      <c r="K443" s="52"/>
      <c r="AB443" s="88"/>
    </row>
    <row r="444" spans="11:28" s="50" customFormat="1" ht="17.25" customHeight="1">
      <c r="K444" s="52"/>
      <c r="AB444" s="88"/>
    </row>
    <row r="445" spans="11:28" s="50" customFormat="1" ht="17.25" customHeight="1">
      <c r="K445" s="52"/>
      <c r="AB445" s="88"/>
    </row>
    <row r="446" spans="11:28" s="50" customFormat="1" ht="17.25" customHeight="1">
      <c r="K446" s="52"/>
      <c r="AB446" s="88"/>
    </row>
    <row r="447" spans="11:28" s="50" customFormat="1" ht="17.25" customHeight="1">
      <c r="K447" s="52"/>
      <c r="AB447" s="88"/>
    </row>
    <row r="448" spans="11:28" s="50" customFormat="1" ht="17.25" customHeight="1">
      <c r="K448" s="52"/>
      <c r="AB448" s="88"/>
    </row>
    <row r="449" spans="11:28" s="50" customFormat="1" ht="17.25" customHeight="1">
      <c r="K449" s="52"/>
      <c r="AB449" s="88"/>
    </row>
    <row r="450" spans="11:28" s="50" customFormat="1" ht="17.25" customHeight="1">
      <c r="K450" s="52"/>
      <c r="AB450" s="88"/>
    </row>
    <row r="451" spans="11:28" s="50" customFormat="1" ht="17.25" customHeight="1">
      <c r="K451" s="52"/>
      <c r="AB451" s="88"/>
    </row>
    <row r="452" spans="11:28" s="50" customFormat="1" ht="17.25" customHeight="1">
      <c r="K452" s="52"/>
      <c r="AB452" s="88"/>
    </row>
    <row r="453" spans="11:28" s="50" customFormat="1" ht="17.25" customHeight="1">
      <c r="K453" s="52"/>
      <c r="AB453" s="88"/>
    </row>
    <row r="454" spans="11:28" s="50" customFormat="1" ht="17.25" customHeight="1">
      <c r="K454" s="52"/>
      <c r="AB454" s="88"/>
    </row>
    <row r="455" spans="11:28" s="50" customFormat="1" ht="17.25" customHeight="1">
      <c r="K455" s="52"/>
      <c r="AB455" s="88"/>
    </row>
    <row r="456" spans="11:28" s="50" customFormat="1" ht="17.25" customHeight="1">
      <c r="K456" s="52"/>
      <c r="AB456" s="88"/>
    </row>
    <row r="457" spans="11:28" s="50" customFormat="1">
      <c r="K457" s="52"/>
      <c r="AB457" s="88"/>
    </row>
    <row r="458" spans="11:28" s="50" customFormat="1">
      <c r="K458" s="52"/>
      <c r="AB458" s="88"/>
    </row>
    <row r="459" spans="11:28" s="50" customFormat="1">
      <c r="K459" s="52"/>
      <c r="AB459" s="88"/>
    </row>
    <row r="460" spans="11:28" s="50" customFormat="1">
      <c r="K460" s="52"/>
      <c r="AB460" s="88"/>
    </row>
    <row r="461" spans="11:28" s="50" customFormat="1">
      <c r="K461" s="52"/>
      <c r="AB461" s="88"/>
    </row>
    <row r="462" spans="11:28" s="50" customFormat="1">
      <c r="K462" s="52"/>
      <c r="AB462" s="88"/>
    </row>
    <row r="463" spans="11:28" s="50" customFormat="1">
      <c r="K463" s="52"/>
      <c r="AB463" s="88"/>
    </row>
    <row r="464" spans="11:28" s="50" customFormat="1">
      <c r="K464" s="52"/>
      <c r="AB464" s="88"/>
    </row>
    <row r="465" spans="11:28" s="50" customFormat="1">
      <c r="K465" s="52"/>
      <c r="AB465" s="88"/>
    </row>
    <row r="466" spans="11:28" s="50" customFormat="1">
      <c r="K466" s="52"/>
      <c r="AB466" s="88"/>
    </row>
    <row r="467" spans="11:28" s="50" customFormat="1">
      <c r="K467" s="52"/>
      <c r="AB467" s="88"/>
    </row>
    <row r="468" spans="11:28" s="50" customFormat="1">
      <c r="K468" s="52"/>
      <c r="AB468" s="88"/>
    </row>
    <row r="469" spans="11:28" s="50" customFormat="1">
      <c r="K469" s="52"/>
      <c r="AB469" s="88"/>
    </row>
    <row r="470" spans="11:28" s="50" customFormat="1">
      <c r="K470" s="52"/>
      <c r="AB470" s="88"/>
    </row>
    <row r="471" spans="11:28" s="50" customFormat="1">
      <c r="K471" s="52"/>
      <c r="AB471" s="88"/>
    </row>
    <row r="472" spans="11:28" s="50" customFormat="1">
      <c r="K472" s="52"/>
      <c r="AB472" s="88"/>
    </row>
    <row r="473" spans="11:28" s="50" customFormat="1">
      <c r="K473" s="52"/>
      <c r="AB473" s="88"/>
    </row>
    <row r="474" spans="11:28" s="50" customFormat="1">
      <c r="K474" s="52"/>
      <c r="AB474" s="88"/>
    </row>
    <row r="475" spans="11:28" s="50" customFormat="1">
      <c r="K475" s="52"/>
      <c r="AB475" s="88"/>
    </row>
    <row r="476" spans="11:28" s="50" customFormat="1">
      <c r="K476" s="52"/>
      <c r="AB476" s="88"/>
    </row>
    <row r="477" spans="11:28" s="50" customFormat="1">
      <c r="K477" s="52"/>
      <c r="AB477" s="88"/>
    </row>
    <row r="478" spans="11:28" s="50" customFormat="1">
      <c r="K478" s="52"/>
      <c r="AB478" s="88"/>
    </row>
    <row r="479" spans="11:28" s="50" customFormat="1">
      <c r="K479" s="52"/>
      <c r="AB479" s="88"/>
    </row>
    <row r="480" spans="11:28" s="50" customFormat="1">
      <c r="K480" s="52"/>
      <c r="AB480" s="88"/>
    </row>
    <row r="481" spans="11:28" s="50" customFormat="1">
      <c r="K481" s="52"/>
      <c r="AB481" s="88"/>
    </row>
    <row r="482" spans="11:28" s="50" customFormat="1">
      <c r="K482" s="52"/>
      <c r="AB482" s="88"/>
    </row>
    <row r="483" spans="11:28" s="50" customFormat="1">
      <c r="K483" s="52"/>
      <c r="AB483" s="88"/>
    </row>
    <row r="484" spans="11:28" s="50" customFormat="1">
      <c r="K484" s="52"/>
      <c r="AB484" s="88"/>
    </row>
    <row r="485" spans="11:28" s="50" customFormat="1">
      <c r="K485" s="52"/>
      <c r="AB485" s="88"/>
    </row>
    <row r="486" spans="11:28" s="50" customFormat="1">
      <c r="K486" s="52"/>
      <c r="AB486" s="88"/>
    </row>
    <row r="487" spans="11:28" s="50" customFormat="1">
      <c r="K487" s="52"/>
      <c r="AB487" s="88"/>
    </row>
    <row r="488" spans="11:28" s="50" customFormat="1">
      <c r="K488" s="52"/>
      <c r="AB488" s="88"/>
    </row>
    <row r="489" spans="11:28" s="50" customFormat="1">
      <c r="K489" s="52"/>
      <c r="AB489" s="88"/>
    </row>
    <row r="490" spans="11:28" s="50" customFormat="1">
      <c r="K490" s="52"/>
      <c r="AB490" s="88"/>
    </row>
    <row r="491" spans="11:28" s="50" customFormat="1">
      <c r="K491" s="52"/>
      <c r="AB491" s="88"/>
    </row>
    <row r="492" spans="11:28" s="50" customFormat="1">
      <c r="K492" s="52"/>
      <c r="AB492" s="88"/>
    </row>
    <row r="493" spans="11:28" s="50" customFormat="1">
      <c r="K493" s="52"/>
      <c r="AB493" s="88"/>
    </row>
    <row r="494" spans="11:28" s="50" customFormat="1">
      <c r="K494" s="52"/>
      <c r="AB494" s="88"/>
    </row>
    <row r="495" spans="11:28" s="50" customFormat="1">
      <c r="K495" s="52"/>
      <c r="AB495" s="88"/>
    </row>
    <row r="496" spans="11:28" s="50" customFormat="1">
      <c r="K496" s="52"/>
      <c r="AB496" s="88"/>
    </row>
    <row r="497" spans="11:28" s="50" customFormat="1">
      <c r="K497" s="52"/>
      <c r="AB497" s="88"/>
    </row>
    <row r="498" spans="11:28" s="50" customFormat="1">
      <c r="K498" s="52"/>
      <c r="AB498" s="88"/>
    </row>
    <row r="499" spans="11:28" s="50" customFormat="1">
      <c r="K499" s="52"/>
      <c r="AB499" s="88"/>
    </row>
    <row r="500" spans="11:28" s="50" customFormat="1">
      <c r="K500" s="52"/>
      <c r="AB500" s="88"/>
    </row>
    <row r="501" spans="11:28" s="50" customFormat="1">
      <c r="K501" s="52"/>
      <c r="AB501" s="88"/>
    </row>
    <row r="502" spans="11:28" s="50" customFormat="1">
      <c r="K502" s="52"/>
      <c r="AB502" s="88"/>
    </row>
    <row r="503" spans="11:28" s="50" customFormat="1">
      <c r="K503" s="52"/>
      <c r="AB503" s="88"/>
    </row>
    <row r="504" spans="11:28" s="50" customFormat="1">
      <c r="K504" s="52"/>
      <c r="AB504" s="88"/>
    </row>
    <row r="505" spans="11:28" s="50" customFormat="1">
      <c r="K505" s="52"/>
      <c r="AB505" s="88"/>
    </row>
    <row r="506" spans="11:28" s="50" customFormat="1">
      <c r="K506" s="52"/>
      <c r="AB506" s="88"/>
    </row>
    <row r="507" spans="11:28" s="50" customFormat="1">
      <c r="K507" s="52"/>
      <c r="AB507" s="88"/>
    </row>
    <row r="508" spans="11:28" s="50" customFormat="1">
      <c r="K508" s="52"/>
      <c r="AB508" s="88"/>
    </row>
    <row r="509" spans="11:28" s="50" customFormat="1">
      <c r="K509" s="52"/>
      <c r="AB509" s="88"/>
    </row>
    <row r="510" spans="11:28" s="50" customFormat="1">
      <c r="K510" s="52"/>
      <c r="AB510" s="88"/>
    </row>
    <row r="511" spans="11:28" s="50" customFormat="1">
      <c r="K511" s="52"/>
      <c r="AB511" s="88"/>
    </row>
    <row r="512" spans="11:28" s="50" customFormat="1">
      <c r="K512" s="52"/>
      <c r="AB512" s="88"/>
    </row>
    <row r="513" spans="11:28" s="50" customFormat="1">
      <c r="K513" s="52"/>
      <c r="AB513" s="88"/>
    </row>
    <row r="514" spans="11:28" s="50" customFormat="1">
      <c r="K514" s="52"/>
      <c r="AB514" s="88"/>
    </row>
    <row r="515" spans="11:28" s="50" customFormat="1">
      <c r="K515" s="52"/>
      <c r="AB515" s="88"/>
    </row>
    <row r="516" spans="11:28" s="50" customFormat="1">
      <c r="K516" s="52"/>
      <c r="AB516" s="88"/>
    </row>
    <row r="517" spans="11:28" s="50" customFormat="1">
      <c r="K517" s="52"/>
      <c r="AB517" s="88"/>
    </row>
    <row r="518" spans="11:28" s="50" customFormat="1">
      <c r="K518" s="52"/>
      <c r="AB518" s="88"/>
    </row>
    <row r="519" spans="11:28" s="50" customFormat="1">
      <c r="K519" s="52"/>
      <c r="AB519" s="88"/>
    </row>
    <row r="520" spans="11:28" s="50" customFormat="1">
      <c r="K520" s="52"/>
      <c r="AB520" s="88"/>
    </row>
    <row r="521" spans="11:28" s="50" customFormat="1">
      <c r="K521" s="52"/>
      <c r="AB521" s="88"/>
    </row>
    <row r="522" spans="11:28" s="50" customFormat="1">
      <c r="K522" s="52"/>
      <c r="AB522" s="88"/>
    </row>
    <row r="523" spans="11:28" s="50" customFormat="1">
      <c r="K523" s="52"/>
      <c r="AB523" s="88"/>
    </row>
    <row r="524" spans="11:28" s="50" customFormat="1">
      <c r="K524" s="52"/>
      <c r="AB524" s="88"/>
    </row>
    <row r="525" spans="11:28" s="50" customFormat="1">
      <c r="K525" s="52"/>
      <c r="AB525" s="88"/>
    </row>
    <row r="526" spans="11:28" s="50" customFormat="1">
      <c r="K526" s="52"/>
      <c r="AB526" s="88"/>
    </row>
    <row r="527" spans="11:28" s="50" customFormat="1">
      <c r="K527" s="52"/>
      <c r="AB527" s="88"/>
    </row>
    <row r="528" spans="11:28" s="50" customFormat="1">
      <c r="K528" s="52"/>
      <c r="AB528" s="88"/>
    </row>
    <row r="529" spans="11:28" s="50" customFormat="1">
      <c r="K529" s="52"/>
      <c r="AB529" s="88"/>
    </row>
    <row r="530" spans="11:28" s="50" customFormat="1">
      <c r="K530" s="52"/>
      <c r="AB530" s="88"/>
    </row>
    <row r="531" spans="11:28" s="50" customFormat="1">
      <c r="K531" s="52"/>
      <c r="AB531" s="88"/>
    </row>
    <row r="532" spans="11:28" s="50" customFormat="1">
      <c r="K532" s="52"/>
      <c r="AB532" s="88"/>
    </row>
    <row r="533" spans="11:28" s="50" customFormat="1">
      <c r="K533" s="52"/>
      <c r="AB533" s="88"/>
    </row>
    <row r="534" spans="11:28" s="50" customFormat="1">
      <c r="K534" s="52"/>
      <c r="AB534" s="88"/>
    </row>
    <row r="535" spans="11:28" s="50" customFormat="1">
      <c r="K535" s="52"/>
      <c r="AB535" s="88"/>
    </row>
    <row r="536" spans="11:28" s="50" customFormat="1">
      <c r="K536" s="52"/>
      <c r="AB536" s="88"/>
    </row>
    <row r="537" spans="11:28" s="50" customFormat="1">
      <c r="K537" s="52"/>
      <c r="AB537" s="88"/>
    </row>
    <row r="538" spans="11:28" s="50" customFormat="1">
      <c r="K538" s="52"/>
      <c r="AB538" s="88"/>
    </row>
    <row r="539" spans="11:28" s="50" customFormat="1">
      <c r="K539" s="52"/>
      <c r="AB539" s="88"/>
    </row>
    <row r="540" spans="11:28" s="50" customFormat="1">
      <c r="K540" s="52"/>
      <c r="AB540" s="88"/>
    </row>
    <row r="541" spans="11:28" s="50" customFormat="1">
      <c r="K541" s="52"/>
      <c r="AB541" s="88"/>
    </row>
    <row r="542" spans="11:28" s="50" customFormat="1">
      <c r="K542" s="52"/>
      <c r="AB542" s="88"/>
    </row>
    <row r="543" spans="11:28" s="50" customFormat="1">
      <c r="K543" s="52"/>
      <c r="AB543" s="88"/>
    </row>
    <row r="544" spans="11:28" s="50" customFormat="1">
      <c r="K544" s="52"/>
      <c r="AB544" s="88"/>
    </row>
    <row r="545" spans="11:28" s="50" customFormat="1">
      <c r="K545" s="52"/>
      <c r="AB545" s="88"/>
    </row>
    <row r="546" spans="11:28" s="50" customFormat="1">
      <c r="K546" s="52"/>
      <c r="AB546" s="88"/>
    </row>
    <row r="547" spans="11:28" s="50" customFormat="1">
      <c r="K547" s="52"/>
      <c r="AB547" s="88"/>
    </row>
    <row r="548" spans="11:28" s="50" customFormat="1">
      <c r="K548" s="52"/>
      <c r="AB548" s="88"/>
    </row>
    <row r="549" spans="11:28" s="50" customFormat="1">
      <c r="K549" s="52"/>
      <c r="AB549" s="88"/>
    </row>
    <row r="550" spans="11:28" s="50" customFormat="1">
      <c r="K550" s="52"/>
      <c r="AB550" s="88"/>
    </row>
    <row r="551" spans="11:28" s="50" customFormat="1">
      <c r="K551" s="52"/>
      <c r="AB551" s="88"/>
    </row>
    <row r="552" spans="11:28" s="50" customFormat="1">
      <c r="K552" s="52"/>
      <c r="AB552" s="88"/>
    </row>
    <row r="553" spans="11:28" s="50" customFormat="1">
      <c r="K553" s="52"/>
      <c r="AB553" s="88"/>
    </row>
    <row r="554" spans="11:28" s="50" customFormat="1">
      <c r="K554" s="52"/>
      <c r="AB554" s="88"/>
    </row>
    <row r="555" spans="11:28" s="50" customFormat="1">
      <c r="K555" s="52"/>
      <c r="AB555" s="88"/>
    </row>
    <row r="556" spans="11:28" s="50" customFormat="1">
      <c r="K556" s="52"/>
      <c r="AB556" s="88"/>
    </row>
    <row r="557" spans="11:28" s="50" customFormat="1">
      <c r="K557" s="52"/>
      <c r="AB557" s="88"/>
    </row>
    <row r="558" spans="11:28" s="50" customFormat="1">
      <c r="K558" s="52"/>
      <c r="AB558" s="88"/>
    </row>
    <row r="559" spans="11:28" s="50" customFormat="1">
      <c r="K559" s="52"/>
      <c r="AB559" s="88"/>
    </row>
    <row r="560" spans="11:28" s="50" customFormat="1">
      <c r="K560" s="52"/>
      <c r="AB560" s="88"/>
    </row>
    <row r="561" spans="11:28" s="50" customFormat="1">
      <c r="K561" s="52"/>
      <c r="AB561" s="88"/>
    </row>
    <row r="562" spans="11:28" s="50" customFormat="1">
      <c r="K562" s="52"/>
      <c r="AB562" s="88"/>
    </row>
    <row r="563" spans="11:28" s="50" customFormat="1">
      <c r="K563" s="52"/>
      <c r="AB563" s="88"/>
    </row>
    <row r="564" spans="11:28" s="50" customFormat="1">
      <c r="K564" s="52"/>
      <c r="AB564" s="88"/>
    </row>
    <row r="565" spans="11:28" s="50" customFormat="1">
      <c r="K565" s="52"/>
      <c r="AB565" s="88"/>
    </row>
    <row r="566" spans="11:28" s="50" customFormat="1">
      <c r="K566" s="52"/>
      <c r="AB566" s="88"/>
    </row>
    <row r="567" spans="11:28" s="50" customFormat="1">
      <c r="K567" s="52"/>
      <c r="AB567" s="88"/>
    </row>
    <row r="568" spans="11:28" s="50" customFormat="1">
      <c r="K568" s="52"/>
      <c r="AB568" s="88"/>
    </row>
    <row r="569" spans="11:28" s="50" customFormat="1">
      <c r="K569" s="52"/>
      <c r="AB569" s="88"/>
    </row>
    <row r="570" spans="11:28" s="50" customFormat="1">
      <c r="K570" s="52"/>
      <c r="AB570" s="88"/>
    </row>
    <row r="571" spans="11:28" s="50" customFormat="1">
      <c r="K571" s="52"/>
      <c r="AB571" s="88"/>
    </row>
    <row r="572" spans="11:28" s="50" customFormat="1">
      <c r="K572" s="52"/>
      <c r="AB572" s="88"/>
    </row>
    <row r="573" spans="11:28" s="50" customFormat="1">
      <c r="K573" s="52"/>
      <c r="AB573" s="88"/>
    </row>
    <row r="574" spans="11:28" s="50" customFormat="1">
      <c r="K574" s="52"/>
      <c r="AB574" s="88"/>
    </row>
    <row r="575" spans="11:28" s="50" customFormat="1">
      <c r="K575" s="52"/>
      <c r="AB575" s="88"/>
    </row>
    <row r="576" spans="11:28" s="50" customFormat="1">
      <c r="K576" s="52"/>
      <c r="AB576" s="88"/>
    </row>
    <row r="577" spans="11:28" s="50" customFormat="1">
      <c r="K577" s="52"/>
      <c r="AB577" s="88"/>
    </row>
    <row r="578" spans="11:28" s="50" customFormat="1">
      <c r="K578" s="52"/>
      <c r="AB578" s="88"/>
    </row>
    <row r="579" spans="11:28" s="50" customFormat="1">
      <c r="K579" s="52"/>
      <c r="AB579" s="88"/>
    </row>
    <row r="580" spans="11:28" s="50" customFormat="1">
      <c r="K580" s="52"/>
      <c r="AB580" s="88"/>
    </row>
    <row r="581" spans="11:28" s="50" customFormat="1">
      <c r="K581" s="52"/>
      <c r="AB581" s="88"/>
    </row>
    <row r="582" spans="11:28" s="50" customFormat="1">
      <c r="K582" s="52"/>
      <c r="AB582" s="88"/>
    </row>
    <row r="583" spans="11:28" s="50" customFormat="1">
      <c r="K583" s="52"/>
      <c r="AB583" s="88"/>
    </row>
    <row r="584" spans="11:28" s="50" customFormat="1">
      <c r="K584" s="52"/>
      <c r="AB584" s="88"/>
    </row>
    <row r="585" spans="11:28" s="50" customFormat="1">
      <c r="K585" s="52"/>
      <c r="AB585" s="88"/>
    </row>
    <row r="586" spans="11:28" s="50" customFormat="1">
      <c r="K586" s="52"/>
      <c r="AB586" s="88"/>
    </row>
    <row r="587" spans="11:28" s="50" customFormat="1">
      <c r="K587" s="52"/>
      <c r="AB587" s="88"/>
    </row>
    <row r="588" spans="11:28" s="50" customFormat="1">
      <c r="K588" s="52"/>
      <c r="AB588" s="88"/>
    </row>
    <row r="589" spans="11:28" s="50" customFormat="1">
      <c r="K589" s="52"/>
      <c r="AB589" s="88"/>
    </row>
    <row r="590" spans="11:28" s="50" customFormat="1">
      <c r="K590" s="52"/>
      <c r="AB590" s="88"/>
    </row>
    <row r="591" spans="11:28" s="50" customFormat="1">
      <c r="K591" s="52"/>
      <c r="AB591" s="88"/>
    </row>
    <row r="592" spans="11:28" s="50" customFormat="1">
      <c r="K592" s="52"/>
      <c r="AB592" s="88"/>
    </row>
    <row r="593" spans="11:28" s="50" customFormat="1">
      <c r="K593" s="52"/>
      <c r="AB593" s="88"/>
    </row>
    <row r="594" spans="11:28" s="50" customFormat="1">
      <c r="K594" s="52"/>
      <c r="AB594" s="88"/>
    </row>
    <row r="595" spans="11:28" s="50" customFormat="1">
      <c r="K595" s="52"/>
      <c r="AB595" s="88"/>
    </row>
    <row r="596" spans="11:28" s="50" customFormat="1">
      <c r="K596" s="52"/>
      <c r="AB596" s="88"/>
    </row>
    <row r="597" spans="11:28" s="50" customFormat="1">
      <c r="K597" s="52"/>
      <c r="AB597" s="88"/>
    </row>
    <row r="598" spans="11:28" s="50" customFormat="1">
      <c r="K598" s="52"/>
      <c r="AB598" s="88"/>
    </row>
    <row r="599" spans="11:28" s="50" customFormat="1">
      <c r="K599" s="52"/>
      <c r="AB599" s="88"/>
    </row>
    <row r="600" spans="11:28" s="50" customFormat="1">
      <c r="K600" s="52"/>
      <c r="AB600" s="88"/>
    </row>
    <row r="601" spans="11:28" s="50" customFormat="1">
      <c r="K601" s="52"/>
      <c r="AB601" s="88"/>
    </row>
    <row r="602" spans="11:28" s="50" customFormat="1">
      <c r="K602" s="52"/>
      <c r="AB602" s="88"/>
    </row>
    <row r="603" spans="11:28" s="50" customFormat="1">
      <c r="K603" s="52"/>
      <c r="AB603" s="88"/>
    </row>
    <row r="604" spans="11:28" s="50" customFormat="1">
      <c r="K604" s="52"/>
      <c r="AB604" s="88"/>
    </row>
    <row r="605" spans="11:28" s="50" customFormat="1">
      <c r="K605" s="52"/>
      <c r="AB605" s="88"/>
    </row>
    <row r="606" spans="11:28" s="50" customFormat="1">
      <c r="K606" s="52"/>
      <c r="AB606" s="88"/>
    </row>
    <row r="607" spans="11:28" s="50" customFormat="1">
      <c r="K607" s="52"/>
      <c r="AB607" s="88"/>
    </row>
    <row r="608" spans="11:28" s="50" customFormat="1">
      <c r="K608" s="52"/>
      <c r="AB608" s="88"/>
    </row>
    <row r="609" spans="11:28" s="50" customFormat="1">
      <c r="K609" s="52"/>
      <c r="AB609" s="88"/>
    </row>
    <row r="610" spans="11:28" s="50" customFormat="1">
      <c r="K610" s="52"/>
      <c r="AB610" s="88"/>
    </row>
    <row r="611" spans="11:28" s="50" customFormat="1">
      <c r="K611" s="52"/>
      <c r="AB611" s="88"/>
    </row>
    <row r="612" spans="11:28" s="50" customFormat="1">
      <c r="K612" s="52"/>
      <c r="AB612" s="88"/>
    </row>
    <row r="613" spans="11:28" s="50" customFormat="1">
      <c r="K613" s="52"/>
      <c r="AB613" s="88"/>
    </row>
    <row r="614" spans="11:28" s="50" customFormat="1">
      <c r="K614" s="52"/>
      <c r="AB614" s="88"/>
    </row>
    <row r="615" spans="11:28" s="50" customFormat="1">
      <c r="K615" s="52"/>
      <c r="AB615" s="88"/>
    </row>
    <row r="616" spans="11:28" s="50" customFormat="1">
      <c r="K616" s="52"/>
      <c r="AB616" s="88"/>
    </row>
    <row r="617" spans="11:28" s="50" customFormat="1">
      <c r="K617" s="52"/>
      <c r="AB617" s="88"/>
    </row>
    <row r="618" spans="11:28" s="50" customFormat="1">
      <c r="K618" s="52"/>
      <c r="AB618" s="88"/>
    </row>
    <row r="619" spans="11:28" s="50" customFormat="1">
      <c r="K619" s="52"/>
      <c r="AB619" s="88"/>
    </row>
    <row r="620" spans="11:28" s="50" customFormat="1">
      <c r="K620" s="52"/>
      <c r="AB620" s="88"/>
    </row>
    <row r="621" spans="11:28" s="50" customFormat="1">
      <c r="K621" s="52"/>
      <c r="AB621" s="88"/>
    </row>
    <row r="622" spans="11:28" s="50" customFormat="1">
      <c r="K622" s="52"/>
      <c r="AB622" s="88"/>
    </row>
    <row r="623" spans="11:28" s="50" customFormat="1">
      <c r="K623" s="52"/>
      <c r="AB623" s="88"/>
    </row>
    <row r="624" spans="11:28" s="50" customFormat="1">
      <c r="K624" s="52"/>
      <c r="AB624" s="88"/>
    </row>
    <row r="625" spans="11:28" s="50" customFormat="1">
      <c r="K625" s="52"/>
      <c r="AB625" s="88"/>
    </row>
    <row r="626" spans="11:28" s="50" customFormat="1">
      <c r="K626" s="52"/>
      <c r="AB626" s="88"/>
    </row>
    <row r="627" spans="11:28" s="50" customFormat="1">
      <c r="K627" s="52"/>
      <c r="AB627" s="88"/>
    </row>
    <row r="628" spans="11:28" s="50" customFormat="1">
      <c r="K628" s="52"/>
      <c r="AB628" s="88"/>
    </row>
    <row r="629" spans="11:28" s="50" customFormat="1">
      <c r="K629" s="52"/>
      <c r="AB629" s="88"/>
    </row>
    <row r="630" spans="11:28" s="50" customFormat="1">
      <c r="K630" s="52"/>
      <c r="AB630" s="88"/>
    </row>
    <row r="631" spans="11:28" s="50" customFormat="1">
      <c r="K631" s="52"/>
      <c r="AB631" s="88"/>
    </row>
    <row r="632" spans="11:28" s="50" customFormat="1">
      <c r="K632" s="52"/>
      <c r="AB632" s="88"/>
    </row>
    <row r="633" spans="11:28" s="50" customFormat="1">
      <c r="K633" s="52"/>
      <c r="AB633" s="88"/>
    </row>
    <row r="634" spans="11:28" s="50" customFormat="1">
      <c r="K634" s="52"/>
      <c r="AB634" s="88"/>
    </row>
    <row r="635" spans="11:28" s="50" customFormat="1">
      <c r="K635" s="52"/>
      <c r="AB635" s="88"/>
    </row>
    <row r="636" spans="11:28" s="50" customFormat="1">
      <c r="K636" s="52"/>
      <c r="AB636" s="88"/>
    </row>
    <row r="637" spans="11:28" s="50" customFormat="1">
      <c r="K637" s="52"/>
      <c r="AB637" s="88"/>
    </row>
    <row r="638" spans="11:28" s="50" customFormat="1">
      <c r="K638" s="52"/>
      <c r="AB638" s="88"/>
    </row>
    <row r="639" spans="11:28" s="50" customFormat="1">
      <c r="K639" s="52"/>
      <c r="AB639" s="88"/>
    </row>
    <row r="640" spans="11:28" s="50" customFormat="1">
      <c r="K640" s="52"/>
      <c r="AB640" s="88"/>
    </row>
    <row r="641" spans="11:28" s="50" customFormat="1">
      <c r="K641" s="52"/>
      <c r="AB641" s="88"/>
    </row>
    <row r="642" spans="11:28" s="50" customFormat="1">
      <c r="K642" s="52"/>
      <c r="AB642" s="88"/>
    </row>
    <row r="643" spans="11:28" s="50" customFormat="1">
      <c r="K643" s="52"/>
      <c r="AB643" s="88"/>
    </row>
    <row r="644" spans="11:28" s="50" customFormat="1">
      <c r="K644" s="52"/>
      <c r="AB644" s="88"/>
    </row>
    <row r="645" spans="11:28" s="50" customFormat="1">
      <c r="K645" s="52"/>
      <c r="AB645" s="88"/>
    </row>
    <row r="646" spans="11:28" s="50" customFormat="1">
      <c r="K646" s="52"/>
      <c r="AB646" s="88"/>
    </row>
    <row r="647" spans="11:28" s="50" customFormat="1">
      <c r="K647" s="52"/>
      <c r="AB647" s="88"/>
    </row>
    <row r="648" spans="11:28" s="50" customFormat="1">
      <c r="K648" s="52"/>
      <c r="AB648" s="88"/>
    </row>
    <row r="649" spans="11:28" s="50" customFormat="1">
      <c r="K649" s="52"/>
      <c r="AB649" s="88"/>
    </row>
    <row r="650" spans="11:28" s="50" customFormat="1">
      <c r="K650" s="52"/>
      <c r="AB650" s="88"/>
    </row>
    <row r="651" spans="11:28" s="50" customFormat="1">
      <c r="K651" s="52"/>
      <c r="AB651" s="88"/>
    </row>
    <row r="652" spans="11:28" s="50" customFormat="1">
      <c r="K652" s="52"/>
      <c r="AB652" s="88"/>
    </row>
    <row r="653" spans="11:28" s="50" customFormat="1">
      <c r="K653" s="52"/>
      <c r="AB653" s="88"/>
    </row>
    <row r="654" spans="11:28" s="50" customFormat="1">
      <c r="K654" s="52"/>
      <c r="AB654" s="88"/>
    </row>
    <row r="655" spans="11:28" s="50" customFormat="1">
      <c r="K655" s="52"/>
      <c r="AB655" s="88"/>
    </row>
    <row r="656" spans="11:28" s="50" customFormat="1">
      <c r="K656" s="52"/>
      <c r="AB656" s="88"/>
    </row>
    <row r="657" spans="11:28" s="50" customFormat="1">
      <c r="K657" s="52"/>
      <c r="AB657" s="88"/>
    </row>
    <row r="658" spans="11:28" s="50" customFormat="1">
      <c r="K658" s="52"/>
      <c r="AB658" s="88"/>
    </row>
    <row r="659" spans="11:28" s="50" customFormat="1">
      <c r="K659" s="52"/>
      <c r="AB659" s="88"/>
    </row>
    <row r="660" spans="11:28" s="50" customFormat="1">
      <c r="K660" s="52"/>
      <c r="AB660" s="88"/>
    </row>
    <row r="661" spans="11:28" s="50" customFormat="1">
      <c r="K661" s="52"/>
      <c r="AB661" s="88"/>
    </row>
    <row r="662" spans="11:28" s="50" customFormat="1">
      <c r="K662" s="52"/>
      <c r="AB662" s="88"/>
    </row>
    <row r="663" spans="11:28" s="50" customFormat="1">
      <c r="K663" s="52"/>
      <c r="AB663" s="88"/>
    </row>
    <row r="664" spans="11:28" s="50" customFormat="1">
      <c r="K664" s="52"/>
      <c r="AB664" s="88"/>
    </row>
    <row r="665" spans="11:28" s="50" customFormat="1">
      <c r="K665" s="52"/>
      <c r="AB665" s="88"/>
    </row>
    <row r="666" spans="11:28" s="50" customFormat="1">
      <c r="K666" s="52"/>
      <c r="AB666" s="88"/>
    </row>
    <row r="667" spans="11:28" s="50" customFormat="1">
      <c r="K667" s="52"/>
      <c r="AB667" s="88"/>
    </row>
    <row r="668" spans="11:28" s="50" customFormat="1">
      <c r="K668" s="52"/>
      <c r="AB668" s="88"/>
    </row>
    <row r="669" spans="11:28" s="50" customFormat="1">
      <c r="K669" s="52"/>
      <c r="AB669" s="88"/>
    </row>
    <row r="670" spans="11:28" s="50" customFormat="1">
      <c r="K670" s="52"/>
      <c r="AB670" s="88"/>
    </row>
    <row r="671" spans="11:28" s="50" customFormat="1">
      <c r="K671" s="52"/>
      <c r="AB671" s="88"/>
    </row>
    <row r="672" spans="11:28" s="50" customFormat="1">
      <c r="K672" s="52"/>
      <c r="AB672" s="88"/>
    </row>
    <row r="673" spans="11:28" s="50" customFormat="1">
      <c r="K673" s="52"/>
      <c r="AB673" s="88"/>
    </row>
    <row r="674" spans="11:28" s="50" customFormat="1">
      <c r="K674" s="52"/>
      <c r="AB674" s="88"/>
    </row>
    <row r="675" spans="11:28" s="50" customFormat="1">
      <c r="K675" s="52"/>
      <c r="AB675" s="88"/>
    </row>
    <row r="676" spans="11:28" s="50" customFormat="1">
      <c r="K676" s="52"/>
      <c r="AB676" s="88"/>
    </row>
    <row r="677" spans="11:28" s="50" customFormat="1">
      <c r="K677" s="52"/>
      <c r="AB677" s="88"/>
    </row>
    <row r="678" spans="11:28" s="50" customFormat="1">
      <c r="K678" s="52"/>
      <c r="AB678" s="88"/>
    </row>
    <row r="679" spans="11:28" s="50" customFormat="1">
      <c r="K679" s="52"/>
      <c r="AB679" s="88"/>
    </row>
    <row r="680" spans="11:28" s="50" customFormat="1">
      <c r="K680" s="52"/>
      <c r="AB680" s="88"/>
    </row>
    <row r="681" spans="11:28" s="50" customFormat="1">
      <c r="K681" s="52"/>
      <c r="AB681" s="88"/>
    </row>
    <row r="682" spans="11:28" s="50" customFormat="1">
      <c r="K682" s="52"/>
      <c r="AB682" s="88"/>
    </row>
    <row r="683" spans="11:28" s="50" customFormat="1">
      <c r="K683" s="52"/>
      <c r="AB683" s="88"/>
    </row>
    <row r="684" spans="11:28" s="50" customFormat="1">
      <c r="K684" s="52"/>
      <c r="AB684" s="88"/>
    </row>
    <row r="685" spans="11:28" s="50" customFormat="1">
      <c r="K685" s="52"/>
      <c r="AB685" s="88"/>
    </row>
    <row r="686" spans="11:28" s="50" customFormat="1">
      <c r="K686" s="52"/>
      <c r="AB686" s="88"/>
    </row>
    <row r="687" spans="11:28" s="50" customFormat="1">
      <c r="K687" s="52"/>
      <c r="AB687" s="88"/>
    </row>
    <row r="688" spans="11:28" s="50" customFormat="1">
      <c r="K688" s="52"/>
      <c r="AB688" s="88"/>
    </row>
    <row r="689" spans="1:28" s="50" customFormat="1">
      <c r="K689" s="52"/>
      <c r="AB689" s="88"/>
    </row>
    <row r="690" spans="1:28" s="50" customFormat="1">
      <c r="K690" s="52"/>
      <c r="AB690" s="88"/>
    </row>
    <row r="691" spans="1:28" s="50" customFormat="1">
      <c r="K691" s="52"/>
      <c r="AB691" s="88"/>
    </row>
    <row r="692" spans="1:28">
      <c r="A692" s="50"/>
      <c r="B692" s="50"/>
      <c r="C692" s="50"/>
      <c r="D692" s="50"/>
      <c r="E692" s="50"/>
      <c r="F692" s="50"/>
      <c r="G692" s="50"/>
      <c r="H692" s="50"/>
      <c r="I692" s="50"/>
      <c r="J692" s="50"/>
    </row>
    <row r="693" spans="1:28">
      <c r="A693" s="50"/>
      <c r="B693" s="50"/>
      <c r="C693" s="50"/>
      <c r="D693" s="50"/>
      <c r="E693" s="50"/>
      <c r="F693" s="50"/>
      <c r="G693" s="50"/>
      <c r="H693" s="50"/>
      <c r="I693" s="50"/>
      <c r="J693" s="50"/>
    </row>
    <row r="694" spans="1:28">
      <c r="A694" s="50"/>
      <c r="B694" s="50"/>
      <c r="C694" s="50"/>
      <c r="D694" s="50"/>
      <c r="E694" s="50"/>
      <c r="F694" s="50"/>
      <c r="G694" s="50"/>
      <c r="H694" s="50"/>
      <c r="I694" s="50"/>
      <c r="J694" s="50"/>
    </row>
    <row r="695" spans="1:28">
      <c r="J695" s="46"/>
    </row>
    <row r="696" spans="1:28">
      <c r="J696" s="46"/>
    </row>
    <row r="697" spans="1:28">
      <c r="J697" s="46"/>
    </row>
    <row r="698" spans="1:28">
      <c r="J698" s="46"/>
    </row>
    <row r="699" spans="1:28">
      <c r="J699" s="46"/>
    </row>
    <row r="700" spans="1:28">
      <c r="J700" s="46"/>
    </row>
    <row r="701" spans="1:28">
      <c r="J701" s="46"/>
    </row>
    <row r="702" spans="1:28">
      <c r="J702" s="46"/>
    </row>
    <row r="703" spans="1:28">
      <c r="J703" s="46"/>
    </row>
    <row r="704" spans="1:28">
      <c r="J704" s="46"/>
    </row>
    <row r="705" spans="10:10">
      <c r="J705" s="46"/>
    </row>
    <row r="706" spans="10:10">
      <c r="J706" s="46"/>
    </row>
    <row r="707" spans="10:10">
      <c r="J707" s="46"/>
    </row>
    <row r="708" spans="10:10">
      <c r="J708" s="46"/>
    </row>
    <row r="709" spans="10:10">
      <c r="J709" s="46"/>
    </row>
    <row r="710" spans="10:10">
      <c r="J710" s="46"/>
    </row>
    <row r="711" spans="10:10">
      <c r="J711" s="46"/>
    </row>
    <row r="712" spans="10:10">
      <c r="J712" s="46"/>
    </row>
    <row r="713" spans="10:10">
      <c r="J713" s="46"/>
    </row>
    <row r="714" spans="10:10">
      <c r="J714" s="46"/>
    </row>
    <row r="715" spans="10:10">
      <c r="J715" s="46"/>
    </row>
    <row r="716" spans="10:10">
      <c r="J716" s="46"/>
    </row>
    <row r="717" spans="10:10">
      <c r="J717" s="46"/>
    </row>
    <row r="718" spans="10:10">
      <c r="J718" s="46"/>
    </row>
    <row r="719" spans="10:10">
      <c r="J719" s="46"/>
    </row>
    <row r="720" spans="10:10">
      <c r="J720" s="46"/>
    </row>
    <row r="721" spans="10:10">
      <c r="J721" s="46"/>
    </row>
    <row r="722" spans="10:10">
      <c r="J722" s="46"/>
    </row>
    <row r="723" spans="10:10">
      <c r="J723" s="46"/>
    </row>
    <row r="724" spans="10:10">
      <c r="J724" s="46"/>
    </row>
    <row r="725" spans="10:10">
      <c r="J725" s="46"/>
    </row>
    <row r="726" spans="10:10">
      <c r="J726" s="46"/>
    </row>
    <row r="727" spans="10:10">
      <c r="J727" s="46"/>
    </row>
    <row r="728" spans="10:10">
      <c r="J728" s="46"/>
    </row>
    <row r="729" spans="10:10">
      <c r="J729" s="46"/>
    </row>
    <row r="730" spans="10:10">
      <c r="J730" s="46"/>
    </row>
    <row r="731" spans="10:10">
      <c r="J731" s="46"/>
    </row>
    <row r="732" spans="10:10">
      <c r="J732" s="46"/>
    </row>
    <row r="733" spans="10:10">
      <c r="J733" s="46"/>
    </row>
    <row r="734" spans="10:10">
      <c r="J734" s="46"/>
    </row>
    <row r="735" spans="10:10">
      <c r="J735" s="46"/>
    </row>
    <row r="736" spans="10:10">
      <c r="J736" s="46"/>
    </row>
    <row r="737" spans="10:10">
      <c r="J737" s="46"/>
    </row>
    <row r="738" spans="10:10">
      <c r="J738" s="46"/>
    </row>
    <row r="739" spans="10:10">
      <c r="J739" s="46"/>
    </row>
    <row r="740" spans="10:10">
      <c r="J740" s="46"/>
    </row>
    <row r="741" spans="10:10">
      <c r="J741" s="46"/>
    </row>
    <row r="742" spans="10:10">
      <c r="J742" s="46"/>
    </row>
    <row r="743" spans="10:10">
      <c r="J743" s="46"/>
    </row>
    <row r="744" spans="10:10">
      <c r="J744" s="46"/>
    </row>
    <row r="745" spans="10:10">
      <c r="J745" s="46"/>
    </row>
    <row r="746" spans="10:10">
      <c r="J746" s="46"/>
    </row>
    <row r="747" spans="10:10">
      <c r="J747" s="46"/>
    </row>
    <row r="748" spans="10:10">
      <c r="J748" s="46"/>
    </row>
    <row r="749" spans="10:10">
      <c r="J749" s="46"/>
    </row>
    <row r="750" spans="10:10">
      <c r="J750" s="46"/>
    </row>
    <row r="751" spans="10:10">
      <c r="J751" s="46"/>
    </row>
    <row r="752" spans="10:10">
      <c r="J752" s="46"/>
    </row>
    <row r="753" spans="10:10">
      <c r="J753" s="46"/>
    </row>
    <row r="754" spans="10:10">
      <c r="J754" s="46"/>
    </row>
    <row r="755" spans="10:10">
      <c r="J755" s="46"/>
    </row>
    <row r="756" spans="10:10">
      <c r="J756" s="46"/>
    </row>
    <row r="757" spans="10:10">
      <c r="J757" s="46"/>
    </row>
    <row r="758" spans="10:10">
      <c r="J758" s="46"/>
    </row>
    <row r="759" spans="10:10">
      <c r="J759" s="46"/>
    </row>
    <row r="760" spans="10:10">
      <c r="J760" s="46"/>
    </row>
    <row r="761" spans="10:10">
      <c r="J761" s="46"/>
    </row>
    <row r="762" spans="10:10">
      <c r="J762" s="46"/>
    </row>
    <row r="763" spans="10:10">
      <c r="J763" s="46"/>
    </row>
    <row r="764" spans="10:10">
      <c r="J764" s="46"/>
    </row>
    <row r="765" spans="10:10">
      <c r="J765" s="46"/>
    </row>
    <row r="766" spans="10:10">
      <c r="J766" s="46"/>
    </row>
    <row r="767" spans="10:10">
      <c r="J767" s="46"/>
    </row>
    <row r="768" spans="10:10">
      <c r="J768" s="46"/>
    </row>
    <row r="769" spans="10:10">
      <c r="J769" s="46"/>
    </row>
    <row r="770" spans="10:10">
      <c r="J770" s="46"/>
    </row>
    <row r="771" spans="10:10">
      <c r="J771" s="46"/>
    </row>
    <row r="772" spans="10:10">
      <c r="J772" s="46"/>
    </row>
    <row r="773" spans="10:10">
      <c r="J773" s="46"/>
    </row>
    <row r="774" spans="10:10">
      <c r="J774" s="46"/>
    </row>
    <row r="775" spans="10:10">
      <c r="J775" s="46"/>
    </row>
    <row r="776" spans="10:10">
      <c r="J776" s="46"/>
    </row>
    <row r="777" spans="10:10">
      <c r="J777" s="46"/>
    </row>
    <row r="778" spans="10:10">
      <c r="J778" s="46"/>
    </row>
    <row r="779" spans="10:10">
      <c r="J779" s="46"/>
    </row>
    <row r="780" spans="10:10">
      <c r="J780" s="46"/>
    </row>
    <row r="781" spans="10:10">
      <c r="J781" s="46"/>
    </row>
    <row r="782" spans="10:10">
      <c r="J782" s="46"/>
    </row>
    <row r="783" spans="10:10">
      <c r="J783" s="46"/>
    </row>
    <row r="784" spans="10:10">
      <c r="J784" s="46"/>
    </row>
    <row r="785" spans="10:10">
      <c r="J785" s="46"/>
    </row>
    <row r="786" spans="10:10">
      <c r="J786" s="46"/>
    </row>
    <row r="787" spans="10:10">
      <c r="J787" s="46"/>
    </row>
    <row r="788" spans="10:10">
      <c r="J788" s="46"/>
    </row>
    <row r="789" spans="10:10">
      <c r="J789" s="46"/>
    </row>
    <row r="790" spans="10:10">
      <c r="J790" s="46"/>
    </row>
    <row r="791" spans="10:10">
      <c r="J791" s="46"/>
    </row>
    <row r="792" spans="10:10">
      <c r="J792" s="46"/>
    </row>
    <row r="793" spans="10:10">
      <c r="J793" s="46"/>
    </row>
    <row r="794" spans="10:10">
      <c r="J794" s="46"/>
    </row>
    <row r="795" spans="10:10">
      <c r="J795" s="46"/>
    </row>
    <row r="796" spans="10:10">
      <c r="J796" s="46"/>
    </row>
    <row r="797" spans="10:10">
      <c r="J797" s="46"/>
    </row>
    <row r="798" spans="10:10">
      <c r="J798" s="46"/>
    </row>
    <row r="799" spans="10:10">
      <c r="J799" s="46"/>
    </row>
    <row r="800" spans="10:10">
      <c r="J800" s="46"/>
    </row>
    <row r="801" spans="10:10">
      <c r="J801" s="46"/>
    </row>
    <row r="802" spans="10:10">
      <c r="J802" s="46"/>
    </row>
    <row r="803" spans="10:10">
      <c r="J803" s="46"/>
    </row>
    <row r="804" spans="10:10">
      <c r="J804" s="46"/>
    </row>
    <row r="805" spans="10:10">
      <c r="J805" s="46"/>
    </row>
    <row r="806" spans="10:10">
      <c r="J806" s="46"/>
    </row>
    <row r="807" spans="10:10">
      <c r="J807" s="46"/>
    </row>
    <row r="808" spans="10:10">
      <c r="J808" s="46"/>
    </row>
    <row r="809" spans="10:10">
      <c r="J809" s="46"/>
    </row>
    <row r="810" spans="10:10">
      <c r="J810" s="46"/>
    </row>
    <row r="811" spans="10:10">
      <c r="J811" s="46"/>
    </row>
    <row r="812" spans="10:10">
      <c r="J812" s="46"/>
    </row>
    <row r="813" spans="10:10">
      <c r="J813" s="46"/>
    </row>
    <row r="814" spans="10:10">
      <c r="J814" s="46"/>
    </row>
    <row r="815" spans="10:10">
      <c r="J815" s="46"/>
    </row>
    <row r="816" spans="10:10">
      <c r="J816" s="46"/>
    </row>
    <row r="817" spans="10:10">
      <c r="J817" s="46"/>
    </row>
    <row r="818" spans="10:10">
      <c r="J818" s="46"/>
    </row>
    <row r="819" spans="10:10">
      <c r="J819" s="46"/>
    </row>
    <row r="820" spans="10:10">
      <c r="J820" s="46"/>
    </row>
    <row r="821" spans="10:10">
      <c r="J821" s="46"/>
    </row>
    <row r="822" spans="10:10">
      <c r="J822" s="46"/>
    </row>
  </sheetData>
  <dataConsolidate/>
  <mergeCells count="27">
    <mergeCell ref="H80:J80"/>
    <mergeCell ref="N1:O1"/>
    <mergeCell ref="C6:E6"/>
    <mergeCell ref="D9:E9"/>
    <mergeCell ref="H78:J78"/>
    <mergeCell ref="H79:J79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</mergeCells>
  <phoneticPr fontId="5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autoPict="0" r:id="rId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6" r:id="rId6" name="CommandButton4">
          <controlPr defaultSize="0" autoLine="0" autoPict="0" r:id="rId7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6" name="CommandButton4"/>
      </mc:Fallback>
    </mc:AlternateContent>
    <mc:AlternateContent xmlns:mc="http://schemas.openxmlformats.org/markup-compatibility/2006">
      <mc:Choice Requires="x14">
        <control shapeId="6147" r:id="rId8" name="CommandButton5">
          <controlPr defaultSize="0" autoLine="0" autoPict="0" r:id="rId9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8" name="CommandButton5"/>
      </mc:Fallback>
    </mc:AlternateContent>
    <mc:AlternateContent xmlns:mc="http://schemas.openxmlformats.org/markup-compatibility/2006">
      <mc:Choice Requires="x14">
        <control shapeId="6149" r:id="rId10" name="CommandButton6">
          <controlPr defaultSize="0" autoLine="0" autoPict="0" r:id="rId11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10" name="CommandButton6"/>
      </mc:Fallback>
    </mc:AlternateContent>
    <mc:AlternateContent xmlns:mc="http://schemas.openxmlformats.org/markup-compatibility/2006">
      <mc:Choice Requires="x14">
        <control shapeId="6150" r:id="rId12" name="CommandButton7">
          <controlPr defaultSize="0" autoLine="0" autoPict="0" r:id="rId13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12" name="CommandButton7"/>
      </mc:Fallback>
    </mc:AlternateContent>
    <mc:AlternateContent xmlns:mc="http://schemas.openxmlformats.org/markup-compatibility/2006">
      <mc:Choice Requires="x14">
        <control shapeId="6151" r:id="rId14" name="ComboBox1">
          <controlPr defaultSize="0" autoLine="0" autoPict="0" r:id="rId1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14" name="ComboBox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workbookViewId="0">
      <selection activeCell="J30" sqref="J30"/>
    </sheetView>
  </sheetViews>
  <sheetFormatPr defaultColWidth="9" defaultRowHeight="16.5"/>
  <cols>
    <col min="1" max="1" width="9" style="91"/>
    <col min="2" max="3" width="9" style="92"/>
    <col min="4" max="16384" width="9" style="91"/>
  </cols>
  <sheetData>
    <row r="1" spans="1:3">
      <c r="B1" s="91"/>
    </row>
    <row r="2" spans="1:3">
      <c r="A2" s="149" t="s">
        <v>195</v>
      </c>
      <c r="B2" s="149"/>
      <c r="C2" s="150"/>
    </row>
    <row r="3" spans="1:3">
      <c r="A3" s="149">
        <v>2</v>
      </c>
      <c r="B3" s="149"/>
      <c r="C3" s="150"/>
    </row>
    <row r="4" spans="1:3">
      <c r="A4" s="149">
        <v>1</v>
      </c>
      <c r="B4" s="149"/>
      <c r="C4" s="150"/>
    </row>
    <row r="5" spans="1:3">
      <c r="A5" s="149">
        <v>6</v>
      </c>
      <c r="B5" s="149"/>
      <c r="C5" s="150"/>
    </row>
    <row r="6" spans="1:3">
      <c r="A6" s="149" t="s">
        <v>196</v>
      </c>
      <c r="B6" s="149"/>
      <c r="C6" s="150"/>
    </row>
    <row r="7" spans="1:3">
      <c r="A7" s="149">
        <f>Input!M46</f>
        <v>75</v>
      </c>
      <c r="B7" s="149"/>
      <c r="C7" s="150"/>
    </row>
    <row r="8" spans="1:3">
      <c r="A8" s="149" t="s">
        <v>197</v>
      </c>
      <c r="B8" s="149"/>
      <c r="C8" s="150"/>
    </row>
    <row r="9" spans="1:3">
      <c r="A9" s="149">
        <v>1</v>
      </c>
      <c r="B9" s="149"/>
      <c r="C9" s="150"/>
    </row>
    <row r="10" spans="1:3">
      <c r="A10" s="149" t="s">
        <v>198</v>
      </c>
      <c r="B10" s="149"/>
      <c r="C10" s="150"/>
    </row>
    <row r="11" spans="1:3">
      <c r="A11" s="149">
        <v>1</v>
      </c>
      <c r="B11" s="149"/>
      <c r="C11" s="150"/>
    </row>
    <row r="12" spans="1:3">
      <c r="A12" s="149" t="s">
        <v>199</v>
      </c>
      <c r="B12" s="149"/>
      <c r="C12" s="150"/>
    </row>
    <row r="13" spans="1:3">
      <c r="A13" s="149">
        <v>1</v>
      </c>
      <c r="B13" s="149"/>
      <c r="C13" s="150"/>
    </row>
    <row r="14" spans="1:3">
      <c r="A14" s="149" t="s">
        <v>200</v>
      </c>
      <c r="B14" s="149"/>
      <c r="C14" s="150"/>
    </row>
    <row r="15" spans="1:3">
      <c r="A15" s="149" t="str">
        <f>Input!I54</f>
        <v>W-1</v>
      </c>
      <c r="B15" s="149"/>
      <c r="C15" s="150"/>
    </row>
    <row r="16" spans="1:3">
      <c r="A16" s="149">
        <v>0</v>
      </c>
      <c r="B16" s="149"/>
      <c r="C16" s="150"/>
    </row>
    <row r="17" spans="1:3">
      <c r="A17" s="149">
        <v>0</v>
      </c>
      <c r="B17" s="149"/>
      <c r="C17" s="150"/>
    </row>
    <row r="18" spans="1:3">
      <c r="A18" s="149">
        <f>Input!N45/2/1000</f>
        <v>0.125</v>
      </c>
      <c r="B18" s="149"/>
      <c r="C18" s="150"/>
    </row>
    <row r="19" spans="1:3">
      <c r="A19" s="149">
        <f>Input!M44/2/1000</f>
        <v>0.125</v>
      </c>
      <c r="B19" s="149"/>
      <c r="C19" s="150"/>
    </row>
    <row r="20" spans="1:3">
      <c r="A20" s="149">
        <v>0</v>
      </c>
      <c r="B20" s="149"/>
      <c r="C20" s="150"/>
    </row>
    <row r="21" spans="1:3">
      <c r="A21" s="149">
        <v>0</v>
      </c>
      <c r="B21" s="149"/>
      <c r="C21" s="150"/>
    </row>
    <row r="22" spans="1:3">
      <c r="A22" s="149">
        <v>1</v>
      </c>
      <c r="B22" s="149"/>
      <c r="C22" s="150"/>
    </row>
    <row r="23" spans="1:3">
      <c r="A23" s="149">
        <v>5</v>
      </c>
      <c r="B23" s="149"/>
      <c r="C23" s="150"/>
    </row>
    <row r="24" spans="1:3">
      <c r="A24" s="151">
        <v>0</v>
      </c>
      <c r="B24" s="151">
        <f>Input!D3</f>
        <v>97</v>
      </c>
      <c r="C24" s="150"/>
    </row>
    <row r="25" spans="1:3">
      <c r="A25" s="151">
        <f>StepTest!D31</f>
        <v>120</v>
      </c>
      <c r="B25" s="151">
        <f>Input!D4</f>
        <v>123</v>
      </c>
      <c r="C25" s="150"/>
    </row>
    <row r="26" spans="1:3">
      <c r="A26" s="151">
        <f>StepTest!D36</f>
        <v>240</v>
      </c>
      <c r="B26" s="151">
        <f>Input!D5</f>
        <v>150.44999999999999</v>
      </c>
      <c r="C26" s="150"/>
    </row>
    <row r="27" spans="1:3">
      <c r="A27" s="151">
        <f>StepTest!D41</f>
        <v>360</v>
      </c>
      <c r="B27" s="151">
        <f>Input!D6</f>
        <v>177</v>
      </c>
      <c r="C27" s="150"/>
    </row>
    <row r="28" spans="1:3">
      <c r="A28" s="151">
        <f>StepTest!D46</f>
        <v>480</v>
      </c>
      <c r="B28" s="151">
        <f>Input!D7</f>
        <v>203.54999999999998</v>
      </c>
      <c r="C28" s="150"/>
    </row>
    <row r="29" spans="1:3">
      <c r="A29" s="149" t="s">
        <v>201</v>
      </c>
      <c r="B29" s="149"/>
      <c r="C29" s="150"/>
    </row>
    <row r="30" spans="1:3">
      <c r="A30" s="149" t="str">
        <f>A15</f>
        <v>W-1</v>
      </c>
      <c r="B30" s="149"/>
      <c r="C30" s="150"/>
    </row>
    <row r="31" spans="1:3">
      <c r="A31" s="152">
        <f>A19</f>
        <v>0.125</v>
      </c>
      <c r="B31" s="149"/>
      <c r="C31" s="150"/>
    </row>
    <row r="32" spans="1:3">
      <c r="A32" s="149">
        <v>0</v>
      </c>
      <c r="B32" s="149"/>
      <c r="C32" s="150"/>
    </row>
    <row r="33" spans="1:3">
      <c r="A33" s="149">
        <v>0</v>
      </c>
      <c r="B33" s="149"/>
      <c r="C33" s="150"/>
    </row>
    <row r="34" spans="1:3">
      <c r="A34" s="151">
        <f>SUM(C35:C134)</f>
        <v>100</v>
      </c>
      <c r="B34" s="149"/>
      <c r="C34" s="150"/>
    </row>
    <row r="35" spans="1:3">
      <c r="A35" s="149">
        <f>Sheet1!A1</f>
        <v>1</v>
      </c>
      <c r="B35" s="150">
        <f>Sheet1!B1</f>
        <v>1.89</v>
      </c>
      <c r="C35" s="151">
        <v>1</v>
      </c>
    </row>
    <row r="36" spans="1:3">
      <c r="A36" s="149">
        <f>Sheet1!A2</f>
        <v>2</v>
      </c>
      <c r="B36" s="150">
        <f>Sheet1!B2</f>
        <v>2.85</v>
      </c>
      <c r="C36" s="151">
        <v>1</v>
      </c>
    </row>
    <row r="37" spans="1:3">
      <c r="A37" s="149">
        <f>Sheet1!A3</f>
        <v>3</v>
      </c>
      <c r="B37" s="150">
        <f>Sheet1!B3</f>
        <v>3.93</v>
      </c>
      <c r="C37" s="151">
        <v>1</v>
      </c>
    </row>
    <row r="38" spans="1:3">
      <c r="A38" s="149">
        <f>Sheet1!A4</f>
        <v>4</v>
      </c>
      <c r="B38" s="150">
        <f>Sheet1!B4</f>
        <v>4.7</v>
      </c>
      <c r="C38" s="151">
        <v>1</v>
      </c>
    </row>
    <row r="39" spans="1:3">
      <c r="A39" s="149">
        <f>Sheet1!A5</f>
        <v>5</v>
      </c>
      <c r="B39" s="150">
        <f>Sheet1!B5</f>
        <v>5.29</v>
      </c>
      <c r="C39" s="151">
        <v>1</v>
      </c>
    </row>
    <row r="40" spans="1:3">
      <c r="A40" s="149">
        <f>Sheet1!A6</f>
        <v>10</v>
      </c>
      <c r="B40" s="150">
        <f>Sheet1!B6</f>
        <v>7.14</v>
      </c>
      <c r="C40" s="151">
        <v>1</v>
      </c>
    </row>
    <row r="41" spans="1:3">
      <c r="A41" s="149">
        <f>Sheet1!A7</f>
        <v>15</v>
      </c>
      <c r="B41" s="150">
        <f>Sheet1!B7</f>
        <v>8.2200000000000006</v>
      </c>
      <c r="C41" s="151">
        <v>1</v>
      </c>
    </row>
    <row r="42" spans="1:3">
      <c r="A42" s="149">
        <f>Sheet1!A8</f>
        <v>20</v>
      </c>
      <c r="B42" s="150">
        <f>Sheet1!B8</f>
        <v>8.99</v>
      </c>
      <c r="C42" s="151">
        <v>1</v>
      </c>
    </row>
    <row r="43" spans="1:3">
      <c r="A43" s="149">
        <f>Sheet1!A9</f>
        <v>25</v>
      </c>
      <c r="B43" s="150">
        <f>Sheet1!B9</f>
        <v>9.58</v>
      </c>
      <c r="C43" s="151">
        <v>1</v>
      </c>
    </row>
    <row r="44" spans="1:3">
      <c r="A44" s="149">
        <f>Sheet1!A10</f>
        <v>30</v>
      </c>
      <c r="B44" s="150">
        <f>Sheet1!B10</f>
        <v>10.07</v>
      </c>
      <c r="C44" s="151">
        <v>1</v>
      </c>
    </row>
    <row r="45" spans="1:3">
      <c r="A45" s="149">
        <f>Sheet1!A11</f>
        <v>35</v>
      </c>
      <c r="B45" s="150">
        <f>Sheet1!B11</f>
        <v>10.48</v>
      </c>
      <c r="C45" s="151">
        <v>1</v>
      </c>
    </row>
    <row r="46" spans="1:3">
      <c r="A46" s="149">
        <f>Sheet1!A12</f>
        <v>40</v>
      </c>
      <c r="B46" s="150">
        <f>Sheet1!B12</f>
        <v>10.84</v>
      </c>
      <c r="C46" s="151">
        <v>1</v>
      </c>
    </row>
    <row r="47" spans="1:3">
      <c r="A47" s="149">
        <f>Sheet1!A13</f>
        <v>45</v>
      </c>
      <c r="B47" s="150">
        <f>Sheet1!B13</f>
        <v>11.15</v>
      </c>
      <c r="C47" s="151">
        <v>1</v>
      </c>
    </row>
    <row r="48" spans="1:3">
      <c r="A48" s="149">
        <f>Sheet1!A14</f>
        <v>50</v>
      </c>
      <c r="B48" s="150">
        <f>Sheet1!B14</f>
        <v>11.43</v>
      </c>
      <c r="C48" s="151">
        <v>1</v>
      </c>
    </row>
    <row r="49" spans="1:3">
      <c r="A49" s="149">
        <f>Sheet1!A15</f>
        <v>55</v>
      </c>
      <c r="B49" s="150">
        <f>Sheet1!B15</f>
        <v>11.68</v>
      </c>
      <c r="C49" s="151">
        <v>1</v>
      </c>
    </row>
    <row r="50" spans="1:3">
      <c r="A50" s="149">
        <f>Sheet1!A16</f>
        <v>60</v>
      </c>
      <c r="B50" s="150">
        <f>Sheet1!B16</f>
        <v>11.92</v>
      </c>
      <c r="C50" s="151">
        <v>1</v>
      </c>
    </row>
    <row r="51" spans="1:3">
      <c r="A51" s="149">
        <f>Sheet1!A17</f>
        <v>75</v>
      </c>
      <c r="B51" s="150">
        <f>Sheet1!B17</f>
        <v>12.51</v>
      </c>
      <c r="C51" s="151">
        <v>1</v>
      </c>
    </row>
    <row r="52" spans="1:3">
      <c r="A52" s="149">
        <f>Sheet1!A18</f>
        <v>90</v>
      </c>
      <c r="B52" s="150">
        <f>Sheet1!B18</f>
        <v>13</v>
      </c>
      <c r="C52" s="151">
        <v>1</v>
      </c>
    </row>
    <row r="53" spans="1:3">
      <c r="A53" s="149">
        <f>Sheet1!A19</f>
        <v>105</v>
      </c>
      <c r="B53" s="150">
        <f>Sheet1!B19</f>
        <v>13.41</v>
      </c>
      <c r="C53" s="151">
        <v>1</v>
      </c>
    </row>
    <row r="54" spans="1:3">
      <c r="A54" s="149">
        <f>Sheet1!A20</f>
        <v>120</v>
      </c>
      <c r="B54" s="150">
        <f>Sheet1!B20</f>
        <v>13.77</v>
      </c>
      <c r="C54" s="151">
        <v>1</v>
      </c>
    </row>
    <row r="55" spans="1:3">
      <c r="A55" s="149">
        <f>Sheet1!A21</f>
        <v>121</v>
      </c>
      <c r="B55" s="150">
        <f>Sheet1!B21</f>
        <v>13.93</v>
      </c>
      <c r="C55" s="151">
        <v>1</v>
      </c>
    </row>
    <row r="56" spans="1:3">
      <c r="A56" s="149">
        <f>Sheet1!A22</f>
        <v>122</v>
      </c>
      <c r="B56" s="150">
        <f>Sheet1!B22</f>
        <v>14.08</v>
      </c>
      <c r="C56" s="151">
        <v>1</v>
      </c>
    </row>
    <row r="57" spans="1:3">
      <c r="A57" s="149">
        <f>Sheet1!A23</f>
        <v>123</v>
      </c>
      <c r="B57" s="150">
        <f>Sheet1!B23</f>
        <v>14.22</v>
      </c>
      <c r="C57" s="151">
        <v>1</v>
      </c>
    </row>
    <row r="58" spans="1:3">
      <c r="A58" s="149">
        <f>Sheet1!A24</f>
        <v>124</v>
      </c>
      <c r="B58" s="150">
        <f>Sheet1!B24</f>
        <v>14.350000000000001</v>
      </c>
      <c r="C58" s="151">
        <v>1</v>
      </c>
    </row>
    <row r="59" spans="1:3">
      <c r="A59" s="149">
        <f>Sheet1!A25</f>
        <v>125</v>
      </c>
      <c r="B59" s="150">
        <f>Sheet1!B25</f>
        <v>14.480000000000002</v>
      </c>
      <c r="C59" s="151">
        <v>1</v>
      </c>
    </row>
    <row r="60" spans="1:3">
      <c r="A60" s="149">
        <f>Sheet1!A26</f>
        <v>130</v>
      </c>
      <c r="B60" s="150">
        <f>Sheet1!B26</f>
        <v>16.52</v>
      </c>
      <c r="C60" s="151">
        <v>1</v>
      </c>
    </row>
    <row r="61" spans="1:3">
      <c r="A61" s="149">
        <f>Sheet1!A27</f>
        <v>135</v>
      </c>
      <c r="B61" s="150">
        <f>Sheet1!B27</f>
        <v>16.63</v>
      </c>
      <c r="C61" s="151">
        <v>1</v>
      </c>
    </row>
    <row r="62" spans="1:3">
      <c r="A62" s="149">
        <f>Sheet1!A28</f>
        <v>140</v>
      </c>
      <c r="B62" s="150">
        <f>Sheet1!B28</f>
        <v>16.98</v>
      </c>
      <c r="C62" s="151">
        <v>1</v>
      </c>
    </row>
    <row r="63" spans="1:3">
      <c r="A63" s="149">
        <f>Sheet1!A29</f>
        <v>145</v>
      </c>
      <c r="B63" s="150">
        <f>Sheet1!B29</f>
        <v>17.080000000000002</v>
      </c>
      <c r="C63" s="151">
        <v>1</v>
      </c>
    </row>
    <row r="64" spans="1:3">
      <c r="A64" s="149">
        <f>Sheet1!A30</f>
        <v>150</v>
      </c>
      <c r="B64" s="150">
        <f>Sheet1!B30</f>
        <v>17.440000000000001</v>
      </c>
      <c r="C64" s="151">
        <v>1</v>
      </c>
    </row>
    <row r="65" spans="1:3">
      <c r="A65" s="149">
        <f>Sheet1!A31</f>
        <v>155</v>
      </c>
      <c r="B65" s="150">
        <f>Sheet1!B31</f>
        <v>17.5</v>
      </c>
      <c r="C65" s="151">
        <v>1</v>
      </c>
    </row>
    <row r="66" spans="1:3">
      <c r="A66" s="149">
        <f>Sheet1!A32</f>
        <v>160</v>
      </c>
      <c r="B66" s="150">
        <f>Sheet1!B32</f>
        <v>17.55</v>
      </c>
      <c r="C66" s="151">
        <v>1</v>
      </c>
    </row>
    <row r="67" spans="1:3">
      <c r="A67" s="149">
        <f>Sheet1!A33</f>
        <v>165</v>
      </c>
      <c r="B67" s="150">
        <f>Sheet1!B33</f>
        <v>17.59</v>
      </c>
      <c r="C67" s="151">
        <v>1</v>
      </c>
    </row>
    <row r="68" spans="1:3">
      <c r="A68" s="149">
        <f>Sheet1!A34</f>
        <v>170</v>
      </c>
      <c r="B68" s="150">
        <f>Sheet1!B34</f>
        <v>17.62</v>
      </c>
      <c r="C68" s="151">
        <v>1</v>
      </c>
    </row>
    <row r="69" spans="1:3">
      <c r="A69" s="149">
        <f>Sheet1!A35</f>
        <v>175</v>
      </c>
      <c r="B69" s="150">
        <f>Sheet1!B35</f>
        <v>17.64</v>
      </c>
      <c r="C69" s="151">
        <v>1</v>
      </c>
    </row>
    <row r="70" spans="1:3">
      <c r="A70" s="149">
        <f>Sheet1!A36</f>
        <v>180</v>
      </c>
      <c r="B70" s="150">
        <f>Sheet1!B36</f>
        <v>17.899999999999999</v>
      </c>
      <c r="C70" s="151">
        <v>1</v>
      </c>
    </row>
    <row r="71" spans="1:3">
      <c r="A71" s="149">
        <f>Sheet1!A37</f>
        <v>195</v>
      </c>
      <c r="B71" s="150">
        <f>Sheet1!B37</f>
        <v>17.97</v>
      </c>
      <c r="C71" s="151">
        <v>1</v>
      </c>
    </row>
    <row r="72" spans="1:3">
      <c r="A72" s="149">
        <f>Sheet1!A38</f>
        <v>210</v>
      </c>
      <c r="B72" s="150">
        <f>Sheet1!B38</f>
        <v>18.029999999999998</v>
      </c>
      <c r="C72" s="151">
        <v>1</v>
      </c>
    </row>
    <row r="73" spans="1:3">
      <c r="A73" s="149">
        <f>Sheet1!A39</f>
        <v>225</v>
      </c>
      <c r="B73" s="150">
        <f>Sheet1!B39</f>
        <v>18.079999999999998</v>
      </c>
      <c r="C73" s="151">
        <v>1</v>
      </c>
    </row>
    <row r="74" spans="1:3">
      <c r="A74" s="149">
        <f>Sheet1!A40</f>
        <v>240</v>
      </c>
      <c r="B74" s="150">
        <f>Sheet1!B40</f>
        <v>18.36</v>
      </c>
      <c r="C74" s="151">
        <v>1</v>
      </c>
    </row>
    <row r="75" spans="1:3">
      <c r="A75" s="149">
        <f>Sheet1!A41</f>
        <v>241</v>
      </c>
      <c r="B75" s="150">
        <f>Sheet1!B41</f>
        <v>18.54</v>
      </c>
      <c r="C75" s="151">
        <v>1</v>
      </c>
    </row>
    <row r="76" spans="1:3">
      <c r="A76" s="149">
        <f>Sheet1!A42</f>
        <v>242</v>
      </c>
      <c r="B76" s="150">
        <f>Sheet1!B42</f>
        <v>18.7</v>
      </c>
      <c r="C76" s="151">
        <v>1</v>
      </c>
    </row>
    <row r="77" spans="1:3">
      <c r="A77" s="149">
        <f>Sheet1!A43</f>
        <v>243</v>
      </c>
      <c r="B77" s="150">
        <f>Sheet1!B43</f>
        <v>18.849999999999998</v>
      </c>
      <c r="C77" s="151">
        <v>1</v>
      </c>
    </row>
    <row r="78" spans="1:3">
      <c r="A78" s="149">
        <f>Sheet1!A44</f>
        <v>244</v>
      </c>
      <c r="B78" s="150">
        <f>Sheet1!B44</f>
        <v>18.989999999999998</v>
      </c>
      <c r="C78" s="151">
        <v>1</v>
      </c>
    </row>
    <row r="79" spans="1:3">
      <c r="A79" s="149">
        <f>Sheet1!A45</f>
        <v>245</v>
      </c>
      <c r="B79" s="150">
        <f>Sheet1!B45</f>
        <v>19.119999999999997</v>
      </c>
      <c r="C79" s="151">
        <v>1</v>
      </c>
    </row>
    <row r="80" spans="1:3">
      <c r="A80" s="149">
        <f>Sheet1!A46</f>
        <v>250</v>
      </c>
      <c r="B80" s="150">
        <f>Sheet1!B46</f>
        <v>21.45</v>
      </c>
      <c r="C80" s="151">
        <v>1</v>
      </c>
    </row>
    <row r="81" spans="1:3">
      <c r="A81" s="149">
        <f>Sheet1!A47</f>
        <v>255</v>
      </c>
      <c r="B81" s="150">
        <f>Sheet1!B47</f>
        <v>21.56</v>
      </c>
      <c r="C81" s="151">
        <v>1</v>
      </c>
    </row>
    <row r="82" spans="1:3">
      <c r="A82" s="149">
        <f>Sheet1!A48</f>
        <v>260</v>
      </c>
      <c r="B82" s="150">
        <f>Sheet1!B48</f>
        <v>21.97</v>
      </c>
      <c r="C82" s="151">
        <v>1</v>
      </c>
    </row>
    <row r="83" spans="1:3">
      <c r="A83" s="149">
        <f>Sheet1!A49</f>
        <v>265</v>
      </c>
      <c r="B83" s="150">
        <f>Sheet1!B49</f>
        <v>22.08</v>
      </c>
      <c r="C83" s="151">
        <v>1</v>
      </c>
    </row>
    <row r="84" spans="1:3">
      <c r="A84" s="149">
        <f>Sheet1!A50</f>
        <v>270</v>
      </c>
      <c r="B84" s="150">
        <f>Sheet1!B50</f>
        <v>22.48</v>
      </c>
      <c r="C84" s="151">
        <v>1</v>
      </c>
    </row>
    <row r="85" spans="1:3">
      <c r="A85" s="149">
        <f>Sheet1!A51</f>
        <v>275</v>
      </c>
      <c r="B85" s="150">
        <f>Sheet1!B51</f>
        <v>22.55</v>
      </c>
      <c r="C85" s="151">
        <v>1</v>
      </c>
    </row>
    <row r="86" spans="1:3">
      <c r="A86" s="149">
        <f>Sheet1!A52</f>
        <v>280</v>
      </c>
      <c r="B86" s="150">
        <f>Sheet1!B52</f>
        <v>22.6</v>
      </c>
      <c r="C86" s="151">
        <v>1</v>
      </c>
    </row>
    <row r="87" spans="1:3">
      <c r="A87" s="149">
        <f>Sheet1!A53</f>
        <v>285</v>
      </c>
      <c r="B87" s="150">
        <f>Sheet1!B53</f>
        <v>22.64</v>
      </c>
      <c r="C87" s="151">
        <v>1</v>
      </c>
    </row>
    <row r="88" spans="1:3">
      <c r="A88" s="149">
        <f>Sheet1!A54</f>
        <v>290</v>
      </c>
      <c r="B88" s="150">
        <f>Sheet1!B54</f>
        <v>22.67</v>
      </c>
      <c r="C88" s="151">
        <v>1</v>
      </c>
    </row>
    <row r="89" spans="1:3">
      <c r="A89" s="149">
        <f>Sheet1!A55</f>
        <v>295</v>
      </c>
      <c r="B89" s="150">
        <f>Sheet1!B55</f>
        <v>22.69</v>
      </c>
      <c r="C89" s="151">
        <v>1</v>
      </c>
    </row>
    <row r="90" spans="1:3">
      <c r="A90" s="149">
        <f>Sheet1!A56</f>
        <v>300</v>
      </c>
      <c r="B90" s="150">
        <f>Sheet1!B56</f>
        <v>23</v>
      </c>
      <c r="C90" s="151">
        <v>1</v>
      </c>
    </row>
    <row r="91" spans="1:3">
      <c r="A91" s="149">
        <f>Sheet1!A57</f>
        <v>315</v>
      </c>
      <c r="B91" s="150">
        <f>Sheet1!B57</f>
        <v>23.08</v>
      </c>
      <c r="C91" s="151">
        <v>1</v>
      </c>
    </row>
    <row r="92" spans="1:3">
      <c r="A92" s="149">
        <f>Sheet1!A58</f>
        <v>330</v>
      </c>
      <c r="B92" s="150">
        <f>Sheet1!B58</f>
        <v>23.139999999999997</v>
      </c>
      <c r="C92" s="151">
        <v>1</v>
      </c>
    </row>
    <row r="93" spans="1:3">
      <c r="A93" s="149">
        <f>Sheet1!A59</f>
        <v>345</v>
      </c>
      <c r="B93" s="150">
        <f>Sheet1!B59</f>
        <v>23.189999999999998</v>
      </c>
      <c r="C93" s="151">
        <v>1</v>
      </c>
    </row>
    <row r="94" spans="1:3">
      <c r="A94" s="149">
        <f>Sheet1!A60</f>
        <v>360</v>
      </c>
      <c r="B94" s="150">
        <f>Sheet1!B60</f>
        <v>23.52</v>
      </c>
      <c r="C94" s="151">
        <v>1</v>
      </c>
    </row>
    <row r="95" spans="1:3">
      <c r="A95" s="149">
        <f>Sheet1!A61</f>
        <v>361</v>
      </c>
      <c r="B95" s="150">
        <f>Sheet1!B61</f>
        <v>23.71</v>
      </c>
      <c r="C95" s="151">
        <v>1</v>
      </c>
    </row>
    <row r="96" spans="1:3">
      <c r="A96" s="149">
        <f>Sheet1!A62</f>
        <v>362</v>
      </c>
      <c r="B96" s="150">
        <f>Sheet1!B62</f>
        <v>23.880000000000003</v>
      </c>
      <c r="C96" s="151">
        <v>1</v>
      </c>
    </row>
    <row r="97" spans="1:3">
      <c r="A97" s="149">
        <f>Sheet1!A63</f>
        <v>363</v>
      </c>
      <c r="B97" s="150">
        <f>Sheet1!B63</f>
        <v>24.040000000000003</v>
      </c>
      <c r="C97" s="151">
        <v>1</v>
      </c>
    </row>
    <row r="98" spans="1:3">
      <c r="A98" s="149">
        <f>Sheet1!A64</f>
        <v>364</v>
      </c>
      <c r="B98" s="150">
        <f>Sheet1!B64</f>
        <v>24.19</v>
      </c>
      <c r="C98" s="151">
        <v>1</v>
      </c>
    </row>
    <row r="99" spans="1:3">
      <c r="A99" s="149">
        <f>Sheet1!A65</f>
        <v>365</v>
      </c>
      <c r="B99" s="150">
        <f>Sheet1!B65</f>
        <v>24.330000000000002</v>
      </c>
      <c r="C99" s="151">
        <v>1</v>
      </c>
    </row>
    <row r="100" spans="1:3">
      <c r="A100" s="149">
        <f>Sheet1!A66</f>
        <v>370</v>
      </c>
      <c r="B100" s="150">
        <f>Sheet1!B66</f>
        <v>26.97</v>
      </c>
      <c r="C100" s="151">
        <v>1</v>
      </c>
    </row>
    <row r="101" spans="1:3">
      <c r="A101" s="149">
        <f>Sheet1!A67</f>
        <v>375</v>
      </c>
      <c r="B101" s="150">
        <f>Sheet1!B67</f>
        <v>27.09</v>
      </c>
      <c r="C101" s="151">
        <v>1</v>
      </c>
    </row>
    <row r="102" spans="1:3">
      <c r="A102" s="149">
        <f>Sheet1!A68</f>
        <v>380</v>
      </c>
      <c r="B102" s="150">
        <f>Sheet1!B68</f>
        <v>27.55</v>
      </c>
      <c r="C102" s="151">
        <v>1</v>
      </c>
    </row>
    <row r="103" spans="1:3">
      <c r="A103" s="149">
        <f>Sheet1!A69</f>
        <v>385</v>
      </c>
      <c r="B103" s="150">
        <f>Sheet1!B69</f>
        <v>27.67</v>
      </c>
      <c r="C103" s="151">
        <v>1</v>
      </c>
    </row>
    <row r="104" spans="1:3">
      <c r="A104" s="149">
        <f>Sheet1!A70</f>
        <v>390</v>
      </c>
      <c r="B104" s="150">
        <f>Sheet1!B70</f>
        <v>28.12</v>
      </c>
      <c r="C104" s="151">
        <v>1</v>
      </c>
    </row>
    <row r="105" spans="1:3">
      <c r="A105" s="149">
        <f>Sheet1!A71</f>
        <v>395</v>
      </c>
      <c r="B105" s="150">
        <f>Sheet1!B71</f>
        <v>28.19</v>
      </c>
      <c r="C105" s="151">
        <v>1</v>
      </c>
    </row>
    <row r="106" spans="1:3">
      <c r="A106" s="149">
        <f>Sheet1!A72</f>
        <v>400</v>
      </c>
      <c r="B106" s="150">
        <f>Sheet1!B72</f>
        <v>28.240000000000002</v>
      </c>
      <c r="C106" s="151">
        <v>1</v>
      </c>
    </row>
    <row r="107" spans="1:3">
      <c r="A107" s="149">
        <f>Sheet1!A73</f>
        <v>405</v>
      </c>
      <c r="B107" s="150">
        <f>Sheet1!B73</f>
        <v>28.28</v>
      </c>
      <c r="C107" s="151">
        <v>1</v>
      </c>
    </row>
    <row r="108" spans="1:3">
      <c r="A108" s="149">
        <f>Sheet1!A74</f>
        <v>410</v>
      </c>
      <c r="B108" s="150">
        <f>Sheet1!B74</f>
        <v>28.310000000000002</v>
      </c>
      <c r="C108" s="151">
        <v>1</v>
      </c>
    </row>
    <row r="109" spans="1:3">
      <c r="A109" s="149">
        <f>Sheet1!A75</f>
        <v>415</v>
      </c>
      <c r="B109" s="150">
        <f>Sheet1!B75</f>
        <v>28.340000000000003</v>
      </c>
      <c r="C109" s="151">
        <v>1</v>
      </c>
    </row>
    <row r="110" spans="1:3">
      <c r="A110" s="149">
        <f>Sheet1!A76</f>
        <v>420</v>
      </c>
      <c r="B110" s="150">
        <f>Sheet1!B76</f>
        <v>28.7</v>
      </c>
      <c r="C110" s="151">
        <v>1</v>
      </c>
    </row>
    <row r="111" spans="1:3">
      <c r="A111" s="149">
        <f>Sheet1!A77</f>
        <v>435</v>
      </c>
      <c r="B111" s="150">
        <f>Sheet1!B77</f>
        <v>28.79</v>
      </c>
      <c r="C111" s="151">
        <v>1</v>
      </c>
    </row>
    <row r="112" spans="1:3">
      <c r="A112" s="149">
        <f>Sheet1!A78</f>
        <v>450</v>
      </c>
      <c r="B112" s="150">
        <f>Sheet1!B78</f>
        <v>28.86</v>
      </c>
      <c r="C112" s="151">
        <v>1</v>
      </c>
    </row>
    <row r="113" spans="1:3">
      <c r="A113" s="149">
        <f>Sheet1!A79</f>
        <v>465</v>
      </c>
      <c r="B113" s="150">
        <f>Sheet1!B79</f>
        <v>28.91</v>
      </c>
      <c r="C113" s="151">
        <v>1</v>
      </c>
    </row>
    <row r="114" spans="1:3">
      <c r="A114" s="149">
        <f>Sheet1!A80</f>
        <v>480</v>
      </c>
      <c r="B114" s="150">
        <f>Sheet1!B80</f>
        <v>29.28</v>
      </c>
      <c r="C114" s="151">
        <v>1</v>
      </c>
    </row>
    <row r="115" spans="1:3">
      <c r="A115" s="149">
        <f>Sheet1!A81</f>
        <v>481</v>
      </c>
      <c r="B115" s="150">
        <f>Sheet1!B81</f>
        <v>29.490000000000002</v>
      </c>
      <c r="C115" s="151">
        <v>1</v>
      </c>
    </row>
    <row r="116" spans="1:3">
      <c r="A116" s="149">
        <f>Sheet1!A82</f>
        <v>482</v>
      </c>
      <c r="B116" s="150">
        <f>Sheet1!B82</f>
        <v>29.680000000000003</v>
      </c>
      <c r="C116" s="151">
        <v>1</v>
      </c>
    </row>
    <row r="117" spans="1:3">
      <c r="A117" s="149">
        <f>Sheet1!A83</f>
        <v>483</v>
      </c>
      <c r="B117" s="150">
        <f>Sheet1!B83</f>
        <v>29.850000000000005</v>
      </c>
      <c r="C117" s="151">
        <v>1</v>
      </c>
    </row>
    <row r="118" spans="1:3">
      <c r="A118" s="149">
        <f>Sheet1!A84</f>
        <v>484</v>
      </c>
      <c r="B118" s="150">
        <f>Sheet1!B84</f>
        <v>30.010000000000005</v>
      </c>
      <c r="C118" s="151">
        <v>1</v>
      </c>
    </row>
    <row r="119" spans="1:3">
      <c r="A119" s="149">
        <f>Sheet1!A85</f>
        <v>485</v>
      </c>
      <c r="B119" s="150">
        <f>Sheet1!B85</f>
        <v>30.150000000000006</v>
      </c>
      <c r="C119" s="151">
        <v>1</v>
      </c>
    </row>
    <row r="120" spans="1:3">
      <c r="A120" s="149">
        <f>Sheet1!A86</f>
        <v>490</v>
      </c>
      <c r="B120" s="150">
        <f>Sheet1!B86</f>
        <v>32.79</v>
      </c>
      <c r="C120" s="151">
        <v>1</v>
      </c>
    </row>
    <row r="121" spans="1:3">
      <c r="A121" s="149">
        <f>Sheet1!A87</f>
        <v>495</v>
      </c>
      <c r="B121" s="150">
        <f>Sheet1!B87</f>
        <v>33.1</v>
      </c>
      <c r="C121" s="151">
        <v>1</v>
      </c>
    </row>
    <row r="122" spans="1:3">
      <c r="A122" s="149">
        <f>Sheet1!A88</f>
        <v>500</v>
      </c>
      <c r="B122" s="150">
        <f>Sheet1!B88</f>
        <v>34.1</v>
      </c>
      <c r="C122" s="151">
        <v>1</v>
      </c>
    </row>
    <row r="123" spans="1:3">
      <c r="A123" s="149">
        <f>Sheet1!A89</f>
        <v>505</v>
      </c>
      <c r="B123" s="150">
        <f>Sheet1!B89</f>
        <v>34.4</v>
      </c>
      <c r="C123" s="151">
        <v>1</v>
      </c>
    </row>
    <row r="124" spans="1:3">
      <c r="A124" s="149">
        <f>Sheet1!A90</f>
        <v>510</v>
      </c>
      <c r="B124" s="150">
        <f>Sheet1!B90</f>
        <v>35.42</v>
      </c>
      <c r="C124" s="151">
        <v>1</v>
      </c>
    </row>
    <row r="125" spans="1:3">
      <c r="A125" s="149">
        <f>Sheet1!A91</f>
        <v>515</v>
      </c>
      <c r="B125" s="150">
        <f>Sheet1!B91</f>
        <v>35.57</v>
      </c>
      <c r="C125" s="151">
        <v>1</v>
      </c>
    </row>
    <row r="126" spans="1:3">
      <c r="A126" s="149">
        <f>Sheet1!A92</f>
        <v>520</v>
      </c>
      <c r="B126" s="150">
        <f>Sheet1!B92</f>
        <v>35.700000000000003</v>
      </c>
      <c r="C126" s="151">
        <v>1</v>
      </c>
    </row>
    <row r="127" spans="1:3">
      <c r="A127" s="149">
        <f>Sheet1!A93</f>
        <v>525</v>
      </c>
      <c r="B127" s="150">
        <f>Sheet1!B93</f>
        <v>35.81</v>
      </c>
      <c r="C127" s="151">
        <v>1</v>
      </c>
    </row>
    <row r="128" spans="1:3">
      <c r="A128" s="149">
        <f>Sheet1!A94</f>
        <v>530</v>
      </c>
      <c r="B128" s="150">
        <f>Sheet1!B94</f>
        <v>35.89</v>
      </c>
      <c r="C128" s="151">
        <v>1</v>
      </c>
    </row>
    <row r="129" spans="1:3">
      <c r="A129" s="149">
        <f>Sheet1!A95</f>
        <v>535</v>
      </c>
      <c r="B129" s="150">
        <f>Sheet1!B95</f>
        <v>35.96</v>
      </c>
      <c r="C129" s="151">
        <v>1</v>
      </c>
    </row>
    <row r="130" spans="1:3">
      <c r="A130" s="149">
        <f>Sheet1!A96</f>
        <v>540</v>
      </c>
      <c r="B130" s="150">
        <f>Sheet1!B96</f>
        <v>36.74</v>
      </c>
      <c r="C130" s="151">
        <v>1</v>
      </c>
    </row>
    <row r="131" spans="1:3">
      <c r="A131" s="149">
        <f>Sheet1!A97</f>
        <v>555</v>
      </c>
      <c r="B131" s="150">
        <f>Sheet1!B97</f>
        <v>36.93</v>
      </c>
      <c r="C131" s="151">
        <v>1</v>
      </c>
    </row>
    <row r="132" spans="1:3">
      <c r="A132" s="149">
        <f>Sheet1!A98</f>
        <v>570</v>
      </c>
      <c r="B132" s="150">
        <f>Sheet1!B98</f>
        <v>37.089999999999996</v>
      </c>
      <c r="C132" s="151">
        <v>1</v>
      </c>
    </row>
    <row r="133" spans="1:3">
      <c r="A133" s="149">
        <f>Sheet1!A99</f>
        <v>585</v>
      </c>
      <c r="B133" s="150">
        <f>Sheet1!B99</f>
        <v>37.229999999999997</v>
      </c>
      <c r="C133" s="151">
        <v>1</v>
      </c>
    </row>
    <row r="134" spans="1:3">
      <c r="A134" s="149">
        <f>Sheet1!A100</f>
        <v>600</v>
      </c>
      <c r="B134" s="150">
        <f>Sheet1!B100</f>
        <v>38.06</v>
      </c>
      <c r="C134" s="151">
        <v>1</v>
      </c>
    </row>
    <row r="135" spans="1:3">
      <c r="A135" s="149" t="s">
        <v>202</v>
      </c>
      <c r="B135" s="150"/>
      <c r="C135" s="150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6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workbookViewId="0">
      <selection activeCell="I50" sqref="I50"/>
    </sheetView>
  </sheetViews>
  <sheetFormatPr defaultColWidth="9" defaultRowHeight="16.5"/>
  <cols>
    <col min="1" max="1" width="9" style="91"/>
    <col min="2" max="3" width="9" style="92"/>
    <col min="4" max="16384" width="9" style="91"/>
  </cols>
  <sheetData>
    <row r="1" spans="1:3">
      <c r="B1" s="91"/>
    </row>
    <row r="2" spans="1:3">
      <c r="A2" s="149" t="s">
        <v>195</v>
      </c>
      <c r="B2" s="149"/>
      <c r="C2" s="150"/>
    </row>
    <row r="3" spans="1:3">
      <c r="A3" s="149">
        <v>2</v>
      </c>
      <c r="B3" s="149"/>
      <c r="C3" s="150"/>
    </row>
    <row r="4" spans="1:3">
      <c r="A4" s="149">
        <v>1</v>
      </c>
      <c r="B4" s="149"/>
      <c r="C4" s="150"/>
    </row>
    <row r="5" spans="1:3">
      <c r="A5" s="149">
        <v>6</v>
      </c>
      <c r="B5" s="149"/>
      <c r="C5" s="150"/>
    </row>
    <row r="6" spans="1:3">
      <c r="A6" s="149" t="s">
        <v>196</v>
      </c>
      <c r="B6" s="149"/>
      <c r="C6" s="150"/>
    </row>
    <row r="7" spans="1:3">
      <c r="A7" s="149">
        <f>Step.Select!A7</f>
        <v>75</v>
      </c>
      <c r="B7" s="149"/>
      <c r="C7" s="150"/>
    </row>
    <row r="8" spans="1:3">
      <c r="A8" s="149" t="s">
        <v>197</v>
      </c>
      <c r="B8" s="149"/>
      <c r="C8" s="150"/>
    </row>
    <row r="9" spans="1:3">
      <c r="A9" s="149">
        <v>1</v>
      </c>
      <c r="B9" s="149"/>
      <c r="C9" s="150"/>
    </row>
    <row r="10" spans="1:3">
      <c r="A10" s="149" t="s">
        <v>198</v>
      </c>
      <c r="B10" s="149"/>
      <c r="C10" s="150"/>
    </row>
    <row r="11" spans="1:3">
      <c r="A11" s="149">
        <v>1</v>
      </c>
      <c r="B11" s="149"/>
      <c r="C11" s="150"/>
    </row>
    <row r="12" spans="1:3">
      <c r="A12" s="149" t="s">
        <v>199</v>
      </c>
      <c r="B12" s="149"/>
      <c r="C12" s="150"/>
    </row>
    <row r="13" spans="1:3">
      <c r="A13" s="149">
        <v>1</v>
      </c>
      <c r="B13" s="149"/>
      <c r="C13" s="150"/>
    </row>
    <row r="14" spans="1:3">
      <c r="A14" s="149" t="s">
        <v>200</v>
      </c>
      <c r="B14" s="149"/>
      <c r="C14" s="150"/>
    </row>
    <row r="15" spans="1:3">
      <c r="A15" s="149" t="str">
        <f>Input!I54</f>
        <v>W-1</v>
      </c>
      <c r="B15" s="149"/>
      <c r="C15" s="150"/>
    </row>
    <row r="16" spans="1:3">
      <c r="A16" s="149">
        <v>0</v>
      </c>
      <c r="B16" s="149"/>
      <c r="C16" s="150"/>
    </row>
    <row r="17" spans="1:3">
      <c r="A17" s="149">
        <v>0</v>
      </c>
      <c r="B17" s="149"/>
      <c r="C17" s="150"/>
    </row>
    <row r="18" spans="1:3">
      <c r="A18" s="149">
        <f>Step.Select!A18</f>
        <v>0.125</v>
      </c>
      <c r="B18" s="149"/>
      <c r="C18" s="150"/>
    </row>
    <row r="19" spans="1:3">
      <c r="A19" s="149">
        <f>Step.Select!A19</f>
        <v>0.125</v>
      </c>
      <c r="B19" s="149"/>
      <c r="C19" s="150"/>
    </row>
    <row r="20" spans="1:3">
      <c r="A20" s="149">
        <v>0</v>
      </c>
      <c r="B20" s="149"/>
      <c r="C20" s="150"/>
    </row>
    <row r="21" spans="1:3">
      <c r="A21" s="149">
        <v>0</v>
      </c>
      <c r="B21" s="149"/>
      <c r="C21" s="150"/>
    </row>
    <row r="22" spans="1:3">
      <c r="A22" s="149">
        <v>1</v>
      </c>
      <c r="B22" s="149"/>
      <c r="C22" s="150"/>
    </row>
    <row r="23" spans="1:3">
      <c r="A23" s="149">
        <v>1</v>
      </c>
      <c r="B23" s="149"/>
      <c r="C23" s="150"/>
    </row>
    <row r="24" spans="1:3">
      <c r="A24" s="151">
        <v>0</v>
      </c>
      <c r="B24" s="151">
        <f>Input!M51</f>
        <v>160</v>
      </c>
      <c r="C24" s="150"/>
    </row>
    <row r="25" spans="1:3">
      <c r="A25" s="149" t="s">
        <v>201</v>
      </c>
      <c r="B25" s="149"/>
      <c r="C25" s="150"/>
    </row>
    <row r="26" spans="1:3">
      <c r="A26" s="149" t="str">
        <f>A15</f>
        <v>W-1</v>
      </c>
      <c r="B26" s="149"/>
      <c r="C26" s="150"/>
    </row>
    <row r="27" spans="1:3">
      <c r="A27" s="152">
        <f>SkinFactor!C8</f>
        <v>2.339</v>
      </c>
      <c r="B27" s="149"/>
      <c r="C27" s="150"/>
    </row>
    <row r="28" spans="1:3">
      <c r="A28" s="149">
        <v>0</v>
      </c>
      <c r="B28" s="149"/>
      <c r="C28" s="150"/>
    </row>
    <row r="29" spans="1:3">
      <c r="A29" s="149">
        <v>0</v>
      </c>
      <c r="B29" s="149"/>
      <c r="C29" s="150"/>
    </row>
    <row r="30" spans="1:3">
      <c r="A30" s="151">
        <f>SUM(C31:C98)</f>
        <v>68</v>
      </c>
      <c r="B30" s="149"/>
      <c r="C30" s="150"/>
    </row>
    <row r="31" spans="1:3">
      <c r="A31" s="149">
        <f>LongTest!D10</f>
        <v>1</v>
      </c>
      <c r="B31" s="153">
        <f>LongTest!G10</f>
        <v>2.2682757361067729</v>
      </c>
      <c r="C31" s="151">
        <v>1</v>
      </c>
    </row>
    <row r="32" spans="1:3">
      <c r="A32" s="149">
        <f>LongTest!D11</f>
        <v>2</v>
      </c>
      <c r="B32" s="153">
        <f>LongTest!G11</f>
        <v>4.2999934923807039</v>
      </c>
      <c r="C32" s="151">
        <v>1</v>
      </c>
    </row>
    <row r="33" spans="1:3">
      <c r="A33" s="149">
        <f>LongTest!D12</f>
        <v>3</v>
      </c>
      <c r="B33" s="153">
        <f>LongTest!G12</f>
        <v>5.4884721918502812</v>
      </c>
      <c r="C33" s="151">
        <v>1</v>
      </c>
    </row>
    <row r="34" spans="1:3">
      <c r="A34" s="149">
        <f>LongTest!D13</f>
        <v>4</v>
      </c>
      <c r="B34" s="153">
        <f>LongTest!G13</f>
        <v>6.331711248654635</v>
      </c>
      <c r="C34" s="151">
        <v>1</v>
      </c>
    </row>
    <row r="35" spans="1:3">
      <c r="A35" s="149">
        <f>LongTest!D14</f>
        <v>5</v>
      </c>
      <c r="B35" s="153">
        <f>LongTest!G14</f>
        <v>6.985778275280726</v>
      </c>
      <c r="C35" s="151">
        <v>1</v>
      </c>
    </row>
    <row r="36" spans="1:3">
      <c r="A36" s="149">
        <f>LongTest!D15</f>
        <v>10</v>
      </c>
      <c r="B36" s="153">
        <f>LongTest!G15</f>
        <v>9.0174960315546606</v>
      </c>
      <c r="C36" s="151">
        <v>1</v>
      </c>
    </row>
    <row r="37" spans="1:3">
      <c r="A37" s="149">
        <f>LongTest!D16</f>
        <v>15</v>
      </c>
      <c r="B37" s="153">
        <f>LongTest!G16</f>
        <v>10.205974731024234</v>
      </c>
      <c r="C37" s="151">
        <v>1</v>
      </c>
    </row>
    <row r="38" spans="1:3">
      <c r="A38" s="149">
        <f>LongTest!D17</f>
        <v>20</v>
      </c>
      <c r="B38" s="153">
        <f>LongTest!G17</f>
        <v>11.049213787828592</v>
      </c>
      <c r="C38" s="151">
        <v>1</v>
      </c>
    </row>
    <row r="39" spans="1:3">
      <c r="A39" s="149">
        <f>LongTest!D18</f>
        <v>25</v>
      </c>
      <c r="B39" s="153">
        <f>LongTest!G18</f>
        <v>11.703280814454683</v>
      </c>
      <c r="C39" s="151">
        <v>1</v>
      </c>
    </row>
    <row r="40" spans="1:3">
      <c r="A40" s="149">
        <f>LongTest!D19</f>
        <v>30</v>
      </c>
      <c r="B40" s="153">
        <f>LongTest!G19</f>
        <v>12.237692487298165</v>
      </c>
      <c r="C40" s="151">
        <v>1</v>
      </c>
    </row>
    <row r="41" spans="1:3">
      <c r="A41" s="149">
        <f>LongTest!D20</f>
        <v>35</v>
      </c>
      <c r="B41" s="153">
        <f>LongTest!G20</f>
        <v>12.689531118588182</v>
      </c>
      <c r="C41" s="151">
        <v>1</v>
      </c>
    </row>
    <row r="42" spans="1:3">
      <c r="A42" s="149">
        <f>LongTest!D21</f>
        <v>40</v>
      </c>
      <c r="B42" s="153">
        <f>LongTest!G21</f>
        <v>13.080931544102523</v>
      </c>
      <c r="C42" s="151">
        <v>1</v>
      </c>
    </row>
    <row r="43" spans="1:3">
      <c r="A43" s="149">
        <f>LongTest!D22</f>
        <v>45</v>
      </c>
      <c r="B43" s="153">
        <f>LongTest!G22</f>
        <v>13.426171186767743</v>
      </c>
      <c r="C43" s="151">
        <v>1</v>
      </c>
    </row>
    <row r="44" spans="1:3">
      <c r="A44" s="149">
        <f>LongTest!D23</f>
        <v>50</v>
      </c>
      <c r="B44" s="153">
        <f>LongTest!G23</f>
        <v>13.734998570728614</v>
      </c>
      <c r="C44" s="151">
        <v>1</v>
      </c>
    </row>
    <row r="45" spans="1:3">
      <c r="A45" s="149">
        <f>LongTest!D24</f>
        <v>55</v>
      </c>
      <c r="B45" s="153">
        <f>LongTest!G24</f>
        <v>14.014366921481592</v>
      </c>
      <c r="C45" s="151">
        <v>1</v>
      </c>
    </row>
    <row r="46" spans="1:3">
      <c r="A46" s="149">
        <f>LongTest!D25</f>
        <v>60</v>
      </c>
      <c r="B46" s="153">
        <f>LongTest!G25</f>
        <v>14.2694102435721</v>
      </c>
      <c r="C46" s="151">
        <v>1</v>
      </c>
    </row>
    <row r="47" spans="1:3">
      <c r="A47" s="149">
        <f>LongTest!D26</f>
        <v>75</v>
      </c>
      <c r="B47" s="153">
        <f>LongTest!G26</f>
        <v>14.923477270198191</v>
      </c>
      <c r="C47" s="151">
        <v>1</v>
      </c>
    </row>
    <row r="48" spans="1:3">
      <c r="A48" s="149">
        <f>LongTest!D27</f>
        <v>90</v>
      </c>
      <c r="B48" s="153">
        <f>LongTest!G27</f>
        <v>15.457888943041674</v>
      </c>
      <c r="C48" s="151">
        <v>1</v>
      </c>
    </row>
    <row r="49" spans="1:3">
      <c r="A49" s="149">
        <f>LongTest!D28</f>
        <v>105</v>
      </c>
      <c r="B49" s="153">
        <f>LongTest!G28</f>
        <v>15.909727574331686</v>
      </c>
      <c r="C49" s="151">
        <v>1</v>
      </c>
    </row>
    <row r="50" spans="1:3">
      <c r="A50" s="149">
        <f>LongTest!D29</f>
        <v>120</v>
      </c>
      <c r="B50" s="153">
        <f>LongTest!G29</f>
        <v>16.301127999846027</v>
      </c>
      <c r="C50" s="151">
        <v>1</v>
      </c>
    </row>
    <row r="51" spans="1:3">
      <c r="A51" s="149">
        <f>LongTest!D30</f>
        <v>140</v>
      </c>
      <c r="B51" s="153">
        <f>LongTest!G30</f>
        <v>16.752966631136044</v>
      </c>
      <c r="C51" s="151">
        <v>1</v>
      </c>
    </row>
    <row r="52" spans="1:3">
      <c r="A52" s="149">
        <f>LongTest!D31</f>
        <v>160</v>
      </c>
      <c r="B52" s="153">
        <f>LongTest!G31</f>
        <v>17.144367056650385</v>
      </c>
      <c r="C52" s="151">
        <v>1</v>
      </c>
    </row>
    <row r="53" spans="1:3">
      <c r="A53" s="149">
        <f>LongTest!D32</f>
        <v>180</v>
      </c>
      <c r="B53" s="153">
        <f>LongTest!G32</f>
        <v>17.489606699315605</v>
      </c>
      <c r="C53" s="151">
        <v>1</v>
      </c>
    </row>
    <row r="54" spans="1:3">
      <c r="A54" s="149">
        <f>LongTest!D33</f>
        <v>240</v>
      </c>
      <c r="B54" s="153">
        <f>LongTest!G33</f>
        <v>18.332845756119962</v>
      </c>
      <c r="C54" s="151">
        <v>1</v>
      </c>
    </row>
    <row r="55" spans="1:3">
      <c r="A55" s="149">
        <f>LongTest!D34</f>
        <v>300</v>
      </c>
      <c r="B55" s="153">
        <f>LongTest!G34</f>
        <v>18.986912782746057</v>
      </c>
      <c r="C55" s="151">
        <v>1</v>
      </c>
    </row>
    <row r="56" spans="1:3">
      <c r="A56" s="149">
        <f>LongTest!D35</f>
        <v>360</v>
      </c>
      <c r="B56" s="153">
        <f>LongTest!G35</f>
        <v>19.521324455589539</v>
      </c>
      <c r="C56" s="151">
        <v>1</v>
      </c>
    </row>
    <row r="57" spans="1:3">
      <c r="A57" s="149">
        <f>LongTest!D36</f>
        <v>420</v>
      </c>
      <c r="B57" s="153">
        <f>LongTest!G36</f>
        <v>19.973163086879548</v>
      </c>
      <c r="C57" s="151">
        <v>1</v>
      </c>
    </row>
    <row r="58" spans="1:3">
      <c r="A58" s="149">
        <f>LongTest!D37</f>
        <v>480</v>
      </c>
      <c r="B58" s="153">
        <f>LongTest!G37</f>
        <v>20.364563512393897</v>
      </c>
      <c r="C58" s="151">
        <v>1</v>
      </c>
    </row>
    <row r="59" spans="1:3">
      <c r="A59" s="149">
        <f>LongTest!D38</f>
        <v>540</v>
      </c>
      <c r="B59" s="153">
        <f>LongTest!G38</f>
        <v>20.70980315505911</v>
      </c>
      <c r="C59" s="151">
        <v>1</v>
      </c>
    </row>
    <row r="60" spans="1:3">
      <c r="A60" s="149">
        <f>LongTest!D39</f>
        <v>600</v>
      </c>
      <c r="B60" s="153">
        <f>LongTest!G39</f>
        <v>21.018630539019984</v>
      </c>
      <c r="C60" s="151">
        <v>1</v>
      </c>
    </row>
    <row r="61" spans="1:3">
      <c r="A61" s="149">
        <f>LongTest!D40</f>
        <v>660</v>
      </c>
      <c r="B61" s="153">
        <f>LongTest!G40</f>
        <v>21.297998889772966</v>
      </c>
      <c r="C61" s="151">
        <v>1</v>
      </c>
    </row>
    <row r="62" spans="1:3">
      <c r="A62" s="149">
        <f>LongTest!D41</f>
        <v>720</v>
      </c>
      <c r="B62" s="153">
        <f>LongTest!G41</f>
        <v>21.553042211863467</v>
      </c>
      <c r="C62" s="151">
        <v>1</v>
      </c>
    </row>
    <row r="63" spans="1:3">
      <c r="A63" s="149">
        <f>LongTest!D42</f>
        <v>780</v>
      </c>
      <c r="B63" s="153">
        <f>LongTest!G42</f>
        <v>21.787659324940659</v>
      </c>
      <c r="C63" s="151">
        <v>1</v>
      </c>
    </row>
    <row r="64" spans="1:3">
      <c r="A64" s="149">
        <f>LongTest!D43</f>
        <v>840</v>
      </c>
      <c r="B64" s="153">
        <f>LongTest!G43</f>
        <v>22.004880843153483</v>
      </c>
      <c r="C64" s="151">
        <v>1</v>
      </c>
    </row>
    <row r="65" spans="1:3">
      <c r="A65" s="149">
        <f>LongTest!D44</f>
        <v>900</v>
      </c>
      <c r="B65" s="153">
        <f>LongTest!G44</f>
        <v>22.207109238489561</v>
      </c>
      <c r="C65" s="151">
        <v>1</v>
      </c>
    </row>
    <row r="66" spans="1:3">
      <c r="A66" s="149">
        <f>LongTest!D45</f>
        <v>960</v>
      </c>
      <c r="B66" s="153">
        <f>LongTest!G45</f>
        <v>22.396281268667824</v>
      </c>
      <c r="C66" s="151">
        <v>1</v>
      </c>
    </row>
    <row r="67" spans="1:3">
      <c r="A67" s="149">
        <f>LongTest!D46</f>
        <v>1020</v>
      </c>
      <c r="B67" s="153">
        <f>LongTest!G46</f>
        <v>22.573981076250309</v>
      </c>
      <c r="C67" s="151">
        <v>1</v>
      </c>
    </row>
    <row r="68" spans="1:3">
      <c r="A68" s="149">
        <f>LongTest!D47</f>
        <v>1080</v>
      </c>
      <c r="B68" s="153">
        <f>LongTest!G47</f>
        <v>22.741520911333037</v>
      </c>
      <c r="C68" s="151">
        <v>1</v>
      </c>
    </row>
    <row r="69" spans="1:3">
      <c r="A69" s="149">
        <f>LongTest!D48</f>
        <v>1140</v>
      </c>
      <c r="B69" s="153">
        <f>LongTest!G48</f>
        <v>22.900000000000002</v>
      </c>
      <c r="C69" s="151">
        <v>1</v>
      </c>
    </row>
    <row r="70" spans="1:3">
      <c r="A70" s="149">
        <f>LongTest!D49</f>
        <v>1200</v>
      </c>
      <c r="B70" s="153">
        <f>LongTest!G49</f>
        <v>22.900000000000002</v>
      </c>
      <c r="C70" s="151">
        <v>1</v>
      </c>
    </row>
    <row r="71" spans="1:3">
      <c r="A71" s="149">
        <f>LongTest!D50</f>
        <v>1260</v>
      </c>
      <c r="B71" s="153">
        <f>LongTest!G50</f>
        <v>22.900000000000002</v>
      </c>
      <c r="C71" s="151">
        <v>1</v>
      </c>
    </row>
    <row r="72" spans="1:3">
      <c r="A72" s="149">
        <f>LongTest!D51</f>
        <v>1320</v>
      </c>
      <c r="B72" s="153">
        <f>LongTest!G51</f>
        <v>22.900000000000002</v>
      </c>
      <c r="C72" s="151">
        <v>1</v>
      </c>
    </row>
    <row r="73" spans="1:3">
      <c r="A73" s="149">
        <f>LongTest!D52</f>
        <v>1380</v>
      </c>
      <c r="B73" s="153">
        <f>LongTest!G52</f>
        <v>22.900000000000002</v>
      </c>
      <c r="C73" s="151">
        <v>1</v>
      </c>
    </row>
    <row r="74" spans="1:3">
      <c r="A74" s="149">
        <f>LongTest!D53</f>
        <v>1440</v>
      </c>
      <c r="B74" s="153">
        <f>LongTest!G53</f>
        <v>22.900000000000002</v>
      </c>
      <c r="C74" s="151">
        <v>1</v>
      </c>
    </row>
    <row r="75" spans="1:3">
      <c r="A75" s="149">
        <f>LongTest!D54</f>
        <v>1500</v>
      </c>
      <c r="B75" s="153">
        <f>LongTest!G54</f>
        <v>22.900000000000002</v>
      </c>
      <c r="C75" s="151">
        <v>1</v>
      </c>
    </row>
    <row r="76" spans="1:3">
      <c r="A76" s="149">
        <f>LongTest!D55</f>
        <v>1560</v>
      </c>
      <c r="B76" s="153">
        <f>LongTest!G55</f>
        <v>22.900000000000002</v>
      </c>
      <c r="C76" s="151">
        <v>1</v>
      </c>
    </row>
    <row r="77" spans="1:3">
      <c r="A77" s="149">
        <f>LongTest!D56</f>
        <v>1620</v>
      </c>
      <c r="B77" s="153">
        <f>LongTest!G56</f>
        <v>22.900000000000002</v>
      </c>
      <c r="C77" s="151">
        <v>1</v>
      </c>
    </row>
    <row r="78" spans="1:3">
      <c r="A78" s="149">
        <f>LongTest!D57</f>
        <v>1680</v>
      </c>
      <c r="B78" s="153">
        <f>LongTest!G57</f>
        <v>22.900000000000002</v>
      </c>
      <c r="C78" s="151">
        <v>1</v>
      </c>
    </row>
    <row r="79" spans="1:3">
      <c r="A79" s="149">
        <f>LongTest!D58</f>
        <v>1740</v>
      </c>
      <c r="B79" s="153">
        <f>LongTest!G58</f>
        <v>22.900000000000002</v>
      </c>
      <c r="C79" s="151">
        <v>1</v>
      </c>
    </row>
    <row r="80" spans="1:3">
      <c r="A80" s="149">
        <f>LongTest!D59</f>
        <v>1800</v>
      </c>
      <c r="B80" s="153">
        <f>LongTest!G59</f>
        <v>22.900000000000002</v>
      </c>
      <c r="C80" s="151">
        <v>1</v>
      </c>
    </row>
    <row r="81" spans="1:3">
      <c r="A81" s="149">
        <f>LongTest!D60</f>
        <v>1860</v>
      </c>
      <c r="B81" s="153">
        <f>LongTest!G60</f>
        <v>22.900000000000002</v>
      </c>
      <c r="C81" s="151">
        <v>1</v>
      </c>
    </row>
    <row r="82" spans="1:3">
      <c r="A82" s="149">
        <f>LongTest!D61</f>
        <v>1920</v>
      </c>
      <c r="B82" s="153">
        <f>LongTest!G61</f>
        <v>22.900000000000002</v>
      </c>
      <c r="C82" s="151">
        <v>1</v>
      </c>
    </row>
    <row r="83" spans="1:3">
      <c r="A83" s="149">
        <f>LongTest!D62</f>
        <v>1980</v>
      </c>
      <c r="B83" s="153">
        <f>LongTest!G62</f>
        <v>22.900000000000002</v>
      </c>
      <c r="C83" s="151">
        <v>1</v>
      </c>
    </row>
    <row r="84" spans="1:3">
      <c r="A84" s="149">
        <f>LongTest!D63</f>
        <v>2040</v>
      </c>
      <c r="B84" s="153">
        <f>LongTest!G63</f>
        <v>22.900000000000002</v>
      </c>
      <c r="C84" s="151">
        <v>1</v>
      </c>
    </row>
    <row r="85" spans="1:3">
      <c r="A85" s="149">
        <f>LongTest!D64</f>
        <v>2100</v>
      </c>
      <c r="B85" s="153">
        <f>LongTest!G64</f>
        <v>22.900000000000002</v>
      </c>
      <c r="C85" s="151">
        <v>1</v>
      </c>
    </row>
    <row r="86" spans="1:3">
      <c r="A86" s="149">
        <f>LongTest!D65</f>
        <v>2160</v>
      </c>
      <c r="B86" s="153">
        <f>LongTest!G65</f>
        <v>22.900000000000002</v>
      </c>
      <c r="C86" s="151">
        <v>1</v>
      </c>
    </row>
    <row r="87" spans="1:3">
      <c r="A87" s="149">
        <f>LongTest!D66</f>
        <v>2220</v>
      </c>
      <c r="B87" s="153">
        <f>LongTest!G66</f>
        <v>22.900000000000002</v>
      </c>
      <c r="C87" s="151">
        <v>1</v>
      </c>
    </row>
    <row r="88" spans="1:3">
      <c r="A88" s="149">
        <f>LongTest!D67</f>
        <v>2280</v>
      </c>
      <c r="B88" s="153">
        <f>LongTest!G67</f>
        <v>22.900000000000002</v>
      </c>
      <c r="C88" s="151">
        <v>1</v>
      </c>
    </row>
    <row r="89" spans="1:3">
      <c r="A89" s="149">
        <f>LongTest!D68</f>
        <v>2340</v>
      </c>
      <c r="B89" s="153">
        <f>LongTest!G68</f>
        <v>22.900000000000002</v>
      </c>
      <c r="C89" s="151">
        <v>1</v>
      </c>
    </row>
    <row r="90" spans="1:3">
      <c r="A90" s="149">
        <f>LongTest!D69</f>
        <v>2400</v>
      </c>
      <c r="B90" s="153">
        <f>LongTest!G69</f>
        <v>22.900000000000002</v>
      </c>
      <c r="C90" s="151">
        <v>1</v>
      </c>
    </row>
    <row r="91" spans="1:3">
      <c r="A91" s="149">
        <f>LongTest!D70</f>
        <v>2460</v>
      </c>
      <c r="B91" s="153">
        <f>LongTest!G70</f>
        <v>22.900000000000002</v>
      </c>
      <c r="C91" s="151">
        <v>1</v>
      </c>
    </row>
    <row r="92" spans="1:3">
      <c r="A92" s="149">
        <f>LongTest!D71</f>
        <v>2520</v>
      </c>
      <c r="B92" s="153">
        <f>LongTest!G71</f>
        <v>22.900000000000002</v>
      </c>
      <c r="C92" s="151">
        <v>1</v>
      </c>
    </row>
    <row r="93" spans="1:3">
      <c r="A93" s="149">
        <f>LongTest!D72</f>
        <v>2580</v>
      </c>
      <c r="B93" s="153">
        <f>LongTest!G72</f>
        <v>22.900000000000002</v>
      </c>
      <c r="C93" s="151">
        <v>1</v>
      </c>
    </row>
    <row r="94" spans="1:3">
      <c r="A94" s="149">
        <f>LongTest!D73</f>
        <v>2640</v>
      </c>
      <c r="B94" s="153">
        <f>LongTest!G73</f>
        <v>22.900000000000002</v>
      </c>
      <c r="C94" s="151">
        <v>1</v>
      </c>
    </row>
    <row r="95" spans="1:3">
      <c r="A95" s="149">
        <f>LongTest!D74</f>
        <v>2700</v>
      </c>
      <c r="B95" s="153">
        <f>LongTest!G74</f>
        <v>22.900000000000002</v>
      </c>
      <c r="C95" s="151">
        <v>1</v>
      </c>
    </row>
    <row r="96" spans="1:3">
      <c r="A96" s="149">
        <f>LongTest!D75</f>
        <v>2760</v>
      </c>
      <c r="B96" s="153">
        <f>LongTest!G75</f>
        <v>22.900000000000002</v>
      </c>
      <c r="C96" s="151">
        <v>1</v>
      </c>
    </row>
    <row r="97" spans="1:3">
      <c r="A97" s="149">
        <f>LongTest!D76</f>
        <v>2820</v>
      </c>
      <c r="B97" s="153">
        <f>LongTest!G76</f>
        <v>22.900000000000002</v>
      </c>
      <c r="C97" s="151">
        <v>1</v>
      </c>
    </row>
    <row r="98" spans="1:3">
      <c r="A98" s="149">
        <f>LongTest!D77</f>
        <v>2880</v>
      </c>
      <c r="B98" s="153">
        <f>LongTest!G77</f>
        <v>22.900000000000002</v>
      </c>
      <c r="C98" s="151">
        <v>1</v>
      </c>
    </row>
    <row r="99" spans="1:3">
      <c r="A99" s="149" t="s">
        <v>202</v>
      </c>
      <c r="B99" s="150"/>
      <c r="C99" s="150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autoPict="0" r:id="rId5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autoPict="0" r:id="rId7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ommandButton3">
          <controlPr defaultSize="0" autoLine="0" autoPict="0" r:id="rId9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8" name="CommandButton3"/>
      </mc:Fallback>
    </mc:AlternateContent>
    <mc:AlternateContent xmlns:mc="http://schemas.openxmlformats.org/markup-compatibility/2006">
      <mc:Choice Requires="x14">
        <control shapeId="8196" r:id="rId10" name="CommandButton4">
          <controlPr defaultSize="0" autoLine="0" autoPict="0" r:id="rId11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10" name="CommandButton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C57"/>
  <sheetViews>
    <sheetView workbookViewId="0">
      <selection activeCell="O24" sqref="O24"/>
    </sheetView>
  </sheetViews>
  <sheetFormatPr defaultColWidth="9" defaultRowHeight="16.5"/>
  <cols>
    <col min="1" max="1" width="9" style="91"/>
    <col min="2" max="3" width="9" style="92"/>
    <col min="4" max="16384" width="9" style="91"/>
  </cols>
  <sheetData>
    <row r="1" spans="1:3">
      <c r="B1" s="91"/>
    </row>
    <row r="2" spans="1:3">
      <c r="A2" s="149" t="s">
        <v>195</v>
      </c>
      <c r="B2" s="149"/>
      <c r="C2" s="150"/>
    </row>
    <row r="3" spans="1:3">
      <c r="A3" s="149">
        <v>2</v>
      </c>
      <c r="B3" s="149"/>
      <c r="C3" s="150"/>
    </row>
    <row r="4" spans="1:3">
      <c r="A4" s="149">
        <v>1</v>
      </c>
      <c r="B4" s="149"/>
      <c r="C4" s="150"/>
    </row>
    <row r="5" spans="1:3">
      <c r="A5" s="149">
        <v>6</v>
      </c>
      <c r="B5" s="149"/>
      <c r="C5" s="150"/>
    </row>
    <row r="6" spans="1:3">
      <c r="A6" s="149" t="s">
        <v>196</v>
      </c>
      <c r="B6" s="149"/>
      <c r="C6" s="150"/>
    </row>
    <row r="7" spans="1:3">
      <c r="A7" s="149">
        <f>Step.Select!A7</f>
        <v>75</v>
      </c>
      <c r="B7" s="149"/>
      <c r="C7" s="150"/>
    </row>
    <row r="8" spans="1:3">
      <c r="A8" s="149" t="s">
        <v>197</v>
      </c>
      <c r="B8" s="149"/>
      <c r="C8" s="150"/>
    </row>
    <row r="9" spans="1:3">
      <c r="A9" s="149">
        <v>1</v>
      </c>
      <c r="B9" s="149"/>
      <c r="C9" s="150"/>
    </row>
    <row r="10" spans="1:3">
      <c r="A10" s="149" t="s">
        <v>198</v>
      </c>
      <c r="B10" s="149"/>
      <c r="C10" s="150"/>
    </row>
    <row r="11" spans="1:3">
      <c r="A11" s="149">
        <v>1</v>
      </c>
      <c r="B11" s="149"/>
      <c r="C11" s="150"/>
    </row>
    <row r="12" spans="1:3">
      <c r="A12" s="149" t="s">
        <v>199</v>
      </c>
      <c r="B12" s="149"/>
      <c r="C12" s="150"/>
    </row>
    <row r="13" spans="1:3">
      <c r="A13" s="149">
        <v>1</v>
      </c>
      <c r="B13" s="149"/>
      <c r="C13" s="150"/>
    </row>
    <row r="14" spans="1:3">
      <c r="A14" s="149" t="s">
        <v>200</v>
      </c>
      <c r="B14" s="149"/>
      <c r="C14" s="150"/>
    </row>
    <row r="15" spans="1:3">
      <c r="A15" s="149" t="str">
        <f>Input!I54</f>
        <v>W-1</v>
      </c>
      <c r="B15" s="149"/>
      <c r="C15" s="150"/>
    </row>
    <row r="16" spans="1:3">
      <c r="A16" s="149">
        <v>0</v>
      </c>
      <c r="B16" s="149"/>
      <c r="C16" s="150"/>
    </row>
    <row r="17" spans="1:3">
      <c r="A17" s="149">
        <v>0</v>
      </c>
      <c r="B17" s="149"/>
      <c r="C17" s="150"/>
    </row>
    <row r="18" spans="1:3">
      <c r="A18" s="149">
        <f>Step.Select!A18</f>
        <v>0.125</v>
      </c>
      <c r="B18" s="149"/>
      <c r="C18" s="150"/>
    </row>
    <row r="19" spans="1:3">
      <c r="A19" s="149">
        <f>Step.Select!A19</f>
        <v>0.125</v>
      </c>
      <c r="B19" s="149"/>
      <c r="C19" s="150"/>
    </row>
    <row r="20" spans="1:3">
      <c r="A20" s="149">
        <v>0</v>
      </c>
      <c r="B20" s="149"/>
      <c r="C20" s="150"/>
    </row>
    <row r="21" spans="1:3">
      <c r="A21" s="149">
        <v>0</v>
      </c>
      <c r="B21" s="149"/>
      <c r="C21" s="150"/>
    </row>
    <row r="22" spans="1:3">
      <c r="A22" s="149">
        <v>1</v>
      </c>
      <c r="B22" s="149"/>
      <c r="C22" s="150"/>
    </row>
    <row r="23" spans="1:3">
      <c r="A23" s="149">
        <v>2</v>
      </c>
      <c r="B23" s="149"/>
      <c r="C23" s="150"/>
    </row>
    <row r="24" spans="1:3">
      <c r="A24" s="151">
        <v>0</v>
      </c>
      <c r="B24" s="151">
        <f>Input!M51</f>
        <v>160</v>
      </c>
      <c r="C24" s="150"/>
    </row>
    <row r="25" spans="1:3">
      <c r="A25" s="151">
        <v>2880</v>
      </c>
      <c r="B25" s="151">
        <v>0</v>
      </c>
      <c r="C25" s="150"/>
    </row>
    <row r="26" spans="1:3">
      <c r="A26" s="149" t="s">
        <v>201</v>
      </c>
      <c r="B26" s="149"/>
      <c r="C26" s="150"/>
    </row>
    <row r="27" spans="1:3">
      <c r="A27" s="149" t="str">
        <f>A15</f>
        <v>W-1</v>
      </c>
      <c r="B27" s="149"/>
      <c r="C27" s="150"/>
    </row>
    <row r="28" spans="1:3">
      <c r="A28" s="152">
        <f>SkinFactor!C8</f>
        <v>2.339</v>
      </c>
      <c r="B28" s="149"/>
      <c r="C28" s="150"/>
    </row>
    <row r="29" spans="1:3">
      <c r="A29" s="149">
        <v>0</v>
      </c>
      <c r="B29" s="149"/>
      <c r="C29" s="150"/>
    </row>
    <row r="30" spans="1:3">
      <c r="A30" s="149">
        <v>0</v>
      </c>
      <c r="B30" s="149"/>
      <c r="C30" s="150"/>
    </row>
    <row r="31" spans="1:3">
      <c r="A31" s="151">
        <f>SUM(C32:C56)</f>
        <v>25</v>
      </c>
      <c r="B31" s="149"/>
      <c r="C31" s="150"/>
    </row>
    <row r="32" spans="1:3">
      <c r="A32" s="149">
        <f>LongTest!D77</f>
        <v>2880</v>
      </c>
      <c r="B32" s="150">
        <f>LongTest!G77</f>
        <v>22.900000000000002</v>
      </c>
      <c r="C32" s="151">
        <v>1</v>
      </c>
    </row>
    <row r="33" spans="1:3">
      <c r="A33" s="149">
        <f>$A$32+LongTest!D78</f>
        <v>2881</v>
      </c>
      <c r="B33" s="150">
        <f>LongTest!G78</f>
        <v>14.772653617722808</v>
      </c>
      <c r="C33" s="151">
        <v>1</v>
      </c>
    </row>
    <row r="34" spans="1:3">
      <c r="A34" s="149">
        <f>$A$32+LongTest!D79</f>
        <v>2882</v>
      </c>
      <c r="B34" s="150">
        <f>LongTest!G79</f>
        <v>13.448178048108126</v>
      </c>
      <c r="C34" s="151">
        <v>1</v>
      </c>
    </row>
    <row r="35" spans="1:3">
      <c r="A35" s="149">
        <f>$A$32+LongTest!D80</f>
        <v>2883</v>
      </c>
      <c r="B35" s="150">
        <f>LongTest!G80</f>
        <v>12.242451322127168</v>
      </c>
      <c r="C35" s="151">
        <v>1</v>
      </c>
    </row>
    <row r="36" spans="1:3">
      <c r="A36" s="149">
        <f>$A$32+LongTest!D81</f>
        <v>2884</v>
      </c>
      <c r="B36" s="150">
        <f>LongTest!G81</f>
        <v>11.144826744447943</v>
      </c>
      <c r="C36" s="151">
        <v>1</v>
      </c>
    </row>
    <row r="37" spans="1:3">
      <c r="A37" s="149">
        <f>$A$32+LongTest!D82</f>
        <v>2885</v>
      </c>
      <c r="B37" s="150">
        <f>LongTest!G82</f>
        <v>10.145612173214728</v>
      </c>
      <c r="C37" s="151">
        <v>1</v>
      </c>
    </row>
    <row r="38" spans="1:3">
      <c r="A38" s="149">
        <f>$A$32+LongTest!D83</f>
        <v>2890</v>
      </c>
      <c r="B38" s="150">
        <f>LongTest!G83</f>
        <v>7.6540811700335487</v>
      </c>
      <c r="C38" s="151">
        <v>1</v>
      </c>
    </row>
    <row r="39" spans="1:3">
      <c r="A39" s="149">
        <f>$A$32+LongTest!D84</f>
        <v>2895</v>
      </c>
      <c r="B39" s="150">
        <f>LongTest!G84</f>
        <v>7.1894613591817826</v>
      </c>
      <c r="C39" s="151">
        <v>1</v>
      </c>
    </row>
    <row r="40" spans="1:3">
      <c r="A40" s="149">
        <f>$A$32+LongTest!D85</f>
        <v>2900</v>
      </c>
      <c r="B40" s="150">
        <f>LongTest!G85</f>
        <v>5.9580785551285969</v>
      </c>
      <c r="C40" s="151">
        <v>1</v>
      </c>
    </row>
    <row r="41" spans="1:3">
      <c r="A41" s="149">
        <f>$A$32+LongTest!D86</f>
        <v>2905</v>
      </c>
      <c r="B41" s="150">
        <f>LongTest!G86</f>
        <v>5.4238935879372114</v>
      </c>
      <c r="C41" s="151">
        <v>1</v>
      </c>
    </row>
    <row r="42" spans="1:3">
      <c r="A42" s="149">
        <f>$A$32+LongTest!D87</f>
        <v>2910</v>
      </c>
      <c r="B42" s="150">
        <f>LongTest!G87</f>
        <v>4.9376021784646351</v>
      </c>
      <c r="C42" s="151">
        <v>1</v>
      </c>
    </row>
    <row r="43" spans="1:3">
      <c r="A43" s="149">
        <f>$A$32+LongTest!D88</f>
        <v>2915</v>
      </c>
      <c r="B43" s="150">
        <f>LongTest!G88</f>
        <v>4.7853944456021598</v>
      </c>
      <c r="C43" s="151">
        <v>1</v>
      </c>
    </row>
    <row r="44" spans="1:3">
      <c r="A44" s="149">
        <f>$A$32+LongTest!D89</f>
        <v>2920</v>
      </c>
      <c r="B44" s="150">
        <f>LongTest!G89</f>
        <v>4.6378787055543711</v>
      </c>
      <c r="C44" s="151">
        <v>1</v>
      </c>
    </row>
    <row r="45" spans="1:3">
      <c r="A45" s="149">
        <f>$A$32+LongTest!D90</f>
        <v>2925</v>
      </c>
      <c r="B45" s="150">
        <f>LongTest!G90</f>
        <v>4.494910321802748</v>
      </c>
      <c r="C45" s="151">
        <v>1</v>
      </c>
    </row>
    <row r="46" spans="1:3">
      <c r="A46" s="149">
        <f>$A$32+LongTest!D91</f>
        <v>2930</v>
      </c>
      <c r="B46" s="150">
        <f>LongTest!G91</f>
        <v>4.3563491164294792</v>
      </c>
      <c r="C46" s="151">
        <v>1</v>
      </c>
    </row>
    <row r="47" spans="1:3">
      <c r="A47" s="149">
        <f>$A$32+LongTest!D92</f>
        <v>2935</v>
      </c>
      <c r="B47" s="150">
        <f>LongTest!G92</f>
        <v>4.2220592326755471</v>
      </c>
      <c r="C47" s="151">
        <v>1</v>
      </c>
    </row>
    <row r="48" spans="1:3">
      <c r="A48" s="149">
        <f>$A$32+LongTest!D93</f>
        <v>2940</v>
      </c>
      <c r="B48" s="150">
        <f>LongTest!G93</f>
        <v>4.091909001735627</v>
      </c>
      <c r="C48" s="151">
        <v>1</v>
      </c>
    </row>
    <row r="49" spans="1:3">
      <c r="A49" s="149">
        <f>$A$32+LongTest!D94</f>
        <v>2955</v>
      </c>
      <c r="B49" s="150">
        <f>LongTest!G94</f>
        <v>3.9657708136592027</v>
      </c>
      <c r="C49" s="151">
        <v>1</v>
      </c>
    </row>
    <row r="50" spans="1:3">
      <c r="A50" s="149">
        <f>$A$32+LongTest!D95</f>
        <v>2970</v>
      </c>
      <c r="B50" s="150">
        <f>LongTest!G95</f>
        <v>3.8435209922313169</v>
      </c>
      <c r="C50" s="151">
        <v>1</v>
      </c>
    </row>
    <row r="51" spans="1:3">
      <c r="A51" s="149">
        <f>$A$32+LongTest!D96</f>
        <v>2985</v>
      </c>
      <c r="B51" s="150">
        <f>LongTest!G96</f>
        <v>3.7250396737102749</v>
      </c>
      <c r="C51" s="151">
        <v>1</v>
      </c>
    </row>
    <row r="52" spans="1:3">
      <c r="A52" s="149">
        <f>$A$32+LongTest!D97</f>
        <v>3000</v>
      </c>
      <c r="B52" s="150">
        <f>LongTest!G97</f>
        <v>3.3910628425094336</v>
      </c>
      <c r="C52" s="151">
        <v>1</v>
      </c>
    </row>
    <row r="53" spans="1:3">
      <c r="A53" s="149">
        <f>$A$32+LongTest!D98</f>
        <v>3060</v>
      </c>
      <c r="B53" s="150">
        <f>LongTest!G98</f>
        <v>3.2865291096170366</v>
      </c>
      <c r="C53" s="151">
        <v>1</v>
      </c>
    </row>
    <row r="54" spans="1:3">
      <c r="A54" s="149">
        <f>$A$32+LongTest!D99</f>
        <v>3120</v>
      </c>
      <c r="B54" s="150">
        <f>LongTest!G99</f>
        <v>2.7236252662805418</v>
      </c>
      <c r="C54" s="151">
        <v>1</v>
      </c>
    </row>
    <row r="55" spans="1:3">
      <c r="A55" s="149">
        <f>$A$32+LongTest!D100</f>
        <v>3180</v>
      </c>
      <c r="B55" s="150">
        <f>LongTest!G100</f>
        <v>2.2571333901820068</v>
      </c>
      <c r="C55" s="151">
        <v>1</v>
      </c>
    </row>
    <row r="56" spans="1:3">
      <c r="A56" s="149">
        <f>$A$32+LongTest!D101</f>
        <v>3240</v>
      </c>
      <c r="B56" s="150">
        <f>LongTest!G101</f>
        <v>1.8705404169024751</v>
      </c>
      <c r="C56" s="151">
        <v>1</v>
      </c>
    </row>
    <row r="57" spans="1:3">
      <c r="A57" s="149" t="s">
        <v>203</v>
      </c>
      <c r="B57" s="150"/>
      <c r="C57" s="150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304800</xdr:colOff>
                <xdr:row>3</xdr:row>
                <xdr:rowOff>38100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r:id="rId7">
            <anchor moveWithCells="1">
              <from>
                <xdr:col>6</xdr:col>
                <xdr:colOff>66675</xdr:colOff>
                <xdr:row>3</xdr:row>
                <xdr:rowOff>104775</xdr:rowOff>
              </from>
              <to>
                <xdr:col>8</xdr:col>
                <xdr:colOff>314325</xdr:colOff>
                <xdr:row>5</xdr:row>
                <xdr:rowOff>85725</xdr:rowOff>
              </to>
            </anchor>
          </controlPr>
        </control>
      </mc:Choice>
      <mc:Fallback>
        <control shapeId="921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P44"/>
  <sheetViews>
    <sheetView workbookViewId="0">
      <selection activeCell="N23" sqref="N23"/>
    </sheetView>
  </sheetViews>
  <sheetFormatPr defaultColWidth="10" defaultRowHeight="16.5"/>
  <cols>
    <col min="1" max="1" width="10" style="9"/>
    <col min="2" max="2" width="18.75" style="9" customWidth="1"/>
    <col min="3" max="4" width="16.375" style="9" customWidth="1"/>
    <col min="5" max="5" width="13.375" style="116" customWidth="1"/>
    <col min="6" max="6" width="13.875" style="116" customWidth="1"/>
    <col min="7" max="7" width="10" style="9"/>
    <col min="8" max="8" width="11.625" style="9" customWidth="1"/>
    <col min="9" max="9" width="10.625" style="9" customWidth="1"/>
    <col min="10" max="10" width="11.375" style="9" customWidth="1"/>
    <col min="11" max="11" width="10" style="9"/>
    <col min="12" max="12" width="11.25" style="9" customWidth="1"/>
    <col min="13" max="15" width="10" style="9"/>
    <col min="16" max="16" width="11.25" style="9" customWidth="1"/>
    <col min="17" max="16384" width="10" style="9"/>
  </cols>
  <sheetData>
    <row r="1" spans="2:16" s="93" customFormat="1" ht="18" customHeight="1">
      <c r="E1" s="12"/>
      <c r="F1" s="12"/>
    </row>
    <row r="2" spans="2:16" s="93" customFormat="1" ht="18" customHeight="1">
      <c r="B2" s="148" t="s">
        <v>236</v>
      </c>
      <c r="E2" s="12"/>
      <c r="F2" s="12"/>
    </row>
    <row r="3" spans="2:16" s="93" customFormat="1" ht="18" customHeight="1">
      <c r="E3" s="12"/>
      <c r="F3" s="12"/>
    </row>
    <row r="4" spans="2:16" s="96" customFormat="1" ht="26.25" customHeight="1">
      <c r="B4" s="94" t="s">
        <v>235</v>
      </c>
      <c r="C4" s="95" t="str">
        <f>Input!$I$54</f>
        <v>W-1</v>
      </c>
      <c r="E4" s="95"/>
      <c r="F4" s="95"/>
    </row>
    <row r="5" spans="2:16" s="93" customFormat="1" ht="18" customHeight="1" thickBot="1">
      <c r="E5" s="12"/>
      <c r="F5" s="12"/>
    </row>
    <row r="6" spans="2:16" s="93" customFormat="1" ht="26.1" customHeight="1">
      <c r="B6" s="139" t="s">
        <v>204</v>
      </c>
      <c r="C6" s="140">
        <f>LongTest!C10</f>
        <v>44993.479166666664</v>
      </c>
      <c r="D6" s="141"/>
      <c r="E6" s="142"/>
      <c r="F6" s="142"/>
    </row>
    <row r="7" spans="2:16" s="93" customFormat="1" ht="26.1" customHeight="1">
      <c r="B7" s="143" t="s">
        <v>205</v>
      </c>
      <c r="C7" s="144">
        <v>14.8</v>
      </c>
      <c r="D7" s="141"/>
      <c r="E7" s="142"/>
      <c r="F7" s="142"/>
    </row>
    <row r="8" spans="2:16" s="93" customFormat="1" ht="26.1" customHeight="1">
      <c r="B8" s="143" t="s">
        <v>206</v>
      </c>
      <c r="C8" s="144">
        <v>226</v>
      </c>
      <c r="D8" s="141"/>
      <c r="E8" s="142"/>
      <c r="F8" s="142"/>
    </row>
    <row r="9" spans="2:16" s="93" customFormat="1" ht="26.1" customHeight="1" thickBot="1">
      <c r="B9" s="145" t="s">
        <v>207</v>
      </c>
      <c r="C9" s="146">
        <v>6.7</v>
      </c>
      <c r="D9" s="141"/>
      <c r="E9" s="142"/>
      <c r="F9" s="142"/>
    </row>
    <row r="10" spans="2:16" s="93" customFormat="1" ht="26.1" customHeight="1">
      <c r="B10" s="142"/>
      <c r="C10" s="147"/>
      <c r="D10" s="141"/>
      <c r="E10" s="142"/>
      <c r="F10" s="142"/>
    </row>
    <row r="11" spans="2:16" s="93" customFormat="1" ht="18" customHeight="1" thickBot="1">
      <c r="E11" s="12"/>
      <c r="F11" s="12"/>
      <c r="L11" s="6"/>
      <c r="M11" s="6"/>
      <c r="N11" s="6"/>
      <c r="O11" s="6"/>
      <c r="P11" s="6"/>
    </row>
    <row r="12" spans="2:16" s="12" customFormat="1" ht="26.1" customHeight="1">
      <c r="B12" s="521" t="s">
        <v>208</v>
      </c>
      <c r="C12" s="522"/>
      <c r="D12" s="523" t="str">
        <f>C4</f>
        <v>W-1</v>
      </c>
      <c r="E12" s="524"/>
      <c r="F12" s="522"/>
      <c r="H12" s="521" t="str">
        <f>C4</f>
        <v>W-1</v>
      </c>
      <c r="I12" s="524"/>
      <c r="J12" s="522"/>
      <c r="L12" s="525" t="str">
        <f>C4</f>
        <v>W-1</v>
      </c>
      <c r="M12" s="526"/>
      <c r="N12" s="527"/>
      <c r="O12" s="6"/>
      <c r="P12" s="6"/>
    </row>
    <row r="13" spans="2:16" s="12" customFormat="1" ht="26.1" customHeight="1">
      <c r="B13" s="126" t="s">
        <v>204</v>
      </c>
      <c r="C13" s="127" t="s">
        <v>209</v>
      </c>
      <c r="D13" s="128" t="s">
        <v>210</v>
      </c>
      <c r="E13" s="129" t="s">
        <v>211</v>
      </c>
      <c r="F13" s="127" t="s">
        <v>212</v>
      </c>
      <c r="H13" s="126" t="s">
        <v>210</v>
      </c>
      <c r="I13" s="129" t="s">
        <v>211</v>
      </c>
      <c r="J13" s="127" t="s">
        <v>212</v>
      </c>
      <c r="L13" s="97" t="s">
        <v>210</v>
      </c>
      <c r="M13" s="98" t="s">
        <v>211</v>
      </c>
      <c r="N13" s="99" t="s">
        <v>212</v>
      </c>
      <c r="O13" s="6"/>
      <c r="P13" s="6">
        <f ca="1">RANDBETWEEN(1,3)</f>
        <v>2</v>
      </c>
    </row>
    <row r="14" spans="2:16" s="12" customFormat="1" ht="26.1" customHeight="1">
      <c r="B14" s="100">
        <f>$C$6+C14/1440</f>
        <v>44993.482638888883</v>
      </c>
      <c r="C14" s="101">
        <v>5</v>
      </c>
      <c r="D14" s="102">
        <f t="shared" ref="D14:D20" si="0">baseTemp+H14</f>
        <v>14.600000000000001</v>
      </c>
      <c r="E14" s="103">
        <f>$C$8+I14</f>
        <v>206</v>
      </c>
      <c r="F14" s="104">
        <f>$C$9+J14</f>
        <v>6.58</v>
      </c>
      <c r="H14" s="105">
        <v>-0.2</v>
      </c>
      <c r="I14" s="106">
        <v>-20</v>
      </c>
      <c r="J14" s="107">
        <v>-0.12</v>
      </c>
      <c r="L14" s="97">
        <f ca="1">ROUND(myRandBetween(1,3,10), 1)</f>
        <v>-0.1</v>
      </c>
      <c r="M14" s="98">
        <f ca="1">myRandBetween(1,20,1)</f>
        <v>17</v>
      </c>
      <c r="N14" s="99">
        <f ca="1">ROUND(myRandBetween(8,12,100), 2)</f>
        <v>0.08</v>
      </c>
      <c r="O14" s="6"/>
      <c r="P14" s="6">
        <f t="shared" ref="P14:P23" ca="1" si="1">RANDBETWEEN(1,3)</f>
        <v>3</v>
      </c>
    </row>
    <row r="15" spans="2:16" s="12" customFormat="1" ht="26.1" customHeight="1">
      <c r="B15" s="108">
        <f t="shared" ref="B15:B23" si="2">$C$6+C15/1440</f>
        <v>44993.5</v>
      </c>
      <c r="C15" s="107">
        <v>30</v>
      </c>
      <c r="D15" s="109">
        <f t="shared" si="0"/>
        <v>15</v>
      </c>
      <c r="E15" s="110">
        <f t="shared" ref="E15:E20" si="3">$C$8+I15</f>
        <v>238</v>
      </c>
      <c r="F15" s="111">
        <f t="shared" ref="F15:F20" si="4">$C$9+J15</f>
        <v>6.78</v>
      </c>
      <c r="H15" s="105">
        <v>0.2</v>
      </c>
      <c r="I15" s="106">
        <v>12</v>
      </c>
      <c r="J15" s="107">
        <v>0.08</v>
      </c>
      <c r="L15" s="97">
        <f t="shared" ref="L15:L23" ca="1" si="5">ROUND(myRandBetween(1,3,10), 1)</f>
        <v>0.2</v>
      </c>
      <c r="M15" s="98">
        <f t="shared" ref="M15:M23" ca="1" si="6">myRandBetween(1,20,1)</f>
        <v>4</v>
      </c>
      <c r="N15" s="99">
        <f t="shared" ref="N15:N23" ca="1" si="7">ROUND(myRandBetween(8,12,100), 2)</f>
        <v>-0.08</v>
      </c>
      <c r="O15" s="6"/>
      <c r="P15" s="6">
        <f t="shared" ca="1" si="1"/>
        <v>3</v>
      </c>
    </row>
    <row r="16" spans="2:16" s="12" customFormat="1" ht="26.1" customHeight="1">
      <c r="B16" s="108">
        <f t="shared" si="2"/>
        <v>44993.520833333328</v>
      </c>
      <c r="C16" s="107">
        <v>60</v>
      </c>
      <c r="D16" s="109">
        <f t="shared" si="0"/>
        <v>15.100000000000001</v>
      </c>
      <c r="E16" s="110">
        <f t="shared" si="3"/>
        <v>207</v>
      </c>
      <c r="F16" s="111">
        <f t="shared" si="4"/>
        <v>6.8100000000000005</v>
      </c>
      <c r="H16" s="105">
        <v>0.3</v>
      </c>
      <c r="I16" s="106">
        <v>-19</v>
      </c>
      <c r="J16" s="107">
        <v>0.11</v>
      </c>
      <c r="L16" s="97">
        <f t="shared" ca="1" si="5"/>
        <v>0.2</v>
      </c>
      <c r="M16" s="98">
        <f t="shared" ca="1" si="6"/>
        <v>-18</v>
      </c>
      <c r="N16" s="99">
        <f t="shared" ca="1" si="7"/>
        <v>-0.12</v>
      </c>
      <c r="O16" s="6"/>
      <c r="P16" s="6">
        <f t="shared" ca="1" si="1"/>
        <v>2</v>
      </c>
    </row>
    <row r="17" spans="2:16" s="12" customFormat="1" ht="26.1" customHeight="1">
      <c r="B17" s="108">
        <f t="shared" si="2"/>
        <v>44993.5625</v>
      </c>
      <c r="C17" s="107">
        <v>120</v>
      </c>
      <c r="D17" s="109">
        <f t="shared" si="0"/>
        <v>14.9</v>
      </c>
      <c r="E17" s="110">
        <f t="shared" si="3"/>
        <v>216</v>
      </c>
      <c r="F17" s="111">
        <f t="shared" si="4"/>
        <v>6.6000000000000005</v>
      </c>
      <c r="H17" s="105">
        <v>0.1</v>
      </c>
      <c r="I17" s="106">
        <v>-10</v>
      </c>
      <c r="J17" s="107">
        <v>-0.1</v>
      </c>
      <c r="L17" s="97">
        <f t="shared" ca="1" si="5"/>
        <v>0.1</v>
      </c>
      <c r="M17" s="98">
        <f t="shared" ca="1" si="6"/>
        <v>3</v>
      </c>
      <c r="N17" s="99">
        <f t="shared" ca="1" si="7"/>
        <v>-0.08</v>
      </c>
      <c r="O17" s="6"/>
      <c r="P17" s="6">
        <f t="shared" ca="1" si="1"/>
        <v>2</v>
      </c>
    </row>
    <row r="18" spans="2:16" s="12" customFormat="1" ht="26.1" customHeight="1">
      <c r="B18" s="108">
        <f t="shared" si="2"/>
        <v>44993.645833333328</v>
      </c>
      <c r="C18" s="107">
        <v>240</v>
      </c>
      <c r="D18" s="109">
        <f t="shared" si="0"/>
        <v>14.700000000000001</v>
      </c>
      <c r="E18" s="110">
        <f t="shared" si="3"/>
        <v>246</v>
      </c>
      <c r="F18" s="111">
        <f t="shared" si="4"/>
        <v>6.82</v>
      </c>
      <c r="H18" s="105">
        <v>-0.1</v>
      </c>
      <c r="I18" s="106">
        <v>20</v>
      </c>
      <c r="J18" s="107">
        <v>0.12</v>
      </c>
      <c r="L18" s="97">
        <f t="shared" ca="1" si="5"/>
        <v>0.3</v>
      </c>
      <c r="M18" s="98">
        <f t="shared" ca="1" si="6"/>
        <v>-12</v>
      </c>
      <c r="N18" s="99">
        <f t="shared" ca="1" si="7"/>
        <v>0.08</v>
      </c>
      <c r="O18" s="6"/>
      <c r="P18" s="6">
        <f t="shared" ca="1" si="1"/>
        <v>3</v>
      </c>
    </row>
    <row r="19" spans="2:16" s="12" customFormat="1" ht="26.1" customHeight="1">
      <c r="B19" s="108">
        <f t="shared" si="2"/>
        <v>44993.8125</v>
      </c>
      <c r="C19" s="107">
        <v>480</v>
      </c>
      <c r="D19" s="109">
        <f t="shared" si="0"/>
        <v>15</v>
      </c>
      <c r="E19" s="110">
        <f t="shared" si="3"/>
        <v>208</v>
      </c>
      <c r="F19" s="111">
        <f t="shared" si="4"/>
        <v>6.6000000000000005</v>
      </c>
      <c r="H19" s="105">
        <v>0.2</v>
      </c>
      <c r="I19" s="106">
        <v>-18</v>
      </c>
      <c r="J19" s="107">
        <v>-0.1</v>
      </c>
      <c r="L19" s="97">
        <f t="shared" ca="1" si="5"/>
        <v>0.3</v>
      </c>
      <c r="M19" s="98">
        <f t="shared" ca="1" si="6"/>
        <v>2</v>
      </c>
      <c r="N19" s="99">
        <f t="shared" ca="1" si="7"/>
        <v>-0.11</v>
      </c>
      <c r="O19" s="6"/>
      <c r="P19" s="6">
        <f t="shared" ca="1" si="1"/>
        <v>2</v>
      </c>
    </row>
    <row r="20" spans="2:16" s="93" customFormat="1" ht="26.1" customHeight="1">
      <c r="B20" s="108">
        <f t="shared" si="2"/>
        <v>44994.479166666664</v>
      </c>
      <c r="C20" s="107">
        <v>1440</v>
      </c>
      <c r="D20" s="109">
        <f t="shared" si="0"/>
        <v>14.5</v>
      </c>
      <c r="E20" s="110">
        <f t="shared" si="3"/>
        <v>216</v>
      </c>
      <c r="F20" s="111">
        <f t="shared" si="4"/>
        <v>6.62</v>
      </c>
      <c r="H20" s="105">
        <v>-0.3</v>
      </c>
      <c r="I20" s="106">
        <v>-10</v>
      </c>
      <c r="J20" s="107">
        <v>-0.08</v>
      </c>
      <c r="L20" s="97">
        <f t="shared" ca="1" si="5"/>
        <v>0.2</v>
      </c>
      <c r="M20" s="98">
        <f t="shared" ca="1" si="6"/>
        <v>-3</v>
      </c>
      <c r="N20" s="99">
        <f t="shared" ca="1" si="7"/>
        <v>0.11</v>
      </c>
      <c r="O20" s="6"/>
      <c r="P20" s="6">
        <f t="shared" ca="1" si="1"/>
        <v>3</v>
      </c>
    </row>
    <row r="21" spans="2:16" s="93" customFormat="1" ht="26.1" customHeight="1">
      <c r="B21" s="108">
        <f t="shared" si="2"/>
        <v>44994.645833333328</v>
      </c>
      <c r="C21" s="107">
        <v>1680</v>
      </c>
      <c r="D21" s="109">
        <f>$D$20</f>
        <v>14.5</v>
      </c>
      <c r="E21" s="110">
        <f>$E$20</f>
        <v>216</v>
      </c>
      <c r="F21" s="111">
        <f>$F$20</f>
        <v>6.62</v>
      </c>
      <c r="H21" s="105">
        <v>-0.3</v>
      </c>
      <c r="I21" s="106">
        <v>5</v>
      </c>
      <c r="J21" s="107">
        <v>0.1</v>
      </c>
      <c r="L21" s="97">
        <f t="shared" ca="1" si="5"/>
        <v>0.1</v>
      </c>
      <c r="M21" s="98">
        <f t="shared" ca="1" si="6"/>
        <v>10</v>
      </c>
      <c r="N21" s="99">
        <f t="shared" ca="1" si="7"/>
        <v>0.12</v>
      </c>
      <c r="O21" s="6"/>
      <c r="P21" s="6">
        <f t="shared" ca="1" si="1"/>
        <v>1</v>
      </c>
    </row>
    <row r="22" spans="2:16" s="93" customFormat="1" ht="26.1" customHeight="1">
      <c r="B22" s="108">
        <f t="shared" si="2"/>
        <v>44994.8125</v>
      </c>
      <c r="C22" s="107">
        <v>1920</v>
      </c>
      <c r="D22" s="109">
        <f t="shared" ref="D22:D23" si="8">$D$20</f>
        <v>14.5</v>
      </c>
      <c r="E22" s="110">
        <f t="shared" ref="E22:E23" si="9">$E$20</f>
        <v>216</v>
      </c>
      <c r="F22" s="111">
        <f t="shared" ref="F22:F23" si="10">$F$20</f>
        <v>6.62</v>
      </c>
      <c r="H22" s="105">
        <v>-0.3</v>
      </c>
      <c r="I22" s="106">
        <v>-14</v>
      </c>
      <c r="J22" s="107">
        <v>-0.09</v>
      </c>
      <c r="L22" s="97">
        <f t="shared" ca="1" si="5"/>
        <v>-0.1</v>
      </c>
      <c r="M22" s="98">
        <f t="shared" ca="1" si="6"/>
        <v>-17</v>
      </c>
      <c r="N22" s="99">
        <f t="shared" ca="1" si="7"/>
        <v>-0.11</v>
      </c>
      <c r="O22" s="6"/>
      <c r="P22" s="6">
        <f t="shared" ca="1" si="1"/>
        <v>3</v>
      </c>
    </row>
    <row r="23" spans="2:16" s="93" customFormat="1" ht="26.1" customHeight="1" thickBot="1">
      <c r="B23" s="108">
        <f t="shared" si="2"/>
        <v>44995.479166666664</v>
      </c>
      <c r="C23" s="107">
        <v>2880</v>
      </c>
      <c r="D23" s="109">
        <f t="shared" si="8"/>
        <v>14.5</v>
      </c>
      <c r="E23" s="110">
        <f t="shared" si="9"/>
        <v>216</v>
      </c>
      <c r="F23" s="111">
        <f t="shared" si="10"/>
        <v>6.62</v>
      </c>
      <c r="H23" s="112">
        <v>-0.2</v>
      </c>
      <c r="I23" s="113">
        <v>6</v>
      </c>
      <c r="J23" s="114">
        <v>0.11</v>
      </c>
      <c r="L23" s="137">
        <f t="shared" ca="1" si="5"/>
        <v>0.1</v>
      </c>
      <c r="M23" s="138">
        <f t="shared" ca="1" si="6"/>
        <v>-1</v>
      </c>
      <c r="N23" s="115">
        <f t="shared" ca="1" si="7"/>
        <v>0.12</v>
      </c>
      <c r="O23" s="6"/>
      <c r="P23" s="6">
        <f t="shared" ca="1" si="1"/>
        <v>2</v>
      </c>
    </row>
    <row r="24" spans="2:16" s="93" customFormat="1" ht="26.1" customHeight="1">
      <c r="B24" s="528" t="s">
        <v>80</v>
      </c>
      <c r="C24" s="529"/>
      <c r="D24" s="128">
        <f>MAX(D14:D23)</f>
        <v>15.100000000000001</v>
      </c>
      <c r="E24" s="129">
        <f t="shared" ref="E24:F24" si="11">MAX(E14:E23)</f>
        <v>246</v>
      </c>
      <c r="F24" s="127">
        <f t="shared" si="11"/>
        <v>6.82</v>
      </c>
      <c r="H24" s="12"/>
      <c r="I24" s="12"/>
      <c r="J24" s="12"/>
      <c r="L24" s="6"/>
      <c r="M24" s="6"/>
      <c r="N24" s="6"/>
      <c r="O24" s="6"/>
      <c r="P24" s="6"/>
    </row>
    <row r="25" spans="2:16" s="93" customFormat="1" ht="26.1" customHeight="1">
      <c r="B25" s="528" t="s">
        <v>213</v>
      </c>
      <c r="C25" s="529"/>
      <c r="D25" s="128">
        <f>MIN(D14:D23)</f>
        <v>14.5</v>
      </c>
      <c r="E25" s="129">
        <f t="shared" ref="E25:F25" si="12">MIN(E14:E23)</f>
        <v>206</v>
      </c>
      <c r="F25" s="127">
        <f t="shared" si="12"/>
        <v>6.58</v>
      </c>
      <c r="H25" s="12"/>
      <c r="I25" s="12"/>
      <c r="J25" s="12"/>
      <c r="L25" s="6"/>
      <c r="M25" s="6"/>
      <c r="N25" s="6"/>
      <c r="O25" s="6"/>
      <c r="P25" s="6"/>
    </row>
    <row r="26" spans="2:16" s="93" customFormat="1" ht="26.1" customHeight="1" thickBot="1">
      <c r="B26" s="519" t="s">
        <v>214</v>
      </c>
      <c r="C26" s="520"/>
      <c r="D26" s="130">
        <f>D24-D25</f>
        <v>0.60000000000000142</v>
      </c>
      <c r="E26" s="131">
        <f t="shared" ref="E26:F26" si="13">E24-E25</f>
        <v>40</v>
      </c>
      <c r="F26" s="132">
        <f t="shared" si="13"/>
        <v>0.24000000000000021</v>
      </c>
      <c r="H26" s="12"/>
      <c r="I26" s="12"/>
      <c r="J26" s="12"/>
      <c r="L26" s="6"/>
      <c r="M26" s="6"/>
      <c r="N26" s="6"/>
      <c r="O26" s="6"/>
      <c r="P26" s="6"/>
    </row>
    <row r="27" spans="2:16" s="93" customFormat="1" ht="18" customHeight="1">
      <c r="E27" s="12"/>
      <c r="F27" s="12"/>
      <c r="L27" s="6"/>
      <c r="M27" s="6"/>
      <c r="N27" s="6"/>
      <c r="O27" s="6"/>
      <c r="P27" s="6"/>
    </row>
    <row r="28" spans="2:16" s="93" customFormat="1" ht="18" customHeight="1">
      <c r="E28" s="12"/>
      <c r="F28" s="12"/>
      <c r="L28" s="6"/>
      <c r="M28" s="6"/>
      <c r="N28" s="6"/>
      <c r="O28" s="6"/>
      <c r="P28" s="6"/>
    </row>
    <row r="29" spans="2:16" s="93" customFormat="1" ht="18" customHeight="1">
      <c r="E29" s="12"/>
      <c r="F29" s="12"/>
    </row>
    <row r="30" spans="2:16" s="93" customFormat="1" ht="18" customHeight="1">
      <c r="E30" s="12"/>
      <c r="F30" s="12"/>
    </row>
    <row r="31" spans="2:16" s="93" customFormat="1" ht="18" customHeight="1">
      <c r="E31" s="12"/>
      <c r="F31" s="12"/>
    </row>
    <row r="32" spans="2:16" s="93" customFormat="1" ht="18" customHeight="1">
      <c r="E32" s="12"/>
      <c r="F32" s="12"/>
    </row>
    <row r="33" spans="5:6" s="93" customFormat="1" ht="18" customHeight="1">
      <c r="E33" s="12"/>
      <c r="F33" s="12"/>
    </row>
    <row r="34" spans="5:6" s="93" customFormat="1" ht="18" customHeight="1">
      <c r="E34" s="12"/>
      <c r="F34" s="12"/>
    </row>
    <row r="35" spans="5:6" s="93" customFormat="1" ht="18" customHeight="1">
      <c r="E35" s="12"/>
      <c r="F35" s="12"/>
    </row>
    <row r="36" spans="5:6" s="93" customFormat="1" ht="18" customHeight="1">
      <c r="E36" s="12"/>
      <c r="F36" s="12"/>
    </row>
    <row r="37" spans="5:6" s="93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7">
    <mergeCell ref="B26:C26"/>
    <mergeCell ref="B12:C12"/>
    <mergeCell ref="D12:F12"/>
    <mergeCell ref="H12:J12"/>
    <mergeCell ref="L12:N12"/>
    <mergeCell ref="B24:C24"/>
    <mergeCell ref="B25:C25"/>
  </mergeCells>
  <phoneticPr fontId="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autoPict="0" r:id="rId5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133350</xdr:colOff>
                <xdr:row>6</xdr:row>
                <xdr:rowOff>95250</xdr:rowOff>
              </to>
            </anchor>
          </controlPr>
        </control>
      </mc:Choice>
      <mc:Fallback>
        <control shapeId="10241" r:id="rId4" name="CommandButton1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autoPict="0" r:id="rId7">
            <anchor moveWithCells="1">
              <from>
                <xdr:col>3</xdr:col>
                <xdr:colOff>323850</xdr:colOff>
                <xdr:row>6</xdr:row>
                <xdr:rowOff>142875</xdr:rowOff>
              </from>
              <to>
                <xdr:col>5</xdr:col>
                <xdr:colOff>133350</xdr:colOff>
                <xdr:row>7</xdr:row>
                <xdr:rowOff>219075</xdr:rowOff>
              </to>
            </anchor>
          </controlPr>
        </control>
      </mc:Choice>
      <mc:Fallback>
        <control shapeId="10242" r:id="rId6" name="CommandButton2"/>
      </mc:Fallback>
    </mc:AlternateContent>
    <mc:AlternateContent xmlns:mc="http://schemas.openxmlformats.org/markup-compatibility/2006">
      <mc:Choice Requires="x14">
        <control shapeId="10243" r:id="rId8" name="CommandButton3">
          <controlPr defaultSize="0" autoLine="0" autoPict="0" r:id="rId9">
            <anchor moveWithCells="1">
              <from>
                <xdr:col>3</xdr:col>
                <xdr:colOff>333375</xdr:colOff>
                <xdr:row>7</xdr:row>
                <xdr:rowOff>276225</xdr:rowOff>
              </from>
              <to>
                <xdr:col>5</xdr:col>
                <xdr:colOff>142875</xdr:colOff>
                <xdr:row>9</xdr:row>
                <xdr:rowOff>28575</xdr:rowOff>
              </to>
            </anchor>
          </controlPr>
        </control>
      </mc:Choice>
      <mc:Fallback>
        <control shapeId="10243" r:id="rId8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15</vt:i4>
      </vt:variant>
    </vt:vector>
  </HeadingPairs>
  <TitlesOfParts>
    <vt:vector size="26" baseType="lpstr">
      <vt:lpstr>REF</vt:lpstr>
      <vt:lpstr>Sheet1</vt:lpstr>
      <vt:lpstr>Input</vt:lpstr>
      <vt:lpstr>SkinFactor</vt:lpstr>
      <vt:lpstr>SafeYield</vt:lpstr>
      <vt:lpstr>StepTest</vt:lpstr>
      <vt:lpstr>LongTest</vt:lpstr>
      <vt:lpstr>Step.Select</vt:lpstr>
      <vt:lpstr>Janggi.Select</vt:lpstr>
      <vt:lpstr>Recover.Select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2023-03-10T06:47:48Z</cp:lastPrinted>
  <dcterms:created xsi:type="dcterms:W3CDTF">2022-01-08T04:40:11Z</dcterms:created>
  <dcterms:modified xsi:type="dcterms:W3CDTF">2023-09-19T22:07:58Z</dcterms:modified>
</cp:coreProperties>
</file>