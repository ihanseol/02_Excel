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8_WebScraper\04_Selenium Final\"/>
    </mc:Choice>
  </mc:AlternateContent>
  <xr:revisionPtr revIDLastSave="0" documentId="13_ncr:1_{3FEB6FE5-B365-45E3-9FA8-45B1A3DDE7ED}" xr6:coauthVersionLast="47" xr6:coauthVersionMax="47" xr10:uidLastSave="{00000000-0000-0000-0000-000000000000}"/>
  <bookViews>
    <workbookView xWindow="5880" yWindow="2040" windowWidth="28800" windowHeight="17865" tabRatio="553" activeTab="5" xr2:uid="{00000000-000D-0000-FFFF-FFFF00000000}"/>
  </bookViews>
  <sheets>
    <sheet name="청주(유)" sheetId="121" r:id="rId1"/>
    <sheet name="대전(유)" sheetId="122" r:id="rId2"/>
    <sheet name="천안(무)" sheetId="126" r:id="rId3"/>
    <sheet name="서산(무)" sheetId="124" r:id="rId4"/>
    <sheet name="보령(무)" sheetId="123" r:id="rId5"/>
    <sheet name="부여(무)" sheetId="125" r:id="rId6"/>
    <sheet name="main" sheetId="103" r:id="rId7"/>
    <sheet name="AREA" sheetId="106" state="hidden" r:id="rId8"/>
    <sheet name="Code" sheetId="109" state="hidden" r:id="rId9"/>
  </sheets>
  <functionGroups builtInGroupCount="19"/>
  <definedNames>
    <definedName name="CategoryA_Area" localSheetId="8">#REF!</definedName>
    <definedName name="CategoryA_Area" localSheetId="1">tblCategoryA[Area]</definedName>
    <definedName name="CategoryA_Area" localSheetId="4">tblCategoryA[Area]</definedName>
    <definedName name="CategoryA_Area" localSheetId="5">tblCategoryA[Area]</definedName>
    <definedName name="CategoryA_Area" localSheetId="3">tblCategoryA[Area]</definedName>
    <definedName name="CategoryA_Area" localSheetId="2">tblCategoryA[Area]</definedName>
    <definedName name="CategoryA_Area" localSheetId="0">tblCategoryA[Area]</definedName>
    <definedName name="CategoryA_Area">tblCategoryA[Area]</definedName>
    <definedName name="local_code" localSheetId="1">'대전(유)'!#REF!</definedName>
    <definedName name="local_code" localSheetId="4">'보령(무)'!#REF!</definedName>
    <definedName name="local_code" localSheetId="5">'부여(무)'!#REF!</definedName>
    <definedName name="local_code" localSheetId="3">'서산(무)'!#REF!</definedName>
    <definedName name="local_code" localSheetId="2">'천안(무)'!#REF!</definedName>
    <definedName name="local_code" localSheetId="0">'청주(유)'!#REF!</definedName>
    <definedName name="local_code">main!$S$9</definedName>
    <definedName name="tbl_1" localSheetId="8">tblCode[Area]</definedName>
    <definedName name="tbl_1" localSheetId="1">Table1[Area]</definedName>
    <definedName name="tbl_1" localSheetId="4">Table1[Area]</definedName>
    <definedName name="tbl_1" localSheetId="5">Table1[Area]</definedName>
    <definedName name="tbl_1" localSheetId="3">Table1[Area]</definedName>
    <definedName name="tbl_1" localSheetId="2">Table1[Area]</definedName>
    <definedName name="tbl_1" localSheetId="0">Table1[Area]</definedName>
    <definedName name="tbl_1">Table1[Area]</definedName>
    <definedName name="tbl_2" localSheetId="8">#REF!</definedName>
    <definedName name="tbl_2" localSheetId="1">Table2[Area]</definedName>
    <definedName name="tbl_2" localSheetId="4">Table2[Area]</definedName>
    <definedName name="tbl_2" localSheetId="5">Table2[Area]</definedName>
    <definedName name="tbl_2" localSheetId="3">Table2[Area]</definedName>
    <definedName name="tbl_2" localSheetId="2">Table2[Area]</definedName>
    <definedName name="tbl_2" localSheetId="0">Table2[Area]</definedName>
    <definedName name="tbl_2">Table2[Area]</definedName>
    <definedName name="tbl_3" localSheetId="8">#REF!</definedName>
    <definedName name="tbl_3" localSheetId="1">Table3[Area]</definedName>
    <definedName name="tbl_3" localSheetId="4">Table3[Area]</definedName>
    <definedName name="tbl_3" localSheetId="5">Table3[Area]</definedName>
    <definedName name="tbl_3" localSheetId="3">Table3[Area]</definedName>
    <definedName name="tbl_3" localSheetId="2">Table3[Area]</definedName>
    <definedName name="tbl_3" localSheetId="0">Table3[Area]</definedName>
    <definedName name="tbl_3">Table3[Area]</definedName>
    <definedName name="tbl_4" localSheetId="8">#REF!</definedName>
    <definedName name="tbl_4" localSheetId="1">Table4[Area]</definedName>
    <definedName name="tbl_4" localSheetId="4">Table4[Area]</definedName>
    <definedName name="tbl_4" localSheetId="5">Table4[Area]</definedName>
    <definedName name="tbl_4" localSheetId="3">Table4[Area]</definedName>
    <definedName name="tbl_4" localSheetId="2">Table4[Area]</definedName>
    <definedName name="tbl_4" localSheetId="0">Table4[Area]</definedName>
    <definedName name="tbl_4">Table4[Area]</definedName>
    <definedName name="tbl_5" localSheetId="8">#REF!</definedName>
    <definedName name="tbl_5" localSheetId="1">Table5[Area]</definedName>
    <definedName name="tbl_5" localSheetId="4">Table5[Area]</definedName>
    <definedName name="tbl_5" localSheetId="5">Table5[Area]</definedName>
    <definedName name="tbl_5" localSheetId="3">Table5[Area]</definedName>
    <definedName name="tbl_5" localSheetId="2">Table5[Area]</definedName>
    <definedName name="tbl_5" localSheetId="0">Table5[Area]</definedName>
    <definedName name="tbl_5">Table5[Area]</definedName>
    <definedName name="tbl_6" localSheetId="8">#REF!</definedName>
    <definedName name="tbl_6" localSheetId="1">Table6[Area]</definedName>
    <definedName name="tbl_6" localSheetId="4">Table6[Area]</definedName>
    <definedName name="tbl_6" localSheetId="5">Table6[Area]</definedName>
    <definedName name="tbl_6" localSheetId="3">Table6[Area]</definedName>
    <definedName name="tbl_6" localSheetId="2">Table6[Area]</definedName>
    <definedName name="tbl_6" localSheetId="0">Table6[Area]</definedName>
    <definedName name="tbl_6">Table6[Area]</definedName>
    <definedName name="tbl_7" localSheetId="8">#REF!</definedName>
    <definedName name="tbl_7" localSheetId="1">Table7[Area]</definedName>
    <definedName name="tbl_7" localSheetId="4">Table7[Area]</definedName>
    <definedName name="tbl_7" localSheetId="5">Table7[Area]</definedName>
    <definedName name="tbl_7" localSheetId="3">Table7[Area]</definedName>
    <definedName name="tbl_7" localSheetId="2">Table7[Area]</definedName>
    <definedName name="tbl_7" localSheetId="0">Table7[Area]</definedName>
    <definedName name="tbl_7">Table7[Area]</definedName>
    <definedName name="tbl_8" localSheetId="8">#REF!</definedName>
    <definedName name="tbl_8" localSheetId="1">Table8[Area]</definedName>
    <definedName name="tbl_8" localSheetId="4">Table8[Area]</definedName>
    <definedName name="tbl_8" localSheetId="5">Table8[Area]</definedName>
    <definedName name="tbl_8" localSheetId="3">Table8[Area]</definedName>
    <definedName name="tbl_8" localSheetId="2">Table8[Area]</definedName>
    <definedName name="tbl_8" localSheetId="0">Table8[Area]</definedName>
    <definedName name="tbl_8">Table8[Area]</definedName>
    <definedName name="tbl_9" localSheetId="8">#REF!</definedName>
    <definedName name="tbl_9" localSheetId="1">Table9[Area]</definedName>
    <definedName name="tbl_9" localSheetId="4">Table9[Area]</definedName>
    <definedName name="tbl_9" localSheetId="5">Table9[Area]</definedName>
    <definedName name="tbl_9" localSheetId="3">Table9[Area]</definedName>
    <definedName name="tbl_9" localSheetId="2">Table9[Area]</definedName>
    <definedName name="tbl_9" localSheetId="0">Table9[Area]</definedName>
    <definedName name="tbl_9">Table9[Area]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6" i="125" l="1"/>
  <c r="P26" i="125" s="1"/>
  <c r="O25" i="125"/>
  <c r="P25" i="125" s="1"/>
  <c r="O24" i="125"/>
  <c r="P24" i="125" s="1"/>
  <c r="O23" i="125"/>
  <c r="P23" i="125" s="1"/>
  <c r="O22" i="125"/>
  <c r="P22" i="125" s="1"/>
  <c r="O21" i="125"/>
  <c r="P21" i="125" s="1"/>
  <c r="O20" i="125"/>
  <c r="P20" i="125" s="1"/>
  <c r="O19" i="125"/>
  <c r="O18" i="125"/>
  <c r="P18" i="125" s="1"/>
  <c r="O17" i="125"/>
  <c r="O16" i="125"/>
  <c r="O15" i="125"/>
  <c r="P15" i="125" s="1"/>
  <c r="O14" i="125"/>
  <c r="P14" i="125" s="1"/>
  <c r="O13" i="125"/>
  <c r="P13" i="125" s="1"/>
  <c r="O12" i="125"/>
  <c r="P12" i="125" s="1"/>
  <c r="O11" i="125"/>
  <c r="P11" i="125" s="1"/>
  <c r="O10" i="125"/>
  <c r="O9" i="125"/>
  <c r="P9" i="125" s="1"/>
  <c r="O8" i="125"/>
  <c r="O7" i="125"/>
  <c r="P7" i="125" s="1"/>
  <c r="O6" i="125"/>
  <c r="P6" i="125" s="1"/>
  <c r="N53" i="126"/>
  <c r="M53" i="126"/>
  <c r="L53" i="126"/>
  <c r="K53" i="126"/>
  <c r="J53" i="126"/>
  <c r="I53" i="126"/>
  <c r="H53" i="126"/>
  <c r="G53" i="126"/>
  <c r="F53" i="126"/>
  <c r="E53" i="126"/>
  <c r="D53" i="126"/>
  <c r="C53" i="126"/>
  <c r="B53" i="126"/>
  <c r="N52" i="126"/>
  <c r="M52" i="126"/>
  <c r="L52" i="126"/>
  <c r="K52" i="126"/>
  <c r="J52" i="126"/>
  <c r="I52" i="126"/>
  <c r="H52" i="126"/>
  <c r="G52" i="126"/>
  <c r="F52" i="126"/>
  <c r="E52" i="126"/>
  <c r="D52" i="126"/>
  <c r="C52" i="126"/>
  <c r="B52" i="126"/>
  <c r="N51" i="126"/>
  <c r="M51" i="126"/>
  <c r="L51" i="126"/>
  <c r="K51" i="126"/>
  <c r="J51" i="126"/>
  <c r="I51" i="126"/>
  <c r="H51" i="126"/>
  <c r="G51" i="126"/>
  <c r="F51" i="126"/>
  <c r="E51" i="126"/>
  <c r="D51" i="126"/>
  <c r="C51" i="126"/>
  <c r="B51" i="126"/>
  <c r="N50" i="126"/>
  <c r="M50" i="126"/>
  <c r="L50" i="126"/>
  <c r="K50" i="126"/>
  <c r="J50" i="126"/>
  <c r="I50" i="126"/>
  <c r="H50" i="126"/>
  <c r="G50" i="126"/>
  <c r="F50" i="126"/>
  <c r="E50" i="126"/>
  <c r="D50" i="126"/>
  <c r="C50" i="126"/>
  <c r="B50" i="126"/>
  <c r="N49" i="126"/>
  <c r="M49" i="126"/>
  <c r="L49" i="126"/>
  <c r="K49" i="126"/>
  <c r="J49" i="126"/>
  <c r="I49" i="126"/>
  <c r="H49" i="126"/>
  <c r="G49" i="126"/>
  <c r="F49" i="126"/>
  <c r="E49" i="126"/>
  <c r="D49" i="126"/>
  <c r="C49" i="126"/>
  <c r="B49" i="126"/>
  <c r="N48" i="126"/>
  <c r="M48" i="126"/>
  <c r="L48" i="126"/>
  <c r="K48" i="126"/>
  <c r="J48" i="126"/>
  <c r="I48" i="126"/>
  <c r="H48" i="126"/>
  <c r="G48" i="126"/>
  <c r="F48" i="126"/>
  <c r="E48" i="126"/>
  <c r="D48" i="126"/>
  <c r="C48" i="126"/>
  <c r="B48" i="126"/>
  <c r="N47" i="126"/>
  <c r="M47" i="126"/>
  <c r="L47" i="126"/>
  <c r="K47" i="126"/>
  <c r="J47" i="126"/>
  <c r="I47" i="126"/>
  <c r="H47" i="126"/>
  <c r="G47" i="126"/>
  <c r="F47" i="126"/>
  <c r="E47" i="126"/>
  <c r="D47" i="126"/>
  <c r="C47" i="126"/>
  <c r="B47" i="126"/>
  <c r="N46" i="126"/>
  <c r="M46" i="126"/>
  <c r="L46" i="126"/>
  <c r="K46" i="126"/>
  <c r="J46" i="126"/>
  <c r="I46" i="126"/>
  <c r="H46" i="126"/>
  <c r="G46" i="126"/>
  <c r="F46" i="126"/>
  <c r="E46" i="126"/>
  <c r="D46" i="126"/>
  <c r="C46" i="126"/>
  <c r="B46" i="126"/>
  <c r="N45" i="126"/>
  <c r="M45" i="126"/>
  <c r="L45" i="126"/>
  <c r="K45" i="126"/>
  <c r="J45" i="126"/>
  <c r="I45" i="126"/>
  <c r="H45" i="126"/>
  <c r="G45" i="126"/>
  <c r="F45" i="126"/>
  <c r="E45" i="126"/>
  <c r="D45" i="126"/>
  <c r="C45" i="126"/>
  <c r="B45" i="126"/>
  <c r="N44" i="126"/>
  <c r="M44" i="126"/>
  <c r="L44" i="126"/>
  <c r="K44" i="126"/>
  <c r="J44" i="126"/>
  <c r="I44" i="126"/>
  <c r="H44" i="126"/>
  <c r="G44" i="126"/>
  <c r="F44" i="126"/>
  <c r="E44" i="126"/>
  <c r="D44" i="126"/>
  <c r="C44" i="126"/>
  <c r="B44" i="126"/>
  <c r="N38" i="126"/>
  <c r="M38" i="126"/>
  <c r="L38" i="126"/>
  <c r="K38" i="126"/>
  <c r="J38" i="126"/>
  <c r="I38" i="126"/>
  <c r="H38" i="126"/>
  <c r="G38" i="126"/>
  <c r="F38" i="126"/>
  <c r="E38" i="126"/>
  <c r="D38" i="126"/>
  <c r="C38" i="126"/>
  <c r="N37" i="126"/>
  <c r="M37" i="126"/>
  <c r="L37" i="126"/>
  <c r="K37" i="126"/>
  <c r="J37" i="126"/>
  <c r="I37" i="126"/>
  <c r="H37" i="126"/>
  <c r="G37" i="126"/>
  <c r="F37" i="126"/>
  <c r="E37" i="126"/>
  <c r="D37" i="126"/>
  <c r="C37" i="126"/>
  <c r="N36" i="126"/>
  <c r="M36" i="126"/>
  <c r="L36" i="126"/>
  <c r="K36" i="126"/>
  <c r="J36" i="126"/>
  <c r="I36" i="126"/>
  <c r="H36" i="126"/>
  <c r="G36" i="126"/>
  <c r="F36" i="126"/>
  <c r="E36" i="126"/>
  <c r="D36" i="126"/>
  <c r="C36" i="126"/>
  <c r="O35" i="126"/>
  <c r="P35" i="126" s="1"/>
  <c r="O34" i="126"/>
  <c r="P34" i="126" s="1"/>
  <c r="O33" i="126"/>
  <c r="P33" i="126" s="1"/>
  <c r="O32" i="126"/>
  <c r="P32" i="126" s="1"/>
  <c r="O31" i="126"/>
  <c r="P31" i="126" s="1"/>
  <c r="O30" i="126"/>
  <c r="P30" i="126" s="1"/>
  <c r="O29" i="126"/>
  <c r="P29" i="126" s="1"/>
  <c r="O28" i="126"/>
  <c r="P28" i="126" s="1"/>
  <c r="O27" i="126"/>
  <c r="P27" i="126" s="1"/>
  <c r="O26" i="126"/>
  <c r="P26" i="126" s="1"/>
  <c r="O25" i="126"/>
  <c r="P25" i="126" s="1"/>
  <c r="O24" i="126"/>
  <c r="P24" i="126" s="1"/>
  <c r="O23" i="126"/>
  <c r="P23" i="126" s="1"/>
  <c r="O22" i="126"/>
  <c r="P22" i="126" s="1"/>
  <c r="O21" i="126"/>
  <c r="P21" i="126" s="1"/>
  <c r="O20" i="126"/>
  <c r="P20" i="126" s="1"/>
  <c r="O19" i="126"/>
  <c r="P19" i="126" s="1"/>
  <c r="O18" i="126"/>
  <c r="P18" i="126" s="1"/>
  <c r="O17" i="126"/>
  <c r="O16" i="126"/>
  <c r="P16" i="126" s="1"/>
  <c r="O15" i="126"/>
  <c r="P15" i="126" s="1"/>
  <c r="O14" i="126"/>
  <c r="P14" i="126" s="1"/>
  <c r="O13" i="126"/>
  <c r="P13" i="126" s="1"/>
  <c r="O12" i="126"/>
  <c r="P12" i="126" s="1"/>
  <c r="O11" i="126"/>
  <c r="P11" i="126" s="1"/>
  <c r="O10" i="126"/>
  <c r="P10" i="126" s="1"/>
  <c r="O9" i="126"/>
  <c r="P9" i="126" s="1"/>
  <c r="O8" i="126"/>
  <c r="P8" i="126" s="1"/>
  <c r="O7" i="126"/>
  <c r="P7" i="126" s="1"/>
  <c r="O6" i="126"/>
  <c r="N53" i="125"/>
  <c r="M53" i="125"/>
  <c r="L53" i="125"/>
  <c r="K53" i="125"/>
  <c r="J53" i="125"/>
  <c r="I53" i="125"/>
  <c r="H53" i="125"/>
  <c r="G53" i="125"/>
  <c r="F53" i="125"/>
  <c r="E53" i="125"/>
  <c r="D53" i="125"/>
  <c r="C53" i="125"/>
  <c r="B53" i="125"/>
  <c r="N52" i="125"/>
  <c r="M52" i="125"/>
  <c r="L52" i="125"/>
  <c r="K52" i="125"/>
  <c r="J52" i="125"/>
  <c r="I52" i="125"/>
  <c r="H52" i="125"/>
  <c r="G52" i="125"/>
  <c r="F52" i="125"/>
  <c r="E52" i="125"/>
  <c r="D52" i="125"/>
  <c r="C52" i="125"/>
  <c r="B52" i="125"/>
  <c r="N51" i="125"/>
  <c r="M51" i="125"/>
  <c r="L51" i="125"/>
  <c r="K51" i="125"/>
  <c r="J51" i="125"/>
  <c r="I51" i="125"/>
  <c r="H51" i="125"/>
  <c r="G51" i="125"/>
  <c r="F51" i="125"/>
  <c r="E51" i="125"/>
  <c r="D51" i="125"/>
  <c r="C51" i="125"/>
  <c r="B51" i="125"/>
  <c r="N50" i="125"/>
  <c r="M50" i="125"/>
  <c r="L50" i="125"/>
  <c r="K50" i="125"/>
  <c r="J50" i="125"/>
  <c r="I50" i="125"/>
  <c r="H50" i="125"/>
  <c r="G50" i="125"/>
  <c r="F50" i="125"/>
  <c r="E50" i="125"/>
  <c r="D50" i="125"/>
  <c r="C50" i="125"/>
  <c r="B50" i="125"/>
  <c r="N49" i="125"/>
  <c r="M49" i="125"/>
  <c r="L49" i="125"/>
  <c r="K49" i="125"/>
  <c r="J49" i="125"/>
  <c r="I49" i="125"/>
  <c r="H49" i="125"/>
  <c r="G49" i="125"/>
  <c r="F49" i="125"/>
  <c r="E49" i="125"/>
  <c r="D49" i="125"/>
  <c r="C49" i="125"/>
  <c r="B49" i="125"/>
  <c r="N48" i="125"/>
  <c r="M48" i="125"/>
  <c r="L48" i="125"/>
  <c r="K48" i="125"/>
  <c r="J48" i="125"/>
  <c r="I48" i="125"/>
  <c r="H48" i="125"/>
  <c r="G48" i="125"/>
  <c r="F48" i="125"/>
  <c r="E48" i="125"/>
  <c r="D48" i="125"/>
  <c r="C48" i="125"/>
  <c r="B48" i="125"/>
  <c r="N47" i="125"/>
  <c r="M47" i="125"/>
  <c r="L47" i="125"/>
  <c r="K47" i="125"/>
  <c r="J47" i="125"/>
  <c r="I47" i="125"/>
  <c r="H47" i="125"/>
  <c r="G47" i="125"/>
  <c r="F47" i="125"/>
  <c r="E47" i="125"/>
  <c r="D47" i="125"/>
  <c r="C47" i="125"/>
  <c r="B47" i="125"/>
  <c r="N46" i="125"/>
  <c r="M46" i="125"/>
  <c r="L46" i="125"/>
  <c r="K46" i="125"/>
  <c r="J46" i="125"/>
  <c r="I46" i="125"/>
  <c r="H46" i="125"/>
  <c r="G46" i="125"/>
  <c r="F46" i="125"/>
  <c r="E46" i="125"/>
  <c r="D46" i="125"/>
  <c r="C46" i="125"/>
  <c r="B46" i="125"/>
  <c r="N45" i="125"/>
  <c r="M45" i="125"/>
  <c r="L45" i="125"/>
  <c r="K45" i="125"/>
  <c r="J45" i="125"/>
  <c r="I45" i="125"/>
  <c r="H45" i="125"/>
  <c r="G45" i="125"/>
  <c r="F45" i="125"/>
  <c r="E45" i="125"/>
  <c r="D45" i="125"/>
  <c r="C45" i="125"/>
  <c r="B45" i="125"/>
  <c r="N44" i="125"/>
  <c r="M44" i="125"/>
  <c r="L44" i="125"/>
  <c r="K44" i="125"/>
  <c r="J44" i="125"/>
  <c r="I44" i="125"/>
  <c r="H44" i="125"/>
  <c r="G44" i="125"/>
  <c r="F44" i="125"/>
  <c r="E44" i="125"/>
  <c r="D44" i="125"/>
  <c r="C44" i="125"/>
  <c r="B44" i="125"/>
  <c r="N38" i="125"/>
  <c r="M38" i="125"/>
  <c r="L38" i="125"/>
  <c r="K38" i="125"/>
  <c r="J38" i="125"/>
  <c r="I38" i="125"/>
  <c r="H38" i="125"/>
  <c r="G38" i="125"/>
  <c r="F38" i="125"/>
  <c r="E38" i="125"/>
  <c r="D38" i="125"/>
  <c r="C38" i="125"/>
  <c r="N37" i="125"/>
  <c r="M37" i="125"/>
  <c r="L37" i="125"/>
  <c r="K37" i="125"/>
  <c r="J37" i="125"/>
  <c r="I37" i="125"/>
  <c r="H37" i="125"/>
  <c r="G37" i="125"/>
  <c r="F37" i="125"/>
  <c r="E37" i="125"/>
  <c r="D37" i="125"/>
  <c r="C37" i="125"/>
  <c r="N36" i="125"/>
  <c r="M36" i="125"/>
  <c r="L36" i="125"/>
  <c r="K36" i="125"/>
  <c r="J36" i="125"/>
  <c r="I36" i="125"/>
  <c r="H36" i="125"/>
  <c r="G36" i="125"/>
  <c r="F36" i="125"/>
  <c r="E36" i="125"/>
  <c r="D36" i="125"/>
  <c r="C36" i="125"/>
  <c r="O35" i="125"/>
  <c r="P35" i="125" s="1"/>
  <c r="O34" i="125"/>
  <c r="P34" i="125" s="1"/>
  <c r="O33" i="125"/>
  <c r="P33" i="125" s="1"/>
  <c r="O32" i="125"/>
  <c r="P32" i="125" s="1"/>
  <c r="O31" i="125"/>
  <c r="P31" i="125" s="1"/>
  <c r="O30" i="125"/>
  <c r="P30" i="125" s="1"/>
  <c r="O29" i="125"/>
  <c r="P29" i="125" s="1"/>
  <c r="O28" i="125"/>
  <c r="P28" i="125" s="1"/>
  <c r="O27" i="125"/>
  <c r="P27" i="125" s="1"/>
  <c r="P19" i="125"/>
  <c r="P17" i="125"/>
  <c r="P16" i="125"/>
  <c r="P8" i="125"/>
  <c r="N53" i="124"/>
  <c r="M53" i="124"/>
  <c r="L53" i="124"/>
  <c r="K53" i="124"/>
  <c r="J53" i="124"/>
  <c r="I53" i="124"/>
  <c r="H53" i="124"/>
  <c r="G53" i="124"/>
  <c r="F53" i="124"/>
  <c r="E53" i="124"/>
  <c r="D53" i="124"/>
  <c r="C53" i="124"/>
  <c r="B53" i="124"/>
  <c r="N52" i="124"/>
  <c r="M52" i="124"/>
  <c r="L52" i="124"/>
  <c r="K52" i="124"/>
  <c r="J52" i="124"/>
  <c r="I52" i="124"/>
  <c r="H52" i="124"/>
  <c r="G52" i="124"/>
  <c r="F52" i="124"/>
  <c r="E52" i="124"/>
  <c r="D52" i="124"/>
  <c r="C52" i="124"/>
  <c r="B52" i="124"/>
  <c r="N51" i="124"/>
  <c r="M51" i="124"/>
  <c r="L51" i="124"/>
  <c r="K51" i="124"/>
  <c r="J51" i="124"/>
  <c r="I51" i="124"/>
  <c r="H51" i="124"/>
  <c r="G51" i="124"/>
  <c r="F51" i="124"/>
  <c r="E51" i="124"/>
  <c r="D51" i="124"/>
  <c r="C51" i="124"/>
  <c r="B51" i="124"/>
  <c r="N50" i="124"/>
  <c r="M50" i="124"/>
  <c r="L50" i="124"/>
  <c r="K50" i="124"/>
  <c r="J50" i="124"/>
  <c r="I50" i="124"/>
  <c r="H50" i="124"/>
  <c r="G50" i="124"/>
  <c r="F50" i="124"/>
  <c r="E50" i="124"/>
  <c r="D50" i="124"/>
  <c r="C50" i="124"/>
  <c r="B50" i="124"/>
  <c r="N49" i="124"/>
  <c r="M49" i="124"/>
  <c r="L49" i="124"/>
  <c r="K49" i="124"/>
  <c r="J49" i="124"/>
  <c r="I49" i="124"/>
  <c r="H49" i="124"/>
  <c r="G49" i="124"/>
  <c r="F49" i="124"/>
  <c r="E49" i="124"/>
  <c r="D49" i="124"/>
  <c r="C49" i="124"/>
  <c r="B49" i="124"/>
  <c r="N48" i="124"/>
  <c r="M48" i="124"/>
  <c r="L48" i="124"/>
  <c r="K48" i="124"/>
  <c r="J48" i="124"/>
  <c r="I48" i="124"/>
  <c r="H48" i="124"/>
  <c r="G48" i="124"/>
  <c r="F48" i="124"/>
  <c r="E48" i="124"/>
  <c r="D48" i="124"/>
  <c r="C48" i="124"/>
  <c r="B48" i="124"/>
  <c r="N47" i="124"/>
  <c r="M47" i="124"/>
  <c r="L47" i="124"/>
  <c r="K47" i="124"/>
  <c r="J47" i="124"/>
  <c r="I47" i="124"/>
  <c r="H47" i="124"/>
  <c r="G47" i="124"/>
  <c r="F47" i="124"/>
  <c r="E47" i="124"/>
  <c r="D47" i="124"/>
  <c r="C47" i="124"/>
  <c r="B47" i="124"/>
  <c r="N46" i="124"/>
  <c r="M46" i="124"/>
  <c r="L46" i="124"/>
  <c r="K46" i="124"/>
  <c r="J46" i="124"/>
  <c r="I46" i="124"/>
  <c r="H46" i="124"/>
  <c r="G46" i="124"/>
  <c r="F46" i="124"/>
  <c r="E46" i="124"/>
  <c r="D46" i="124"/>
  <c r="C46" i="124"/>
  <c r="B46" i="124"/>
  <c r="N45" i="124"/>
  <c r="M45" i="124"/>
  <c r="L45" i="124"/>
  <c r="K45" i="124"/>
  <c r="J45" i="124"/>
  <c r="I45" i="124"/>
  <c r="H45" i="124"/>
  <c r="G45" i="124"/>
  <c r="F45" i="124"/>
  <c r="E45" i="124"/>
  <c r="D45" i="124"/>
  <c r="C45" i="124"/>
  <c r="B45" i="124"/>
  <c r="N44" i="124"/>
  <c r="M44" i="124"/>
  <c r="L44" i="124"/>
  <c r="K44" i="124"/>
  <c r="J44" i="124"/>
  <c r="I44" i="124"/>
  <c r="H44" i="124"/>
  <c r="G44" i="124"/>
  <c r="F44" i="124"/>
  <c r="E44" i="124"/>
  <c r="D44" i="124"/>
  <c r="C44" i="124"/>
  <c r="B44" i="124"/>
  <c r="N38" i="124"/>
  <c r="M38" i="124"/>
  <c r="L38" i="124"/>
  <c r="K38" i="124"/>
  <c r="J38" i="124"/>
  <c r="I38" i="124"/>
  <c r="H38" i="124"/>
  <c r="G38" i="124"/>
  <c r="F38" i="124"/>
  <c r="E38" i="124"/>
  <c r="D38" i="124"/>
  <c r="C38" i="124"/>
  <c r="N37" i="124"/>
  <c r="M37" i="124"/>
  <c r="L37" i="124"/>
  <c r="K37" i="124"/>
  <c r="J37" i="124"/>
  <c r="I37" i="124"/>
  <c r="H37" i="124"/>
  <c r="G37" i="124"/>
  <c r="F37" i="124"/>
  <c r="E37" i="124"/>
  <c r="D37" i="124"/>
  <c r="C37" i="124"/>
  <c r="N36" i="124"/>
  <c r="M36" i="124"/>
  <c r="L36" i="124"/>
  <c r="K36" i="124"/>
  <c r="J36" i="124"/>
  <c r="I36" i="124"/>
  <c r="H36" i="124"/>
  <c r="G36" i="124"/>
  <c r="F36" i="124"/>
  <c r="E36" i="124"/>
  <c r="D36" i="124"/>
  <c r="C36" i="124"/>
  <c r="O35" i="124"/>
  <c r="P35" i="124" s="1"/>
  <c r="O34" i="124"/>
  <c r="P34" i="124" s="1"/>
  <c r="O33" i="124"/>
  <c r="P33" i="124" s="1"/>
  <c r="O32" i="124"/>
  <c r="P32" i="124" s="1"/>
  <c r="O31" i="124"/>
  <c r="P31" i="124" s="1"/>
  <c r="O30" i="124"/>
  <c r="P30" i="124" s="1"/>
  <c r="O29" i="124"/>
  <c r="P29" i="124" s="1"/>
  <c r="O28" i="124"/>
  <c r="P28" i="124" s="1"/>
  <c r="O27" i="124"/>
  <c r="P27" i="124" s="1"/>
  <c r="O26" i="124"/>
  <c r="P26" i="124" s="1"/>
  <c r="O25" i="124"/>
  <c r="P25" i="124" s="1"/>
  <c r="O24" i="124"/>
  <c r="P24" i="124" s="1"/>
  <c r="O23" i="124"/>
  <c r="P23" i="124" s="1"/>
  <c r="O22" i="124"/>
  <c r="P22" i="124" s="1"/>
  <c r="O21" i="124"/>
  <c r="P21" i="124" s="1"/>
  <c r="O20" i="124"/>
  <c r="P20" i="124" s="1"/>
  <c r="O19" i="124"/>
  <c r="P19" i="124" s="1"/>
  <c r="O18" i="124"/>
  <c r="P18" i="124" s="1"/>
  <c r="O17" i="124"/>
  <c r="P17" i="124" s="1"/>
  <c r="O16" i="124"/>
  <c r="P16" i="124" s="1"/>
  <c r="O15" i="124"/>
  <c r="P15" i="124" s="1"/>
  <c r="O14" i="124"/>
  <c r="P14" i="124" s="1"/>
  <c r="O13" i="124"/>
  <c r="P13" i="124" s="1"/>
  <c r="O12" i="124"/>
  <c r="P12" i="124" s="1"/>
  <c r="O11" i="124"/>
  <c r="P11" i="124" s="1"/>
  <c r="O10" i="124"/>
  <c r="P10" i="124" s="1"/>
  <c r="O9" i="124"/>
  <c r="P9" i="124" s="1"/>
  <c r="O8" i="124"/>
  <c r="P8" i="124" s="1"/>
  <c r="O7" i="124"/>
  <c r="P7" i="124" s="1"/>
  <c r="O6" i="124"/>
  <c r="N53" i="123"/>
  <c r="M53" i="123"/>
  <c r="L53" i="123"/>
  <c r="K53" i="123"/>
  <c r="J53" i="123"/>
  <c r="I53" i="123"/>
  <c r="H53" i="123"/>
  <c r="G53" i="123"/>
  <c r="F53" i="123"/>
  <c r="E53" i="123"/>
  <c r="D53" i="123"/>
  <c r="C53" i="123"/>
  <c r="B53" i="123"/>
  <c r="N52" i="123"/>
  <c r="M52" i="123"/>
  <c r="L52" i="123"/>
  <c r="K52" i="123"/>
  <c r="J52" i="123"/>
  <c r="I52" i="123"/>
  <c r="H52" i="123"/>
  <c r="G52" i="123"/>
  <c r="F52" i="123"/>
  <c r="E52" i="123"/>
  <c r="D52" i="123"/>
  <c r="C52" i="123"/>
  <c r="B52" i="123"/>
  <c r="N51" i="123"/>
  <c r="M51" i="123"/>
  <c r="L51" i="123"/>
  <c r="K51" i="123"/>
  <c r="J51" i="123"/>
  <c r="I51" i="123"/>
  <c r="H51" i="123"/>
  <c r="G51" i="123"/>
  <c r="F51" i="123"/>
  <c r="E51" i="123"/>
  <c r="D51" i="123"/>
  <c r="C51" i="123"/>
  <c r="B51" i="123"/>
  <c r="N50" i="123"/>
  <c r="M50" i="123"/>
  <c r="L50" i="123"/>
  <c r="K50" i="123"/>
  <c r="J50" i="123"/>
  <c r="I50" i="123"/>
  <c r="H50" i="123"/>
  <c r="G50" i="123"/>
  <c r="F50" i="123"/>
  <c r="E50" i="123"/>
  <c r="D50" i="123"/>
  <c r="C50" i="123"/>
  <c r="B50" i="123"/>
  <c r="N49" i="123"/>
  <c r="M49" i="123"/>
  <c r="L49" i="123"/>
  <c r="K49" i="123"/>
  <c r="J49" i="123"/>
  <c r="I49" i="123"/>
  <c r="H49" i="123"/>
  <c r="G49" i="123"/>
  <c r="F49" i="123"/>
  <c r="E49" i="123"/>
  <c r="D49" i="123"/>
  <c r="C49" i="123"/>
  <c r="B49" i="123"/>
  <c r="N48" i="123"/>
  <c r="M48" i="123"/>
  <c r="L48" i="123"/>
  <c r="K48" i="123"/>
  <c r="J48" i="123"/>
  <c r="I48" i="123"/>
  <c r="H48" i="123"/>
  <c r="G48" i="123"/>
  <c r="F48" i="123"/>
  <c r="E48" i="123"/>
  <c r="D48" i="123"/>
  <c r="C48" i="123"/>
  <c r="B48" i="123"/>
  <c r="N47" i="123"/>
  <c r="M47" i="123"/>
  <c r="L47" i="123"/>
  <c r="K47" i="123"/>
  <c r="J47" i="123"/>
  <c r="I47" i="123"/>
  <c r="H47" i="123"/>
  <c r="G47" i="123"/>
  <c r="F47" i="123"/>
  <c r="E47" i="123"/>
  <c r="D47" i="123"/>
  <c r="C47" i="123"/>
  <c r="B47" i="123"/>
  <c r="N46" i="123"/>
  <c r="M46" i="123"/>
  <c r="L46" i="123"/>
  <c r="K46" i="123"/>
  <c r="J46" i="123"/>
  <c r="I46" i="123"/>
  <c r="H46" i="123"/>
  <c r="G46" i="123"/>
  <c r="F46" i="123"/>
  <c r="E46" i="123"/>
  <c r="D46" i="123"/>
  <c r="C46" i="123"/>
  <c r="B46" i="123"/>
  <c r="N45" i="123"/>
  <c r="M45" i="123"/>
  <c r="L45" i="123"/>
  <c r="K45" i="123"/>
  <c r="J45" i="123"/>
  <c r="I45" i="123"/>
  <c r="H45" i="123"/>
  <c r="G45" i="123"/>
  <c r="F45" i="123"/>
  <c r="E45" i="123"/>
  <c r="D45" i="123"/>
  <c r="C45" i="123"/>
  <c r="B45" i="123"/>
  <c r="N44" i="123"/>
  <c r="M44" i="123"/>
  <c r="L44" i="123"/>
  <c r="K44" i="123"/>
  <c r="J44" i="123"/>
  <c r="I44" i="123"/>
  <c r="H44" i="123"/>
  <c r="G44" i="123"/>
  <c r="F44" i="123"/>
  <c r="E44" i="123"/>
  <c r="D44" i="123"/>
  <c r="C44" i="123"/>
  <c r="B44" i="123"/>
  <c r="N38" i="123"/>
  <c r="M38" i="123"/>
  <c r="L38" i="123"/>
  <c r="K38" i="123"/>
  <c r="J38" i="123"/>
  <c r="I38" i="123"/>
  <c r="H38" i="123"/>
  <c r="G38" i="123"/>
  <c r="F38" i="123"/>
  <c r="E38" i="123"/>
  <c r="D38" i="123"/>
  <c r="C38" i="123"/>
  <c r="N37" i="123"/>
  <c r="M37" i="123"/>
  <c r="L37" i="123"/>
  <c r="K37" i="123"/>
  <c r="J37" i="123"/>
  <c r="I37" i="123"/>
  <c r="H37" i="123"/>
  <c r="G37" i="123"/>
  <c r="F37" i="123"/>
  <c r="E37" i="123"/>
  <c r="D37" i="123"/>
  <c r="C37" i="123"/>
  <c r="N36" i="123"/>
  <c r="M36" i="123"/>
  <c r="L36" i="123"/>
  <c r="K36" i="123"/>
  <c r="J36" i="123"/>
  <c r="I36" i="123"/>
  <c r="H36" i="123"/>
  <c r="G36" i="123"/>
  <c r="F36" i="123"/>
  <c r="E36" i="123"/>
  <c r="D36" i="123"/>
  <c r="C36" i="123"/>
  <c r="O35" i="123"/>
  <c r="P35" i="123" s="1"/>
  <c r="O34" i="123"/>
  <c r="P34" i="123" s="1"/>
  <c r="O33" i="123"/>
  <c r="P33" i="123" s="1"/>
  <c r="O32" i="123"/>
  <c r="P32" i="123" s="1"/>
  <c r="O31" i="123"/>
  <c r="P31" i="123" s="1"/>
  <c r="O30" i="123"/>
  <c r="P30" i="123" s="1"/>
  <c r="O29" i="123"/>
  <c r="P29" i="123" s="1"/>
  <c r="O28" i="123"/>
  <c r="P28" i="123" s="1"/>
  <c r="O27" i="123"/>
  <c r="P27" i="123" s="1"/>
  <c r="O26" i="123"/>
  <c r="P26" i="123" s="1"/>
  <c r="O25" i="123"/>
  <c r="P25" i="123" s="1"/>
  <c r="O24" i="123"/>
  <c r="P24" i="123" s="1"/>
  <c r="O23" i="123"/>
  <c r="P23" i="123" s="1"/>
  <c r="O22" i="123"/>
  <c r="P22" i="123" s="1"/>
  <c r="O21" i="123"/>
  <c r="P21" i="123" s="1"/>
  <c r="O20" i="123"/>
  <c r="P20" i="123" s="1"/>
  <c r="O19" i="123"/>
  <c r="P19" i="123" s="1"/>
  <c r="O18" i="123"/>
  <c r="P18" i="123" s="1"/>
  <c r="O17" i="123"/>
  <c r="O16" i="123"/>
  <c r="P16" i="123" s="1"/>
  <c r="O15" i="123"/>
  <c r="P15" i="123" s="1"/>
  <c r="O14" i="123"/>
  <c r="P14" i="123" s="1"/>
  <c r="O13" i="123"/>
  <c r="P13" i="123" s="1"/>
  <c r="O12" i="123"/>
  <c r="P12" i="123" s="1"/>
  <c r="O11" i="123"/>
  <c r="P11" i="123" s="1"/>
  <c r="O10" i="123"/>
  <c r="P10" i="123" s="1"/>
  <c r="O9" i="123"/>
  <c r="P9" i="123" s="1"/>
  <c r="O8" i="123"/>
  <c r="P8" i="123" s="1"/>
  <c r="O7" i="123"/>
  <c r="P7" i="123" s="1"/>
  <c r="O6" i="123"/>
  <c r="P6" i="123" s="1"/>
  <c r="N53" i="122"/>
  <c r="M53" i="122"/>
  <c r="L53" i="122"/>
  <c r="K53" i="122"/>
  <c r="J53" i="122"/>
  <c r="I53" i="122"/>
  <c r="H53" i="122"/>
  <c r="G53" i="122"/>
  <c r="F53" i="122"/>
  <c r="E53" i="122"/>
  <c r="D53" i="122"/>
  <c r="C53" i="122"/>
  <c r="B53" i="122"/>
  <c r="N52" i="122"/>
  <c r="M52" i="122"/>
  <c r="L52" i="122"/>
  <c r="K52" i="122"/>
  <c r="J52" i="122"/>
  <c r="I52" i="122"/>
  <c r="H52" i="122"/>
  <c r="G52" i="122"/>
  <c r="F52" i="122"/>
  <c r="E52" i="122"/>
  <c r="D52" i="122"/>
  <c r="C52" i="122"/>
  <c r="B52" i="122"/>
  <c r="N51" i="122"/>
  <c r="M51" i="122"/>
  <c r="L51" i="122"/>
  <c r="K51" i="122"/>
  <c r="J51" i="122"/>
  <c r="I51" i="122"/>
  <c r="H51" i="122"/>
  <c r="G51" i="122"/>
  <c r="F51" i="122"/>
  <c r="E51" i="122"/>
  <c r="D51" i="122"/>
  <c r="C51" i="122"/>
  <c r="B51" i="122"/>
  <c r="N50" i="122"/>
  <c r="M50" i="122"/>
  <c r="L50" i="122"/>
  <c r="K50" i="122"/>
  <c r="J50" i="122"/>
  <c r="I50" i="122"/>
  <c r="H50" i="122"/>
  <c r="G50" i="122"/>
  <c r="F50" i="122"/>
  <c r="E50" i="122"/>
  <c r="D50" i="122"/>
  <c r="C50" i="122"/>
  <c r="B50" i="122"/>
  <c r="N49" i="122"/>
  <c r="M49" i="122"/>
  <c r="L49" i="122"/>
  <c r="K49" i="122"/>
  <c r="J49" i="122"/>
  <c r="I49" i="122"/>
  <c r="H49" i="122"/>
  <c r="G49" i="122"/>
  <c r="F49" i="122"/>
  <c r="E49" i="122"/>
  <c r="D49" i="122"/>
  <c r="C49" i="122"/>
  <c r="B49" i="122"/>
  <c r="N48" i="122"/>
  <c r="M48" i="122"/>
  <c r="L48" i="122"/>
  <c r="K48" i="122"/>
  <c r="J48" i="122"/>
  <c r="I48" i="122"/>
  <c r="H48" i="122"/>
  <c r="G48" i="122"/>
  <c r="F48" i="122"/>
  <c r="E48" i="122"/>
  <c r="D48" i="122"/>
  <c r="C48" i="122"/>
  <c r="B48" i="122"/>
  <c r="N47" i="122"/>
  <c r="M47" i="122"/>
  <c r="L47" i="122"/>
  <c r="K47" i="122"/>
  <c r="J47" i="122"/>
  <c r="I47" i="122"/>
  <c r="H47" i="122"/>
  <c r="G47" i="122"/>
  <c r="F47" i="122"/>
  <c r="E47" i="122"/>
  <c r="D47" i="122"/>
  <c r="C47" i="122"/>
  <c r="B47" i="122"/>
  <c r="N46" i="122"/>
  <c r="M46" i="122"/>
  <c r="L46" i="122"/>
  <c r="K46" i="122"/>
  <c r="J46" i="122"/>
  <c r="I46" i="122"/>
  <c r="H46" i="122"/>
  <c r="G46" i="122"/>
  <c r="F46" i="122"/>
  <c r="E46" i="122"/>
  <c r="D46" i="122"/>
  <c r="C46" i="122"/>
  <c r="B46" i="122"/>
  <c r="N45" i="122"/>
  <c r="M45" i="122"/>
  <c r="L45" i="122"/>
  <c r="K45" i="122"/>
  <c r="J45" i="122"/>
  <c r="I45" i="122"/>
  <c r="H45" i="122"/>
  <c r="G45" i="122"/>
  <c r="F45" i="122"/>
  <c r="E45" i="122"/>
  <c r="D45" i="122"/>
  <c r="C45" i="122"/>
  <c r="B45" i="122"/>
  <c r="N44" i="122"/>
  <c r="M44" i="122"/>
  <c r="L44" i="122"/>
  <c r="K44" i="122"/>
  <c r="J44" i="122"/>
  <c r="I44" i="122"/>
  <c r="H44" i="122"/>
  <c r="G44" i="122"/>
  <c r="F44" i="122"/>
  <c r="E44" i="122"/>
  <c r="D44" i="122"/>
  <c r="C44" i="122"/>
  <c r="B44" i="122"/>
  <c r="N38" i="122"/>
  <c r="M38" i="122"/>
  <c r="L38" i="122"/>
  <c r="K38" i="122"/>
  <c r="J38" i="122"/>
  <c r="I38" i="122"/>
  <c r="H38" i="122"/>
  <c r="G38" i="122"/>
  <c r="F38" i="122"/>
  <c r="E38" i="122"/>
  <c r="D38" i="122"/>
  <c r="C38" i="122"/>
  <c r="N37" i="122"/>
  <c r="M37" i="122"/>
  <c r="L37" i="122"/>
  <c r="K37" i="122"/>
  <c r="J37" i="122"/>
  <c r="I37" i="122"/>
  <c r="H37" i="122"/>
  <c r="G37" i="122"/>
  <c r="F37" i="122"/>
  <c r="E37" i="122"/>
  <c r="D37" i="122"/>
  <c r="C37" i="122"/>
  <c r="N36" i="122"/>
  <c r="M36" i="122"/>
  <c r="L36" i="122"/>
  <c r="K36" i="122"/>
  <c r="J36" i="122"/>
  <c r="I36" i="122"/>
  <c r="H36" i="122"/>
  <c r="G36" i="122"/>
  <c r="F36" i="122"/>
  <c r="E36" i="122"/>
  <c r="D36" i="122"/>
  <c r="C36" i="122"/>
  <c r="O35" i="122"/>
  <c r="P35" i="122" s="1"/>
  <c r="O34" i="122"/>
  <c r="P34" i="122" s="1"/>
  <c r="O33" i="122"/>
  <c r="P33" i="122" s="1"/>
  <c r="O32" i="122"/>
  <c r="P32" i="122" s="1"/>
  <c r="O31" i="122"/>
  <c r="P31" i="122" s="1"/>
  <c r="O30" i="122"/>
  <c r="P30" i="122" s="1"/>
  <c r="O29" i="122"/>
  <c r="P29" i="122" s="1"/>
  <c r="O28" i="122"/>
  <c r="P28" i="122" s="1"/>
  <c r="O27" i="122"/>
  <c r="P27" i="122" s="1"/>
  <c r="O26" i="122"/>
  <c r="P26" i="122" s="1"/>
  <c r="O25" i="122"/>
  <c r="P25" i="122" s="1"/>
  <c r="O24" i="122"/>
  <c r="P24" i="122" s="1"/>
  <c r="O23" i="122"/>
  <c r="P23" i="122" s="1"/>
  <c r="O22" i="122"/>
  <c r="P22" i="122" s="1"/>
  <c r="O21" i="122"/>
  <c r="P21" i="122" s="1"/>
  <c r="O20" i="122"/>
  <c r="P20" i="122" s="1"/>
  <c r="O19" i="122"/>
  <c r="P19" i="122" s="1"/>
  <c r="O18" i="122"/>
  <c r="P18" i="122" s="1"/>
  <c r="O17" i="122"/>
  <c r="P17" i="122" s="1"/>
  <c r="O16" i="122"/>
  <c r="P16" i="122" s="1"/>
  <c r="O15" i="122"/>
  <c r="P15" i="122" s="1"/>
  <c r="O14" i="122"/>
  <c r="P14" i="122" s="1"/>
  <c r="O13" i="122"/>
  <c r="P13" i="122" s="1"/>
  <c r="O12" i="122"/>
  <c r="P12" i="122" s="1"/>
  <c r="O11" i="122"/>
  <c r="P11" i="122" s="1"/>
  <c r="O10" i="122"/>
  <c r="P10" i="122" s="1"/>
  <c r="O9" i="122"/>
  <c r="P9" i="122" s="1"/>
  <c r="O8" i="122"/>
  <c r="P8" i="122" s="1"/>
  <c r="O7" i="122"/>
  <c r="P7" i="122" s="1"/>
  <c r="O6" i="122"/>
  <c r="N53" i="121"/>
  <c r="M53" i="121"/>
  <c r="L53" i="121"/>
  <c r="K53" i="121"/>
  <c r="J53" i="121"/>
  <c r="I53" i="121"/>
  <c r="H53" i="121"/>
  <c r="G53" i="121"/>
  <c r="F53" i="121"/>
  <c r="E53" i="121"/>
  <c r="D53" i="121"/>
  <c r="C53" i="121"/>
  <c r="B53" i="121"/>
  <c r="N52" i="121"/>
  <c r="M52" i="121"/>
  <c r="L52" i="121"/>
  <c r="K52" i="121"/>
  <c r="J52" i="121"/>
  <c r="I52" i="121"/>
  <c r="H52" i="121"/>
  <c r="G52" i="121"/>
  <c r="F52" i="121"/>
  <c r="E52" i="121"/>
  <c r="D52" i="121"/>
  <c r="C52" i="121"/>
  <c r="B52" i="121"/>
  <c r="N51" i="121"/>
  <c r="M51" i="121"/>
  <c r="L51" i="121"/>
  <c r="K51" i="121"/>
  <c r="J51" i="121"/>
  <c r="I51" i="121"/>
  <c r="H51" i="121"/>
  <c r="G51" i="121"/>
  <c r="F51" i="121"/>
  <c r="E51" i="121"/>
  <c r="D51" i="121"/>
  <c r="C51" i="121"/>
  <c r="B51" i="121"/>
  <c r="N50" i="121"/>
  <c r="M50" i="121"/>
  <c r="L50" i="121"/>
  <c r="K50" i="121"/>
  <c r="J50" i="121"/>
  <c r="I50" i="121"/>
  <c r="H50" i="121"/>
  <c r="G50" i="121"/>
  <c r="F50" i="121"/>
  <c r="E50" i="121"/>
  <c r="D50" i="121"/>
  <c r="C50" i="121"/>
  <c r="B50" i="121"/>
  <c r="N49" i="121"/>
  <c r="M49" i="121"/>
  <c r="L49" i="121"/>
  <c r="K49" i="121"/>
  <c r="J49" i="121"/>
  <c r="I49" i="121"/>
  <c r="H49" i="121"/>
  <c r="G49" i="121"/>
  <c r="F49" i="121"/>
  <c r="E49" i="121"/>
  <c r="D49" i="121"/>
  <c r="C49" i="121"/>
  <c r="B49" i="121"/>
  <c r="N48" i="121"/>
  <c r="M48" i="121"/>
  <c r="L48" i="121"/>
  <c r="K48" i="121"/>
  <c r="J48" i="121"/>
  <c r="I48" i="121"/>
  <c r="H48" i="121"/>
  <c r="G48" i="121"/>
  <c r="F48" i="121"/>
  <c r="E48" i="121"/>
  <c r="D48" i="121"/>
  <c r="C48" i="121"/>
  <c r="B48" i="121"/>
  <c r="N47" i="121"/>
  <c r="M47" i="121"/>
  <c r="L47" i="121"/>
  <c r="K47" i="121"/>
  <c r="J47" i="121"/>
  <c r="I47" i="121"/>
  <c r="H47" i="121"/>
  <c r="G47" i="121"/>
  <c r="F47" i="121"/>
  <c r="E47" i="121"/>
  <c r="D47" i="121"/>
  <c r="C47" i="121"/>
  <c r="B47" i="121"/>
  <c r="N46" i="121"/>
  <c r="M46" i="121"/>
  <c r="L46" i="121"/>
  <c r="K46" i="121"/>
  <c r="J46" i="121"/>
  <c r="I46" i="121"/>
  <c r="H46" i="121"/>
  <c r="G46" i="121"/>
  <c r="F46" i="121"/>
  <c r="E46" i="121"/>
  <c r="D46" i="121"/>
  <c r="C46" i="121"/>
  <c r="B46" i="121"/>
  <c r="N45" i="121"/>
  <c r="M45" i="121"/>
  <c r="L45" i="121"/>
  <c r="K45" i="121"/>
  <c r="J45" i="121"/>
  <c r="I45" i="121"/>
  <c r="H45" i="121"/>
  <c r="G45" i="121"/>
  <c r="F45" i="121"/>
  <c r="E45" i="121"/>
  <c r="D45" i="121"/>
  <c r="C45" i="121"/>
  <c r="B45" i="121"/>
  <c r="N44" i="121"/>
  <c r="M44" i="121"/>
  <c r="L44" i="121"/>
  <c r="K44" i="121"/>
  <c r="J44" i="121"/>
  <c r="I44" i="121"/>
  <c r="H44" i="121"/>
  <c r="G44" i="121"/>
  <c r="F44" i="121"/>
  <c r="E44" i="121"/>
  <c r="D44" i="121"/>
  <c r="C44" i="121"/>
  <c r="B44" i="121"/>
  <c r="N38" i="121"/>
  <c r="M38" i="121"/>
  <c r="L38" i="121"/>
  <c r="K38" i="121"/>
  <c r="J38" i="121"/>
  <c r="I38" i="121"/>
  <c r="H38" i="121"/>
  <c r="G38" i="121"/>
  <c r="F38" i="121"/>
  <c r="E38" i="121"/>
  <c r="D38" i="121"/>
  <c r="C38" i="121"/>
  <c r="N37" i="121"/>
  <c r="M37" i="121"/>
  <c r="L37" i="121"/>
  <c r="K37" i="121"/>
  <c r="J37" i="121"/>
  <c r="I37" i="121"/>
  <c r="H37" i="121"/>
  <c r="G37" i="121"/>
  <c r="F37" i="121"/>
  <c r="E37" i="121"/>
  <c r="D37" i="121"/>
  <c r="C37" i="121"/>
  <c r="N36" i="121"/>
  <c r="M36" i="121"/>
  <c r="L36" i="121"/>
  <c r="K36" i="121"/>
  <c r="J36" i="121"/>
  <c r="I36" i="121"/>
  <c r="H36" i="121"/>
  <c r="G36" i="121"/>
  <c r="F36" i="121"/>
  <c r="E36" i="121"/>
  <c r="D36" i="121"/>
  <c r="C36" i="121"/>
  <c r="O35" i="121"/>
  <c r="P35" i="121" s="1"/>
  <c r="O34" i="121"/>
  <c r="P34" i="121" s="1"/>
  <c r="O33" i="121"/>
  <c r="P33" i="121" s="1"/>
  <c r="O32" i="121"/>
  <c r="P32" i="121" s="1"/>
  <c r="O31" i="121"/>
  <c r="P31" i="121" s="1"/>
  <c r="O30" i="121"/>
  <c r="P30" i="121" s="1"/>
  <c r="O29" i="121"/>
  <c r="P29" i="121" s="1"/>
  <c r="O28" i="121"/>
  <c r="P28" i="121" s="1"/>
  <c r="O27" i="121"/>
  <c r="P27" i="121" s="1"/>
  <c r="O26" i="121"/>
  <c r="P26" i="121" s="1"/>
  <c r="O25" i="121"/>
  <c r="P25" i="121" s="1"/>
  <c r="O24" i="121"/>
  <c r="P24" i="121" s="1"/>
  <c r="O23" i="121"/>
  <c r="P23" i="121" s="1"/>
  <c r="O22" i="121"/>
  <c r="P22" i="121" s="1"/>
  <c r="O21" i="121"/>
  <c r="P21" i="121" s="1"/>
  <c r="O20" i="121"/>
  <c r="P20" i="121" s="1"/>
  <c r="O19" i="121"/>
  <c r="P19" i="121" s="1"/>
  <c r="O18" i="121"/>
  <c r="P18" i="121" s="1"/>
  <c r="O17" i="121"/>
  <c r="O16" i="121"/>
  <c r="P16" i="121" s="1"/>
  <c r="O15" i="121"/>
  <c r="P15" i="121" s="1"/>
  <c r="O14" i="121"/>
  <c r="P14" i="121" s="1"/>
  <c r="O13" i="121"/>
  <c r="P13" i="121" s="1"/>
  <c r="O12" i="121"/>
  <c r="P12" i="121" s="1"/>
  <c r="O11" i="121"/>
  <c r="P11" i="121" s="1"/>
  <c r="O10" i="121"/>
  <c r="P10" i="121" s="1"/>
  <c r="O9" i="121"/>
  <c r="P9" i="121" s="1"/>
  <c r="O8" i="121"/>
  <c r="P8" i="121" s="1"/>
  <c r="O7" i="121"/>
  <c r="P7" i="121" s="1"/>
  <c r="O6" i="121"/>
  <c r="S9" i="103"/>
  <c r="R9" i="103"/>
  <c r="O49" i="124" l="1"/>
  <c r="P49" i="124" s="1"/>
  <c r="I56" i="122"/>
  <c r="F54" i="124"/>
  <c r="N55" i="121"/>
  <c r="O53" i="121"/>
  <c r="P53" i="121" s="1"/>
  <c r="O49" i="123"/>
  <c r="P49" i="123" s="1"/>
  <c r="O44" i="123"/>
  <c r="H54" i="123"/>
  <c r="F55" i="125"/>
  <c r="I54" i="125"/>
  <c r="G54" i="125"/>
  <c r="D54" i="121"/>
  <c r="O49" i="121"/>
  <c r="P49" i="121" s="1"/>
  <c r="O53" i="125"/>
  <c r="P53" i="125" s="1"/>
  <c r="O48" i="121"/>
  <c r="P48" i="121" s="1"/>
  <c r="O46" i="123"/>
  <c r="P46" i="123" s="1"/>
  <c r="E56" i="122"/>
  <c r="G55" i="126"/>
  <c r="F55" i="126"/>
  <c r="O53" i="126"/>
  <c r="P53" i="126" s="1"/>
  <c r="J54" i="126"/>
  <c r="O48" i="126"/>
  <c r="P48" i="126" s="1"/>
  <c r="O37" i="126"/>
  <c r="K54" i="126"/>
  <c r="G54" i="126"/>
  <c r="O52" i="126"/>
  <c r="P52" i="126" s="1"/>
  <c r="H54" i="126"/>
  <c r="L54" i="126"/>
  <c r="O47" i="126"/>
  <c r="P47" i="126" s="1"/>
  <c r="M55" i="126"/>
  <c r="F54" i="126"/>
  <c r="N55" i="126"/>
  <c r="O46" i="126"/>
  <c r="P46" i="126" s="1"/>
  <c r="O51" i="126"/>
  <c r="P51" i="126" s="1"/>
  <c r="O38" i="126"/>
  <c r="I54" i="126"/>
  <c r="O45" i="126"/>
  <c r="P45" i="126" s="1"/>
  <c r="O50" i="126"/>
  <c r="P50" i="126" s="1"/>
  <c r="P6" i="126"/>
  <c r="P37" i="126" s="1"/>
  <c r="O44" i="126"/>
  <c r="P44" i="126" s="1"/>
  <c r="H56" i="126"/>
  <c r="I56" i="126"/>
  <c r="D54" i="126"/>
  <c r="O49" i="126"/>
  <c r="P49" i="126" s="1"/>
  <c r="M54" i="126"/>
  <c r="E54" i="126"/>
  <c r="J55" i="126"/>
  <c r="N54" i="126"/>
  <c r="O36" i="126"/>
  <c r="C56" i="126"/>
  <c r="D56" i="126"/>
  <c r="C55" i="126"/>
  <c r="E56" i="126"/>
  <c r="P17" i="126"/>
  <c r="D55" i="126"/>
  <c r="F56" i="126"/>
  <c r="C54" i="126"/>
  <c r="E55" i="126"/>
  <c r="G56" i="126"/>
  <c r="H55" i="126"/>
  <c r="J56" i="126"/>
  <c r="I55" i="126"/>
  <c r="K56" i="126"/>
  <c r="L56" i="126"/>
  <c r="K55" i="126"/>
  <c r="M56" i="126"/>
  <c r="L55" i="126"/>
  <c r="N56" i="126"/>
  <c r="I55" i="125"/>
  <c r="L56" i="125"/>
  <c r="O36" i="125"/>
  <c r="J54" i="125"/>
  <c r="O47" i="125"/>
  <c r="P47" i="125" s="1"/>
  <c r="O48" i="125"/>
  <c r="P48" i="125" s="1"/>
  <c r="K54" i="125"/>
  <c r="J55" i="125"/>
  <c r="O52" i="125"/>
  <c r="P52" i="125" s="1"/>
  <c r="L54" i="125"/>
  <c r="H54" i="125"/>
  <c r="M55" i="125"/>
  <c r="H56" i="125"/>
  <c r="N55" i="125"/>
  <c r="O46" i="125"/>
  <c r="P46" i="125" s="1"/>
  <c r="H55" i="125"/>
  <c r="O51" i="125"/>
  <c r="P51" i="125" s="1"/>
  <c r="O45" i="125"/>
  <c r="P45" i="125" s="1"/>
  <c r="J56" i="125"/>
  <c r="G56" i="125"/>
  <c r="O50" i="125"/>
  <c r="P50" i="125" s="1"/>
  <c r="O44" i="125"/>
  <c r="P44" i="125" s="1"/>
  <c r="F54" i="125"/>
  <c r="D54" i="125"/>
  <c r="O49" i="125"/>
  <c r="P49" i="125" s="1"/>
  <c r="M54" i="125"/>
  <c r="E54" i="125"/>
  <c r="N54" i="125"/>
  <c r="C56" i="125"/>
  <c r="D56" i="125"/>
  <c r="P10" i="125"/>
  <c r="P37" i="125" s="1"/>
  <c r="C55" i="125"/>
  <c r="E56" i="125"/>
  <c r="O37" i="125"/>
  <c r="D55" i="125"/>
  <c r="F56" i="125"/>
  <c r="C54" i="125"/>
  <c r="E55" i="125"/>
  <c r="G55" i="125"/>
  <c r="I56" i="125"/>
  <c r="K56" i="125"/>
  <c r="K55" i="125"/>
  <c r="M56" i="125"/>
  <c r="L55" i="125"/>
  <c r="N56" i="125"/>
  <c r="O38" i="125"/>
  <c r="K54" i="124"/>
  <c r="N55" i="124"/>
  <c r="O48" i="124"/>
  <c r="P48" i="124" s="1"/>
  <c r="I54" i="124"/>
  <c r="O38" i="124"/>
  <c r="J54" i="124"/>
  <c r="M55" i="124"/>
  <c r="I55" i="124"/>
  <c r="H54" i="124"/>
  <c r="K55" i="124"/>
  <c r="O53" i="124"/>
  <c r="P53" i="124" s="1"/>
  <c r="L54" i="124"/>
  <c r="M56" i="124"/>
  <c r="O46" i="124"/>
  <c r="P46" i="124" s="1"/>
  <c r="O47" i="124"/>
  <c r="P47" i="124" s="1"/>
  <c r="O52" i="124"/>
  <c r="P52" i="124" s="1"/>
  <c r="G55" i="124"/>
  <c r="N56" i="124"/>
  <c r="G54" i="124"/>
  <c r="O51" i="124"/>
  <c r="P51" i="124" s="1"/>
  <c r="O45" i="124"/>
  <c r="P45" i="124" s="1"/>
  <c r="F56" i="124"/>
  <c r="O44" i="124"/>
  <c r="P44" i="124" s="1"/>
  <c r="D54" i="124"/>
  <c r="E54" i="124"/>
  <c r="O50" i="124"/>
  <c r="P50" i="124" s="1"/>
  <c r="N54" i="124"/>
  <c r="O37" i="124"/>
  <c r="M54" i="124"/>
  <c r="C56" i="124"/>
  <c r="D56" i="124"/>
  <c r="C55" i="124"/>
  <c r="E56" i="124"/>
  <c r="O36" i="124"/>
  <c r="D55" i="124"/>
  <c r="C54" i="124"/>
  <c r="E55" i="124"/>
  <c r="G56" i="124"/>
  <c r="F55" i="124"/>
  <c r="H56" i="124"/>
  <c r="I56" i="124"/>
  <c r="P6" i="124"/>
  <c r="H55" i="124"/>
  <c r="J56" i="124"/>
  <c r="K56" i="124"/>
  <c r="J55" i="124"/>
  <c r="L56" i="124"/>
  <c r="L55" i="124"/>
  <c r="F55" i="123"/>
  <c r="G54" i="123"/>
  <c r="H56" i="123"/>
  <c r="I55" i="123"/>
  <c r="L55" i="123"/>
  <c r="O53" i="123"/>
  <c r="P53" i="123" s="1"/>
  <c r="K54" i="123"/>
  <c r="O47" i="123"/>
  <c r="P47" i="123" s="1"/>
  <c r="O48" i="123"/>
  <c r="P48" i="123" s="1"/>
  <c r="L54" i="123"/>
  <c r="M55" i="123"/>
  <c r="N55" i="123"/>
  <c r="D55" i="123"/>
  <c r="O52" i="123"/>
  <c r="P52" i="123" s="1"/>
  <c r="O38" i="123"/>
  <c r="O45" i="123"/>
  <c r="P45" i="123" s="1"/>
  <c r="O51" i="123"/>
  <c r="P51" i="123" s="1"/>
  <c r="J54" i="123"/>
  <c r="O50" i="123"/>
  <c r="P50" i="123" s="1"/>
  <c r="F54" i="123"/>
  <c r="I54" i="123"/>
  <c r="O37" i="123"/>
  <c r="D54" i="123"/>
  <c r="J56" i="123"/>
  <c r="P44" i="123"/>
  <c r="P17" i="123"/>
  <c r="P38" i="123" s="1"/>
  <c r="N54" i="123"/>
  <c r="M54" i="123"/>
  <c r="O36" i="123"/>
  <c r="C56" i="123"/>
  <c r="D56" i="123"/>
  <c r="C55" i="123"/>
  <c r="E56" i="123"/>
  <c r="F56" i="123"/>
  <c r="C54" i="123"/>
  <c r="G56" i="123"/>
  <c r="E55" i="123"/>
  <c r="E54" i="123"/>
  <c r="G55" i="123"/>
  <c r="I56" i="123"/>
  <c r="H55" i="123"/>
  <c r="K56" i="123"/>
  <c r="J55" i="123"/>
  <c r="L56" i="123"/>
  <c r="K55" i="123"/>
  <c r="M56" i="123"/>
  <c r="N56" i="123"/>
  <c r="F54" i="122"/>
  <c r="G55" i="122"/>
  <c r="O48" i="122"/>
  <c r="P48" i="122" s="1"/>
  <c r="H55" i="122"/>
  <c r="J55" i="122"/>
  <c r="J56" i="122"/>
  <c r="O53" i="122"/>
  <c r="P53" i="122" s="1"/>
  <c r="K54" i="122"/>
  <c r="L54" i="122"/>
  <c r="O47" i="122"/>
  <c r="P47" i="122" s="1"/>
  <c r="H54" i="122"/>
  <c r="K55" i="122"/>
  <c r="O52" i="122"/>
  <c r="P52" i="122" s="1"/>
  <c r="M55" i="122"/>
  <c r="I55" i="122"/>
  <c r="N55" i="122"/>
  <c r="O46" i="122"/>
  <c r="P46" i="122" s="1"/>
  <c r="O51" i="122"/>
  <c r="P51" i="122" s="1"/>
  <c r="O38" i="122"/>
  <c r="O45" i="122"/>
  <c r="P45" i="122" s="1"/>
  <c r="I54" i="122"/>
  <c r="O50" i="122"/>
  <c r="P50" i="122" s="1"/>
  <c r="G54" i="122"/>
  <c r="J54" i="122"/>
  <c r="C54" i="122"/>
  <c r="O44" i="122"/>
  <c r="O49" i="122"/>
  <c r="P49" i="122" s="1"/>
  <c r="M54" i="122"/>
  <c r="P44" i="122"/>
  <c r="N54" i="122"/>
  <c r="O37" i="122"/>
  <c r="D56" i="122"/>
  <c r="F56" i="122"/>
  <c r="O36" i="122"/>
  <c r="D55" i="122"/>
  <c r="E55" i="122"/>
  <c r="G56" i="122"/>
  <c r="D54" i="122"/>
  <c r="F55" i="122"/>
  <c r="H56" i="122"/>
  <c r="C55" i="122"/>
  <c r="E54" i="122"/>
  <c r="C56" i="122"/>
  <c r="P6" i="122"/>
  <c r="K56" i="122"/>
  <c r="M56" i="122"/>
  <c r="L55" i="122"/>
  <c r="L56" i="122"/>
  <c r="N56" i="122"/>
  <c r="E54" i="121"/>
  <c r="F54" i="121"/>
  <c r="O37" i="121"/>
  <c r="H54" i="121"/>
  <c r="M54" i="121"/>
  <c r="G54" i="121"/>
  <c r="I55" i="121"/>
  <c r="J55" i="121"/>
  <c r="K54" i="121"/>
  <c r="M56" i="121"/>
  <c r="L54" i="121"/>
  <c r="O47" i="121"/>
  <c r="P47" i="121" s="1"/>
  <c r="K55" i="121"/>
  <c r="O38" i="121"/>
  <c r="M55" i="121"/>
  <c r="O46" i="121"/>
  <c r="P46" i="121" s="1"/>
  <c r="O51" i="121"/>
  <c r="P51" i="121" s="1"/>
  <c r="O52" i="121"/>
  <c r="P52" i="121" s="1"/>
  <c r="I54" i="121"/>
  <c r="J54" i="121"/>
  <c r="O50" i="121"/>
  <c r="P50" i="121" s="1"/>
  <c r="C55" i="121"/>
  <c r="O44" i="121"/>
  <c r="P44" i="121" s="1"/>
  <c r="O45" i="121"/>
  <c r="P45" i="121" s="1"/>
  <c r="P17" i="121"/>
  <c r="N54" i="121"/>
  <c r="O36" i="121"/>
  <c r="C56" i="121"/>
  <c r="D56" i="121"/>
  <c r="E56" i="121"/>
  <c r="D55" i="121"/>
  <c r="C54" i="121"/>
  <c r="E55" i="121"/>
  <c r="G56" i="121"/>
  <c r="F56" i="121"/>
  <c r="F55" i="121"/>
  <c r="H56" i="121"/>
  <c r="G55" i="121"/>
  <c r="I56" i="121"/>
  <c r="P6" i="121"/>
  <c r="H55" i="121"/>
  <c r="J56" i="121"/>
  <c r="K56" i="121"/>
  <c r="L56" i="121"/>
  <c r="N56" i="121"/>
  <c r="L55" i="121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38" i="126" l="1"/>
  <c r="O54" i="122"/>
  <c r="P36" i="125"/>
  <c r="O55" i="126"/>
  <c r="O55" i="122"/>
  <c r="O56" i="122"/>
  <c r="O55" i="125"/>
  <c r="P37" i="123"/>
  <c r="O54" i="126"/>
  <c r="O56" i="126"/>
  <c r="P36" i="126"/>
  <c r="P56" i="126"/>
  <c r="P55" i="126"/>
  <c r="P54" i="126"/>
  <c r="O54" i="125"/>
  <c r="O56" i="125"/>
  <c r="P56" i="125"/>
  <c r="P54" i="125"/>
  <c r="P55" i="125"/>
  <c r="P38" i="125"/>
  <c r="O56" i="124"/>
  <c r="O55" i="124"/>
  <c r="O54" i="124"/>
  <c r="P38" i="124"/>
  <c r="P37" i="124"/>
  <c r="P36" i="124"/>
  <c r="P56" i="124"/>
  <c r="P55" i="124"/>
  <c r="P54" i="124"/>
  <c r="O55" i="123"/>
  <c r="O54" i="123"/>
  <c r="O56" i="123"/>
  <c r="P36" i="123"/>
  <c r="P56" i="123"/>
  <c r="P54" i="123"/>
  <c r="P55" i="123"/>
  <c r="P56" i="122"/>
  <c r="P54" i="122"/>
  <c r="P55" i="122"/>
  <c r="P38" i="122"/>
  <c r="P36" i="122"/>
  <c r="P37" i="122"/>
  <c r="O54" i="121"/>
  <c r="O56" i="121"/>
  <c r="O55" i="121"/>
  <c r="P38" i="121"/>
  <c r="P36" i="121"/>
  <c r="P37" i="121"/>
  <c r="P56" i="121"/>
  <c r="P54" i="121"/>
  <c r="P55" i="121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sharedStrings.xml><?xml version="1.0" encoding="utf-8"?>
<sst xmlns="http://schemas.openxmlformats.org/spreadsheetml/2006/main" count="2721" uniqueCount="170">
  <si>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</si>
  <si>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</si>
  <si>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</si>
  <si>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</si>
  <si>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</si>
  <si>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</si>
  <si>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</si>
  <si>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</si>
  <si>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</si>
  <si>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</si>
  <si>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</si>
  <si>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</si>
  <si>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</si>
  <si>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</si>
  <si>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</si>
  <si>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</si>
  <si>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</si>
  <si>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</si>
  <si>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</si>
  <si>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</si>
  <si>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</si>
  <si>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>30년 대전데이터, 2019/4/3  일날, 기상청 기상자료를 바탕으로 데이터 획득</t>
    <phoneticPr fontId="5" type="noConversion"/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</si>
  <si>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</si>
  <si>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</si>
  <si>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</si>
  <si>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</si>
  <si>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</si>
  <si>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</si>
  <si>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</si>
  <si>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</si>
  <si>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</si>
  <si>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Working 29 ----&gt;  ( 2020 )</t>
    <phoneticPr fontId="5" type="noConversion"/>
  </si>
  <si>
    <t>서울(유)</t>
  </si>
  <si>
    <t>백령도(유)</t>
  </si>
  <si>
    <t>동두천(무)</t>
  </si>
  <si>
    <t>파주(무)</t>
  </si>
  <si>
    <t>인천(유)</t>
  </si>
  <si>
    <t>수원(유)</t>
  </si>
  <si>
    <t>강화(무)</t>
  </si>
  <si>
    <t>양평(무)</t>
  </si>
  <si>
    <t>이천(무)</t>
  </si>
  <si>
    <t>북춘천(유)</t>
  </si>
  <si>
    <t>철원(무)</t>
  </si>
  <si>
    <t>춘천(무)</t>
  </si>
  <si>
    <t>원주(무)</t>
  </si>
  <si>
    <t>영월(무)</t>
  </si>
  <si>
    <t>인제(무)</t>
  </si>
  <si>
    <t>홍천(무)</t>
  </si>
  <si>
    <t>북강릉(유)</t>
  </si>
  <si>
    <t>울릉도(유)</t>
  </si>
  <si>
    <t>강릉(무)</t>
  </si>
  <si>
    <t>속초(무)</t>
  </si>
  <si>
    <t>대관령(무)</t>
  </si>
  <si>
    <t>동해(무)</t>
  </si>
  <si>
    <t>태백(무)</t>
  </si>
  <si>
    <t>정선군(무)</t>
  </si>
  <si>
    <t>청주(유)</t>
  </si>
  <si>
    <t>충주(무)</t>
  </si>
  <si>
    <t>추풍령(무)</t>
  </si>
  <si>
    <t>제천(무)</t>
  </si>
  <si>
    <t>보은(무)</t>
  </si>
  <si>
    <t>홍성(유)</t>
  </si>
  <si>
    <t>대전(유)</t>
  </si>
  <si>
    <t>서산(무)</t>
  </si>
  <si>
    <t>천안(무)</t>
  </si>
  <si>
    <t>보령(무)</t>
  </si>
  <si>
    <t>부여(무)</t>
  </si>
  <si>
    <t>금산(무)</t>
  </si>
  <si>
    <t>전주(유)</t>
  </si>
  <si>
    <t>군산(무)</t>
  </si>
  <si>
    <t>부안(무)</t>
  </si>
  <si>
    <t>임실(무)</t>
  </si>
  <si>
    <t>정읍(무)</t>
  </si>
  <si>
    <t>남원(무)</t>
  </si>
  <si>
    <t>장수(무)</t>
  </si>
  <si>
    <t>순창(무)</t>
  </si>
  <si>
    <t>고창(무)</t>
  </si>
  <si>
    <t>고창(구)</t>
  </si>
  <si>
    <t>광주(유)</t>
  </si>
  <si>
    <t>목포(유)</t>
  </si>
  <si>
    <t>흑산도(유)</t>
  </si>
  <si>
    <t>여수(유)</t>
  </si>
  <si>
    <t>완도(무)</t>
  </si>
  <si>
    <t>진도(첨찰산)(무)</t>
  </si>
  <si>
    <t>진도군(무)</t>
  </si>
  <si>
    <t>영광(무)</t>
  </si>
  <si>
    <t>순천(무)</t>
  </si>
  <si>
    <t>순천(구)</t>
  </si>
  <si>
    <t>장흥(무)</t>
  </si>
  <si>
    <t>해남(무)</t>
  </si>
  <si>
    <t>고흥(무)</t>
  </si>
  <si>
    <t>강진군(무)</t>
  </si>
  <si>
    <t>보성군(무)</t>
  </si>
  <si>
    <t>광양(무)</t>
  </si>
  <si>
    <t>안동(유)</t>
  </si>
  <si>
    <t>포항(유)</t>
  </si>
  <si>
    <t>대구(유)</t>
  </si>
  <si>
    <t>대구(구)</t>
  </si>
  <si>
    <t>울진(무)</t>
  </si>
  <si>
    <t>상주(무)</t>
  </si>
  <si>
    <t>봉화(무)</t>
  </si>
  <si>
    <t>영주(무)</t>
  </si>
  <si>
    <t>문경(무)</t>
  </si>
  <si>
    <t>영덕(무)</t>
  </si>
  <si>
    <t>의성(무)</t>
  </si>
  <si>
    <t>구미(무)</t>
  </si>
  <si>
    <t>영천(무)</t>
  </si>
  <si>
    <t>청송군(무)</t>
  </si>
  <si>
    <t>경주(무)</t>
  </si>
  <si>
    <t>부산(유)</t>
  </si>
  <si>
    <t>울산(유)</t>
  </si>
  <si>
    <t>창원(유)</t>
  </si>
  <si>
    <t>북창원(무)</t>
  </si>
  <si>
    <t>통영(무)</t>
  </si>
  <si>
    <t>진주(무)</t>
  </si>
  <si>
    <t>거창(무)</t>
  </si>
  <si>
    <t>합천(무)</t>
  </si>
  <si>
    <t>밀양(무)</t>
  </si>
  <si>
    <t>산청(무)</t>
  </si>
  <si>
    <t>거제(무)</t>
  </si>
  <si>
    <t>남해(무)</t>
  </si>
  <si>
    <t>김해시(무)</t>
  </si>
  <si>
    <t>양산(무)</t>
  </si>
  <si>
    <t>의령군(무)</t>
  </si>
  <si>
    <t>함양군(무)</t>
  </si>
  <si>
    <t>제주(유)</t>
  </si>
  <si>
    <t>고산(무)</t>
  </si>
  <si>
    <t>서귀포(무)</t>
  </si>
  <si>
    <t>성산(무)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</si>
  <si>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</si>
  <si>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</si>
  <si>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</si>
  <si>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</si>
  <si>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충청북도</t>
    <phoneticPr fontId="5" type="noConversion"/>
  </si>
  <si>
    <t>충청남도</t>
    <phoneticPr fontId="5" type="noConversion"/>
  </si>
  <si>
    <t>전라북도</t>
    <phoneticPr fontId="5" type="noConversion"/>
  </si>
  <si>
    <t>전라남도</t>
    <phoneticPr fontId="5" type="noConversion"/>
  </si>
  <si>
    <t>경상북도</t>
    <phoneticPr fontId="5" type="noConversion"/>
  </si>
  <si>
    <t>경상남도</t>
    <phoneticPr fontId="5" type="noConversion"/>
  </si>
  <si>
    <t>제주도</t>
    <phoneticPr fontId="5" type="noConversion"/>
  </si>
  <si>
    <t>Table1</t>
  </si>
  <si>
    <t>Table2</t>
  </si>
  <si>
    <t>Table3</t>
  </si>
  <si>
    <t>Table4</t>
  </si>
  <si>
    <t>Table5</t>
  </si>
  <si>
    <t>Table6</t>
  </si>
  <si>
    <t>Table7</t>
  </si>
  <si>
    <t>Table8</t>
  </si>
  <si>
    <t>Table9</t>
  </si>
  <si>
    <t>지역구분</t>
    <phoneticPr fontId="5" type="noConversion"/>
  </si>
  <si>
    <t>행정구역</t>
    <phoneticPr fontId="5" type="noConversion"/>
  </si>
  <si>
    <t>tbl_1</t>
    <phoneticPr fontId="5" type="noConversion"/>
  </si>
  <si>
    <t>tbl_2</t>
  </si>
  <si>
    <t>tbl_3</t>
  </si>
  <si>
    <t>tbl_4</t>
  </si>
  <si>
    <t>tbl_5</t>
  </si>
  <si>
    <t>tbl_6</t>
  </si>
  <si>
    <t>tbl_7</t>
  </si>
  <si>
    <t>tbl_8</t>
  </si>
  <si>
    <t>tbl_9</t>
  </si>
  <si>
    <t>num</t>
    <phoneticPr fontId="5" type="noConversion"/>
  </si>
  <si>
    <t>rg_num</t>
    <phoneticPr fontId="5" type="noConversion"/>
  </si>
  <si>
    <t>청주(유) Data, -- 2021-08-01 오후 2:52:53</t>
    <phoneticPr fontId="5" type="noConversion"/>
  </si>
  <si>
    <t>충청남도</t>
  </si>
  <si>
    <t>대전(유) Data, -- 2021-08-01 오후 2:55:06</t>
    <phoneticPr fontId="5" type="noConversion"/>
  </si>
  <si>
    <t>보령(무) Data, -- 2021-08-01 오후 2:56:57</t>
    <phoneticPr fontId="5" type="noConversion"/>
  </si>
  <si>
    <t>서산(무) Data, -- 2021-08-01 오후 4:56:21</t>
    <phoneticPr fontId="5" type="noConversion"/>
  </si>
  <si>
    <t>부여(무) Data, -- 2021-08-01 오후 4:59:42</t>
    <phoneticPr fontId="5" type="noConversion"/>
  </si>
  <si>
    <t>천안(무) Data, -- 2021-08-01 오후 5:01:51</t>
    <phoneticPr fontId="5" type="noConversion"/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</si>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</sst>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1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6"/>
      <name val="Consolas"/>
      <family val="3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4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84" fontId="12" fillId="0" borderId="12" xfId="17" applyNumberFormat="1" applyFont="1" applyBorder="1">
      <alignment vertical="center"/>
    </xf>
    <xf numFmtId="184" fontId="12" fillId="0" borderId="7" xfId="17" applyNumberFormat="1" applyFont="1" applyBorder="1">
      <alignment vertical="center"/>
    </xf>
    <xf numFmtId="184" fontId="12" fillId="0" borderId="7" xfId="0" applyNumberFormat="1" applyFont="1" applyBorder="1" applyAlignment="1">
      <alignment vertical="center"/>
    </xf>
    <xf numFmtId="184" fontId="12" fillId="0" borderId="8" xfId="17" applyNumberFormat="1" applyFont="1" applyBorder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184" fontId="12" fillId="0" borderId="14" xfId="17" applyNumberFormat="1" applyFont="1" applyBorder="1">
      <alignment vertical="center"/>
    </xf>
    <xf numFmtId="0" fontId="12" fillId="0" borderId="15" xfId="0" applyFont="1" applyBorder="1" applyAlignment="1">
      <alignment horizontal="center" vertical="center"/>
    </xf>
    <xf numFmtId="184" fontId="12" fillId="0" borderId="16" xfId="17" applyNumberFormat="1" applyFont="1" applyBorder="1">
      <alignment vertical="center"/>
    </xf>
    <xf numFmtId="184" fontId="12" fillId="0" borderId="16" xfId="0" applyNumberFormat="1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184" fontId="12" fillId="0" borderId="9" xfId="0" applyNumberFormat="1" applyFont="1" applyBorder="1" applyAlignment="1">
      <alignment vertical="center"/>
    </xf>
    <xf numFmtId="184" fontId="12" fillId="0" borderId="18" xfId="0" applyNumberFormat="1" applyFont="1" applyBorder="1" applyAlignment="1">
      <alignment vertical="center"/>
    </xf>
    <xf numFmtId="184" fontId="12" fillId="0" borderId="14" xfId="0" applyNumberFormat="1" applyFont="1" applyBorder="1" applyAlignment="1">
      <alignment vertical="center"/>
    </xf>
    <xf numFmtId="184" fontId="12" fillId="0" borderId="15" xfId="0" applyNumberFormat="1" applyFont="1" applyBorder="1" applyAlignment="1">
      <alignment vertical="center"/>
    </xf>
    <xf numFmtId="184" fontId="12" fillId="0" borderId="15" xfId="17" applyNumberFormat="1" applyFont="1" applyBorder="1">
      <alignment vertical="center"/>
    </xf>
    <xf numFmtId="184" fontId="12" fillId="0" borderId="17" xfId="17" applyNumberFormat="1" applyFont="1" applyBorder="1">
      <alignment vertical="center"/>
    </xf>
    <xf numFmtId="184" fontId="12" fillId="0" borderId="18" xfId="17" applyNumberFormat="1" applyFont="1" applyBorder="1">
      <alignment vertical="center"/>
    </xf>
    <xf numFmtId="184" fontId="12" fillId="0" borderId="20" xfId="17" applyNumberFormat="1" applyFont="1" applyBorder="1">
      <alignment vertical="center"/>
    </xf>
    <xf numFmtId="184" fontId="12" fillId="0" borderId="21" xfId="17" applyNumberFormat="1" applyFont="1" applyBorder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23" xfId="0" applyNumberFormat="1" applyFont="1" applyBorder="1" applyAlignment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4" xfId="17" applyNumberFormat="1" applyFont="1" applyBorder="1">
      <alignment vertical="center"/>
    </xf>
    <xf numFmtId="184" fontId="12" fillId="3" borderId="22" xfId="17" applyNumberFormat="1" applyFont="1" applyFill="1" applyBorder="1" applyAlignment="1">
      <alignment horizontal="center" vertical="center"/>
    </xf>
    <xf numFmtId="184" fontId="12" fillId="3" borderId="23" xfId="17" applyNumberFormat="1" applyFont="1" applyFill="1" applyBorder="1" applyAlignment="1">
      <alignment horizontal="center" vertical="center"/>
    </xf>
    <xf numFmtId="184" fontId="12" fillId="3" borderId="24" xfId="17" applyNumberFormat="1" applyFont="1" applyFill="1" applyBorder="1" applyAlignment="1">
      <alignment horizontal="center" vertical="center"/>
    </xf>
    <xf numFmtId="184" fontId="12" fillId="0" borderId="15" xfId="17" applyNumberFormat="1" applyFont="1" applyBorder="1" applyAlignment="1">
      <alignment horizontal="center" vertical="center"/>
    </xf>
    <xf numFmtId="184" fontId="12" fillId="0" borderId="17" xfId="17" applyNumberFormat="1" applyFont="1" applyBorder="1" applyAlignment="1">
      <alignment horizontal="center" vertical="center"/>
    </xf>
    <xf numFmtId="184" fontId="12" fillId="0" borderId="9" xfId="17" applyNumberFormat="1" applyFont="1" applyBorder="1">
      <alignment vertical="center"/>
    </xf>
    <xf numFmtId="184" fontId="12" fillId="3" borderId="25" xfId="17" applyNumberFormat="1" applyFont="1" applyFill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3" xfId="0" applyNumberFormat="1" applyFont="1" applyBorder="1" applyAlignment="1">
      <alignment horizontal="center" vertical="center"/>
    </xf>
    <xf numFmtId="49" fontId="12" fillId="0" borderId="15" xfId="0" applyNumberFormat="1" applyFont="1" applyBorder="1" applyAlignment="1">
      <alignment horizontal="center"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5" xfId="17" applyNumberFormat="1" applyFont="1" applyBorder="1" applyAlignment="1">
      <alignment horizontal="center" vertical="center"/>
    </xf>
    <xf numFmtId="49" fontId="12" fillId="0" borderId="7" xfId="17" applyNumberFormat="1" applyFont="1" applyBorder="1" applyAlignment="1">
      <alignment horizontal="center" vertical="center"/>
    </xf>
    <xf numFmtId="184" fontId="12" fillId="0" borderId="26" xfId="17" applyNumberFormat="1" applyFont="1" applyBorder="1" applyAlignment="1">
      <alignment horizontal="center" vertical="center"/>
    </xf>
    <xf numFmtId="184" fontId="12" fillId="0" borderId="10" xfId="17" applyNumberFormat="1" applyFont="1" applyBorder="1">
      <alignment vertical="center"/>
    </xf>
    <xf numFmtId="184" fontId="12" fillId="0" borderId="27" xfId="17" applyNumberFormat="1" applyFont="1" applyBorder="1">
      <alignment vertical="center"/>
    </xf>
    <xf numFmtId="49" fontId="12" fillId="0" borderId="17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28" xfId="17" applyNumberFormat="1" applyFont="1" applyBorder="1">
      <alignment vertical="center"/>
    </xf>
    <xf numFmtId="49" fontId="12" fillId="0" borderId="16" xfId="17" applyNumberFormat="1" applyFont="1" applyBorder="1" applyAlignment="1">
      <alignment horizontal="center" vertical="center"/>
    </xf>
    <xf numFmtId="49" fontId="12" fillId="0" borderId="18" xfId="17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Border="1" applyAlignment="1">
      <alignment vertical="center"/>
    </xf>
    <xf numFmtId="0" fontId="14" fillId="0" borderId="29" xfId="0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184" fontId="12" fillId="0" borderId="7" xfId="17" applyNumberFormat="1" applyFont="1" applyBorder="1" applyAlignment="1">
      <alignment vertical="center" wrapText="1"/>
    </xf>
    <xf numFmtId="184" fontId="12" fillId="0" borderId="12" xfId="17" applyNumberFormat="1" applyFont="1" applyBorder="1" applyAlignment="1">
      <alignment vertical="center" wrapText="1"/>
    </xf>
    <xf numFmtId="0" fontId="12" fillId="0" borderId="0" xfId="0" applyNumberFormat="1" applyFont="1"/>
    <xf numFmtId="0" fontId="12" fillId="0" borderId="0" xfId="0" applyNumberFormat="1" applyFont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4" fillId="5" borderId="40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185" fontId="12" fillId="0" borderId="13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19" xfId="0" applyNumberFormat="1" applyFont="1" applyBorder="1" applyAlignment="1">
      <alignment horizontal="center" vertical="center"/>
    </xf>
    <xf numFmtId="186" fontId="12" fillId="0" borderId="12" xfId="17" applyNumberFormat="1" applyFont="1" applyBorder="1">
      <alignment vertical="center"/>
    </xf>
    <xf numFmtId="186" fontId="12" fillId="0" borderId="12" xfId="17" applyNumberFormat="1" applyFont="1" applyBorder="1" applyAlignment="1">
      <alignment vertical="center" wrapText="1"/>
    </xf>
    <xf numFmtId="186" fontId="12" fillId="0" borderId="14" xfId="17" applyNumberFormat="1" applyFont="1" applyBorder="1">
      <alignment vertical="center"/>
    </xf>
    <xf numFmtId="186" fontId="12" fillId="0" borderId="7" xfId="17" applyNumberFormat="1" applyFont="1" applyBorder="1">
      <alignment vertical="center"/>
    </xf>
    <xf numFmtId="186" fontId="12" fillId="0" borderId="7" xfId="17" applyNumberFormat="1" applyFont="1" applyBorder="1" applyAlignment="1">
      <alignment vertical="center" wrapText="1"/>
    </xf>
    <xf numFmtId="186" fontId="12" fillId="0" borderId="16" xfId="17" applyNumberFormat="1" applyFont="1" applyBorder="1">
      <alignment vertical="center"/>
    </xf>
    <xf numFmtId="186" fontId="12" fillId="0" borderId="20" xfId="17" applyNumberFormat="1" applyFont="1" applyBorder="1">
      <alignment vertical="center"/>
    </xf>
    <xf numFmtId="186" fontId="12" fillId="0" borderId="21" xfId="17" applyNumberFormat="1" applyFont="1" applyBorder="1">
      <alignment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65540" name="CommandButton5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0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66564" name="CommandButton5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1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73732" name="CommandButton5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69636" name="CommandButton5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3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67588" name="CommandButton5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4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72708" name="CommandButton5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5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5</xdr:row>
          <xdr:rowOff>104775</xdr:rowOff>
        </xdr:from>
        <xdr:to>
          <xdr:col>23</xdr:col>
          <xdr:colOff>390525</xdr:colOff>
          <xdr:row>7</xdr:row>
          <xdr:rowOff>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6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7</xdr:row>
          <xdr:rowOff>142875</xdr:rowOff>
        </xdr:from>
        <xdr:to>
          <xdr:col>23</xdr:col>
          <xdr:colOff>390525</xdr:colOff>
          <xdr:row>9</xdr:row>
          <xdr:rowOff>38100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6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9</xdr:row>
          <xdr:rowOff>142875</xdr:rowOff>
        </xdr:from>
        <xdr:to>
          <xdr:col>23</xdr:col>
          <xdr:colOff>390525</xdr:colOff>
          <xdr:row>11</xdr:row>
          <xdr:rowOff>38100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6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</xdr:row>
          <xdr:rowOff>0</xdr:rowOff>
        </xdr:from>
        <xdr:to>
          <xdr:col>19</xdr:col>
          <xdr:colOff>352425</xdr:colOff>
          <xdr:row>5</xdr:row>
          <xdr:rowOff>171450</xdr:rowOff>
        </xdr:to>
        <xdr:sp macro="" textlink="">
          <xdr:nvSpPr>
            <xdr:cNvPr id="59417" name="CommandButton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06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B10" totalsRowShown="0">
  <autoFilter ref="A1:B10" xr:uid="{38019919-CB51-4D59-96A5-0E0EAEF458EB}"/>
  <tableColumns count="2">
    <tableColumn id="1" xr3:uid="{9FDAC76A-1672-4BA5-B193-2B7BE88383AA}" name="Area" dataDxfId="22"/>
    <tableColumn id="2" xr3:uid="{4BB3E9D7-1743-4D5D-A7F4-B99255E51FAE}" name="Code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D1:E16" totalsRowShown="0">
  <autoFilter ref="D1:E16" xr:uid="{D4550153-2CFF-4D7B-92BC-CF0B5556755F}"/>
  <tableColumns count="2">
    <tableColumn id="1" xr3:uid="{D4ED704E-5E9D-4E34-AF25-AF23CD6C6733}" name="Area" dataDxfId="20"/>
    <tableColumn id="2" xr3:uid="{35E1CE4C-A747-4F0E-B074-97480A9CD475}" name="Code" dataDxfId="1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G1:H6" totalsRowShown="0">
  <autoFilter ref="G1:H6" xr:uid="{787F6D66-934F-478D-8043-B787BB6EAB19}"/>
  <tableColumns count="2">
    <tableColumn id="1" xr3:uid="{6A0E2B77-C3A1-4820-BBCA-1EC07200A039}" name="Area" dataDxfId="18"/>
    <tableColumn id="2" xr3:uid="{74873089-EAD8-4FE8-8E20-1BFFACCF2069}" name="Code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0381E8-8601-40E9-AC8B-D91D6861D21D}" name="Table4" displayName="Table4" ref="J1:K8" totalsRowShown="0">
  <autoFilter ref="J1:K8" xr:uid="{100381E8-8601-40E9-AC8B-D91D6861D21D}"/>
  <tableColumns count="2">
    <tableColumn id="1" xr3:uid="{B39F13E7-3925-4D72-949D-9A0C7680DD3A}" name="Area" dataDxfId="16"/>
    <tableColumn id="2" xr3:uid="{ACBB3095-048E-48D4-A6B8-640658C88EC0}" name="Code" dataDxfId="1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5" displayName="Table5" ref="M1:N11" totalsRowShown="0">
  <autoFilter ref="M1:N11" xr:uid="{4706A22D-9274-47B0-9F9A-12CB242225EC}"/>
  <tableColumns count="2">
    <tableColumn id="1" xr3:uid="{9E481A4D-847A-4838-B08B-EEA9BEFEC9FA}" name="Area" dataDxfId="14"/>
    <tableColumn id="2" xr3:uid="{135FB3C9-F45F-4346-BE97-41B58C3136D0}" name="Code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26A7AF-E567-4650-8D14-DBD2B1408A0D}" name="Table6" displayName="Table6" ref="P1:Q17" totalsRowShown="0">
  <autoFilter ref="P1:Q17" xr:uid="{1A26A7AF-E567-4650-8D14-DBD2B1408A0D}"/>
  <tableColumns count="2">
    <tableColumn id="1" xr3:uid="{1132A436-9FC8-476B-A237-28D29BE40DF2}" name="Area" dataDxfId="12"/>
    <tableColumn id="2" xr3:uid="{0DF60E94-13CD-4F64-B067-CC02DC25233D}" name="Code" dataDxfId="1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7" displayName="Table7" ref="S1:T16" totalsRowShown="0">
  <autoFilter ref="S1:T16" xr:uid="{61C9C907-3F61-483D-ACB1-5C46AEF050DE}"/>
  <tableColumns count="2">
    <tableColumn id="1" xr3:uid="{49E0E35F-8F32-480E-B796-E49D60CCD3CD}" name="Area" dataDxfId="10"/>
    <tableColumn id="2" xr3:uid="{FC8C8C57-BF5E-4BE6-BB30-9743F13F04CC}" name="Code" dataDxfId="9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2A2D42C-31F5-4B6B-B3F7-7DB15059B275}" name="Table8" displayName="Table8" ref="V1:W17" totalsRowShown="0">
  <autoFilter ref="V1:W17" xr:uid="{32A2D42C-31F5-4B6B-B3F7-7DB15059B275}"/>
  <tableColumns count="2">
    <tableColumn id="1" xr3:uid="{A92D3B4C-5788-4BBA-BAA0-DD61575FCE2D}" name="Area" dataDxfId="8"/>
    <tableColumn id="2" xr3:uid="{E9A0FE1C-26A0-4225-8A34-300B1C6E5D45}" name="Code" dataDxfId="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9" displayName="Table9" ref="Y1:Z5" totalsRowShown="0">
  <autoFilter ref="Y1:Z5" xr:uid="{2DF2367D-A876-4E60-95C5-6B82E6D60CBA}"/>
  <tableColumns count="2">
    <tableColumn id="1" xr3:uid="{45376554-5BD7-4C68-B293-746C798AA6DD}" name="Area" dataDxfId="6"/>
    <tableColumn id="2" xr3:uid="{DA377432-0CC5-402F-A02D-19E0F3C1B32D}" name="Code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5545428-C018-458E-A008-95355098B52E}" name="tblCategoryA" displayName="tblCategoryA" ref="AB1:AD10" totalsRowShown="0">
  <autoFilter ref="AB1:AD10" xr:uid="{95545428-C018-458E-A008-95355098B52E}"/>
  <tableColumns count="3">
    <tableColumn id="1" xr3:uid="{E7BB8373-5FF3-4AE3-A850-AF48BDF00640}" name="Area" dataDxfId="4"/>
    <tableColumn id="3" xr3:uid="{A685D12B-163B-4078-A95B-9F448AC1FB24}" name="rg_num" dataDxfId="3"/>
    <tableColumn id="2" xr3:uid="{02462285-C083-4A0A-A5F8-4D2E9AD9FE15}" name="num" dataDxfId="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3FCE097-1872-407F-9E80-1435D59B3A8B}" name="tblCode" displayName="tblCode" ref="A1:B98" totalsRowShown="0">
  <autoFilter ref="A1:B98" xr:uid="{38019919-CB51-4D59-96A5-0E0EAEF458EB}"/>
  <tableColumns count="2">
    <tableColumn id="1" xr3:uid="{5E720F47-A2FB-4BA6-8FB7-4FE9A5EAC20F}" name="Area" dataDxfId="1"/>
    <tableColumn id="2" xr3:uid="{DA96D777-C059-4FA9-A4D8-86E026FA27A7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A637-C228-4CAF-A58A-7FC14097D24D}">
  <sheetPr codeName="Sheet14">
    <tabColor rgb="FFC00000"/>
  </sheetPr>
  <dimension ref="A1:Q983"/>
  <sheetViews>
    <sheetView topLeftCell="A20" zoomScaleNormal="100" workbookViewId="0">
      <selection activeCell="G39" sqref="G39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1" spans="2:17" ht="23.25" customHeight="1"/>
    <row r="2" spans="2:17" ht="20.25">
      <c r="B2" s="78" t="s">
        <v>162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43">
        <v>1992</v>
      </c>
      <c r="C6" s="6">
        <v>13.5</v>
      </c>
      <c r="D6" s="6">
        <v>16.3</v>
      </c>
      <c r="E6" s="6">
        <v>29.6</v>
      </c>
      <c r="F6" s="6">
        <v>110.1</v>
      </c>
      <c r="G6" s="6">
        <v>100.3</v>
      </c>
      <c r="H6" s="6">
        <v>28.7</v>
      </c>
      <c r="I6" s="6">
        <v>141.69999999999999</v>
      </c>
      <c r="J6" s="68">
        <v>263.89999999999998</v>
      </c>
      <c r="K6" s="6">
        <v>176.9</v>
      </c>
      <c r="L6" s="6">
        <v>27.4</v>
      </c>
      <c r="M6" s="6">
        <v>42.2</v>
      </c>
      <c r="N6" s="13">
        <v>39.5</v>
      </c>
      <c r="O6" s="21">
        <f t="shared" ref="O6:O35" si="0">ROUND(SUM(C6:N6),1)</f>
        <v>990.1</v>
      </c>
      <c r="P6" s="20">
        <f>ROUND(O6/12,1)</f>
        <v>82.5</v>
      </c>
      <c r="Q6" s="4"/>
    </row>
    <row r="7" spans="2:17" ht="21.95" customHeight="1">
      <c r="B7" s="44">
        <v>1993</v>
      </c>
      <c r="C7" s="7">
        <v>7.3</v>
      </c>
      <c r="D7" s="7">
        <v>75.400000000000006</v>
      </c>
      <c r="E7" s="7">
        <v>33.1</v>
      </c>
      <c r="F7" s="7">
        <v>54.6</v>
      </c>
      <c r="G7" s="7">
        <v>127.2</v>
      </c>
      <c r="H7" s="7">
        <v>118.8</v>
      </c>
      <c r="I7" s="7">
        <v>254</v>
      </c>
      <c r="J7" s="67">
        <v>378.1</v>
      </c>
      <c r="K7" s="7">
        <v>126.6</v>
      </c>
      <c r="L7" s="7">
        <v>39.6</v>
      </c>
      <c r="M7" s="7">
        <v>66.900000000000006</v>
      </c>
      <c r="N7" s="15">
        <v>20.2</v>
      </c>
      <c r="O7" s="21">
        <f t="shared" si="0"/>
        <v>1301.8</v>
      </c>
      <c r="P7" s="16">
        <f t="shared" ref="P7:P35" si="1">ROUND(O7/12,1)</f>
        <v>108.5</v>
      </c>
      <c r="Q7" s="4"/>
    </row>
    <row r="8" spans="2:17" ht="21.95" customHeight="1">
      <c r="B8" s="44">
        <v>1994</v>
      </c>
      <c r="C8" s="7">
        <v>13.3</v>
      </c>
      <c r="D8" s="7">
        <v>12.8</v>
      </c>
      <c r="E8" s="7">
        <v>54.2</v>
      </c>
      <c r="F8" s="7">
        <v>21.3</v>
      </c>
      <c r="G8" s="7">
        <v>108.8</v>
      </c>
      <c r="H8" s="7">
        <v>140.5</v>
      </c>
      <c r="I8" s="7">
        <v>85.5</v>
      </c>
      <c r="J8" s="7">
        <v>318.5</v>
      </c>
      <c r="K8" s="7">
        <v>48.1</v>
      </c>
      <c r="L8" s="7">
        <v>160.1</v>
      </c>
      <c r="M8" s="7">
        <v>29.6</v>
      </c>
      <c r="N8" s="15">
        <v>19.3</v>
      </c>
      <c r="O8" s="21">
        <f t="shared" si="0"/>
        <v>1012</v>
      </c>
      <c r="P8" s="16">
        <f t="shared" si="1"/>
        <v>84.3</v>
      </c>
      <c r="Q8" s="4"/>
    </row>
    <row r="9" spans="2:17" ht="21.95" customHeight="1">
      <c r="B9" s="44">
        <v>1995</v>
      </c>
      <c r="C9" s="7">
        <v>21.5</v>
      </c>
      <c r="D9" s="7">
        <v>14</v>
      </c>
      <c r="E9" s="7">
        <v>34.4</v>
      </c>
      <c r="F9" s="7">
        <v>64</v>
      </c>
      <c r="G9" s="7">
        <v>70.7</v>
      </c>
      <c r="H9" s="7">
        <v>30.9</v>
      </c>
      <c r="I9" s="7">
        <v>204.9</v>
      </c>
      <c r="J9" s="7">
        <v>835.4</v>
      </c>
      <c r="K9" s="7">
        <v>17.5</v>
      </c>
      <c r="L9" s="7">
        <v>22.6</v>
      </c>
      <c r="M9" s="7">
        <v>20.3</v>
      </c>
      <c r="N9" s="15">
        <v>3.6</v>
      </c>
      <c r="O9" s="21">
        <f t="shared" si="0"/>
        <v>1339.8</v>
      </c>
      <c r="P9" s="16">
        <f t="shared" si="1"/>
        <v>111.7</v>
      </c>
      <c r="Q9" s="4"/>
    </row>
    <row r="10" spans="2:17" ht="21.95" customHeight="1">
      <c r="B10" s="44">
        <v>1996</v>
      </c>
      <c r="C10" s="7">
        <v>27.9</v>
      </c>
      <c r="D10" s="7">
        <v>4.2</v>
      </c>
      <c r="E10" s="7">
        <v>98.4</v>
      </c>
      <c r="F10" s="7">
        <v>28.6</v>
      </c>
      <c r="G10" s="7">
        <v>36.799999999999997</v>
      </c>
      <c r="H10" s="7">
        <v>255.8</v>
      </c>
      <c r="I10" s="7">
        <v>170.5</v>
      </c>
      <c r="J10" s="7">
        <v>128.6</v>
      </c>
      <c r="K10" s="7">
        <v>11.2</v>
      </c>
      <c r="L10" s="7">
        <v>67.099999999999994</v>
      </c>
      <c r="M10" s="7">
        <v>77.2</v>
      </c>
      <c r="N10" s="15">
        <v>22.5</v>
      </c>
      <c r="O10" s="21">
        <f t="shared" si="0"/>
        <v>928.8</v>
      </c>
      <c r="P10" s="16">
        <f t="shared" si="1"/>
        <v>77.400000000000006</v>
      </c>
      <c r="Q10" s="4"/>
    </row>
    <row r="11" spans="2:17" ht="21.95" customHeight="1">
      <c r="B11" s="44">
        <v>1997</v>
      </c>
      <c r="C11" s="7">
        <v>12.9</v>
      </c>
      <c r="D11" s="7">
        <v>39.1</v>
      </c>
      <c r="E11" s="7">
        <v>31.6</v>
      </c>
      <c r="F11" s="7">
        <v>58.5</v>
      </c>
      <c r="G11" s="7">
        <v>179.1</v>
      </c>
      <c r="H11" s="7">
        <v>210.3</v>
      </c>
      <c r="I11" s="7">
        <v>425.5</v>
      </c>
      <c r="J11" s="7">
        <v>211.1</v>
      </c>
      <c r="K11" s="7">
        <v>55.5</v>
      </c>
      <c r="L11" s="7">
        <v>8.4</v>
      </c>
      <c r="M11" s="7">
        <v>180.3</v>
      </c>
      <c r="N11" s="15">
        <v>44.3</v>
      </c>
      <c r="O11" s="21">
        <f t="shared" si="0"/>
        <v>1456.6</v>
      </c>
      <c r="P11" s="16">
        <f t="shared" si="1"/>
        <v>121.4</v>
      </c>
      <c r="Q11" s="4"/>
    </row>
    <row r="12" spans="2:17" ht="21.95" customHeight="1">
      <c r="B12" s="44">
        <v>1998</v>
      </c>
      <c r="C12" s="7">
        <v>22</v>
      </c>
      <c r="D12" s="7">
        <v>28.9</v>
      </c>
      <c r="E12" s="7">
        <v>30.9</v>
      </c>
      <c r="F12" s="7">
        <v>153.1</v>
      </c>
      <c r="G12" s="7">
        <v>92.8</v>
      </c>
      <c r="H12" s="7">
        <v>247</v>
      </c>
      <c r="I12" s="7">
        <v>253</v>
      </c>
      <c r="J12" s="7">
        <v>460.6</v>
      </c>
      <c r="K12" s="7">
        <v>225.9</v>
      </c>
      <c r="L12" s="7">
        <v>74.2</v>
      </c>
      <c r="M12" s="7">
        <v>44.7</v>
      </c>
      <c r="N12" s="15">
        <v>7.1</v>
      </c>
      <c r="O12" s="21">
        <f t="shared" si="0"/>
        <v>1640.2</v>
      </c>
      <c r="P12" s="16">
        <f t="shared" si="1"/>
        <v>136.69999999999999</v>
      </c>
    </row>
    <row r="13" spans="2:17" ht="21.95" customHeight="1">
      <c r="B13" s="44">
        <v>1999</v>
      </c>
      <c r="C13" s="7">
        <v>1.6</v>
      </c>
      <c r="D13" s="7">
        <v>3.6</v>
      </c>
      <c r="E13" s="7">
        <v>54.1</v>
      </c>
      <c r="F13" s="7">
        <v>91.4</v>
      </c>
      <c r="G13" s="7">
        <v>102.4</v>
      </c>
      <c r="H13" s="7">
        <v>191.1</v>
      </c>
      <c r="I13" s="7">
        <v>122.4</v>
      </c>
      <c r="J13" s="7">
        <v>197.4</v>
      </c>
      <c r="K13" s="7">
        <v>281.3</v>
      </c>
      <c r="L13" s="7">
        <v>252.4</v>
      </c>
      <c r="M13" s="7">
        <v>15.4</v>
      </c>
      <c r="N13" s="15">
        <v>13.4</v>
      </c>
      <c r="O13" s="21">
        <f t="shared" si="0"/>
        <v>1326.5</v>
      </c>
      <c r="P13" s="16">
        <f t="shared" si="1"/>
        <v>110.5</v>
      </c>
    </row>
    <row r="14" spans="2:17" ht="21.95" customHeight="1">
      <c r="B14" s="44">
        <v>2000</v>
      </c>
      <c r="C14" s="7">
        <v>38.700000000000003</v>
      </c>
      <c r="D14" s="7">
        <v>1.3</v>
      </c>
      <c r="E14" s="7">
        <v>10.4</v>
      </c>
      <c r="F14" s="7">
        <v>56.1</v>
      </c>
      <c r="G14" s="7">
        <v>42.1</v>
      </c>
      <c r="H14" s="7">
        <v>185.7</v>
      </c>
      <c r="I14" s="7">
        <v>300</v>
      </c>
      <c r="J14" s="7">
        <v>390.4</v>
      </c>
      <c r="K14" s="7">
        <v>244.6</v>
      </c>
      <c r="L14" s="7">
        <v>32.1</v>
      </c>
      <c r="M14" s="7">
        <v>37.299999999999997</v>
      </c>
      <c r="N14" s="15">
        <v>18.899999999999999</v>
      </c>
      <c r="O14" s="21">
        <f t="shared" si="0"/>
        <v>1357.6</v>
      </c>
      <c r="P14" s="16">
        <f t="shared" si="1"/>
        <v>113.1</v>
      </c>
    </row>
    <row r="15" spans="2:17" ht="21.95" customHeight="1">
      <c r="B15" s="44">
        <v>2001</v>
      </c>
      <c r="C15" s="7">
        <v>56.9</v>
      </c>
      <c r="D15" s="7">
        <v>50.3</v>
      </c>
      <c r="E15" s="7">
        <v>11.3</v>
      </c>
      <c r="F15" s="7">
        <v>12.7</v>
      </c>
      <c r="G15" s="7">
        <v>14.3</v>
      </c>
      <c r="H15" s="7">
        <v>217.5</v>
      </c>
      <c r="I15" s="7">
        <v>171.5</v>
      </c>
      <c r="J15" s="7">
        <v>135.5</v>
      </c>
      <c r="K15" s="7">
        <v>11.8</v>
      </c>
      <c r="L15" s="7">
        <v>75.900000000000006</v>
      </c>
      <c r="M15" s="7">
        <v>6.9</v>
      </c>
      <c r="N15" s="15">
        <v>19.5</v>
      </c>
      <c r="O15" s="21">
        <f t="shared" si="0"/>
        <v>784.1</v>
      </c>
      <c r="P15" s="16">
        <f t="shared" si="1"/>
        <v>65.3</v>
      </c>
    </row>
    <row r="16" spans="2:17" ht="21.95" customHeight="1">
      <c r="B16" s="44">
        <v>2002</v>
      </c>
      <c r="C16" s="7">
        <v>58.7</v>
      </c>
      <c r="D16" s="7">
        <v>9</v>
      </c>
      <c r="E16" s="7">
        <v>25.9</v>
      </c>
      <c r="F16" s="7">
        <v>132</v>
      </c>
      <c r="G16" s="7">
        <v>106.9</v>
      </c>
      <c r="H16" s="7">
        <v>57.9</v>
      </c>
      <c r="I16" s="7">
        <v>186.2</v>
      </c>
      <c r="J16" s="7">
        <v>482.4</v>
      </c>
      <c r="K16" s="7">
        <v>90.5</v>
      </c>
      <c r="L16" s="7">
        <v>58</v>
      </c>
      <c r="M16" s="7">
        <v>26.3</v>
      </c>
      <c r="N16" s="15">
        <v>48</v>
      </c>
      <c r="O16" s="21">
        <f t="shared" si="0"/>
        <v>1281.8</v>
      </c>
      <c r="P16" s="16">
        <f t="shared" si="1"/>
        <v>106.8</v>
      </c>
    </row>
    <row r="17" spans="2:16" ht="21.95" customHeight="1">
      <c r="B17" s="44">
        <v>2003</v>
      </c>
      <c r="C17" s="7">
        <v>16.2</v>
      </c>
      <c r="D17" s="7">
        <v>45</v>
      </c>
      <c r="E17" s="7">
        <v>38.9</v>
      </c>
      <c r="F17" s="7">
        <v>192.7</v>
      </c>
      <c r="G17" s="7">
        <v>113.5</v>
      </c>
      <c r="H17" s="7">
        <v>186</v>
      </c>
      <c r="I17" s="7">
        <v>467.2</v>
      </c>
      <c r="J17" s="7">
        <v>293.89999999999998</v>
      </c>
      <c r="K17" s="7">
        <v>150.6</v>
      </c>
      <c r="L17" s="7">
        <v>32.5</v>
      </c>
      <c r="M17" s="7">
        <v>33.1</v>
      </c>
      <c r="N17" s="15">
        <v>12.2</v>
      </c>
      <c r="O17" s="21">
        <f t="shared" si="0"/>
        <v>1581.8</v>
      </c>
      <c r="P17" s="16">
        <f t="shared" si="1"/>
        <v>131.80000000000001</v>
      </c>
    </row>
    <row r="18" spans="2:16" ht="21.95" customHeight="1">
      <c r="B18" s="44">
        <v>2004</v>
      </c>
      <c r="C18" s="7">
        <v>12.5</v>
      </c>
      <c r="D18" s="7">
        <v>42.3</v>
      </c>
      <c r="E18" s="7">
        <v>67.3</v>
      </c>
      <c r="F18" s="7">
        <v>61</v>
      </c>
      <c r="G18" s="7">
        <v>121.8</v>
      </c>
      <c r="H18" s="7">
        <v>421.5</v>
      </c>
      <c r="I18" s="7">
        <v>318.89999999999998</v>
      </c>
      <c r="J18" s="7">
        <v>247.6</v>
      </c>
      <c r="K18" s="7">
        <v>139</v>
      </c>
      <c r="L18" s="7">
        <v>2</v>
      </c>
      <c r="M18" s="7">
        <v>34</v>
      </c>
      <c r="N18" s="15">
        <v>38</v>
      </c>
      <c r="O18" s="21">
        <f t="shared" si="0"/>
        <v>1505.9</v>
      </c>
      <c r="P18" s="16">
        <f t="shared" si="1"/>
        <v>125.5</v>
      </c>
    </row>
    <row r="19" spans="2:16" ht="21.95" customHeight="1">
      <c r="B19" s="44">
        <v>2005</v>
      </c>
      <c r="C19" s="7">
        <v>4.5999999999999996</v>
      </c>
      <c r="D19" s="7">
        <v>13.8</v>
      </c>
      <c r="E19" s="7">
        <v>36.799999999999997</v>
      </c>
      <c r="F19" s="7">
        <v>66.099999999999994</v>
      </c>
      <c r="G19" s="7">
        <v>50.7</v>
      </c>
      <c r="H19" s="7">
        <v>170</v>
      </c>
      <c r="I19" s="7">
        <v>373.1</v>
      </c>
      <c r="J19" s="7">
        <v>334.7</v>
      </c>
      <c r="K19" s="7">
        <v>295.5</v>
      </c>
      <c r="L19" s="7">
        <v>54.6</v>
      </c>
      <c r="M19" s="7">
        <v>16</v>
      </c>
      <c r="N19" s="15">
        <v>11.3</v>
      </c>
      <c r="O19" s="21">
        <f t="shared" si="0"/>
        <v>1427.2</v>
      </c>
      <c r="P19" s="16">
        <f t="shared" si="1"/>
        <v>118.9</v>
      </c>
    </row>
    <row r="20" spans="2:16" ht="21.95" customHeight="1">
      <c r="B20" s="44">
        <v>2006</v>
      </c>
      <c r="C20" s="7">
        <v>20</v>
      </c>
      <c r="D20" s="7">
        <v>28.9</v>
      </c>
      <c r="E20" s="7">
        <v>8.1999999999999993</v>
      </c>
      <c r="F20" s="7">
        <v>89.3</v>
      </c>
      <c r="G20" s="7">
        <v>119.4</v>
      </c>
      <c r="H20" s="7">
        <v>115.5</v>
      </c>
      <c r="I20" s="7">
        <v>508</v>
      </c>
      <c r="J20" s="7">
        <v>52</v>
      </c>
      <c r="K20" s="7">
        <v>18.399999999999999</v>
      </c>
      <c r="L20" s="7">
        <v>21.3</v>
      </c>
      <c r="M20" s="7">
        <v>83.4</v>
      </c>
      <c r="N20" s="15">
        <v>16.7</v>
      </c>
      <c r="O20" s="21">
        <f t="shared" si="0"/>
        <v>1081.0999999999999</v>
      </c>
      <c r="P20" s="16">
        <f t="shared" si="1"/>
        <v>90.1</v>
      </c>
    </row>
    <row r="21" spans="2:16" ht="21.95" customHeight="1">
      <c r="B21" s="44">
        <v>2007</v>
      </c>
      <c r="C21" s="7">
        <v>11.2</v>
      </c>
      <c r="D21" s="7">
        <v>33.299999999999997</v>
      </c>
      <c r="E21" s="7">
        <v>103.2</v>
      </c>
      <c r="F21" s="7">
        <v>35.799999999999997</v>
      </c>
      <c r="G21" s="7">
        <v>145.5</v>
      </c>
      <c r="H21" s="7">
        <v>81.2</v>
      </c>
      <c r="I21" s="7">
        <v>273.2</v>
      </c>
      <c r="J21" s="7">
        <v>385.5</v>
      </c>
      <c r="K21" s="7">
        <v>391.4</v>
      </c>
      <c r="L21" s="7">
        <v>43.5</v>
      </c>
      <c r="M21" s="7">
        <v>8.8000000000000007</v>
      </c>
      <c r="N21" s="15">
        <v>21.9</v>
      </c>
      <c r="O21" s="21">
        <f t="shared" si="0"/>
        <v>1534.5</v>
      </c>
      <c r="P21" s="16">
        <f t="shared" si="1"/>
        <v>127.9</v>
      </c>
    </row>
    <row r="22" spans="2:16" ht="21.95" customHeight="1">
      <c r="B22" s="44">
        <v>2008</v>
      </c>
      <c r="C22" s="7">
        <v>29</v>
      </c>
      <c r="D22" s="7">
        <v>7.7</v>
      </c>
      <c r="E22" s="7">
        <v>29.4</v>
      </c>
      <c r="F22" s="7">
        <v>27</v>
      </c>
      <c r="G22" s="7">
        <v>64.5</v>
      </c>
      <c r="H22" s="7">
        <v>112</v>
      </c>
      <c r="I22" s="7">
        <v>296.60000000000002</v>
      </c>
      <c r="J22" s="7">
        <v>195.5</v>
      </c>
      <c r="K22" s="7">
        <v>92.6</v>
      </c>
      <c r="L22" s="7">
        <v>13.1</v>
      </c>
      <c r="M22" s="7">
        <v>10.5</v>
      </c>
      <c r="N22" s="15">
        <v>14.4</v>
      </c>
      <c r="O22" s="21">
        <f t="shared" si="0"/>
        <v>892.3</v>
      </c>
      <c r="P22" s="16">
        <f t="shared" si="1"/>
        <v>74.400000000000006</v>
      </c>
    </row>
    <row r="23" spans="2:16" ht="21.95" customHeight="1">
      <c r="B23" s="44">
        <v>2009</v>
      </c>
      <c r="C23" s="7">
        <v>17.8</v>
      </c>
      <c r="D23" s="7">
        <v>13.1</v>
      </c>
      <c r="E23" s="7">
        <v>54.9</v>
      </c>
      <c r="F23" s="7">
        <v>30.4</v>
      </c>
      <c r="G23" s="7">
        <v>109.6</v>
      </c>
      <c r="H23" s="7">
        <v>77.2</v>
      </c>
      <c r="I23" s="7">
        <v>345.7</v>
      </c>
      <c r="J23" s="7">
        <v>187.5</v>
      </c>
      <c r="K23" s="7">
        <v>49.5</v>
      </c>
      <c r="L23" s="7">
        <v>49.5</v>
      </c>
      <c r="M23" s="7">
        <v>43.9</v>
      </c>
      <c r="N23" s="15">
        <v>40.700000000000003</v>
      </c>
      <c r="O23" s="21">
        <f t="shared" si="0"/>
        <v>1019.8</v>
      </c>
      <c r="P23" s="16">
        <f t="shared" si="1"/>
        <v>85</v>
      </c>
    </row>
    <row r="24" spans="2:16" ht="21.95" customHeight="1">
      <c r="B24" s="44">
        <v>2010</v>
      </c>
      <c r="C24" s="7">
        <v>37.799999999999997</v>
      </c>
      <c r="D24" s="7">
        <v>69.2</v>
      </c>
      <c r="E24" s="7">
        <v>99.8</v>
      </c>
      <c r="F24" s="7">
        <v>70.5</v>
      </c>
      <c r="G24" s="7">
        <v>110</v>
      </c>
      <c r="H24" s="7">
        <v>42.6</v>
      </c>
      <c r="I24" s="7">
        <v>224.1</v>
      </c>
      <c r="J24" s="7">
        <v>433.2</v>
      </c>
      <c r="K24" s="7">
        <v>278.60000000000002</v>
      </c>
      <c r="L24" s="7">
        <v>17.100000000000001</v>
      </c>
      <c r="M24" s="7">
        <v>15.7</v>
      </c>
      <c r="N24" s="15">
        <v>23.8</v>
      </c>
      <c r="O24" s="21">
        <f t="shared" si="0"/>
        <v>1422.4</v>
      </c>
      <c r="P24" s="16">
        <f t="shared" si="1"/>
        <v>118.5</v>
      </c>
    </row>
    <row r="25" spans="2:16" ht="21.95" customHeight="1">
      <c r="B25" s="44">
        <v>2011</v>
      </c>
      <c r="C25" s="7">
        <v>4.5</v>
      </c>
      <c r="D25" s="7">
        <v>43.2</v>
      </c>
      <c r="E25" s="7">
        <v>23.5</v>
      </c>
      <c r="F25" s="7">
        <v>111.2</v>
      </c>
      <c r="G25" s="7">
        <v>116.2</v>
      </c>
      <c r="H25" s="7">
        <v>360.7</v>
      </c>
      <c r="I25" s="7">
        <v>531.9</v>
      </c>
      <c r="J25" s="7">
        <v>290.2</v>
      </c>
      <c r="K25" s="7">
        <v>182.5</v>
      </c>
      <c r="L25" s="7">
        <v>34.5</v>
      </c>
      <c r="M25" s="7">
        <v>92.6</v>
      </c>
      <c r="N25" s="15">
        <v>14.6</v>
      </c>
      <c r="O25" s="21">
        <f t="shared" si="0"/>
        <v>1805.6</v>
      </c>
      <c r="P25" s="16">
        <f t="shared" si="1"/>
        <v>150.5</v>
      </c>
    </row>
    <row r="26" spans="2:16" ht="21.95" customHeight="1">
      <c r="B26" s="44">
        <v>2012</v>
      </c>
      <c r="C26" s="7">
        <v>17.8</v>
      </c>
      <c r="D26" s="7">
        <v>3.7</v>
      </c>
      <c r="E26" s="7">
        <v>65.099999999999994</v>
      </c>
      <c r="F26" s="7">
        <v>106.8</v>
      </c>
      <c r="G26" s="7">
        <v>31.2</v>
      </c>
      <c r="H26" s="7">
        <v>93.7</v>
      </c>
      <c r="I26" s="7">
        <v>257.39999999999998</v>
      </c>
      <c r="J26" s="7">
        <v>479.5</v>
      </c>
      <c r="K26" s="7">
        <v>162.5</v>
      </c>
      <c r="L26" s="7">
        <v>61.2</v>
      </c>
      <c r="M26" s="7">
        <v>52.1</v>
      </c>
      <c r="N26" s="15">
        <v>56.6</v>
      </c>
      <c r="O26" s="21">
        <f t="shared" si="0"/>
        <v>1387.6</v>
      </c>
      <c r="P26" s="16">
        <f t="shared" si="1"/>
        <v>115.6</v>
      </c>
    </row>
    <row r="27" spans="2:16" ht="21.95" customHeight="1">
      <c r="B27" s="44">
        <v>2013</v>
      </c>
      <c r="C27" s="7">
        <v>30.5</v>
      </c>
      <c r="D27" s="7">
        <v>33.200000000000003</v>
      </c>
      <c r="E27" s="7">
        <v>46.8</v>
      </c>
      <c r="F27" s="7">
        <v>65</v>
      </c>
      <c r="G27" s="7">
        <v>97.9</v>
      </c>
      <c r="H27" s="7">
        <v>229.9</v>
      </c>
      <c r="I27" s="7">
        <v>253.6</v>
      </c>
      <c r="J27" s="7">
        <v>183.9</v>
      </c>
      <c r="K27" s="7">
        <v>162.6</v>
      </c>
      <c r="L27" s="7">
        <v>26.5</v>
      </c>
      <c r="M27" s="7">
        <v>78.2</v>
      </c>
      <c r="N27" s="15">
        <v>37.299999999999997</v>
      </c>
      <c r="O27" s="21">
        <f t="shared" si="0"/>
        <v>1245.4000000000001</v>
      </c>
      <c r="P27" s="16">
        <f t="shared" si="1"/>
        <v>103.8</v>
      </c>
    </row>
    <row r="28" spans="2:16" ht="21.95" customHeight="1">
      <c r="B28" s="44">
        <v>2014</v>
      </c>
      <c r="C28" s="7">
        <v>5.9</v>
      </c>
      <c r="D28" s="7">
        <v>6.8</v>
      </c>
      <c r="E28" s="7">
        <v>51.1</v>
      </c>
      <c r="F28" s="7">
        <v>43.7</v>
      </c>
      <c r="G28" s="7">
        <v>35</v>
      </c>
      <c r="H28" s="7">
        <v>92.6</v>
      </c>
      <c r="I28" s="7">
        <v>125.1</v>
      </c>
      <c r="J28" s="7">
        <v>197.5</v>
      </c>
      <c r="K28" s="7">
        <v>147.5</v>
      </c>
      <c r="L28" s="7">
        <v>151.1</v>
      </c>
      <c r="M28" s="7">
        <v>24.8</v>
      </c>
      <c r="N28" s="15">
        <v>32.6</v>
      </c>
      <c r="O28" s="21">
        <f t="shared" si="0"/>
        <v>913.7</v>
      </c>
      <c r="P28" s="16">
        <f t="shared" si="1"/>
        <v>76.099999999999994</v>
      </c>
    </row>
    <row r="29" spans="2:16" ht="21.95" customHeight="1">
      <c r="B29" s="44">
        <v>2015</v>
      </c>
      <c r="C29" s="7">
        <v>16</v>
      </c>
      <c r="D29" s="7">
        <v>26.5</v>
      </c>
      <c r="E29" s="7">
        <v>44.1</v>
      </c>
      <c r="F29" s="7">
        <v>109.1</v>
      </c>
      <c r="G29" s="7">
        <v>24.4</v>
      </c>
      <c r="H29" s="7">
        <v>83.3</v>
      </c>
      <c r="I29" s="7">
        <v>141.4</v>
      </c>
      <c r="J29" s="7">
        <v>54.3</v>
      </c>
      <c r="K29" s="7">
        <v>20.100000000000001</v>
      </c>
      <c r="L29" s="7">
        <v>90.5</v>
      </c>
      <c r="M29" s="7">
        <v>106.8</v>
      </c>
      <c r="N29" s="15">
        <v>38.9</v>
      </c>
      <c r="O29" s="21">
        <f t="shared" si="0"/>
        <v>755.4</v>
      </c>
      <c r="P29" s="16">
        <f t="shared" si="1"/>
        <v>63</v>
      </c>
    </row>
    <row r="30" spans="2:16" ht="21.95" customHeight="1">
      <c r="B30" s="44">
        <v>2016</v>
      </c>
      <c r="C30" s="7">
        <v>5.7</v>
      </c>
      <c r="D30" s="7">
        <v>45.5</v>
      </c>
      <c r="E30" s="7">
        <v>13.2</v>
      </c>
      <c r="F30" s="7">
        <v>132.1</v>
      </c>
      <c r="G30" s="7">
        <v>84.4</v>
      </c>
      <c r="H30" s="7">
        <v>39.9</v>
      </c>
      <c r="I30" s="7">
        <v>320</v>
      </c>
      <c r="J30" s="7">
        <v>69</v>
      </c>
      <c r="K30" s="7">
        <v>78.099999999999994</v>
      </c>
      <c r="L30" s="7">
        <v>83.6</v>
      </c>
      <c r="M30" s="7">
        <v>26.4</v>
      </c>
      <c r="N30" s="15">
        <v>40.1</v>
      </c>
      <c r="O30" s="21">
        <f t="shared" si="0"/>
        <v>938</v>
      </c>
      <c r="P30" s="16">
        <f t="shared" si="1"/>
        <v>78.2</v>
      </c>
    </row>
    <row r="31" spans="2:16" ht="21.95" customHeight="1">
      <c r="B31" s="44">
        <v>2017</v>
      </c>
      <c r="C31" s="7">
        <v>12</v>
      </c>
      <c r="D31" s="7">
        <v>38.700000000000003</v>
      </c>
      <c r="E31" s="7">
        <v>8.9</v>
      </c>
      <c r="F31" s="7">
        <v>61.7</v>
      </c>
      <c r="G31" s="7">
        <v>11.9</v>
      </c>
      <c r="H31" s="7">
        <v>17.5</v>
      </c>
      <c r="I31" s="7">
        <v>789.1</v>
      </c>
      <c r="J31" s="7">
        <v>225.2</v>
      </c>
      <c r="K31" s="7">
        <v>78.3</v>
      </c>
      <c r="L31" s="7">
        <v>23.1</v>
      </c>
      <c r="M31" s="7">
        <v>13.7</v>
      </c>
      <c r="N31" s="15">
        <v>21.1</v>
      </c>
      <c r="O31" s="21">
        <f t="shared" si="0"/>
        <v>1301.2</v>
      </c>
      <c r="P31" s="16">
        <f t="shared" si="1"/>
        <v>108.4</v>
      </c>
    </row>
    <row r="32" spans="2:16" ht="21.95" customHeight="1">
      <c r="B32" s="44">
        <v>2018</v>
      </c>
      <c r="C32" s="7">
        <v>17.600000000000001</v>
      </c>
      <c r="D32" s="7">
        <v>30.6</v>
      </c>
      <c r="E32" s="7">
        <v>81.7</v>
      </c>
      <c r="F32" s="7">
        <v>133</v>
      </c>
      <c r="G32" s="7">
        <v>92</v>
      </c>
      <c r="H32" s="7">
        <v>63.3</v>
      </c>
      <c r="I32" s="7">
        <v>324.89999999999998</v>
      </c>
      <c r="J32" s="7">
        <v>247.9</v>
      </c>
      <c r="K32" s="7">
        <v>204</v>
      </c>
      <c r="L32" s="7">
        <v>112.2</v>
      </c>
      <c r="M32" s="7">
        <v>45.9</v>
      </c>
      <c r="N32" s="15">
        <v>28.5</v>
      </c>
      <c r="O32" s="21">
        <f t="shared" si="0"/>
        <v>1381.6</v>
      </c>
      <c r="P32" s="16">
        <f t="shared" si="1"/>
        <v>115.1</v>
      </c>
    </row>
    <row r="33" spans="2:16" ht="21.95" customHeight="1">
      <c r="B33" s="44">
        <v>2019</v>
      </c>
      <c r="C33" s="7">
        <v>0.1</v>
      </c>
      <c r="D33" s="7">
        <v>23</v>
      </c>
      <c r="E33" s="7">
        <v>20.3</v>
      </c>
      <c r="F33" s="7">
        <v>60.8</v>
      </c>
      <c r="G33" s="7">
        <v>20.3</v>
      </c>
      <c r="H33" s="7">
        <v>82.5</v>
      </c>
      <c r="I33" s="7">
        <v>204.8</v>
      </c>
      <c r="J33" s="7">
        <v>80.5</v>
      </c>
      <c r="K33" s="7">
        <v>155.1</v>
      </c>
      <c r="L33" s="7">
        <v>84.3</v>
      </c>
      <c r="M33" s="7">
        <v>104.9</v>
      </c>
      <c r="N33" s="15">
        <v>18.8</v>
      </c>
      <c r="O33" s="21">
        <f t="shared" si="0"/>
        <v>855.4</v>
      </c>
      <c r="P33" s="16">
        <f t="shared" si="1"/>
        <v>71.3</v>
      </c>
    </row>
    <row r="34" spans="2:16" ht="21.95" customHeight="1">
      <c r="B34" s="44">
        <v>2020</v>
      </c>
      <c r="C34" s="7">
        <v>62</v>
      </c>
      <c r="D34" s="7">
        <v>62.7</v>
      </c>
      <c r="E34" s="7">
        <v>22.9</v>
      </c>
      <c r="F34" s="7">
        <v>15.7</v>
      </c>
      <c r="G34" s="7">
        <v>65.3</v>
      </c>
      <c r="H34" s="7">
        <v>145.9</v>
      </c>
      <c r="I34" s="7">
        <v>386.6</v>
      </c>
      <c r="J34" s="7">
        <v>385.8</v>
      </c>
      <c r="K34" s="7">
        <v>160.6</v>
      </c>
      <c r="L34" s="7">
        <v>5.8</v>
      </c>
      <c r="M34" s="7">
        <v>41</v>
      </c>
      <c r="N34" s="15">
        <v>4.3</v>
      </c>
      <c r="O34" s="21">
        <f t="shared" si="0"/>
        <v>1358.6</v>
      </c>
      <c r="P34" s="16">
        <f t="shared" si="1"/>
        <v>113.2</v>
      </c>
    </row>
    <row r="35" spans="2:16" ht="21.95" customHeight="1" thickBot="1">
      <c r="B35" s="45" t="s">
        <v>169</v>
      </c>
      <c r="C35" s="25">
        <v>12.7</v>
      </c>
      <c r="D35" s="25">
        <v>7.5</v>
      </c>
      <c r="E35" s="25">
        <v>76.599999999999994</v>
      </c>
      <c r="F35" s="25">
        <v>46.4</v>
      </c>
      <c r="G35" s="25">
        <v>136.4</v>
      </c>
      <c r="H35" s="25">
        <v>75.400000000000006</v>
      </c>
      <c r="I35" s="25">
        <v>138.1</v>
      </c>
      <c r="J35" s="25">
        <v>233.1</v>
      </c>
      <c r="K35" s="25">
        <v>185</v>
      </c>
      <c r="L35" s="25">
        <v>29.4</v>
      </c>
      <c r="M35" s="25">
        <v>57.3</v>
      </c>
      <c r="N35" s="26">
        <v>3.7</v>
      </c>
      <c r="O35" s="27">
        <f t="shared" si="0"/>
        <v>1001.6</v>
      </c>
      <c r="P35" s="28">
        <f t="shared" si="1"/>
        <v>83.5</v>
      </c>
    </row>
    <row r="36" spans="2:16" ht="21.95" customHeight="1">
      <c r="B36" s="29" t="s">
        <v>13</v>
      </c>
      <c r="C36" s="30">
        <f>ROUND(MAX(C6:C35),1)</f>
        <v>62</v>
      </c>
      <c r="D36" s="30">
        <f t="shared" ref="D36:N36" si="2">ROUND(MAX(D6:D35),1)</f>
        <v>75.400000000000006</v>
      </c>
      <c r="E36" s="30">
        <f t="shared" si="2"/>
        <v>103.2</v>
      </c>
      <c r="F36" s="30">
        <f t="shared" si="2"/>
        <v>192.7</v>
      </c>
      <c r="G36" s="30">
        <f t="shared" si="2"/>
        <v>179.1</v>
      </c>
      <c r="H36" s="30">
        <f t="shared" si="2"/>
        <v>421.5</v>
      </c>
      <c r="I36" s="30">
        <f t="shared" si="2"/>
        <v>789.1</v>
      </c>
      <c r="J36" s="30">
        <f t="shared" si="2"/>
        <v>835.4</v>
      </c>
      <c r="K36" s="30">
        <f t="shared" si="2"/>
        <v>391.4</v>
      </c>
      <c r="L36" s="30">
        <f t="shared" si="2"/>
        <v>252.4</v>
      </c>
      <c r="M36" s="30">
        <f t="shared" si="2"/>
        <v>180.3</v>
      </c>
      <c r="N36" s="31">
        <f t="shared" si="2"/>
        <v>56.6</v>
      </c>
      <c r="O36" s="32">
        <f>ROUND(MAX(O6:O35),1)</f>
        <v>1805.6</v>
      </c>
      <c r="P36" s="33">
        <f>ROUND(MAX(P6:P35),1)</f>
        <v>150.5</v>
      </c>
    </row>
    <row r="37" spans="2:16" ht="21.95" customHeight="1">
      <c r="B37" s="14" t="s">
        <v>14</v>
      </c>
      <c r="C37" s="8">
        <f>ROUND(MIN(C6:C35),1)</f>
        <v>0.1</v>
      </c>
      <c r="D37" s="8">
        <f t="shared" ref="D37:N37" si="3">ROUND(MIN(D6:D35),1)</f>
        <v>1.3</v>
      </c>
      <c r="E37" s="8">
        <f t="shared" si="3"/>
        <v>8.1999999999999993</v>
      </c>
      <c r="F37" s="8">
        <f t="shared" si="3"/>
        <v>12.7</v>
      </c>
      <c r="G37" s="8">
        <f t="shared" si="3"/>
        <v>11.9</v>
      </c>
      <c r="H37" s="8">
        <f t="shared" si="3"/>
        <v>17.5</v>
      </c>
      <c r="I37" s="8">
        <f t="shared" si="3"/>
        <v>85.5</v>
      </c>
      <c r="J37" s="8">
        <f t="shared" si="3"/>
        <v>52</v>
      </c>
      <c r="K37" s="8">
        <f t="shared" si="3"/>
        <v>11.2</v>
      </c>
      <c r="L37" s="8">
        <f t="shared" si="3"/>
        <v>2</v>
      </c>
      <c r="M37" s="8">
        <f t="shared" si="3"/>
        <v>6.9</v>
      </c>
      <c r="N37" s="16">
        <f t="shared" si="3"/>
        <v>3.6</v>
      </c>
      <c r="O37" s="22">
        <f>ROUND(MIN(O6:O35),1)</f>
        <v>755.4</v>
      </c>
      <c r="P37" s="15">
        <f>ROUND(MIN(P6:P35),1)</f>
        <v>63</v>
      </c>
    </row>
    <row r="38" spans="2:16" ht="21.95" customHeight="1" thickBot="1">
      <c r="B38" s="17" t="s">
        <v>18</v>
      </c>
      <c r="C38" s="18">
        <f>ROUND(AVERAGE(C6:C35),1)</f>
        <v>20.3</v>
      </c>
      <c r="D38" s="18">
        <f t="shared" ref="D38:N38" si="4">ROUND(AVERAGE(D6:D35),1)</f>
        <v>27.7</v>
      </c>
      <c r="E38" s="18">
        <f t="shared" si="4"/>
        <v>43.6</v>
      </c>
      <c r="F38" s="18">
        <f t="shared" si="4"/>
        <v>74.7</v>
      </c>
      <c r="G38" s="18">
        <f t="shared" si="4"/>
        <v>84.4</v>
      </c>
      <c r="H38" s="18">
        <f t="shared" si="4"/>
        <v>139.19999999999999</v>
      </c>
      <c r="I38" s="18">
        <f t="shared" si="4"/>
        <v>286.5</v>
      </c>
      <c r="J38" s="18">
        <f t="shared" si="4"/>
        <v>279.3</v>
      </c>
      <c r="K38" s="18">
        <f t="shared" si="4"/>
        <v>141.4</v>
      </c>
      <c r="L38" s="18">
        <f t="shared" si="4"/>
        <v>58.5</v>
      </c>
      <c r="M38" s="18">
        <f t="shared" si="4"/>
        <v>47.9</v>
      </c>
      <c r="N38" s="19">
        <f t="shared" si="4"/>
        <v>24.4</v>
      </c>
      <c r="O38" s="23">
        <f>ROUND(AVERAGE(O6:O35),1)</f>
        <v>1227.5999999999999</v>
      </c>
      <c r="P38" s="24">
        <f>ROUND(AVERAGE(P6:P35),1)</f>
        <v>102.3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2012</v>
      </c>
      <c r="C44" s="47">
        <f t="shared" ref="C44:N44" si="5">C26</f>
        <v>17.8</v>
      </c>
      <c r="D44" s="47">
        <f t="shared" si="5"/>
        <v>3.7</v>
      </c>
      <c r="E44" s="47">
        <f t="shared" si="5"/>
        <v>65.099999999999994</v>
      </c>
      <c r="F44" s="47">
        <f t="shared" si="5"/>
        <v>106.8</v>
      </c>
      <c r="G44" s="47">
        <f t="shared" si="5"/>
        <v>31.2</v>
      </c>
      <c r="H44" s="47">
        <f t="shared" si="5"/>
        <v>93.7</v>
      </c>
      <c r="I44" s="47">
        <f t="shared" si="5"/>
        <v>257.39999999999998</v>
      </c>
      <c r="J44" s="47">
        <f t="shared" si="5"/>
        <v>479.5</v>
      </c>
      <c r="K44" s="47">
        <f t="shared" si="5"/>
        <v>162.5</v>
      </c>
      <c r="L44" s="47">
        <f t="shared" si="5"/>
        <v>61.2</v>
      </c>
      <c r="M44" s="47">
        <f t="shared" si="5"/>
        <v>52.1</v>
      </c>
      <c r="N44" s="54">
        <f t="shared" si="5"/>
        <v>56.6</v>
      </c>
      <c r="O44" s="9">
        <f>ROUND(SUM(C44:N44),1)</f>
        <v>1387.6</v>
      </c>
      <c r="P44" s="15">
        <f>ROUND(O44/12,1)</f>
        <v>115.6</v>
      </c>
    </row>
    <row r="45" spans="2:16" ht="21.95" customHeight="1">
      <c r="B45" s="46">
        <f t="shared" ref="B45:N53" si="6">B27</f>
        <v>2013</v>
      </c>
      <c r="C45" s="47">
        <f t="shared" si="6"/>
        <v>30.5</v>
      </c>
      <c r="D45" s="47">
        <f t="shared" si="6"/>
        <v>33.200000000000003</v>
      </c>
      <c r="E45" s="47">
        <f t="shared" si="6"/>
        <v>46.8</v>
      </c>
      <c r="F45" s="47">
        <f t="shared" si="6"/>
        <v>65</v>
      </c>
      <c r="G45" s="47">
        <f t="shared" si="6"/>
        <v>97.9</v>
      </c>
      <c r="H45" s="47">
        <f t="shared" si="6"/>
        <v>229.9</v>
      </c>
      <c r="I45" s="47">
        <f t="shared" si="6"/>
        <v>253.6</v>
      </c>
      <c r="J45" s="47">
        <f t="shared" si="6"/>
        <v>183.9</v>
      </c>
      <c r="K45" s="47">
        <f t="shared" si="6"/>
        <v>162.6</v>
      </c>
      <c r="L45" s="47">
        <f t="shared" si="6"/>
        <v>26.5</v>
      </c>
      <c r="M45" s="47">
        <f t="shared" si="6"/>
        <v>78.2</v>
      </c>
      <c r="N45" s="54">
        <f t="shared" si="6"/>
        <v>37.299999999999997</v>
      </c>
      <c r="O45" s="9">
        <f t="shared" ref="O45:O53" si="7">ROUND(SUM(C45:N45),1)</f>
        <v>1245.4000000000001</v>
      </c>
      <c r="P45" s="15">
        <f t="shared" ref="P45:P53" si="8">ROUND(O45/12,1)</f>
        <v>103.8</v>
      </c>
    </row>
    <row r="46" spans="2:16" ht="21.95" customHeight="1">
      <c r="B46" s="46">
        <f t="shared" si="6"/>
        <v>2014</v>
      </c>
      <c r="C46" s="47">
        <f t="shared" si="6"/>
        <v>5.9</v>
      </c>
      <c r="D46" s="47">
        <f t="shared" si="6"/>
        <v>6.8</v>
      </c>
      <c r="E46" s="47">
        <f t="shared" si="6"/>
        <v>51.1</v>
      </c>
      <c r="F46" s="47">
        <f t="shared" si="6"/>
        <v>43.7</v>
      </c>
      <c r="G46" s="47">
        <f t="shared" si="6"/>
        <v>35</v>
      </c>
      <c r="H46" s="47">
        <f t="shared" si="6"/>
        <v>92.6</v>
      </c>
      <c r="I46" s="47">
        <f t="shared" si="6"/>
        <v>125.1</v>
      </c>
      <c r="J46" s="47">
        <f t="shared" si="6"/>
        <v>197.5</v>
      </c>
      <c r="K46" s="47">
        <f t="shared" si="6"/>
        <v>147.5</v>
      </c>
      <c r="L46" s="47">
        <f t="shared" si="6"/>
        <v>151.1</v>
      </c>
      <c r="M46" s="47">
        <f t="shared" si="6"/>
        <v>24.8</v>
      </c>
      <c r="N46" s="54">
        <f t="shared" si="6"/>
        <v>32.6</v>
      </c>
      <c r="O46" s="9">
        <f t="shared" si="7"/>
        <v>913.7</v>
      </c>
      <c r="P46" s="15">
        <f t="shared" si="8"/>
        <v>76.099999999999994</v>
      </c>
    </row>
    <row r="47" spans="2:16" ht="21.95" customHeight="1">
      <c r="B47" s="46">
        <f t="shared" si="6"/>
        <v>2015</v>
      </c>
      <c r="C47" s="47">
        <f t="shared" si="6"/>
        <v>16</v>
      </c>
      <c r="D47" s="47">
        <f t="shared" si="6"/>
        <v>26.5</v>
      </c>
      <c r="E47" s="47">
        <f t="shared" si="6"/>
        <v>44.1</v>
      </c>
      <c r="F47" s="47">
        <f t="shared" si="6"/>
        <v>109.1</v>
      </c>
      <c r="G47" s="47">
        <f t="shared" si="6"/>
        <v>24.4</v>
      </c>
      <c r="H47" s="47">
        <f t="shared" si="6"/>
        <v>83.3</v>
      </c>
      <c r="I47" s="47">
        <f t="shared" si="6"/>
        <v>141.4</v>
      </c>
      <c r="J47" s="47">
        <f t="shared" si="6"/>
        <v>54.3</v>
      </c>
      <c r="K47" s="47">
        <f t="shared" si="6"/>
        <v>20.100000000000001</v>
      </c>
      <c r="L47" s="47">
        <f t="shared" si="6"/>
        <v>90.5</v>
      </c>
      <c r="M47" s="47">
        <f t="shared" si="6"/>
        <v>106.8</v>
      </c>
      <c r="N47" s="54">
        <f t="shared" si="6"/>
        <v>38.9</v>
      </c>
      <c r="O47" s="9">
        <f>ROUND(SUM(C47:N47),1)</f>
        <v>755.4</v>
      </c>
      <c r="P47" s="15">
        <f t="shared" si="8"/>
        <v>63</v>
      </c>
    </row>
    <row r="48" spans="2:16" ht="21.95" customHeight="1">
      <c r="B48" s="46">
        <f t="shared" si="6"/>
        <v>2016</v>
      </c>
      <c r="C48" s="47">
        <f t="shared" si="6"/>
        <v>5.7</v>
      </c>
      <c r="D48" s="47">
        <f t="shared" si="6"/>
        <v>45.5</v>
      </c>
      <c r="E48" s="47">
        <f t="shared" si="6"/>
        <v>13.2</v>
      </c>
      <c r="F48" s="47">
        <f t="shared" si="6"/>
        <v>132.1</v>
      </c>
      <c r="G48" s="47">
        <f t="shared" si="6"/>
        <v>84.4</v>
      </c>
      <c r="H48" s="47">
        <f t="shared" si="6"/>
        <v>39.9</v>
      </c>
      <c r="I48" s="47">
        <f t="shared" si="6"/>
        <v>320</v>
      </c>
      <c r="J48" s="47">
        <f t="shared" si="6"/>
        <v>69</v>
      </c>
      <c r="K48" s="47">
        <f t="shared" si="6"/>
        <v>78.099999999999994</v>
      </c>
      <c r="L48" s="47">
        <f t="shared" si="6"/>
        <v>83.6</v>
      </c>
      <c r="M48" s="47">
        <f t="shared" si="6"/>
        <v>26.4</v>
      </c>
      <c r="N48" s="54">
        <f t="shared" si="6"/>
        <v>40.1</v>
      </c>
      <c r="O48" s="9">
        <f t="shared" si="7"/>
        <v>938</v>
      </c>
      <c r="P48" s="15">
        <f t="shared" si="8"/>
        <v>78.2</v>
      </c>
    </row>
    <row r="49" spans="2:16" ht="21.95" customHeight="1">
      <c r="B49" s="46">
        <f t="shared" si="6"/>
        <v>2017</v>
      </c>
      <c r="C49" s="47">
        <f t="shared" si="6"/>
        <v>12</v>
      </c>
      <c r="D49" s="47">
        <f t="shared" si="6"/>
        <v>38.700000000000003</v>
      </c>
      <c r="E49" s="47">
        <f t="shared" si="6"/>
        <v>8.9</v>
      </c>
      <c r="F49" s="47">
        <f t="shared" si="6"/>
        <v>61.7</v>
      </c>
      <c r="G49" s="47">
        <f t="shared" si="6"/>
        <v>11.9</v>
      </c>
      <c r="H49" s="47">
        <f t="shared" si="6"/>
        <v>17.5</v>
      </c>
      <c r="I49" s="47">
        <f t="shared" si="6"/>
        <v>789.1</v>
      </c>
      <c r="J49" s="47">
        <f t="shared" si="6"/>
        <v>225.2</v>
      </c>
      <c r="K49" s="47">
        <f t="shared" si="6"/>
        <v>78.3</v>
      </c>
      <c r="L49" s="47">
        <f t="shared" si="6"/>
        <v>23.1</v>
      </c>
      <c r="M49" s="47">
        <f t="shared" si="6"/>
        <v>13.7</v>
      </c>
      <c r="N49" s="54">
        <f t="shared" si="6"/>
        <v>21.1</v>
      </c>
      <c r="O49" s="9">
        <f t="shared" si="7"/>
        <v>1301.2</v>
      </c>
      <c r="P49" s="15">
        <f t="shared" si="8"/>
        <v>108.4</v>
      </c>
    </row>
    <row r="50" spans="2:16" ht="21.95" customHeight="1">
      <c r="B50" s="46">
        <f t="shared" si="6"/>
        <v>2018</v>
      </c>
      <c r="C50" s="47">
        <f t="shared" si="6"/>
        <v>17.600000000000001</v>
      </c>
      <c r="D50" s="47">
        <f t="shared" si="6"/>
        <v>30.6</v>
      </c>
      <c r="E50" s="47">
        <f t="shared" si="6"/>
        <v>81.7</v>
      </c>
      <c r="F50" s="47">
        <f t="shared" si="6"/>
        <v>133</v>
      </c>
      <c r="G50" s="47">
        <f t="shared" si="6"/>
        <v>92</v>
      </c>
      <c r="H50" s="47">
        <f t="shared" si="6"/>
        <v>63.3</v>
      </c>
      <c r="I50" s="47">
        <f t="shared" si="6"/>
        <v>324.89999999999998</v>
      </c>
      <c r="J50" s="47">
        <f t="shared" si="6"/>
        <v>247.9</v>
      </c>
      <c r="K50" s="47">
        <f t="shared" si="6"/>
        <v>204</v>
      </c>
      <c r="L50" s="47">
        <f t="shared" si="6"/>
        <v>112.2</v>
      </c>
      <c r="M50" s="47">
        <f t="shared" si="6"/>
        <v>45.9</v>
      </c>
      <c r="N50" s="54">
        <f t="shared" si="6"/>
        <v>28.5</v>
      </c>
      <c r="O50" s="9">
        <f t="shared" si="7"/>
        <v>1381.6</v>
      </c>
      <c r="P50" s="15">
        <f t="shared" si="8"/>
        <v>115.1</v>
      </c>
    </row>
    <row r="51" spans="2:16" ht="21.95" customHeight="1">
      <c r="B51" s="46">
        <f t="shared" si="6"/>
        <v>2019</v>
      </c>
      <c r="C51" s="47">
        <f t="shared" si="6"/>
        <v>0.1</v>
      </c>
      <c r="D51" s="47">
        <f t="shared" si="6"/>
        <v>23</v>
      </c>
      <c r="E51" s="47">
        <f t="shared" si="6"/>
        <v>20.3</v>
      </c>
      <c r="F51" s="47">
        <f t="shared" si="6"/>
        <v>60.8</v>
      </c>
      <c r="G51" s="47">
        <f t="shared" si="6"/>
        <v>20.3</v>
      </c>
      <c r="H51" s="47">
        <f t="shared" si="6"/>
        <v>82.5</v>
      </c>
      <c r="I51" s="47">
        <f t="shared" si="6"/>
        <v>204.8</v>
      </c>
      <c r="J51" s="47">
        <f t="shared" si="6"/>
        <v>80.5</v>
      </c>
      <c r="K51" s="47">
        <f t="shared" si="6"/>
        <v>155.1</v>
      </c>
      <c r="L51" s="47">
        <f t="shared" si="6"/>
        <v>84.3</v>
      </c>
      <c r="M51" s="47">
        <f t="shared" si="6"/>
        <v>104.9</v>
      </c>
      <c r="N51" s="54">
        <f t="shared" si="6"/>
        <v>18.8</v>
      </c>
      <c r="O51" s="9">
        <f t="shared" si="7"/>
        <v>855.4</v>
      </c>
      <c r="P51" s="15">
        <f t="shared" si="8"/>
        <v>71.3</v>
      </c>
    </row>
    <row r="52" spans="2:16" ht="21.95" customHeight="1">
      <c r="B52" s="46">
        <f t="shared" si="6"/>
        <v>2020</v>
      </c>
      <c r="C52" s="47">
        <f t="shared" si="6"/>
        <v>62</v>
      </c>
      <c r="D52" s="47">
        <f t="shared" si="6"/>
        <v>62.7</v>
      </c>
      <c r="E52" s="47">
        <f t="shared" si="6"/>
        <v>22.9</v>
      </c>
      <c r="F52" s="47">
        <f t="shared" si="6"/>
        <v>15.7</v>
      </c>
      <c r="G52" s="47">
        <f t="shared" si="6"/>
        <v>65.3</v>
      </c>
      <c r="H52" s="47">
        <f t="shared" si="6"/>
        <v>145.9</v>
      </c>
      <c r="I52" s="47">
        <f t="shared" si="6"/>
        <v>386.6</v>
      </c>
      <c r="J52" s="47">
        <f t="shared" si="6"/>
        <v>385.8</v>
      </c>
      <c r="K52" s="47">
        <f t="shared" si="6"/>
        <v>160.6</v>
      </c>
      <c r="L52" s="47">
        <f t="shared" si="6"/>
        <v>5.8</v>
      </c>
      <c r="M52" s="47">
        <f t="shared" si="6"/>
        <v>41</v>
      </c>
      <c r="N52" s="54">
        <f t="shared" si="6"/>
        <v>4.3</v>
      </c>
      <c r="O52" s="9">
        <f t="shared" si="7"/>
        <v>1358.6</v>
      </c>
      <c r="P52" s="15">
        <f t="shared" si="8"/>
        <v>113.2</v>
      </c>
    </row>
    <row r="53" spans="2:16" ht="21.95" customHeight="1" thickBot="1">
      <c r="B53" s="51" t="str">
        <f t="shared" si="6"/>
        <v>2021</v>
      </c>
      <c r="C53" s="52">
        <f t="shared" si="6"/>
        <v>12.7</v>
      </c>
      <c r="D53" s="52">
        <f t="shared" si="6"/>
        <v>7.5</v>
      </c>
      <c r="E53" s="52">
        <f t="shared" si="6"/>
        <v>76.599999999999994</v>
      </c>
      <c r="F53" s="52">
        <f t="shared" si="6"/>
        <v>46.4</v>
      </c>
      <c r="G53" s="52">
        <f t="shared" si="6"/>
        <v>136.4</v>
      </c>
      <c r="H53" s="52">
        <f t="shared" si="6"/>
        <v>75.400000000000006</v>
      </c>
      <c r="I53" s="52">
        <f t="shared" si="6"/>
        <v>138.1</v>
      </c>
      <c r="J53" s="52">
        <f t="shared" si="6"/>
        <v>233.1</v>
      </c>
      <c r="K53" s="52">
        <f t="shared" si="6"/>
        <v>185</v>
      </c>
      <c r="L53" s="52">
        <f t="shared" si="6"/>
        <v>29.4</v>
      </c>
      <c r="M53" s="52">
        <f t="shared" si="6"/>
        <v>57.3</v>
      </c>
      <c r="N53" s="55">
        <f t="shared" si="6"/>
        <v>3.7</v>
      </c>
      <c r="O53" s="41">
        <f t="shared" si="7"/>
        <v>1001.6</v>
      </c>
      <c r="P53" s="24">
        <f t="shared" si="8"/>
        <v>83.5</v>
      </c>
    </row>
    <row r="54" spans="2:16" ht="21.95" customHeight="1">
      <c r="B54" s="48" t="s">
        <v>19</v>
      </c>
      <c r="C54" s="49">
        <f>MAX(C44:C53)</f>
        <v>62</v>
      </c>
      <c r="D54" s="49">
        <f t="shared" ref="D54:P54" si="9">MAX(D44:D53)</f>
        <v>62.7</v>
      </c>
      <c r="E54" s="49">
        <f t="shared" si="9"/>
        <v>81.7</v>
      </c>
      <c r="F54" s="49">
        <f t="shared" si="9"/>
        <v>133</v>
      </c>
      <c r="G54" s="49">
        <f t="shared" si="9"/>
        <v>136.4</v>
      </c>
      <c r="H54" s="49">
        <f t="shared" si="9"/>
        <v>229.9</v>
      </c>
      <c r="I54" s="49">
        <f t="shared" si="9"/>
        <v>789.1</v>
      </c>
      <c r="J54" s="49">
        <f t="shared" si="9"/>
        <v>479.5</v>
      </c>
      <c r="K54" s="49">
        <f t="shared" si="9"/>
        <v>204</v>
      </c>
      <c r="L54" s="49">
        <f t="shared" si="9"/>
        <v>151.1</v>
      </c>
      <c r="M54" s="49">
        <f t="shared" si="9"/>
        <v>106.8</v>
      </c>
      <c r="N54" s="50">
        <f t="shared" si="9"/>
        <v>56.6</v>
      </c>
      <c r="O54" s="53">
        <f t="shared" si="9"/>
        <v>1387.6</v>
      </c>
      <c r="P54" s="50">
        <f t="shared" si="9"/>
        <v>115.6</v>
      </c>
    </row>
    <row r="55" spans="2:16" ht="21.95" customHeight="1">
      <c r="B55" s="37" t="s">
        <v>20</v>
      </c>
      <c r="C55" s="7">
        <f>MIN(C44:C53)</f>
        <v>0.1</v>
      </c>
      <c r="D55" s="7">
        <f t="shared" ref="D55:P55" si="10">MIN(D44:D53)</f>
        <v>3.7</v>
      </c>
      <c r="E55" s="7">
        <f t="shared" si="10"/>
        <v>8.9</v>
      </c>
      <c r="F55" s="7">
        <f t="shared" si="10"/>
        <v>15.7</v>
      </c>
      <c r="G55" s="7">
        <f t="shared" si="10"/>
        <v>11.9</v>
      </c>
      <c r="H55" s="7">
        <f t="shared" si="10"/>
        <v>17.5</v>
      </c>
      <c r="I55" s="7">
        <f t="shared" si="10"/>
        <v>125.1</v>
      </c>
      <c r="J55" s="7">
        <f t="shared" si="10"/>
        <v>54.3</v>
      </c>
      <c r="K55" s="7">
        <f t="shared" si="10"/>
        <v>20.100000000000001</v>
      </c>
      <c r="L55" s="7">
        <f t="shared" si="10"/>
        <v>5.8</v>
      </c>
      <c r="M55" s="7">
        <f t="shared" si="10"/>
        <v>13.7</v>
      </c>
      <c r="N55" s="15">
        <f t="shared" si="10"/>
        <v>3.7</v>
      </c>
      <c r="O55" s="9">
        <f>MIN(O44:O53)</f>
        <v>755.4</v>
      </c>
      <c r="P55" s="15">
        <f t="shared" si="10"/>
        <v>63</v>
      </c>
    </row>
    <row r="56" spans="2:16" ht="21.95" customHeight="1" thickBot="1">
      <c r="B56" s="38" t="s">
        <v>7</v>
      </c>
      <c r="C56" s="39">
        <f>ROUND(AVERAGE(C44:C53),1)</f>
        <v>18</v>
      </c>
      <c r="D56" s="39">
        <f t="shared" ref="D56:N56" si="11">ROUND(AVERAGE(D44:D53),1)</f>
        <v>27.8</v>
      </c>
      <c r="E56" s="39">
        <f t="shared" si="11"/>
        <v>43.1</v>
      </c>
      <c r="F56" s="39">
        <f t="shared" si="11"/>
        <v>77.400000000000006</v>
      </c>
      <c r="G56" s="39">
        <f t="shared" si="11"/>
        <v>59.9</v>
      </c>
      <c r="H56" s="39">
        <f t="shared" si="11"/>
        <v>92.4</v>
      </c>
      <c r="I56" s="39">
        <f t="shared" si="11"/>
        <v>294.10000000000002</v>
      </c>
      <c r="J56" s="39">
        <f t="shared" si="11"/>
        <v>215.7</v>
      </c>
      <c r="K56" s="39">
        <f t="shared" si="11"/>
        <v>135.4</v>
      </c>
      <c r="L56" s="39">
        <f t="shared" si="11"/>
        <v>66.8</v>
      </c>
      <c r="M56" s="39">
        <f t="shared" si="11"/>
        <v>55.1</v>
      </c>
      <c r="N56" s="24">
        <f t="shared" si="11"/>
        <v>28.2</v>
      </c>
      <c r="O56" s="41">
        <f>ROUND(AVERAGE(O44:O53),1)</f>
        <v>1113.9000000000001</v>
      </c>
      <c r="P56" s="24">
        <f>ROUND(AVERAGE(P44:P53),1)</f>
        <v>92.8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  <ignoredError sqref="B35" numberStoredAsText="1"/>
  </ignoredErrors>
  <drawing r:id="rId2"/>
  <legacyDrawing r:id="rId3"/>
  <controls>
    <mc:AlternateContent xmlns:mc="http://schemas.openxmlformats.org/markup-compatibility/2006">
      <mc:Choice Requires="x14">
        <control shapeId="65540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65540" r:id="rId4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8AD29-20F7-4D10-8F05-40FD00B42F1A}">
  <sheetPr codeName="Sheet15">
    <tabColor rgb="FF00B050"/>
  </sheetPr>
  <dimension ref="A2:Q983"/>
  <sheetViews>
    <sheetView topLeftCell="A23" zoomScaleNormal="100" workbookViewId="0">
      <selection activeCell="M43" sqref="M43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78" t="s">
        <v>164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79">
        <v>1992</v>
      </c>
      <c r="C6" s="82">
        <v>12.6</v>
      </c>
      <c r="D6" s="82">
        <v>27</v>
      </c>
      <c r="E6" s="82">
        <v>46.5</v>
      </c>
      <c r="F6" s="82">
        <v>119.9</v>
      </c>
      <c r="G6" s="82">
        <v>92.3</v>
      </c>
      <c r="H6" s="82">
        <v>24.4</v>
      </c>
      <c r="I6" s="82">
        <v>187.7</v>
      </c>
      <c r="J6" s="83">
        <v>232.1</v>
      </c>
      <c r="K6" s="82">
        <v>163.6</v>
      </c>
      <c r="L6" s="82">
        <v>34.200000000000003</v>
      </c>
      <c r="M6" s="82">
        <v>47.4</v>
      </c>
      <c r="N6" s="84">
        <v>49.2</v>
      </c>
      <c r="O6" s="21">
        <f t="shared" ref="O6:O35" si="0">ROUND(SUM(C6:N6),1)</f>
        <v>1036.9000000000001</v>
      </c>
      <c r="P6" s="20">
        <f>ROUND(O6/12,1)</f>
        <v>86.4</v>
      </c>
      <c r="Q6" s="4"/>
    </row>
    <row r="7" spans="2:17" ht="21.95" customHeight="1">
      <c r="B7" s="80">
        <v>1993</v>
      </c>
      <c r="C7" s="85">
        <v>8</v>
      </c>
      <c r="D7" s="85">
        <v>82.9</v>
      </c>
      <c r="E7" s="85">
        <v>40.1</v>
      </c>
      <c r="F7" s="85">
        <v>64.8</v>
      </c>
      <c r="G7" s="85">
        <v>154.9</v>
      </c>
      <c r="H7" s="85">
        <v>222.4</v>
      </c>
      <c r="I7" s="85">
        <v>295.60000000000002</v>
      </c>
      <c r="J7" s="86">
        <v>364.3</v>
      </c>
      <c r="K7" s="85">
        <v>142.4</v>
      </c>
      <c r="L7" s="85">
        <v>39.299999999999997</v>
      </c>
      <c r="M7" s="85">
        <v>93.7</v>
      </c>
      <c r="N7" s="87">
        <v>24.7</v>
      </c>
      <c r="O7" s="21">
        <f t="shared" si="0"/>
        <v>1533.1</v>
      </c>
      <c r="P7" s="16">
        <f t="shared" ref="P7:P35" si="1">ROUND(O7/12,1)</f>
        <v>127.8</v>
      </c>
      <c r="Q7" s="4"/>
    </row>
    <row r="8" spans="2:17" ht="21.95" customHeight="1">
      <c r="B8" s="80">
        <v>1994</v>
      </c>
      <c r="C8" s="85">
        <v>17.899999999999999</v>
      </c>
      <c r="D8" s="85">
        <v>16.8</v>
      </c>
      <c r="E8" s="85">
        <v>46.5</v>
      </c>
      <c r="F8" s="85">
        <v>38.700000000000003</v>
      </c>
      <c r="G8" s="85">
        <v>138.4</v>
      </c>
      <c r="H8" s="85">
        <v>115.1</v>
      </c>
      <c r="I8" s="85">
        <v>105.3</v>
      </c>
      <c r="J8" s="85">
        <v>145.9</v>
      </c>
      <c r="K8" s="85">
        <v>37.9</v>
      </c>
      <c r="L8" s="85">
        <v>145.30000000000001</v>
      </c>
      <c r="M8" s="85">
        <v>24.3</v>
      </c>
      <c r="N8" s="87">
        <v>25.8</v>
      </c>
      <c r="O8" s="21">
        <f t="shared" si="0"/>
        <v>857.9</v>
      </c>
      <c r="P8" s="16">
        <f t="shared" si="1"/>
        <v>71.5</v>
      </c>
      <c r="Q8" s="4"/>
    </row>
    <row r="9" spans="2:17" ht="21.95" customHeight="1">
      <c r="B9" s="80">
        <v>1995</v>
      </c>
      <c r="C9" s="85">
        <v>23.5</v>
      </c>
      <c r="D9" s="85">
        <v>16.899999999999999</v>
      </c>
      <c r="E9" s="85">
        <v>33.799999999999997</v>
      </c>
      <c r="F9" s="85">
        <v>54.7</v>
      </c>
      <c r="G9" s="85">
        <v>62.2</v>
      </c>
      <c r="H9" s="85">
        <v>33.6</v>
      </c>
      <c r="I9" s="85">
        <v>155.4</v>
      </c>
      <c r="J9" s="85">
        <v>641.9</v>
      </c>
      <c r="K9" s="85">
        <v>53.4</v>
      </c>
      <c r="L9" s="85">
        <v>36</v>
      </c>
      <c r="M9" s="85">
        <v>17.5</v>
      </c>
      <c r="N9" s="87">
        <v>7.3</v>
      </c>
      <c r="O9" s="21">
        <f t="shared" si="0"/>
        <v>1136.2</v>
      </c>
      <c r="P9" s="16">
        <f t="shared" si="1"/>
        <v>94.7</v>
      </c>
      <c r="Q9" s="4"/>
    </row>
    <row r="10" spans="2:17" ht="21.95" customHeight="1">
      <c r="B10" s="80">
        <v>1996</v>
      </c>
      <c r="C10" s="85">
        <v>32.700000000000003</v>
      </c>
      <c r="D10" s="85">
        <v>4.4000000000000004</v>
      </c>
      <c r="E10" s="85">
        <v>138</v>
      </c>
      <c r="F10" s="85">
        <v>49.8</v>
      </c>
      <c r="G10" s="85">
        <v>62.9</v>
      </c>
      <c r="H10" s="85">
        <v>411.4</v>
      </c>
      <c r="I10" s="85">
        <v>257.7</v>
      </c>
      <c r="J10" s="85">
        <v>114.4</v>
      </c>
      <c r="K10" s="85">
        <v>11.4</v>
      </c>
      <c r="L10" s="85">
        <v>90.8</v>
      </c>
      <c r="M10" s="85">
        <v>77.099999999999994</v>
      </c>
      <c r="N10" s="87">
        <v>28.6</v>
      </c>
      <c r="O10" s="21">
        <f t="shared" si="0"/>
        <v>1279.2</v>
      </c>
      <c r="P10" s="16">
        <f t="shared" si="1"/>
        <v>106.6</v>
      </c>
      <c r="Q10" s="4"/>
    </row>
    <row r="11" spans="2:17" ht="21.95" customHeight="1">
      <c r="B11" s="80">
        <v>1997</v>
      </c>
      <c r="C11" s="85">
        <v>15.6</v>
      </c>
      <c r="D11" s="85">
        <v>51.1</v>
      </c>
      <c r="E11" s="85">
        <v>37.1</v>
      </c>
      <c r="F11" s="85">
        <v>55.4</v>
      </c>
      <c r="G11" s="85">
        <v>200.9</v>
      </c>
      <c r="H11" s="85">
        <v>267.5</v>
      </c>
      <c r="I11" s="85">
        <v>424.2</v>
      </c>
      <c r="J11" s="85">
        <v>463.5</v>
      </c>
      <c r="K11" s="85">
        <v>30.2</v>
      </c>
      <c r="L11" s="85">
        <v>7.7</v>
      </c>
      <c r="M11" s="85">
        <v>168.2</v>
      </c>
      <c r="N11" s="87">
        <v>44.5</v>
      </c>
      <c r="O11" s="21">
        <f t="shared" si="0"/>
        <v>1765.9</v>
      </c>
      <c r="P11" s="16">
        <f t="shared" si="1"/>
        <v>147.19999999999999</v>
      </c>
      <c r="Q11" s="4"/>
    </row>
    <row r="12" spans="2:17" ht="21.95" customHeight="1">
      <c r="B12" s="80">
        <v>1998</v>
      </c>
      <c r="C12" s="85">
        <v>33.299999999999997</v>
      </c>
      <c r="D12" s="85">
        <v>36.299999999999997</v>
      </c>
      <c r="E12" s="85">
        <v>31.1</v>
      </c>
      <c r="F12" s="85">
        <v>154.30000000000001</v>
      </c>
      <c r="G12" s="85">
        <v>119.5</v>
      </c>
      <c r="H12" s="85">
        <v>297.2</v>
      </c>
      <c r="I12" s="85">
        <v>256.10000000000002</v>
      </c>
      <c r="J12" s="85">
        <v>781.7</v>
      </c>
      <c r="K12" s="85">
        <v>254.7</v>
      </c>
      <c r="L12" s="85">
        <v>71.5</v>
      </c>
      <c r="M12" s="85">
        <v>31.6</v>
      </c>
      <c r="N12" s="87">
        <v>2.7</v>
      </c>
      <c r="O12" s="21">
        <f t="shared" si="0"/>
        <v>2070</v>
      </c>
      <c r="P12" s="16">
        <f t="shared" si="1"/>
        <v>172.5</v>
      </c>
    </row>
    <row r="13" spans="2:17" ht="21.95" customHeight="1">
      <c r="B13" s="80">
        <v>1999</v>
      </c>
      <c r="C13" s="85">
        <v>1.8</v>
      </c>
      <c r="D13" s="85">
        <v>12.2</v>
      </c>
      <c r="E13" s="85">
        <v>79.400000000000006</v>
      </c>
      <c r="F13" s="85">
        <v>103</v>
      </c>
      <c r="G13" s="85">
        <v>116.8</v>
      </c>
      <c r="H13" s="85">
        <v>245.7</v>
      </c>
      <c r="I13" s="85">
        <v>137.80000000000001</v>
      </c>
      <c r="J13" s="85">
        <v>203</v>
      </c>
      <c r="K13" s="85">
        <v>359.5</v>
      </c>
      <c r="L13" s="85">
        <v>171.6</v>
      </c>
      <c r="M13" s="85">
        <v>16.5</v>
      </c>
      <c r="N13" s="87">
        <v>7.9</v>
      </c>
      <c r="O13" s="21">
        <f t="shared" si="0"/>
        <v>1455.2</v>
      </c>
      <c r="P13" s="16">
        <f t="shared" si="1"/>
        <v>121.3</v>
      </c>
    </row>
    <row r="14" spans="2:17" ht="21.95" customHeight="1">
      <c r="B14" s="80">
        <v>2000</v>
      </c>
      <c r="C14" s="85">
        <v>27.5</v>
      </c>
      <c r="D14" s="85">
        <v>4.0999999999999996</v>
      </c>
      <c r="E14" s="85">
        <v>17.8</v>
      </c>
      <c r="F14" s="85">
        <v>67.8</v>
      </c>
      <c r="G14" s="85">
        <v>54.3</v>
      </c>
      <c r="H14" s="85">
        <v>238.3</v>
      </c>
      <c r="I14" s="85">
        <v>470.1</v>
      </c>
      <c r="J14" s="85">
        <v>473.6</v>
      </c>
      <c r="K14" s="85">
        <v>263.2</v>
      </c>
      <c r="L14" s="85">
        <v>24.6</v>
      </c>
      <c r="M14" s="85">
        <v>44.6</v>
      </c>
      <c r="N14" s="87">
        <v>21.6</v>
      </c>
      <c r="O14" s="21">
        <f t="shared" si="0"/>
        <v>1707.5</v>
      </c>
      <c r="P14" s="16">
        <f t="shared" si="1"/>
        <v>142.30000000000001</v>
      </c>
    </row>
    <row r="15" spans="2:17" ht="21.95" customHeight="1">
      <c r="B15" s="80">
        <v>2001</v>
      </c>
      <c r="C15" s="85">
        <v>61.2</v>
      </c>
      <c r="D15" s="85">
        <v>70</v>
      </c>
      <c r="E15" s="85">
        <v>16</v>
      </c>
      <c r="F15" s="85">
        <v>20.399999999999999</v>
      </c>
      <c r="G15" s="85">
        <v>30.2</v>
      </c>
      <c r="H15" s="85">
        <v>234.2</v>
      </c>
      <c r="I15" s="85">
        <v>171</v>
      </c>
      <c r="J15" s="85">
        <v>78.099999999999994</v>
      </c>
      <c r="K15" s="85">
        <v>25.2</v>
      </c>
      <c r="L15" s="85">
        <v>91.2</v>
      </c>
      <c r="M15" s="85">
        <v>10.8</v>
      </c>
      <c r="N15" s="87">
        <v>20.399999999999999</v>
      </c>
      <c r="O15" s="21">
        <f t="shared" si="0"/>
        <v>828.7</v>
      </c>
      <c r="P15" s="16">
        <f t="shared" si="1"/>
        <v>69.099999999999994</v>
      </c>
    </row>
    <row r="16" spans="2:17" ht="21.95" customHeight="1">
      <c r="B16" s="80">
        <v>2002</v>
      </c>
      <c r="C16" s="85">
        <v>92.1</v>
      </c>
      <c r="D16" s="85">
        <v>12</v>
      </c>
      <c r="E16" s="85">
        <v>33.5</v>
      </c>
      <c r="F16" s="85">
        <v>155.5</v>
      </c>
      <c r="G16" s="85">
        <v>130.5</v>
      </c>
      <c r="H16" s="85">
        <v>55.4</v>
      </c>
      <c r="I16" s="85">
        <v>149.1</v>
      </c>
      <c r="J16" s="85">
        <v>538.79999999999995</v>
      </c>
      <c r="K16" s="85">
        <v>77</v>
      </c>
      <c r="L16" s="85">
        <v>67.8</v>
      </c>
      <c r="M16" s="85">
        <v>24</v>
      </c>
      <c r="N16" s="87">
        <v>43</v>
      </c>
      <c r="O16" s="21">
        <f t="shared" si="0"/>
        <v>1378.7</v>
      </c>
      <c r="P16" s="16">
        <f t="shared" si="1"/>
        <v>114.9</v>
      </c>
    </row>
    <row r="17" spans="2:16" ht="21.95" customHeight="1">
      <c r="B17" s="80">
        <v>2003</v>
      </c>
      <c r="C17" s="85">
        <v>11.2</v>
      </c>
      <c r="D17" s="85">
        <v>59.2</v>
      </c>
      <c r="E17" s="85">
        <v>44.2</v>
      </c>
      <c r="F17" s="85">
        <v>217.5</v>
      </c>
      <c r="G17" s="85">
        <v>119.5</v>
      </c>
      <c r="H17" s="85">
        <v>186.4</v>
      </c>
      <c r="I17" s="85">
        <v>576.29999999999995</v>
      </c>
      <c r="J17" s="85">
        <v>254.9</v>
      </c>
      <c r="K17" s="85">
        <v>208.5</v>
      </c>
      <c r="L17" s="85">
        <v>21.5</v>
      </c>
      <c r="M17" s="85">
        <v>32.6</v>
      </c>
      <c r="N17" s="87">
        <v>17.100000000000001</v>
      </c>
      <c r="O17" s="21">
        <f t="shared" si="0"/>
        <v>1748.9</v>
      </c>
      <c r="P17" s="16">
        <f t="shared" si="1"/>
        <v>145.69999999999999</v>
      </c>
    </row>
    <row r="18" spans="2:16" ht="21.95" customHeight="1">
      <c r="B18" s="80">
        <v>2004</v>
      </c>
      <c r="C18" s="85">
        <v>10.9</v>
      </c>
      <c r="D18" s="85">
        <v>30.6</v>
      </c>
      <c r="E18" s="85">
        <v>83.2</v>
      </c>
      <c r="F18" s="85">
        <v>73.099999999999994</v>
      </c>
      <c r="G18" s="85">
        <v>109</v>
      </c>
      <c r="H18" s="85">
        <v>383.5</v>
      </c>
      <c r="I18" s="85">
        <v>391</v>
      </c>
      <c r="J18" s="85">
        <v>198.3</v>
      </c>
      <c r="K18" s="85">
        <v>133.69999999999999</v>
      </c>
      <c r="L18" s="85">
        <v>5</v>
      </c>
      <c r="M18" s="85">
        <v>37.1</v>
      </c>
      <c r="N18" s="87">
        <v>41.1</v>
      </c>
      <c r="O18" s="21">
        <f t="shared" si="0"/>
        <v>1496.5</v>
      </c>
      <c r="P18" s="16">
        <f t="shared" si="1"/>
        <v>124.7</v>
      </c>
    </row>
    <row r="19" spans="2:16" ht="21.95" customHeight="1">
      <c r="B19" s="80">
        <v>2005</v>
      </c>
      <c r="C19" s="85">
        <v>6</v>
      </c>
      <c r="D19" s="85">
        <v>37.5</v>
      </c>
      <c r="E19" s="85">
        <v>38.799999999999997</v>
      </c>
      <c r="F19" s="85">
        <v>48.5</v>
      </c>
      <c r="G19" s="85">
        <v>60.5</v>
      </c>
      <c r="H19" s="85">
        <v>209.6</v>
      </c>
      <c r="I19" s="85">
        <v>463.3</v>
      </c>
      <c r="J19" s="85">
        <v>499.5</v>
      </c>
      <c r="K19" s="85">
        <v>226.4</v>
      </c>
      <c r="L19" s="85">
        <v>30.5</v>
      </c>
      <c r="M19" s="85">
        <v>20.3</v>
      </c>
      <c r="N19" s="87">
        <v>15.2</v>
      </c>
      <c r="O19" s="21">
        <f t="shared" si="0"/>
        <v>1656.1</v>
      </c>
      <c r="P19" s="16">
        <f t="shared" si="1"/>
        <v>138</v>
      </c>
    </row>
    <row r="20" spans="2:16" ht="21.95" customHeight="1">
      <c r="B20" s="80">
        <v>2006</v>
      </c>
      <c r="C20" s="85">
        <v>31.2</v>
      </c>
      <c r="D20" s="85">
        <v>33.1</v>
      </c>
      <c r="E20" s="85">
        <v>8.1</v>
      </c>
      <c r="F20" s="85">
        <v>94.2</v>
      </c>
      <c r="G20" s="85">
        <v>119.7</v>
      </c>
      <c r="H20" s="85">
        <v>131</v>
      </c>
      <c r="I20" s="85">
        <v>531</v>
      </c>
      <c r="J20" s="85">
        <v>113.6</v>
      </c>
      <c r="K20" s="85">
        <v>24.1</v>
      </c>
      <c r="L20" s="85">
        <v>19.3</v>
      </c>
      <c r="M20" s="85">
        <v>60</v>
      </c>
      <c r="N20" s="87">
        <v>29.9</v>
      </c>
      <c r="O20" s="21">
        <f t="shared" si="0"/>
        <v>1195.2</v>
      </c>
      <c r="P20" s="16">
        <f t="shared" si="1"/>
        <v>99.6</v>
      </c>
    </row>
    <row r="21" spans="2:16" ht="21.95" customHeight="1">
      <c r="B21" s="80">
        <v>2007</v>
      </c>
      <c r="C21" s="85">
        <v>14</v>
      </c>
      <c r="D21" s="85">
        <v>45</v>
      </c>
      <c r="E21" s="85">
        <v>117.5</v>
      </c>
      <c r="F21" s="85">
        <v>28.6</v>
      </c>
      <c r="G21" s="85">
        <v>130.1</v>
      </c>
      <c r="H21" s="85">
        <v>133</v>
      </c>
      <c r="I21" s="85">
        <v>275.7</v>
      </c>
      <c r="J21" s="85">
        <v>373</v>
      </c>
      <c r="K21" s="85">
        <v>549.9</v>
      </c>
      <c r="L21" s="85">
        <v>47.4</v>
      </c>
      <c r="M21" s="85">
        <v>9.8000000000000007</v>
      </c>
      <c r="N21" s="87">
        <v>26.9</v>
      </c>
      <c r="O21" s="21">
        <f t="shared" si="0"/>
        <v>1750.9</v>
      </c>
      <c r="P21" s="16">
        <f t="shared" si="1"/>
        <v>145.9</v>
      </c>
    </row>
    <row r="22" spans="2:16" ht="21.95" customHeight="1">
      <c r="B22" s="80">
        <v>2008</v>
      </c>
      <c r="C22" s="85">
        <v>45.3</v>
      </c>
      <c r="D22" s="85">
        <v>9.1</v>
      </c>
      <c r="E22" s="85">
        <v>29.1</v>
      </c>
      <c r="F22" s="85">
        <v>34.4</v>
      </c>
      <c r="G22" s="85">
        <v>59.2</v>
      </c>
      <c r="H22" s="85">
        <v>148.30000000000001</v>
      </c>
      <c r="I22" s="85">
        <v>253.4</v>
      </c>
      <c r="J22" s="85">
        <v>325.2</v>
      </c>
      <c r="K22" s="85">
        <v>85.5</v>
      </c>
      <c r="L22" s="85">
        <v>19.600000000000001</v>
      </c>
      <c r="M22" s="85">
        <v>12.1</v>
      </c>
      <c r="N22" s="87">
        <v>16.399999999999999</v>
      </c>
      <c r="O22" s="21">
        <f t="shared" si="0"/>
        <v>1037.5999999999999</v>
      </c>
      <c r="P22" s="16">
        <f t="shared" si="1"/>
        <v>86.5</v>
      </c>
    </row>
    <row r="23" spans="2:16" ht="21.95" customHeight="1">
      <c r="B23" s="80">
        <v>2009</v>
      </c>
      <c r="C23" s="85">
        <v>15.4</v>
      </c>
      <c r="D23" s="85">
        <v>27.5</v>
      </c>
      <c r="E23" s="85">
        <v>60.3</v>
      </c>
      <c r="F23" s="85">
        <v>34.5</v>
      </c>
      <c r="G23" s="85">
        <v>124.3</v>
      </c>
      <c r="H23" s="85">
        <v>87.3</v>
      </c>
      <c r="I23" s="85">
        <v>429.2</v>
      </c>
      <c r="J23" s="85">
        <v>148.30000000000001</v>
      </c>
      <c r="K23" s="85">
        <v>46</v>
      </c>
      <c r="L23" s="85">
        <v>24.7</v>
      </c>
      <c r="M23" s="85">
        <v>54.7</v>
      </c>
      <c r="N23" s="87">
        <v>38.200000000000003</v>
      </c>
      <c r="O23" s="21">
        <f t="shared" si="0"/>
        <v>1090.4000000000001</v>
      </c>
      <c r="P23" s="16">
        <f t="shared" si="1"/>
        <v>90.9</v>
      </c>
    </row>
    <row r="24" spans="2:16" ht="21.95" customHeight="1">
      <c r="B24" s="80">
        <v>2010</v>
      </c>
      <c r="C24" s="85">
        <v>46.4</v>
      </c>
      <c r="D24" s="85">
        <v>81.5</v>
      </c>
      <c r="E24" s="85">
        <v>100.1</v>
      </c>
      <c r="F24" s="85">
        <v>88.5</v>
      </c>
      <c r="G24" s="85">
        <v>117.6</v>
      </c>
      <c r="H24" s="85">
        <v>65.599999999999994</v>
      </c>
      <c r="I24" s="85">
        <v>223.1</v>
      </c>
      <c r="J24" s="85">
        <v>376.4</v>
      </c>
      <c r="K24" s="85">
        <v>250.5</v>
      </c>
      <c r="L24" s="85">
        <v>17.899999999999999</v>
      </c>
      <c r="M24" s="85">
        <v>16.399999999999999</v>
      </c>
      <c r="N24" s="87">
        <v>35.700000000000003</v>
      </c>
      <c r="O24" s="21">
        <f t="shared" si="0"/>
        <v>1419.7</v>
      </c>
      <c r="P24" s="16">
        <f t="shared" si="1"/>
        <v>118.3</v>
      </c>
    </row>
    <row r="25" spans="2:16" ht="21.95" customHeight="1">
      <c r="B25" s="80">
        <v>2011</v>
      </c>
      <c r="C25" s="85">
        <v>4</v>
      </c>
      <c r="D25" s="85">
        <v>44.8</v>
      </c>
      <c r="E25" s="85">
        <v>19</v>
      </c>
      <c r="F25" s="85">
        <v>71</v>
      </c>
      <c r="G25" s="85">
        <v>162</v>
      </c>
      <c r="H25" s="85">
        <v>391.6</v>
      </c>
      <c r="I25" s="85">
        <v>587.29999999999995</v>
      </c>
      <c r="J25" s="85">
        <v>420.3</v>
      </c>
      <c r="K25" s="85">
        <v>91.7</v>
      </c>
      <c r="L25" s="85">
        <v>37</v>
      </c>
      <c r="M25" s="85">
        <v>103.2</v>
      </c>
      <c r="N25" s="87">
        <v>11.5</v>
      </c>
      <c r="O25" s="21">
        <f t="shared" si="0"/>
        <v>1943.4</v>
      </c>
      <c r="P25" s="16">
        <f t="shared" si="1"/>
        <v>162</v>
      </c>
    </row>
    <row r="26" spans="2:16" ht="21.95" customHeight="1">
      <c r="B26" s="80">
        <v>2012</v>
      </c>
      <c r="C26" s="85">
        <v>16.399999999999999</v>
      </c>
      <c r="D26" s="85">
        <v>2.5</v>
      </c>
      <c r="E26" s="85">
        <v>54.6</v>
      </c>
      <c r="F26" s="85">
        <v>66.2</v>
      </c>
      <c r="G26" s="85">
        <v>24</v>
      </c>
      <c r="H26" s="85">
        <v>57.8</v>
      </c>
      <c r="I26" s="85">
        <v>277.60000000000002</v>
      </c>
      <c r="J26" s="85">
        <v>463.6</v>
      </c>
      <c r="K26" s="85">
        <v>242.5</v>
      </c>
      <c r="L26" s="85">
        <v>81.3</v>
      </c>
      <c r="M26" s="85">
        <v>58.4</v>
      </c>
      <c r="N26" s="87">
        <v>64.599999999999994</v>
      </c>
      <c r="O26" s="21">
        <f t="shared" si="0"/>
        <v>1409.5</v>
      </c>
      <c r="P26" s="16">
        <f t="shared" si="1"/>
        <v>117.5</v>
      </c>
    </row>
    <row r="27" spans="2:16" ht="21.95" customHeight="1">
      <c r="B27" s="80">
        <v>2013</v>
      </c>
      <c r="C27" s="85">
        <v>46.2</v>
      </c>
      <c r="D27" s="85">
        <v>54.2</v>
      </c>
      <c r="E27" s="85">
        <v>52.8</v>
      </c>
      <c r="F27" s="85">
        <v>86.8</v>
      </c>
      <c r="G27" s="85">
        <v>110.4</v>
      </c>
      <c r="H27" s="85">
        <v>162.6</v>
      </c>
      <c r="I27" s="85">
        <v>218.7</v>
      </c>
      <c r="J27" s="85">
        <v>126.6</v>
      </c>
      <c r="K27" s="85">
        <v>146.4</v>
      </c>
      <c r="L27" s="85">
        <v>19.899999999999999</v>
      </c>
      <c r="M27" s="85">
        <v>63.5</v>
      </c>
      <c r="N27" s="87">
        <v>32.799999999999997</v>
      </c>
      <c r="O27" s="21">
        <f t="shared" si="0"/>
        <v>1120.9000000000001</v>
      </c>
      <c r="P27" s="16">
        <f t="shared" si="1"/>
        <v>93.4</v>
      </c>
    </row>
    <row r="28" spans="2:16" ht="21.95" customHeight="1">
      <c r="B28" s="80">
        <v>2014</v>
      </c>
      <c r="C28" s="85">
        <v>6.5</v>
      </c>
      <c r="D28" s="85">
        <v>8.5</v>
      </c>
      <c r="E28" s="85">
        <v>67.2</v>
      </c>
      <c r="F28" s="85">
        <v>59.4</v>
      </c>
      <c r="G28" s="85">
        <v>49.7</v>
      </c>
      <c r="H28" s="85">
        <v>143.69999999999999</v>
      </c>
      <c r="I28" s="85">
        <v>177.2</v>
      </c>
      <c r="J28" s="85">
        <v>240.9</v>
      </c>
      <c r="K28" s="85">
        <v>118</v>
      </c>
      <c r="L28" s="85">
        <v>169.4</v>
      </c>
      <c r="M28" s="85">
        <v>40.700000000000003</v>
      </c>
      <c r="N28" s="87">
        <v>36.700000000000003</v>
      </c>
      <c r="O28" s="21">
        <f t="shared" si="0"/>
        <v>1117.9000000000001</v>
      </c>
      <c r="P28" s="16">
        <f t="shared" si="1"/>
        <v>93.2</v>
      </c>
    </row>
    <row r="29" spans="2:16" ht="21.95" customHeight="1">
      <c r="B29" s="80">
        <v>2015</v>
      </c>
      <c r="C29" s="85">
        <v>31.5</v>
      </c>
      <c r="D29" s="85">
        <v>27</v>
      </c>
      <c r="E29" s="85">
        <v>44.7</v>
      </c>
      <c r="F29" s="85">
        <v>95.2</v>
      </c>
      <c r="G29" s="85">
        <v>28.9</v>
      </c>
      <c r="H29" s="85">
        <v>119.8</v>
      </c>
      <c r="I29" s="85">
        <v>145.6</v>
      </c>
      <c r="J29" s="85">
        <v>51.6</v>
      </c>
      <c r="K29" s="85">
        <v>18.5</v>
      </c>
      <c r="L29" s="85">
        <v>94.1</v>
      </c>
      <c r="M29" s="85">
        <v>126</v>
      </c>
      <c r="N29" s="87">
        <v>39.700000000000003</v>
      </c>
      <c r="O29" s="21">
        <f t="shared" si="0"/>
        <v>822.6</v>
      </c>
      <c r="P29" s="16">
        <f t="shared" si="1"/>
        <v>68.599999999999994</v>
      </c>
    </row>
    <row r="30" spans="2:16" ht="21.95" customHeight="1">
      <c r="B30" s="80">
        <v>2016</v>
      </c>
      <c r="C30" s="85">
        <v>11.6</v>
      </c>
      <c r="D30" s="85">
        <v>45.8</v>
      </c>
      <c r="E30" s="85">
        <v>40.299999999999997</v>
      </c>
      <c r="F30" s="85">
        <v>154.9</v>
      </c>
      <c r="G30" s="85">
        <v>85.1</v>
      </c>
      <c r="H30" s="85">
        <v>62.5</v>
      </c>
      <c r="I30" s="85">
        <v>367.9</v>
      </c>
      <c r="J30" s="85">
        <v>57.4</v>
      </c>
      <c r="K30" s="85">
        <v>196</v>
      </c>
      <c r="L30" s="85">
        <v>122.6</v>
      </c>
      <c r="M30" s="85">
        <v>29.5</v>
      </c>
      <c r="N30" s="87">
        <v>54.8</v>
      </c>
      <c r="O30" s="21">
        <f t="shared" si="0"/>
        <v>1228.4000000000001</v>
      </c>
      <c r="P30" s="16">
        <f t="shared" si="1"/>
        <v>102.4</v>
      </c>
    </row>
    <row r="31" spans="2:16" ht="21.95" customHeight="1">
      <c r="B31" s="80">
        <v>2017</v>
      </c>
      <c r="C31" s="85">
        <v>15</v>
      </c>
      <c r="D31" s="85">
        <v>42</v>
      </c>
      <c r="E31" s="85">
        <v>11.6</v>
      </c>
      <c r="F31" s="85">
        <v>77.7</v>
      </c>
      <c r="G31" s="85">
        <v>29.3</v>
      </c>
      <c r="H31" s="85">
        <v>35.299999999999997</v>
      </c>
      <c r="I31" s="85">
        <v>434.5</v>
      </c>
      <c r="J31" s="85">
        <v>293.8</v>
      </c>
      <c r="K31" s="85">
        <v>111.4</v>
      </c>
      <c r="L31" s="85">
        <v>28.3</v>
      </c>
      <c r="M31" s="85">
        <v>15.1</v>
      </c>
      <c r="N31" s="87">
        <v>33.5</v>
      </c>
      <c r="O31" s="21">
        <f t="shared" si="0"/>
        <v>1127.5</v>
      </c>
      <c r="P31" s="16">
        <f t="shared" si="1"/>
        <v>94</v>
      </c>
    </row>
    <row r="32" spans="2:16" ht="21.95" customHeight="1">
      <c r="B32" s="80">
        <v>2018</v>
      </c>
      <c r="C32" s="85">
        <v>23.9</v>
      </c>
      <c r="D32" s="85">
        <v>40.5</v>
      </c>
      <c r="E32" s="85">
        <v>108.4</v>
      </c>
      <c r="F32" s="85">
        <v>155.30000000000001</v>
      </c>
      <c r="G32" s="85">
        <v>95.9</v>
      </c>
      <c r="H32" s="85">
        <v>115.8</v>
      </c>
      <c r="I32" s="85">
        <v>226.9</v>
      </c>
      <c r="J32" s="85">
        <v>408.6</v>
      </c>
      <c r="K32" s="85">
        <v>149.4</v>
      </c>
      <c r="L32" s="85">
        <v>133.9</v>
      </c>
      <c r="M32" s="85">
        <v>49.8</v>
      </c>
      <c r="N32" s="87">
        <v>33.700000000000003</v>
      </c>
      <c r="O32" s="21">
        <f t="shared" si="0"/>
        <v>1542.1</v>
      </c>
      <c r="P32" s="16">
        <f t="shared" si="1"/>
        <v>128.5</v>
      </c>
    </row>
    <row r="33" spans="2:16" ht="21.95" customHeight="1">
      <c r="B33" s="80">
        <v>2019</v>
      </c>
      <c r="C33" s="85">
        <v>1.7</v>
      </c>
      <c r="D33" s="85">
        <v>46.3</v>
      </c>
      <c r="E33" s="85">
        <v>33.700000000000003</v>
      </c>
      <c r="F33" s="85">
        <v>91.6</v>
      </c>
      <c r="G33" s="85">
        <v>35.6</v>
      </c>
      <c r="H33" s="85">
        <v>77.900000000000006</v>
      </c>
      <c r="I33" s="85">
        <v>199</v>
      </c>
      <c r="J33" s="85">
        <v>104.3</v>
      </c>
      <c r="K33" s="85">
        <v>167</v>
      </c>
      <c r="L33" s="85">
        <v>106.1</v>
      </c>
      <c r="M33" s="85">
        <v>94</v>
      </c>
      <c r="N33" s="87">
        <v>27</v>
      </c>
      <c r="O33" s="21">
        <f t="shared" si="0"/>
        <v>984.2</v>
      </c>
      <c r="P33" s="16">
        <f t="shared" si="1"/>
        <v>82</v>
      </c>
    </row>
    <row r="34" spans="2:16" ht="21.95" customHeight="1">
      <c r="B34" s="80">
        <v>2020</v>
      </c>
      <c r="C34" s="85">
        <v>78.5</v>
      </c>
      <c r="D34" s="85">
        <v>91.2</v>
      </c>
      <c r="E34" s="85">
        <v>24.4</v>
      </c>
      <c r="F34" s="85">
        <v>17.8</v>
      </c>
      <c r="G34" s="85">
        <v>80.400000000000006</v>
      </c>
      <c r="H34" s="85">
        <v>192.5</v>
      </c>
      <c r="I34" s="85">
        <v>544.9</v>
      </c>
      <c r="J34" s="85">
        <v>361.6</v>
      </c>
      <c r="K34" s="85">
        <v>173.6</v>
      </c>
      <c r="L34" s="85">
        <v>3.2</v>
      </c>
      <c r="M34" s="85">
        <v>41.8</v>
      </c>
      <c r="N34" s="87">
        <v>4.0999999999999996</v>
      </c>
      <c r="O34" s="21">
        <f t="shared" si="0"/>
        <v>1614</v>
      </c>
      <c r="P34" s="16">
        <f t="shared" si="1"/>
        <v>134.5</v>
      </c>
    </row>
    <row r="35" spans="2:16" ht="21.95" customHeight="1" thickBot="1">
      <c r="B35" s="81">
        <v>2021</v>
      </c>
      <c r="C35" s="88">
        <v>23.6</v>
      </c>
      <c r="D35" s="88">
        <v>14.1</v>
      </c>
      <c r="E35" s="88">
        <v>95.2</v>
      </c>
      <c r="F35" s="88">
        <v>47.4</v>
      </c>
      <c r="G35" s="88">
        <v>134.19999999999999</v>
      </c>
      <c r="H35" s="88">
        <v>105.9</v>
      </c>
      <c r="I35" s="88">
        <v>151.80000000000001</v>
      </c>
      <c r="J35" s="88">
        <v>289.2</v>
      </c>
      <c r="K35" s="88">
        <v>161.19999999999999</v>
      </c>
      <c r="L35" s="88">
        <v>40.799999999999997</v>
      </c>
      <c r="M35" s="88">
        <v>41.7</v>
      </c>
      <c r="N35" s="89">
        <v>4.4000000000000004</v>
      </c>
      <c r="O35" s="27">
        <f t="shared" si="0"/>
        <v>1109.5</v>
      </c>
      <c r="P35" s="28">
        <f t="shared" si="1"/>
        <v>92.5</v>
      </c>
    </row>
    <row r="36" spans="2:16" ht="21.95" customHeight="1">
      <c r="B36" s="29" t="s">
        <v>13</v>
      </c>
      <c r="C36" s="30">
        <f>ROUND(MAX(C6:C35),1)</f>
        <v>92.1</v>
      </c>
      <c r="D36" s="30">
        <f t="shared" ref="D36:N36" si="2">ROUND(MAX(D6:D35),1)</f>
        <v>91.2</v>
      </c>
      <c r="E36" s="30">
        <f t="shared" si="2"/>
        <v>138</v>
      </c>
      <c r="F36" s="30">
        <f t="shared" si="2"/>
        <v>217.5</v>
      </c>
      <c r="G36" s="30">
        <f t="shared" si="2"/>
        <v>200.9</v>
      </c>
      <c r="H36" s="30">
        <f t="shared" si="2"/>
        <v>411.4</v>
      </c>
      <c r="I36" s="30">
        <f t="shared" si="2"/>
        <v>587.29999999999995</v>
      </c>
      <c r="J36" s="30">
        <f t="shared" si="2"/>
        <v>781.7</v>
      </c>
      <c r="K36" s="30">
        <f t="shared" si="2"/>
        <v>549.9</v>
      </c>
      <c r="L36" s="30">
        <f t="shared" si="2"/>
        <v>171.6</v>
      </c>
      <c r="M36" s="30">
        <f t="shared" si="2"/>
        <v>168.2</v>
      </c>
      <c r="N36" s="31">
        <f t="shared" si="2"/>
        <v>64.599999999999994</v>
      </c>
      <c r="O36" s="32">
        <f>ROUND(MAX(O6:O35),1)</f>
        <v>2070</v>
      </c>
      <c r="P36" s="33">
        <f>ROUND(MAX(P6:P35),1)</f>
        <v>172.5</v>
      </c>
    </row>
    <row r="37" spans="2:16" ht="21.95" customHeight="1">
      <c r="B37" s="14" t="s">
        <v>14</v>
      </c>
      <c r="C37" s="8">
        <f>ROUND(MIN(C6:C35),1)</f>
        <v>1.7</v>
      </c>
      <c r="D37" s="8">
        <f t="shared" ref="D37:N37" si="3">ROUND(MIN(D6:D35),1)</f>
        <v>2.5</v>
      </c>
      <c r="E37" s="8">
        <f t="shared" si="3"/>
        <v>8.1</v>
      </c>
      <c r="F37" s="8">
        <f t="shared" si="3"/>
        <v>17.8</v>
      </c>
      <c r="G37" s="8">
        <f t="shared" si="3"/>
        <v>24</v>
      </c>
      <c r="H37" s="8">
        <f t="shared" si="3"/>
        <v>24.4</v>
      </c>
      <c r="I37" s="8">
        <f t="shared" si="3"/>
        <v>105.3</v>
      </c>
      <c r="J37" s="8">
        <f t="shared" si="3"/>
        <v>51.6</v>
      </c>
      <c r="K37" s="8">
        <f t="shared" si="3"/>
        <v>11.4</v>
      </c>
      <c r="L37" s="8">
        <f t="shared" si="3"/>
        <v>3.2</v>
      </c>
      <c r="M37" s="8">
        <f t="shared" si="3"/>
        <v>9.8000000000000007</v>
      </c>
      <c r="N37" s="16">
        <f t="shared" si="3"/>
        <v>2.7</v>
      </c>
      <c r="O37" s="22">
        <f>ROUND(MIN(O6:O35),1)</f>
        <v>822.6</v>
      </c>
      <c r="P37" s="15">
        <f>ROUND(MIN(P6:P35),1)</f>
        <v>68.599999999999994</v>
      </c>
    </row>
    <row r="38" spans="2:16" ht="21.95" customHeight="1" thickBot="1">
      <c r="B38" s="17" t="s">
        <v>18</v>
      </c>
      <c r="C38" s="18">
        <f>ROUND(AVERAGE(C6:C35),1)</f>
        <v>25.5</v>
      </c>
      <c r="D38" s="18">
        <f t="shared" ref="D38:N38" si="4">ROUND(AVERAGE(D6:D35),1)</f>
        <v>35.799999999999997</v>
      </c>
      <c r="E38" s="18">
        <f t="shared" si="4"/>
        <v>51.8</v>
      </c>
      <c r="F38" s="18">
        <f t="shared" si="4"/>
        <v>80.900000000000006</v>
      </c>
      <c r="G38" s="18">
        <f t="shared" si="4"/>
        <v>94.6</v>
      </c>
      <c r="H38" s="18">
        <f t="shared" si="4"/>
        <v>165.2</v>
      </c>
      <c r="I38" s="18">
        <f t="shared" si="4"/>
        <v>302.8</v>
      </c>
      <c r="J38" s="18">
        <f t="shared" si="4"/>
        <v>304.8</v>
      </c>
      <c r="K38" s="18">
        <f t="shared" si="4"/>
        <v>150.6</v>
      </c>
      <c r="L38" s="18">
        <f t="shared" si="4"/>
        <v>60.1</v>
      </c>
      <c r="M38" s="18">
        <f t="shared" si="4"/>
        <v>48.7</v>
      </c>
      <c r="N38" s="19">
        <f t="shared" si="4"/>
        <v>28</v>
      </c>
      <c r="O38" s="23">
        <f>ROUND(AVERAGE(O6:O35),1)</f>
        <v>1348.8</v>
      </c>
      <c r="P38" s="24">
        <f>ROUND(AVERAGE(P6:P35),1)</f>
        <v>112.4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2012</v>
      </c>
      <c r="C44" s="47">
        <f t="shared" ref="C44:N44" si="5">C26</f>
        <v>16.399999999999999</v>
      </c>
      <c r="D44" s="47">
        <f t="shared" si="5"/>
        <v>2.5</v>
      </c>
      <c r="E44" s="47">
        <f t="shared" si="5"/>
        <v>54.6</v>
      </c>
      <c r="F44" s="47">
        <f t="shared" si="5"/>
        <v>66.2</v>
      </c>
      <c r="G44" s="47">
        <f t="shared" si="5"/>
        <v>24</v>
      </c>
      <c r="H44" s="47">
        <f t="shared" si="5"/>
        <v>57.8</v>
      </c>
      <c r="I44" s="47">
        <f t="shared" si="5"/>
        <v>277.60000000000002</v>
      </c>
      <c r="J44" s="47">
        <f t="shared" si="5"/>
        <v>463.6</v>
      </c>
      <c r="K44" s="47">
        <f t="shared" si="5"/>
        <v>242.5</v>
      </c>
      <c r="L44" s="47">
        <f t="shared" si="5"/>
        <v>81.3</v>
      </c>
      <c r="M44" s="47">
        <f t="shared" si="5"/>
        <v>58.4</v>
      </c>
      <c r="N44" s="54">
        <f t="shared" si="5"/>
        <v>64.599999999999994</v>
      </c>
      <c r="O44" s="9">
        <f>ROUND(SUM(C44:N44),1)</f>
        <v>1409.5</v>
      </c>
      <c r="P44" s="15">
        <f>ROUND(O44/12,1)</f>
        <v>117.5</v>
      </c>
    </row>
    <row r="45" spans="2:16" ht="21.95" customHeight="1">
      <c r="B45" s="46">
        <f t="shared" ref="B45:N53" si="6">B27</f>
        <v>2013</v>
      </c>
      <c r="C45" s="47">
        <f t="shared" si="6"/>
        <v>46.2</v>
      </c>
      <c r="D45" s="47">
        <f t="shared" si="6"/>
        <v>54.2</v>
      </c>
      <c r="E45" s="47">
        <f t="shared" si="6"/>
        <v>52.8</v>
      </c>
      <c r="F45" s="47">
        <f t="shared" si="6"/>
        <v>86.8</v>
      </c>
      <c r="G45" s="47">
        <f t="shared" si="6"/>
        <v>110.4</v>
      </c>
      <c r="H45" s="47">
        <f t="shared" si="6"/>
        <v>162.6</v>
      </c>
      <c r="I45" s="47">
        <f t="shared" si="6"/>
        <v>218.7</v>
      </c>
      <c r="J45" s="47">
        <f t="shared" si="6"/>
        <v>126.6</v>
      </c>
      <c r="K45" s="47">
        <f t="shared" si="6"/>
        <v>146.4</v>
      </c>
      <c r="L45" s="47">
        <f t="shared" si="6"/>
        <v>19.899999999999999</v>
      </c>
      <c r="M45" s="47">
        <f t="shared" si="6"/>
        <v>63.5</v>
      </c>
      <c r="N45" s="54">
        <f t="shared" si="6"/>
        <v>32.799999999999997</v>
      </c>
      <c r="O45" s="9">
        <f t="shared" ref="O45:O53" si="7">ROUND(SUM(C45:N45),1)</f>
        <v>1120.9000000000001</v>
      </c>
      <c r="P45" s="15">
        <f t="shared" ref="P45:P53" si="8">ROUND(O45/12,1)</f>
        <v>93.4</v>
      </c>
    </row>
    <row r="46" spans="2:16" ht="21.95" customHeight="1">
      <c r="B46" s="46">
        <f t="shared" si="6"/>
        <v>2014</v>
      </c>
      <c r="C46" s="47">
        <f t="shared" si="6"/>
        <v>6.5</v>
      </c>
      <c r="D46" s="47">
        <f t="shared" si="6"/>
        <v>8.5</v>
      </c>
      <c r="E46" s="47">
        <f t="shared" si="6"/>
        <v>67.2</v>
      </c>
      <c r="F46" s="47">
        <f t="shared" si="6"/>
        <v>59.4</v>
      </c>
      <c r="G46" s="47">
        <f t="shared" si="6"/>
        <v>49.7</v>
      </c>
      <c r="H46" s="47">
        <f t="shared" si="6"/>
        <v>143.69999999999999</v>
      </c>
      <c r="I46" s="47">
        <f t="shared" si="6"/>
        <v>177.2</v>
      </c>
      <c r="J46" s="47">
        <f t="shared" si="6"/>
        <v>240.9</v>
      </c>
      <c r="K46" s="47">
        <f t="shared" si="6"/>
        <v>118</v>
      </c>
      <c r="L46" s="47">
        <f t="shared" si="6"/>
        <v>169.4</v>
      </c>
      <c r="M46" s="47">
        <f t="shared" si="6"/>
        <v>40.700000000000003</v>
      </c>
      <c r="N46" s="54">
        <f t="shared" si="6"/>
        <v>36.700000000000003</v>
      </c>
      <c r="O46" s="9">
        <f t="shared" si="7"/>
        <v>1117.9000000000001</v>
      </c>
      <c r="P46" s="15">
        <f t="shared" si="8"/>
        <v>93.2</v>
      </c>
    </row>
    <row r="47" spans="2:16" ht="21.95" customHeight="1">
      <c r="B47" s="46">
        <f t="shared" si="6"/>
        <v>2015</v>
      </c>
      <c r="C47" s="47">
        <f t="shared" si="6"/>
        <v>31.5</v>
      </c>
      <c r="D47" s="47">
        <f t="shared" si="6"/>
        <v>27</v>
      </c>
      <c r="E47" s="47">
        <f t="shared" si="6"/>
        <v>44.7</v>
      </c>
      <c r="F47" s="47">
        <f t="shared" si="6"/>
        <v>95.2</v>
      </c>
      <c r="G47" s="47">
        <f t="shared" si="6"/>
        <v>28.9</v>
      </c>
      <c r="H47" s="47">
        <f t="shared" si="6"/>
        <v>119.8</v>
      </c>
      <c r="I47" s="47">
        <f t="shared" si="6"/>
        <v>145.6</v>
      </c>
      <c r="J47" s="47">
        <f t="shared" si="6"/>
        <v>51.6</v>
      </c>
      <c r="K47" s="47">
        <f t="shared" si="6"/>
        <v>18.5</v>
      </c>
      <c r="L47" s="47">
        <f t="shared" si="6"/>
        <v>94.1</v>
      </c>
      <c r="M47" s="47">
        <f t="shared" si="6"/>
        <v>126</v>
      </c>
      <c r="N47" s="54">
        <f t="shared" si="6"/>
        <v>39.700000000000003</v>
      </c>
      <c r="O47" s="9">
        <f>ROUND(SUM(C47:N47),1)</f>
        <v>822.6</v>
      </c>
      <c r="P47" s="15">
        <f t="shared" si="8"/>
        <v>68.599999999999994</v>
      </c>
    </row>
    <row r="48" spans="2:16" ht="21.95" customHeight="1">
      <c r="B48" s="46">
        <f t="shared" si="6"/>
        <v>2016</v>
      </c>
      <c r="C48" s="47">
        <f t="shared" si="6"/>
        <v>11.6</v>
      </c>
      <c r="D48" s="47">
        <f t="shared" si="6"/>
        <v>45.8</v>
      </c>
      <c r="E48" s="47">
        <f t="shared" si="6"/>
        <v>40.299999999999997</v>
      </c>
      <c r="F48" s="47">
        <f t="shared" si="6"/>
        <v>154.9</v>
      </c>
      <c r="G48" s="47">
        <f t="shared" si="6"/>
        <v>85.1</v>
      </c>
      <c r="H48" s="47">
        <f t="shared" si="6"/>
        <v>62.5</v>
      </c>
      <c r="I48" s="47">
        <f t="shared" si="6"/>
        <v>367.9</v>
      </c>
      <c r="J48" s="47">
        <f t="shared" si="6"/>
        <v>57.4</v>
      </c>
      <c r="K48" s="47">
        <f t="shared" si="6"/>
        <v>196</v>
      </c>
      <c r="L48" s="47">
        <f t="shared" si="6"/>
        <v>122.6</v>
      </c>
      <c r="M48" s="47">
        <f t="shared" si="6"/>
        <v>29.5</v>
      </c>
      <c r="N48" s="54">
        <f t="shared" si="6"/>
        <v>54.8</v>
      </c>
      <c r="O48" s="9">
        <f t="shared" si="7"/>
        <v>1228.4000000000001</v>
      </c>
      <c r="P48" s="15">
        <f t="shared" si="8"/>
        <v>102.4</v>
      </c>
    </row>
    <row r="49" spans="2:16" ht="21.95" customHeight="1">
      <c r="B49" s="46">
        <f t="shared" si="6"/>
        <v>2017</v>
      </c>
      <c r="C49" s="47">
        <f t="shared" si="6"/>
        <v>15</v>
      </c>
      <c r="D49" s="47">
        <f t="shared" si="6"/>
        <v>42</v>
      </c>
      <c r="E49" s="47">
        <f t="shared" si="6"/>
        <v>11.6</v>
      </c>
      <c r="F49" s="47">
        <f t="shared" si="6"/>
        <v>77.7</v>
      </c>
      <c r="G49" s="47">
        <f t="shared" si="6"/>
        <v>29.3</v>
      </c>
      <c r="H49" s="47">
        <f t="shared" si="6"/>
        <v>35.299999999999997</v>
      </c>
      <c r="I49" s="47">
        <f t="shared" si="6"/>
        <v>434.5</v>
      </c>
      <c r="J49" s="47">
        <f t="shared" si="6"/>
        <v>293.8</v>
      </c>
      <c r="K49" s="47">
        <f t="shared" si="6"/>
        <v>111.4</v>
      </c>
      <c r="L49" s="47">
        <f t="shared" si="6"/>
        <v>28.3</v>
      </c>
      <c r="M49" s="47">
        <f t="shared" si="6"/>
        <v>15.1</v>
      </c>
      <c r="N49" s="54">
        <f t="shared" si="6"/>
        <v>33.5</v>
      </c>
      <c r="O49" s="9">
        <f t="shared" si="7"/>
        <v>1127.5</v>
      </c>
      <c r="P49" s="15">
        <f t="shared" si="8"/>
        <v>94</v>
      </c>
    </row>
    <row r="50" spans="2:16" ht="21.95" customHeight="1">
      <c r="B50" s="46">
        <f t="shared" si="6"/>
        <v>2018</v>
      </c>
      <c r="C50" s="47">
        <f t="shared" si="6"/>
        <v>23.9</v>
      </c>
      <c r="D50" s="47">
        <f t="shared" si="6"/>
        <v>40.5</v>
      </c>
      <c r="E50" s="47">
        <f t="shared" si="6"/>
        <v>108.4</v>
      </c>
      <c r="F50" s="47">
        <f t="shared" si="6"/>
        <v>155.30000000000001</v>
      </c>
      <c r="G50" s="47">
        <f t="shared" si="6"/>
        <v>95.9</v>
      </c>
      <c r="H50" s="47">
        <f t="shared" si="6"/>
        <v>115.8</v>
      </c>
      <c r="I50" s="47">
        <f t="shared" si="6"/>
        <v>226.9</v>
      </c>
      <c r="J50" s="47">
        <f t="shared" si="6"/>
        <v>408.6</v>
      </c>
      <c r="K50" s="47">
        <f t="shared" si="6"/>
        <v>149.4</v>
      </c>
      <c r="L50" s="47">
        <f t="shared" si="6"/>
        <v>133.9</v>
      </c>
      <c r="M50" s="47">
        <f t="shared" si="6"/>
        <v>49.8</v>
      </c>
      <c r="N50" s="54">
        <f t="shared" si="6"/>
        <v>33.700000000000003</v>
      </c>
      <c r="O50" s="9">
        <f t="shared" si="7"/>
        <v>1542.1</v>
      </c>
      <c r="P50" s="15">
        <f t="shared" si="8"/>
        <v>128.5</v>
      </c>
    </row>
    <row r="51" spans="2:16" ht="21.95" customHeight="1">
      <c r="B51" s="46">
        <f t="shared" si="6"/>
        <v>2019</v>
      </c>
      <c r="C51" s="47">
        <f t="shared" si="6"/>
        <v>1.7</v>
      </c>
      <c r="D51" s="47">
        <f t="shared" si="6"/>
        <v>46.3</v>
      </c>
      <c r="E51" s="47">
        <f t="shared" si="6"/>
        <v>33.700000000000003</v>
      </c>
      <c r="F51" s="47">
        <f t="shared" si="6"/>
        <v>91.6</v>
      </c>
      <c r="G51" s="47">
        <f t="shared" si="6"/>
        <v>35.6</v>
      </c>
      <c r="H51" s="47">
        <f t="shared" si="6"/>
        <v>77.900000000000006</v>
      </c>
      <c r="I51" s="47">
        <f t="shared" si="6"/>
        <v>199</v>
      </c>
      <c r="J51" s="47">
        <f t="shared" si="6"/>
        <v>104.3</v>
      </c>
      <c r="K51" s="47">
        <f t="shared" si="6"/>
        <v>167</v>
      </c>
      <c r="L51" s="47">
        <f t="shared" si="6"/>
        <v>106.1</v>
      </c>
      <c r="M51" s="47">
        <f t="shared" si="6"/>
        <v>94</v>
      </c>
      <c r="N51" s="54">
        <f t="shared" si="6"/>
        <v>27</v>
      </c>
      <c r="O51" s="9">
        <f t="shared" si="7"/>
        <v>984.2</v>
      </c>
      <c r="P51" s="15">
        <f t="shared" si="8"/>
        <v>82</v>
      </c>
    </row>
    <row r="52" spans="2:16" ht="21.95" customHeight="1">
      <c r="B52" s="46">
        <f t="shared" si="6"/>
        <v>2020</v>
      </c>
      <c r="C52" s="47">
        <f t="shared" si="6"/>
        <v>78.5</v>
      </c>
      <c r="D52" s="47">
        <f t="shared" si="6"/>
        <v>91.2</v>
      </c>
      <c r="E52" s="47">
        <f t="shared" si="6"/>
        <v>24.4</v>
      </c>
      <c r="F52" s="47">
        <f t="shared" si="6"/>
        <v>17.8</v>
      </c>
      <c r="G52" s="47">
        <f t="shared" si="6"/>
        <v>80.400000000000006</v>
      </c>
      <c r="H52" s="47">
        <f t="shared" si="6"/>
        <v>192.5</v>
      </c>
      <c r="I52" s="47">
        <f t="shared" si="6"/>
        <v>544.9</v>
      </c>
      <c r="J52" s="47">
        <f t="shared" si="6"/>
        <v>361.6</v>
      </c>
      <c r="K52" s="47">
        <f t="shared" si="6"/>
        <v>173.6</v>
      </c>
      <c r="L52" s="47">
        <f t="shared" si="6"/>
        <v>3.2</v>
      </c>
      <c r="M52" s="47">
        <f t="shared" si="6"/>
        <v>41.8</v>
      </c>
      <c r="N52" s="54">
        <f t="shared" si="6"/>
        <v>4.0999999999999996</v>
      </c>
      <c r="O52" s="9">
        <f t="shared" si="7"/>
        <v>1614</v>
      </c>
      <c r="P52" s="15">
        <f t="shared" si="8"/>
        <v>134.5</v>
      </c>
    </row>
    <row r="53" spans="2:16" ht="21.95" customHeight="1" thickBot="1">
      <c r="B53" s="51">
        <f t="shared" si="6"/>
        <v>2021</v>
      </c>
      <c r="C53" s="52">
        <f t="shared" si="6"/>
        <v>23.6</v>
      </c>
      <c r="D53" s="52">
        <f t="shared" si="6"/>
        <v>14.1</v>
      </c>
      <c r="E53" s="52">
        <f t="shared" si="6"/>
        <v>95.2</v>
      </c>
      <c r="F53" s="52">
        <f t="shared" si="6"/>
        <v>47.4</v>
      </c>
      <c r="G53" s="52">
        <f t="shared" si="6"/>
        <v>134.19999999999999</v>
      </c>
      <c r="H53" s="52">
        <f t="shared" si="6"/>
        <v>105.9</v>
      </c>
      <c r="I53" s="52">
        <f t="shared" si="6"/>
        <v>151.80000000000001</v>
      </c>
      <c r="J53" s="52">
        <f t="shared" si="6"/>
        <v>289.2</v>
      </c>
      <c r="K53" s="52">
        <f t="shared" si="6"/>
        <v>161.19999999999999</v>
      </c>
      <c r="L53" s="52">
        <f t="shared" si="6"/>
        <v>40.799999999999997</v>
      </c>
      <c r="M53" s="52">
        <f t="shared" si="6"/>
        <v>41.7</v>
      </c>
      <c r="N53" s="55">
        <f t="shared" si="6"/>
        <v>4.4000000000000004</v>
      </c>
      <c r="O53" s="41">
        <f t="shared" si="7"/>
        <v>1109.5</v>
      </c>
      <c r="P53" s="24">
        <f t="shared" si="8"/>
        <v>92.5</v>
      </c>
    </row>
    <row r="54" spans="2:16" ht="21.95" customHeight="1">
      <c r="B54" s="48" t="s">
        <v>19</v>
      </c>
      <c r="C54" s="49">
        <f>MAX(C44:C53)</f>
        <v>78.5</v>
      </c>
      <c r="D54" s="49">
        <f t="shared" ref="D54:P54" si="9">MAX(D44:D53)</f>
        <v>91.2</v>
      </c>
      <c r="E54" s="49">
        <f t="shared" si="9"/>
        <v>108.4</v>
      </c>
      <c r="F54" s="49">
        <f t="shared" si="9"/>
        <v>155.30000000000001</v>
      </c>
      <c r="G54" s="49">
        <f t="shared" si="9"/>
        <v>134.19999999999999</v>
      </c>
      <c r="H54" s="49">
        <f t="shared" si="9"/>
        <v>192.5</v>
      </c>
      <c r="I54" s="49">
        <f t="shared" si="9"/>
        <v>544.9</v>
      </c>
      <c r="J54" s="49">
        <f t="shared" si="9"/>
        <v>463.6</v>
      </c>
      <c r="K54" s="49">
        <f t="shared" si="9"/>
        <v>242.5</v>
      </c>
      <c r="L54" s="49">
        <f t="shared" si="9"/>
        <v>169.4</v>
      </c>
      <c r="M54" s="49">
        <f t="shared" si="9"/>
        <v>126</v>
      </c>
      <c r="N54" s="50">
        <f t="shared" si="9"/>
        <v>64.599999999999994</v>
      </c>
      <c r="O54" s="53">
        <f t="shared" si="9"/>
        <v>1614</v>
      </c>
      <c r="P54" s="50">
        <f t="shared" si="9"/>
        <v>134.5</v>
      </c>
    </row>
    <row r="55" spans="2:16" ht="21.95" customHeight="1">
      <c r="B55" s="37" t="s">
        <v>20</v>
      </c>
      <c r="C55" s="7">
        <f>MIN(C44:C53)</f>
        <v>1.7</v>
      </c>
      <c r="D55" s="7">
        <f t="shared" ref="D55:P55" si="10">MIN(D44:D53)</f>
        <v>2.5</v>
      </c>
      <c r="E55" s="7">
        <f t="shared" si="10"/>
        <v>11.6</v>
      </c>
      <c r="F55" s="7">
        <f t="shared" si="10"/>
        <v>17.8</v>
      </c>
      <c r="G55" s="7">
        <f t="shared" si="10"/>
        <v>24</v>
      </c>
      <c r="H55" s="7">
        <f t="shared" si="10"/>
        <v>35.299999999999997</v>
      </c>
      <c r="I55" s="7">
        <f t="shared" si="10"/>
        <v>145.6</v>
      </c>
      <c r="J55" s="7">
        <f t="shared" si="10"/>
        <v>51.6</v>
      </c>
      <c r="K55" s="7">
        <f t="shared" si="10"/>
        <v>18.5</v>
      </c>
      <c r="L55" s="7">
        <f t="shared" si="10"/>
        <v>3.2</v>
      </c>
      <c r="M55" s="7">
        <f t="shared" si="10"/>
        <v>15.1</v>
      </c>
      <c r="N55" s="15">
        <f t="shared" si="10"/>
        <v>4.0999999999999996</v>
      </c>
      <c r="O55" s="9">
        <f>MIN(O44:O53)</f>
        <v>822.6</v>
      </c>
      <c r="P55" s="15">
        <f t="shared" si="10"/>
        <v>68.599999999999994</v>
      </c>
    </row>
    <row r="56" spans="2:16" ht="21.95" customHeight="1" thickBot="1">
      <c r="B56" s="38" t="s">
        <v>7</v>
      </c>
      <c r="C56" s="39">
        <f>ROUND(AVERAGE(C44:C53),1)</f>
        <v>25.5</v>
      </c>
      <c r="D56" s="39">
        <f t="shared" ref="D56:N56" si="11">ROUND(AVERAGE(D44:D53),1)</f>
        <v>37.200000000000003</v>
      </c>
      <c r="E56" s="39">
        <f t="shared" si="11"/>
        <v>53.3</v>
      </c>
      <c r="F56" s="39">
        <f t="shared" si="11"/>
        <v>85.2</v>
      </c>
      <c r="G56" s="39">
        <f t="shared" si="11"/>
        <v>67.400000000000006</v>
      </c>
      <c r="H56" s="39">
        <f t="shared" si="11"/>
        <v>107.4</v>
      </c>
      <c r="I56" s="39">
        <f t="shared" si="11"/>
        <v>274.39999999999998</v>
      </c>
      <c r="J56" s="39">
        <f t="shared" si="11"/>
        <v>239.8</v>
      </c>
      <c r="K56" s="39">
        <f t="shared" si="11"/>
        <v>148.4</v>
      </c>
      <c r="L56" s="39">
        <f t="shared" si="11"/>
        <v>80</v>
      </c>
      <c r="M56" s="39">
        <f t="shared" si="11"/>
        <v>56.1</v>
      </c>
      <c r="N56" s="24">
        <f t="shared" si="11"/>
        <v>33.1</v>
      </c>
      <c r="O56" s="41">
        <f>ROUND(AVERAGE(O44:O53),1)</f>
        <v>1207.7</v>
      </c>
      <c r="P56" s="24">
        <f>ROUND(AVERAGE(P44:P53),1)</f>
        <v>100.7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66564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66564" r:id="rId4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A79E-922B-428E-BFC4-A3E89F76DBA1}">
  <sheetPr codeName="Sheet19">
    <tabColor rgb="FF92D050"/>
  </sheetPr>
  <dimension ref="A2:Q983"/>
  <sheetViews>
    <sheetView topLeftCell="A33" zoomScaleNormal="100" workbookViewId="0">
      <selection activeCell="L15" sqref="L15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78" t="s">
        <v>168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79">
        <v>1992</v>
      </c>
      <c r="C6" s="82">
        <v>9.3000000000000007</v>
      </c>
      <c r="D6" s="82">
        <v>16.2</v>
      </c>
      <c r="E6" s="82">
        <v>23.2</v>
      </c>
      <c r="F6" s="82">
        <v>77.400000000000006</v>
      </c>
      <c r="G6" s="82">
        <v>51</v>
      </c>
      <c r="H6" s="82">
        <v>46</v>
      </c>
      <c r="I6" s="82">
        <v>128.5</v>
      </c>
      <c r="J6" s="83">
        <v>331.5</v>
      </c>
      <c r="K6" s="82">
        <v>139.5</v>
      </c>
      <c r="L6" s="82">
        <v>18</v>
      </c>
      <c r="M6" s="82">
        <v>41.4</v>
      </c>
      <c r="N6" s="84">
        <v>51.6</v>
      </c>
      <c r="O6" s="21">
        <f t="shared" ref="O6:O35" si="0">ROUND(SUM(C6:N6),1)</f>
        <v>933.6</v>
      </c>
      <c r="P6" s="20">
        <f>ROUND(O6/12,1)</f>
        <v>77.8</v>
      </c>
      <c r="Q6" s="4"/>
    </row>
    <row r="7" spans="2:17" ht="21.95" customHeight="1">
      <c r="B7" s="80">
        <v>1993</v>
      </c>
      <c r="C7" s="85">
        <v>3.2</v>
      </c>
      <c r="D7" s="85">
        <v>68.599999999999994</v>
      </c>
      <c r="E7" s="85">
        <v>29.8</v>
      </c>
      <c r="F7" s="85">
        <v>31</v>
      </c>
      <c r="G7" s="85">
        <v>59</v>
      </c>
      <c r="H7" s="85">
        <v>139</v>
      </c>
      <c r="I7" s="85">
        <v>323.5</v>
      </c>
      <c r="J7" s="86">
        <v>163.5</v>
      </c>
      <c r="K7" s="85">
        <v>122.5</v>
      </c>
      <c r="L7" s="85">
        <v>48</v>
      </c>
      <c r="M7" s="85">
        <v>66.900000000000006</v>
      </c>
      <c r="N7" s="87">
        <v>25.7</v>
      </c>
      <c r="O7" s="21">
        <f t="shared" si="0"/>
        <v>1080.7</v>
      </c>
      <c r="P7" s="16">
        <f t="shared" ref="P7:P35" si="1">ROUND(O7/12,1)</f>
        <v>90.1</v>
      </c>
      <c r="Q7" s="4"/>
    </row>
    <row r="8" spans="2:17" ht="21.95" customHeight="1">
      <c r="B8" s="80">
        <v>1994</v>
      </c>
      <c r="C8" s="85">
        <v>9.1</v>
      </c>
      <c r="D8" s="85">
        <v>10.1</v>
      </c>
      <c r="E8" s="85">
        <v>39.5</v>
      </c>
      <c r="F8" s="85">
        <v>13.5</v>
      </c>
      <c r="G8" s="85">
        <v>106.5</v>
      </c>
      <c r="H8" s="85">
        <v>160.5</v>
      </c>
      <c r="I8" s="85">
        <v>98</v>
      </c>
      <c r="J8" s="85">
        <v>418</v>
      </c>
      <c r="K8" s="85">
        <v>52</v>
      </c>
      <c r="L8" s="85">
        <v>220</v>
      </c>
      <c r="M8" s="85">
        <v>22</v>
      </c>
      <c r="N8" s="87">
        <v>21</v>
      </c>
      <c r="O8" s="21">
        <f t="shared" si="0"/>
        <v>1170.2</v>
      </c>
      <c r="P8" s="16">
        <f t="shared" si="1"/>
        <v>97.5</v>
      </c>
      <c r="Q8" s="4"/>
    </row>
    <row r="9" spans="2:17" ht="21.95" customHeight="1">
      <c r="B9" s="80">
        <v>1995</v>
      </c>
      <c r="C9" s="85">
        <v>19</v>
      </c>
      <c r="D9" s="85">
        <v>8.1999999999999993</v>
      </c>
      <c r="E9" s="85">
        <v>25.3</v>
      </c>
      <c r="F9" s="85">
        <v>47</v>
      </c>
      <c r="G9" s="85">
        <v>48</v>
      </c>
      <c r="H9" s="85">
        <v>14.5</v>
      </c>
      <c r="I9" s="85">
        <v>239.9</v>
      </c>
      <c r="J9" s="85">
        <v>1082.5</v>
      </c>
      <c r="K9" s="85">
        <v>29</v>
      </c>
      <c r="L9" s="85">
        <v>23.5</v>
      </c>
      <c r="M9" s="85">
        <v>40.200000000000003</v>
      </c>
      <c r="N9" s="87">
        <v>8.9</v>
      </c>
      <c r="O9" s="21">
        <f t="shared" si="0"/>
        <v>1586</v>
      </c>
      <c r="P9" s="16">
        <f t="shared" si="1"/>
        <v>132.19999999999999</v>
      </c>
      <c r="Q9" s="4"/>
    </row>
    <row r="10" spans="2:17" ht="21.95" customHeight="1">
      <c r="B10" s="80">
        <v>1996</v>
      </c>
      <c r="C10" s="85">
        <v>29.5</v>
      </c>
      <c r="D10" s="85">
        <v>10.199999999999999</v>
      </c>
      <c r="E10" s="85">
        <v>115</v>
      </c>
      <c r="F10" s="85">
        <v>54.5</v>
      </c>
      <c r="G10" s="85">
        <v>19</v>
      </c>
      <c r="H10" s="85">
        <v>237</v>
      </c>
      <c r="I10" s="85">
        <v>177.5</v>
      </c>
      <c r="J10" s="85">
        <v>116.5</v>
      </c>
      <c r="K10" s="85">
        <v>8</v>
      </c>
      <c r="L10" s="85">
        <v>102.5</v>
      </c>
      <c r="M10" s="85">
        <v>71.599999999999994</v>
      </c>
      <c r="N10" s="87">
        <v>26.2</v>
      </c>
      <c r="O10" s="21">
        <f t="shared" si="0"/>
        <v>967.5</v>
      </c>
      <c r="P10" s="16">
        <f t="shared" si="1"/>
        <v>80.599999999999994</v>
      </c>
      <c r="Q10" s="4"/>
    </row>
    <row r="11" spans="2:17" ht="21.95" customHeight="1">
      <c r="B11" s="80">
        <v>1997</v>
      </c>
      <c r="C11" s="85">
        <v>10.7</v>
      </c>
      <c r="D11" s="85">
        <v>44.1</v>
      </c>
      <c r="E11" s="85">
        <v>30</v>
      </c>
      <c r="F11" s="85">
        <v>66.5</v>
      </c>
      <c r="G11" s="85">
        <v>211</v>
      </c>
      <c r="H11" s="85">
        <v>191.5</v>
      </c>
      <c r="I11" s="85">
        <v>305</v>
      </c>
      <c r="J11" s="85">
        <v>175.5</v>
      </c>
      <c r="K11" s="85">
        <v>14.5</v>
      </c>
      <c r="L11" s="85">
        <v>23</v>
      </c>
      <c r="M11" s="85">
        <v>153.5</v>
      </c>
      <c r="N11" s="87">
        <v>43.5</v>
      </c>
      <c r="O11" s="21">
        <f t="shared" si="0"/>
        <v>1268.8</v>
      </c>
      <c r="P11" s="16">
        <f t="shared" si="1"/>
        <v>105.7</v>
      </c>
      <c r="Q11" s="4"/>
    </row>
    <row r="12" spans="2:17" ht="21.95" customHeight="1">
      <c r="B12" s="80">
        <v>1998</v>
      </c>
      <c r="C12" s="85">
        <v>20.399999999999999</v>
      </c>
      <c r="D12" s="85">
        <v>27.9</v>
      </c>
      <c r="E12" s="85">
        <v>29.5</v>
      </c>
      <c r="F12" s="85">
        <v>120.5</v>
      </c>
      <c r="G12" s="85">
        <v>85</v>
      </c>
      <c r="H12" s="85">
        <v>219.5</v>
      </c>
      <c r="I12" s="85">
        <v>277</v>
      </c>
      <c r="J12" s="85">
        <v>408.1</v>
      </c>
      <c r="K12" s="85">
        <v>283</v>
      </c>
      <c r="L12" s="85">
        <v>51.5</v>
      </c>
      <c r="M12" s="85">
        <v>52.8</v>
      </c>
      <c r="N12" s="87">
        <v>8.5</v>
      </c>
      <c r="O12" s="21">
        <f t="shared" si="0"/>
        <v>1583.7</v>
      </c>
      <c r="P12" s="16">
        <f t="shared" si="1"/>
        <v>132</v>
      </c>
    </row>
    <row r="13" spans="2:17" ht="21.95" customHeight="1">
      <c r="B13" s="80">
        <v>1999</v>
      </c>
      <c r="C13" s="85">
        <v>2.7</v>
      </c>
      <c r="D13" s="85">
        <v>2.8</v>
      </c>
      <c r="E13" s="85">
        <v>46.5</v>
      </c>
      <c r="F13" s="85">
        <v>88.5</v>
      </c>
      <c r="G13" s="85">
        <v>121.5</v>
      </c>
      <c r="H13" s="85">
        <v>163.69999999999999</v>
      </c>
      <c r="I13" s="85">
        <v>138.5</v>
      </c>
      <c r="J13" s="85">
        <v>313.5</v>
      </c>
      <c r="K13" s="85">
        <v>324.5</v>
      </c>
      <c r="L13" s="85">
        <v>134.5</v>
      </c>
      <c r="M13" s="85">
        <v>16.5</v>
      </c>
      <c r="N13" s="87">
        <v>11.9</v>
      </c>
      <c r="O13" s="21">
        <f t="shared" si="0"/>
        <v>1365.1</v>
      </c>
      <c r="P13" s="16">
        <f t="shared" si="1"/>
        <v>113.8</v>
      </c>
    </row>
    <row r="14" spans="2:17" ht="21.95" customHeight="1">
      <c r="B14" s="80">
        <v>2000</v>
      </c>
      <c r="C14" s="85">
        <v>52.3</v>
      </c>
      <c r="D14" s="85">
        <v>2.7</v>
      </c>
      <c r="E14" s="85">
        <v>7.1</v>
      </c>
      <c r="F14" s="85">
        <v>36</v>
      </c>
      <c r="G14" s="85">
        <v>36</v>
      </c>
      <c r="H14" s="85">
        <v>181</v>
      </c>
      <c r="I14" s="85">
        <v>83</v>
      </c>
      <c r="J14" s="85">
        <v>636</v>
      </c>
      <c r="K14" s="85">
        <v>287.5</v>
      </c>
      <c r="L14" s="85">
        <v>32</v>
      </c>
      <c r="M14" s="85">
        <v>32</v>
      </c>
      <c r="N14" s="87">
        <v>22.5</v>
      </c>
      <c r="O14" s="21">
        <f t="shared" si="0"/>
        <v>1408.1</v>
      </c>
      <c r="P14" s="16">
        <f t="shared" si="1"/>
        <v>117.3</v>
      </c>
    </row>
    <row r="15" spans="2:17" ht="21.95" customHeight="1">
      <c r="B15" s="80">
        <v>2001</v>
      </c>
      <c r="C15" s="85">
        <v>43.5</v>
      </c>
      <c r="D15" s="85">
        <v>44</v>
      </c>
      <c r="E15" s="85">
        <v>16.5</v>
      </c>
      <c r="F15" s="85">
        <v>19</v>
      </c>
      <c r="G15" s="85">
        <v>15</v>
      </c>
      <c r="H15" s="85">
        <v>227.5</v>
      </c>
      <c r="I15" s="85">
        <v>178</v>
      </c>
      <c r="J15" s="85">
        <v>194.5</v>
      </c>
      <c r="K15" s="85">
        <v>12</v>
      </c>
      <c r="L15" s="85">
        <v>63.5</v>
      </c>
      <c r="M15" s="85">
        <v>6.3</v>
      </c>
      <c r="N15" s="87">
        <v>18.399999999999999</v>
      </c>
      <c r="O15" s="21">
        <f t="shared" si="0"/>
        <v>838.2</v>
      </c>
      <c r="P15" s="16">
        <f t="shared" si="1"/>
        <v>69.900000000000006</v>
      </c>
    </row>
    <row r="16" spans="2:17" ht="21.95" customHeight="1">
      <c r="B16" s="80">
        <v>2002</v>
      </c>
      <c r="C16" s="85">
        <v>45.3</v>
      </c>
      <c r="D16" s="85">
        <v>6</v>
      </c>
      <c r="E16" s="85">
        <v>25.5</v>
      </c>
      <c r="F16" s="85">
        <v>128</v>
      </c>
      <c r="G16" s="85">
        <v>104</v>
      </c>
      <c r="H16" s="85">
        <v>54</v>
      </c>
      <c r="I16" s="85">
        <v>229.5</v>
      </c>
      <c r="J16" s="85">
        <v>481.5</v>
      </c>
      <c r="K16" s="85">
        <v>57</v>
      </c>
      <c r="L16" s="85">
        <v>91.5</v>
      </c>
      <c r="M16" s="85">
        <v>42.1</v>
      </c>
      <c r="N16" s="87">
        <v>48.1</v>
      </c>
      <c r="O16" s="21">
        <f t="shared" si="0"/>
        <v>1312.5</v>
      </c>
      <c r="P16" s="16">
        <f t="shared" si="1"/>
        <v>109.4</v>
      </c>
    </row>
    <row r="17" spans="2:16" ht="21.95" customHeight="1">
      <c r="B17" s="80">
        <v>2003</v>
      </c>
      <c r="C17" s="85">
        <v>18.600000000000001</v>
      </c>
      <c r="D17" s="85">
        <v>44</v>
      </c>
      <c r="E17" s="85">
        <v>38.1</v>
      </c>
      <c r="F17" s="85">
        <v>172.3</v>
      </c>
      <c r="G17" s="85">
        <v>106</v>
      </c>
      <c r="H17" s="85">
        <v>178.6</v>
      </c>
      <c r="I17" s="85">
        <v>381.2</v>
      </c>
      <c r="J17" s="85">
        <v>334.6</v>
      </c>
      <c r="K17" s="85">
        <v>264.2</v>
      </c>
      <c r="L17" s="85">
        <v>27</v>
      </c>
      <c r="M17" s="85">
        <v>46.7</v>
      </c>
      <c r="N17" s="87">
        <v>17</v>
      </c>
      <c r="O17" s="21">
        <f t="shared" si="0"/>
        <v>1628.3</v>
      </c>
      <c r="P17" s="16">
        <f t="shared" si="1"/>
        <v>135.69999999999999</v>
      </c>
    </row>
    <row r="18" spans="2:16" ht="21.95" customHeight="1">
      <c r="B18" s="80">
        <v>2004</v>
      </c>
      <c r="C18" s="85">
        <v>16.399999999999999</v>
      </c>
      <c r="D18" s="85">
        <v>21.3</v>
      </c>
      <c r="E18" s="85">
        <v>21.5</v>
      </c>
      <c r="F18" s="85">
        <v>67.5</v>
      </c>
      <c r="G18" s="85">
        <v>127.6</v>
      </c>
      <c r="H18" s="85">
        <v>235</v>
      </c>
      <c r="I18" s="85">
        <v>365.2</v>
      </c>
      <c r="J18" s="85">
        <v>229.3</v>
      </c>
      <c r="K18" s="85">
        <v>189</v>
      </c>
      <c r="L18" s="85">
        <v>4.5</v>
      </c>
      <c r="M18" s="85">
        <v>53</v>
      </c>
      <c r="N18" s="87">
        <v>33</v>
      </c>
      <c r="O18" s="21">
        <f t="shared" si="0"/>
        <v>1363.3</v>
      </c>
      <c r="P18" s="16">
        <f t="shared" si="1"/>
        <v>113.6</v>
      </c>
    </row>
    <row r="19" spans="2:16" ht="21.95" customHeight="1">
      <c r="B19" s="80">
        <v>2005</v>
      </c>
      <c r="C19" s="85">
        <v>3</v>
      </c>
      <c r="D19" s="85">
        <v>29.8</v>
      </c>
      <c r="E19" s="85">
        <v>37</v>
      </c>
      <c r="F19" s="85">
        <v>53.7</v>
      </c>
      <c r="G19" s="85">
        <v>48</v>
      </c>
      <c r="H19" s="85">
        <v>183</v>
      </c>
      <c r="I19" s="85">
        <v>313.8</v>
      </c>
      <c r="J19" s="85">
        <v>202</v>
      </c>
      <c r="K19" s="85">
        <v>377.5</v>
      </c>
      <c r="L19" s="85">
        <v>26.7</v>
      </c>
      <c r="M19" s="85">
        <v>23.5</v>
      </c>
      <c r="N19" s="87">
        <v>11.3</v>
      </c>
      <c r="O19" s="21">
        <f t="shared" si="0"/>
        <v>1309.3</v>
      </c>
      <c r="P19" s="16">
        <f t="shared" si="1"/>
        <v>109.1</v>
      </c>
    </row>
    <row r="20" spans="2:16" ht="21.95" customHeight="1">
      <c r="B20" s="80">
        <v>2006</v>
      </c>
      <c r="C20" s="85">
        <v>25.2</v>
      </c>
      <c r="D20" s="85">
        <v>18.5</v>
      </c>
      <c r="E20" s="85">
        <v>6.1</v>
      </c>
      <c r="F20" s="85">
        <v>78.599999999999994</v>
      </c>
      <c r="G20" s="85">
        <v>79</v>
      </c>
      <c r="H20" s="85">
        <v>120</v>
      </c>
      <c r="I20" s="85">
        <v>535.1</v>
      </c>
      <c r="J20" s="85">
        <v>63.5</v>
      </c>
      <c r="K20" s="85">
        <v>22.2</v>
      </c>
      <c r="L20" s="85">
        <v>21.6</v>
      </c>
      <c r="M20" s="85">
        <v>56.3</v>
      </c>
      <c r="N20" s="87">
        <v>17.2</v>
      </c>
      <c r="O20" s="21">
        <f t="shared" si="0"/>
        <v>1043.3</v>
      </c>
      <c r="P20" s="16">
        <f t="shared" si="1"/>
        <v>86.9</v>
      </c>
    </row>
    <row r="21" spans="2:16" ht="21.95" customHeight="1">
      <c r="B21" s="80">
        <v>2007</v>
      </c>
      <c r="C21" s="85">
        <v>9.4</v>
      </c>
      <c r="D21" s="85">
        <v>34.1</v>
      </c>
      <c r="E21" s="85">
        <v>108.3</v>
      </c>
      <c r="F21" s="85">
        <v>35.299999999999997</v>
      </c>
      <c r="G21" s="85">
        <v>126.2</v>
      </c>
      <c r="H21" s="85">
        <v>106.7</v>
      </c>
      <c r="I21" s="85">
        <v>215.6</v>
      </c>
      <c r="J21" s="85">
        <v>470.6</v>
      </c>
      <c r="K21" s="85">
        <v>353.3</v>
      </c>
      <c r="L21" s="85">
        <v>43.4</v>
      </c>
      <c r="M21" s="85">
        <v>15.6</v>
      </c>
      <c r="N21" s="87">
        <v>43.9</v>
      </c>
      <c r="O21" s="21">
        <f t="shared" si="0"/>
        <v>1562.4</v>
      </c>
      <c r="P21" s="16">
        <f t="shared" si="1"/>
        <v>130.19999999999999</v>
      </c>
    </row>
    <row r="22" spans="2:16" ht="21.95" customHeight="1">
      <c r="B22" s="80">
        <v>2008</v>
      </c>
      <c r="C22" s="85">
        <v>17.5</v>
      </c>
      <c r="D22" s="85">
        <v>11.1</v>
      </c>
      <c r="E22" s="85">
        <v>40.1</v>
      </c>
      <c r="F22" s="85">
        <v>34</v>
      </c>
      <c r="G22" s="85">
        <v>62.6</v>
      </c>
      <c r="H22" s="85">
        <v>126.7</v>
      </c>
      <c r="I22" s="85">
        <v>287.2</v>
      </c>
      <c r="J22" s="85">
        <v>138.80000000000001</v>
      </c>
      <c r="K22" s="85">
        <v>89.3</v>
      </c>
      <c r="L22" s="85">
        <v>30.4</v>
      </c>
      <c r="M22" s="85">
        <v>16.600000000000001</v>
      </c>
      <c r="N22" s="87">
        <v>15.8</v>
      </c>
      <c r="O22" s="21">
        <f t="shared" si="0"/>
        <v>870.1</v>
      </c>
      <c r="P22" s="16">
        <f t="shared" si="1"/>
        <v>72.5</v>
      </c>
    </row>
    <row r="23" spans="2:16" ht="21.95" customHeight="1">
      <c r="B23" s="80">
        <v>2009</v>
      </c>
      <c r="C23" s="85">
        <v>13.3</v>
      </c>
      <c r="D23" s="85">
        <v>16</v>
      </c>
      <c r="E23" s="85">
        <v>51.6</v>
      </c>
      <c r="F23" s="85">
        <v>30.6</v>
      </c>
      <c r="G23" s="85">
        <v>112.6</v>
      </c>
      <c r="H23" s="85">
        <v>55.6</v>
      </c>
      <c r="I23" s="85">
        <v>335.8</v>
      </c>
      <c r="J23" s="85">
        <v>212.3</v>
      </c>
      <c r="K23" s="85">
        <v>30.8</v>
      </c>
      <c r="L23" s="85">
        <v>61.1</v>
      </c>
      <c r="M23" s="85">
        <v>39.700000000000003</v>
      </c>
      <c r="N23" s="87">
        <v>40.5</v>
      </c>
      <c r="O23" s="21">
        <f t="shared" si="0"/>
        <v>999.9</v>
      </c>
      <c r="P23" s="16">
        <f t="shared" si="1"/>
        <v>83.3</v>
      </c>
    </row>
    <row r="24" spans="2:16" ht="21.95" customHeight="1">
      <c r="B24" s="80">
        <v>2010</v>
      </c>
      <c r="C24" s="85">
        <v>40.700000000000003</v>
      </c>
      <c r="D24" s="85">
        <v>50.4</v>
      </c>
      <c r="E24" s="85">
        <v>73.8</v>
      </c>
      <c r="F24" s="85">
        <v>61</v>
      </c>
      <c r="G24" s="85">
        <v>84</v>
      </c>
      <c r="H24" s="85">
        <v>37</v>
      </c>
      <c r="I24" s="85">
        <v>171</v>
      </c>
      <c r="J24" s="85">
        <v>486.1</v>
      </c>
      <c r="K24" s="85">
        <v>316.89999999999998</v>
      </c>
      <c r="L24" s="85">
        <v>19.399999999999999</v>
      </c>
      <c r="M24" s="85">
        <v>13.5</v>
      </c>
      <c r="N24" s="87">
        <v>24.5</v>
      </c>
      <c r="O24" s="21">
        <f t="shared" si="0"/>
        <v>1378.3</v>
      </c>
      <c r="P24" s="16">
        <f t="shared" si="1"/>
        <v>114.9</v>
      </c>
    </row>
    <row r="25" spans="2:16" ht="21.95" customHeight="1">
      <c r="B25" s="80">
        <v>2011</v>
      </c>
      <c r="C25" s="85">
        <v>7.9</v>
      </c>
      <c r="D25" s="85">
        <v>31</v>
      </c>
      <c r="E25" s="85">
        <v>26.5</v>
      </c>
      <c r="F25" s="85">
        <v>133.19999999999999</v>
      </c>
      <c r="G25" s="85">
        <v>103.3</v>
      </c>
      <c r="H25" s="85">
        <v>374.6</v>
      </c>
      <c r="I25" s="85">
        <v>645.1</v>
      </c>
      <c r="J25" s="85">
        <v>268.2</v>
      </c>
      <c r="K25" s="85">
        <v>153.19999999999999</v>
      </c>
      <c r="L25" s="85">
        <v>26.5</v>
      </c>
      <c r="M25" s="85">
        <v>65.8</v>
      </c>
      <c r="N25" s="87">
        <v>10.5</v>
      </c>
      <c r="O25" s="21">
        <f t="shared" si="0"/>
        <v>1845.8</v>
      </c>
      <c r="P25" s="16">
        <f t="shared" si="1"/>
        <v>153.80000000000001</v>
      </c>
    </row>
    <row r="26" spans="2:16" ht="21.95" customHeight="1">
      <c r="B26" s="80">
        <v>2012</v>
      </c>
      <c r="C26" s="85">
        <v>14.5</v>
      </c>
      <c r="D26" s="85">
        <v>2.2999999999999998</v>
      </c>
      <c r="E26" s="85">
        <v>44.9</v>
      </c>
      <c r="F26" s="85">
        <v>81.599999999999994</v>
      </c>
      <c r="G26" s="85">
        <v>16.8</v>
      </c>
      <c r="H26" s="85">
        <v>75.099999999999994</v>
      </c>
      <c r="I26" s="85">
        <v>252.5</v>
      </c>
      <c r="J26" s="85">
        <v>483.7</v>
      </c>
      <c r="K26" s="85">
        <v>190.1</v>
      </c>
      <c r="L26" s="85">
        <v>66.599999999999994</v>
      </c>
      <c r="M26" s="85">
        <v>52.6</v>
      </c>
      <c r="N26" s="87">
        <v>56</v>
      </c>
      <c r="O26" s="21">
        <f t="shared" si="0"/>
        <v>1336.7</v>
      </c>
      <c r="P26" s="16">
        <f t="shared" si="1"/>
        <v>111.4</v>
      </c>
    </row>
    <row r="27" spans="2:16" ht="21.95" customHeight="1">
      <c r="B27" s="80">
        <v>2013</v>
      </c>
      <c r="C27" s="85">
        <v>28.5</v>
      </c>
      <c r="D27" s="85">
        <v>35.200000000000003</v>
      </c>
      <c r="E27" s="85">
        <v>40</v>
      </c>
      <c r="F27" s="85">
        <v>56.3</v>
      </c>
      <c r="G27" s="85">
        <v>123.5</v>
      </c>
      <c r="H27" s="85">
        <v>102.1</v>
      </c>
      <c r="I27" s="85">
        <v>308.2</v>
      </c>
      <c r="J27" s="85">
        <v>173.6</v>
      </c>
      <c r="K27" s="85">
        <v>117.5</v>
      </c>
      <c r="L27" s="85">
        <v>13.8</v>
      </c>
      <c r="M27" s="85">
        <v>58.5</v>
      </c>
      <c r="N27" s="87">
        <v>40.299999999999997</v>
      </c>
      <c r="O27" s="21">
        <f t="shared" si="0"/>
        <v>1097.5</v>
      </c>
      <c r="P27" s="16">
        <f t="shared" si="1"/>
        <v>91.5</v>
      </c>
    </row>
    <row r="28" spans="2:16" ht="21.95" customHeight="1">
      <c r="B28" s="80">
        <v>2014</v>
      </c>
      <c r="C28" s="85">
        <v>4.9000000000000004</v>
      </c>
      <c r="D28" s="85">
        <v>15.1</v>
      </c>
      <c r="E28" s="85">
        <v>40.9</v>
      </c>
      <c r="F28" s="85">
        <v>62.1</v>
      </c>
      <c r="G28" s="85">
        <v>34.6</v>
      </c>
      <c r="H28" s="85">
        <v>73.900000000000006</v>
      </c>
      <c r="I28" s="85">
        <v>239</v>
      </c>
      <c r="J28" s="85">
        <v>218.7</v>
      </c>
      <c r="K28" s="85">
        <v>144</v>
      </c>
      <c r="L28" s="85">
        <v>119.5</v>
      </c>
      <c r="M28" s="85">
        <v>28.9</v>
      </c>
      <c r="N28" s="87">
        <v>38.9</v>
      </c>
      <c r="O28" s="21">
        <f t="shared" si="0"/>
        <v>1020.5</v>
      </c>
      <c r="P28" s="16">
        <f t="shared" si="1"/>
        <v>85</v>
      </c>
    </row>
    <row r="29" spans="2:16" ht="21.95" customHeight="1">
      <c r="B29" s="80">
        <v>2015</v>
      </c>
      <c r="C29" s="85">
        <v>12.7</v>
      </c>
      <c r="D29" s="85">
        <v>21.5</v>
      </c>
      <c r="E29" s="85">
        <v>23.3</v>
      </c>
      <c r="F29" s="85">
        <v>87.6</v>
      </c>
      <c r="G29" s="85">
        <v>27.5</v>
      </c>
      <c r="H29" s="85">
        <v>86</v>
      </c>
      <c r="I29" s="85">
        <v>136.80000000000001</v>
      </c>
      <c r="J29" s="85">
        <v>64.2</v>
      </c>
      <c r="K29" s="85">
        <v>29</v>
      </c>
      <c r="L29" s="85">
        <v>69</v>
      </c>
      <c r="M29" s="85">
        <v>128.6</v>
      </c>
      <c r="N29" s="87">
        <v>41.8</v>
      </c>
      <c r="O29" s="21">
        <f t="shared" si="0"/>
        <v>728</v>
      </c>
      <c r="P29" s="16">
        <f t="shared" si="1"/>
        <v>60.7</v>
      </c>
    </row>
    <row r="30" spans="2:16" ht="21.95" customHeight="1">
      <c r="B30" s="80">
        <v>2016</v>
      </c>
      <c r="C30" s="85">
        <v>8</v>
      </c>
      <c r="D30" s="85">
        <v>43.6</v>
      </c>
      <c r="E30" s="85">
        <v>16.5</v>
      </c>
      <c r="F30" s="85">
        <v>118.3</v>
      </c>
      <c r="G30" s="85">
        <v>107.2</v>
      </c>
      <c r="H30" s="85">
        <v>36.200000000000003</v>
      </c>
      <c r="I30" s="85">
        <v>364.3</v>
      </c>
      <c r="J30" s="85">
        <v>82</v>
      </c>
      <c r="K30" s="85">
        <v>55</v>
      </c>
      <c r="L30" s="85">
        <v>95.9</v>
      </c>
      <c r="M30" s="85">
        <v>33.5</v>
      </c>
      <c r="N30" s="87">
        <v>44.3</v>
      </c>
      <c r="O30" s="21">
        <f t="shared" si="0"/>
        <v>1004.8</v>
      </c>
      <c r="P30" s="16">
        <f t="shared" si="1"/>
        <v>83.7</v>
      </c>
    </row>
    <row r="31" spans="2:16" ht="21.95" customHeight="1">
      <c r="B31" s="80">
        <v>2017</v>
      </c>
      <c r="C31" s="85">
        <v>13.9</v>
      </c>
      <c r="D31" s="85">
        <v>32.200000000000003</v>
      </c>
      <c r="E31" s="85">
        <v>6.5</v>
      </c>
      <c r="F31" s="85">
        <v>42.9</v>
      </c>
      <c r="G31" s="85">
        <v>14.3</v>
      </c>
      <c r="H31" s="85">
        <v>15.6</v>
      </c>
      <c r="I31" s="85">
        <v>788.1</v>
      </c>
      <c r="J31" s="85">
        <v>291.5</v>
      </c>
      <c r="K31" s="85">
        <v>43.3</v>
      </c>
      <c r="L31" s="85">
        <v>14.1</v>
      </c>
      <c r="M31" s="85">
        <v>23.4</v>
      </c>
      <c r="N31" s="87">
        <v>18.8</v>
      </c>
      <c r="O31" s="21">
        <f t="shared" si="0"/>
        <v>1304.5999999999999</v>
      </c>
      <c r="P31" s="16">
        <f t="shared" si="1"/>
        <v>108.7</v>
      </c>
    </row>
    <row r="32" spans="2:16" ht="21.95" customHeight="1">
      <c r="B32" s="80">
        <v>2018</v>
      </c>
      <c r="C32" s="85">
        <v>14</v>
      </c>
      <c r="D32" s="85">
        <v>31.6</v>
      </c>
      <c r="E32" s="85">
        <v>62.2</v>
      </c>
      <c r="F32" s="85">
        <v>117</v>
      </c>
      <c r="G32" s="85">
        <v>82.7</v>
      </c>
      <c r="H32" s="85">
        <v>88.9</v>
      </c>
      <c r="I32" s="85">
        <v>185.8</v>
      </c>
      <c r="J32" s="85">
        <v>282.7</v>
      </c>
      <c r="K32" s="85">
        <v>124.6</v>
      </c>
      <c r="L32" s="85">
        <v>99.8</v>
      </c>
      <c r="M32" s="85">
        <v>48.3</v>
      </c>
      <c r="N32" s="87">
        <v>25.8</v>
      </c>
      <c r="O32" s="21">
        <f t="shared" si="0"/>
        <v>1163.4000000000001</v>
      </c>
      <c r="P32" s="16">
        <f t="shared" si="1"/>
        <v>97</v>
      </c>
    </row>
    <row r="33" spans="2:16" ht="21.95" customHeight="1">
      <c r="B33" s="80">
        <v>2019</v>
      </c>
      <c r="C33" s="85">
        <v>0.6</v>
      </c>
      <c r="D33" s="85">
        <v>25.5</v>
      </c>
      <c r="E33" s="85">
        <v>25.7</v>
      </c>
      <c r="F33" s="85">
        <v>43.9</v>
      </c>
      <c r="G33" s="85">
        <v>15.1</v>
      </c>
      <c r="H33" s="85">
        <v>84.9</v>
      </c>
      <c r="I33" s="85">
        <v>234.7</v>
      </c>
      <c r="J33" s="85">
        <v>90.7</v>
      </c>
      <c r="K33" s="85">
        <v>102.8</v>
      </c>
      <c r="L33" s="85">
        <v>81.900000000000006</v>
      </c>
      <c r="M33" s="85">
        <v>120.6</v>
      </c>
      <c r="N33" s="87">
        <v>18</v>
      </c>
      <c r="O33" s="21">
        <f t="shared" si="0"/>
        <v>844.4</v>
      </c>
      <c r="P33" s="16">
        <f t="shared" si="1"/>
        <v>70.400000000000006</v>
      </c>
    </row>
    <row r="34" spans="2:16" ht="21.95" customHeight="1">
      <c r="B34" s="80">
        <v>2020</v>
      </c>
      <c r="C34" s="85">
        <v>59.7</v>
      </c>
      <c r="D34" s="85">
        <v>63.1</v>
      </c>
      <c r="E34" s="85">
        <v>21.7</v>
      </c>
      <c r="F34" s="85">
        <v>15.1</v>
      </c>
      <c r="G34" s="85">
        <v>86.4</v>
      </c>
      <c r="H34" s="85">
        <v>121.9</v>
      </c>
      <c r="I34" s="85">
        <v>356.4</v>
      </c>
      <c r="J34" s="85">
        <v>481.7</v>
      </c>
      <c r="K34" s="85">
        <v>167.2</v>
      </c>
      <c r="L34" s="85">
        <v>18.899999999999999</v>
      </c>
      <c r="M34" s="85">
        <v>45.9</v>
      </c>
      <c r="N34" s="87">
        <v>5.5</v>
      </c>
      <c r="O34" s="21">
        <f t="shared" si="0"/>
        <v>1443.5</v>
      </c>
      <c r="P34" s="16">
        <f t="shared" si="1"/>
        <v>120.3</v>
      </c>
    </row>
    <row r="35" spans="2:16" ht="21.95" customHeight="1" thickBot="1">
      <c r="B35" s="81">
        <v>2021</v>
      </c>
      <c r="C35" s="88">
        <v>17.8</v>
      </c>
      <c r="D35" s="88">
        <v>9.1999999999999993</v>
      </c>
      <c r="E35" s="88">
        <v>75.3</v>
      </c>
      <c r="F35" s="88">
        <v>54.7</v>
      </c>
      <c r="G35" s="88">
        <v>135.9</v>
      </c>
      <c r="H35" s="88">
        <v>44.8</v>
      </c>
      <c r="I35" s="88">
        <v>117.6</v>
      </c>
      <c r="J35" s="88">
        <v>230</v>
      </c>
      <c r="K35" s="88">
        <v>250.8</v>
      </c>
      <c r="L35" s="88">
        <v>49.5</v>
      </c>
      <c r="M35" s="88">
        <v>67.900000000000006</v>
      </c>
      <c r="N35" s="89">
        <v>5.4</v>
      </c>
      <c r="O35" s="27">
        <f t="shared" si="0"/>
        <v>1058.9000000000001</v>
      </c>
      <c r="P35" s="28">
        <f t="shared" si="1"/>
        <v>88.2</v>
      </c>
    </row>
    <row r="36" spans="2:16" ht="21.95" customHeight="1">
      <c r="B36" s="29" t="s">
        <v>13</v>
      </c>
      <c r="C36" s="30">
        <f>ROUND(MAX(C6:C35),1)</f>
        <v>59.7</v>
      </c>
      <c r="D36" s="30">
        <f t="shared" ref="D36:N36" si="2">ROUND(MAX(D6:D35),1)</f>
        <v>68.599999999999994</v>
      </c>
      <c r="E36" s="30">
        <f t="shared" si="2"/>
        <v>115</v>
      </c>
      <c r="F36" s="30">
        <f t="shared" si="2"/>
        <v>172.3</v>
      </c>
      <c r="G36" s="30">
        <f t="shared" si="2"/>
        <v>211</v>
      </c>
      <c r="H36" s="30">
        <f t="shared" si="2"/>
        <v>374.6</v>
      </c>
      <c r="I36" s="30">
        <f t="shared" si="2"/>
        <v>788.1</v>
      </c>
      <c r="J36" s="30">
        <f t="shared" si="2"/>
        <v>1082.5</v>
      </c>
      <c r="K36" s="30">
        <f t="shared" si="2"/>
        <v>377.5</v>
      </c>
      <c r="L36" s="30">
        <f t="shared" si="2"/>
        <v>220</v>
      </c>
      <c r="M36" s="30">
        <f t="shared" si="2"/>
        <v>153.5</v>
      </c>
      <c r="N36" s="31">
        <f t="shared" si="2"/>
        <v>56</v>
      </c>
      <c r="O36" s="32">
        <f>ROUND(MAX(O6:O35),1)</f>
        <v>1845.8</v>
      </c>
      <c r="P36" s="33">
        <f>ROUND(MAX(P6:P35),1)</f>
        <v>153.80000000000001</v>
      </c>
    </row>
    <row r="37" spans="2:16" ht="21.95" customHeight="1">
      <c r="B37" s="14" t="s">
        <v>14</v>
      </c>
      <c r="C37" s="8">
        <f>ROUND(MIN(C6:C35),1)</f>
        <v>0.6</v>
      </c>
      <c r="D37" s="8">
        <f t="shared" ref="D37:N37" si="3">ROUND(MIN(D6:D35),1)</f>
        <v>2.2999999999999998</v>
      </c>
      <c r="E37" s="8">
        <f t="shared" si="3"/>
        <v>6.1</v>
      </c>
      <c r="F37" s="8">
        <f t="shared" si="3"/>
        <v>13.5</v>
      </c>
      <c r="G37" s="8">
        <f t="shared" si="3"/>
        <v>14.3</v>
      </c>
      <c r="H37" s="8">
        <f t="shared" si="3"/>
        <v>14.5</v>
      </c>
      <c r="I37" s="8">
        <f t="shared" si="3"/>
        <v>83</v>
      </c>
      <c r="J37" s="8">
        <f t="shared" si="3"/>
        <v>63.5</v>
      </c>
      <c r="K37" s="8">
        <f t="shared" si="3"/>
        <v>8</v>
      </c>
      <c r="L37" s="8">
        <f t="shared" si="3"/>
        <v>4.5</v>
      </c>
      <c r="M37" s="8">
        <f t="shared" si="3"/>
        <v>6.3</v>
      </c>
      <c r="N37" s="16">
        <f t="shared" si="3"/>
        <v>5.4</v>
      </c>
      <c r="O37" s="22">
        <f>ROUND(MIN(O6:O35),1)</f>
        <v>728</v>
      </c>
      <c r="P37" s="15">
        <f>ROUND(MIN(P6:P35),1)</f>
        <v>60.7</v>
      </c>
    </row>
    <row r="38" spans="2:16" ht="21.95" customHeight="1" thickBot="1">
      <c r="B38" s="17" t="s">
        <v>18</v>
      </c>
      <c r="C38" s="18">
        <f>ROUND(AVERAGE(C6:C35),1)</f>
        <v>19.100000000000001</v>
      </c>
      <c r="D38" s="18">
        <f t="shared" ref="D38:N38" si="4">ROUND(AVERAGE(D6:D35),1)</f>
        <v>25.9</v>
      </c>
      <c r="E38" s="18">
        <f t="shared" si="4"/>
        <v>38.299999999999997</v>
      </c>
      <c r="F38" s="18">
        <f t="shared" si="4"/>
        <v>67.599999999999994</v>
      </c>
      <c r="G38" s="18">
        <f t="shared" si="4"/>
        <v>78.3</v>
      </c>
      <c r="H38" s="18">
        <f t="shared" si="4"/>
        <v>126</v>
      </c>
      <c r="I38" s="18">
        <f t="shared" si="4"/>
        <v>280.39999999999998</v>
      </c>
      <c r="J38" s="18">
        <f t="shared" si="4"/>
        <v>304.2</v>
      </c>
      <c r="K38" s="18">
        <f t="shared" si="4"/>
        <v>145</v>
      </c>
      <c r="L38" s="18">
        <f t="shared" si="4"/>
        <v>56.6</v>
      </c>
      <c r="M38" s="18">
        <f t="shared" si="4"/>
        <v>49.5</v>
      </c>
      <c r="N38" s="19">
        <f t="shared" si="4"/>
        <v>26.5</v>
      </c>
      <c r="O38" s="23">
        <f>ROUND(AVERAGE(O6:O35),1)</f>
        <v>1217.2</v>
      </c>
      <c r="P38" s="24">
        <f>ROUND(AVERAGE(P6:P35),1)</f>
        <v>101.4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2012</v>
      </c>
      <c r="C44" s="47">
        <f t="shared" ref="C44:N44" si="5">C26</f>
        <v>14.5</v>
      </c>
      <c r="D44" s="47">
        <f t="shared" si="5"/>
        <v>2.2999999999999998</v>
      </c>
      <c r="E44" s="47">
        <f t="shared" si="5"/>
        <v>44.9</v>
      </c>
      <c r="F44" s="47">
        <f t="shared" si="5"/>
        <v>81.599999999999994</v>
      </c>
      <c r="G44" s="47">
        <f t="shared" si="5"/>
        <v>16.8</v>
      </c>
      <c r="H44" s="47">
        <f t="shared" si="5"/>
        <v>75.099999999999994</v>
      </c>
      <c r="I44" s="47">
        <f t="shared" si="5"/>
        <v>252.5</v>
      </c>
      <c r="J44" s="47">
        <f t="shared" si="5"/>
        <v>483.7</v>
      </c>
      <c r="K44" s="47">
        <f t="shared" si="5"/>
        <v>190.1</v>
      </c>
      <c r="L44" s="47">
        <f t="shared" si="5"/>
        <v>66.599999999999994</v>
      </c>
      <c r="M44" s="47">
        <f t="shared" si="5"/>
        <v>52.6</v>
      </c>
      <c r="N44" s="54">
        <f t="shared" si="5"/>
        <v>56</v>
      </c>
      <c r="O44" s="9">
        <f>ROUND(SUM(C44:N44),1)</f>
        <v>1336.7</v>
      </c>
      <c r="P44" s="15">
        <f>ROUND(O44/12,1)</f>
        <v>111.4</v>
      </c>
    </row>
    <row r="45" spans="2:16" ht="21.95" customHeight="1">
      <c r="B45" s="46">
        <f t="shared" ref="B45:N53" si="6">B27</f>
        <v>2013</v>
      </c>
      <c r="C45" s="47">
        <f t="shared" si="6"/>
        <v>28.5</v>
      </c>
      <c r="D45" s="47">
        <f t="shared" si="6"/>
        <v>35.200000000000003</v>
      </c>
      <c r="E45" s="47">
        <f t="shared" si="6"/>
        <v>40</v>
      </c>
      <c r="F45" s="47">
        <f t="shared" si="6"/>
        <v>56.3</v>
      </c>
      <c r="G45" s="47">
        <f t="shared" si="6"/>
        <v>123.5</v>
      </c>
      <c r="H45" s="47">
        <f t="shared" si="6"/>
        <v>102.1</v>
      </c>
      <c r="I45" s="47">
        <f t="shared" si="6"/>
        <v>308.2</v>
      </c>
      <c r="J45" s="47">
        <f t="shared" si="6"/>
        <v>173.6</v>
      </c>
      <c r="K45" s="47">
        <f t="shared" si="6"/>
        <v>117.5</v>
      </c>
      <c r="L45" s="47">
        <f t="shared" si="6"/>
        <v>13.8</v>
      </c>
      <c r="M45" s="47">
        <f t="shared" si="6"/>
        <v>58.5</v>
      </c>
      <c r="N45" s="54">
        <f t="shared" si="6"/>
        <v>40.299999999999997</v>
      </c>
      <c r="O45" s="9">
        <f t="shared" ref="O45:O53" si="7">ROUND(SUM(C45:N45),1)</f>
        <v>1097.5</v>
      </c>
      <c r="P45" s="15">
        <f t="shared" ref="P45:P53" si="8">ROUND(O45/12,1)</f>
        <v>91.5</v>
      </c>
    </row>
    <row r="46" spans="2:16" ht="21.95" customHeight="1">
      <c r="B46" s="46">
        <f t="shared" si="6"/>
        <v>2014</v>
      </c>
      <c r="C46" s="47">
        <f t="shared" si="6"/>
        <v>4.9000000000000004</v>
      </c>
      <c r="D46" s="47">
        <f t="shared" si="6"/>
        <v>15.1</v>
      </c>
      <c r="E46" s="47">
        <f t="shared" si="6"/>
        <v>40.9</v>
      </c>
      <c r="F46" s="47">
        <f t="shared" si="6"/>
        <v>62.1</v>
      </c>
      <c r="G46" s="47">
        <f t="shared" si="6"/>
        <v>34.6</v>
      </c>
      <c r="H46" s="47">
        <f t="shared" si="6"/>
        <v>73.900000000000006</v>
      </c>
      <c r="I46" s="47">
        <f t="shared" si="6"/>
        <v>239</v>
      </c>
      <c r="J46" s="47">
        <f t="shared" si="6"/>
        <v>218.7</v>
      </c>
      <c r="K46" s="47">
        <f t="shared" si="6"/>
        <v>144</v>
      </c>
      <c r="L46" s="47">
        <f t="shared" si="6"/>
        <v>119.5</v>
      </c>
      <c r="M46" s="47">
        <f t="shared" si="6"/>
        <v>28.9</v>
      </c>
      <c r="N46" s="54">
        <f t="shared" si="6"/>
        <v>38.9</v>
      </c>
      <c r="O46" s="9">
        <f t="shared" si="7"/>
        <v>1020.5</v>
      </c>
      <c r="P46" s="15">
        <f t="shared" si="8"/>
        <v>85</v>
      </c>
    </row>
    <row r="47" spans="2:16" ht="21.95" customHeight="1">
      <c r="B47" s="46">
        <f t="shared" si="6"/>
        <v>2015</v>
      </c>
      <c r="C47" s="47">
        <f t="shared" si="6"/>
        <v>12.7</v>
      </c>
      <c r="D47" s="47">
        <f t="shared" si="6"/>
        <v>21.5</v>
      </c>
      <c r="E47" s="47">
        <f t="shared" si="6"/>
        <v>23.3</v>
      </c>
      <c r="F47" s="47">
        <f t="shared" si="6"/>
        <v>87.6</v>
      </c>
      <c r="G47" s="47">
        <f t="shared" si="6"/>
        <v>27.5</v>
      </c>
      <c r="H47" s="47">
        <f t="shared" si="6"/>
        <v>86</v>
      </c>
      <c r="I47" s="47">
        <f t="shared" si="6"/>
        <v>136.80000000000001</v>
      </c>
      <c r="J47" s="47">
        <f t="shared" si="6"/>
        <v>64.2</v>
      </c>
      <c r="K47" s="47">
        <f t="shared" si="6"/>
        <v>29</v>
      </c>
      <c r="L47" s="47">
        <f t="shared" si="6"/>
        <v>69</v>
      </c>
      <c r="M47" s="47">
        <f t="shared" si="6"/>
        <v>128.6</v>
      </c>
      <c r="N47" s="54">
        <f t="shared" si="6"/>
        <v>41.8</v>
      </c>
      <c r="O47" s="9">
        <f>ROUND(SUM(C47:N47),1)</f>
        <v>728</v>
      </c>
      <c r="P47" s="15">
        <f t="shared" si="8"/>
        <v>60.7</v>
      </c>
    </row>
    <row r="48" spans="2:16" ht="21.95" customHeight="1">
      <c r="B48" s="46">
        <f t="shared" si="6"/>
        <v>2016</v>
      </c>
      <c r="C48" s="47">
        <f t="shared" si="6"/>
        <v>8</v>
      </c>
      <c r="D48" s="47">
        <f t="shared" si="6"/>
        <v>43.6</v>
      </c>
      <c r="E48" s="47">
        <f t="shared" si="6"/>
        <v>16.5</v>
      </c>
      <c r="F48" s="47">
        <f t="shared" si="6"/>
        <v>118.3</v>
      </c>
      <c r="G48" s="47">
        <f t="shared" si="6"/>
        <v>107.2</v>
      </c>
      <c r="H48" s="47">
        <f t="shared" si="6"/>
        <v>36.200000000000003</v>
      </c>
      <c r="I48" s="47">
        <f t="shared" si="6"/>
        <v>364.3</v>
      </c>
      <c r="J48" s="47">
        <f t="shared" si="6"/>
        <v>82</v>
      </c>
      <c r="K48" s="47">
        <f t="shared" si="6"/>
        <v>55</v>
      </c>
      <c r="L48" s="47">
        <f t="shared" si="6"/>
        <v>95.9</v>
      </c>
      <c r="M48" s="47">
        <f t="shared" si="6"/>
        <v>33.5</v>
      </c>
      <c r="N48" s="54">
        <f t="shared" si="6"/>
        <v>44.3</v>
      </c>
      <c r="O48" s="9">
        <f t="shared" si="7"/>
        <v>1004.8</v>
      </c>
      <c r="P48" s="15">
        <f t="shared" si="8"/>
        <v>83.7</v>
      </c>
    </row>
    <row r="49" spans="2:16" ht="21.95" customHeight="1">
      <c r="B49" s="46">
        <f t="shared" si="6"/>
        <v>2017</v>
      </c>
      <c r="C49" s="47">
        <f t="shared" si="6"/>
        <v>13.9</v>
      </c>
      <c r="D49" s="47">
        <f t="shared" si="6"/>
        <v>32.200000000000003</v>
      </c>
      <c r="E49" s="47">
        <f t="shared" si="6"/>
        <v>6.5</v>
      </c>
      <c r="F49" s="47">
        <f t="shared" si="6"/>
        <v>42.9</v>
      </c>
      <c r="G49" s="47">
        <f t="shared" si="6"/>
        <v>14.3</v>
      </c>
      <c r="H49" s="47">
        <f t="shared" si="6"/>
        <v>15.6</v>
      </c>
      <c r="I49" s="47">
        <f t="shared" si="6"/>
        <v>788.1</v>
      </c>
      <c r="J49" s="47">
        <f t="shared" si="6"/>
        <v>291.5</v>
      </c>
      <c r="K49" s="47">
        <f t="shared" si="6"/>
        <v>43.3</v>
      </c>
      <c r="L49" s="47">
        <f t="shared" si="6"/>
        <v>14.1</v>
      </c>
      <c r="M49" s="47">
        <f t="shared" si="6"/>
        <v>23.4</v>
      </c>
      <c r="N49" s="54">
        <f t="shared" si="6"/>
        <v>18.8</v>
      </c>
      <c r="O49" s="9">
        <f t="shared" si="7"/>
        <v>1304.5999999999999</v>
      </c>
      <c r="P49" s="15">
        <f t="shared" si="8"/>
        <v>108.7</v>
      </c>
    </row>
    <row r="50" spans="2:16" ht="21.95" customHeight="1">
      <c r="B50" s="46">
        <f t="shared" si="6"/>
        <v>2018</v>
      </c>
      <c r="C50" s="47">
        <f t="shared" si="6"/>
        <v>14</v>
      </c>
      <c r="D50" s="47">
        <f t="shared" si="6"/>
        <v>31.6</v>
      </c>
      <c r="E50" s="47">
        <f t="shared" si="6"/>
        <v>62.2</v>
      </c>
      <c r="F50" s="47">
        <f t="shared" si="6"/>
        <v>117</v>
      </c>
      <c r="G50" s="47">
        <f t="shared" si="6"/>
        <v>82.7</v>
      </c>
      <c r="H50" s="47">
        <f t="shared" si="6"/>
        <v>88.9</v>
      </c>
      <c r="I50" s="47">
        <f t="shared" si="6"/>
        <v>185.8</v>
      </c>
      <c r="J50" s="47">
        <f t="shared" si="6"/>
        <v>282.7</v>
      </c>
      <c r="K50" s="47">
        <f t="shared" si="6"/>
        <v>124.6</v>
      </c>
      <c r="L50" s="47">
        <f t="shared" si="6"/>
        <v>99.8</v>
      </c>
      <c r="M50" s="47">
        <f t="shared" si="6"/>
        <v>48.3</v>
      </c>
      <c r="N50" s="54">
        <f t="shared" si="6"/>
        <v>25.8</v>
      </c>
      <c r="O50" s="9">
        <f t="shared" si="7"/>
        <v>1163.4000000000001</v>
      </c>
      <c r="P50" s="15">
        <f t="shared" si="8"/>
        <v>97</v>
      </c>
    </row>
    <row r="51" spans="2:16" ht="21.95" customHeight="1">
      <c r="B51" s="46">
        <f t="shared" si="6"/>
        <v>2019</v>
      </c>
      <c r="C51" s="47">
        <f t="shared" si="6"/>
        <v>0.6</v>
      </c>
      <c r="D51" s="47">
        <f t="shared" si="6"/>
        <v>25.5</v>
      </c>
      <c r="E51" s="47">
        <f t="shared" si="6"/>
        <v>25.7</v>
      </c>
      <c r="F51" s="47">
        <f t="shared" si="6"/>
        <v>43.9</v>
      </c>
      <c r="G51" s="47">
        <f t="shared" si="6"/>
        <v>15.1</v>
      </c>
      <c r="H51" s="47">
        <f t="shared" si="6"/>
        <v>84.9</v>
      </c>
      <c r="I51" s="47">
        <f t="shared" si="6"/>
        <v>234.7</v>
      </c>
      <c r="J51" s="47">
        <f t="shared" si="6"/>
        <v>90.7</v>
      </c>
      <c r="K51" s="47">
        <f t="shared" si="6"/>
        <v>102.8</v>
      </c>
      <c r="L51" s="47">
        <f t="shared" si="6"/>
        <v>81.900000000000006</v>
      </c>
      <c r="M51" s="47">
        <f t="shared" si="6"/>
        <v>120.6</v>
      </c>
      <c r="N51" s="54">
        <f t="shared" si="6"/>
        <v>18</v>
      </c>
      <c r="O51" s="9">
        <f t="shared" si="7"/>
        <v>844.4</v>
      </c>
      <c r="P51" s="15">
        <f t="shared" si="8"/>
        <v>70.400000000000006</v>
      </c>
    </row>
    <row r="52" spans="2:16" ht="21.95" customHeight="1">
      <c r="B52" s="46">
        <f t="shared" si="6"/>
        <v>2020</v>
      </c>
      <c r="C52" s="47">
        <f t="shared" si="6"/>
        <v>59.7</v>
      </c>
      <c r="D52" s="47">
        <f t="shared" si="6"/>
        <v>63.1</v>
      </c>
      <c r="E52" s="47">
        <f t="shared" si="6"/>
        <v>21.7</v>
      </c>
      <c r="F52" s="47">
        <f t="shared" si="6"/>
        <v>15.1</v>
      </c>
      <c r="G52" s="47">
        <f t="shared" si="6"/>
        <v>86.4</v>
      </c>
      <c r="H52" s="47">
        <f t="shared" si="6"/>
        <v>121.9</v>
      </c>
      <c r="I52" s="47">
        <f t="shared" si="6"/>
        <v>356.4</v>
      </c>
      <c r="J52" s="47">
        <f t="shared" si="6"/>
        <v>481.7</v>
      </c>
      <c r="K52" s="47">
        <f t="shared" si="6"/>
        <v>167.2</v>
      </c>
      <c r="L52" s="47">
        <f t="shared" si="6"/>
        <v>18.899999999999999</v>
      </c>
      <c r="M52" s="47">
        <f t="shared" si="6"/>
        <v>45.9</v>
      </c>
      <c r="N52" s="54">
        <f t="shared" si="6"/>
        <v>5.5</v>
      </c>
      <c r="O52" s="9">
        <f t="shared" si="7"/>
        <v>1443.5</v>
      </c>
      <c r="P52" s="15">
        <f t="shared" si="8"/>
        <v>120.3</v>
      </c>
    </row>
    <row r="53" spans="2:16" ht="21.95" customHeight="1" thickBot="1">
      <c r="B53" s="51">
        <f t="shared" si="6"/>
        <v>2021</v>
      </c>
      <c r="C53" s="52">
        <f t="shared" si="6"/>
        <v>17.8</v>
      </c>
      <c r="D53" s="52">
        <f t="shared" si="6"/>
        <v>9.1999999999999993</v>
      </c>
      <c r="E53" s="52">
        <f t="shared" si="6"/>
        <v>75.3</v>
      </c>
      <c r="F53" s="52">
        <f t="shared" si="6"/>
        <v>54.7</v>
      </c>
      <c r="G53" s="52">
        <f t="shared" si="6"/>
        <v>135.9</v>
      </c>
      <c r="H53" s="52">
        <f t="shared" si="6"/>
        <v>44.8</v>
      </c>
      <c r="I53" s="52">
        <f t="shared" si="6"/>
        <v>117.6</v>
      </c>
      <c r="J53" s="52">
        <f t="shared" si="6"/>
        <v>230</v>
      </c>
      <c r="K53" s="52">
        <f t="shared" si="6"/>
        <v>250.8</v>
      </c>
      <c r="L53" s="52">
        <f t="shared" si="6"/>
        <v>49.5</v>
      </c>
      <c r="M53" s="52">
        <f t="shared" si="6"/>
        <v>67.900000000000006</v>
      </c>
      <c r="N53" s="55">
        <f t="shared" si="6"/>
        <v>5.4</v>
      </c>
      <c r="O53" s="41">
        <f t="shared" si="7"/>
        <v>1058.9000000000001</v>
      </c>
      <c r="P53" s="24">
        <f t="shared" si="8"/>
        <v>88.2</v>
      </c>
    </row>
    <row r="54" spans="2:16" ht="21.95" customHeight="1">
      <c r="B54" s="48" t="s">
        <v>19</v>
      </c>
      <c r="C54" s="49">
        <f>MAX(C44:C53)</f>
        <v>59.7</v>
      </c>
      <c r="D54" s="49">
        <f t="shared" ref="D54:P54" si="9">MAX(D44:D53)</f>
        <v>63.1</v>
      </c>
      <c r="E54" s="49">
        <f t="shared" si="9"/>
        <v>75.3</v>
      </c>
      <c r="F54" s="49">
        <f t="shared" si="9"/>
        <v>118.3</v>
      </c>
      <c r="G54" s="49">
        <f t="shared" si="9"/>
        <v>135.9</v>
      </c>
      <c r="H54" s="49">
        <f t="shared" si="9"/>
        <v>121.9</v>
      </c>
      <c r="I54" s="49">
        <f t="shared" si="9"/>
        <v>788.1</v>
      </c>
      <c r="J54" s="49">
        <f t="shared" si="9"/>
        <v>483.7</v>
      </c>
      <c r="K54" s="49">
        <f t="shared" si="9"/>
        <v>250.8</v>
      </c>
      <c r="L54" s="49">
        <f t="shared" si="9"/>
        <v>119.5</v>
      </c>
      <c r="M54" s="49">
        <f t="shared" si="9"/>
        <v>128.6</v>
      </c>
      <c r="N54" s="50">
        <f t="shared" si="9"/>
        <v>56</v>
      </c>
      <c r="O54" s="53">
        <f t="shared" si="9"/>
        <v>1443.5</v>
      </c>
      <c r="P54" s="50">
        <f t="shared" si="9"/>
        <v>120.3</v>
      </c>
    </row>
    <row r="55" spans="2:16" ht="21.95" customHeight="1">
      <c r="B55" s="37" t="s">
        <v>20</v>
      </c>
      <c r="C55" s="7">
        <f>MIN(C44:C53)</f>
        <v>0.6</v>
      </c>
      <c r="D55" s="7">
        <f t="shared" ref="D55:P55" si="10">MIN(D44:D53)</f>
        <v>2.2999999999999998</v>
      </c>
      <c r="E55" s="7">
        <f t="shared" si="10"/>
        <v>6.5</v>
      </c>
      <c r="F55" s="7">
        <f t="shared" si="10"/>
        <v>15.1</v>
      </c>
      <c r="G55" s="7">
        <f t="shared" si="10"/>
        <v>14.3</v>
      </c>
      <c r="H55" s="7">
        <f t="shared" si="10"/>
        <v>15.6</v>
      </c>
      <c r="I55" s="7">
        <f t="shared" si="10"/>
        <v>117.6</v>
      </c>
      <c r="J55" s="7">
        <f t="shared" si="10"/>
        <v>64.2</v>
      </c>
      <c r="K55" s="7">
        <f t="shared" si="10"/>
        <v>29</v>
      </c>
      <c r="L55" s="7">
        <f t="shared" si="10"/>
        <v>13.8</v>
      </c>
      <c r="M55" s="7">
        <f t="shared" si="10"/>
        <v>23.4</v>
      </c>
      <c r="N55" s="15">
        <f t="shared" si="10"/>
        <v>5.4</v>
      </c>
      <c r="O55" s="9">
        <f>MIN(O44:O53)</f>
        <v>728</v>
      </c>
      <c r="P55" s="15">
        <f t="shared" si="10"/>
        <v>60.7</v>
      </c>
    </row>
    <row r="56" spans="2:16" ht="21.95" customHeight="1" thickBot="1">
      <c r="B56" s="38" t="s">
        <v>7</v>
      </c>
      <c r="C56" s="39">
        <f>ROUND(AVERAGE(C44:C53),1)</f>
        <v>17.5</v>
      </c>
      <c r="D56" s="39">
        <f t="shared" ref="D56:N56" si="11">ROUND(AVERAGE(D44:D53),1)</f>
        <v>27.9</v>
      </c>
      <c r="E56" s="39">
        <f t="shared" si="11"/>
        <v>35.700000000000003</v>
      </c>
      <c r="F56" s="39">
        <f t="shared" si="11"/>
        <v>68</v>
      </c>
      <c r="G56" s="39">
        <f t="shared" si="11"/>
        <v>64.400000000000006</v>
      </c>
      <c r="H56" s="39">
        <f t="shared" si="11"/>
        <v>72.900000000000006</v>
      </c>
      <c r="I56" s="39">
        <f t="shared" si="11"/>
        <v>298.3</v>
      </c>
      <c r="J56" s="39">
        <f t="shared" si="11"/>
        <v>239.9</v>
      </c>
      <c r="K56" s="39">
        <f t="shared" si="11"/>
        <v>122.4</v>
      </c>
      <c r="L56" s="39">
        <f t="shared" si="11"/>
        <v>62.9</v>
      </c>
      <c r="M56" s="39">
        <f t="shared" si="11"/>
        <v>60.8</v>
      </c>
      <c r="N56" s="24">
        <f t="shared" si="11"/>
        <v>29.5</v>
      </c>
      <c r="O56" s="41">
        <f>ROUND(AVERAGE(O44:O53),1)</f>
        <v>1100.2</v>
      </c>
      <c r="P56" s="24">
        <f>ROUND(AVERAGE(P44:P53),1)</f>
        <v>91.7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73732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73732" r:id="rId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C0E3B-2960-4A4D-8A3C-FD4C8B3CB0A8}">
  <sheetPr codeName="Sheet17">
    <tabColor rgb="FF00B0F0"/>
  </sheetPr>
  <dimension ref="A2:Q983"/>
  <sheetViews>
    <sheetView topLeftCell="A10" zoomScaleNormal="100" workbookViewId="0">
      <selection activeCell="H30" sqref="H30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78" t="s">
        <v>166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79">
        <v>1992</v>
      </c>
      <c r="C6" s="82">
        <v>3.4</v>
      </c>
      <c r="D6" s="82">
        <v>21.7</v>
      </c>
      <c r="E6" s="82">
        <v>21.2</v>
      </c>
      <c r="F6" s="82">
        <v>68.2</v>
      </c>
      <c r="G6" s="82">
        <v>67</v>
      </c>
      <c r="H6" s="82">
        <v>79.2</v>
      </c>
      <c r="I6" s="82">
        <v>58</v>
      </c>
      <c r="J6" s="83">
        <v>344.9</v>
      </c>
      <c r="K6" s="82">
        <v>195.5</v>
      </c>
      <c r="L6" s="82">
        <v>32.1</v>
      </c>
      <c r="M6" s="82">
        <v>50.7</v>
      </c>
      <c r="N6" s="84">
        <v>75.7</v>
      </c>
      <c r="O6" s="21">
        <f t="shared" ref="O6:O35" si="0">ROUND(SUM(C6:N6),1)</f>
        <v>1017.6</v>
      </c>
      <c r="P6" s="20">
        <f>ROUND(O6/12,1)</f>
        <v>84.8</v>
      </c>
      <c r="Q6" s="4"/>
    </row>
    <row r="7" spans="2:17" ht="21.95" customHeight="1">
      <c r="B7" s="80">
        <v>1993</v>
      </c>
      <c r="C7" s="85">
        <v>9.1999999999999993</v>
      </c>
      <c r="D7" s="85">
        <v>68.2</v>
      </c>
      <c r="E7" s="85">
        <v>27.4</v>
      </c>
      <c r="F7" s="85">
        <v>45.2</v>
      </c>
      <c r="G7" s="85">
        <v>50.7</v>
      </c>
      <c r="H7" s="85">
        <v>151.80000000000001</v>
      </c>
      <c r="I7" s="85">
        <v>393.1</v>
      </c>
      <c r="J7" s="86">
        <v>95</v>
      </c>
      <c r="K7" s="85">
        <v>81.7</v>
      </c>
      <c r="L7" s="85">
        <v>31.5</v>
      </c>
      <c r="M7" s="85">
        <v>105.1</v>
      </c>
      <c r="N7" s="87">
        <v>34.700000000000003</v>
      </c>
      <c r="O7" s="21">
        <f t="shared" si="0"/>
        <v>1093.5999999999999</v>
      </c>
      <c r="P7" s="16">
        <f t="shared" ref="P7:P35" si="1">ROUND(O7/12,1)</f>
        <v>91.1</v>
      </c>
      <c r="Q7" s="4"/>
    </row>
    <row r="8" spans="2:17" ht="21.95" customHeight="1">
      <c r="B8" s="80">
        <v>1994</v>
      </c>
      <c r="C8" s="85">
        <v>14.6</v>
      </c>
      <c r="D8" s="85">
        <v>5.9</v>
      </c>
      <c r="E8" s="85">
        <v>65.599999999999994</v>
      </c>
      <c r="F8" s="85">
        <v>32.4</v>
      </c>
      <c r="G8" s="85">
        <v>156</v>
      </c>
      <c r="H8" s="85">
        <v>167.8</v>
      </c>
      <c r="I8" s="85">
        <v>107.1</v>
      </c>
      <c r="J8" s="85">
        <v>309.7</v>
      </c>
      <c r="K8" s="85">
        <v>99.2</v>
      </c>
      <c r="L8" s="85">
        <v>216.3</v>
      </c>
      <c r="M8" s="85">
        <v>23.3</v>
      </c>
      <c r="N8" s="87">
        <v>36.6</v>
      </c>
      <c r="O8" s="21">
        <f t="shared" si="0"/>
        <v>1234.5</v>
      </c>
      <c r="P8" s="16">
        <f t="shared" si="1"/>
        <v>102.9</v>
      </c>
      <c r="Q8" s="4"/>
    </row>
    <row r="9" spans="2:17" ht="21.95" customHeight="1">
      <c r="B9" s="80">
        <v>1995</v>
      </c>
      <c r="C9" s="85">
        <v>22.7</v>
      </c>
      <c r="D9" s="85">
        <v>7.2</v>
      </c>
      <c r="E9" s="85">
        <v>37.299999999999997</v>
      </c>
      <c r="F9" s="85">
        <v>48.2</v>
      </c>
      <c r="G9" s="85">
        <v>67.099999999999994</v>
      </c>
      <c r="H9" s="85">
        <v>24.5</v>
      </c>
      <c r="I9" s="85">
        <v>144.1</v>
      </c>
      <c r="J9" s="85">
        <v>992.7</v>
      </c>
      <c r="K9" s="85">
        <v>20.2</v>
      </c>
      <c r="L9" s="85">
        <v>19.3</v>
      </c>
      <c r="M9" s="85">
        <v>49.9</v>
      </c>
      <c r="N9" s="87">
        <v>15.1</v>
      </c>
      <c r="O9" s="21">
        <f t="shared" si="0"/>
        <v>1448.3</v>
      </c>
      <c r="P9" s="16">
        <f t="shared" si="1"/>
        <v>120.7</v>
      </c>
      <c r="Q9" s="4"/>
    </row>
    <row r="10" spans="2:17" ht="21.95" customHeight="1">
      <c r="B10" s="80">
        <v>1996</v>
      </c>
      <c r="C10" s="85">
        <v>29.1</v>
      </c>
      <c r="D10" s="85">
        <v>5.7</v>
      </c>
      <c r="E10" s="85">
        <v>115.1</v>
      </c>
      <c r="F10" s="85">
        <v>48.1</v>
      </c>
      <c r="G10" s="85">
        <v>20</v>
      </c>
      <c r="H10" s="85">
        <v>179.2</v>
      </c>
      <c r="I10" s="85">
        <v>152.80000000000001</v>
      </c>
      <c r="J10" s="85">
        <v>74.099999999999994</v>
      </c>
      <c r="K10" s="85">
        <v>6.4</v>
      </c>
      <c r="L10" s="85">
        <v>92.2</v>
      </c>
      <c r="M10" s="85">
        <v>72.099999999999994</v>
      </c>
      <c r="N10" s="87">
        <v>35.299999999999997</v>
      </c>
      <c r="O10" s="21">
        <f t="shared" si="0"/>
        <v>830.1</v>
      </c>
      <c r="P10" s="16">
        <f t="shared" si="1"/>
        <v>69.2</v>
      </c>
      <c r="Q10" s="4"/>
    </row>
    <row r="11" spans="2:17" ht="21.95" customHeight="1">
      <c r="B11" s="80">
        <v>1997</v>
      </c>
      <c r="C11" s="85">
        <v>20.5</v>
      </c>
      <c r="D11" s="85">
        <v>32.5</v>
      </c>
      <c r="E11" s="85">
        <v>29.6</v>
      </c>
      <c r="F11" s="85">
        <v>69.5</v>
      </c>
      <c r="G11" s="85">
        <v>232.8</v>
      </c>
      <c r="H11" s="85">
        <v>204.4</v>
      </c>
      <c r="I11" s="85">
        <v>298.7</v>
      </c>
      <c r="J11" s="85">
        <v>87.2</v>
      </c>
      <c r="K11" s="85">
        <v>16.100000000000001</v>
      </c>
      <c r="L11" s="85">
        <v>8.6999999999999993</v>
      </c>
      <c r="M11" s="85">
        <v>116.7</v>
      </c>
      <c r="N11" s="87">
        <v>40.200000000000003</v>
      </c>
      <c r="O11" s="21">
        <f t="shared" si="0"/>
        <v>1156.9000000000001</v>
      </c>
      <c r="P11" s="16">
        <f t="shared" si="1"/>
        <v>96.4</v>
      </c>
      <c r="Q11" s="4"/>
    </row>
    <row r="12" spans="2:17" ht="21.95" customHeight="1">
      <c r="B12" s="80">
        <v>1998</v>
      </c>
      <c r="C12" s="85">
        <v>40.1</v>
      </c>
      <c r="D12" s="85">
        <v>54.2</v>
      </c>
      <c r="E12" s="85">
        <v>35</v>
      </c>
      <c r="F12" s="85">
        <v>160.6</v>
      </c>
      <c r="G12" s="85">
        <v>95.5</v>
      </c>
      <c r="H12" s="85">
        <v>281.7</v>
      </c>
      <c r="I12" s="85">
        <v>295.60000000000002</v>
      </c>
      <c r="J12" s="85">
        <v>491.8</v>
      </c>
      <c r="K12" s="85">
        <v>168</v>
      </c>
      <c r="L12" s="85">
        <v>24.3</v>
      </c>
      <c r="M12" s="85">
        <v>55.6</v>
      </c>
      <c r="N12" s="87">
        <v>9.1999999999999993</v>
      </c>
      <c r="O12" s="21">
        <f t="shared" si="0"/>
        <v>1711.6</v>
      </c>
      <c r="P12" s="16">
        <f t="shared" si="1"/>
        <v>142.6</v>
      </c>
    </row>
    <row r="13" spans="2:17" ht="21.95" customHeight="1">
      <c r="B13" s="80">
        <v>1999</v>
      </c>
      <c r="C13" s="85">
        <v>8</v>
      </c>
      <c r="D13" s="85">
        <v>7.8</v>
      </c>
      <c r="E13" s="85">
        <v>59.9</v>
      </c>
      <c r="F13" s="85">
        <v>90.1</v>
      </c>
      <c r="G13" s="85">
        <v>178.8</v>
      </c>
      <c r="H13" s="85">
        <v>105.1</v>
      </c>
      <c r="I13" s="85">
        <v>175.6</v>
      </c>
      <c r="J13" s="85">
        <v>497.4</v>
      </c>
      <c r="K13" s="85">
        <v>532.6</v>
      </c>
      <c r="L13" s="85">
        <v>111.3</v>
      </c>
      <c r="M13" s="85">
        <v>36.6</v>
      </c>
      <c r="N13" s="87">
        <v>23.4</v>
      </c>
      <c r="O13" s="21">
        <f t="shared" si="0"/>
        <v>1826.6</v>
      </c>
      <c r="P13" s="16">
        <f t="shared" si="1"/>
        <v>152.19999999999999</v>
      </c>
    </row>
    <row r="14" spans="2:17" ht="21.95" customHeight="1">
      <c r="B14" s="80">
        <v>2000</v>
      </c>
      <c r="C14" s="85">
        <v>63</v>
      </c>
      <c r="D14" s="85">
        <v>2.9</v>
      </c>
      <c r="E14" s="85">
        <v>3.7</v>
      </c>
      <c r="F14" s="85">
        <v>38.1</v>
      </c>
      <c r="G14" s="85">
        <v>62.1</v>
      </c>
      <c r="H14" s="85">
        <v>204.4</v>
      </c>
      <c r="I14" s="85">
        <v>60.8</v>
      </c>
      <c r="J14" s="85">
        <v>608.1</v>
      </c>
      <c r="K14" s="85">
        <v>298.10000000000002</v>
      </c>
      <c r="L14" s="85">
        <v>34.4</v>
      </c>
      <c r="M14" s="85">
        <v>24.8</v>
      </c>
      <c r="N14" s="87">
        <v>24.4</v>
      </c>
      <c r="O14" s="21">
        <f t="shared" si="0"/>
        <v>1424.8</v>
      </c>
      <c r="P14" s="16">
        <f t="shared" si="1"/>
        <v>118.7</v>
      </c>
    </row>
    <row r="15" spans="2:17" ht="21.95" customHeight="1">
      <c r="B15" s="80">
        <v>2001</v>
      </c>
      <c r="C15" s="85">
        <v>66.900000000000006</v>
      </c>
      <c r="D15" s="85">
        <v>40.4</v>
      </c>
      <c r="E15" s="85">
        <v>12.7</v>
      </c>
      <c r="F15" s="85">
        <v>18.7</v>
      </c>
      <c r="G15" s="85">
        <v>17.8</v>
      </c>
      <c r="H15" s="85">
        <v>200.2</v>
      </c>
      <c r="I15" s="85">
        <v>402</v>
      </c>
      <c r="J15" s="85">
        <v>136.6</v>
      </c>
      <c r="K15" s="85">
        <v>15</v>
      </c>
      <c r="L15" s="85">
        <v>47.5</v>
      </c>
      <c r="M15" s="85">
        <v>8.1999999999999993</v>
      </c>
      <c r="N15" s="87">
        <v>20.8</v>
      </c>
      <c r="O15" s="21">
        <f t="shared" si="0"/>
        <v>986.8</v>
      </c>
      <c r="P15" s="16">
        <f t="shared" si="1"/>
        <v>82.2</v>
      </c>
    </row>
    <row r="16" spans="2:17" ht="21.95" customHeight="1">
      <c r="B16" s="80">
        <v>2002</v>
      </c>
      <c r="C16" s="85">
        <v>22.5</v>
      </c>
      <c r="D16" s="85">
        <v>7</v>
      </c>
      <c r="E16" s="85">
        <v>29.3</v>
      </c>
      <c r="F16" s="85">
        <v>179.5</v>
      </c>
      <c r="G16" s="85">
        <v>177.3</v>
      </c>
      <c r="H16" s="85">
        <v>60.8</v>
      </c>
      <c r="I16" s="85">
        <v>296.10000000000002</v>
      </c>
      <c r="J16" s="85">
        <v>428.2</v>
      </c>
      <c r="K16" s="85">
        <v>57.5</v>
      </c>
      <c r="L16" s="85">
        <v>78.3</v>
      </c>
      <c r="M16" s="85">
        <v>36.299999999999997</v>
      </c>
      <c r="N16" s="87">
        <v>14.8</v>
      </c>
      <c r="O16" s="21">
        <f t="shared" si="0"/>
        <v>1387.6</v>
      </c>
      <c r="P16" s="16">
        <f t="shared" si="1"/>
        <v>115.6</v>
      </c>
    </row>
    <row r="17" spans="2:16" ht="21.95" customHeight="1">
      <c r="B17" s="80">
        <v>2003</v>
      </c>
      <c r="C17" s="85">
        <v>20.9</v>
      </c>
      <c r="D17" s="85">
        <v>39</v>
      </c>
      <c r="E17" s="85">
        <v>22.5</v>
      </c>
      <c r="F17" s="85">
        <v>180</v>
      </c>
      <c r="G17" s="85">
        <v>105.5</v>
      </c>
      <c r="H17" s="85">
        <v>221.8</v>
      </c>
      <c r="I17" s="85">
        <v>290.2</v>
      </c>
      <c r="J17" s="85">
        <v>257.89999999999998</v>
      </c>
      <c r="K17" s="85">
        <v>201.9</v>
      </c>
      <c r="L17" s="85">
        <v>23</v>
      </c>
      <c r="M17" s="85">
        <v>53.6</v>
      </c>
      <c r="N17" s="87">
        <v>17.100000000000001</v>
      </c>
      <c r="O17" s="21">
        <f t="shared" si="0"/>
        <v>1433.4</v>
      </c>
      <c r="P17" s="16">
        <f t="shared" si="1"/>
        <v>119.5</v>
      </c>
    </row>
    <row r="18" spans="2:16" ht="21.95" customHeight="1">
      <c r="B18" s="80">
        <v>2004</v>
      </c>
      <c r="C18" s="85">
        <v>27.3</v>
      </c>
      <c r="D18" s="85">
        <v>26.3</v>
      </c>
      <c r="E18" s="85">
        <v>15.7</v>
      </c>
      <c r="F18" s="85">
        <v>80.2</v>
      </c>
      <c r="G18" s="85">
        <v>140.30000000000001</v>
      </c>
      <c r="H18" s="85">
        <v>211.1</v>
      </c>
      <c r="I18" s="85">
        <v>321.89999999999998</v>
      </c>
      <c r="J18" s="85">
        <v>131.19999999999999</v>
      </c>
      <c r="K18" s="85">
        <v>282.60000000000002</v>
      </c>
      <c r="L18" s="85">
        <v>1.8</v>
      </c>
      <c r="M18" s="85">
        <v>70.5</v>
      </c>
      <c r="N18" s="87">
        <v>32</v>
      </c>
      <c r="O18" s="21">
        <f t="shared" si="0"/>
        <v>1340.9</v>
      </c>
      <c r="P18" s="16">
        <f t="shared" si="1"/>
        <v>111.7</v>
      </c>
    </row>
    <row r="19" spans="2:16" ht="21.95" customHeight="1">
      <c r="B19" s="80">
        <v>2005</v>
      </c>
      <c r="C19" s="85">
        <v>10.4</v>
      </c>
      <c r="D19" s="85">
        <v>34</v>
      </c>
      <c r="E19" s="85">
        <v>36.1</v>
      </c>
      <c r="F19" s="85">
        <v>77.2</v>
      </c>
      <c r="G19" s="85">
        <v>56.1</v>
      </c>
      <c r="H19" s="85">
        <v>147</v>
      </c>
      <c r="I19" s="85">
        <v>386.1</v>
      </c>
      <c r="J19" s="85">
        <v>270.5</v>
      </c>
      <c r="K19" s="85">
        <v>228.7</v>
      </c>
      <c r="L19" s="85">
        <v>30.9</v>
      </c>
      <c r="M19" s="85">
        <v>19.600000000000001</v>
      </c>
      <c r="N19" s="87">
        <v>37.6</v>
      </c>
      <c r="O19" s="21">
        <f t="shared" si="0"/>
        <v>1334.2</v>
      </c>
      <c r="P19" s="16">
        <f t="shared" si="1"/>
        <v>111.2</v>
      </c>
    </row>
    <row r="20" spans="2:16" ht="21.95" customHeight="1">
      <c r="B20" s="80">
        <v>2006</v>
      </c>
      <c r="C20" s="85">
        <v>29.7</v>
      </c>
      <c r="D20" s="85">
        <v>18.899999999999999</v>
      </c>
      <c r="E20" s="85">
        <v>5</v>
      </c>
      <c r="F20" s="85">
        <v>77.3</v>
      </c>
      <c r="G20" s="85">
        <v>133.5</v>
      </c>
      <c r="H20" s="85">
        <v>226.8</v>
      </c>
      <c r="I20" s="85">
        <v>494.5</v>
      </c>
      <c r="J20" s="85">
        <v>58.2</v>
      </c>
      <c r="K20" s="85">
        <v>10.1</v>
      </c>
      <c r="L20" s="85">
        <v>10.5</v>
      </c>
      <c r="M20" s="85">
        <v>55</v>
      </c>
      <c r="N20" s="87">
        <v>19.7</v>
      </c>
      <c r="O20" s="21">
        <f t="shared" si="0"/>
        <v>1139.2</v>
      </c>
      <c r="P20" s="16">
        <f t="shared" si="1"/>
        <v>94.9</v>
      </c>
    </row>
    <row r="21" spans="2:16" ht="21.95" customHeight="1">
      <c r="B21" s="80">
        <v>2007</v>
      </c>
      <c r="C21" s="85">
        <v>13</v>
      </c>
      <c r="D21" s="85">
        <v>25.5</v>
      </c>
      <c r="E21" s="85">
        <v>127.2</v>
      </c>
      <c r="F21" s="85">
        <v>28.1</v>
      </c>
      <c r="G21" s="85">
        <v>108.5</v>
      </c>
      <c r="H21" s="85">
        <v>123.5</v>
      </c>
      <c r="I21" s="85">
        <v>257</v>
      </c>
      <c r="J21" s="85">
        <v>414.6</v>
      </c>
      <c r="K21" s="85">
        <v>305.8</v>
      </c>
      <c r="L21" s="85">
        <v>30.7</v>
      </c>
      <c r="M21" s="85">
        <v>14.4</v>
      </c>
      <c r="N21" s="87">
        <v>22.8</v>
      </c>
      <c r="O21" s="21">
        <f t="shared" si="0"/>
        <v>1471.1</v>
      </c>
      <c r="P21" s="16">
        <f t="shared" si="1"/>
        <v>122.6</v>
      </c>
    </row>
    <row r="22" spans="2:16" ht="21.95" customHeight="1">
      <c r="B22" s="80">
        <v>2008</v>
      </c>
      <c r="C22" s="85">
        <v>15</v>
      </c>
      <c r="D22" s="85">
        <v>7</v>
      </c>
      <c r="E22" s="85">
        <v>26</v>
      </c>
      <c r="F22" s="85">
        <v>46.1</v>
      </c>
      <c r="G22" s="85">
        <v>88.5</v>
      </c>
      <c r="H22" s="85">
        <v>118.1</v>
      </c>
      <c r="I22" s="85">
        <v>335.5</v>
      </c>
      <c r="J22" s="85">
        <v>114.2</v>
      </c>
      <c r="K22" s="85">
        <v>62.7</v>
      </c>
      <c r="L22" s="85">
        <v>34</v>
      </c>
      <c r="M22" s="85">
        <v>34.6</v>
      </c>
      <c r="N22" s="87">
        <v>27.9</v>
      </c>
      <c r="O22" s="21">
        <f t="shared" si="0"/>
        <v>909.6</v>
      </c>
      <c r="P22" s="16">
        <f t="shared" si="1"/>
        <v>75.8</v>
      </c>
    </row>
    <row r="23" spans="2:16" ht="21.95" customHeight="1">
      <c r="B23" s="80">
        <v>2009</v>
      </c>
      <c r="C23" s="85">
        <v>15.2</v>
      </c>
      <c r="D23" s="85">
        <v>26.5</v>
      </c>
      <c r="E23" s="85">
        <v>67</v>
      </c>
      <c r="F23" s="85">
        <v>43</v>
      </c>
      <c r="G23" s="85">
        <v>117.9</v>
      </c>
      <c r="H23" s="85">
        <v>74.900000000000006</v>
      </c>
      <c r="I23" s="85">
        <v>364.9</v>
      </c>
      <c r="J23" s="85">
        <v>196.3</v>
      </c>
      <c r="K23" s="85">
        <v>16</v>
      </c>
      <c r="L23" s="85">
        <v>49.2</v>
      </c>
      <c r="M23" s="85">
        <v>59.1</v>
      </c>
      <c r="N23" s="87">
        <v>44.3</v>
      </c>
      <c r="O23" s="21">
        <f t="shared" si="0"/>
        <v>1074.3</v>
      </c>
      <c r="P23" s="16">
        <f t="shared" si="1"/>
        <v>89.5</v>
      </c>
    </row>
    <row r="24" spans="2:16" ht="21.95" customHeight="1">
      <c r="B24" s="80">
        <v>2010</v>
      </c>
      <c r="C24" s="85">
        <v>55.5</v>
      </c>
      <c r="D24" s="85">
        <v>58.4</v>
      </c>
      <c r="E24" s="85">
        <v>79.2</v>
      </c>
      <c r="F24" s="85">
        <v>52.2</v>
      </c>
      <c r="G24" s="85">
        <v>168</v>
      </c>
      <c r="H24" s="85">
        <v>94.9</v>
      </c>
      <c r="I24" s="85">
        <v>447.1</v>
      </c>
      <c r="J24" s="85">
        <v>707</v>
      </c>
      <c r="K24" s="85">
        <v>402</v>
      </c>
      <c r="L24" s="85">
        <v>29.1</v>
      </c>
      <c r="M24" s="85">
        <v>12</v>
      </c>
      <c r="N24" s="87">
        <v>36.4</v>
      </c>
      <c r="O24" s="21">
        <f t="shared" si="0"/>
        <v>2141.8000000000002</v>
      </c>
      <c r="P24" s="16">
        <f t="shared" si="1"/>
        <v>178.5</v>
      </c>
    </row>
    <row r="25" spans="2:16" ht="21.95" customHeight="1">
      <c r="B25" s="80">
        <v>2011</v>
      </c>
      <c r="C25" s="85">
        <v>8.8000000000000007</v>
      </c>
      <c r="D25" s="85">
        <v>55.8</v>
      </c>
      <c r="E25" s="85">
        <v>34.5</v>
      </c>
      <c r="F25" s="85">
        <v>96.2</v>
      </c>
      <c r="G25" s="85">
        <v>107.9</v>
      </c>
      <c r="H25" s="85">
        <v>462.6</v>
      </c>
      <c r="I25" s="85">
        <v>656.5</v>
      </c>
      <c r="J25" s="85">
        <v>151.19999999999999</v>
      </c>
      <c r="K25" s="85">
        <v>50.3</v>
      </c>
      <c r="L25" s="85">
        <v>18.100000000000001</v>
      </c>
      <c r="M25" s="85">
        <v>48.9</v>
      </c>
      <c r="N25" s="87">
        <v>13.6</v>
      </c>
      <c r="O25" s="21">
        <f t="shared" si="0"/>
        <v>1704.4</v>
      </c>
      <c r="P25" s="16">
        <f t="shared" si="1"/>
        <v>142</v>
      </c>
    </row>
    <row r="26" spans="2:16" ht="21.95" customHeight="1">
      <c r="B26" s="80">
        <v>2012</v>
      </c>
      <c r="C26" s="85">
        <v>15.1</v>
      </c>
      <c r="D26" s="85">
        <v>2.4</v>
      </c>
      <c r="E26" s="85">
        <v>41.6</v>
      </c>
      <c r="F26" s="85">
        <v>113.5</v>
      </c>
      <c r="G26" s="85">
        <v>14.5</v>
      </c>
      <c r="H26" s="85">
        <v>91.1</v>
      </c>
      <c r="I26" s="85">
        <v>266.8</v>
      </c>
      <c r="J26" s="85">
        <v>647.9</v>
      </c>
      <c r="K26" s="85">
        <v>201.5</v>
      </c>
      <c r="L26" s="85">
        <v>100.7</v>
      </c>
      <c r="M26" s="85">
        <v>82.1</v>
      </c>
      <c r="N26" s="87">
        <v>65.400000000000006</v>
      </c>
      <c r="O26" s="21">
        <f t="shared" si="0"/>
        <v>1642.6</v>
      </c>
      <c r="P26" s="16">
        <f t="shared" si="1"/>
        <v>136.9</v>
      </c>
    </row>
    <row r="27" spans="2:16" ht="21.95" customHeight="1">
      <c r="B27" s="80">
        <v>2013</v>
      </c>
      <c r="C27" s="85">
        <v>36.799999999999997</v>
      </c>
      <c r="D27" s="85">
        <v>65.7</v>
      </c>
      <c r="E27" s="85">
        <v>60.8</v>
      </c>
      <c r="F27" s="85">
        <v>61.8</v>
      </c>
      <c r="G27" s="85">
        <v>114.9</v>
      </c>
      <c r="H27" s="85">
        <v>94.4</v>
      </c>
      <c r="I27" s="85">
        <v>213.8</v>
      </c>
      <c r="J27" s="85">
        <v>120.6</v>
      </c>
      <c r="K27" s="85">
        <v>147.4</v>
      </c>
      <c r="L27" s="85">
        <v>7.7</v>
      </c>
      <c r="M27" s="85">
        <v>65.900000000000006</v>
      </c>
      <c r="N27" s="87">
        <v>32.799999999999997</v>
      </c>
      <c r="O27" s="21">
        <f t="shared" si="0"/>
        <v>1022.6</v>
      </c>
      <c r="P27" s="16">
        <f t="shared" si="1"/>
        <v>85.2</v>
      </c>
    </row>
    <row r="28" spans="2:16" ht="21.95" customHeight="1">
      <c r="B28" s="80">
        <v>2014</v>
      </c>
      <c r="C28" s="85">
        <v>7</v>
      </c>
      <c r="D28" s="85">
        <v>17</v>
      </c>
      <c r="E28" s="85">
        <v>31.2</v>
      </c>
      <c r="F28" s="85">
        <v>85.6</v>
      </c>
      <c r="G28" s="85">
        <v>52.7</v>
      </c>
      <c r="H28" s="85">
        <v>69.3</v>
      </c>
      <c r="I28" s="85">
        <v>151.69999999999999</v>
      </c>
      <c r="J28" s="85">
        <v>242.3</v>
      </c>
      <c r="K28" s="85">
        <v>106.7</v>
      </c>
      <c r="L28" s="85">
        <v>117.2</v>
      </c>
      <c r="M28" s="85">
        <v>37.799999999999997</v>
      </c>
      <c r="N28" s="87">
        <v>81.599999999999994</v>
      </c>
      <c r="O28" s="21">
        <f t="shared" si="0"/>
        <v>1000.1</v>
      </c>
      <c r="P28" s="16">
        <f t="shared" si="1"/>
        <v>83.3</v>
      </c>
    </row>
    <row r="29" spans="2:16" ht="21.95" customHeight="1">
      <c r="B29" s="80">
        <v>2015</v>
      </c>
      <c r="C29" s="85">
        <v>20.7</v>
      </c>
      <c r="D29" s="85">
        <v>23.1</v>
      </c>
      <c r="E29" s="85">
        <v>20.6</v>
      </c>
      <c r="F29" s="85">
        <v>116.8</v>
      </c>
      <c r="G29" s="85">
        <v>40.6</v>
      </c>
      <c r="H29" s="85">
        <v>64.099999999999994</v>
      </c>
      <c r="I29" s="85">
        <v>158.5</v>
      </c>
      <c r="J29" s="85">
        <v>63.1</v>
      </c>
      <c r="K29" s="85">
        <v>15.1</v>
      </c>
      <c r="L29" s="85">
        <v>74.2</v>
      </c>
      <c r="M29" s="85">
        <v>154.69999999999999</v>
      </c>
      <c r="N29" s="87">
        <v>63.6</v>
      </c>
      <c r="O29" s="21">
        <f t="shared" si="0"/>
        <v>815.1</v>
      </c>
      <c r="P29" s="16">
        <f t="shared" si="1"/>
        <v>67.900000000000006</v>
      </c>
    </row>
    <row r="30" spans="2:16" ht="21.95" customHeight="1">
      <c r="B30" s="80">
        <v>2016</v>
      </c>
      <c r="C30" s="85">
        <v>21.9</v>
      </c>
      <c r="D30" s="85">
        <v>61.7</v>
      </c>
      <c r="E30" s="85">
        <v>24.3</v>
      </c>
      <c r="F30" s="85">
        <v>87</v>
      </c>
      <c r="G30" s="85">
        <v>153.69999999999999</v>
      </c>
      <c r="H30" s="85">
        <v>36.799999999999997</v>
      </c>
      <c r="I30" s="85">
        <v>295.60000000000002</v>
      </c>
      <c r="J30" s="85">
        <v>34</v>
      </c>
      <c r="K30" s="85">
        <v>53.1</v>
      </c>
      <c r="L30" s="85">
        <v>73.8</v>
      </c>
      <c r="M30" s="85">
        <v>17.5</v>
      </c>
      <c r="N30" s="87">
        <v>62.7</v>
      </c>
      <c r="O30" s="21">
        <f t="shared" si="0"/>
        <v>922.1</v>
      </c>
      <c r="P30" s="16">
        <f t="shared" si="1"/>
        <v>76.8</v>
      </c>
    </row>
    <row r="31" spans="2:16" ht="21.95" customHeight="1">
      <c r="B31" s="80">
        <v>2017</v>
      </c>
      <c r="C31" s="85">
        <v>21.3</v>
      </c>
      <c r="D31" s="85">
        <v>31.4</v>
      </c>
      <c r="E31" s="85">
        <v>4.8</v>
      </c>
      <c r="F31" s="85">
        <v>38.9</v>
      </c>
      <c r="G31" s="85">
        <v>27.9</v>
      </c>
      <c r="H31" s="85">
        <v>23.3</v>
      </c>
      <c r="I31" s="85">
        <v>327.8</v>
      </c>
      <c r="J31" s="85">
        <v>231.3</v>
      </c>
      <c r="K31" s="85">
        <v>37.6</v>
      </c>
      <c r="L31" s="85">
        <v>25.5</v>
      </c>
      <c r="M31" s="85">
        <v>24.7</v>
      </c>
      <c r="N31" s="87">
        <v>35.9</v>
      </c>
      <c r="O31" s="21">
        <f t="shared" si="0"/>
        <v>830.4</v>
      </c>
      <c r="P31" s="16">
        <f t="shared" si="1"/>
        <v>69.2</v>
      </c>
    </row>
    <row r="32" spans="2:16" ht="21.95" customHeight="1">
      <c r="B32" s="80">
        <v>2018</v>
      </c>
      <c r="C32" s="85">
        <v>21</v>
      </c>
      <c r="D32" s="85">
        <v>40.5</v>
      </c>
      <c r="E32" s="85">
        <v>76.599999999999994</v>
      </c>
      <c r="F32" s="85">
        <v>132.80000000000001</v>
      </c>
      <c r="G32" s="85">
        <v>147.69999999999999</v>
      </c>
      <c r="H32" s="85">
        <v>162.30000000000001</v>
      </c>
      <c r="I32" s="85">
        <v>152.9</v>
      </c>
      <c r="J32" s="85">
        <v>156.80000000000001</v>
      </c>
      <c r="K32" s="85">
        <v>82.7</v>
      </c>
      <c r="L32" s="85">
        <v>153.19999999999999</v>
      </c>
      <c r="M32" s="85">
        <v>73.900000000000006</v>
      </c>
      <c r="N32" s="87">
        <v>26.8</v>
      </c>
      <c r="O32" s="21">
        <f t="shared" si="0"/>
        <v>1227.2</v>
      </c>
      <c r="P32" s="16">
        <f t="shared" si="1"/>
        <v>102.3</v>
      </c>
    </row>
    <row r="33" spans="2:16" ht="21.95" customHeight="1">
      <c r="B33" s="80">
        <v>2019</v>
      </c>
      <c r="C33" s="85">
        <v>1.1000000000000001</v>
      </c>
      <c r="D33" s="85">
        <v>30.2</v>
      </c>
      <c r="E33" s="85">
        <v>43.7</v>
      </c>
      <c r="F33" s="85">
        <v>43.9</v>
      </c>
      <c r="G33" s="85">
        <v>20.100000000000001</v>
      </c>
      <c r="H33" s="85">
        <v>56.3</v>
      </c>
      <c r="I33" s="85">
        <v>174.5</v>
      </c>
      <c r="J33" s="85">
        <v>121.1</v>
      </c>
      <c r="K33" s="85">
        <v>181.1</v>
      </c>
      <c r="L33" s="85">
        <v>81</v>
      </c>
      <c r="M33" s="85">
        <v>124.6</v>
      </c>
      <c r="N33" s="87">
        <v>37.4</v>
      </c>
      <c r="O33" s="21">
        <f t="shared" si="0"/>
        <v>915</v>
      </c>
      <c r="P33" s="16">
        <f t="shared" si="1"/>
        <v>76.3</v>
      </c>
    </row>
    <row r="34" spans="2:16" ht="21.95" customHeight="1">
      <c r="B34" s="80">
        <v>2020</v>
      </c>
      <c r="C34" s="85">
        <v>46</v>
      </c>
      <c r="D34" s="85">
        <v>72.3</v>
      </c>
      <c r="E34" s="85">
        <v>23</v>
      </c>
      <c r="F34" s="85">
        <v>20.7</v>
      </c>
      <c r="G34" s="85">
        <v>101.3</v>
      </c>
      <c r="H34" s="85">
        <v>144</v>
      </c>
      <c r="I34" s="85">
        <v>329.4</v>
      </c>
      <c r="J34" s="85">
        <v>400</v>
      </c>
      <c r="K34" s="85">
        <v>257.7</v>
      </c>
      <c r="L34" s="85">
        <v>12.6</v>
      </c>
      <c r="M34" s="85">
        <v>72</v>
      </c>
      <c r="N34" s="87">
        <v>9.6999999999999993</v>
      </c>
      <c r="O34" s="21">
        <f t="shared" si="0"/>
        <v>1488.7</v>
      </c>
      <c r="P34" s="16">
        <f t="shared" si="1"/>
        <v>124.1</v>
      </c>
    </row>
    <row r="35" spans="2:16" ht="21.95" customHeight="1" thickBot="1">
      <c r="B35" s="81">
        <v>2021</v>
      </c>
      <c r="C35" s="88">
        <v>25.3</v>
      </c>
      <c r="D35" s="88">
        <v>9.6</v>
      </c>
      <c r="E35" s="88">
        <v>112.8</v>
      </c>
      <c r="F35" s="88">
        <v>110.6</v>
      </c>
      <c r="G35" s="88">
        <v>132.30000000000001</v>
      </c>
      <c r="H35" s="88">
        <v>70.900000000000006</v>
      </c>
      <c r="I35" s="88">
        <v>121.6</v>
      </c>
      <c r="J35" s="88">
        <v>217.8</v>
      </c>
      <c r="K35" s="88">
        <v>206</v>
      </c>
      <c r="L35" s="88">
        <v>55.9</v>
      </c>
      <c r="M35" s="88">
        <v>126.2</v>
      </c>
      <c r="N35" s="89">
        <v>18.3</v>
      </c>
      <c r="O35" s="27">
        <f t="shared" si="0"/>
        <v>1207.3</v>
      </c>
      <c r="P35" s="28">
        <f t="shared" si="1"/>
        <v>100.6</v>
      </c>
    </row>
    <row r="36" spans="2:16" ht="21.95" customHeight="1">
      <c r="B36" s="29" t="s">
        <v>13</v>
      </c>
      <c r="C36" s="30">
        <f>ROUND(MAX(C6:C35),1)</f>
        <v>66.900000000000006</v>
      </c>
      <c r="D36" s="30">
        <f t="shared" ref="D36:N36" si="2">ROUND(MAX(D6:D35),1)</f>
        <v>72.3</v>
      </c>
      <c r="E36" s="30">
        <f t="shared" si="2"/>
        <v>127.2</v>
      </c>
      <c r="F36" s="30">
        <f t="shared" si="2"/>
        <v>180</v>
      </c>
      <c r="G36" s="30">
        <f t="shared" si="2"/>
        <v>232.8</v>
      </c>
      <c r="H36" s="30">
        <f t="shared" si="2"/>
        <v>462.6</v>
      </c>
      <c r="I36" s="30">
        <f t="shared" si="2"/>
        <v>656.5</v>
      </c>
      <c r="J36" s="30">
        <f t="shared" si="2"/>
        <v>992.7</v>
      </c>
      <c r="K36" s="30">
        <f t="shared" si="2"/>
        <v>532.6</v>
      </c>
      <c r="L36" s="30">
        <f t="shared" si="2"/>
        <v>216.3</v>
      </c>
      <c r="M36" s="30">
        <f t="shared" si="2"/>
        <v>154.69999999999999</v>
      </c>
      <c r="N36" s="31">
        <f t="shared" si="2"/>
        <v>81.599999999999994</v>
      </c>
      <c r="O36" s="32">
        <f>ROUND(MAX(O6:O35),1)</f>
        <v>2141.8000000000002</v>
      </c>
      <c r="P36" s="33">
        <f>ROUND(MAX(P6:P35),1)</f>
        <v>178.5</v>
      </c>
    </row>
    <row r="37" spans="2:16" ht="21.95" customHeight="1">
      <c r="B37" s="14" t="s">
        <v>14</v>
      </c>
      <c r="C37" s="8">
        <f>ROUND(MIN(C6:C35),1)</f>
        <v>1.1000000000000001</v>
      </c>
      <c r="D37" s="8">
        <f t="shared" ref="D37:N37" si="3">ROUND(MIN(D6:D35),1)</f>
        <v>2.4</v>
      </c>
      <c r="E37" s="8">
        <f t="shared" si="3"/>
        <v>3.7</v>
      </c>
      <c r="F37" s="8">
        <f t="shared" si="3"/>
        <v>18.7</v>
      </c>
      <c r="G37" s="8">
        <f t="shared" si="3"/>
        <v>14.5</v>
      </c>
      <c r="H37" s="8">
        <f t="shared" si="3"/>
        <v>23.3</v>
      </c>
      <c r="I37" s="8">
        <f t="shared" si="3"/>
        <v>58</v>
      </c>
      <c r="J37" s="8">
        <f t="shared" si="3"/>
        <v>34</v>
      </c>
      <c r="K37" s="8">
        <f t="shared" si="3"/>
        <v>6.4</v>
      </c>
      <c r="L37" s="8">
        <f t="shared" si="3"/>
        <v>1.8</v>
      </c>
      <c r="M37" s="8">
        <f t="shared" si="3"/>
        <v>8.1999999999999993</v>
      </c>
      <c r="N37" s="16">
        <f t="shared" si="3"/>
        <v>9.1999999999999993</v>
      </c>
      <c r="O37" s="22">
        <f>ROUND(MIN(O6:O35),1)</f>
        <v>815.1</v>
      </c>
      <c r="P37" s="15">
        <f>ROUND(MIN(P6:P35),1)</f>
        <v>67.900000000000006</v>
      </c>
    </row>
    <row r="38" spans="2:16" ht="21.95" customHeight="1" thickBot="1">
      <c r="B38" s="17" t="s">
        <v>18</v>
      </c>
      <c r="C38" s="18">
        <f>ROUND(AVERAGE(C6:C35),1)</f>
        <v>23.7</v>
      </c>
      <c r="D38" s="18">
        <f t="shared" ref="D38:N38" si="4">ROUND(AVERAGE(D6:D35),1)</f>
        <v>30</v>
      </c>
      <c r="E38" s="18">
        <f t="shared" si="4"/>
        <v>43</v>
      </c>
      <c r="F38" s="18">
        <f t="shared" si="4"/>
        <v>76.400000000000006</v>
      </c>
      <c r="G38" s="18">
        <f t="shared" si="4"/>
        <v>98.6</v>
      </c>
      <c r="H38" s="18">
        <f t="shared" si="4"/>
        <v>138.4</v>
      </c>
      <c r="I38" s="18">
        <f t="shared" si="4"/>
        <v>271</v>
      </c>
      <c r="J38" s="18">
        <f t="shared" si="4"/>
        <v>286.7</v>
      </c>
      <c r="K38" s="18">
        <f t="shared" si="4"/>
        <v>144.6</v>
      </c>
      <c r="L38" s="18">
        <f t="shared" si="4"/>
        <v>54.2</v>
      </c>
      <c r="M38" s="18">
        <f t="shared" si="4"/>
        <v>57.5</v>
      </c>
      <c r="N38" s="19">
        <f t="shared" si="4"/>
        <v>33.9</v>
      </c>
      <c r="O38" s="23">
        <f>ROUND(AVERAGE(O6:O35),1)</f>
        <v>1257.9000000000001</v>
      </c>
      <c r="P38" s="24">
        <f>ROUND(AVERAGE(P6:P35),1)</f>
        <v>104.8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2012</v>
      </c>
      <c r="C44" s="47">
        <f t="shared" ref="C44:N44" si="5">C26</f>
        <v>15.1</v>
      </c>
      <c r="D44" s="47">
        <f t="shared" si="5"/>
        <v>2.4</v>
      </c>
      <c r="E44" s="47">
        <f t="shared" si="5"/>
        <v>41.6</v>
      </c>
      <c r="F44" s="47">
        <f t="shared" si="5"/>
        <v>113.5</v>
      </c>
      <c r="G44" s="47">
        <f t="shared" si="5"/>
        <v>14.5</v>
      </c>
      <c r="H44" s="47">
        <f t="shared" si="5"/>
        <v>91.1</v>
      </c>
      <c r="I44" s="47">
        <f t="shared" si="5"/>
        <v>266.8</v>
      </c>
      <c r="J44" s="47">
        <f t="shared" si="5"/>
        <v>647.9</v>
      </c>
      <c r="K44" s="47">
        <f t="shared" si="5"/>
        <v>201.5</v>
      </c>
      <c r="L44" s="47">
        <f t="shared" si="5"/>
        <v>100.7</v>
      </c>
      <c r="M44" s="47">
        <f t="shared" si="5"/>
        <v>82.1</v>
      </c>
      <c r="N44" s="54">
        <f t="shared" si="5"/>
        <v>65.400000000000006</v>
      </c>
      <c r="O44" s="9">
        <f>ROUND(SUM(C44:N44),1)</f>
        <v>1642.6</v>
      </c>
      <c r="P44" s="15">
        <f>ROUND(O44/12,1)</f>
        <v>136.9</v>
      </c>
    </row>
    <row r="45" spans="2:16" ht="21.95" customHeight="1">
      <c r="B45" s="46">
        <f t="shared" ref="B45:N53" si="6">B27</f>
        <v>2013</v>
      </c>
      <c r="C45" s="47">
        <f t="shared" si="6"/>
        <v>36.799999999999997</v>
      </c>
      <c r="D45" s="47">
        <f t="shared" si="6"/>
        <v>65.7</v>
      </c>
      <c r="E45" s="47">
        <f t="shared" si="6"/>
        <v>60.8</v>
      </c>
      <c r="F45" s="47">
        <f t="shared" si="6"/>
        <v>61.8</v>
      </c>
      <c r="G45" s="47">
        <f t="shared" si="6"/>
        <v>114.9</v>
      </c>
      <c r="H45" s="47">
        <f t="shared" si="6"/>
        <v>94.4</v>
      </c>
      <c r="I45" s="47">
        <f t="shared" si="6"/>
        <v>213.8</v>
      </c>
      <c r="J45" s="47">
        <f t="shared" si="6"/>
        <v>120.6</v>
      </c>
      <c r="K45" s="47">
        <f t="shared" si="6"/>
        <v>147.4</v>
      </c>
      <c r="L45" s="47">
        <f t="shared" si="6"/>
        <v>7.7</v>
      </c>
      <c r="M45" s="47">
        <f t="shared" si="6"/>
        <v>65.900000000000006</v>
      </c>
      <c r="N45" s="54">
        <f t="shared" si="6"/>
        <v>32.799999999999997</v>
      </c>
      <c r="O45" s="9">
        <f t="shared" ref="O45:O53" si="7">ROUND(SUM(C45:N45),1)</f>
        <v>1022.6</v>
      </c>
      <c r="P45" s="15">
        <f t="shared" ref="P45:P53" si="8">ROUND(O45/12,1)</f>
        <v>85.2</v>
      </c>
    </row>
    <row r="46" spans="2:16" ht="21.95" customHeight="1">
      <c r="B46" s="46">
        <f t="shared" si="6"/>
        <v>2014</v>
      </c>
      <c r="C46" s="47">
        <f t="shared" si="6"/>
        <v>7</v>
      </c>
      <c r="D46" s="47">
        <f t="shared" si="6"/>
        <v>17</v>
      </c>
      <c r="E46" s="47">
        <f t="shared" si="6"/>
        <v>31.2</v>
      </c>
      <c r="F46" s="47">
        <f t="shared" si="6"/>
        <v>85.6</v>
      </c>
      <c r="G46" s="47">
        <f t="shared" si="6"/>
        <v>52.7</v>
      </c>
      <c r="H46" s="47">
        <f t="shared" si="6"/>
        <v>69.3</v>
      </c>
      <c r="I46" s="47">
        <f t="shared" si="6"/>
        <v>151.69999999999999</v>
      </c>
      <c r="J46" s="47">
        <f t="shared" si="6"/>
        <v>242.3</v>
      </c>
      <c r="K46" s="47">
        <f t="shared" si="6"/>
        <v>106.7</v>
      </c>
      <c r="L46" s="47">
        <f t="shared" si="6"/>
        <v>117.2</v>
      </c>
      <c r="M46" s="47">
        <f t="shared" si="6"/>
        <v>37.799999999999997</v>
      </c>
      <c r="N46" s="54">
        <f t="shared" si="6"/>
        <v>81.599999999999994</v>
      </c>
      <c r="O46" s="9">
        <f t="shared" si="7"/>
        <v>1000.1</v>
      </c>
      <c r="P46" s="15">
        <f t="shared" si="8"/>
        <v>83.3</v>
      </c>
    </row>
    <row r="47" spans="2:16" ht="21.95" customHeight="1">
      <c r="B47" s="46">
        <f t="shared" si="6"/>
        <v>2015</v>
      </c>
      <c r="C47" s="47">
        <f t="shared" si="6"/>
        <v>20.7</v>
      </c>
      <c r="D47" s="47">
        <f t="shared" si="6"/>
        <v>23.1</v>
      </c>
      <c r="E47" s="47">
        <f t="shared" si="6"/>
        <v>20.6</v>
      </c>
      <c r="F47" s="47">
        <f t="shared" si="6"/>
        <v>116.8</v>
      </c>
      <c r="G47" s="47">
        <f t="shared" si="6"/>
        <v>40.6</v>
      </c>
      <c r="H47" s="47">
        <f t="shared" si="6"/>
        <v>64.099999999999994</v>
      </c>
      <c r="I47" s="47">
        <f t="shared" si="6"/>
        <v>158.5</v>
      </c>
      <c r="J47" s="47">
        <f t="shared" si="6"/>
        <v>63.1</v>
      </c>
      <c r="K47" s="47">
        <f t="shared" si="6"/>
        <v>15.1</v>
      </c>
      <c r="L47" s="47">
        <f t="shared" si="6"/>
        <v>74.2</v>
      </c>
      <c r="M47" s="47">
        <f t="shared" si="6"/>
        <v>154.69999999999999</v>
      </c>
      <c r="N47" s="54">
        <f t="shared" si="6"/>
        <v>63.6</v>
      </c>
      <c r="O47" s="9">
        <f>ROUND(SUM(C47:N47),1)</f>
        <v>815.1</v>
      </c>
      <c r="P47" s="15">
        <f t="shared" si="8"/>
        <v>67.900000000000006</v>
      </c>
    </row>
    <row r="48" spans="2:16" ht="21.95" customHeight="1">
      <c r="B48" s="46">
        <f t="shared" si="6"/>
        <v>2016</v>
      </c>
      <c r="C48" s="47">
        <f t="shared" si="6"/>
        <v>21.9</v>
      </c>
      <c r="D48" s="47">
        <f t="shared" si="6"/>
        <v>61.7</v>
      </c>
      <c r="E48" s="47">
        <f t="shared" si="6"/>
        <v>24.3</v>
      </c>
      <c r="F48" s="47">
        <f t="shared" si="6"/>
        <v>87</v>
      </c>
      <c r="G48" s="47">
        <f t="shared" si="6"/>
        <v>153.69999999999999</v>
      </c>
      <c r="H48" s="47">
        <f t="shared" si="6"/>
        <v>36.799999999999997</v>
      </c>
      <c r="I48" s="47">
        <f t="shared" si="6"/>
        <v>295.60000000000002</v>
      </c>
      <c r="J48" s="47">
        <f t="shared" si="6"/>
        <v>34</v>
      </c>
      <c r="K48" s="47">
        <f t="shared" si="6"/>
        <v>53.1</v>
      </c>
      <c r="L48" s="47">
        <f t="shared" si="6"/>
        <v>73.8</v>
      </c>
      <c r="M48" s="47">
        <f t="shared" si="6"/>
        <v>17.5</v>
      </c>
      <c r="N48" s="54">
        <f t="shared" si="6"/>
        <v>62.7</v>
      </c>
      <c r="O48" s="9">
        <f t="shared" si="7"/>
        <v>922.1</v>
      </c>
      <c r="P48" s="15">
        <f t="shared" si="8"/>
        <v>76.8</v>
      </c>
    </row>
    <row r="49" spans="2:16" ht="21.95" customHeight="1">
      <c r="B49" s="46">
        <f t="shared" si="6"/>
        <v>2017</v>
      </c>
      <c r="C49" s="47">
        <f t="shared" si="6"/>
        <v>21.3</v>
      </c>
      <c r="D49" s="47">
        <f t="shared" si="6"/>
        <v>31.4</v>
      </c>
      <c r="E49" s="47">
        <f t="shared" si="6"/>
        <v>4.8</v>
      </c>
      <c r="F49" s="47">
        <f t="shared" si="6"/>
        <v>38.9</v>
      </c>
      <c r="G49" s="47">
        <f t="shared" si="6"/>
        <v>27.9</v>
      </c>
      <c r="H49" s="47">
        <f t="shared" si="6"/>
        <v>23.3</v>
      </c>
      <c r="I49" s="47">
        <f t="shared" si="6"/>
        <v>327.8</v>
      </c>
      <c r="J49" s="47">
        <f t="shared" si="6"/>
        <v>231.3</v>
      </c>
      <c r="K49" s="47">
        <f t="shared" si="6"/>
        <v>37.6</v>
      </c>
      <c r="L49" s="47">
        <f t="shared" si="6"/>
        <v>25.5</v>
      </c>
      <c r="M49" s="47">
        <f t="shared" si="6"/>
        <v>24.7</v>
      </c>
      <c r="N49" s="54">
        <f t="shared" si="6"/>
        <v>35.9</v>
      </c>
      <c r="O49" s="9">
        <f t="shared" si="7"/>
        <v>830.4</v>
      </c>
      <c r="P49" s="15">
        <f t="shared" si="8"/>
        <v>69.2</v>
      </c>
    </row>
    <row r="50" spans="2:16" ht="21.95" customHeight="1">
      <c r="B50" s="46">
        <f t="shared" si="6"/>
        <v>2018</v>
      </c>
      <c r="C50" s="47">
        <f t="shared" si="6"/>
        <v>21</v>
      </c>
      <c r="D50" s="47">
        <f t="shared" si="6"/>
        <v>40.5</v>
      </c>
      <c r="E50" s="47">
        <f t="shared" si="6"/>
        <v>76.599999999999994</v>
      </c>
      <c r="F50" s="47">
        <f t="shared" si="6"/>
        <v>132.80000000000001</v>
      </c>
      <c r="G50" s="47">
        <f t="shared" si="6"/>
        <v>147.69999999999999</v>
      </c>
      <c r="H50" s="47">
        <f t="shared" si="6"/>
        <v>162.30000000000001</v>
      </c>
      <c r="I50" s="47">
        <f t="shared" si="6"/>
        <v>152.9</v>
      </c>
      <c r="J50" s="47">
        <f t="shared" si="6"/>
        <v>156.80000000000001</v>
      </c>
      <c r="K50" s="47">
        <f t="shared" si="6"/>
        <v>82.7</v>
      </c>
      <c r="L50" s="47">
        <f t="shared" si="6"/>
        <v>153.19999999999999</v>
      </c>
      <c r="M50" s="47">
        <f t="shared" si="6"/>
        <v>73.900000000000006</v>
      </c>
      <c r="N50" s="54">
        <f t="shared" si="6"/>
        <v>26.8</v>
      </c>
      <c r="O50" s="9">
        <f t="shared" si="7"/>
        <v>1227.2</v>
      </c>
      <c r="P50" s="15">
        <f t="shared" si="8"/>
        <v>102.3</v>
      </c>
    </row>
    <row r="51" spans="2:16" ht="21.95" customHeight="1">
      <c r="B51" s="46">
        <f t="shared" si="6"/>
        <v>2019</v>
      </c>
      <c r="C51" s="47">
        <f t="shared" si="6"/>
        <v>1.1000000000000001</v>
      </c>
      <c r="D51" s="47">
        <f t="shared" si="6"/>
        <v>30.2</v>
      </c>
      <c r="E51" s="47">
        <f t="shared" si="6"/>
        <v>43.7</v>
      </c>
      <c r="F51" s="47">
        <f t="shared" si="6"/>
        <v>43.9</v>
      </c>
      <c r="G51" s="47">
        <f t="shared" si="6"/>
        <v>20.100000000000001</v>
      </c>
      <c r="H51" s="47">
        <f t="shared" si="6"/>
        <v>56.3</v>
      </c>
      <c r="I51" s="47">
        <f t="shared" si="6"/>
        <v>174.5</v>
      </c>
      <c r="J51" s="47">
        <f t="shared" si="6"/>
        <v>121.1</v>
      </c>
      <c r="K51" s="47">
        <f t="shared" si="6"/>
        <v>181.1</v>
      </c>
      <c r="L51" s="47">
        <f t="shared" si="6"/>
        <v>81</v>
      </c>
      <c r="M51" s="47">
        <f t="shared" si="6"/>
        <v>124.6</v>
      </c>
      <c r="N51" s="54">
        <f t="shared" si="6"/>
        <v>37.4</v>
      </c>
      <c r="O51" s="9">
        <f t="shared" si="7"/>
        <v>915</v>
      </c>
      <c r="P51" s="15">
        <f t="shared" si="8"/>
        <v>76.3</v>
      </c>
    </row>
    <row r="52" spans="2:16" ht="21.95" customHeight="1">
      <c r="B52" s="46">
        <f t="shared" si="6"/>
        <v>2020</v>
      </c>
      <c r="C52" s="47">
        <f t="shared" si="6"/>
        <v>46</v>
      </c>
      <c r="D52" s="47">
        <f t="shared" si="6"/>
        <v>72.3</v>
      </c>
      <c r="E52" s="47">
        <f t="shared" si="6"/>
        <v>23</v>
      </c>
      <c r="F52" s="47">
        <f t="shared" si="6"/>
        <v>20.7</v>
      </c>
      <c r="G52" s="47">
        <f t="shared" si="6"/>
        <v>101.3</v>
      </c>
      <c r="H52" s="47">
        <f t="shared" si="6"/>
        <v>144</v>
      </c>
      <c r="I52" s="47">
        <f t="shared" si="6"/>
        <v>329.4</v>
      </c>
      <c r="J52" s="47">
        <f t="shared" si="6"/>
        <v>400</v>
      </c>
      <c r="K52" s="47">
        <f t="shared" si="6"/>
        <v>257.7</v>
      </c>
      <c r="L52" s="47">
        <f t="shared" si="6"/>
        <v>12.6</v>
      </c>
      <c r="M52" s="47">
        <f t="shared" si="6"/>
        <v>72</v>
      </c>
      <c r="N52" s="54">
        <f t="shared" si="6"/>
        <v>9.6999999999999993</v>
      </c>
      <c r="O52" s="9">
        <f t="shared" si="7"/>
        <v>1488.7</v>
      </c>
      <c r="P52" s="15">
        <f t="shared" si="8"/>
        <v>124.1</v>
      </c>
    </row>
    <row r="53" spans="2:16" ht="21.95" customHeight="1" thickBot="1">
      <c r="B53" s="51">
        <f t="shared" si="6"/>
        <v>2021</v>
      </c>
      <c r="C53" s="52">
        <f t="shared" si="6"/>
        <v>25.3</v>
      </c>
      <c r="D53" s="52">
        <f t="shared" si="6"/>
        <v>9.6</v>
      </c>
      <c r="E53" s="52">
        <f t="shared" si="6"/>
        <v>112.8</v>
      </c>
      <c r="F53" s="52">
        <f t="shared" si="6"/>
        <v>110.6</v>
      </c>
      <c r="G53" s="52">
        <f t="shared" si="6"/>
        <v>132.30000000000001</v>
      </c>
      <c r="H53" s="52">
        <f t="shared" si="6"/>
        <v>70.900000000000006</v>
      </c>
      <c r="I53" s="52">
        <f t="shared" si="6"/>
        <v>121.6</v>
      </c>
      <c r="J53" s="52">
        <f t="shared" si="6"/>
        <v>217.8</v>
      </c>
      <c r="K53" s="52">
        <f t="shared" si="6"/>
        <v>206</v>
      </c>
      <c r="L53" s="52">
        <f t="shared" si="6"/>
        <v>55.9</v>
      </c>
      <c r="M53" s="52">
        <f t="shared" si="6"/>
        <v>126.2</v>
      </c>
      <c r="N53" s="55">
        <f t="shared" si="6"/>
        <v>18.3</v>
      </c>
      <c r="O53" s="41">
        <f t="shared" si="7"/>
        <v>1207.3</v>
      </c>
      <c r="P53" s="24">
        <f t="shared" si="8"/>
        <v>100.6</v>
      </c>
    </row>
    <row r="54" spans="2:16" ht="21.95" customHeight="1">
      <c r="B54" s="48" t="s">
        <v>19</v>
      </c>
      <c r="C54" s="49">
        <f>MAX(C44:C53)</f>
        <v>46</v>
      </c>
      <c r="D54" s="49">
        <f t="shared" ref="D54:P54" si="9">MAX(D44:D53)</f>
        <v>72.3</v>
      </c>
      <c r="E54" s="49">
        <f t="shared" si="9"/>
        <v>112.8</v>
      </c>
      <c r="F54" s="49">
        <f t="shared" si="9"/>
        <v>132.80000000000001</v>
      </c>
      <c r="G54" s="49">
        <f t="shared" si="9"/>
        <v>153.69999999999999</v>
      </c>
      <c r="H54" s="49">
        <f t="shared" si="9"/>
        <v>162.30000000000001</v>
      </c>
      <c r="I54" s="49">
        <f t="shared" si="9"/>
        <v>329.4</v>
      </c>
      <c r="J54" s="49">
        <f t="shared" si="9"/>
        <v>647.9</v>
      </c>
      <c r="K54" s="49">
        <f t="shared" si="9"/>
        <v>257.7</v>
      </c>
      <c r="L54" s="49">
        <f t="shared" si="9"/>
        <v>153.19999999999999</v>
      </c>
      <c r="M54" s="49">
        <f t="shared" si="9"/>
        <v>154.69999999999999</v>
      </c>
      <c r="N54" s="50">
        <f t="shared" si="9"/>
        <v>81.599999999999994</v>
      </c>
      <c r="O54" s="53">
        <f t="shared" si="9"/>
        <v>1642.6</v>
      </c>
      <c r="P54" s="50">
        <f t="shared" si="9"/>
        <v>136.9</v>
      </c>
    </row>
    <row r="55" spans="2:16" ht="21.95" customHeight="1">
      <c r="B55" s="37" t="s">
        <v>20</v>
      </c>
      <c r="C55" s="7">
        <f>MIN(C44:C53)</f>
        <v>1.1000000000000001</v>
      </c>
      <c r="D55" s="7">
        <f t="shared" ref="D55:P55" si="10">MIN(D44:D53)</f>
        <v>2.4</v>
      </c>
      <c r="E55" s="7">
        <f t="shared" si="10"/>
        <v>4.8</v>
      </c>
      <c r="F55" s="7">
        <f t="shared" si="10"/>
        <v>20.7</v>
      </c>
      <c r="G55" s="7">
        <f t="shared" si="10"/>
        <v>14.5</v>
      </c>
      <c r="H55" s="7">
        <f t="shared" si="10"/>
        <v>23.3</v>
      </c>
      <c r="I55" s="7">
        <f t="shared" si="10"/>
        <v>121.6</v>
      </c>
      <c r="J55" s="7">
        <f t="shared" si="10"/>
        <v>34</v>
      </c>
      <c r="K55" s="7">
        <f t="shared" si="10"/>
        <v>15.1</v>
      </c>
      <c r="L55" s="7">
        <f t="shared" si="10"/>
        <v>7.7</v>
      </c>
      <c r="M55" s="7">
        <f t="shared" si="10"/>
        <v>17.5</v>
      </c>
      <c r="N55" s="15">
        <f t="shared" si="10"/>
        <v>9.6999999999999993</v>
      </c>
      <c r="O55" s="9">
        <f>MIN(O44:O53)</f>
        <v>815.1</v>
      </c>
      <c r="P55" s="15">
        <f t="shared" si="10"/>
        <v>67.900000000000006</v>
      </c>
    </row>
    <row r="56" spans="2:16" ht="21.95" customHeight="1" thickBot="1">
      <c r="B56" s="38" t="s">
        <v>7</v>
      </c>
      <c r="C56" s="39">
        <f>ROUND(AVERAGE(C44:C53),1)</f>
        <v>21.6</v>
      </c>
      <c r="D56" s="39">
        <f t="shared" ref="D56:N56" si="11">ROUND(AVERAGE(D44:D53),1)</f>
        <v>35.4</v>
      </c>
      <c r="E56" s="39">
        <f t="shared" si="11"/>
        <v>43.9</v>
      </c>
      <c r="F56" s="39">
        <f t="shared" si="11"/>
        <v>81.2</v>
      </c>
      <c r="G56" s="39">
        <f t="shared" si="11"/>
        <v>80.599999999999994</v>
      </c>
      <c r="H56" s="39">
        <f t="shared" si="11"/>
        <v>81.3</v>
      </c>
      <c r="I56" s="39">
        <f t="shared" si="11"/>
        <v>219.3</v>
      </c>
      <c r="J56" s="39">
        <f t="shared" si="11"/>
        <v>223.5</v>
      </c>
      <c r="K56" s="39">
        <f t="shared" si="11"/>
        <v>128.9</v>
      </c>
      <c r="L56" s="39">
        <f t="shared" si="11"/>
        <v>70.2</v>
      </c>
      <c r="M56" s="39">
        <f t="shared" si="11"/>
        <v>77.900000000000006</v>
      </c>
      <c r="N56" s="24">
        <f t="shared" si="11"/>
        <v>43.4</v>
      </c>
      <c r="O56" s="41">
        <f>ROUND(AVERAGE(O44:O53),1)</f>
        <v>1107.0999999999999</v>
      </c>
      <c r="P56" s="24">
        <f>ROUND(AVERAGE(P44:P53),1)</f>
        <v>92.3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69636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69636" r:id="rId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87DDF-7672-4385-BCCF-8E46A90FA7CF}">
  <sheetPr codeName="Sheet16">
    <tabColor rgb="FF0070C0"/>
  </sheetPr>
  <dimension ref="A2:Q983"/>
  <sheetViews>
    <sheetView topLeftCell="A8" zoomScaleNormal="100" workbookViewId="0">
      <selection activeCell="G34" sqref="G34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78" t="s">
        <v>165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79">
        <v>1992</v>
      </c>
      <c r="C6" s="82">
        <v>9.5</v>
      </c>
      <c r="D6" s="82">
        <v>24.4</v>
      </c>
      <c r="E6" s="82">
        <v>23.6</v>
      </c>
      <c r="F6" s="82">
        <v>67.599999999999994</v>
      </c>
      <c r="G6" s="82">
        <v>89.6</v>
      </c>
      <c r="H6" s="82">
        <v>60.6</v>
      </c>
      <c r="I6" s="82">
        <v>84.9</v>
      </c>
      <c r="J6" s="83">
        <v>435</v>
      </c>
      <c r="K6" s="82">
        <v>168.1</v>
      </c>
      <c r="L6" s="82">
        <v>27.4</v>
      </c>
      <c r="M6" s="82">
        <v>73</v>
      </c>
      <c r="N6" s="84">
        <v>68.599999999999994</v>
      </c>
      <c r="O6" s="21">
        <f t="shared" ref="O6:O35" si="0">ROUND(SUM(C6:N6),1)</f>
        <v>1132.3</v>
      </c>
      <c r="P6" s="20">
        <f>ROUND(O6/12,1)</f>
        <v>94.4</v>
      </c>
      <c r="Q6" s="4"/>
    </row>
    <row r="7" spans="2:17" ht="21.95" customHeight="1">
      <c r="B7" s="80">
        <v>1993</v>
      </c>
      <c r="C7" s="85">
        <v>4.5999999999999996</v>
      </c>
      <c r="D7" s="85">
        <v>66.7</v>
      </c>
      <c r="E7" s="85">
        <v>21.6</v>
      </c>
      <c r="F7" s="85">
        <v>32.6</v>
      </c>
      <c r="G7" s="85">
        <v>68.5</v>
      </c>
      <c r="H7" s="85">
        <v>225.5</v>
      </c>
      <c r="I7" s="85">
        <v>241.5</v>
      </c>
      <c r="J7" s="86">
        <v>206.5</v>
      </c>
      <c r="K7" s="85">
        <v>141.5</v>
      </c>
      <c r="L7" s="85">
        <v>32</v>
      </c>
      <c r="M7" s="85">
        <v>87.4</v>
      </c>
      <c r="N7" s="87">
        <v>33.700000000000003</v>
      </c>
      <c r="O7" s="21">
        <f t="shared" si="0"/>
        <v>1162.0999999999999</v>
      </c>
      <c r="P7" s="16">
        <f t="shared" ref="P7:P35" si="1">ROUND(O7/12,1)</f>
        <v>96.8</v>
      </c>
      <c r="Q7" s="4"/>
    </row>
    <row r="8" spans="2:17" ht="21.95" customHeight="1">
      <c r="B8" s="80">
        <v>1994</v>
      </c>
      <c r="C8" s="85">
        <v>17.899999999999999</v>
      </c>
      <c r="D8" s="85">
        <v>6</v>
      </c>
      <c r="E8" s="85">
        <v>58.2</v>
      </c>
      <c r="F8" s="85">
        <v>51.5</v>
      </c>
      <c r="G8" s="85">
        <v>135.5</v>
      </c>
      <c r="H8" s="85">
        <v>207</v>
      </c>
      <c r="I8" s="85">
        <v>137</v>
      </c>
      <c r="J8" s="85">
        <v>443.5</v>
      </c>
      <c r="K8" s="85">
        <v>21</v>
      </c>
      <c r="L8" s="85">
        <v>155</v>
      </c>
      <c r="M8" s="85">
        <v>17.5</v>
      </c>
      <c r="N8" s="87">
        <v>18.899999999999999</v>
      </c>
      <c r="O8" s="21">
        <f t="shared" si="0"/>
        <v>1269</v>
      </c>
      <c r="P8" s="16">
        <f t="shared" si="1"/>
        <v>105.8</v>
      </c>
      <c r="Q8" s="4"/>
    </row>
    <row r="9" spans="2:17" ht="21.95" customHeight="1">
      <c r="B9" s="80">
        <v>1995</v>
      </c>
      <c r="C9" s="85">
        <v>15.7</v>
      </c>
      <c r="D9" s="85">
        <v>11</v>
      </c>
      <c r="E9" s="85">
        <v>19.600000000000001</v>
      </c>
      <c r="F9" s="85">
        <v>65.5</v>
      </c>
      <c r="G9" s="85">
        <v>49.5</v>
      </c>
      <c r="H9" s="85">
        <v>26.5</v>
      </c>
      <c r="I9" s="85">
        <v>144.5</v>
      </c>
      <c r="J9" s="85">
        <v>996.5</v>
      </c>
      <c r="K9" s="85">
        <v>70.5</v>
      </c>
      <c r="L9" s="85">
        <v>24.5</v>
      </c>
      <c r="M9" s="85">
        <v>23</v>
      </c>
      <c r="N9" s="87">
        <v>12.7</v>
      </c>
      <c r="O9" s="21">
        <f t="shared" si="0"/>
        <v>1459.5</v>
      </c>
      <c r="P9" s="16">
        <f t="shared" si="1"/>
        <v>121.6</v>
      </c>
      <c r="Q9" s="4"/>
    </row>
    <row r="10" spans="2:17" ht="21.95" customHeight="1">
      <c r="B10" s="80">
        <v>1996</v>
      </c>
      <c r="C10" s="85">
        <v>33.4</v>
      </c>
      <c r="D10" s="85">
        <v>6.8</v>
      </c>
      <c r="E10" s="85">
        <v>104.5</v>
      </c>
      <c r="F10" s="85">
        <v>34</v>
      </c>
      <c r="G10" s="85">
        <v>22.5</v>
      </c>
      <c r="H10" s="85">
        <v>235</v>
      </c>
      <c r="I10" s="85">
        <v>192.5</v>
      </c>
      <c r="J10" s="85">
        <v>44.5</v>
      </c>
      <c r="K10" s="85">
        <v>14</v>
      </c>
      <c r="L10" s="85">
        <v>106.5</v>
      </c>
      <c r="M10" s="85">
        <v>74.2</v>
      </c>
      <c r="N10" s="87">
        <v>31.7</v>
      </c>
      <c r="O10" s="21">
        <f t="shared" si="0"/>
        <v>899.6</v>
      </c>
      <c r="P10" s="16">
        <f t="shared" si="1"/>
        <v>75</v>
      </c>
      <c r="Q10" s="4"/>
    </row>
    <row r="11" spans="2:17" ht="21.95" customHeight="1">
      <c r="B11" s="80">
        <v>1997</v>
      </c>
      <c r="C11" s="85">
        <v>15.1</v>
      </c>
      <c r="D11" s="85">
        <v>38.4</v>
      </c>
      <c r="E11" s="85">
        <v>30.5</v>
      </c>
      <c r="F11" s="85">
        <v>57.5</v>
      </c>
      <c r="G11" s="85">
        <v>203</v>
      </c>
      <c r="H11" s="85">
        <v>272</v>
      </c>
      <c r="I11" s="85">
        <v>353.5</v>
      </c>
      <c r="J11" s="85">
        <v>211.5</v>
      </c>
      <c r="K11" s="85">
        <v>23</v>
      </c>
      <c r="L11" s="85">
        <v>10</v>
      </c>
      <c r="M11" s="85">
        <v>193.5</v>
      </c>
      <c r="N11" s="87">
        <v>34.299999999999997</v>
      </c>
      <c r="O11" s="21">
        <f t="shared" si="0"/>
        <v>1442.3</v>
      </c>
      <c r="P11" s="16">
        <f t="shared" si="1"/>
        <v>120.2</v>
      </c>
      <c r="Q11" s="4"/>
    </row>
    <row r="12" spans="2:17" ht="21.95" customHeight="1">
      <c r="B12" s="80">
        <v>1998</v>
      </c>
      <c r="C12" s="85">
        <v>29.9</v>
      </c>
      <c r="D12" s="85">
        <v>40.200000000000003</v>
      </c>
      <c r="E12" s="85">
        <v>30.5</v>
      </c>
      <c r="F12" s="85">
        <v>138</v>
      </c>
      <c r="G12" s="85">
        <v>100</v>
      </c>
      <c r="H12" s="85">
        <v>209.5</v>
      </c>
      <c r="I12" s="85">
        <v>263</v>
      </c>
      <c r="J12" s="85">
        <v>341.7</v>
      </c>
      <c r="K12" s="85">
        <v>150.30000000000001</v>
      </c>
      <c r="L12" s="85">
        <v>61</v>
      </c>
      <c r="M12" s="85">
        <v>29.3</v>
      </c>
      <c r="N12" s="87">
        <v>3.8</v>
      </c>
      <c r="O12" s="21">
        <f t="shared" si="0"/>
        <v>1397.2</v>
      </c>
      <c r="P12" s="16">
        <f t="shared" si="1"/>
        <v>116.4</v>
      </c>
    </row>
    <row r="13" spans="2:17" ht="21.95" customHeight="1">
      <c r="B13" s="80">
        <v>1999</v>
      </c>
      <c r="C13" s="85">
        <v>7.9</v>
      </c>
      <c r="D13" s="85">
        <v>9.5</v>
      </c>
      <c r="E13" s="85">
        <v>71</v>
      </c>
      <c r="F13" s="85">
        <v>88.5</v>
      </c>
      <c r="G13" s="85">
        <v>124.5</v>
      </c>
      <c r="H13" s="85">
        <v>192.5</v>
      </c>
      <c r="I13" s="85">
        <v>98</v>
      </c>
      <c r="J13" s="85">
        <v>180</v>
      </c>
      <c r="K13" s="85">
        <v>292.5</v>
      </c>
      <c r="L13" s="85">
        <v>169</v>
      </c>
      <c r="M13" s="85">
        <v>24.9</v>
      </c>
      <c r="N13" s="87">
        <v>25.8</v>
      </c>
      <c r="O13" s="21">
        <f t="shared" si="0"/>
        <v>1284.0999999999999</v>
      </c>
      <c r="P13" s="16">
        <f t="shared" si="1"/>
        <v>107</v>
      </c>
    </row>
    <row r="14" spans="2:17" ht="21.95" customHeight="1">
      <c r="B14" s="80">
        <v>2000</v>
      </c>
      <c r="C14" s="85">
        <v>42.1</v>
      </c>
      <c r="D14" s="85">
        <v>3.2</v>
      </c>
      <c r="E14" s="85">
        <v>7</v>
      </c>
      <c r="F14" s="85">
        <v>35</v>
      </c>
      <c r="G14" s="85">
        <v>53.5</v>
      </c>
      <c r="H14" s="85">
        <v>159.5</v>
      </c>
      <c r="I14" s="85">
        <v>155</v>
      </c>
      <c r="J14" s="85">
        <v>701.5</v>
      </c>
      <c r="K14" s="85">
        <v>241</v>
      </c>
      <c r="L14" s="85">
        <v>46</v>
      </c>
      <c r="M14" s="85">
        <v>39.5</v>
      </c>
      <c r="N14" s="87">
        <v>32.1</v>
      </c>
      <c r="O14" s="21">
        <f t="shared" si="0"/>
        <v>1515.4</v>
      </c>
      <c r="P14" s="16">
        <f t="shared" si="1"/>
        <v>126.3</v>
      </c>
    </row>
    <row r="15" spans="2:17" ht="21.95" customHeight="1">
      <c r="B15" s="80">
        <v>2001</v>
      </c>
      <c r="C15" s="85">
        <v>73.3</v>
      </c>
      <c r="D15" s="85">
        <v>46</v>
      </c>
      <c r="E15" s="85">
        <v>15.9</v>
      </c>
      <c r="F15" s="85">
        <v>26</v>
      </c>
      <c r="G15" s="85">
        <v>17</v>
      </c>
      <c r="H15" s="85">
        <v>129</v>
      </c>
      <c r="I15" s="85">
        <v>286.5</v>
      </c>
      <c r="J15" s="85">
        <v>170</v>
      </c>
      <c r="K15" s="85">
        <v>10</v>
      </c>
      <c r="L15" s="85">
        <v>85</v>
      </c>
      <c r="M15" s="85">
        <v>13</v>
      </c>
      <c r="N15" s="87">
        <v>32</v>
      </c>
      <c r="O15" s="21">
        <f t="shared" si="0"/>
        <v>903.7</v>
      </c>
      <c r="P15" s="16">
        <f t="shared" si="1"/>
        <v>75.3</v>
      </c>
    </row>
    <row r="16" spans="2:17" ht="21.95" customHeight="1">
      <c r="B16" s="80">
        <v>2002</v>
      </c>
      <c r="C16" s="85">
        <v>50.8</v>
      </c>
      <c r="D16" s="85">
        <v>5.5</v>
      </c>
      <c r="E16" s="85">
        <v>32</v>
      </c>
      <c r="F16" s="85">
        <v>169</v>
      </c>
      <c r="G16" s="85">
        <v>155.5</v>
      </c>
      <c r="H16" s="85">
        <v>72</v>
      </c>
      <c r="I16" s="85">
        <v>217.5</v>
      </c>
      <c r="J16" s="85">
        <v>477</v>
      </c>
      <c r="K16" s="85">
        <v>27</v>
      </c>
      <c r="L16" s="85">
        <v>134</v>
      </c>
      <c r="M16" s="85">
        <v>61.1</v>
      </c>
      <c r="N16" s="87">
        <v>51.8</v>
      </c>
      <c r="O16" s="21">
        <f t="shared" si="0"/>
        <v>1453.2</v>
      </c>
      <c r="P16" s="16">
        <f t="shared" si="1"/>
        <v>121.1</v>
      </c>
    </row>
    <row r="17" spans="2:16" ht="21.95" customHeight="1">
      <c r="B17" s="80">
        <v>2003</v>
      </c>
      <c r="C17" s="85">
        <v>30.7</v>
      </c>
      <c r="D17" s="85">
        <v>44.5</v>
      </c>
      <c r="E17" s="85">
        <v>39.5</v>
      </c>
      <c r="F17" s="85">
        <v>168.5</v>
      </c>
      <c r="G17" s="85">
        <v>78.5</v>
      </c>
      <c r="H17" s="85">
        <v>153</v>
      </c>
      <c r="I17" s="85">
        <v>309.5</v>
      </c>
      <c r="J17" s="85">
        <v>310</v>
      </c>
      <c r="K17" s="85">
        <v>128</v>
      </c>
      <c r="L17" s="85">
        <v>23</v>
      </c>
      <c r="M17" s="85">
        <v>45.5</v>
      </c>
      <c r="N17" s="87">
        <v>13</v>
      </c>
      <c r="O17" s="21">
        <f t="shared" si="0"/>
        <v>1343.7</v>
      </c>
      <c r="P17" s="16">
        <f t="shared" si="1"/>
        <v>112</v>
      </c>
    </row>
    <row r="18" spans="2:16" ht="21.95" customHeight="1">
      <c r="B18" s="80">
        <v>2004</v>
      </c>
      <c r="C18" s="85">
        <v>22.1</v>
      </c>
      <c r="D18" s="85">
        <v>28.5</v>
      </c>
      <c r="E18" s="85">
        <v>45.7</v>
      </c>
      <c r="F18" s="85">
        <v>58</v>
      </c>
      <c r="G18" s="85">
        <v>105.5</v>
      </c>
      <c r="H18" s="85">
        <v>234.5</v>
      </c>
      <c r="I18" s="85">
        <v>263.5</v>
      </c>
      <c r="J18" s="85">
        <v>164</v>
      </c>
      <c r="K18" s="85">
        <v>195</v>
      </c>
      <c r="L18" s="85">
        <v>4</v>
      </c>
      <c r="M18" s="85">
        <v>56.5</v>
      </c>
      <c r="N18" s="87">
        <v>38.9</v>
      </c>
      <c r="O18" s="21">
        <f t="shared" si="0"/>
        <v>1216.2</v>
      </c>
      <c r="P18" s="16">
        <f t="shared" si="1"/>
        <v>101.4</v>
      </c>
    </row>
    <row r="19" spans="2:16" ht="21.95" customHeight="1">
      <c r="B19" s="80">
        <v>2005</v>
      </c>
      <c r="C19" s="85">
        <v>5.8</v>
      </c>
      <c r="D19" s="85">
        <v>35.799999999999997</v>
      </c>
      <c r="E19" s="85">
        <v>30</v>
      </c>
      <c r="F19" s="85">
        <v>73.5</v>
      </c>
      <c r="G19" s="85">
        <v>48.5</v>
      </c>
      <c r="H19" s="85">
        <v>156</v>
      </c>
      <c r="I19" s="85">
        <v>260.5</v>
      </c>
      <c r="J19" s="85">
        <v>291.5</v>
      </c>
      <c r="K19" s="85">
        <v>282.5</v>
      </c>
      <c r="L19" s="85">
        <v>21</v>
      </c>
      <c r="M19" s="85">
        <v>18</v>
      </c>
      <c r="N19" s="87">
        <v>43.4</v>
      </c>
      <c r="O19" s="21">
        <f t="shared" si="0"/>
        <v>1266.5</v>
      </c>
      <c r="P19" s="16">
        <f t="shared" si="1"/>
        <v>105.5</v>
      </c>
    </row>
    <row r="20" spans="2:16" ht="21.95" customHeight="1">
      <c r="B20" s="80">
        <v>2006</v>
      </c>
      <c r="C20" s="85">
        <v>27</v>
      </c>
      <c r="D20" s="85">
        <v>25.9</v>
      </c>
      <c r="E20" s="85">
        <v>10.6</v>
      </c>
      <c r="F20" s="85">
        <v>81.5</v>
      </c>
      <c r="G20" s="85">
        <v>94.5</v>
      </c>
      <c r="H20" s="85">
        <v>114.5</v>
      </c>
      <c r="I20" s="85">
        <v>321</v>
      </c>
      <c r="J20" s="85">
        <v>21.5</v>
      </c>
      <c r="K20" s="85">
        <v>23.5</v>
      </c>
      <c r="L20" s="85">
        <v>24.5</v>
      </c>
      <c r="M20" s="85">
        <v>61.5</v>
      </c>
      <c r="N20" s="87">
        <v>25.4</v>
      </c>
      <c r="O20" s="21">
        <f t="shared" si="0"/>
        <v>831.4</v>
      </c>
      <c r="P20" s="16">
        <f t="shared" si="1"/>
        <v>69.3</v>
      </c>
    </row>
    <row r="21" spans="2:16" ht="21.95" customHeight="1">
      <c r="B21" s="80">
        <v>2007</v>
      </c>
      <c r="C21" s="85">
        <v>23.4</v>
      </c>
      <c r="D21" s="85">
        <v>29.8</v>
      </c>
      <c r="E21" s="85">
        <v>102</v>
      </c>
      <c r="F21" s="85">
        <v>29.5</v>
      </c>
      <c r="G21" s="85">
        <v>79</v>
      </c>
      <c r="H21" s="85">
        <v>85</v>
      </c>
      <c r="I21" s="85">
        <v>214</v>
      </c>
      <c r="J21" s="85">
        <v>239.5</v>
      </c>
      <c r="K21" s="85">
        <v>384</v>
      </c>
      <c r="L21" s="85">
        <v>59</v>
      </c>
      <c r="M21" s="85">
        <v>17.5</v>
      </c>
      <c r="N21" s="87">
        <v>33.1</v>
      </c>
      <c r="O21" s="21">
        <f t="shared" si="0"/>
        <v>1295.8</v>
      </c>
      <c r="P21" s="16">
        <f t="shared" si="1"/>
        <v>108</v>
      </c>
    </row>
    <row r="22" spans="2:16" ht="21.95" customHeight="1">
      <c r="B22" s="80">
        <v>2008</v>
      </c>
      <c r="C22" s="85">
        <v>20.9</v>
      </c>
      <c r="D22" s="85">
        <v>10.8</v>
      </c>
      <c r="E22" s="85">
        <v>48.2</v>
      </c>
      <c r="F22" s="85">
        <v>40.5</v>
      </c>
      <c r="G22" s="85">
        <v>78.900000000000006</v>
      </c>
      <c r="H22" s="85">
        <v>101.3</v>
      </c>
      <c r="I22" s="85">
        <v>257.2</v>
      </c>
      <c r="J22" s="85">
        <v>119.5</v>
      </c>
      <c r="K22" s="85">
        <v>46.9</v>
      </c>
      <c r="L22" s="85">
        <v>26.7</v>
      </c>
      <c r="M22" s="85">
        <v>37.6</v>
      </c>
      <c r="N22" s="87">
        <v>25</v>
      </c>
      <c r="O22" s="21">
        <f t="shared" si="0"/>
        <v>813.5</v>
      </c>
      <c r="P22" s="16">
        <f t="shared" si="1"/>
        <v>67.8</v>
      </c>
    </row>
    <row r="23" spans="2:16" ht="21.95" customHeight="1">
      <c r="B23" s="80">
        <v>2009</v>
      </c>
      <c r="C23" s="85">
        <v>18.5</v>
      </c>
      <c r="D23" s="85">
        <v>23.3</v>
      </c>
      <c r="E23" s="85">
        <v>55.1</v>
      </c>
      <c r="F23" s="85">
        <v>41.5</v>
      </c>
      <c r="G23" s="85">
        <v>154.5</v>
      </c>
      <c r="H23" s="85">
        <v>115.1</v>
      </c>
      <c r="I23" s="85">
        <v>320.89999999999998</v>
      </c>
      <c r="J23" s="85">
        <v>176.6</v>
      </c>
      <c r="K23" s="85">
        <v>25.5</v>
      </c>
      <c r="L23" s="85">
        <v>39.5</v>
      </c>
      <c r="M23" s="85">
        <v>52.9</v>
      </c>
      <c r="N23" s="87">
        <v>58</v>
      </c>
      <c r="O23" s="21">
        <f t="shared" si="0"/>
        <v>1081.4000000000001</v>
      </c>
      <c r="P23" s="16">
        <f t="shared" si="1"/>
        <v>90.1</v>
      </c>
    </row>
    <row r="24" spans="2:16" ht="21.95" customHeight="1">
      <c r="B24" s="80">
        <v>2010</v>
      </c>
      <c r="C24" s="85">
        <v>30.1</v>
      </c>
      <c r="D24" s="85">
        <v>73.5</v>
      </c>
      <c r="E24" s="85">
        <v>75.900000000000006</v>
      </c>
      <c r="F24" s="85">
        <v>58.5</v>
      </c>
      <c r="G24" s="85">
        <v>122.8</v>
      </c>
      <c r="H24" s="85">
        <v>60.8</v>
      </c>
      <c r="I24" s="85">
        <v>396.5</v>
      </c>
      <c r="J24" s="85">
        <v>402.7</v>
      </c>
      <c r="K24" s="85">
        <v>213.1</v>
      </c>
      <c r="L24" s="85">
        <v>19.2</v>
      </c>
      <c r="M24" s="85">
        <v>16.3</v>
      </c>
      <c r="N24" s="87">
        <v>32.9</v>
      </c>
      <c r="O24" s="21">
        <f t="shared" si="0"/>
        <v>1502.3</v>
      </c>
      <c r="P24" s="16">
        <f t="shared" si="1"/>
        <v>125.2</v>
      </c>
    </row>
    <row r="25" spans="2:16" ht="21.95" customHeight="1">
      <c r="B25" s="80">
        <v>2011</v>
      </c>
      <c r="C25" s="85">
        <v>11.1</v>
      </c>
      <c r="D25" s="85">
        <v>37.5</v>
      </c>
      <c r="E25" s="85">
        <v>18</v>
      </c>
      <c r="F25" s="85">
        <v>72.099999999999994</v>
      </c>
      <c r="G25" s="85">
        <v>115.3</v>
      </c>
      <c r="H25" s="85">
        <v>318</v>
      </c>
      <c r="I25" s="85">
        <v>723.1</v>
      </c>
      <c r="J25" s="85">
        <v>289.39999999999998</v>
      </c>
      <c r="K25" s="85">
        <v>70.8</v>
      </c>
      <c r="L25" s="85">
        <v>13.9</v>
      </c>
      <c r="M25" s="85">
        <v>61.3</v>
      </c>
      <c r="N25" s="87">
        <v>12.5</v>
      </c>
      <c r="O25" s="21">
        <f t="shared" si="0"/>
        <v>1743</v>
      </c>
      <c r="P25" s="16">
        <f t="shared" si="1"/>
        <v>145.30000000000001</v>
      </c>
    </row>
    <row r="26" spans="2:16" ht="21.95" customHeight="1">
      <c r="B26" s="80">
        <v>2012</v>
      </c>
      <c r="C26" s="85">
        <v>24.2</v>
      </c>
      <c r="D26" s="85">
        <v>9.1999999999999993</v>
      </c>
      <c r="E26" s="85">
        <v>45</v>
      </c>
      <c r="F26" s="85">
        <v>68.900000000000006</v>
      </c>
      <c r="G26" s="85">
        <v>14.6</v>
      </c>
      <c r="H26" s="85">
        <v>76.8</v>
      </c>
      <c r="I26" s="85">
        <v>231.1</v>
      </c>
      <c r="J26" s="85">
        <v>450.2</v>
      </c>
      <c r="K26" s="85">
        <v>207.7</v>
      </c>
      <c r="L26" s="85">
        <v>65</v>
      </c>
      <c r="M26" s="85">
        <v>61.1</v>
      </c>
      <c r="N26" s="87">
        <v>65.2</v>
      </c>
      <c r="O26" s="21">
        <f t="shared" si="0"/>
        <v>1319</v>
      </c>
      <c r="P26" s="16">
        <f t="shared" si="1"/>
        <v>109.9</v>
      </c>
    </row>
    <row r="27" spans="2:16" ht="21.95" customHeight="1">
      <c r="B27" s="80">
        <v>2013</v>
      </c>
      <c r="C27" s="85">
        <v>28.4</v>
      </c>
      <c r="D27" s="85">
        <v>40.700000000000003</v>
      </c>
      <c r="E27" s="85">
        <v>53.4</v>
      </c>
      <c r="F27" s="85">
        <v>68.2</v>
      </c>
      <c r="G27" s="85">
        <v>116.6</v>
      </c>
      <c r="H27" s="85">
        <v>159.9</v>
      </c>
      <c r="I27" s="85">
        <v>267.5</v>
      </c>
      <c r="J27" s="85">
        <v>214.6</v>
      </c>
      <c r="K27" s="85">
        <v>320</v>
      </c>
      <c r="L27" s="85">
        <v>11</v>
      </c>
      <c r="M27" s="85">
        <v>84.1</v>
      </c>
      <c r="N27" s="87">
        <v>26.4</v>
      </c>
      <c r="O27" s="21">
        <f t="shared" si="0"/>
        <v>1390.8</v>
      </c>
      <c r="P27" s="16">
        <f t="shared" si="1"/>
        <v>115.9</v>
      </c>
    </row>
    <row r="28" spans="2:16" ht="21.95" customHeight="1">
      <c r="B28" s="80">
        <v>2014</v>
      </c>
      <c r="C28" s="85">
        <v>3.4</v>
      </c>
      <c r="D28" s="85">
        <v>20.5</v>
      </c>
      <c r="E28" s="85">
        <v>56.3</v>
      </c>
      <c r="F28" s="85">
        <v>70</v>
      </c>
      <c r="G28" s="85">
        <v>47.1</v>
      </c>
      <c r="H28" s="85">
        <v>125.8</v>
      </c>
      <c r="I28" s="85">
        <v>104</v>
      </c>
      <c r="J28" s="85">
        <v>168.5</v>
      </c>
      <c r="K28" s="85">
        <v>152</v>
      </c>
      <c r="L28" s="85">
        <v>156</v>
      </c>
      <c r="M28" s="85">
        <v>39.9</v>
      </c>
      <c r="N28" s="87">
        <v>67.099999999999994</v>
      </c>
      <c r="O28" s="21">
        <f t="shared" si="0"/>
        <v>1010.6</v>
      </c>
      <c r="P28" s="16">
        <f t="shared" si="1"/>
        <v>84.2</v>
      </c>
    </row>
    <row r="29" spans="2:16" ht="21.95" customHeight="1">
      <c r="B29" s="80">
        <v>2015</v>
      </c>
      <c r="C29" s="85">
        <v>29.9</v>
      </c>
      <c r="D29" s="85">
        <v>23.4</v>
      </c>
      <c r="E29" s="85">
        <v>30.9</v>
      </c>
      <c r="F29" s="85">
        <v>129.69999999999999</v>
      </c>
      <c r="G29" s="85">
        <v>38.799999999999997</v>
      </c>
      <c r="H29" s="85">
        <v>83.9</v>
      </c>
      <c r="I29" s="85">
        <v>94.7</v>
      </c>
      <c r="J29" s="85">
        <v>30.2</v>
      </c>
      <c r="K29" s="85">
        <v>13.3</v>
      </c>
      <c r="L29" s="85">
        <v>90</v>
      </c>
      <c r="M29" s="85">
        <v>153.1</v>
      </c>
      <c r="N29" s="87">
        <v>64.599999999999994</v>
      </c>
      <c r="O29" s="21">
        <f t="shared" si="0"/>
        <v>782.5</v>
      </c>
      <c r="P29" s="16">
        <f t="shared" si="1"/>
        <v>65.2</v>
      </c>
    </row>
    <row r="30" spans="2:16" ht="21.95" customHeight="1">
      <c r="B30" s="80">
        <v>2016</v>
      </c>
      <c r="C30" s="85">
        <v>7.8</v>
      </c>
      <c r="D30" s="85">
        <v>54.2</v>
      </c>
      <c r="E30" s="85">
        <v>18.7</v>
      </c>
      <c r="F30" s="85">
        <v>105.1</v>
      </c>
      <c r="G30" s="85">
        <v>146.5</v>
      </c>
      <c r="H30" s="85">
        <v>23.7</v>
      </c>
      <c r="I30" s="85">
        <v>200.2</v>
      </c>
      <c r="J30" s="85">
        <v>5.0999999999999996</v>
      </c>
      <c r="K30" s="85">
        <v>73.400000000000006</v>
      </c>
      <c r="L30" s="85">
        <v>108</v>
      </c>
      <c r="M30" s="85">
        <v>5.6</v>
      </c>
      <c r="N30" s="87">
        <v>44.5</v>
      </c>
      <c r="O30" s="21">
        <f t="shared" si="0"/>
        <v>792.8</v>
      </c>
      <c r="P30" s="16">
        <f t="shared" si="1"/>
        <v>66.099999999999994</v>
      </c>
    </row>
    <row r="31" spans="2:16" ht="21.95" customHeight="1">
      <c r="B31" s="80">
        <v>2017</v>
      </c>
      <c r="C31" s="85">
        <v>14.8</v>
      </c>
      <c r="D31" s="85">
        <v>30.2</v>
      </c>
      <c r="E31" s="85">
        <v>14.4</v>
      </c>
      <c r="F31" s="85">
        <v>57.6</v>
      </c>
      <c r="G31" s="85">
        <v>58.9</v>
      </c>
      <c r="H31" s="85">
        <v>21.1</v>
      </c>
      <c r="I31" s="85">
        <v>278.10000000000002</v>
      </c>
      <c r="J31" s="85">
        <v>210</v>
      </c>
      <c r="K31" s="85">
        <v>90</v>
      </c>
      <c r="L31" s="85">
        <v>26.6</v>
      </c>
      <c r="M31" s="85">
        <v>15.4</v>
      </c>
      <c r="N31" s="87">
        <v>38.6</v>
      </c>
      <c r="O31" s="21">
        <f t="shared" si="0"/>
        <v>855.7</v>
      </c>
      <c r="P31" s="16">
        <f t="shared" si="1"/>
        <v>71.3</v>
      </c>
    </row>
    <row r="32" spans="2:16" ht="21.95" customHeight="1">
      <c r="B32" s="80">
        <v>2018</v>
      </c>
      <c r="C32" s="85">
        <v>15</v>
      </c>
      <c r="D32" s="85">
        <v>33.6</v>
      </c>
      <c r="E32" s="85">
        <v>92</v>
      </c>
      <c r="F32" s="85">
        <v>128.1</v>
      </c>
      <c r="G32" s="85">
        <v>104.5</v>
      </c>
      <c r="H32" s="85">
        <v>71</v>
      </c>
      <c r="I32" s="85">
        <v>262.7</v>
      </c>
      <c r="J32" s="85">
        <v>239.6</v>
      </c>
      <c r="K32" s="85">
        <v>158.19999999999999</v>
      </c>
      <c r="L32" s="85">
        <v>154.69999999999999</v>
      </c>
      <c r="M32" s="85">
        <v>46.7</v>
      </c>
      <c r="N32" s="87">
        <v>31.1</v>
      </c>
      <c r="O32" s="21">
        <f t="shared" si="0"/>
        <v>1337.2</v>
      </c>
      <c r="P32" s="16">
        <f t="shared" si="1"/>
        <v>111.4</v>
      </c>
    </row>
    <row r="33" spans="2:16" ht="21.95" customHeight="1">
      <c r="B33" s="80">
        <v>2019</v>
      </c>
      <c r="C33" s="85">
        <v>1.9</v>
      </c>
      <c r="D33" s="85">
        <v>17.8</v>
      </c>
      <c r="E33" s="85">
        <v>18.2</v>
      </c>
      <c r="F33" s="85">
        <v>71.900000000000006</v>
      </c>
      <c r="G33" s="85">
        <v>31.3</v>
      </c>
      <c r="H33" s="85">
        <v>56</v>
      </c>
      <c r="I33" s="85">
        <v>149</v>
      </c>
      <c r="J33" s="85">
        <v>131.30000000000001</v>
      </c>
      <c r="K33" s="85">
        <v>118.7</v>
      </c>
      <c r="L33" s="85">
        <v>63.9</v>
      </c>
      <c r="M33" s="85">
        <v>130.6</v>
      </c>
      <c r="N33" s="87">
        <v>31.3</v>
      </c>
      <c r="O33" s="21">
        <f t="shared" si="0"/>
        <v>821.9</v>
      </c>
      <c r="P33" s="16">
        <f t="shared" si="1"/>
        <v>68.5</v>
      </c>
    </row>
    <row r="34" spans="2:16" ht="21.95" customHeight="1">
      <c r="B34" s="80">
        <v>2020</v>
      </c>
      <c r="C34" s="85">
        <v>49.4</v>
      </c>
      <c r="D34" s="85">
        <v>75.3</v>
      </c>
      <c r="E34" s="85">
        <v>22.8</v>
      </c>
      <c r="F34" s="85">
        <v>16.5</v>
      </c>
      <c r="G34" s="85">
        <v>92.4</v>
      </c>
      <c r="H34" s="85">
        <v>139.69999999999999</v>
      </c>
      <c r="I34" s="85">
        <v>345.9</v>
      </c>
      <c r="J34" s="85">
        <v>321.5</v>
      </c>
      <c r="K34" s="85">
        <v>177.1</v>
      </c>
      <c r="L34" s="85">
        <v>16.2</v>
      </c>
      <c r="M34" s="85">
        <v>35.4</v>
      </c>
      <c r="N34" s="87">
        <v>9.6999999999999993</v>
      </c>
      <c r="O34" s="21">
        <f t="shared" si="0"/>
        <v>1301.9000000000001</v>
      </c>
      <c r="P34" s="16">
        <f t="shared" si="1"/>
        <v>108.5</v>
      </c>
    </row>
    <row r="35" spans="2:16" ht="21.95" customHeight="1" thickBot="1">
      <c r="B35" s="81" t="s">
        <v>169</v>
      </c>
      <c r="C35" s="88">
        <v>32</v>
      </c>
      <c r="D35" s="88">
        <v>18.7</v>
      </c>
      <c r="E35" s="88">
        <v>76.099999999999994</v>
      </c>
      <c r="F35" s="88">
        <v>43.4</v>
      </c>
      <c r="G35" s="88">
        <v>110</v>
      </c>
      <c r="H35" s="88">
        <v>55</v>
      </c>
      <c r="I35" s="88">
        <v>131.30000000000001</v>
      </c>
      <c r="J35" s="88">
        <v>253.7</v>
      </c>
      <c r="K35" s="88">
        <v>215.9</v>
      </c>
      <c r="L35" s="88">
        <v>39.6</v>
      </c>
      <c r="M35" s="88">
        <v>117.8</v>
      </c>
      <c r="N35" s="89">
        <v>14.4</v>
      </c>
      <c r="O35" s="27">
        <f t="shared" si="0"/>
        <v>1107.9000000000001</v>
      </c>
      <c r="P35" s="28">
        <f t="shared" si="1"/>
        <v>92.3</v>
      </c>
    </row>
    <row r="36" spans="2:16" ht="21.95" customHeight="1">
      <c r="B36" s="29" t="s">
        <v>13</v>
      </c>
      <c r="C36" s="30">
        <f>ROUND(MAX(C6:C35),1)</f>
        <v>73.3</v>
      </c>
      <c r="D36" s="30">
        <f t="shared" ref="D36:N36" si="2">ROUND(MAX(D6:D35),1)</f>
        <v>75.3</v>
      </c>
      <c r="E36" s="30">
        <f t="shared" si="2"/>
        <v>104.5</v>
      </c>
      <c r="F36" s="30">
        <f t="shared" si="2"/>
        <v>169</v>
      </c>
      <c r="G36" s="30">
        <f t="shared" si="2"/>
        <v>203</v>
      </c>
      <c r="H36" s="30">
        <f t="shared" si="2"/>
        <v>318</v>
      </c>
      <c r="I36" s="30">
        <f t="shared" si="2"/>
        <v>723.1</v>
      </c>
      <c r="J36" s="30">
        <f t="shared" si="2"/>
        <v>996.5</v>
      </c>
      <c r="K36" s="30">
        <f t="shared" si="2"/>
        <v>384</v>
      </c>
      <c r="L36" s="30">
        <f t="shared" si="2"/>
        <v>169</v>
      </c>
      <c r="M36" s="30">
        <f t="shared" si="2"/>
        <v>193.5</v>
      </c>
      <c r="N36" s="31">
        <f t="shared" si="2"/>
        <v>68.599999999999994</v>
      </c>
      <c r="O36" s="32">
        <f>ROUND(MAX(O6:O35),1)</f>
        <v>1743</v>
      </c>
      <c r="P36" s="33">
        <f>ROUND(MAX(P6:P35),1)</f>
        <v>145.30000000000001</v>
      </c>
    </row>
    <row r="37" spans="2:16" ht="21.95" customHeight="1">
      <c r="B37" s="14" t="s">
        <v>14</v>
      </c>
      <c r="C37" s="8">
        <f>ROUND(MIN(C6:C35),1)</f>
        <v>1.9</v>
      </c>
      <c r="D37" s="8">
        <f t="shared" ref="D37:N37" si="3">ROUND(MIN(D6:D35),1)</f>
        <v>3.2</v>
      </c>
      <c r="E37" s="8">
        <f t="shared" si="3"/>
        <v>7</v>
      </c>
      <c r="F37" s="8">
        <f t="shared" si="3"/>
        <v>16.5</v>
      </c>
      <c r="G37" s="8">
        <f t="shared" si="3"/>
        <v>14.6</v>
      </c>
      <c r="H37" s="8">
        <f t="shared" si="3"/>
        <v>21.1</v>
      </c>
      <c r="I37" s="8">
        <f t="shared" si="3"/>
        <v>84.9</v>
      </c>
      <c r="J37" s="8">
        <f t="shared" si="3"/>
        <v>5.0999999999999996</v>
      </c>
      <c r="K37" s="8">
        <f t="shared" si="3"/>
        <v>10</v>
      </c>
      <c r="L37" s="8">
        <f t="shared" si="3"/>
        <v>4</v>
      </c>
      <c r="M37" s="8">
        <f t="shared" si="3"/>
        <v>5.6</v>
      </c>
      <c r="N37" s="16">
        <f t="shared" si="3"/>
        <v>3.8</v>
      </c>
      <c r="O37" s="22">
        <f>ROUND(MIN(O6:O35),1)</f>
        <v>782.5</v>
      </c>
      <c r="P37" s="15">
        <f>ROUND(MIN(P6:P35),1)</f>
        <v>65.2</v>
      </c>
    </row>
    <row r="38" spans="2:16" ht="21.95" customHeight="1" thickBot="1">
      <c r="B38" s="17" t="s">
        <v>18</v>
      </c>
      <c r="C38" s="18">
        <f>ROUND(AVERAGE(C6:C35),1)</f>
        <v>23.2</v>
      </c>
      <c r="D38" s="18">
        <f t="shared" ref="D38:N38" si="4">ROUND(AVERAGE(D6:D35),1)</f>
        <v>29.7</v>
      </c>
      <c r="E38" s="18">
        <f t="shared" si="4"/>
        <v>42.2</v>
      </c>
      <c r="F38" s="18">
        <f t="shared" si="4"/>
        <v>71.599999999999994</v>
      </c>
      <c r="G38" s="18">
        <f t="shared" si="4"/>
        <v>88.6</v>
      </c>
      <c r="H38" s="18">
        <f t="shared" si="4"/>
        <v>131.30000000000001</v>
      </c>
      <c r="I38" s="18">
        <f t="shared" si="4"/>
        <v>243.5</v>
      </c>
      <c r="J38" s="18">
        <f t="shared" si="4"/>
        <v>274.89999999999998</v>
      </c>
      <c r="K38" s="18">
        <f t="shared" si="4"/>
        <v>135.19999999999999</v>
      </c>
      <c r="L38" s="18">
        <f t="shared" si="4"/>
        <v>60.4</v>
      </c>
      <c r="M38" s="18">
        <f t="shared" si="4"/>
        <v>56.4</v>
      </c>
      <c r="N38" s="19">
        <f t="shared" si="4"/>
        <v>34</v>
      </c>
      <c r="O38" s="23">
        <f>ROUND(AVERAGE(O6:O35),1)</f>
        <v>1191.0999999999999</v>
      </c>
      <c r="P38" s="24">
        <f>ROUND(AVERAGE(P6:P35),1)</f>
        <v>99.3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2012</v>
      </c>
      <c r="C44" s="47">
        <f t="shared" ref="C44:N44" si="5">C26</f>
        <v>24.2</v>
      </c>
      <c r="D44" s="47">
        <f t="shared" si="5"/>
        <v>9.1999999999999993</v>
      </c>
      <c r="E44" s="47">
        <f t="shared" si="5"/>
        <v>45</v>
      </c>
      <c r="F44" s="47">
        <f t="shared" si="5"/>
        <v>68.900000000000006</v>
      </c>
      <c r="G44" s="47">
        <f t="shared" si="5"/>
        <v>14.6</v>
      </c>
      <c r="H44" s="47">
        <f t="shared" si="5"/>
        <v>76.8</v>
      </c>
      <c r="I44" s="47">
        <f t="shared" si="5"/>
        <v>231.1</v>
      </c>
      <c r="J44" s="47">
        <f t="shared" si="5"/>
        <v>450.2</v>
      </c>
      <c r="K44" s="47">
        <f t="shared" si="5"/>
        <v>207.7</v>
      </c>
      <c r="L44" s="47">
        <f t="shared" si="5"/>
        <v>65</v>
      </c>
      <c r="M44" s="47">
        <f t="shared" si="5"/>
        <v>61.1</v>
      </c>
      <c r="N44" s="54">
        <f t="shared" si="5"/>
        <v>65.2</v>
      </c>
      <c r="O44" s="9">
        <f>ROUND(SUM(C44:N44),1)</f>
        <v>1319</v>
      </c>
      <c r="P44" s="15">
        <f>ROUND(O44/12,1)</f>
        <v>109.9</v>
      </c>
    </row>
    <row r="45" spans="2:16" ht="21.95" customHeight="1">
      <c r="B45" s="46">
        <f t="shared" ref="B45:N53" si="6">B27</f>
        <v>2013</v>
      </c>
      <c r="C45" s="47">
        <f t="shared" si="6"/>
        <v>28.4</v>
      </c>
      <c r="D45" s="47">
        <f t="shared" si="6"/>
        <v>40.700000000000003</v>
      </c>
      <c r="E45" s="47">
        <f t="shared" si="6"/>
        <v>53.4</v>
      </c>
      <c r="F45" s="47">
        <f t="shared" si="6"/>
        <v>68.2</v>
      </c>
      <c r="G45" s="47">
        <f t="shared" si="6"/>
        <v>116.6</v>
      </c>
      <c r="H45" s="47">
        <f t="shared" si="6"/>
        <v>159.9</v>
      </c>
      <c r="I45" s="47">
        <f t="shared" si="6"/>
        <v>267.5</v>
      </c>
      <c r="J45" s="47">
        <f t="shared" si="6"/>
        <v>214.6</v>
      </c>
      <c r="K45" s="47">
        <f t="shared" si="6"/>
        <v>320</v>
      </c>
      <c r="L45" s="47">
        <f t="shared" si="6"/>
        <v>11</v>
      </c>
      <c r="M45" s="47">
        <f t="shared" si="6"/>
        <v>84.1</v>
      </c>
      <c r="N45" s="54">
        <f t="shared" si="6"/>
        <v>26.4</v>
      </c>
      <c r="O45" s="9">
        <f t="shared" ref="O45:O53" si="7">ROUND(SUM(C45:N45),1)</f>
        <v>1390.8</v>
      </c>
      <c r="P45" s="15">
        <f t="shared" ref="P45:P53" si="8">ROUND(O45/12,1)</f>
        <v>115.9</v>
      </c>
    </row>
    <row r="46" spans="2:16" ht="21.95" customHeight="1">
      <c r="B46" s="46">
        <f t="shared" si="6"/>
        <v>2014</v>
      </c>
      <c r="C46" s="47">
        <f t="shared" si="6"/>
        <v>3.4</v>
      </c>
      <c r="D46" s="47">
        <f t="shared" si="6"/>
        <v>20.5</v>
      </c>
      <c r="E46" s="47">
        <f t="shared" si="6"/>
        <v>56.3</v>
      </c>
      <c r="F46" s="47">
        <f t="shared" si="6"/>
        <v>70</v>
      </c>
      <c r="G46" s="47">
        <f t="shared" si="6"/>
        <v>47.1</v>
      </c>
      <c r="H46" s="47">
        <f t="shared" si="6"/>
        <v>125.8</v>
      </c>
      <c r="I46" s="47">
        <f t="shared" si="6"/>
        <v>104</v>
      </c>
      <c r="J46" s="47">
        <f t="shared" si="6"/>
        <v>168.5</v>
      </c>
      <c r="K46" s="47">
        <f t="shared" si="6"/>
        <v>152</v>
      </c>
      <c r="L46" s="47">
        <f t="shared" si="6"/>
        <v>156</v>
      </c>
      <c r="M46" s="47">
        <f t="shared" si="6"/>
        <v>39.9</v>
      </c>
      <c r="N46" s="54">
        <f t="shared" si="6"/>
        <v>67.099999999999994</v>
      </c>
      <c r="O46" s="9">
        <f t="shared" si="7"/>
        <v>1010.6</v>
      </c>
      <c r="P46" s="15">
        <f t="shared" si="8"/>
        <v>84.2</v>
      </c>
    </row>
    <row r="47" spans="2:16" ht="21.95" customHeight="1">
      <c r="B47" s="46">
        <f t="shared" si="6"/>
        <v>2015</v>
      </c>
      <c r="C47" s="47">
        <f t="shared" si="6"/>
        <v>29.9</v>
      </c>
      <c r="D47" s="47">
        <f t="shared" si="6"/>
        <v>23.4</v>
      </c>
      <c r="E47" s="47">
        <f t="shared" si="6"/>
        <v>30.9</v>
      </c>
      <c r="F47" s="47">
        <f t="shared" si="6"/>
        <v>129.69999999999999</v>
      </c>
      <c r="G47" s="47">
        <f t="shared" si="6"/>
        <v>38.799999999999997</v>
      </c>
      <c r="H47" s="47">
        <f t="shared" si="6"/>
        <v>83.9</v>
      </c>
      <c r="I47" s="47">
        <f t="shared" si="6"/>
        <v>94.7</v>
      </c>
      <c r="J47" s="47">
        <f t="shared" si="6"/>
        <v>30.2</v>
      </c>
      <c r="K47" s="47">
        <f t="shared" si="6"/>
        <v>13.3</v>
      </c>
      <c r="L47" s="47">
        <f t="shared" si="6"/>
        <v>90</v>
      </c>
      <c r="M47" s="47">
        <f t="shared" si="6"/>
        <v>153.1</v>
      </c>
      <c r="N47" s="54">
        <f t="shared" si="6"/>
        <v>64.599999999999994</v>
      </c>
      <c r="O47" s="9">
        <f>ROUND(SUM(C47:N47),1)</f>
        <v>782.5</v>
      </c>
      <c r="P47" s="15">
        <f t="shared" si="8"/>
        <v>65.2</v>
      </c>
    </row>
    <row r="48" spans="2:16" ht="21.95" customHeight="1">
      <c r="B48" s="46">
        <f t="shared" si="6"/>
        <v>2016</v>
      </c>
      <c r="C48" s="47">
        <f t="shared" si="6"/>
        <v>7.8</v>
      </c>
      <c r="D48" s="47">
        <f t="shared" si="6"/>
        <v>54.2</v>
      </c>
      <c r="E48" s="47">
        <f t="shared" si="6"/>
        <v>18.7</v>
      </c>
      <c r="F48" s="47">
        <f t="shared" si="6"/>
        <v>105.1</v>
      </c>
      <c r="G48" s="47">
        <f t="shared" si="6"/>
        <v>146.5</v>
      </c>
      <c r="H48" s="47">
        <f t="shared" si="6"/>
        <v>23.7</v>
      </c>
      <c r="I48" s="47">
        <f t="shared" si="6"/>
        <v>200.2</v>
      </c>
      <c r="J48" s="47">
        <f t="shared" si="6"/>
        <v>5.0999999999999996</v>
      </c>
      <c r="K48" s="47">
        <f t="shared" si="6"/>
        <v>73.400000000000006</v>
      </c>
      <c r="L48" s="47">
        <f t="shared" si="6"/>
        <v>108</v>
      </c>
      <c r="M48" s="47">
        <f t="shared" si="6"/>
        <v>5.6</v>
      </c>
      <c r="N48" s="54">
        <f t="shared" si="6"/>
        <v>44.5</v>
      </c>
      <c r="O48" s="9">
        <f t="shared" si="7"/>
        <v>792.8</v>
      </c>
      <c r="P48" s="15">
        <f t="shared" si="8"/>
        <v>66.099999999999994</v>
      </c>
    </row>
    <row r="49" spans="2:16" ht="21.95" customHeight="1">
      <c r="B49" s="46">
        <f t="shared" si="6"/>
        <v>2017</v>
      </c>
      <c r="C49" s="47">
        <f t="shared" si="6"/>
        <v>14.8</v>
      </c>
      <c r="D49" s="47">
        <f t="shared" si="6"/>
        <v>30.2</v>
      </c>
      <c r="E49" s="47">
        <f t="shared" si="6"/>
        <v>14.4</v>
      </c>
      <c r="F49" s="47">
        <f t="shared" si="6"/>
        <v>57.6</v>
      </c>
      <c r="G49" s="47">
        <f t="shared" si="6"/>
        <v>58.9</v>
      </c>
      <c r="H49" s="47">
        <f t="shared" si="6"/>
        <v>21.1</v>
      </c>
      <c r="I49" s="47">
        <f t="shared" si="6"/>
        <v>278.10000000000002</v>
      </c>
      <c r="J49" s="47">
        <f t="shared" si="6"/>
        <v>210</v>
      </c>
      <c r="K49" s="47">
        <f t="shared" si="6"/>
        <v>90</v>
      </c>
      <c r="L49" s="47">
        <f t="shared" si="6"/>
        <v>26.6</v>
      </c>
      <c r="M49" s="47">
        <f t="shared" si="6"/>
        <v>15.4</v>
      </c>
      <c r="N49" s="54">
        <f t="shared" si="6"/>
        <v>38.6</v>
      </c>
      <c r="O49" s="9">
        <f t="shared" si="7"/>
        <v>855.7</v>
      </c>
      <c r="P49" s="15">
        <f t="shared" si="8"/>
        <v>71.3</v>
      </c>
    </row>
    <row r="50" spans="2:16" ht="21.95" customHeight="1">
      <c r="B50" s="46">
        <f t="shared" si="6"/>
        <v>2018</v>
      </c>
      <c r="C50" s="47">
        <f t="shared" si="6"/>
        <v>15</v>
      </c>
      <c r="D50" s="47">
        <f t="shared" si="6"/>
        <v>33.6</v>
      </c>
      <c r="E50" s="47">
        <f t="shared" si="6"/>
        <v>92</v>
      </c>
      <c r="F50" s="47">
        <f t="shared" si="6"/>
        <v>128.1</v>
      </c>
      <c r="G50" s="47">
        <f t="shared" si="6"/>
        <v>104.5</v>
      </c>
      <c r="H50" s="47">
        <f t="shared" si="6"/>
        <v>71</v>
      </c>
      <c r="I50" s="47">
        <f t="shared" si="6"/>
        <v>262.7</v>
      </c>
      <c r="J50" s="47">
        <f t="shared" si="6"/>
        <v>239.6</v>
      </c>
      <c r="K50" s="47">
        <f t="shared" si="6"/>
        <v>158.19999999999999</v>
      </c>
      <c r="L50" s="47">
        <f t="shared" si="6"/>
        <v>154.69999999999999</v>
      </c>
      <c r="M50" s="47">
        <f t="shared" si="6"/>
        <v>46.7</v>
      </c>
      <c r="N50" s="54">
        <f t="shared" si="6"/>
        <v>31.1</v>
      </c>
      <c r="O50" s="9">
        <f t="shared" si="7"/>
        <v>1337.2</v>
      </c>
      <c r="P50" s="15">
        <f t="shared" si="8"/>
        <v>111.4</v>
      </c>
    </row>
    <row r="51" spans="2:16" ht="21.95" customHeight="1">
      <c r="B51" s="46">
        <f t="shared" si="6"/>
        <v>2019</v>
      </c>
      <c r="C51" s="47">
        <f t="shared" si="6"/>
        <v>1.9</v>
      </c>
      <c r="D51" s="47">
        <f t="shared" si="6"/>
        <v>17.8</v>
      </c>
      <c r="E51" s="47">
        <f t="shared" si="6"/>
        <v>18.2</v>
      </c>
      <c r="F51" s="47">
        <f t="shared" si="6"/>
        <v>71.900000000000006</v>
      </c>
      <c r="G51" s="47">
        <f t="shared" si="6"/>
        <v>31.3</v>
      </c>
      <c r="H51" s="47">
        <f t="shared" si="6"/>
        <v>56</v>
      </c>
      <c r="I51" s="47">
        <f t="shared" si="6"/>
        <v>149</v>
      </c>
      <c r="J51" s="47">
        <f t="shared" si="6"/>
        <v>131.30000000000001</v>
      </c>
      <c r="K51" s="47">
        <f t="shared" si="6"/>
        <v>118.7</v>
      </c>
      <c r="L51" s="47">
        <f t="shared" si="6"/>
        <v>63.9</v>
      </c>
      <c r="M51" s="47">
        <f t="shared" si="6"/>
        <v>130.6</v>
      </c>
      <c r="N51" s="54">
        <f t="shared" si="6"/>
        <v>31.3</v>
      </c>
      <c r="O51" s="9">
        <f t="shared" si="7"/>
        <v>821.9</v>
      </c>
      <c r="P51" s="15">
        <f t="shared" si="8"/>
        <v>68.5</v>
      </c>
    </row>
    <row r="52" spans="2:16" ht="21.95" customHeight="1">
      <c r="B52" s="46">
        <f t="shared" si="6"/>
        <v>2020</v>
      </c>
      <c r="C52" s="47">
        <f t="shared" si="6"/>
        <v>49.4</v>
      </c>
      <c r="D52" s="47">
        <f t="shared" si="6"/>
        <v>75.3</v>
      </c>
      <c r="E52" s="47">
        <f t="shared" si="6"/>
        <v>22.8</v>
      </c>
      <c r="F52" s="47">
        <f t="shared" si="6"/>
        <v>16.5</v>
      </c>
      <c r="G52" s="47">
        <f t="shared" si="6"/>
        <v>92.4</v>
      </c>
      <c r="H52" s="47">
        <f t="shared" si="6"/>
        <v>139.69999999999999</v>
      </c>
      <c r="I52" s="47">
        <f t="shared" si="6"/>
        <v>345.9</v>
      </c>
      <c r="J52" s="47">
        <f t="shared" si="6"/>
        <v>321.5</v>
      </c>
      <c r="K52" s="47">
        <f t="shared" si="6"/>
        <v>177.1</v>
      </c>
      <c r="L52" s="47">
        <f t="shared" si="6"/>
        <v>16.2</v>
      </c>
      <c r="M52" s="47">
        <f t="shared" si="6"/>
        <v>35.4</v>
      </c>
      <c r="N52" s="54">
        <f t="shared" si="6"/>
        <v>9.6999999999999993</v>
      </c>
      <c r="O52" s="9">
        <f t="shared" si="7"/>
        <v>1301.9000000000001</v>
      </c>
      <c r="P52" s="15">
        <f t="shared" si="8"/>
        <v>108.5</v>
      </c>
    </row>
    <row r="53" spans="2:16" ht="21.95" customHeight="1" thickBot="1">
      <c r="B53" s="51" t="str">
        <f t="shared" si="6"/>
        <v>2021</v>
      </c>
      <c r="C53" s="52">
        <f t="shared" si="6"/>
        <v>32</v>
      </c>
      <c r="D53" s="52">
        <f t="shared" si="6"/>
        <v>18.7</v>
      </c>
      <c r="E53" s="52">
        <f t="shared" si="6"/>
        <v>76.099999999999994</v>
      </c>
      <c r="F53" s="52">
        <f t="shared" si="6"/>
        <v>43.4</v>
      </c>
      <c r="G53" s="52">
        <f t="shared" si="6"/>
        <v>110</v>
      </c>
      <c r="H53" s="52">
        <f t="shared" si="6"/>
        <v>55</v>
      </c>
      <c r="I53" s="52">
        <f t="shared" si="6"/>
        <v>131.30000000000001</v>
      </c>
      <c r="J53" s="52">
        <f t="shared" si="6"/>
        <v>253.7</v>
      </c>
      <c r="K53" s="52">
        <f t="shared" si="6"/>
        <v>215.9</v>
      </c>
      <c r="L53" s="52">
        <f t="shared" si="6"/>
        <v>39.6</v>
      </c>
      <c r="M53" s="52">
        <f t="shared" si="6"/>
        <v>117.8</v>
      </c>
      <c r="N53" s="55">
        <f t="shared" si="6"/>
        <v>14.4</v>
      </c>
      <c r="O53" s="41">
        <f t="shared" si="7"/>
        <v>1107.9000000000001</v>
      </c>
      <c r="P53" s="24">
        <f t="shared" si="8"/>
        <v>92.3</v>
      </c>
    </row>
    <row r="54" spans="2:16" ht="21.95" customHeight="1">
      <c r="B54" s="48" t="s">
        <v>19</v>
      </c>
      <c r="C54" s="49">
        <f>MAX(C44:C53)</f>
        <v>49.4</v>
      </c>
      <c r="D54" s="49">
        <f t="shared" ref="D54:P54" si="9">MAX(D44:D53)</f>
        <v>75.3</v>
      </c>
      <c r="E54" s="49">
        <f t="shared" si="9"/>
        <v>92</v>
      </c>
      <c r="F54" s="49">
        <f t="shared" si="9"/>
        <v>129.69999999999999</v>
      </c>
      <c r="G54" s="49">
        <f t="shared" si="9"/>
        <v>146.5</v>
      </c>
      <c r="H54" s="49">
        <f t="shared" si="9"/>
        <v>159.9</v>
      </c>
      <c r="I54" s="49">
        <f t="shared" si="9"/>
        <v>345.9</v>
      </c>
      <c r="J54" s="49">
        <f t="shared" si="9"/>
        <v>450.2</v>
      </c>
      <c r="K54" s="49">
        <f t="shared" si="9"/>
        <v>320</v>
      </c>
      <c r="L54" s="49">
        <f t="shared" si="9"/>
        <v>156</v>
      </c>
      <c r="M54" s="49">
        <f t="shared" si="9"/>
        <v>153.1</v>
      </c>
      <c r="N54" s="50">
        <f t="shared" si="9"/>
        <v>67.099999999999994</v>
      </c>
      <c r="O54" s="53">
        <f t="shared" si="9"/>
        <v>1390.8</v>
      </c>
      <c r="P54" s="50">
        <f t="shared" si="9"/>
        <v>115.9</v>
      </c>
    </row>
    <row r="55" spans="2:16" ht="21.95" customHeight="1">
      <c r="B55" s="37" t="s">
        <v>20</v>
      </c>
      <c r="C55" s="7">
        <f>MIN(C44:C53)</f>
        <v>1.9</v>
      </c>
      <c r="D55" s="7">
        <f t="shared" ref="D55:P55" si="10">MIN(D44:D53)</f>
        <v>9.1999999999999993</v>
      </c>
      <c r="E55" s="7">
        <f t="shared" si="10"/>
        <v>14.4</v>
      </c>
      <c r="F55" s="7">
        <f t="shared" si="10"/>
        <v>16.5</v>
      </c>
      <c r="G55" s="7">
        <f t="shared" si="10"/>
        <v>14.6</v>
      </c>
      <c r="H55" s="7">
        <f t="shared" si="10"/>
        <v>21.1</v>
      </c>
      <c r="I55" s="7">
        <f t="shared" si="10"/>
        <v>94.7</v>
      </c>
      <c r="J55" s="7">
        <f t="shared" si="10"/>
        <v>5.0999999999999996</v>
      </c>
      <c r="K55" s="7">
        <f t="shared" si="10"/>
        <v>13.3</v>
      </c>
      <c r="L55" s="7">
        <f t="shared" si="10"/>
        <v>11</v>
      </c>
      <c r="M55" s="7">
        <f t="shared" si="10"/>
        <v>5.6</v>
      </c>
      <c r="N55" s="15">
        <f t="shared" si="10"/>
        <v>9.6999999999999993</v>
      </c>
      <c r="O55" s="9">
        <f>MIN(O44:O53)</f>
        <v>782.5</v>
      </c>
      <c r="P55" s="15">
        <f t="shared" si="10"/>
        <v>65.2</v>
      </c>
    </row>
    <row r="56" spans="2:16" ht="21.95" customHeight="1" thickBot="1">
      <c r="B56" s="38" t="s">
        <v>7</v>
      </c>
      <c r="C56" s="39">
        <f>ROUND(AVERAGE(C44:C53),1)</f>
        <v>20.7</v>
      </c>
      <c r="D56" s="39">
        <f t="shared" ref="D56:N56" si="11">ROUND(AVERAGE(D44:D53),1)</f>
        <v>32.4</v>
      </c>
      <c r="E56" s="39">
        <f t="shared" si="11"/>
        <v>42.8</v>
      </c>
      <c r="F56" s="39">
        <f t="shared" si="11"/>
        <v>75.900000000000006</v>
      </c>
      <c r="G56" s="39">
        <f t="shared" si="11"/>
        <v>76.099999999999994</v>
      </c>
      <c r="H56" s="39">
        <f t="shared" si="11"/>
        <v>81.3</v>
      </c>
      <c r="I56" s="39">
        <f t="shared" si="11"/>
        <v>206.5</v>
      </c>
      <c r="J56" s="39">
        <f t="shared" si="11"/>
        <v>202.5</v>
      </c>
      <c r="K56" s="39">
        <f t="shared" si="11"/>
        <v>152.6</v>
      </c>
      <c r="L56" s="39">
        <f t="shared" si="11"/>
        <v>73.099999999999994</v>
      </c>
      <c r="M56" s="39">
        <f t="shared" si="11"/>
        <v>69</v>
      </c>
      <c r="N56" s="24">
        <f t="shared" si="11"/>
        <v>39.299999999999997</v>
      </c>
      <c r="O56" s="41">
        <f>ROUND(AVERAGE(O44:O53),1)</f>
        <v>1072</v>
      </c>
      <c r="P56" s="24">
        <f>ROUND(AVERAGE(P44:P53),1)</f>
        <v>89.3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  <ignoredError sqref="B35" numberStoredAsText="1"/>
  </ignoredErrors>
  <drawing r:id="rId2"/>
  <legacyDrawing r:id="rId3"/>
  <controls>
    <mc:AlternateContent xmlns:mc="http://schemas.openxmlformats.org/markup-compatibility/2006">
      <mc:Choice Requires="x14">
        <control shapeId="67588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67588" r:id="rId4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34A0-D9C6-41A2-A96E-1D9F73ACD1CE}">
  <sheetPr codeName="Sheet18">
    <tabColor rgb="FFC00000"/>
  </sheetPr>
  <dimension ref="A2:Q983"/>
  <sheetViews>
    <sheetView tabSelected="1" zoomScaleNormal="100" workbookViewId="0">
      <selection activeCell="R13" sqref="R13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78" t="s">
        <v>167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79">
        <v>1992</v>
      </c>
      <c r="C6" s="82">
        <v>13.2</v>
      </c>
      <c r="D6" s="82">
        <v>18.7</v>
      </c>
      <c r="E6" s="82">
        <v>46.1</v>
      </c>
      <c r="F6" s="82">
        <v>102.9</v>
      </c>
      <c r="G6" s="82">
        <v>109.1</v>
      </c>
      <c r="H6" s="82">
        <v>46.7</v>
      </c>
      <c r="I6" s="82">
        <v>161.5</v>
      </c>
      <c r="J6" s="83">
        <v>415.4</v>
      </c>
      <c r="K6" s="82">
        <v>179</v>
      </c>
      <c r="L6" s="82">
        <v>15.5</v>
      </c>
      <c r="M6" s="82">
        <v>60</v>
      </c>
      <c r="N6" s="84">
        <v>54.5</v>
      </c>
      <c r="O6" s="21">
        <f t="shared" ref="O6:O26" si="0">ROUND(SUM(C6:N6),1)</f>
        <v>1222.5999999999999</v>
      </c>
      <c r="P6" s="20">
        <f>ROUND(O6/12,1)</f>
        <v>101.9</v>
      </c>
      <c r="Q6" s="4"/>
    </row>
    <row r="7" spans="2:17" ht="21.95" customHeight="1">
      <c r="B7" s="80">
        <v>1993</v>
      </c>
      <c r="C7" s="85">
        <v>4.8</v>
      </c>
      <c r="D7" s="85">
        <v>73</v>
      </c>
      <c r="E7" s="85">
        <v>25.5</v>
      </c>
      <c r="F7" s="85">
        <v>34.5</v>
      </c>
      <c r="G7" s="85">
        <v>116</v>
      </c>
      <c r="H7" s="85">
        <v>260</v>
      </c>
      <c r="I7" s="85">
        <v>273.5</v>
      </c>
      <c r="J7" s="86">
        <v>284</v>
      </c>
      <c r="K7" s="85">
        <v>98.5</v>
      </c>
      <c r="L7" s="85">
        <v>34</v>
      </c>
      <c r="M7" s="85">
        <v>89.5</v>
      </c>
      <c r="N7" s="87">
        <v>21.9</v>
      </c>
      <c r="O7" s="21">
        <f t="shared" si="0"/>
        <v>1315.2</v>
      </c>
      <c r="P7" s="16">
        <f t="shared" ref="P7:P35" si="1">ROUND(O7/12,1)</f>
        <v>109.6</v>
      </c>
      <c r="Q7" s="4"/>
    </row>
    <row r="8" spans="2:17" ht="21.95" customHeight="1">
      <c r="B8" s="80">
        <v>1994</v>
      </c>
      <c r="C8" s="85">
        <v>18.5</v>
      </c>
      <c r="D8" s="85">
        <v>14.4</v>
      </c>
      <c r="E8" s="85">
        <v>54.4</v>
      </c>
      <c r="F8" s="85">
        <v>41</v>
      </c>
      <c r="G8" s="85">
        <v>137</v>
      </c>
      <c r="H8" s="85">
        <v>137.5</v>
      </c>
      <c r="I8" s="85">
        <v>96.5</v>
      </c>
      <c r="J8" s="85">
        <v>286.5</v>
      </c>
      <c r="K8" s="85">
        <v>34</v>
      </c>
      <c r="L8" s="85">
        <v>162</v>
      </c>
      <c r="M8" s="85">
        <v>23</v>
      </c>
      <c r="N8" s="87">
        <v>25</v>
      </c>
      <c r="O8" s="21">
        <f t="shared" si="0"/>
        <v>1029.8</v>
      </c>
      <c r="P8" s="16">
        <f t="shared" si="1"/>
        <v>85.8</v>
      </c>
      <c r="Q8" s="4"/>
    </row>
    <row r="9" spans="2:17" ht="21.95" customHeight="1">
      <c r="B9" s="80">
        <v>1995</v>
      </c>
      <c r="C9" s="85">
        <v>22.6</v>
      </c>
      <c r="D9" s="85">
        <v>23.5</v>
      </c>
      <c r="E9" s="85">
        <v>24.4</v>
      </c>
      <c r="F9" s="85">
        <v>62</v>
      </c>
      <c r="G9" s="85">
        <v>59.5</v>
      </c>
      <c r="H9" s="85">
        <v>34.5</v>
      </c>
      <c r="I9" s="85">
        <v>171.5</v>
      </c>
      <c r="J9" s="85">
        <v>839</v>
      </c>
      <c r="K9" s="85">
        <v>46.5</v>
      </c>
      <c r="L9" s="85">
        <v>22</v>
      </c>
      <c r="M9" s="85">
        <v>15</v>
      </c>
      <c r="N9" s="87">
        <v>5.7</v>
      </c>
      <c r="O9" s="21">
        <f t="shared" si="0"/>
        <v>1326.2</v>
      </c>
      <c r="P9" s="16">
        <f t="shared" si="1"/>
        <v>110.5</v>
      </c>
      <c r="Q9" s="4"/>
    </row>
    <row r="10" spans="2:17" ht="21.95" customHeight="1">
      <c r="B10" s="80">
        <v>1996</v>
      </c>
      <c r="C10" s="85">
        <v>26.4</v>
      </c>
      <c r="D10" s="85">
        <v>2.8</v>
      </c>
      <c r="E10" s="85">
        <v>131</v>
      </c>
      <c r="F10" s="85">
        <v>45</v>
      </c>
      <c r="G10" s="85">
        <v>33</v>
      </c>
      <c r="H10" s="85">
        <v>289</v>
      </c>
      <c r="I10" s="85">
        <v>235</v>
      </c>
      <c r="J10" s="85">
        <v>67</v>
      </c>
      <c r="K10" s="85">
        <v>16</v>
      </c>
      <c r="L10" s="85">
        <v>90.5</v>
      </c>
      <c r="M10" s="85">
        <v>76</v>
      </c>
      <c r="N10" s="87">
        <v>35</v>
      </c>
      <c r="O10" s="21">
        <f t="shared" si="0"/>
        <v>1046.7</v>
      </c>
      <c r="P10" s="16">
        <f t="shared" si="1"/>
        <v>87.2</v>
      </c>
      <c r="Q10" s="4"/>
    </row>
    <row r="11" spans="2:17" ht="21.95" customHeight="1">
      <c r="B11" s="80">
        <v>1997</v>
      </c>
      <c r="C11" s="85">
        <v>9</v>
      </c>
      <c r="D11" s="85">
        <v>54.9</v>
      </c>
      <c r="E11" s="85">
        <v>44</v>
      </c>
      <c r="F11" s="85">
        <v>70</v>
      </c>
      <c r="G11" s="85">
        <v>229.5</v>
      </c>
      <c r="H11" s="85">
        <v>236.5</v>
      </c>
      <c r="I11" s="85">
        <v>404.5</v>
      </c>
      <c r="J11" s="85">
        <v>263</v>
      </c>
      <c r="K11" s="85">
        <v>24.5</v>
      </c>
      <c r="L11" s="85">
        <v>8</v>
      </c>
      <c r="M11" s="85">
        <v>219.5</v>
      </c>
      <c r="N11" s="87">
        <v>39.5</v>
      </c>
      <c r="O11" s="21">
        <f t="shared" si="0"/>
        <v>1602.9</v>
      </c>
      <c r="P11" s="16">
        <f t="shared" si="1"/>
        <v>133.6</v>
      </c>
      <c r="Q11" s="4"/>
    </row>
    <row r="12" spans="2:17" ht="21.95" customHeight="1">
      <c r="B12" s="80">
        <v>1998</v>
      </c>
      <c r="C12" s="85">
        <v>40.6</v>
      </c>
      <c r="D12" s="85">
        <v>47</v>
      </c>
      <c r="E12" s="85">
        <v>45</v>
      </c>
      <c r="F12" s="85">
        <v>200.5</v>
      </c>
      <c r="G12" s="85">
        <v>130.5</v>
      </c>
      <c r="H12" s="85">
        <v>324</v>
      </c>
      <c r="I12" s="85">
        <v>323</v>
      </c>
      <c r="J12" s="85">
        <v>451.3</v>
      </c>
      <c r="K12" s="85">
        <v>313.10000000000002</v>
      </c>
      <c r="L12" s="85">
        <v>75.5</v>
      </c>
      <c r="M12" s="85">
        <v>46.3</v>
      </c>
      <c r="N12" s="87">
        <v>3.5</v>
      </c>
      <c r="O12" s="21">
        <f t="shared" si="0"/>
        <v>2000.3</v>
      </c>
      <c r="P12" s="16">
        <f t="shared" si="1"/>
        <v>166.7</v>
      </c>
    </row>
    <row r="13" spans="2:17" ht="21.95" customHeight="1">
      <c r="B13" s="80">
        <v>1999</v>
      </c>
      <c r="C13" s="85">
        <v>3.5</v>
      </c>
      <c r="D13" s="85">
        <v>10</v>
      </c>
      <c r="E13" s="85">
        <v>75.7</v>
      </c>
      <c r="F13" s="85">
        <v>92.5</v>
      </c>
      <c r="G13" s="85">
        <v>127.5</v>
      </c>
      <c r="H13" s="85">
        <v>203</v>
      </c>
      <c r="I13" s="85">
        <v>149</v>
      </c>
      <c r="J13" s="85">
        <v>119.5</v>
      </c>
      <c r="K13" s="85">
        <v>426</v>
      </c>
      <c r="L13" s="85">
        <v>290</v>
      </c>
      <c r="M13" s="85">
        <v>15.5</v>
      </c>
      <c r="N13" s="87">
        <v>17.399999999999999</v>
      </c>
      <c r="O13" s="21">
        <f t="shared" si="0"/>
        <v>1529.6</v>
      </c>
      <c r="P13" s="16">
        <f t="shared" si="1"/>
        <v>127.5</v>
      </c>
    </row>
    <row r="14" spans="2:17" ht="21.95" customHeight="1">
      <c r="B14" s="80">
        <v>2000</v>
      </c>
      <c r="C14" s="85">
        <v>41.4</v>
      </c>
      <c r="D14" s="85">
        <v>2.2999999999999998</v>
      </c>
      <c r="E14" s="85">
        <v>14.1</v>
      </c>
      <c r="F14" s="85">
        <v>62</v>
      </c>
      <c r="G14" s="85">
        <v>40</v>
      </c>
      <c r="H14" s="85">
        <v>248.5</v>
      </c>
      <c r="I14" s="85">
        <v>248.5</v>
      </c>
      <c r="J14" s="85">
        <v>543</v>
      </c>
      <c r="K14" s="85">
        <v>238.5</v>
      </c>
      <c r="L14" s="85">
        <v>39</v>
      </c>
      <c r="M14" s="85">
        <v>29.5</v>
      </c>
      <c r="N14" s="87">
        <v>13.8</v>
      </c>
      <c r="O14" s="21">
        <f t="shared" si="0"/>
        <v>1520.6</v>
      </c>
      <c r="P14" s="16">
        <f t="shared" si="1"/>
        <v>126.7</v>
      </c>
    </row>
    <row r="15" spans="2:17" ht="21.95" customHeight="1">
      <c r="B15" s="80">
        <v>2001</v>
      </c>
      <c r="C15" s="85">
        <v>65</v>
      </c>
      <c r="D15" s="85">
        <v>69.5</v>
      </c>
      <c r="E15" s="85">
        <v>9.8000000000000007</v>
      </c>
      <c r="F15" s="85">
        <v>25</v>
      </c>
      <c r="G15" s="85">
        <v>23.5</v>
      </c>
      <c r="H15" s="85">
        <v>132</v>
      </c>
      <c r="I15" s="85">
        <v>216</v>
      </c>
      <c r="J15" s="85">
        <v>98</v>
      </c>
      <c r="K15" s="85">
        <v>10.5</v>
      </c>
      <c r="L15" s="85">
        <v>76.5</v>
      </c>
      <c r="M15" s="85">
        <v>10.5</v>
      </c>
      <c r="N15" s="87">
        <v>16.3</v>
      </c>
      <c r="O15" s="21">
        <f t="shared" si="0"/>
        <v>752.6</v>
      </c>
      <c r="P15" s="16">
        <f t="shared" si="1"/>
        <v>62.7</v>
      </c>
    </row>
    <row r="16" spans="2:17" ht="21.95" customHeight="1">
      <c r="B16" s="80">
        <v>2002</v>
      </c>
      <c r="C16" s="85">
        <v>72.3</v>
      </c>
      <c r="D16" s="85">
        <v>6</v>
      </c>
      <c r="E16" s="85">
        <v>32.5</v>
      </c>
      <c r="F16" s="85">
        <v>142.5</v>
      </c>
      <c r="G16" s="85">
        <v>159</v>
      </c>
      <c r="H16" s="85">
        <v>70.5</v>
      </c>
      <c r="I16" s="85">
        <v>208</v>
      </c>
      <c r="J16" s="85">
        <v>358.5</v>
      </c>
      <c r="K16" s="85">
        <v>57.5</v>
      </c>
      <c r="L16" s="85">
        <v>78.5</v>
      </c>
      <c r="M16" s="85">
        <v>31.5</v>
      </c>
      <c r="N16" s="87">
        <v>57.2</v>
      </c>
      <c r="O16" s="21">
        <f t="shared" si="0"/>
        <v>1274</v>
      </c>
      <c r="P16" s="16">
        <f t="shared" si="1"/>
        <v>106.2</v>
      </c>
    </row>
    <row r="17" spans="2:16" ht="21.95" customHeight="1">
      <c r="B17" s="80">
        <v>2003</v>
      </c>
      <c r="C17" s="85">
        <v>24.2</v>
      </c>
      <c r="D17" s="85">
        <v>59</v>
      </c>
      <c r="E17" s="85">
        <v>52</v>
      </c>
      <c r="F17" s="85">
        <v>208.5</v>
      </c>
      <c r="G17" s="85">
        <v>144.5</v>
      </c>
      <c r="H17" s="85">
        <v>228</v>
      </c>
      <c r="I17" s="85">
        <v>626.5</v>
      </c>
      <c r="J17" s="85">
        <v>202</v>
      </c>
      <c r="K17" s="85">
        <v>167.5</v>
      </c>
      <c r="L17" s="85">
        <v>24.5</v>
      </c>
      <c r="M17" s="85">
        <v>29.5</v>
      </c>
      <c r="N17" s="87">
        <v>13.8</v>
      </c>
      <c r="O17" s="21">
        <f t="shared" si="0"/>
        <v>1780</v>
      </c>
      <c r="P17" s="16">
        <f t="shared" si="1"/>
        <v>148.30000000000001</v>
      </c>
    </row>
    <row r="18" spans="2:16" ht="21.95" customHeight="1">
      <c r="B18" s="80">
        <v>2004</v>
      </c>
      <c r="C18" s="85">
        <v>18.100000000000001</v>
      </c>
      <c r="D18" s="85">
        <v>26.2</v>
      </c>
      <c r="E18" s="85">
        <v>63.1</v>
      </c>
      <c r="F18" s="85">
        <v>73.5</v>
      </c>
      <c r="G18" s="85">
        <v>109</v>
      </c>
      <c r="H18" s="85">
        <v>388</v>
      </c>
      <c r="I18" s="85">
        <v>296</v>
      </c>
      <c r="J18" s="85">
        <v>249</v>
      </c>
      <c r="K18" s="85">
        <v>176.5</v>
      </c>
      <c r="L18" s="85">
        <v>1</v>
      </c>
      <c r="M18" s="85">
        <v>50.5</v>
      </c>
      <c r="N18" s="87">
        <v>43</v>
      </c>
      <c r="O18" s="21">
        <f t="shared" si="0"/>
        <v>1493.9</v>
      </c>
      <c r="P18" s="16">
        <f t="shared" si="1"/>
        <v>124.5</v>
      </c>
    </row>
    <row r="19" spans="2:16" ht="21.95" customHeight="1">
      <c r="B19" s="80">
        <v>2005</v>
      </c>
      <c r="C19" s="85">
        <v>6</v>
      </c>
      <c r="D19" s="85">
        <v>39</v>
      </c>
      <c r="E19" s="85">
        <v>26.5</v>
      </c>
      <c r="F19" s="85">
        <v>75</v>
      </c>
      <c r="G19" s="85">
        <v>65.5</v>
      </c>
      <c r="H19" s="85">
        <v>186</v>
      </c>
      <c r="I19" s="85">
        <v>448.5</v>
      </c>
      <c r="J19" s="85">
        <v>381.5</v>
      </c>
      <c r="K19" s="85">
        <v>225.5</v>
      </c>
      <c r="L19" s="85">
        <v>30.5</v>
      </c>
      <c r="M19" s="85">
        <v>21</v>
      </c>
      <c r="N19" s="87">
        <v>22</v>
      </c>
      <c r="O19" s="21">
        <f t="shared" si="0"/>
        <v>1527</v>
      </c>
      <c r="P19" s="16">
        <f t="shared" si="1"/>
        <v>127.3</v>
      </c>
    </row>
    <row r="20" spans="2:16" ht="21.95" customHeight="1">
      <c r="B20" s="80">
        <v>2006</v>
      </c>
      <c r="C20" s="85">
        <v>30.2</v>
      </c>
      <c r="D20" s="85">
        <v>29.5</v>
      </c>
      <c r="E20" s="85">
        <v>7.8</v>
      </c>
      <c r="F20" s="85">
        <v>99</v>
      </c>
      <c r="G20" s="85">
        <v>81.5</v>
      </c>
      <c r="H20" s="85">
        <v>111</v>
      </c>
      <c r="I20" s="85">
        <v>503</v>
      </c>
      <c r="J20" s="85">
        <v>83.5</v>
      </c>
      <c r="K20" s="85">
        <v>37.5</v>
      </c>
      <c r="L20" s="85">
        <v>15</v>
      </c>
      <c r="M20" s="85">
        <v>51</v>
      </c>
      <c r="N20" s="87">
        <v>27.5</v>
      </c>
      <c r="O20" s="21">
        <f t="shared" si="0"/>
        <v>1076.5</v>
      </c>
      <c r="P20" s="16">
        <f t="shared" si="1"/>
        <v>89.7</v>
      </c>
    </row>
    <row r="21" spans="2:16" ht="21.95" customHeight="1">
      <c r="B21" s="80">
        <v>2007</v>
      </c>
      <c r="C21" s="85">
        <v>21.8</v>
      </c>
      <c r="D21" s="85">
        <v>47.8</v>
      </c>
      <c r="E21" s="85">
        <v>159</v>
      </c>
      <c r="F21" s="85">
        <v>28</v>
      </c>
      <c r="G21" s="85">
        <v>104</v>
      </c>
      <c r="H21" s="85">
        <v>101</v>
      </c>
      <c r="I21" s="85">
        <v>286</v>
      </c>
      <c r="J21" s="85">
        <v>319.5</v>
      </c>
      <c r="K21" s="85">
        <v>502.5</v>
      </c>
      <c r="L21" s="85">
        <v>37</v>
      </c>
      <c r="M21" s="85">
        <v>13</v>
      </c>
      <c r="N21" s="87">
        <v>31.7</v>
      </c>
      <c r="O21" s="21">
        <f t="shared" si="0"/>
        <v>1651.3</v>
      </c>
      <c r="P21" s="16">
        <f t="shared" si="1"/>
        <v>137.6</v>
      </c>
    </row>
    <row r="22" spans="2:16" ht="21.95" customHeight="1">
      <c r="B22" s="80">
        <v>2008</v>
      </c>
      <c r="C22" s="85">
        <v>39.6</v>
      </c>
      <c r="D22" s="85">
        <v>11.2</v>
      </c>
      <c r="E22" s="85">
        <v>42.2</v>
      </c>
      <c r="F22" s="85">
        <v>38.799999999999997</v>
      </c>
      <c r="G22" s="85">
        <v>51.6</v>
      </c>
      <c r="H22" s="85">
        <v>260</v>
      </c>
      <c r="I22" s="85">
        <v>194.3</v>
      </c>
      <c r="J22" s="85">
        <v>154</v>
      </c>
      <c r="K22" s="85">
        <v>48.8</v>
      </c>
      <c r="L22" s="85">
        <v>24.1</v>
      </c>
      <c r="M22" s="85">
        <v>14.1</v>
      </c>
      <c r="N22" s="87">
        <v>23.4</v>
      </c>
      <c r="O22" s="21">
        <f t="shared" si="0"/>
        <v>902.1</v>
      </c>
      <c r="P22" s="16">
        <f t="shared" si="1"/>
        <v>75.2</v>
      </c>
    </row>
    <row r="23" spans="2:16" ht="21.95" customHeight="1">
      <c r="B23" s="80">
        <v>2009</v>
      </c>
      <c r="C23" s="85">
        <v>10.6</v>
      </c>
      <c r="D23" s="85">
        <v>23.6</v>
      </c>
      <c r="E23" s="85">
        <v>63.9</v>
      </c>
      <c r="F23" s="85">
        <v>51</v>
      </c>
      <c r="G23" s="85">
        <v>135.5</v>
      </c>
      <c r="H23" s="85">
        <v>113.2</v>
      </c>
      <c r="I23" s="85">
        <v>408</v>
      </c>
      <c r="J23" s="85">
        <v>140.19999999999999</v>
      </c>
      <c r="K23" s="85">
        <v>30.5</v>
      </c>
      <c r="L23" s="85">
        <v>23.7</v>
      </c>
      <c r="M23" s="85">
        <v>54.5</v>
      </c>
      <c r="N23" s="87">
        <v>34.9</v>
      </c>
      <c r="O23" s="21">
        <f t="shared" si="0"/>
        <v>1089.5999999999999</v>
      </c>
      <c r="P23" s="16">
        <f t="shared" si="1"/>
        <v>90.8</v>
      </c>
    </row>
    <row r="24" spans="2:16" ht="21.95" customHeight="1">
      <c r="B24" s="80">
        <v>2010</v>
      </c>
      <c r="C24" s="85">
        <v>37.1</v>
      </c>
      <c r="D24" s="85">
        <v>89.5</v>
      </c>
      <c r="E24" s="85">
        <v>94.9</v>
      </c>
      <c r="F24" s="85">
        <v>69.599999999999994</v>
      </c>
      <c r="G24" s="85">
        <v>140.69999999999999</v>
      </c>
      <c r="H24" s="85">
        <v>36.1</v>
      </c>
      <c r="I24" s="85">
        <v>262.10000000000002</v>
      </c>
      <c r="J24" s="85">
        <v>431.1</v>
      </c>
      <c r="K24" s="85">
        <v>149.80000000000001</v>
      </c>
      <c r="L24" s="85">
        <v>17.8</v>
      </c>
      <c r="M24" s="85">
        <v>18.600000000000001</v>
      </c>
      <c r="N24" s="87">
        <v>31</v>
      </c>
      <c r="O24" s="21">
        <f t="shared" si="0"/>
        <v>1378.3</v>
      </c>
      <c r="P24" s="16">
        <f t="shared" si="1"/>
        <v>114.9</v>
      </c>
    </row>
    <row r="25" spans="2:16" ht="21.95" customHeight="1">
      <c r="B25" s="80">
        <v>2011</v>
      </c>
      <c r="C25" s="85">
        <v>3.7</v>
      </c>
      <c r="D25" s="85">
        <v>60.7</v>
      </c>
      <c r="E25" s="85">
        <v>16</v>
      </c>
      <c r="F25" s="85">
        <v>70</v>
      </c>
      <c r="G25" s="85">
        <v>111.2</v>
      </c>
      <c r="H25" s="85">
        <v>316</v>
      </c>
      <c r="I25" s="85">
        <v>599.6</v>
      </c>
      <c r="J25" s="85">
        <v>618.1</v>
      </c>
      <c r="K25" s="85">
        <v>104.2</v>
      </c>
      <c r="L25" s="85">
        <v>26.6</v>
      </c>
      <c r="M25" s="85">
        <v>81.599999999999994</v>
      </c>
      <c r="N25" s="87">
        <v>7</v>
      </c>
      <c r="O25" s="21">
        <f t="shared" si="0"/>
        <v>2014.7</v>
      </c>
      <c r="P25" s="16">
        <f t="shared" si="1"/>
        <v>167.9</v>
      </c>
    </row>
    <row r="26" spans="2:16" ht="21.95" customHeight="1">
      <c r="B26" s="80">
        <v>2012</v>
      </c>
      <c r="C26" s="85">
        <v>16</v>
      </c>
      <c r="D26" s="85">
        <v>3.2</v>
      </c>
      <c r="E26" s="85">
        <v>60.2</v>
      </c>
      <c r="F26" s="85">
        <v>109.3</v>
      </c>
      <c r="G26" s="85">
        <v>19.5</v>
      </c>
      <c r="H26" s="85">
        <v>71.3</v>
      </c>
      <c r="I26" s="85">
        <v>302.89999999999998</v>
      </c>
      <c r="J26" s="85">
        <v>573.29999999999995</v>
      </c>
      <c r="K26" s="85">
        <v>186.2</v>
      </c>
      <c r="L26" s="85">
        <v>83</v>
      </c>
      <c r="M26" s="85">
        <v>60.7</v>
      </c>
      <c r="N26" s="87">
        <v>60.2</v>
      </c>
      <c r="O26" s="21">
        <f t="shared" si="0"/>
        <v>1545.8</v>
      </c>
      <c r="P26" s="16">
        <f t="shared" si="1"/>
        <v>128.80000000000001</v>
      </c>
    </row>
    <row r="27" spans="2:16" ht="21.95" customHeight="1">
      <c r="B27" s="80">
        <v>2013</v>
      </c>
      <c r="C27" s="85">
        <v>45.4</v>
      </c>
      <c r="D27" s="85">
        <v>58.7</v>
      </c>
      <c r="E27" s="85">
        <v>50.3</v>
      </c>
      <c r="F27" s="85">
        <v>93.7</v>
      </c>
      <c r="G27" s="85">
        <v>159</v>
      </c>
      <c r="H27" s="85">
        <v>151.69999999999999</v>
      </c>
      <c r="I27" s="85">
        <v>240.4</v>
      </c>
      <c r="J27" s="85">
        <v>119.5</v>
      </c>
      <c r="K27" s="85">
        <v>184.8</v>
      </c>
      <c r="L27" s="85">
        <v>18.100000000000001</v>
      </c>
      <c r="M27" s="85">
        <v>79.900000000000006</v>
      </c>
      <c r="N27" s="87">
        <v>35.9</v>
      </c>
      <c r="O27" s="21">
        <f t="shared" ref="O27:O35" si="2">ROUND(SUM(C27:N27),1)</f>
        <v>1237.4000000000001</v>
      </c>
      <c r="P27" s="16">
        <f t="shared" si="1"/>
        <v>103.1</v>
      </c>
    </row>
    <row r="28" spans="2:16" ht="21.95" customHeight="1">
      <c r="B28" s="80">
        <v>2014</v>
      </c>
      <c r="C28" s="85">
        <v>2.2000000000000002</v>
      </c>
      <c r="D28" s="85">
        <v>15.3</v>
      </c>
      <c r="E28" s="85">
        <v>69.3</v>
      </c>
      <c r="F28" s="85">
        <v>94.1</v>
      </c>
      <c r="G28" s="85">
        <v>61.5</v>
      </c>
      <c r="H28" s="85">
        <v>77.8</v>
      </c>
      <c r="I28" s="85">
        <v>174.7</v>
      </c>
      <c r="J28" s="85">
        <v>225.1</v>
      </c>
      <c r="K28" s="85">
        <v>157.5</v>
      </c>
      <c r="L28" s="85">
        <v>170.5</v>
      </c>
      <c r="M28" s="85">
        <v>42.4</v>
      </c>
      <c r="N28" s="87">
        <v>51.7</v>
      </c>
      <c r="O28" s="21">
        <f t="shared" si="2"/>
        <v>1142.0999999999999</v>
      </c>
      <c r="P28" s="16">
        <f t="shared" si="1"/>
        <v>95.2</v>
      </c>
    </row>
    <row r="29" spans="2:16" ht="21.95" customHeight="1">
      <c r="B29" s="80">
        <v>2015</v>
      </c>
      <c r="C29" s="85">
        <v>35.4</v>
      </c>
      <c r="D29" s="85">
        <v>35.6</v>
      </c>
      <c r="E29" s="85">
        <v>42.4</v>
      </c>
      <c r="F29" s="85">
        <v>99.5</v>
      </c>
      <c r="G29" s="85">
        <v>53.5</v>
      </c>
      <c r="H29" s="85">
        <v>92.7</v>
      </c>
      <c r="I29" s="85">
        <v>119.9</v>
      </c>
      <c r="J29" s="85">
        <v>56.9</v>
      </c>
      <c r="K29" s="85">
        <v>22</v>
      </c>
      <c r="L29" s="85">
        <v>104</v>
      </c>
      <c r="M29" s="85">
        <v>126.1</v>
      </c>
      <c r="N29" s="87">
        <v>56.9</v>
      </c>
      <c r="O29" s="21">
        <f t="shared" si="2"/>
        <v>844.9</v>
      </c>
      <c r="P29" s="16">
        <f t="shared" si="1"/>
        <v>70.400000000000006</v>
      </c>
    </row>
    <row r="30" spans="2:16" ht="21.95" customHeight="1">
      <c r="B30" s="80">
        <v>2016</v>
      </c>
      <c r="C30" s="85">
        <v>6.6</v>
      </c>
      <c r="D30" s="85">
        <v>59.6</v>
      </c>
      <c r="E30" s="85">
        <v>19</v>
      </c>
      <c r="F30" s="85">
        <v>164.6</v>
      </c>
      <c r="G30" s="85">
        <v>121.6</v>
      </c>
      <c r="H30" s="85">
        <v>49.4</v>
      </c>
      <c r="I30" s="85">
        <v>341.1</v>
      </c>
      <c r="J30" s="85">
        <v>33.4</v>
      </c>
      <c r="K30" s="85">
        <v>133.69999999999999</v>
      </c>
      <c r="L30" s="85">
        <v>120.1</v>
      </c>
      <c r="M30" s="85">
        <v>17.100000000000001</v>
      </c>
      <c r="N30" s="87">
        <v>63.1</v>
      </c>
      <c r="O30" s="21">
        <f t="shared" si="2"/>
        <v>1129.3</v>
      </c>
      <c r="P30" s="16">
        <f t="shared" si="1"/>
        <v>94.1</v>
      </c>
    </row>
    <row r="31" spans="2:16" ht="21.95" customHeight="1">
      <c r="B31" s="80">
        <v>2017</v>
      </c>
      <c r="C31" s="85">
        <v>16</v>
      </c>
      <c r="D31" s="85">
        <v>28.5</v>
      </c>
      <c r="E31" s="85">
        <v>8.8000000000000007</v>
      </c>
      <c r="F31" s="85">
        <v>78.400000000000006</v>
      </c>
      <c r="G31" s="85">
        <v>35.799999999999997</v>
      </c>
      <c r="H31" s="85">
        <v>51.4</v>
      </c>
      <c r="I31" s="85">
        <v>326.7</v>
      </c>
      <c r="J31" s="85">
        <v>358.4</v>
      </c>
      <c r="K31" s="85">
        <v>97.1</v>
      </c>
      <c r="L31" s="85">
        <v>51.9</v>
      </c>
      <c r="M31" s="85">
        <v>20.8</v>
      </c>
      <c r="N31" s="87">
        <v>36.1</v>
      </c>
      <c r="O31" s="21">
        <f t="shared" si="2"/>
        <v>1109.9000000000001</v>
      </c>
      <c r="P31" s="16">
        <f t="shared" si="1"/>
        <v>92.5</v>
      </c>
    </row>
    <row r="32" spans="2:16" ht="21.95" customHeight="1">
      <c r="B32" s="80">
        <v>2018</v>
      </c>
      <c r="C32" s="85">
        <v>25</v>
      </c>
      <c r="D32" s="85">
        <v>43.1</v>
      </c>
      <c r="E32" s="85">
        <v>99.3</v>
      </c>
      <c r="F32" s="85">
        <v>156.5</v>
      </c>
      <c r="G32" s="85">
        <v>116.1</v>
      </c>
      <c r="H32" s="85">
        <v>107.1</v>
      </c>
      <c r="I32" s="85">
        <v>278.8</v>
      </c>
      <c r="J32" s="85">
        <v>277</v>
      </c>
      <c r="K32" s="85">
        <v>98.3</v>
      </c>
      <c r="L32" s="85">
        <v>159.19999999999999</v>
      </c>
      <c r="M32" s="85">
        <v>66</v>
      </c>
      <c r="N32" s="87">
        <v>31.5</v>
      </c>
      <c r="O32" s="21">
        <f t="shared" si="2"/>
        <v>1457.9</v>
      </c>
      <c r="P32" s="16">
        <f t="shared" si="1"/>
        <v>121.5</v>
      </c>
    </row>
    <row r="33" spans="2:16" ht="21.95" customHeight="1">
      <c r="B33" s="80">
        <v>2019</v>
      </c>
      <c r="C33" s="85">
        <v>0.5</v>
      </c>
      <c r="D33" s="85">
        <v>37.6</v>
      </c>
      <c r="E33" s="85">
        <v>35</v>
      </c>
      <c r="F33" s="85">
        <v>73.7</v>
      </c>
      <c r="G33" s="85">
        <v>44.3</v>
      </c>
      <c r="H33" s="85">
        <v>59.9</v>
      </c>
      <c r="I33" s="85">
        <v>216.7</v>
      </c>
      <c r="J33" s="85">
        <v>102.1</v>
      </c>
      <c r="K33" s="85">
        <v>191.9</v>
      </c>
      <c r="L33" s="85">
        <v>85.6</v>
      </c>
      <c r="M33" s="85">
        <v>113.5</v>
      </c>
      <c r="N33" s="87">
        <v>31.2</v>
      </c>
      <c r="O33" s="21">
        <f t="shared" si="2"/>
        <v>992</v>
      </c>
      <c r="P33" s="16">
        <f t="shared" si="1"/>
        <v>82.7</v>
      </c>
    </row>
    <row r="34" spans="2:16" ht="21.95" customHeight="1">
      <c r="B34" s="80">
        <v>2020</v>
      </c>
      <c r="C34" s="85">
        <v>79.599999999999994</v>
      </c>
      <c r="D34" s="85">
        <v>92.4</v>
      </c>
      <c r="E34" s="85">
        <v>19.3</v>
      </c>
      <c r="F34" s="85">
        <v>17.7</v>
      </c>
      <c r="G34" s="85">
        <v>108.5</v>
      </c>
      <c r="H34" s="85">
        <v>188.4</v>
      </c>
      <c r="I34" s="85">
        <v>492.6</v>
      </c>
      <c r="J34" s="85">
        <v>367.8</v>
      </c>
      <c r="K34" s="85">
        <v>208.9</v>
      </c>
      <c r="L34" s="85">
        <v>4.4000000000000004</v>
      </c>
      <c r="M34" s="85">
        <v>41.8</v>
      </c>
      <c r="N34" s="87">
        <v>3.4</v>
      </c>
      <c r="O34" s="21">
        <f t="shared" si="2"/>
        <v>1624.8</v>
      </c>
      <c r="P34" s="16">
        <f t="shared" si="1"/>
        <v>135.4</v>
      </c>
    </row>
    <row r="35" spans="2:16" ht="21.95" customHeight="1" thickBot="1">
      <c r="B35" s="81">
        <v>2021</v>
      </c>
      <c r="C35" s="88">
        <v>32.1</v>
      </c>
      <c r="D35" s="88">
        <v>18.100000000000001</v>
      </c>
      <c r="E35" s="88">
        <v>95.7</v>
      </c>
      <c r="F35" s="88">
        <v>42.3</v>
      </c>
      <c r="G35" s="88">
        <v>136.9</v>
      </c>
      <c r="H35" s="88">
        <v>76.900000000000006</v>
      </c>
      <c r="I35" s="88">
        <v>187.7</v>
      </c>
      <c r="J35" s="88">
        <v>227.6</v>
      </c>
      <c r="K35" s="88">
        <v>187.1</v>
      </c>
      <c r="L35" s="88">
        <v>36.9</v>
      </c>
      <c r="M35" s="88">
        <v>73.400000000000006</v>
      </c>
      <c r="N35" s="89">
        <v>8.6999999999999993</v>
      </c>
      <c r="O35" s="27">
        <f t="shared" si="2"/>
        <v>1123.4000000000001</v>
      </c>
      <c r="P35" s="28">
        <f t="shared" si="1"/>
        <v>93.6</v>
      </c>
    </row>
    <row r="36" spans="2:16" ht="21.95" customHeight="1">
      <c r="B36" s="29" t="s">
        <v>13</v>
      </c>
      <c r="C36" s="30">
        <f>ROUND(MAX(C6:C35),1)</f>
        <v>79.599999999999994</v>
      </c>
      <c r="D36" s="30">
        <f t="shared" ref="D36:N36" si="3">ROUND(MAX(D6:D35),1)</f>
        <v>92.4</v>
      </c>
      <c r="E36" s="30">
        <f t="shared" si="3"/>
        <v>159</v>
      </c>
      <c r="F36" s="30">
        <f t="shared" si="3"/>
        <v>208.5</v>
      </c>
      <c r="G36" s="30">
        <f t="shared" si="3"/>
        <v>229.5</v>
      </c>
      <c r="H36" s="30">
        <f t="shared" si="3"/>
        <v>388</v>
      </c>
      <c r="I36" s="30">
        <f t="shared" si="3"/>
        <v>626.5</v>
      </c>
      <c r="J36" s="30">
        <f t="shared" si="3"/>
        <v>839</v>
      </c>
      <c r="K36" s="30">
        <f t="shared" si="3"/>
        <v>502.5</v>
      </c>
      <c r="L36" s="30">
        <f t="shared" si="3"/>
        <v>290</v>
      </c>
      <c r="M36" s="30">
        <f t="shared" si="3"/>
        <v>219.5</v>
      </c>
      <c r="N36" s="31">
        <f t="shared" si="3"/>
        <v>63.1</v>
      </c>
      <c r="O36" s="32">
        <f>ROUND(MAX(O6:O35),1)</f>
        <v>2014.7</v>
      </c>
      <c r="P36" s="33">
        <f>ROUND(MAX(P6:P35),1)</f>
        <v>167.9</v>
      </c>
    </row>
    <row r="37" spans="2:16" ht="21.95" customHeight="1">
      <c r="B37" s="14" t="s">
        <v>14</v>
      </c>
      <c r="C37" s="8">
        <f>ROUND(MIN(C6:C35),1)</f>
        <v>0.5</v>
      </c>
      <c r="D37" s="8">
        <f t="shared" ref="D37:N37" si="4">ROUND(MIN(D6:D35),1)</f>
        <v>2.2999999999999998</v>
      </c>
      <c r="E37" s="8">
        <f t="shared" si="4"/>
        <v>7.8</v>
      </c>
      <c r="F37" s="8">
        <f t="shared" si="4"/>
        <v>17.7</v>
      </c>
      <c r="G37" s="8">
        <f t="shared" si="4"/>
        <v>19.5</v>
      </c>
      <c r="H37" s="8">
        <f t="shared" si="4"/>
        <v>34.5</v>
      </c>
      <c r="I37" s="8">
        <f t="shared" si="4"/>
        <v>96.5</v>
      </c>
      <c r="J37" s="8">
        <f t="shared" si="4"/>
        <v>33.4</v>
      </c>
      <c r="K37" s="8">
        <f t="shared" si="4"/>
        <v>10.5</v>
      </c>
      <c r="L37" s="8">
        <f t="shared" si="4"/>
        <v>1</v>
      </c>
      <c r="M37" s="8">
        <f t="shared" si="4"/>
        <v>10.5</v>
      </c>
      <c r="N37" s="16">
        <f t="shared" si="4"/>
        <v>3.4</v>
      </c>
      <c r="O37" s="22">
        <f>ROUND(MIN(O6:O35),1)</f>
        <v>752.6</v>
      </c>
      <c r="P37" s="15">
        <f>ROUND(MIN(P6:P35),1)</f>
        <v>62.7</v>
      </c>
    </row>
    <row r="38" spans="2:16" ht="21.95" customHeight="1" thickBot="1">
      <c r="B38" s="17" t="s">
        <v>18</v>
      </c>
      <c r="C38" s="18">
        <f>ROUND(AVERAGE(C6:C35),1)</f>
        <v>25.6</v>
      </c>
      <c r="D38" s="18">
        <f t="shared" ref="D38:N38" si="5">ROUND(AVERAGE(D6:D35),1)</f>
        <v>36.700000000000003</v>
      </c>
      <c r="E38" s="18">
        <f t="shared" si="5"/>
        <v>50.9</v>
      </c>
      <c r="F38" s="18">
        <f t="shared" si="5"/>
        <v>84</v>
      </c>
      <c r="G38" s="18">
        <f t="shared" si="5"/>
        <v>98.8</v>
      </c>
      <c r="H38" s="18">
        <f t="shared" si="5"/>
        <v>154.9</v>
      </c>
      <c r="I38" s="18">
        <f t="shared" si="5"/>
        <v>293.10000000000002</v>
      </c>
      <c r="J38" s="18">
        <f t="shared" si="5"/>
        <v>288.2</v>
      </c>
      <c r="K38" s="18">
        <f t="shared" si="5"/>
        <v>145.1</v>
      </c>
      <c r="L38" s="18">
        <f t="shared" si="5"/>
        <v>64.2</v>
      </c>
      <c r="M38" s="18">
        <f t="shared" si="5"/>
        <v>53.1</v>
      </c>
      <c r="N38" s="19">
        <f t="shared" si="5"/>
        <v>30.1</v>
      </c>
      <c r="O38" s="23">
        <f>ROUND(AVERAGE(O6:O35),1)</f>
        <v>1324.7</v>
      </c>
      <c r="P38" s="24">
        <f>ROUND(AVERAGE(P6:P35),1)</f>
        <v>110.4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2012</v>
      </c>
      <c r="C44" s="47">
        <f t="shared" ref="C44:N44" si="6">C26</f>
        <v>16</v>
      </c>
      <c r="D44" s="47">
        <f t="shared" si="6"/>
        <v>3.2</v>
      </c>
      <c r="E44" s="47">
        <f t="shared" si="6"/>
        <v>60.2</v>
      </c>
      <c r="F44" s="47">
        <f t="shared" si="6"/>
        <v>109.3</v>
      </c>
      <c r="G44" s="47">
        <f t="shared" si="6"/>
        <v>19.5</v>
      </c>
      <c r="H44" s="47">
        <f t="shared" si="6"/>
        <v>71.3</v>
      </c>
      <c r="I44" s="47">
        <f t="shared" si="6"/>
        <v>302.89999999999998</v>
      </c>
      <c r="J44" s="47">
        <f t="shared" si="6"/>
        <v>573.29999999999995</v>
      </c>
      <c r="K44" s="47">
        <f t="shared" si="6"/>
        <v>186.2</v>
      </c>
      <c r="L44" s="47">
        <f t="shared" si="6"/>
        <v>83</v>
      </c>
      <c r="M44" s="47">
        <f t="shared" si="6"/>
        <v>60.7</v>
      </c>
      <c r="N44" s="54">
        <f t="shared" si="6"/>
        <v>60.2</v>
      </c>
      <c r="O44" s="9">
        <f>ROUND(SUM(C44:N44),1)</f>
        <v>1545.8</v>
      </c>
      <c r="P44" s="15">
        <f>ROUND(O44/12,1)</f>
        <v>128.80000000000001</v>
      </c>
    </row>
    <row r="45" spans="2:16" ht="21.95" customHeight="1">
      <c r="B45" s="46">
        <f t="shared" ref="B45:N53" si="7">B27</f>
        <v>2013</v>
      </c>
      <c r="C45" s="47">
        <f t="shared" si="7"/>
        <v>45.4</v>
      </c>
      <c r="D45" s="47">
        <f t="shared" si="7"/>
        <v>58.7</v>
      </c>
      <c r="E45" s="47">
        <f t="shared" si="7"/>
        <v>50.3</v>
      </c>
      <c r="F45" s="47">
        <f t="shared" si="7"/>
        <v>93.7</v>
      </c>
      <c r="G45" s="47">
        <f t="shared" si="7"/>
        <v>159</v>
      </c>
      <c r="H45" s="47">
        <f t="shared" si="7"/>
        <v>151.69999999999999</v>
      </c>
      <c r="I45" s="47">
        <f t="shared" si="7"/>
        <v>240.4</v>
      </c>
      <c r="J45" s="47">
        <f t="shared" si="7"/>
        <v>119.5</v>
      </c>
      <c r="K45" s="47">
        <f t="shared" si="7"/>
        <v>184.8</v>
      </c>
      <c r="L45" s="47">
        <f t="shared" si="7"/>
        <v>18.100000000000001</v>
      </c>
      <c r="M45" s="47">
        <f t="shared" si="7"/>
        <v>79.900000000000006</v>
      </c>
      <c r="N45" s="54">
        <f t="shared" si="7"/>
        <v>35.9</v>
      </c>
      <c r="O45" s="9">
        <f t="shared" ref="O45:O53" si="8">ROUND(SUM(C45:N45),1)</f>
        <v>1237.4000000000001</v>
      </c>
      <c r="P45" s="15">
        <f t="shared" ref="P45:P53" si="9">ROUND(O45/12,1)</f>
        <v>103.1</v>
      </c>
    </row>
    <row r="46" spans="2:16" ht="21.95" customHeight="1">
      <c r="B46" s="46">
        <f t="shared" si="7"/>
        <v>2014</v>
      </c>
      <c r="C46" s="47">
        <f t="shared" si="7"/>
        <v>2.2000000000000002</v>
      </c>
      <c r="D46" s="47">
        <f t="shared" si="7"/>
        <v>15.3</v>
      </c>
      <c r="E46" s="47">
        <f t="shared" si="7"/>
        <v>69.3</v>
      </c>
      <c r="F46" s="47">
        <f t="shared" si="7"/>
        <v>94.1</v>
      </c>
      <c r="G46" s="47">
        <f t="shared" si="7"/>
        <v>61.5</v>
      </c>
      <c r="H46" s="47">
        <f t="shared" si="7"/>
        <v>77.8</v>
      </c>
      <c r="I46" s="47">
        <f t="shared" si="7"/>
        <v>174.7</v>
      </c>
      <c r="J46" s="47">
        <f t="shared" si="7"/>
        <v>225.1</v>
      </c>
      <c r="K46" s="47">
        <f t="shared" si="7"/>
        <v>157.5</v>
      </c>
      <c r="L46" s="47">
        <f t="shared" si="7"/>
        <v>170.5</v>
      </c>
      <c r="M46" s="47">
        <f t="shared" si="7"/>
        <v>42.4</v>
      </c>
      <c r="N46" s="54">
        <f t="shared" si="7"/>
        <v>51.7</v>
      </c>
      <c r="O46" s="9">
        <f t="shared" si="8"/>
        <v>1142.0999999999999</v>
      </c>
      <c r="P46" s="15">
        <f t="shared" si="9"/>
        <v>95.2</v>
      </c>
    </row>
    <row r="47" spans="2:16" ht="21.95" customHeight="1">
      <c r="B47" s="46">
        <f t="shared" si="7"/>
        <v>2015</v>
      </c>
      <c r="C47" s="47">
        <f t="shared" si="7"/>
        <v>35.4</v>
      </c>
      <c r="D47" s="47">
        <f t="shared" si="7"/>
        <v>35.6</v>
      </c>
      <c r="E47" s="47">
        <f t="shared" si="7"/>
        <v>42.4</v>
      </c>
      <c r="F47" s="47">
        <f t="shared" si="7"/>
        <v>99.5</v>
      </c>
      <c r="G47" s="47">
        <f t="shared" si="7"/>
        <v>53.5</v>
      </c>
      <c r="H47" s="47">
        <f t="shared" si="7"/>
        <v>92.7</v>
      </c>
      <c r="I47" s="47">
        <f t="shared" si="7"/>
        <v>119.9</v>
      </c>
      <c r="J47" s="47">
        <f t="shared" si="7"/>
        <v>56.9</v>
      </c>
      <c r="K47" s="47">
        <f t="shared" si="7"/>
        <v>22</v>
      </c>
      <c r="L47" s="47">
        <f t="shared" si="7"/>
        <v>104</v>
      </c>
      <c r="M47" s="47">
        <f t="shared" si="7"/>
        <v>126.1</v>
      </c>
      <c r="N47" s="54">
        <f t="shared" si="7"/>
        <v>56.9</v>
      </c>
      <c r="O47" s="9">
        <f>ROUND(SUM(C47:N47),1)</f>
        <v>844.9</v>
      </c>
      <c r="P47" s="15">
        <f t="shared" si="9"/>
        <v>70.400000000000006</v>
      </c>
    </row>
    <row r="48" spans="2:16" ht="21.95" customHeight="1">
      <c r="B48" s="46">
        <f t="shared" si="7"/>
        <v>2016</v>
      </c>
      <c r="C48" s="47">
        <f t="shared" si="7"/>
        <v>6.6</v>
      </c>
      <c r="D48" s="47">
        <f t="shared" si="7"/>
        <v>59.6</v>
      </c>
      <c r="E48" s="47">
        <f t="shared" si="7"/>
        <v>19</v>
      </c>
      <c r="F48" s="47">
        <f t="shared" si="7"/>
        <v>164.6</v>
      </c>
      <c r="G48" s="47">
        <f t="shared" si="7"/>
        <v>121.6</v>
      </c>
      <c r="H48" s="47">
        <f t="shared" si="7"/>
        <v>49.4</v>
      </c>
      <c r="I48" s="47">
        <f t="shared" si="7"/>
        <v>341.1</v>
      </c>
      <c r="J48" s="47">
        <f t="shared" si="7"/>
        <v>33.4</v>
      </c>
      <c r="K48" s="47">
        <f t="shared" si="7"/>
        <v>133.69999999999999</v>
      </c>
      <c r="L48" s="47">
        <f t="shared" si="7"/>
        <v>120.1</v>
      </c>
      <c r="M48" s="47">
        <f t="shared" si="7"/>
        <v>17.100000000000001</v>
      </c>
      <c r="N48" s="54">
        <f t="shared" si="7"/>
        <v>63.1</v>
      </c>
      <c r="O48" s="9">
        <f t="shared" si="8"/>
        <v>1129.3</v>
      </c>
      <c r="P48" s="15">
        <f t="shared" si="9"/>
        <v>94.1</v>
      </c>
    </row>
    <row r="49" spans="2:16" ht="21.95" customHeight="1">
      <c r="B49" s="46">
        <f t="shared" si="7"/>
        <v>2017</v>
      </c>
      <c r="C49" s="47">
        <f t="shared" si="7"/>
        <v>16</v>
      </c>
      <c r="D49" s="47">
        <f t="shared" si="7"/>
        <v>28.5</v>
      </c>
      <c r="E49" s="47">
        <f t="shared" si="7"/>
        <v>8.8000000000000007</v>
      </c>
      <c r="F49" s="47">
        <f t="shared" si="7"/>
        <v>78.400000000000006</v>
      </c>
      <c r="G49" s="47">
        <f t="shared" si="7"/>
        <v>35.799999999999997</v>
      </c>
      <c r="H49" s="47">
        <f t="shared" si="7"/>
        <v>51.4</v>
      </c>
      <c r="I49" s="47">
        <f t="shared" si="7"/>
        <v>326.7</v>
      </c>
      <c r="J49" s="47">
        <f t="shared" si="7"/>
        <v>358.4</v>
      </c>
      <c r="K49" s="47">
        <f t="shared" si="7"/>
        <v>97.1</v>
      </c>
      <c r="L49" s="47">
        <f t="shared" si="7"/>
        <v>51.9</v>
      </c>
      <c r="M49" s="47">
        <f t="shared" si="7"/>
        <v>20.8</v>
      </c>
      <c r="N49" s="54">
        <f t="shared" si="7"/>
        <v>36.1</v>
      </c>
      <c r="O49" s="9">
        <f t="shared" si="8"/>
        <v>1109.9000000000001</v>
      </c>
      <c r="P49" s="15">
        <f t="shared" si="9"/>
        <v>92.5</v>
      </c>
    </row>
    <row r="50" spans="2:16" ht="21.95" customHeight="1">
      <c r="B50" s="46">
        <f t="shared" si="7"/>
        <v>2018</v>
      </c>
      <c r="C50" s="47">
        <f t="shared" si="7"/>
        <v>25</v>
      </c>
      <c r="D50" s="47">
        <f t="shared" si="7"/>
        <v>43.1</v>
      </c>
      <c r="E50" s="47">
        <f t="shared" si="7"/>
        <v>99.3</v>
      </c>
      <c r="F50" s="47">
        <f t="shared" si="7"/>
        <v>156.5</v>
      </c>
      <c r="G50" s="47">
        <f t="shared" si="7"/>
        <v>116.1</v>
      </c>
      <c r="H50" s="47">
        <f t="shared" si="7"/>
        <v>107.1</v>
      </c>
      <c r="I50" s="47">
        <f t="shared" si="7"/>
        <v>278.8</v>
      </c>
      <c r="J50" s="47">
        <f t="shared" si="7"/>
        <v>277</v>
      </c>
      <c r="K50" s="47">
        <f t="shared" si="7"/>
        <v>98.3</v>
      </c>
      <c r="L50" s="47">
        <f t="shared" si="7"/>
        <v>159.19999999999999</v>
      </c>
      <c r="M50" s="47">
        <f t="shared" si="7"/>
        <v>66</v>
      </c>
      <c r="N50" s="54">
        <f t="shared" si="7"/>
        <v>31.5</v>
      </c>
      <c r="O50" s="9">
        <f t="shared" si="8"/>
        <v>1457.9</v>
      </c>
      <c r="P50" s="15">
        <f t="shared" si="9"/>
        <v>121.5</v>
      </c>
    </row>
    <row r="51" spans="2:16" ht="21.95" customHeight="1">
      <c r="B51" s="46">
        <f t="shared" si="7"/>
        <v>2019</v>
      </c>
      <c r="C51" s="47">
        <f t="shared" si="7"/>
        <v>0.5</v>
      </c>
      <c r="D51" s="47">
        <f t="shared" si="7"/>
        <v>37.6</v>
      </c>
      <c r="E51" s="47">
        <f t="shared" si="7"/>
        <v>35</v>
      </c>
      <c r="F51" s="47">
        <f t="shared" si="7"/>
        <v>73.7</v>
      </c>
      <c r="G51" s="47">
        <f t="shared" si="7"/>
        <v>44.3</v>
      </c>
      <c r="H51" s="47">
        <f t="shared" si="7"/>
        <v>59.9</v>
      </c>
      <c r="I51" s="47">
        <f t="shared" si="7"/>
        <v>216.7</v>
      </c>
      <c r="J51" s="47">
        <f t="shared" si="7"/>
        <v>102.1</v>
      </c>
      <c r="K51" s="47">
        <f t="shared" si="7"/>
        <v>191.9</v>
      </c>
      <c r="L51" s="47">
        <f t="shared" si="7"/>
        <v>85.6</v>
      </c>
      <c r="M51" s="47">
        <f t="shared" si="7"/>
        <v>113.5</v>
      </c>
      <c r="N51" s="54">
        <f t="shared" si="7"/>
        <v>31.2</v>
      </c>
      <c r="O51" s="9">
        <f t="shared" si="8"/>
        <v>992</v>
      </c>
      <c r="P51" s="15">
        <f t="shared" si="9"/>
        <v>82.7</v>
      </c>
    </row>
    <row r="52" spans="2:16" ht="21.95" customHeight="1">
      <c r="B52" s="46">
        <f t="shared" si="7"/>
        <v>2020</v>
      </c>
      <c r="C52" s="47">
        <f t="shared" si="7"/>
        <v>79.599999999999994</v>
      </c>
      <c r="D52" s="47">
        <f t="shared" si="7"/>
        <v>92.4</v>
      </c>
      <c r="E52" s="47">
        <f t="shared" si="7"/>
        <v>19.3</v>
      </c>
      <c r="F52" s="47">
        <f t="shared" si="7"/>
        <v>17.7</v>
      </c>
      <c r="G52" s="47">
        <f t="shared" si="7"/>
        <v>108.5</v>
      </c>
      <c r="H52" s="47">
        <f t="shared" si="7"/>
        <v>188.4</v>
      </c>
      <c r="I52" s="47">
        <f t="shared" si="7"/>
        <v>492.6</v>
      </c>
      <c r="J52" s="47">
        <f t="shared" si="7"/>
        <v>367.8</v>
      </c>
      <c r="K52" s="47">
        <f t="shared" si="7"/>
        <v>208.9</v>
      </c>
      <c r="L52" s="47">
        <f t="shared" si="7"/>
        <v>4.4000000000000004</v>
      </c>
      <c r="M52" s="47">
        <f t="shared" si="7"/>
        <v>41.8</v>
      </c>
      <c r="N52" s="54">
        <f t="shared" si="7"/>
        <v>3.4</v>
      </c>
      <c r="O52" s="9">
        <f t="shared" si="8"/>
        <v>1624.8</v>
      </c>
      <c r="P52" s="15">
        <f t="shared" si="9"/>
        <v>135.4</v>
      </c>
    </row>
    <row r="53" spans="2:16" ht="21.95" customHeight="1" thickBot="1">
      <c r="B53" s="51">
        <f t="shared" si="7"/>
        <v>2021</v>
      </c>
      <c r="C53" s="52">
        <f t="shared" si="7"/>
        <v>32.1</v>
      </c>
      <c r="D53" s="52">
        <f t="shared" si="7"/>
        <v>18.100000000000001</v>
      </c>
      <c r="E53" s="52">
        <f t="shared" si="7"/>
        <v>95.7</v>
      </c>
      <c r="F53" s="52">
        <f t="shared" si="7"/>
        <v>42.3</v>
      </c>
      <c r="G53" s="52">
        <f t="shared" si="7"/>
        <v>136.9</v>
      </c>
      <c r="H53" s="52">
        <f t="shared" si="7"/>
        <v>76.900000000000006</v>
      </c>
      <c r="I53" s="52">
        <f t="shared" si="7"/>
        <v>187.7</v>
      </c>
      <c r="J53" s="52">
        <f t="shared" si="7"/>
        <v>227.6</v>
      </c>
      <c r="K53" s="52">
        <f t="shared" si="7"/>
        <v>187.1</v>
      </c>
      <c r="L53" s="52">
        <f t="shared" si="7"/>
        <v>36.9</v>
      </c>
      <c r="M53" s="52">
        <f t="shared" si="7"/>
        <v>73.400000000000006</v>
      </c>
      <c r="N53" s="55">
        <f t="shared" si="7"/>
        <v>8.6999999999999993</v>
      </c>
      <c r="O53" s="41">
        <f t="shared" si="8"/>
        <v>1123.4000000000001</v>
      </c>
      <c r="P53" s="24">
        <f t="shared" si="9"/>
        <v>93.6</v>
      </c>
    </row>
    <row r="54" spans="2:16" ht="21.95" customHeight="1">
      <c r="B54" s="48" t="s">
        <v>19</v>
      </c>
      <c r="C54" s="49">
        <f>MAX(C44:C53)</f>
        <v>79.599999999999994</v>
      </c>
      <c r="D54" s="49">
        <f t="shared" ref="D54:P54" si="10">MAX(D44:D53)</f>
        <v>92.4</v>
      </c>
      <c r="E54" s="49">
        <f t="shared" si="10"/>
        <v>99.3</v>
      </c>
      <c r="F54" s="49">
        <f t="shared" si="10"/>
        <v>164.6</v>
      </c>
      <c r="G54" s="49">
        <f t="shared" si="10"/>
        <v>159</v>
      </c>
      <c r="H54" s="49">
        <f t="shared" si="10"/>
        <v>188.4</v>
      </c>
      <c r="I54" s="49">
        <f t="shared" si="10"/>
        <v>492.6</v>
      </c>
      <c r="J54" s="49">
        <f t="shared" si="10"/>
        <v>573.29999999999995</v>
      </c>
      <c r="K54" s="49">
        <f t="shared" si="10"/>
        <v>208.9</v>
      </c>
      <c r="L54" s="49">
        <f t="shared" si="10"/>
        <v>170.5</v>
      </c>
      <c r="M54" s="49">
        <f t="shared" si="10"/>
        <v>126.1</v>
      </c>
      <c r="N54" s="50">
        <f t="shared" si="10"/>
        <v>63.1</v>
      </c>
      <c r="O54" s="53">
        <f t="shared" si="10"/>
        <v>1624.8</v>
      </c>
      <c r="P54" s="50">
        <f t="shared" si="10"/>
        <v>135.4</v>
      </c>
    </row>
    <row r="55" spans="2:16" ht="21.95" customHeight="1">
      <c r="B55" s="37" t="s">
        <v>20</v>
      </c>
      <c r="C55" s="7">
        <f>MIN(C44:C53)</f>
        <v>0.5</v>
      </c>
      <c r="D55" s="7">
        <f t="shared" ref="D55:P55" si="11">MIN(D44:D53)</f>
        <v>3.2</v>
      </c>
      <c r="E55" s="7">
        <f t="shared" si="11"/>
        <v>8.8000000000000007</v>
      </c>
      <c r="F55" s="7">
        <f t="shared" si="11"/>
        <v>17.7</v>
      </c>
      <c r="G55" s="7">
        <f t="shared" si="11"/>
        <v>19.5</v>
      </c>
      <c r="H55" s="7">
        <f t="shared" si="11"/>
        <v>49.4</v>
      </c>
      <c r="I55" s="7">
        <f t="shared" si="11"/>
        <v>119.9</v>
      </c>
      <c r="J55" s="7">
        <f t="shared" si="11"/>
        <v>33.4</v>
      </c>
      <c r="K55" s="7">
        <f t="shared" si="11"/>
        <v>22</v>
      </c>
      <c r="L55" s="7">
        <f t="shared" si="11"/>
        <v>4.4000000000000004</v>
      </c>
      <c r="M55" s="7">
        <f t="shared" si="11"/>
        <v>17.100000000000001</v>
      </c>
      <c r="N55" s="15">
        <f t="shared" si="11"/>
        <v>3.4</v>
      </c>
      <c r="O55" s="9">
        <f>MIN(O44:O53)</f>
        <v>844.9</v>
      </c>
      <c r="P55" s="15">
        <f t="shared" si="11"/>
        <v>70.400000000000006</v>
      </c>
    </row>
    <row r="56" spans="2:16" ht="21.95" customHeight="1" thickBot="1">
      <c r="B56" s="38" t="s">
        <v>7</v>
      </c>
      <c r="C56" s="39">
        <f>ROUND(AVERAGE(C44:C53),1)</f>
        <v>25.9</v>
      </c>
      <c r="D56" s="39">
        <f t="shared" ref="D56:N56" si="12">ROUND(AVERAGE(D44:D53),1)</f>
        <v>39.200000000000003</v>
      </c>
      <c r="E56" s="39">
        <f t="shared" si="12"/>
        <v>49.9</v>
      </c>
      <c r="F56" s="39">
        <f t="shared" si="12"/>
        <v>93</v>
      </c>
      <c r="G56" s="39">
        <f t="shared" si="12"/>
        <v>85.7</v>
      </c>
      <c r="H56" s="39">
        <f t="shared" si="12"/>
        <v>92.7</v>
      </c>
      <c r="I56" s="39">
        <f t="shared" si="12"/>
        <v>268.2</v>
      </c>
      <c r="J56" s="39">
        <f t="shared" si="12"/>
        <v>234.1</v>
      </c>
      <c r="K56" s="39">
        <f t="shared" si="12"/>
        <v>146.80000000000001</v>
      </c>
      <c r="L56" s="39">
        <f t="shared" si="12"/>
        <v>83.4</v>
      </c>
      <c r="M56" s="39">
        <f t="shared" si="12"/>
        <v>64.2</v>
      </c>
      <c r="N56" s="24">
        <f t="shared" si="12"/>
        <v>37.9</v>
      </c>
      <c r="O56" s="41">
        <f>ROUND(AVERAGE(O44:O53),1)</f>
        <v>1220.8</v>
      </c>
      <c r="P56" s="24">
        <f>ROUND(AVERAGE(P44:P53),1)</f>
        <v>101.7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72708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72708" r:id="rId4" name="CommandButto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U983"/>
  <sheetViews>
    <sheetView zoomScaleNormal="100" workbookViewId="0">
      <selection activeCell="S8" sqref="S8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8" width="11.6640625" style="2" customWidth="1"/>
    <col min="19" max="19" width="12.6640625" style="2" customWidth="1"/>
    <col min="20" max="16384" width="8.88671875" style="2"/>
  </cols>
  <sheetData>
    <row r="2" spans="2:21" ht="20.25">
      <c r="B2" s="78" t="s">
        <v>21</v>
      </c>
    </row>
    <row r="3" spans="2:21" ht="24.75" customHeight="1">
      <c r="R3" s="42"/>
    </row>
    <row r="4" spans="2:21" ht="21.75" customHeight="1" thickBot="1"/>
    <row r="5" spans="2:21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  <c r="U5" s="56" t="s">
        <v>31</v>
      </c>
    </row>
    <row r="6" spans="2:21" ht="21.95" customHeight="1" thickBot="1">
      <c r="B6" s="79">
        <v>1991</v>
      </c>
      <c r="C6" s="82">
        <v>23.2</v>
      </c>
      <c r="D6" s="82">
        <v>56.9</v>
      </c>
      <c r="E6" s="82">
        <v>89.4</v>
      </c>
      <c r="F6" s="82">
        <v>69.400000000000006</v>
      </c>
      <c r="G6" s="82">
        <v>50.2</v>
      </c>
      <c r="H6" s="82">
        <v>169</v>
      </c>
      <c r="I6" s="82">
        <v>275</v>
      </c>
      <c r="J6" s="83">
        <v>139</v>
      </c>
      <c r="K6" s="82">
        <v>218.3</v>
      </c>
      <c r="L6" s="82">
        <v>16.100000000000001</v>
      </c>
      <c r="M6" s="82">
        <v>18.600000000000001</v>
      </c>
      <c r="N6" s="84">
        <v>57</v>
      </c>
      <c r="O6" s="21">
        <f t="shared" ref="O6:O35" si="0">ROUND(SUM(C6:N6),1)</f>
        <v>1182.0999999999999</v>
      </c>
      <c r="P6" s="20">
        <f>ROUND(O6/12,1)</f>
        <v>98.5</v>
      </c>
      <c r="Q6" s="4"/>
    </row>
    <row r="7" spans="2:21" ht="21.95" customHeight="1">
      <c r="B7" s="80">
        <v>1992</v>
      </c>
      <c r="C7" s="85">
        <v>12.6</v>
      </c>
      <c r="D7" s="85">
        <v>27</v>
      </c>
      <c r="E7" s="85">
        <v>46.5</v>
      </c>
      <c r="F7" s="85">
        <v>119.9</v>
      </c>
      <c r="G7" s="85">
        <v>92.3</v>
      </c>
      <c r="H7" s="85">
        <v>24.4</v>
      </c>
      <c r="I7" s="85">
        <v>187.7</v>
      </c>
      <c r="J7" s="86">
        <v>232.1</v>
      </c>
      <c r="K7" s="85">
        <v>163.6</v>
      </c>
      <c r="L7" s="85">
        <v>34.200000000000003</v>
      </c>
      <c r="M7" s="85">
        <v>47.4</v>
      </c>
      <c r="N7" s="87">
        <v>49.2</v>
      </c>
      <c r="O7" s="21">
        <f t="shared" si="0"/>
        <v>1036.9000000000001</v>
      </c>
      <c r="P7" s="16">
        <f t="shared" ref="P7:P35" si="1">ROUND(O7/12,1)</f>
        <v>86.4</v>
      </c>
      <c r="Q7" s="4"/>
      <c r="R7" s="75" t="s">
        <v>150</v>
      </c>
      <c r="S7" s="76" t="s">
        <v>149</v>
      </c>
      <c r="T7" s="3"/>
    </row>
    <row r="8" spans="2:21" ht="21.95" customHeight="1">
      <c r="B8" s="80">
        <v>1993</v>
      </c>
      <c r="C8" s="85">
        <v>8</v>
      </c>
      <c r="D8" s="85">
        <v>82.9</v>
      </c>
      <c r="E8" s="85">
        <v>40.1</v>
      </c>
      <c r="F8" s="85">
        <v>64.8</v>
      </c>
      <c r="G8" s="85">
        <v>154.9</v>
      </c>
      <c r="H8" s="85">
        <v>222.4</v>
      </c>
      <c r="I8" s="85">
        <v>295.60000000000002</v>
      </c>
      <c r="J8" s="85">
        <v>364.3</v>
      </c>
      <c r="K8" s="85">
        <v>142.4</v>
      </c>
      <c r="L8" s="85">
        <v>39.299999999999997</v>
      </c>
      <c r="M8" s="85">
        <v>93.7</v>
      </c>
      <c r="N8" s="87">
        <v>24.7</v>
      </c>
      <c r="O8" s="21">
        <f t="shared" si="0"/>
        <v>1533.1</v>
      </c>
      <c r="P8" s="16">
        <f t="shared" si="1"/>
        <v>127.8</v>
      </c>
      <c r="Q8" s="4"/>
      <c r="R8" s="71" t="s">
        <v>163</v>
      </c>
      <c r="S8" s="72" t="s">
        <v>65</v>
      </c>
    </row>
    <row r="9" spans="2:21" ht="21.95" customHeight="1" thickBot="1">
      <c r="B9" s="80">
        <v>1994</v>
      </c>
      <c r="C9" s="85">
        <v>17.899999999999999</v>
      </c>
      <c r="D9" s="85">
        <v>16.8</v>
      </c>
      <c r="E9" s="85">
        <v>46.5</v>
      </c>
      <c r="F9" s="85">
        <v>38.700000000000003</v>
      </c>
      <c r="G9" s="85">
        <v>138.4</v>
      </c>
      <c r="H9" s="85">
        <v>115.1</v>
      </c>
      <c r="I9" s="85">
        <v>105.3</v>
      </c>
      <c r="J9" s="85">
        <v>145.9</v>
      </c>
      <c r="K9" s="85">
        <v>37.9</v>
      </c>
      <c r="L9" s="85">
        <v>145.30000000000001</v>
      </c>
      <c r="M9" s="85">
        <v>24.3</v>
      </c>
      <c r="N9" s="87">
        <v>25.8</v>
      </c>
      <c r="O9" s="21">
        <f t="shared" si="0"/>
        <v>857.9</v>
      </c>
      <c r="P9" s="16">
        <f t="shared" si="1"/>
        <v>71.5</v>
      </c>
      <c r="Q9" s="4"/>
      <c r="R9" s="73" t="str">
        <f>VLOOKUP(R8,tblCategoryA[],2,FALSE)</f>
        <v>tbl_4</v>
      </c>
      <c r="S9" s="74">
        <f>VLOOKUP(S8,tblCode[],2,0)</f>
        <v>235</v>
      </c>
    </row>
    <row r="10" spans="2:21" ht="21.95" customHeight="1" thickBot="1">
      <c r="B10" s="80">
        <v>1995</v>
      </c>
      <c r="C10" s="85">
        <v>23.5</v>
      </c>
      <c r="D10" s="85">
        <v>16.899999999999999</v>
      </c>
      <c r="E10" s="85">
        <v>33.799999999999997</v>
      </c>
      <c r="F10" s="85">
        <v>54.7</v>
      </c>
      <c r="G10" s="85">
        <v>62.2</v>
      </c>
      <c r="H10" s="85">
        <v>33.6</v>
      </c>
      <c r="I10" s="85">
        <v>155.4</v>
      </c>
      <c r="J10" s="85">
        <v>641.9</v>
      </c>
      <c r="K10" s="85">
        <v>53.4</v>
      </c>
      <c r="L10" s="85">
        <v>36</v>
      </c>
      <c r="M10" s="85">
        <v>17.5</v>
      </c>
      <c r="N10" s="87">
        <v>7.3</v>
      </c>
      <c r="O10" s="21">
        <f t="shared" si="0"/>
        <v>1136.2</v>
      </c>
      <c r="P10" s="16">
        <f t="shared" si="1"/>
        <v>94.7</v>
      </c>
      <c r="Q10" s="4"/>
    </row>
    <row r="11" spans="2:21" ht="21.95" customHeight="1">
      <c r="B11" s="80">
        <v>1996</v>
      </c>
      <c r="C11" s="85">
        <v>32.700000000000003</v>
      </c>
      <c r="D11" s="85">
        <v>4.4000000000000004</v>
      </c>
      <c r="E11" s="85">
        <v>138</v>
      </c>
      <c r="F11" s="85">
        <v>49.8</v>
      </c>
      <c r="G11" s="85">
        <v>62.9</v>
      </c>
      <c r="H11" s="85">
        <v>411.4</v>
      </c>
      <c r="I11" s="85">
        <v>257.7</v>
      </c>
      <c r="J11" s="85">
        <v>114.4</v>
      </c>
      <c r="K11" s="85">
        <v>11.4</v>
      </c>
      <c r="L11" s="85">
        <v>90.8</v>
      </c>
      <c r="M11" s="85">
        <v>77.099999999999994</v>
      </c>
      <c r="N11" s="87">
        <v>28.6</v>
      </c>
      <c r="O11" s="21">
        <f t="shared" si="0"/>
        <v>1279.2</v>
      </c>
      <c r="P11" s="16">
        <f t="shared" si="1"/>
        <v>106.6</v>
      </c>
      <c r="Q11" s="4"/>
      <c r="R11" s="59" t="s">
        <v>22</v>
      </c>
      <c r="S11" s="60" t="s">
        <v>23</v>
      </c>
      <c r="T11" s="61"/>
    </row>
    <row r="12" spans="2:21" ht="21.95" customHeight="1">
      <c r="B12" s="80">
        <v>1997</v>
      </c>
      <c r="C12" s="85">
        <v>15.6</v>
      </c>
      <c r="D12" s="85">
        <v>51.1</v>
      </c>
      <c r="E12" s="85">
        <v>37.1</v>
      </c>
      <c r="F12" s="85">
        <v>55.4</v>
      </c>
      <c r="G12" s="85">
        <v>200.9</v>
      </c>
      <c r="H12" s="85">
        <v>267.5</v>
      </c>
      <c r="I12" s="85">
        <v>424.2</v>
      </c>
      <c r="J12" s="85">
        <v>463.5</v>
      </c>
      <c r="K12" s="85">
        <v>30.2</v>
      </c>
      <c r="L12" s="85">
        <v>7.7</v>
      </c>
      <c r="M12" s="85">
        <v>168.2</v>
      </c>
      <c r="N12" s="87">
        <v>44.5</v>
      </c>
      <c r="O12" s="21">
        <f t="shared" si="0"/>
        <v>1765.9</v>
      </c>
      <c r="P12" s="16">
        <f t="shared" si="1"/>
        <v>147.19999999999999</v>
      </c>
      <c r="R12" s="62" t="s">
        <v>24</v>
      </c>
      <c r="S12" s="58" t="s">
        <v>25</v>
      </c>
      <c r="T12" s="63"/>
    </row>
    <row r="13" spans="2:21" ht="21.95" customHeight="1" thickBot="1">
      <c r="B13" s="80">
        <v>1998</v>
      </c>
      <c r="C13" s="85">
        <v>33.299999999999997</v>
      </c>
      <c r="D13" s="85">
        <v>36.299999999999997</v>
      </c>
      <c r="E13" s="85">
        <v>31.1</v>
      </c>
      <c r="F13" s="85">
        <v>154.30000000000001</v>
      </c>
      <c r="G13" s="85">
        <v>119.5</v>
      </c>
      <c r="H13" s="85">
        <v>297.2</v>
      </c>
      <c r="I13" s="85">
        <v>256.10000000000002</v>
      </c>
      <c r="J13" s="85">
        <v>781.7</v>
      </c>
      <c r="K13" s="85">
        <v>254.7</v>
      </c>
      <c r="L13" s="85">
        <v>71.5</v>
      </c>
      <c r="M13" s="85">
        <v>31.6</v>
      </c>
      <c r="N13" s="87">
        <v>2.7</v>
      </c>
      <c r="O13" s="21">
        <f t="shared" si="0"/>
        <v>2070</v>
      </c>
      <c r="P13" s="16">
        <f t="shared" si="1"/>
        <v>172.5</v>
      </c>
      <c r="R13" s="64" t="s">
        <v>26</v>
      </c>
      <c r="S13" s="65" t="s">
        <v>27</v>
      </c>
      <c r="T13" s="66"/>
    </row>
    <row r="14" spans="2:21" ht="21.95" customHeight="1">
      <c r="B14" s="80">
        <v>1999</v>
      </c>
      <c r="C14" s="85">
        <v>1.8</v>
      </c>
      <c r="D14" s="85">
        <v>12.2</v>
      </c>
      <c r="E14" s="85">
        <v>79.400000000000006</v>
      </c>
      <c r="F14" s="85">
        <v>103</v>
      </c>
      <c r="G14" s="85">
        <v>116.8</v>
      </c>
      <c r="H14" s="85">
        <v>245.7</v>
      </c>
      <c r="I14" s="85">
        <v>137.80000000000001</v>
      </c>
      <c r="J14" s="85">
        <v>203</v>
      </c>
      <c r="K14" s="85">
        <v>359.5</v>
      </c>
      <c r="L14" s="85">
        <v>171.6</v>
      </c>
      <c r="M14" s="85">
        <v>16.5</v>
      </c>
      <c r="N14" s="87">
        <v>7.9</v>
      </c>
      <c r="O14" s="21">
        <f t="shared" si="0"/>
        <v>1455.2</v>
      </c>
      <c r="P14" s="16">
        <f t="shared" si="1"/>
        <v>121.3</v>
      </c>
    </row>
    <row r="15" spans="2:21" ht="21.95" customHeight="1">
      <c r="B15" s="80">
        <v>2000</v>
      </c>
      <c r="C15" s="85">
        <v>27.5</v>
      </c>
      <c r="D15" s="85">
        <v>4.0999999999999996</v>
      </c>
      <c r="E15" s="85">
        <v>17.8</v>
      </c>
      <c r="F15" s="85">
        <v>67.8</v>
      </c>
      <c r="G15" s="85">
        <v>54.3</v>
      </c>
      <c r="H15" s="85">
        <v>238.3</v>
      </c>
      <c r="I15" s="85">
        <v>470.1</v>
      </c>
      <c r="J15" s="85">
        <v>473.6</v>
      </c>
      <c r="K15" s="85">
        <v>263.2</v>
      </c>
      <c r="L15" s="85">
        <v>24.6</v>
      </c>
      <c r="M15" s="85">
        <v>44.6</v>
      </c>
      <c r="N15" s="87">
        <v>21.6</v>
      </c>
      <c r="O15" s="21">
        <f t="shared" si="0"/>
        <v>1707.5</v>
      </c>
      <c r="P15" s="16">
        <f t="shared" si="1"/>
        <v>142.30000000000001</v>
      </c>
    </row>
    <row r="16" spans="2:21" ht="21.95" customHeight="1">
      <c r="B16" s="80">
        <v>2001</v>
      </c>
      <c r="C16" s="85">
        <v>61.2</v>
      </c>
      <c r="D16" s="85">
        <v>70</v>
      </c>
      <c r="E16" s="85">
        <v>16</v>
      </c>
      <c r="F16" s="85">
        <v>20.399999999999999</v>
      </c>
      <c r="G16" s="85">
        <v>30.2</v>
      </c>
      <c r="H16" s="85">
        <v>234.2</v>
      </c>
      <c r="I16" s="85">
        <v>171</v>
      </c>
      <c r="J16" s="85">
        <v>78.099999999999994</v>
      </c>
      <c r="K16" s="85">
        <v>25.2</v>
      </c>
      <c r="L16" s="85">
        <v>91.2</v>
      </c>
      <c r="M16" s="85">
        <v>10.8</v>
      </c>
      <c r="N16" s="87">
        <v>20.399999999999999</v>
      </c>
      <c r="O16" s="21">
        <f t="shared" si="0"/>
        <v>828.7</v>
      </c>
      <c r="P16" s="16">
        <f t="shared" si="1"/>
        <v>69.099999999999994</v>
      </c>
    </row>
    <row r="17" spans="2:18" ht="21.95" customHeight="1">
      <c r="B17" s="80">
        <v>2002</v>
      </c>
      <c r="C17" s="85">
        <v>92.1</v>
      </c>
      <c r="D17" s="85">
        <v>12</v>
      </c>
      <c r="E17" s="85">
        <v>33.5</v>
      </c>
      <c r="F17" s="85">
        <v>155.5</v>
      </c>
      <c r="G17" s="85">
        <v>130.5</v>
      </c>
      <c r="H17" s="85">
        <v>55.4</v>
      </c>
      <c r="I17" s="85">
        <v>149.1</v>
      </c>
      <c r="J17" s="85">
        <v>538.79999999999995</v>
      </c>
      <c r="K17" s="85">
        <v>77</v>
      </c>
      <c r="L17" s="85">
        <v>67.8</v>
      </c>
      <c r="M17" s="85">
        <v>24</v>
      </c>
      <c r="N17" s="87">
        <v>43</v>
      </c>
      <c r="O17" s="21">
        <f t="shared" si="0"/>
        <v>1378.7</v>
      </c>
      <c r="P17" s="16">
        <f t="shared" si="1"/>
        <v>114.9</v>
      </c>
    </row>
    <row r="18" spans="2:18" ht="21.95" customHeight="1">
      <c r="B18" s="80">
        <v>2003</v>
      </c>
      <c r="C18" s="85">
        <v>11.2</v>
      </c>
      <c r="D18" s="85">
        <v>59.2</v>
      </c>
      <c r="E18" s="85">
        <v>44.2</v>
      </c>
      <c r="F18" s="85">
        <v>217.5</v>
      </c>
      <c r="G18" s="85">
        <v>119.5</v>
      </c>
      <c r="H18" s="85">
        <v>186.4</v>
      </c>
      <c r="I18" s="85">
        <v>576.29999999999995</v>
      </c>
      <c r="J18" s="85">
        <v>254.9</v>
      </c>
      <c r="K18" s="85">
        <v>208.5</v>
      </c>
      <c r="L18" s="85">
        <v>21.5</v>
      </c>
      <c r="M18" s="85">
        <v>32.6</v>
      </c>
      <c r="N18" s="87">
        <v>17.100000000000001</v>
      </c>
      <c r="O18" s="21">
        <f t="shared" si="0"/>
        <v>1748.9</v>
      </c>
      <c r="P18" s="16">
        <f t="shared" si="1"/>
        <v>145.69999999999999</v>
      </c>
    </row>
    <row r="19" spans="2:18" ht="21.95" customHeight="1">
      <c r="B19" s="80">
        <v>2004</v>
      </c>
      <c r="C19" s="85">
        <v>10.9</v>
      </c>
      <c r="D19" s="85">
        <v>30.6</v>
      </c>
      <c r="E19" s="85">
        <v>83.2</v>
      </c>
      <c r="F19" s="85">
        <v>73.099999999999994</v>
      </c>
      <c r="G19" s="85">
        <v>109</v>
      </c>
      <c r="H19" s="85">
        <v>383.5</v>
      </c>
      <c r="I19" s="85">
        <v>391</v>
      </c>
      <c r="J19" s="85">
        <v>198.3</v>
      </c>
      <c r="K19" s="85">
        <v>133.69999999999999</v>
      </c>
      <c r="L19" s="85">
        <v>5</v>
      </c>
      <c r="M19" s="85">
        <v>37.1</v>
      </c>
      <c r="N19" s="87">
        <v>41.1</v>
      </c>
      <c r="O19" s="21">
        <f t="shared" si="0"/>
        <v>1496.5</v>
      </c>
      <c r="P19" s="16">
        <f t="shared" si="1"/>
        <v>124.7</v>
      </c>
    </row>
    <row r="20" spans="2:18" ht="21.95" customHeight="1">
      <c r="B20" s="80">
        <v>2005</v>
      </c>
      <c r="C20" s="85">
        <v>6</v>
      </c>
      <c r="D20" s="85">
        <v>37.5</v>
      </c>
      <c r="E20" s="85">
        <v>38.799999999999997</v>
      </c>
      <c r="F20" s="85">
        <v>48.5</v>
      </c>
      <c r="G20" s="85">
        <v>60.5</v>
      </c>
      <c r="H20" s="85">
        <v>209.6</v>
      </c>
      <c r="I20" s="85">
        <v>463.3</v>
      </c>
      <c r="J20" s="85">
        <v>499.5</v>
      </c>
      <c r="K20" s="85">
        <v>226.4</v>
      </c>
      <c r="L20" s="85">
        <v>30.5</v>
      </c>
      <c r="M20" s="85">
        <v>20.3</v>
      </c>
      <c r="N20" s="87">
        <v>15.2</v>
      </c>
      <c r="O20" s="21">
        <f t="shared" si="0"/>
        <v>1656.1</v>
      </c>
      <c r="P20" s="16">
        <f t="shared" si="1"/>
        <v>138</v>
      </c>
      <c r="R20" s="1"/>
    </row>
    <row r="21" spans="2:18" ht="21.95" customHeight="1">
      <c r="B21" s="80">
        <v>2006</v>
      </c>
      <c r="C21" s="85">
        <v>31.2</v>
      </c>
      <c r="D21" s="85">
        <v>33.1</v>
      </c>
      <c r="E21" s="85">
        <v>8.1</v>
      </c>
      <c r="F21" s="85">
        <v>94.2</v>
      </c>
      <c r="G21" s="85">
        <v>119.7</v>
      </c>
      <c r="H21" s="85">
        <v>131</v>
      </c>
      <c r="I21" s="85">
        <v>531</v>
      </c>
      <c r="J21" s="85">
        <v>113.6</v>
      </c>
      <c r="K21" s="85">
        <v>24.1</v>
      </c>
      <c r="L21" s="85">
        <v>19.3</v>
      </c>
      <c r="M21" s="85">
        <v>60</v>
      </c>
      <c r="N21" s="87">
        <v>29.9</v>
      </c>
      <c r="O21" s="21">
        <f t="shared" si="0"/>
        <v>1195.2</v>
      </c>
      <c r="P21" s="16">
        <f t="shared" si="1"/>
        <v>99.6</v>
      </c>
    </row>
    <row r="22" spans="2:18" ht="21.95" customHeight="1">
      <c r="B22" s="80">
        <v>2007</v>
      </c>
      <c r="C22" s="85">
        <v>14</v>
      </c>
      <c r="D22" s="85">
        <v>45</v>
      </c>
      <c r="E22" s="85">
        <v>117.5</v>
      </c>
      <c r="F22" s="85">
        <v>28.6</v>
      </c>
      <c r="G22" s="85">
        <v>130.1</v>
      </c>
      <c r="H22" s="85">
        <v>133</v>
      </c>
      <c r="I22" s="85">
        <v>275.7</v>
      </c>
      <c r="J22" s="85">
        <v>373</v>
      </c>
      <c r="K22" s="85">
        <v>549.9</v>
      </c>
      <c r="L22" s="85">
        <v>47.4</v>
      </c>
      <c r="M22" s="85">
        <v>9.8000000000000007</v>
      </c>
      <c r="N22" s="87">
        <v>26.9</v>
      </c>
      <c r="O22" s="21">
        <f t="shared" si="0"/>
        <v>1750.9</v>
      </c>
      <c r="P22" s="16">
        <f t="shared" si="1"/>
        <v>145.9</v>
      </c>
    </row>
    <row r="23" spans="2:18" ht="21.95" customHeight="1">
      <c r="B23" s="80">
        <v>2008</v>
      </c>
      <c r="C23" s="85">
        <v>45.3</v>
      </c>
      <c r="D23" s="85">
        <v>9.1</v>
      </c>
      <c r="E23" s="85">
        <v>29.1</v>
      </c>
      <c r="F23" s="85">
        <v>34.4</v>
      </c>
      <c r="G23" s="85">
        <v>59.2</v>
      </c>
      <c r="H23" s="85">
        <v>148.30000000000001</v>
      </c>
      <c r="I23" s="85">
        <v>253.4</v>
      </c>
      <c r="J23" s="85">
        <v>325.2</v>
      </c>
      <c r="K23" s="85">
        <v>85.5</v>
      </c>
      <c r="L23" s="85">
        <v>19.600000000000001</v>
      </c>
      <c r="M23" s="85">
        <v>12.1</v>
      </c>
      <c r="N23" s="87">
        <v>16.399999999999999</v>
      </c>
      <c r="O23" s="21">
        <f t="shared" si="0"/>
        <v>1037.5999999999999</v>
      </c>
      <c r="P23" s="16">
        <f t="shared" si="1"/>
        <v>86.5</v>
      </c>
    </row>
    <row r="24" spans="2:18" ht="21.95" customHeight="1">
      <c r="B24" s="80">
        <v>2009</v>
      </c>
      <c r="C24" s="85">
        <v>15.4</v>
      </c>
      <c r="D24" s="85">
        <v>27.5</v>
      </c>
      <c r="E24" s="85">
        <v>60.3</v>
      </c>
      <c r="F24" s="85">
        <v>34.5</v>
      </c>
      <c r="G24" s="85">
        <v>124.3</v>
      </c>
      <c r="H24" s="85">
        <v>87.3</v>
      </c>
      <c r="I24" s="85">
        <v>429.2</v>
      </c>
      <c r="J24" s="85">
        <v>148.30000000000001</v>
      </c>
      <c r="K24" s="85">
        <v>46</v>
      </c>
      <c r="L24" s="85">
        <v>24.7</v>
      </c>
      <c r="M24" s="85">
        <v>54.7</v>
      </c>
      <c r="N24" s="87">
        <v>38.200000000000003</v>
      </c>
      <c r="O24" s="21">
        <f t="shared" si="0"/>
        <v>1090.4000000000001</v>
      </c>
      <c r="P24" s="16">
        <f t="shared" si="1"/>
        <v>90.9</v>
      </c>
    </row>
    <row r="25" spans="2:18" ht="21.95" customHeight="1">
      <c r="B25" s="80">
        <v>2010</v>
      </c>
      <c r="C25" s="85">
        <v>46.4</v>
      </c>
      <c r="D25" s="85">
        <v>81.5</v>
      </c>
      <c r="E25" s="85">
        <v>100.1</v>
      </c>
      <c r="F25" s="85">
        <v>88.5</v>
      </c>
      <c r="G25" s="85">
        <v>117.6</v>
      </c>
      <c r="H25" s="85">
        <v>65.599999999999994</v>
      </c>
      <c r="I25" s="85">
        <v>223.1</v>
      </c>
      <c r="J25" s="85">
        <v>376.4</v>
      </c>
      <c r="K25" s="85">
        <v>250.5</v>
      </c>
      <c r="L25" s="85">
        <v>17.899999999999999</v>
      </c>
      <c r="M25" s="85">
        <v>16.399999999999999</v>
      </c>
      <c r="N25" s="87">
        <v>35.700000000000003</v>
      </c>
      <c r="O25" s="21">
        <f t="shared" si="0"/>
        <v>1419.7</v>
      </c>
      <c r="P25" s="16">
        <f t="shared" si="1"/>
        <v>118.3</v>
      </c>
    </row>
    <row r="26" spans="2:18" ht="21.95" customHeight="1">
      <c r="B26" s="80">
        <v>2011</v>
      </c>
      <c r="C26" s="85">
        <v>4</v>
      </c>
      <c r="D26" s="85">
        <v>44.8</v>
      </c>
      <c r="E26" s="85">
        <v>19</v>
      </c>
      <c r="F26" s="85">
        <v>71</v>
      </c>
      <c r="G26" s="85">
        <v>162</v>
      </c>
      <c r="H26" s="85">
        <v>391.6</v>
      </c>
      <c r="I26" s="85">
        <v>587.29999999999995</v>
      </c>
      <c r="J26" s="85">
        <v>420.3</v>
      </c>
      <c r="K26" s="85">
        <v>91.7</v>
      </c>
      <c r="L26" s="85">
        <v>37</v>
      </c>
      <c r="M26" s="85">
        <v>103.2</v>
      </c>
      <c r="N26" s="87">
        <v>11.5</v>
      </c>
      <c r="O26" s="21">
        <f t="shared" si="0"/>
        <v>1943.4</v>
      </c>
      <c r="P26" s="16">
        <f t="shared" si="1"/>
        <v>162</v>
      </c>
    </row>
    <row r="27" spans="2:18" ht="21.95" customHeight="1">
      <c r="B27" s="80">
        <v>2012</v>
      </c>
      <c r="C27" s="85">
        <v>16.399999999999999</v>
      </c>
      <c r="D27" s="85">
        <v>2.5</v>
      </c>
      <c r="E27" s="85">
        <v>54.6</v>
      </c>
      <c r="F27" s="85">
        <v>66.2</v>
      </c>
      <c r="G27" s="85">
        <v>24</v>
      </c>
      <c r="H27" s="85">
        <v>57.8</v>
      </c>
      <c r="I27" s="85">
        <v>277.60000000000002</v>
      </c>
      <c r="J27" s="85">
        <v>463.6</v>
      </c>
      <c r="K27" s="85">
        <v>242.5</v>
      </c>
      <c r="L27" s="85">
        <v>81.3</v>
      </c>
      <c r="M27" s="85">
        <v>58.4</v>
      </c>
      <c r="N27" s="87">
        <v>64.599999999999994</v>
      </c>
      <c r="O27" s="21">
        <f t="shared" si="0"/>
        <v>1409.5</v>
      </c>
      <c r="P27" s="16">
        <f t="shared" si="1"/>
        <v>117.5</v>
      </c>
    </row>
    <row r="28" spans="2:18" ht="21.95" customHeight="1">
      <c r="B28" s="80">
        <v>2013</v>
      </c>
      <c r="C28" s="85">
        <v>46.2</v>
      </c>
      <c r="D28" s="85">
        <v>54.2</v>
      </c>
      <c r="E28" s="85">
        <v>52.8</v>
      </c>
      <c r="F28" s="85">
        <v>86.8</v>
      </c>
      <c r="G28" s="85">
        <v>110.4</v>
      </c>
      <c r="H28" s="85">
        <v>162.6</v>
      </c>
      <c r="I28" s="85">
        <v>218.7</v>
      </c>
      <c r="J28" s="85">
        <v>126.6</v>
      </c>
      <c r="K28" s="85">
        <v>146.4</v>
      </c>
      <c r="L28" s="85">
        <v>19.899999999999999</v>
      </c>
      <c r="M28" s="85">
        <v>63.5</v>
      </c>
      <c r="N28" s="87">
        <v>32.799999999999997</v>
      </c>
      <c r="O28" s="21">
        <f t="shared" si="0"/>
        <v>1120.9000000000001</v>
      </c>
      <c r="P28" s="16">
        <f t="shared" si="1"/>
        <v>93.4</v>
      </c>
    </row>
    <row r="29" spans="2:18" ht="21.95" customHeight="1">
      <c r="B29" s="80">
        <v>2014</v>
      </c>
      <c r="C29" s="85">
        <v>6.5</v>
      </c>
      <c r="D29" s="85">
        <v>8.5</v>
      </c>
      <c r="E29" s="85">
        <v>67.2</v>
      </c>
      <c r="F29" s="85">
        <v>59.4</v>
      </c>
      <c r="G29" s="85">
        <v>49.7</v>
      </c>
      <c r="H29" s="85">
        <v>143.69999999999999</v>
      </c>
      <c r="I29" s="85">
        <v>177.2</v>
      </c>
      <c r="J29" s="85">
        <v>240.9</v>
      </c>
      <c r="K29" s="85">
        <v>118</v>
      </c>
      <c r="L29" s="85">
        <v>169.4</v>
      </c>
      <c r="M29" s="85">
        <v>40.700000000000003</v>
      </c>
      <c r="N29" s="87">
        <v>36.700000000000003</v>
      </c>
      <c r="O29" s="21">
        <f t="shared" si="0"/>
        <v>1117.9000000000001</v>
      </c>
      <c r="P29" s="16">
        <f t="shared" si="1"/>
        <v>93.2</v>
      </c>
    </row>
    <row r="30" spans="2:18" ht="21.95" customHeight="1">
      <c r="B30" s="80">
        <v>2015</v>
      </c>
      <c r="C30" s="85">
        <v>31.5</v>
      </c>
      <c r="D30" s="85">
        <v>27</v>
      </c>
      <c r="E30" s="85">
        <v>44.7</v>
      </c>
      <c r="F30" s="85">
        <v>95.2</v>
      </c>
      <c r="G30" s="85">
        <v>28.9</v>
      </c>
      <c r="H30" s="85">
        <v>119.8</v>
      </c>
      <c r="I30" s="85">
        <v>145.6</v>
      </c>
      <c r="J30" s="85">
        <v>51.6</v>
      </c>
      <c r="K30" s="85">
        <v>18.5</v>
      </c>
      <c r="L30" s="85">
        <v>94.1</v>
      </c>
      <c r="M30" s="85">
        <v>126</v>
      </c>
      <c r="N30" s="87">
        <v>39.700000000000003</v>
      </c>
      <c r="O30" s="21">
        <f t="shared" si="0"/>
        <v>822.6</v>
      </c>
      <c r="P30" s="16">
        <f t="shared" si="1"/>
        <v>68.599999999999994</v>
      </c>
    </row>
    <row r="31" spans="2:18" ht="21.95" customHeight="1">
      <c r="B31" s="80">
        <v>2016</v>
      </c>
      <c r="C31" s="85">
        <v>11.6</v>
      </c>
      <c r="D31" s="85">
        <v>45.8</v>
      </c>
      <c r="E31" s="85">
        <v>40.299999999999997</v>
      </c>
      <c r="F31" s="85">
        <v>154.9</v>
      </c>
      <c r="G31" s="85">
        <v>85.1</v>
      </c>
      <c r="H31" s="85">
        <v>62.5</v>
      </c>
      <c r="I31" s="85">
        <v>367.9</v>
      </c>
      <c r="J31" s="85">
        <v>57.4</v>
      </c>
      <c r="K31" s="85">
        <v>196</v>
      </c>
      <c r="L31" s="85">
        <v>122.6</v>
      </c>
      <c r="M31" s="85">
        <v>29.5</v>
      </c>
      <c r="N31" s="87">
        <v>54.8</v>
      </c>
      <c r="O31" s="21">
        <f t="shared" si="0"/>
        <v>1228.4000000000001</v>
      </c>
      <c r="P31" s="16">
        <f t="shared" si="1"/>
        <v>102.4</v>
      </c>
    </row>
    <row r="32" spans="2:18" ht="21.95" customHeight="1">
      <c r="B32" s="80">
        <v>2017</v>
      </c>
      <c r="C32" s="85">
        <v>15</v>
      </c>
      <c r="D32" s="85">
        <v>42</v>
      </c>
      <c r="E32" s="85">
        <v>11.6</v>
      </c>
      <c r="F32" s="85">
        <v>77.7</v>
      </c>
      <c r="G32" s="85">
        <v>29.3</v>
      </c>
      <c r="H32" s="85">
        <v>35.299999999999997</v>
      </c>
      <c r="I32" s="85">
        <v>434.5</v>
      </c>
      <c r="J32" s="85">
        <v>293.8</v>
      </c>
      <c r="K32" s="85">
        <v>111.4</v>
      </c>
      <c r="L32" s="85">
        <v>28.3</v>
      </c>
      <c r="M32" s="85">
        <v>15.1</v>
      </c>
      <c r="N32" s="87">
        <v>33.5</v>
      </c>
      <c r="O32" s="21">
        <f t="shared" si="0"/>
        <v>1127.5</v>
      </c>
      <c r="P32" s="16">
        <f t="shared" si="1"/>
        <v>94</v>
      </c>
    </row>
    <row r="33" spans="2:16" ht="21.95" customHeight="1">
      <c r="B33" s="80">
        <v>2018</v>
      </c>
      <c r="C33" s="85">
        <v>23.9</v>
      </c>
      <c r="D33" s="85">
        <v>40.5</v>
      </c>
      <c r="E33" s="85">
        <v>108.4</v>
      </c>
      <c r="F33" s="85">
        <v>155.30000000000001</v>
      </c>
      <c r="G33" s="85">
        <v>95.9</v>
      </c>
      <c r="H33" s="85">
        <v>115.8</v>
      </c>
      <c r="I33" s="85">
        <v>226.9</v>
      </c>
      <c r="J33" s="85">
        <v>408.6</v>
      </c>
      <c r="K33" s="85">
        <v>149.4</v>
      </c>
      <c r="L33" s="85">
        <v>133.9</v>
      </c>
      <c r="M33" s="85">
        <v>49.8</v>
      </c>
      <c r="N33" s="87">
        <v>33.700000000000003</v>
      </c>
      <c r="O33" s="21">
        <f t="shared" si="0"/>
        <v>1542.1</v>
      </c>
      <c r="P33" s="16">
        <f t="shared" si="1"/>
        <v>128.5</v>
      </c>
    </row>
    <row r="34" spans="2:16" ht="21.95" customHeight="1">
      <c r="B34" s="80">
        <v>2019</v>
      </c>
      <c r="C34" s="85">
        <v>1.7</v>
      </c>
      <c r="D34" s="85">
        <v>46.3</v>
      </c>
      <c r="E34" s="85">
        <v>33.700000000000003</v>
      </c>
      <c r="F34" s="85">
        <v>91.6</v>
      </c>
      <c r="G34" s="85">
        <v>35.6</v>
      </c>
      <c r="H34" s="85">
        <v>77.900000000000006</v>
      </c>
      <c r="I34" s="85">
        <v>199</v>
      </c>
      <c r="J34" s="85">
        <v>104.3</v>
      </c>
      <c r="K34" s="85">
        <v>167</v>
      </c>
      <c r="L34" s="85">
        <v>106.1</v>
      </c>
      <c r="M34" s="85">
        <v>94</v>
      </c>
      <c r="N34" s="87">
        <v>27</v>
      </c>
      <c r="O34" s="21">
        <f t="shared" si="0"/>
        <v>984.2</v>
      </c>
      <c r="P34" s="16">
        <f t="shared" si="1"/>
        <v>82</v>
      </c>
    </row>
    <row r="35" spans="2:16" ht="21.95" customHeight="1" thickBot="1">
      <c r="B35" s="81">
        <v>2020</v>
      </c>
      <c r="C35" s="88">
        <v>78.5</v>
      </c>
      <c r="D35" s="88">
        <v>91.2</v>
      </c>
      <c r="E35" s="88">
        <v>24.4</v>
      </c>
      <c r="F35" s="88">
        <v>17.8</v>
      </c>
      <c r="G35" s="88">
        <v>80.400000000000006</v>
      </c>
      <c r="H35" s="88">
        <v>192.5</v>
      </c>
      <c r="I35" s="88">
        <v>544.9</v>
      </c>
      <c r="J35" s="88">
        <v>361.6</v>
      </c>
      <c r="K35" s="88">
        <v>173.6</v>
      </c>
      <c r="L35" s="88">
        <v>3.2</v>
      </c>
      <c r="M35" s="88">
        <v>41.8</v>
      </c>
      <c r="N35" s="89">
        <v>4.0999999999999996</v>
      </c>
      <c r="O35" s="27">
        <f t="shared" si="0"/>
        <v>1614</v>
      </c>
      <c r="P35" s="28">
        <f t="shared" si="1"/>
        <v>134.5</v>
      </c>
    </row>
    <row r="36" spans="2:16" ht="21.95" customHeight="1">
      <c r="B36" s="29" t="s">
        <v>13</v>
      </c>
      <c r="C36" s="30">
        <f>ROUND(MAX(C6:C35),1)</f>
        <v>92.1</v>
      </c>
      <c r="D36" s="30">
        <f t="shared" ref="D36:N36" si="2">ROUND(MAX(D6:D35),1)</f>
        <v>91.2</v>
      </c>
      <c r="E36" s="30">
        <f t="shared" si="2"/>
        <v>138</v>
      </c>
      <c r="F36" s="30">
        <f t="shared" si="2"/>
        <v>217.5</v>
      </c>
      <c r="G36" s="30">
        <f t="shared" si="2"/>
        <v>200.9</v>
      </c>
      <c r="H36" s="30">
        <f t="shared" si="2"/>
        <v>411.4</v>
      </c>
      <c r="I36" s="30">
        <f t="shared" si="2"/>
        <v>587.29999999999995</v>
      </c>
      <c r="J36" s="30">
        <f t="shared" si="2"/>
        <v>781.7</v>
      </c>
      <c r="K36" s="30">
        <f t="shared" si="2"/>
        <v>549.9</v>
      </c>
      <c r="L36" s="30">
        <f t="shared" si="2"/>
        <v>171.6</v>
      </c>
      <c r="M36" s="30">
        <f t="shared" si="2"/>
        <v>168.2</v>
      </c>
      <c r="N36" s="31">
        <f t="shared" si="2"/>
        <v>64.599999999999994</v>
      </c>
      <c r="O36" s="32">
        <f>ROUND(MAX(O6:O35),1)</f>
        <v>2070</v>
      </c>
      <c r="P36" s="33">
        <f>ROUND(MAX(P6:P35),1)</f>
        <v>172.5</v>
      </c>
    </row>
    <row r="37" spans="2:16" ht="21.95" customHeight="1">
      <c r="B37" s="14" t="s">
        <v>14</v>
      </c>
      <c r="C37" s="8">
        <f>ROUND(MIN(C6:C35),1)</f>
        <v>1.7</v>
      </c>
      <c r="D37" s="8">
        <f t="shared" ref="D37:N37" si="3">ROUND(MIN(D6:D35),1)</f>
        <v>2.5</v>
      </c>
      <c r="E37" s="8">
        <f t="shared" si="3"/>
        <v>8.1</v>
      </c>
      <c r="F37" s="8">
        <f t="shared" si="3"/>
        <v>17.8</v>
      </c>
      <c r="G37" s="8">
        <f t="shared" si="3"/>
        <v>24</v>
      </c>
      <c r="H37" s="8">
        <f t="shared" si="3"/>
        <v>24.4</v>
      </c>
      <c r="I37" s="8">
        <f t="shared" si="3"/>
        <v>105.3</v>
      </c>
      <c r="J37" s="8">
        <f t="shared" si="3"/>
        <v>51.6</v>
      </c>
      <c r="K37" s="8">
        <f t="shared" si="3"/>
        <v>11.4</v>
      </c>
      <c r="L37" s="8">
        <f t="shared" si="3"/>
        <v>3.2</v>
      </c>
      <c r="M37" s="8">
        <f t="shared" si="3"/>
        <v>9.8000000000000007</v>
      </c>
      <c r="N37" s="16">
        <f t="shared" si="3"/>
        <v>2.7</v>
      </c>
      <c r="O37" s="22">
        <f>ROUND(MIN(O6:O35),1)</f>
        <v>822.6</v>
      </c>
      <c r="P37" s="15">
        <f>ROUND(MIN(P6:P35),1)</f>
        <v>68.599999999999994</v>
      </c>
    </row>
    <row r="38" spans="2:16" ht="21.95" customHeight="1" thickBot="1">
      <c r="B38" s="17" t="s">
        <v>18</v>
      </c>
      <c r="C38" s="18">
        <f>ROUND(AVERAGE(C6:C35),1)</f>
        <v>25.5</v>
      </c>
      <c r="D38" s="18">
        <f t="shared" ref="D38:N38" si="4">ROUND(AVERAGE(D6:D35),1)</f>
        <v>37.200000000000003</v>
      </c>
      <c r="E38" s="18">
        <f t="shared" si="4"/>
        <v>51.6</v>
      </c>
      <c r="F38" s="18">
        <f t="shared" si="4"/>
        <v>81.599999999999994</v>
      </c>
      <c r="G38" s="18">
        <f t="shared" si="4"/>
        <v>91.8</v>
      </c>
      <c r="H38" s="18">
        <f t="shared" si="4"/>
        <v>167.3</v>
      </c>
      <c r="I38" s="18">
        <f t="shared" si="4"/>
        <v>306.89999999999998</v>
      </c>
      <c r="J38" s="18">
        <f t="shared" si="4"/>
        <v>299.8</v>
      </c>
      <c r="K38" s="18">
        <f t="shared" si="4"/>
        <v>152.5</v>
      </c>
      <c r="L38" s="18">
        <f t="shared" si="4"/>
        <v>59.3</v>
      </c>
      <c r="M38" s="18">
        <f t="shared" si="4"/>
        <v>48</v>
      </c>
      <c r="N38" s="19">
        <f t="shared" si="4"/>
        <v>29.7</v>
      </c>
      <c r="O38" s="23">
        <f>ROUND(AVERAGE(O6:O35),1)</f>
        <v>1351.2</v>
      </c>
      <c r="P38" s="24">
        <f>ROUND(AVERAGE(P6:P35),1)</f>
        <v>112.6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2011</v>
      </c>
      <c r="C44" s="47">
        <f t="shared" ref="C44:N44" si="5">C26</f>
        <v>4</v>
      </c>
      <c r="D44" s="47">
        <f t="shared" si="5"/>
        <v>44.8</v>
      </c>
      <c r="E44" s="47">
        <f t="shared" si="5"/>
        <v>19</v>
      </c>
      <c r="F44" s="47">
        <f t="shared" si="5"/>
        <v>71</v>
      </c>
      <c r="G44" s="47">
        <f t="shared" si="5"/>
        <v>162</v>
      </c>
      <c r="H44" s="47">
        <f t="shared" si="5"/>
        <v>391.6</v>
      </c>
      <c r="I44" s="47">
        <f t="shared" si="5"/>
        <v>587.29999999999995</v>
      </c>
      <c r="J44" s="47">
        <f t="shared" si="5"/>
        <v>420.3</v>
      </c>
      <c r="K44" s="47">
        <f t="shared" si="5"/>
        <v>91.7</v>
      </c>
      <c r="L44" s="47">
        <f t="shared" si="5"/>
        <v>37</v>
      </c>
      <c r="M44" s="47">
        <f t="shared" si="5"/>
        <v>103.2</v>
      </c>
      <c r="N44" s="54">
        <f t="shared" si="5"/>
        <v>11.5</v>
      </c>
      <c r="O44" s="9">
        <f>ROUND(SUM(C44:N44),1)</f>
        <v>1943.4</v>
      </c>
      <c r="P44" s="15">
        <f>ROUND(O44/12,1)</f>
        <v>162</v>
      </c>
    </row>
    <row r="45" spans="2:16" ht="21.95" customHeight="1">
      <c r="B45" s="46">
        <f t="shared" ref="B45:N45" si="6">B27</f>
        <v>2012</v>
      </c>
      <c r="C45" s="47">
        <f t="shared" si="6"/>
        <v>16.399999999999999</v>
      </c>
      <c r="D45" s="47">
        <f t="shared" si="6"/>
        <v>2.5</v>
      </c>
      <c r="E45" s="47">
        <f t="shared" si="6"/>
        <v>54.6</v>
      </c>
      <c r="F45" s="47">
        <f t="shared" si="6"/>
        <v>66.2</v>
      </c>
      <c r="G45" s="47">
        <f t="shared" si="6"/>
        <v>24</v>
      </c>
      <c r="H45" s="47">
        <f t="shared" si="6"/>
        <v>57.8</v>
      </c>
      <c r="I45" s="47">
        <f t="shared" si="6"/>
        <v>277.60000000000002</v>
      </c>
      <c r="J45" s="47">
        <f t="shared" si="6"/>
        <v>463.6</v>
      </c>
      <c r="K45" s="47">
        <f t="shared" si="6"/>
        <v>242.5</v>
      </c>
      <c r="L45" s="47">
        <f t="shared" si="6"/>
        <v>81.3</v>
      </c>
      <c r="M45" s="47">
        <f t="shared" si="6"/>
        <v>58.4</v>
      </c>
      <c r="N45" s="54">
        <f t="shared" si="6"/>
        <v>64.599999999999994</v>
      </c>
      <c r="O45" s="9">
        <f t="shared" ref="O45:O53" si="7">ROUND(SUM(C45:N45),1)</f>
        <v>1409.5</v>
      </c>
      <c r="P45" s="15">
        <f t="shared" ref="P45:P53" si="8">ROUND(O45/12,1)</f>
        <v>117.5</v>
      </c>
    </row>
    <row r="46" spans="2:16" ht="21.95" customHeight="1">
      <c r="B46" s="46">
        <f t="shared" ref="B46:N46" si="9">B28</f>
        <v>2013</v>
      </c>
      <c r="C46" s="47">
        <f t="shared" si="9"/>
        <v>46.2</v>
      </c>
      <c r="D46" s="47">
        <f t="shared" si="9"/>
        <v>54.2</v>
      </c>
      <c r="E46" s="47">
        <f t="shared" si="9"/>
        <v>52.8</v>
      </c>
      <c r="F46" s="47">
        <f t="shared" si="9"/>
        <v>86.8</v>
      </c>
      <c r="G46" s="47">
        <f t="shared" si="9"/>
        <v>110.4</v>
      </c>
      <c r="H46" s="47">
        <f t="shared" si="9"/>
        <v>162.6</v>
      </c>
      <c r="I46" s="47">
        <f t="shared" si="9"/>
        <v>218.7</v>
      </c>
      <c r="J46" s="47">
        <f t="shared" si="9"/>
        <v>126.6</v>
      </c>
      <c r="K46" s="47">
        <f t="shared" si="9"/>
        <v>146.4</v>
      </c>
      <c r="L46" s="47">
        <f t="shared" si="9"/>
        <v>19.899999999999999</v>
      </c>
      <c r="M46" s="47">
        <f t="shared" si="9"/>
        <v>63.5</v>
      </c>
      <c r="N46" s="54">
        <f t="shared" si="9"/>
        <v>32.799999999999997</v>
      </c>
      <c r="O46" s="9">
        <f t="shared" si="7"/>
        <v>1120.9000000000001</v>
      </c>
      <c r="P46" s="15">
        <f t="shared" si="8"/>
        <v>93.4</v>
      </c>
    </row>
    <row r="47" spans="2:16" ht="21.95" customHeight="1">
      <c r="B47" s="46">
        <f t="shared" ref="B47:N47" si="10">B29</f>
        <v>2014</v>
      </c>
      <c r="C47" s="47">
        <f t="shared" si="10"/>
        <v>6.5</v>
      </c>
      <c r="D47" s="47">
        <f t="shared" si="10"/>
        <v>8.5</v>
      </c>
      <c r="E47" s="47">
        <f t="shared" si="10"/>
        <v>67.2</v>
      </c>
      <c r="F47" s="47">
        <f t="shared" si="10"/>
        <v>59.4</v>
      </c>
      <c r="G47" s="47">
        <f t="shared" si="10"/>
        <v>49.7</v>
      </c>
      <c r="H47" s="47">
        <f t="shared" si="10"/>
        <v>143.69999999999999</v>
      </c>
      <c r="I47" s="47">
        <f t="shared" si="10"/>
        <v>177.2</v>
      </c>
      <c r="J47" s="47">
        <f t="shared" si="10"/>
        <v>240.9</v>
      </c>
      <c r="K47" s="47">
        <f t="shared" si="10"/>
        <v>118</v>
      </c>
      <c r="L47" s="47">
        <f t="shared" si="10"/>
        <v>169.4</v>
      </c>
      <c r="M47" s="47">
        <f t="shared" si="10"/>
        <v>40.700000000000003</v>
      </c>
      <c r="N47" s="54">
        <f t="shared" si="10"/>
        <v>36.700000000000003</v>
      </c>
      <c r="O47" s="9">
        <f>ROUND(SUM(C47:N47),1)</f>
        <v>1117.9000000000001</v>
      </c>
      <c r="P47" s="15">
        <f t="shared" si="8"/>
        <v>93.2</v>
      </c>
    </row>
    <row r="48" spans="2:16" ht="21.95" customHeight="1">
      <c r="B48" s="46">
        <f t="shared" ref="B48:N48" si="11">B30</f>
        <v>2015</v>
      </c>
      <c r="C48" s="47">
        <f t="shared" si="11"/>
        <v>31.5</v>
      </c>
      <c r="D48" s="47">
        <f t="shared" si="11"/>
        <v>27</v>
      </c>
      <c r="E48" s="47">
        <f t="shared" si="11"/>
        <v>44.7</v>
      </c>
      <c r="F48" s="47">
        <f t="shared" si="11"/>
        <v>95.2</v>
      </c>
      <c r="G48" s="47">
        <f t="shared" si="11"/>
        <v>28.9</v>
      </c>
      <c r="H48" s="47">
        <f t="shared" si="11"/>
        <v>119.8</v>
      </c>
      <c r="I48" s="47">
        <f t="shared" si="11"/>
        <v>145.6</v>
      </c>
      <c r="J48" s="47">
        <f t="shared" si="11"/>
        <v>51.6</v>
      </c>
      <c r="K48" s="47">
        <f t="shared" si="11"/>
        <v>18.5</v>
      </c>
      <c r="L48" s="47">
        <f t="shared" si="11"/>
        <v>94.1</v>
      </c>
      <c r="M48" s="47">
        <f t="shared" si="11"/>
        <v>126</v>
      </c>
      <c r="N48" s="54">
        <f t="shared" si="11"/>
        <v>39.700000000000003</v>
      </c>
      <c r="O48" s="9">
        <f t="shared" si="7"/>
        <v>822.6</v>
      </c>
      <c r="P48" s="15">
        <f t="shared" si="8"/>
        <v>68.599999999999994</v>
      </c>
    </row>
    <row r="49" spans="2:16" ht="21.95" customHeight="1">
      <c r="B49" s="46">
        <f t="shared" ref="B49:N49" si="12">B31</f>
        <v>2016</v>
      </c>
      <c r="C49" s="47">
        <f t="shared" si="12"/>
        <v>11.6</v>
      </c>
      <c r="D49" s="47">
        <f t="shared" si="12"/>
        <v>45.8</v>
      </c>
      <c r="E49" s="47">
        <f t="shared" si="12"/>
        <v>40.299999999999997</v>
      </c>
      <c r="F49" s="47">
        <f t="shared" si="12"/>
        <v>154.9</v>
      </c>
      <c r="G49" s="47">
        <f t="shared" si="12"/>
        <v>85.1</v>
      </c>
      <c r="H49" s="47">
        <f t="shared" si="12"/>
        <v>62.5</v>
      </c>
      <c r="I49" s="47">
        <f t="shared" si="12"/>
        <v>367.9</v>
      </c>
      <c r="J49" s="47">
        <f t="shared" si="12"/>
        <v>57.4</v>
      </c>
      <c r="K49" s="47">
        <f t="shared" si="12"/>
        <v>196</v>
      </c>
      <c r="L49" s="47">
        <f t="shared" si="12"/>
        <v>122.6</v>
      </c>
      <c r="M49" s="47">
        <f t="shared" si="12"/>
        <v>29.5</v>
      </c>
      <c r="N49" s="54">
        <f t="shared" si="12"/>
        <v>54.8</v>
      </c>
      <c r="O49" s="9">
        <f t="shared" si="7"/>
        <v>1228.4000000000001</v>
      </c>
      <c r="P49" s="15">
        <f t="shared" si="8"/>
        <v>102.4</v>
      </c>
    </row>
    <row r="50" spans="2:16" ht="21.95" customHeight="1">
      <c r="B50" s="46">
        <f t="shared" ref="B50:N50" si="13">B32</f>
        <v>2017</v>
      </c>
      <c r="C50" s="47">
        <f t="shared" si="13"/>
        <v>15</v>
      </c>
      <c r="D50" s="47">
        <f t="shared" si="13"/>
        <v>42</v>
      </c>
      <c r="E50" s="47">
        <f t="shared" si="13"/>
        <v>11.6</v>
      </c>
      <c r="F50" s="47">
        <f t="shared" si="13"/>
        <v>77.7</v>
      </c>
      <c r="G50" s="47">
        <f t="shared" si="13"/>
        <v>29.3</v>
      </c>
      <c r="H50" s="47">
        <f t="shared" si="13"/>
        <v>35.299999999999997</v>
      </c>
      <c r="I50" s="47">
        <f t="shared" si="13"/>
        <v>434.5</v>
      </c>
      <c r="J50" s="47">
        <f t="shared" si="13"/>
        <v>293.8</v>
      </c>
      <c r="K50" s="47">
        <f t="shared" si="13"/>
        <v>111.4</v>
      </c>
      <c r="L50" s="47">
        <f t="shared" si="13"/>
        <v>28.3</v>
      </c>
      <c r="M50" s="47">
        <f t="shared" si="13"/>
        <v>15.1</v>
      </c>
      <c r="N50" s="54">
        <f t="shared" si="13"/>
        <v>33.5</v>
      </c>
      <c r="O50" s="9">
        <f t="shared" si="7"/>
        <v>1127.5</v>
      </c>
      <c r="P50" s="15">
        <f t="shared" si="8"/>
        <v>94</v>
      </c>
    </row>
    <row r="51" spans="2:16" ht="21.95" customHeight="1">
      <c r="B51" s="46">
        <f t="shared" ref="B51:N51" si="14">B33</f>
        <v>2018</v>
      </c>
      <c r="C51" s="47">
        <f t="shared" si="14"/>
        <v>23.9</v>
      </c>
      <c r="D51" s="47">
        <f t="shared" si="14"/>
        <v>40.5</v>
      </c>
      <c r="E51" s="47">
        <f t="shared" si="14"/>
        <v>108.4</v>
      </c>
      <c r="F51" s="47">
        <f t="shared" si="14"/>
        <v>155.30000000000001</v>
      </c>
      <c r="G51" s="47">
        <f t="shared" si="14"/>
        <v>95.9</v>
      </c>
      <c r="H51" s="47">
        <f t="shared" si="14"/>
        <v>115.8</v>
      </c>
      <c r="I51" s="47">
        <f t="shared" si="14"/>
        <v>226.9</v>
      </c>
      <c r="J51" s="47">
        <f t="shared" si="14"/>
        <v>408.6</v>
      </c>
      <c r="K51" s="47">
        <f t="shared" si="14"/>
        <v>149.4</v>
      </c>
      <c r="L51" s="47">
        <f t="shared" si="14"/>
        <v>133.9</v>
      </c>
      <c r="M51" s="47">
        <f t="shared" si="14"/>
        <v>49.8</v>
      </c>
      <c r="N51" s="54">
        <f t="shared" si="14"/>
        <v>33.700000000000003</v>
      </c>
      <c r="O51" s="9">
        <f t="shared" si="7"/>
        <v>1542.1</v>
      </c>
      <c r="P51" s="15">
        <f t="shared" si="8"/>
        <v>128.5</v>
      </c>
    </row>
    <row r="52" spans="2:16" ht="21.95" customHeight="1">
      <c r="B52" s="46">
        <f t="shared" ref="B52:N52" si="15">B34</f>
        <v>2019</v>
      </c>
      <c r="C52" s="47">
        <f t="shared" si="15"/>
        <v>1.7</v>
      </c>
      <c r="D52" s="47">
        <f t="shared" si="15"/>
        <v>46.3</v>
      </c>
      <c r="E52" s="47">
        <f t="shared" si="15"/>
        <v>33.700000000000003</v>
      </c>
      <c r="F52" s="47">
        <f t="shared" si="15"/>
        <v>91.6</v>
      </c>
      <c r="G52" s="47">
        <f t="shared" si="15"/>
        <v>35.6</v>
      </c>
      <c r="H52" s="47">
        <f t="shared" si="15"/>
        <v>77.900000000000006</v>
      </c>
      <c r="I52" s="47">
        <f t="shared" si="15"/>
        <v>199</v>
      </c>
      <c r="J52" s="47">
        <f t="shared" si="15"/>
        <v>104.3</v>
      </c>
      <c r="K52" s="47">
        <f t="shared" si="15"/>
        <v>167</v>
      </c>
      <c r="L52" s="47">
        <f t="shared" si="15"/>
        <v>106.1</v>
      </c>
      <c r="M52" s="47">
        <f t="shared" si="15"/>
        <v>94</v>
      </c>
      <c r="N52" s="54">
        <f t="shared" si="15"/>
        <v>27</v>
      </c>
      <c r="O52" s="9">
        <f t="shared" si="7"/>
        <v>984.2</v>
      </c>
      <c r="P52" s="15">
        <f t="shared" si="8"/>
        <v>82</v>
      </c>
    </row>
    <row r="53" spans="2:16" ht="21.95" customHeight="1" thickBot="1">
      <c r="B53" s="51">
        <f t="shared" ref="B53:N53" si="16">B35</f>
        <v>2020</v>
      </c>
      <c r="C53" s="52">
        <f t="shared" si="16"/>
        <v>78.5</v>
      </c>
      <c r="D53" s="52">
        <f t="shared" si="16"/>
        <v>91.2</v>
      </c>
      <c r="E53" s="52">
        <f t="shared" si="16"/>
        <v>24.4</v>
      </c>
      <c r="F53" s="52">
        <f t="shared" si="16"/>
        <v>17.8</v>
      </c>
      <c r="G53" s="52">
        <f t="shared" si="16"/>
        <v>80.400000000000006</v>
      </c>
      <c r="H53" s="52">
        <f t="shared" si="16"/>
        <v>192.5</v>
      </c>
      <c r="I53" s="52">
        <f t="shared" si="16"/>
        <v>544.9</v>
      </c>
      <c r="J53" s="52">
        <f t="shared" si="16"/>
        <v>361.6</v>
      </c>
      <c r="K53" s="52">
        <f t="shared" si="16"/>
        <v>173.6</v>
      </c>
      <c r="L53" s="52">
        <f t="shared" si="16"/>
        <v>3.2</v>
      </c>
      <c r="M53" s="52">
        <f t="shared" si="16"/>
        <v>41.8</v>
      </c>
      <c r="N53" s="55">
        <f t="shared" si="16"/>
        <v>4.0999999999999996</v>
      </c>
      <c r="O53" s="41">
        <f t="shared" si="7"/>
        <v>1614</v>
      </c>
      <c r="P53" s="24">
        <f t="shared" si="8"/>
        <v>134.5</v>
      </c>
    </row>
    <row r="54" spans="2:16" ht="21.95" customHeight="1">
      <c r="B54" s="48" t="s">
        <v>19</v>
      </c>
      <c r="C54" s="49">
        <f>MAX(C44:C53)</f>
        <v>78.5</v>
      </c>
      <c r="D54" s="49">
        <f t="shared" ref="D54:P54" si="17">MAX(D44:D53)</f>
        <v>91.2</v>
      </c>
      <c r="E54" s="49">
        <f t="shared" si="17"/>
        <v>108.4</v>
      </c>
      <c r="F54" s="49">
        <f t="shared" si="17"/>
        <v>155.30000000000001</v>
      </c>
      <c r="G54" s="49">
        <f t="shared" si="17"/>
        <v>162</v>
      </c>
      <c r="H54" s="49">
        <f t="shared" si="17"/>
        <v>391.6</v>
      </c>
      <c r="I54" s="49">
        <f t="shared" si="17"/>
        <v>587.29999999999995</v>
      </c>
      <c r="J54" s="49">
        <f t="shared" si="17"/>
        <v>463.6</v>
      </c>
      <c r="K54" s="49">
        <f t="shared" si="17"/>
        <v>242.5</v>
      </c>
      <c r="L54" s="49">
        <f t="shared" si="17"/>
        <v>169.4</v>
      </c>
      <c r="M54" s="49">
        <f t="shared" si="17"/>
        <v>126</v>
      </c>
      <c r="N54" s="50">
        <f t="shared" si="17"/>
        <v>64.599999999999994</v>
      </c>
      <c r="O54" s="53">
        <f t="shared" si="17"/>
        <v>1943.4</v>
      </c>
      <c r="P54" s="50">
        <f t="shared" si="17"/>
        <v>162</v>
      </c>
    </row>
    <row r="55" spans="2:16" ht="21.95" customHeight="1">
      <c r="B55" s="37" t="s">
        <v>20</v>
      </c>
      <c r="C55" s="7">
        <f>MIN(C44:C53)</f>
        <v>1.7</v>
      </c>
      <c r="D55" s="7">
        <f t="shared" ref="D55:P55" si="18">MIN(D44:D53)</f>
        <v>2.5</v>
      </c>
      <c r="E55" s="7">
        <f t="shared" si="18"/>
        <v>11.6</v>
      </c>
      <c r="F55" s="7">
        <f t="shared" si="18"/>
        <v>17.8</v>
      </c>
      <c r="G55" s="7">
        <f t="shared" si="18"/>
        <v>24</v>
      </c>
      <c r="H55" s="7">
        <f t="shared" si="18"/>
        <v>35.299999999999997</v>
      </c>
      <c r="I55" s="7">
        <f t="shared" si="18"/>
        <v>145.6</v>
      </c>
      <c r="J55" s="7">
        <f t="shared" si="18"/>
        <v>51.6</v>
      </c>
      <c r="K55" s="7">
        <f t="shared" si="18"/>
        <v>18.5</v>
      </c>
      <c r="L55" s="7">
        <f t="shared" si="18"/>
        <v>3.2</v>
      </c>
      <c r="M55" s="7">
        <f t="shared" si="18"/>
        <v>15.1</v>
      </c>
      <c r="N55" s="15">
        <f t="shared" si="18"/>
        <v>4.0999999999999996</v>
      </c>
      <c r="O55" s="9">
        <f>MIN(O44:O53)</f>
        <v>822.6</v>
      </c>
      <c r="P55" s="15">
        <f t="shared" si="18"/>
        <v>68.599999999999994</v>
      </c>
    </row>
    <row r="56" spans="2:16" ht="21.95" customHeight="1" thickBot="1">
      <c r="B56" s="38" t="s">
        <v>7</v>
      </c>
      <c r="C56" s="39">
        <f>ROUND(AVERAGE(C44:C53),1)</f>
        <v>23.5</v>
      </c>
      <c r="D56" s="39">
        <f t="shared" ref="D56:N56" si="19">ROUND(AVERAGE(D44:D53),1)</f>
        <v>40.299999999999997</v>
      </c>
      <c r="E56" s="39">
        <f t="shared" si="19"/>
        <v>45.7</v>
      </c>
      <c r="F56" s="39">
        <f t="shared" si="19"/>
        <v>87.6</v>
      </c>
      <c r="G56" s="39">
        <f t="shared" si="19"/>
        <v>70.099999999999994</v>
      </c>
      <c r="H56" s="39">
        <f t="shared" si="19"/>
        <v>136</v>
      </c>
      <c r="I56" s="39">
        <f t="shared" si="19"/>
        <v>318</v>
      </c>
      <c r="J56" s="39">
        <f t="shared" si="19"/>
        <v>252.9</v>
      </c>
      <c r="K56" s="39">
        <f t="shared" si="19"/>
        <v>141.5</v>
      </c>
      <c r="L56" s="39">
        <f t="shared" si="19"/>
        <v>79.599999999999994</v>
      </c>
      <c r="M56" s="39">
        <f t="shared" si="19"/>
        <v>62.2</v>
      </c>
      <c r="N56" s="24">
        <f t="shared" si="19"/>
        <v>33.799999999999997</v>
      </c>
      <c r="O56" s="41">
        <f>ROUND(AVERAGE(O44:O53),1)</f>
        <v>1291.0999999999999</v>
      </c>
      <c r="P56" s="24">
        <f>ROUND(AVERAGE(P44:P53),1)</f>
        <v>107.6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17" r:id="rId4" name="CommandButton5">
          <controlPr defaultSize="0" autoLine="0" r:id="rId5">
            <anchor moveWithCells="1">
              <from>
                <xdr:col>17</xdr:col>
                <xdr:colOff>47625</xdr:colOff>
                <xdr:row>4</xdr:row>
                <xdr:rowOff>0</xdr:rowOff>
              </from>
              <to>
                <xdr:col>19</xdr:col>
                <xdr:colOff>352425</xdr:colOff>
                <xdr:row>5</xdr:row>
                <xdr:rowOff>171450</xdr:rowOff>
              </to>
            </anchor>
          </controlPr>
        </control>
      </mc:Choice>
      <mc:Fallback>
        <control shapeId="59417" r:id="rId4" name="CommandButton5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285750</xdr:colOff>
                <xdr:row>9</xdr:row>
                <xdr:rowOff>142875</xdr:rowOff>
              </from>
              <to>
                <xdr:col>23</xdr:col>
                <xdr:colOff>390525</xdr:colOff>
                <xdr:row>11</xdr:row>
                <xdr:rowOff>38100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285750</xdr:colOff>
                <xdr:row>5</xdr:row>
                <xdr:rowOff>104775</xdr:rowOff>
              </from>
              <to>
                <xdr:col>23</xdr:col>
                <xdr:colOff>390525</xdr:colOff>
                <xdr:row>7</xdr:row>
                <xdr:rowOff>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285750</xdr:colOff>
                <xdr:row>7</xdr:row>
                <xdr:rowOff>142875</xdr:rowOff>
              </from>
              <to>
                <xdr:col>23</xdr:col>
                <xdr:colOff>390525</xdr:colOff>
                <xdr:row>9</xdr:row>
                <xdr:rowOff>38100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AD17"/>
  <sheetViews>
    <sheetView workbookViewId="0">
      <selection activeCell="F27" sqref="F27"/>
    </sheetView>
  </sheetViews>
  <sheetFormatPr defaultRowHeight="16.5"/>
  <cols>
    <col min="1" max="1" width="8.88671875" style="57"/>
    <col min="2" max="2" width="5.88671875" style="69" customWidth="1"/>
    <col min="3" max="3" width="3.21875" style="57" customWidth="1"/>
    <col min="4" max="4" width="8.88671875" style="57"/>
    <col min="5" max="5" width="6" style="57" customWidth="1"/>
    <col min="6" max="6" width="2.33203125" style="57" customWidth="1"/>
    <col min="7" max="7" width="8.88671875" style="57"/>
    <col min="8" max="8" width="4.6640625" style="57" customWidth="1"/>
    <col min="9" max="9" width="2.5546875" style="57" customWidth="1"/>
    <col min="10" max="10" width="8.88671875" style="57"/>
    <col min="11" max="11" width="5.109375" style="57" customWidth="1"/>
    <col min="12" max="12" width="1.88671875" style="57" customWidth="1"/>
    <col min="13" max="13" width="8.88671875" style="57"/>
    <col min="14" max="14" width="5.6640625" style="57" customWidth="1"/>
    <col min="15" max="15" width="2.44140625" style="57" customWidth="1"/>
    <col min="16" max="16" width="8.88671875" style="57"/>
    <col min="17" max="17" width="4.21875" style="57" customWidth="1"/>
    <col min="18" max="18" width="2.21875" style="57" customWidth="1"/>
    <col min="19" max="19" width="8.88671875" style="57"/>
    <col min="20" max="20" width="5" style="57" customWidth="1"/>
    <col min="21" max="21" width="2" style="57" customWidth="1"/>
    <col min="22" max="22" width="8.88671875" style="57"/>
    <col min="23" max="23" width="5.33203125" style="57" customWidth="1"/>
    <col min="24" max="24" width="2.33203125" style="57" customWidth="1"/>
    <col min="25" max="25" width="8.88671875" style="57"/>
    <col min="26" max="26" width="4.77734375" style="57" customWidth="1"/>
    <col min="27" max="27" width="2.77734375" style="57" customWidth="1"/>
    <col min="28" max="28" width="8.88671875" style="57"/>
    <col min="29" max="29" width="5.21875" style="57" customWidth="1"/>
    <col min="30" max="16384" width="8.88671875" style="57"/>
  </cols>
  <sheetData>
    <row r="1" spans="1:30">
      <c r="A1" s="57" t="s">
        <v>129</v>
      </c>
      <c r="B1" s="69" t="s">
        <v>130</v>
      </c>
      <c r="D1" s="57" t="s">
        <v>129</v>
      </c>
      <c r="E1" s="69" t="s">
        <v>130</v>
      </c>
      <c r="G1" s="57" t="s">
        <v>129</v>
      </c>
      <c r="H1" s="69" t="s">
        <v>130</v>
      </c>
      <c r="J1" s="57" t="s">
        <v>129</v>
      </c>
      <c r="K1" s="69" t="s">
        <v>130</v>
      </c>
      <c r="M1" s="57" t="s">
        <v>129</v>
      </c>
      <c r="N1" s="69" t="s">
        <v>130</v>
      </c>
      <c r="P1" s="57" t="s">
        <v>129</v>
      </c>
      <c r="Q1" s="69" t="s">
        <v>130</v>
      </c>
      <c r="S1" s="57" t="s">
        <v>129</v>
      </c>
      <c r="T1" s="69" t="s">
        <v>130</v>
      </c>
      <c r="V1" s="57" t="s">
        <v>129</v>
      </c>
      <c r="W1" s="69" t="s">
        <v>130</v>
      </c>
      <c r="Y1" s="57" t="s">
        <v>129</v>
      </c>
      <c r="Z1" s="69" t="s">
        <v>130</v>
      </c>
      <c r="AB1" s="57" t="s">
        <v>129</v>
      </c>
      <c r="AC1" s="57" t="s">
        <v>161</v>
      </c>
      <c r="AD1" s="69" t="s">
        <v>160</v>
      </c>
    </row>
    <row r="2" spans="1:30">
      <c r="A2" s="57" t="s">
        <v>32</v>
      </c>
      <c r="B2" s="69">
        <v>108</v>
      </c>
      <c r="D2" s="57" t="s">
        <v>41</v>
      </c>
      <c r="E2" s="69">
        <v>93</v>
      </c>
      <c r="G2" s="57" t="s">
        <v>56</v>
      </c>
      <c r="H2" s="69">
        <v>131</v>
      </c>
      <c r="J2" s="57" t="s">
        <v>61</v>
      </c>
      <c r="K2" s="69">
        <v>177</v>
      </c>
      <c r="M2" s="57" t="s">
        <v>68</v>
      </c>
      <c r="N2" s="69">
        <v>146</v>
      </c>
      <c r="P2" s="57" t="s">
        <v>78</v>
      </c>
      <c r="Q2" s="69">
        <v>156</v>
      </c>
      <c r="S2" s="57" t="s">
        <v>94</v>
      </c>
      <c r="T2" s="69">
        <v>136</v>
      </c>
      <c r="V2" s="57" t="s">
        <v>109</v>
      </c>
      <c r="W2" s="69">
        <v>159</v>
      </c>
      <c r="Y2" s="57" t="s">
        <v>125</v>
      </c>
      <c r="Z2" s="69">
        <v>184</v>
      </c>
      <c r="AB2" s="57" t="s">
        <v>131</v>
      </c>
      <c r="AC2" s="57" t="s">
        <v>151</v>
      </c>
      <c r="AD2" s="70" t="s">
        <v>140</v>
      </c>
    </row>
    <row r="3" spans="1:30">
      <c r="A3" s="57" t="s">
        <v>33</v>
      </c>
      <c r="B3" s="69">
        <v>102</v>
      </c>
      <c r="D3" s="57" t="s">
        <v>42</v>
      </c>
      <c r="E3" s="69">
        <v>95</v>
      </c>
      <c r="G3" s="57" t="s">
        <v>57</v>
      </c>
      <c r="H3" s="69">
        <v>127</v>
      </c>
      <c r="J3" s="57" t="s">
        <v>62</v>
      </c>
      <c r="K3" s="69">
        <v>133</v>
      </c>
      <c r="M3" s="57" t="s">
        <v>69</v>
      </c>
      <c r="N3" s="69">
        <v>140</v>
      </c>
      <c r="P3" s="57" t="s">
        <v>79</v>
      </c>
      <c r="Q3" s="69">
        <v>165</v>
      </c>
      <c r="S3" s="57" t="s">
        <v>95</v>
      </c>
      <c r="T3" s="69">
        <v>138</v>
      </c>
      <c r="V3" s="57" t="s">
        <v>110</v>
      </c>
      <c r="W3" s="69">
        <v>152</v>
      </c>
      <c r="Y3" s="57" t="s">
        <v>126</v>
      </c>
      <c r="Z3" s="69">
        <v>185</v>
      </c>
      <c r="AB3" s="57" t="s">
        <v>132</v>
      </c>
      <c r="AC3" s="57" t="s">
        <v>152</v>
      </c>
      <c r="AD3" s="70" t="s">
        <v>141</v>
      </c>
    </row>
    <row r="4" spans="1:30">
      <c r="A4" s="57" t="s">
        <v>34</v>
      </c>
      <c r="B4" s="69">
        <v>98</v>
      </c>
      <c r="D4" s="57" t="s">
        <v>43</v>
      </c>
      <c r="E4" s="69">
        <v>101</v>
      </c>
      <c r="G4" s="57" t="s">
        <v>58</v>
      </c>
      <c r="H4" s="69">
        <v>135</v>
      </c>
      <c r="J4" s="57" t="s">
        <v>63</v>
      </c>
      <c r="K4" s="69">
        <v>129</v>
      </c>
      <c r="M4" s="57" t="s">
        <v>70</v>
      </c>
      <c r="N4" s="69">
        <v>243</v>
      </c>
      <c r="P4" s="57" t="s">
        <v>80</v>
      </c>
      <c r="Q4" s="69">
        <v>169</v>
      </c>
      <c r="S4" s="57" t="s">
        <v>96</v>
      </c>
      <c r="T4" s="69">
        <v>143</v>
      </c>
      <c r="V4" s="57" t="s">
        <v>111</v>
      </c>
      <c r="W4" s="69">
        <v>155</v>
      </c>
      <c r="Y4" s="57" t="s">
        <v>127</v>
      </c>
      <c r="Z4" s="69">
        <v>189</v>
      </c>
      <c r="AB4" s="57" t="s">
        <v>133</v>
      </c>
      <c r="AC4" s="57" t="s">
        <v>153</v>
      </c>
      <c r="AD4" s="70" t="s">
        <v>142</v>
      </c>
    </row>
    <row r="5" spans="1:30">
      <c r="A5" s="57" t="s">
        <v>35</v>
      </c>
      <c r="B5" s="69">
        <v>99</v>
      </c>
      <c r="D5" s="57" t="s">
        <v>44</v>
      </c>
      <c r="E5" s="69">
        <v>114</v>
      </c>
      <c r="G5" s="57" t="s">
        <v>59</v>
      </c>
      <c r="H5" s="69">
        <v>221</v>
      </c>
      <c r="J5" s="57" t="s">
        <v>64</v>
      </c>
      <c r="K5" s="69">
        <v>232</v>
      </c>
      <c r="M5" s="57" t="s">
        <v>71</v>
      </c>
      <c r="N5" s="69">
        <v>244</v>
      </c>
      <c r="P5" s="57" t="s">
        <v>81</v>
      </c>
      <c r="Q5" s="69">
        <v>168</v>
      </c>
      <c r="S5" s="57" t="s">
        <v>97</v>
      </c>
      <c r="T5" s="69">
        <v>176</v>
      </c>
      <c r="V5" s="57" t="s">
        <v>112</v>
      </c>
      <c r="W5" s="69">
        <v>255</v>
      </c>
      <c r="Y5" s="57" t="s">
        <v>128</v>
      </c>
      <c r="Z5" s="69">
        <v>188</v>
      </c>
      <c r="AB5" s="57" t="s">
        <v>134</v>
      </c>
      <c r="AC5" s="57" t="s">
        <v>154</v>
      </c>
      <c r="AD5" s="70" t="s">
        <v>143</v>
      </c>
    </row>
    <row r="6" spans="1:30">
      <c r="A6" s="57" t="s">
        <v>36</v>
      </c>
      <c r="B6" s="69">
        <v>112</v>
      </c>
      <c r="D6" s="57" t="s">
        <v>45</v>
      </c>
      <c r="E6" s="69">
        <v>121</v>
      </c>
      <c r="G6" s="57" t="s">
        <v>60</v>
      </c>
      <c r="H6" s="69">
        <v>226</v>
      </c>
      <c r="J6" s="57" t="s">
        <v>65</v>
      </c>
      <c r="K6" s="69">
        <v>235</v>
      </c>
      <c r="M6" s="57" t="s">
        <v>72</v>
      </c>
      <c r="N6" s="69">
        <v>245</v>
      </c>
      <c r="P6" s="57" t="s">
        <v>82</v>
      </c>
      <c r="Q6" s="69">
        <v>170</v>
      </c>
      <c r="S6" s="57" t="s">
        <v>98</v>
      </c>
      <c r="T6" s="69">
        <v>130</v>
      </c>
      <c r="V6" s="57" t="s">
        <v>113</v>
      </c>
      <c r="W6" s="69">
        <v>162</v>
      </c>
      <c r="AB6" s="57" t="s">
        <v>135</v>
      </c>
      <c r="AC6" s="57" t="s">
        <v>155</v>
      </c>
      <c r="AD6" s="70" t="s">
        <v>144</v>
      </c>
    </row>
    <row r="7" spans="1:30">
      <c r="A7" s="57" t="s">
        <v>37</v>
      </c>
      <c r="B7" s="69">
        <v>119</v>
      </c>
      <c r="D7" s="57" t="s">
        <v>46</v>
      </c>
      <c r="E7" s="69">
        <v>211</v>
      </c>
      <c r="J7" s="57" t="s">
        <v>66</v>
      </c>
      <c r="K7" s="69">
        <v>236</v>
      </c>
      <c r="M7" s="57" t="s">
        <v>73</v>
      </c>
      <c r="N7" s="69">
        <v>247</v>
      </c>
      <c r="P7" s="57" t="s">
        <v>83</v>
      </c>
      <c r="Q7" s="69">
        <v>175</v>
      </c>
      <c r="S7" s="57" t="s">
        <v>99</v>
      </c>
      <c r="T7" s="69">
        <v>137</v>
      </c>
      <c r="V7" s="57" t="s">
        <v>114</v>
      </c>
      <c r="W7" s="69">
        <v>192</v>
      </c>
      <c r="AB7" s="57" t="s">
        <v>136</v>
      </c>
      <c r="AC7" s="57" t="s">
        <v>156</v>
      </c>
      <c r="AD7" s="70" t="s">
        <v>145</v>
      </c>
    </row>
    <row r="8" spans="1:30">
      <c r="A8" s="57" t="s">
        <v>38</v>
      </c>
      <c r="B8" s="69">
        <v>201</v>
      </c>
      <c r="D8" s="57" t="s">
        <v>47</v>
      </c>
      <c r="E8" s="69">
        <v>212</v>
      </c>
      <c r="J8" s="57" t="s">
        <v>67</v>
      </c>
      <c r="K8" s="69">
        <v>238</v>
      </c>
      <c r="M8" s="57" t="s">
        <v>74</v>
      </c>
      <c r="N8" s="69">
        <v>248</v>
      </c>
      <c r="P8" s="57" t="s">
        <v>84</v>
      </c>
      <c r="Q8" s="69">
        <v>268</v>
      </c>
      <c r="S8" s="57" t="s">
        <v>100</v>
      </c>
      <c r="T8" s="69">
        <v>271</v>
      </c>
      <c r="V8" s="57" t="s">
        <v>115</v>
      </c>
      <c r="W8" s="69">
        <v>284</v>
      </c>
      <c r="AB8" s="57" t="s">
        <v>137</v>
      </c>
      <c r="AC8" s="57" t="s">
        <v>157</v>
      </c>
      <c r="AD8" s="70" t="s">
        <v>146</v>
      </c>
    </row>
    <row r="9" spans="1:30">
      <c r="A9" s="57" t="s">
        <v>39</v>
      </c>
      <c r="B9" s="69">
        <v>202</v>
      </c>
      <c r="D9" s="57" t="s">
        <v>48</v>
      </c>
      <c r="E9" s="69">
        <v>104</v>
      </c>
      <c r="M9" s="57" t="s">
        <v>75</v>
      </c>
      <c r="N9" s="69">
        <v>254</v>
      </c>
      <c r="P9" s="57" t="s">
        <v>85</v>
      </c>
      <c r="Q9" s="69">
        <v>252</v>
      </c>
      <c r="S9" s="57" t="s">
        <v>101</v>
      </c>
      <c r="T9" s="69">
        <v>272</v>
      </c>
      <c r="V9" s="57" t="s">
        <v>116</v>
      </c>
      <c r="W9" s="69">
        <v>285</v>
      </c>
      <c r="AB9" s="57" t="s">
        <v>138</v>
      </c>
      <c r="AC9" s="57" t="s">
        <v>158</v>
      </c>
      <c r="AD9" s="70" t="s">
        <v>147</v>
      </c>
    </row>
    <row r="10" spans="1:30">
      <c r="A10" s="57" t="s">
        <v>40</v>
      </c>
      <c r="B10" s="69">
        <v>203</v>
      </c>
      <c r="D10" s="57" t="s">
        <v>49</v>
      </c>
      <c r="E10" s="69">
        <v>115</v>
      </c>
      <c r="M10" s="57" t="s">
        <v>76</v>
      </c>
      <c r="N10" s="69">
        <v>172</v>
      </c>
      <c r="P10" s="57" t="s">
        <v>86</v>
      </c>
      <c r="Q10" s="69">
        <v>174</v>
      </c>
      <c r="S10" s="57" t="s">
        <v>102</v>
      </c>
      <c r="T10" s="69">
        <v>273</v>
      </c>
      <c r="V10" s="57" t="s">
        <v>117</v>
      </c>
      <c r="W10" s="69">
        <v>288</v>
      </c>
      <c r="AB10" s="57" t="s">
        <v>139</v>
      </c>
      <c r="AC10" s="57" t="s">
        <v>159</v>
      </c>
      <c r="AD10" s="70" t="s">
        <v>148</v>
      </c>
    </row>
    <row r="11" spans="1:30">
      <c r="D11" s="57" t="s">
        <v>50</v>
      </c>
      <c r="E11" s="69">
        <v>105</v>
      </c>
      <c r="M11" s="57" t="s">
        <v>77</v>
      </c>
      <c r="N11" s="69">
        <v>251</v>
      </c>
      <c r="P11" s="57" t="s">
        <v>87</v>
      </c>
      <c r="Q11" s="69">
        <v>256</v>
      </c>
      <c r="S11" s="57" t="s">
        <v>103</v>
      </c>
      <c r="T11" s="69">
        <v>277</v>
      </c>
      <c r="V11" s="57" t="s">
        <v>118</v>
      </c>
      <c r="W11" s="69">
        <v>289</v>
      </c>
    </row>
    <row r="12" spans="1:30">
      <c r="D12" s="57" t="s">
        <v>51</v>
      </c>
      <c r="E12" s="69">
        <v>90</v>
      </c>
      <c r="P12" s="57" t="s">
        <v>88</v>
      </c>
      <c r="Q12" s="69">
        <v>260</v>
      </c>
      <c r="S12" s="57" t="s">
        <v>104</v>
      </c>
      <c r="T12" s="69">
        <v>278</v>
      </c>
      <c r="V12" s="57" t="s">
        <v>119</v>
      </c>
      <c r="W12" s="69">
        <v>294</v>
      </c>
    </row>
    <row r="13" spans="1:30">
      <c r="D13" s="57" t="s">
        <v>52</v>
      </c>
      <c r="E13" s="69">
        <v>100</v>
      </c>
      <c r="P13" s="57" t="s">
        <v>89</v>
      </c>
      <c r="Q13" s="69">
        <v>261</v>
      </c>
      <c r="S13" s="57" t="s">
        <v>105</v>
      </c>
      <c r="T13" s="69">
        <v>279</v>
      </c>
      <c r="V13" s="57" t="s">
        <v>120</v>
      </c>
      <c r="W13" s="69">
        <v>295</v>
      </c>
    </row>
    <row r="14" spans="1:30">
      <c r="D14" s="57" t="s">
        <v>53</v>
      </c>
      <c r="E14" s="69">
        <v>106</v>
      </c>
      <c r="P14" s="57" t="s">
        <v>90</v>
      </c>
      <c r="Q14" s="69">
        <v>262</v>
      </c>
      <c r="S14" s="57" t="s">
        <v>106</v>
      </c>
      <c r="T14" s="69">
        <v>281</v>
      </c>
      <c r="V14" s="57" t="s">
        <v>121</v>
      </c>
      <c r="W14" s="69">
        <v>253</v>
      </c>
    </row>
    <row r="15" spans="1:30">
      <c r="D15" s="57" t="s">
        <v>54</v>
      </c>
      <c r="E15" s="69">
        <v>216</v>
      </c>
      <c r="P15" s="57" t="s">
        <v>91</v>
      </c>
      <c r="Q15" s="69">
        <v>259</v>
      </c>
      <c r="S15" s="57" t="s">
        <v>107</v>
      </c>
      <c r="T15" s="69">
        <v>276</v>
      </c>
      <c r="V15" s="57" t="s">
        <v>122</v>
      </c>
      <c r="W15" s="69">
        <v>257</v>
      </c>
    </row>
    <row r="16" spans="1:30">
      <c r="D16" s="57" t="s">
        <v>55</v>
      </c>
      <c r="E16" s="69">
        <v>217</v>
      </c>
      <c r="P16" s="57" t="s">
        <v>92</v>
      </c>
      <c r="Q16" s="69">
        <v>258</v>
      </c>
      <c r="S16" s="57" t="s">
        <v>108</v>
      </c>
      <c r="T16" s="69">
        <v>283</v>
      </c>
      <c r="V16" s="57" t="s">
        <v>123</v>
      </c>
      <c r="W16" s="69">
        <v>263</v>
      </c>
    </row>
    <row r="17" spans="16:23">
      <c r="P17" s="57" t="s">
        <v>93</v>
      </c>
      <c r="Q17" s="69">
        <v>266</v>
      </c>
      <c r="V17" s="57" t="s">
        <v>124</v>
      </c>
      <c r="W17" s="69">
        <v>264</v>
      </c>
    </row>
  </sheetData>
  <phoneticPr fontId="5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F3C4-8BE1-44D4-8A98-6BD808E52822}">
  <sheetPr codeName="Sheet2"/>
  <dimension ref="A1:B98"/>
  <sheetViews>
    <sheetView workbookViewId="0">
      <selection activeCell="A27" sqref="A27"/>
    </sheetView>
  </sheetViews>
  <sheetFormatPr defaultRowHeight="16.5"/>
  <cols>
    <col min="1" max="1" width="8.88671875" style="57"/>
    <col min="2" max="2" width="8" style="69" customWidth="1"/>
    <col min="3" max="3" width="21.109375" style="57" customWidth="1"/>
    <col min="4" max="16384" width="8.88671875" style="57"/>
  </cols>
  <sheetData>
    <row r="1" spans="1:2">
      <c r="A1" s="57" t="s">
        <v>129</v>
      </c>
      <c r="B1" s="69" t="s">
        <v>130</v>
      </c>
    </row>
    <row r="2" spans="1:2">
      <c r="A2" s="57" t="s">
        <v>32</v>
      </c>
      <c r="B2" s="69">
        <v>108</v>
      </c>
    </row>
    <row r="3" spans="1:2">
      <c r="A3" s="57" t="s">
        <v>33</v>
      </c>
      <c r="B3" s="69">
        <v>102</v>
      </c>
    </row>
    <row r="4" spans="1:2">
      <c r="A4" s="57" t="s">
        <v>34</v>
      </c>
      <c r="B4" s="69">
        <v>98</v>
      </c>
    </row>
    <row r="5" spans="1:2">
      <c r="A5" s="57" t="s">
        <v>35</v>
      </c>
      <c r="B5" s="69">
        <v>99</v>
      </c>
    </row>
    <row r="6" spans="1:2">
      <c r="A6" s="57" t="s">
        <v>36</v>
      </c>
      <c r="B6" s="69">
        <v>112</v>
      </c>
    </row>
    <row r="7" spans="1:2">
      <c r="A7" s="57" t="s">
        <v>37</v>
      </c>
      <c r="B7" s="69">
        <v>119</v>
      </c>
    </row>
    <row r="8" spans="1:2">
      <c r="A8" s="57" t="s">
        <v>38</v>
      </c>
      <c r="B8" s="69">
        <v>201</v>
      </c>
    </row>
    <row r="9" spans="1:2">
      <c r="A9" s="57" t="s">
        <v>39</v>
      </c>
      <c r="B9" s="69">
        <v>202</v>
      </c>
    </row>
    <row r="10" spans="1:2">
      <c r="A10" s="57" t="s">
        <v>40</v>
      </c>
      <c r="B10" s="69">
        <v>203</v>
      </c>
    </row>
    <row r="11" spans="1:2">
      <c r="A11" s="57" t="s">
        <v>41</v>
      </c>
      <c r="B11" s="69">
        <v>93</v>
      </c>
    </row>
    <row r="12" spans="1:2">
      <c r="A12" s="57" t="s">
        <v>42</v>
      </c>
      <c r="B12" s="69">
        <v>95</v>
      </c>
    </row>
    <row r="13" spans="1:2">
      <c r="A13" s="57" t="s">
        <v>43</v>
      </c>
      <c r="B13" s="69">
        <v>101</v>
      </c>
    </row>
    <row r="14" spans="1:2">
      <c r="A14" s="57" t="s">
        <v>44</v>
      </c>
      <c r="B14" s="69">
        <v>114</v>
      </c>
    </row>
    <row r="15" spans="1:2">
      <c r="A15" s="57" t="s">
        <v>45</v>
      </c>
      <c r="B15" s="69">
        <v>121</v>
      </c>
    </row>
    <row r="16" spans="1:2">
      <c r="A16" s="57" t="s">
        <v>46</v>
      </c>
      <c r="B16" s="69">
        <v>211</v>
      </c>
    </row>
    <row r="17" spans="1:2">
      <c r="A17" s="57" t="s">
        <v>47</v>
      </c>
      <c r="B17" s="69">
        <v>212</v>
      </c>
    </row>
    <row r="18" spans="1:2">
      <c r="A18" s="57" t="s">
        <v>48</v>
      </c>
      <c r="B18" s="69">
        <v>104</v>
      </c>
    </row>
    <row r="19" spans="1:2">
      <c r="A19" s="57" t="s">
        <v>49</v>
      </c>
      <c r="B19" s="69">
        <v>115</v>
      </c>
    </row>
    <row r="20" spans="1:2">
      <c r="A20" s="57" t="s">
        <v>50</v>
      </c>
      <c r="B20" s="69">
        <v>105</v>
      </c>
    </row>
    <row r="21" spans="1:2">
      <c r="A21" s="57" t="s">
        <v>51</v>
      </c>
      <c r="B21" s="69">
        <v>90</v>
      </c>
    </row>
    <row r="22" spans="1:2">
      <c r="A22" s="57" t="s">
        <v>52</v>
      </c>
      <c r="B22" s="69">
        <v>100</v>
      </c>
    </row>
    <row r="23" spans="1:2">
      <c r="A23" s="57" t="s">
        <v>53</v>
      </c>
      <c r="B23" s="69">
        <v>106</v>
      </c>
    </row>
    <row r="24" spans="1:2">
      <c r="A24" s="57" t="s">
        <v>54</v>
      </c>
      <c r="B24" s="69">
        <v>216</v>
      </c>
    </row>
    <row r="25" spans="1:2">
      <c r="A25" s="57" t="s">
        <v>55</v>
      </c>
      <c r="B25" s="69">
        <v>217</v>
      </c>
    </row>
    <row r="26" spans="1:2">
      <c r="A26" s="57" t="s">
        <v>56</v>
      </c>
      <c r="B26" s="69">
        <v>131</v>
      </c>
    </row>
    <row r="27" spans="1:2">
      <c r="A27" s="57" t="s">
        <v>57</v>
      </c>
      <c r="B27" s="69">
        <v>127</v>
      </c>
    </row>
    <row r="28" spans="1:2">
      <c r="A28" s="57" t="s">
        <v>58</v>
      </c>
      <c r="B28" s="69">
        <v>135</v>
      </c>
    </row>
    <row r="29" spans="1:2">
      <c r="A29" s="57" t="s">
        <v>59</v>
      </c>
      <c r="B29" s="69">
        <v>221</v>
      </c>
    </row>
    <row r="30" spans="1:2">
      <c r="A30" s="57" t="s">
        <v>60</v>
      </c>
      <c r="B30" s="69">
        <v>226</v>
      </c>
    </row>
    <row r="31" spans="1:2">
      <c r="A31" s="57" t="s">
        <v>61</v>
      </c>
      <c r="B31" s="69">
        <v>177</v>
      </c>
    </row>
    <row r="32" spans="1:2">
      <c r="A32" s="57" t="s">
        <v>62</v>
      </c>
      <c r="B32" s="69">
        <v>133</v>
      </c>
    </row>
    <row r="33" spans="1:2">
      <c r="A33" s="57" t="s">
        <v>63</v>
      </c>
      <c r="B33" s="69">
        <v>129</v>
      </c>
    </row>
    <row r="34" spans="1:2">
      <c r="A34" s="57" t="s">
        <v>64</v>
      </c>
      <c r="B34" s="69">
        <v>232</v>
      </c>
    </row>
    <row r="35" spans="1:2">
      <c r="A35" s="57" t="s">
        <v>65</v>
      </c>
      <c r="B35" s="69">
        <v>235</v>
      </c>
    </row>
    <row r="36" spans="1:2">
      <c r="A36" s="57" t="s">
        <v>66</v>
      </c>
      <c r="B36" s="69">
        <v>236</v>
      </c>
    </row>
    <row r="37" spans="1:2">
      <c r="A37" s="57" t="s">
        <v>67</v>
      </c>
      <c r="B37" s="69">
        <v>238</v>
      </c>
    </row>
    <row r="38" spans="1:2">
      <c r="A38" s="57" t="s">
        <v>68</v>
      </c>
      <c r="B38" s="69">
        <v>146</v>
      </c>
    </row>
    <row r="39" spans="1:2">
      <c r="A39" s="57" t="s">
        <v>69</v>
      </c>
      <c r="B39" s="69">
        <v>140</v>
      </c>
    </row>
    <row r="40" spans="1:2">
      <c r="A40" s="57" t="s">
        <v>70</v>
      </c>
      <c r="B40" s="69">
        <v>243</v>
      </c>
    </row>
    <row r="41" spans="1:2">
      <c r="A41" s="57" t="s">
        <v>71</v>
      </c>
      <c r="B41" s="69">
        <v>244</v>
      </c>
    </row>
    <row r="42" spans="1:2">
      <c r="A42" s="57" t="s">
        <v>72</v>
      </c>
      <c r="B42" s="69">
        <v>245</v>
      </c>
    </row>
    <row r="43" spans="1:2">
      <c r="A43" s="57" t="s">
        <v>73</v>
      </c>
      <c r="B43" s="69">
        <v>247</v>
      </c>
    </row>
    <row r="44" spans="1:2">
      <c r="A44" s="57" t="s">
        <v>74</v>
      </c>
      <c r="B44" s="69">
        <v>248</v>
      </c>
    </row>
    <row r="45" spans="1:2">
      <c r="A45" s="57" t="s">
        <v>75</v>
      </c>
      <c r="B45" s="69">
        <v>254</v>
      </c>
    </row>
    <row r="46" spans="1:2">
      <c r="A46" s="57" t="s">
        <v>76</v>
      </c>
      <c r="B46" s="69">
        <v>172</v>
      </c>
    </row>
    <row r="47" spans="1:2">
      <c r="A47" s="57" t="s">
        <v>77</v>
      </c>
      <c r="B47" s="69">
        <v>251</v>
      </c>
    </row>
    <row r="48" spans="1:2">
      <c r="A48" s="57" t="s">
        <v>78</v>
      </c>
      <c r="B48" s="69">
        <v>156</v>
      </c>
    </row>
    <row r="49" spans="1:2">
      <c r="A49" s="57" t="s">
        <v>79</v>
      </c>
      <c r="B49" s="69">
        <v>165</v>
      </c>
    </row>
    <row r="50" spans="1:2">
      <c r="A50" s="57" t="s">
        <v>80</v>
      </c>
      <c r="B50" s="69">
        <v>169</v>
      </c>
    </row>
    <row r="51" spans="1:2">
      <c r="A51" s="57" t="s">
        <v>81</v>
      </c>
      <c r="B51" s="69">
        <v>168</v>
      </c>
    </row>
    <row r="52" spans="1:2">
      <c r="A52" s="57" t="s">
        <v>82</v>
      </c>
      <c r="B52" s="69">
        <v>170</v>
      </c>
    </row>
    <row r="53" spans="1:2">
      <c r="A53" s="57" t="s">
        <v>83</v>
      </c>
      <c r="B53" s="69">
        <v>175</v>
      </c>
    </row>
    <row r="54" spans="1:2">
      <c r="A54" s="57" t="s">
        <v>84</v>
      </c>
      <c r="B54" s="69">
        <v>268</v>
      </c>
    </row>
    <row r="55" spans="1:2">
      <c r="A55" s="57" t="s">
        <v>85</v>
      </c>
      <c r="B55" s="69">
        <v>252</v>
      </c>
    </row>
    <row r="56" spans="1:2">
      <c r="A56" s="57" t="s">
        <v>86</v>
      </c>
      <c r="B56" s="69">
        <v>174</v>
      </c>
    </row>
    <row r="57" spans="1:2">
      <c r="A57" s="57" t="s">
        <v>87</v>
      </c>
      <c r="B57" s="69">
        <v>256</v>
      </c>
    </row>
    <row r="58" spans="1:2">
      <c r="A58" s="57" t="s">
        <v>88</v>
      </c>
      <c r="B58" s="69">
        <v>260</v>
      </c>
    </row>
    <row r="59" spans="1:2">
      <c r="A59" s="57" t="s">
        <v>89</v>
      </c>
      <c r="B59" s="69">
        <v>261</v>
      </c>
    </row>
    <row r="60" spans="1:2">
      <c r="A60" s="57" t="s">
        <v>90</v>
      </c>
      <c r="B60" s="69">
        <v>262</v>
      </c>
    </row>
    <row r="61" spans="1:2">
      <c r="A61" s="57" t="s">
        <v>91</v>
      </c>
      <c r="B61" s="69">
        <v>259</v>
      </c>
    </row>
    <row r="62" spans="1:2">
      <c r="A62" s="57" t="s">
        <v>92</v>
      </c>
      <c r="B62" s="69">
        <v>258</v>
      </c>
    </row>
    <row r="63" spans="1:2">
      <c r="A63" s="57" t="s">
        <v>93</v>
      </c>
      <c r="B63" s="69">
        <v>266</v>
      </c>
    </row>
    <row r="64" spans="1:2">
      <c r="A64" s="57" t="s">
        <v>94</v>
      </c>
      <c r="B64" s="69">
        <v>136</v>
      </c>
    </row>
    <row r="65" spans="1:2">
      <c r="A65" s="57" t="s">
        <v>95</v>
      </c>
      <c r="B65" s="69">
        <v>138</v>
      </c>
    </row>
    <row r="66" spans="1:2">
      <c r="A66" s="57" t="s">
        <v>96</v>
      </c>
      <c r="B66" s="69">
        <v>143</v>
      </c>
    </row>
    <row r="67" spans="1:2">
      <c r="A67" s="57" t="s">
        <v>97</v>
      </c>
      <c r="B67" s="69">
        <v>176</v>
      </c>
    </row>
    <row r="68" spans="1:2">
      <c r="A68" s="57" t="s">
        <v>98</v>
      </c>
      <c r="B68" s="69">
        <v>130</v>
      </c>
    </row>
    <row r="69" spans="1:2">
      <c r="A69" s="57" t="s">
        <v>99</v>
      </c>
      <c r="B69" s="69">
        <v>137</v>
      </c>
    </row>
    <row r="70" spans="1:2">
      <c r="A70" s="57" t="s">
        <v>100</v>
      </c>
      <c r="B70" s="69">
        <v>271</v>
      </c>
    </row>
    <row r="71" spans="1:2">
      <c r="A71" s="57" t="s">
        <v>101</v>
      </c>
      <c r="B71" s="69">
        <v>272</v>
      </c>
    </row>
    <row r="72" spans="1:2">
      <c r="A72" s="57" t="s">
        <v>102</v>
      </c>
      <c r="B72" s="69">
        <v>273</v>
      </c>
    </row>
    <row r="73" spans="1:2">
      <c r="A73" s="57" t="s">
        <v>103</v>
      </c>
      <c r="B73" s="69">
        <v>277</v>
      </c>
    </row>
    <row r="74" spans="1:2">
      <c r="A74" s="57" t="s">
        <v>104</v>
      </c>
      <c r="B74" s="69">
        <v>278</v>
      </c>
    </row>
    <row r="75" spans="1:2">
      <c r="A75" s="57" t="s">
        <v>105</v>
      </c>
      <c r="B75" s="69">
        <v>279</v>
      </c>
    </row>
    <row r="76" spans="1:2">
      <c r="A76" s="57" t="s">
        <v>106</v>
      </c>
      <c r="B76" s="69">
        <v>281</v>
      </c>
    </row>
    <row r="77" spans="1:2">
      <c r="A77" s="57" t="s">
        <v>107</v>
      </c>
      <c r="B77" s="69">
        <v>276</v>
      </c>
    </row>
    <row r="78" spans="1:2">
      <c r="A78" s="57" t="s">
        <v>108</v>
      </c>
      <c r="B78" s="69">
        <v>283</v>
      </c>
    </row>
    <row r="79" spans="1:2">
      <c r="A79" s="57" t="s">
        <v>109</v>
      </c>
      <c r="B79" s="69">
        <v>159</v>
      </c>
    </row>
    <row r="80" spans="1:2">
      <c r="A80" s="57" t="s">
        <v>110</v>
      </c>
      <c r="B80" s="69">
        <v>152</v>
      </c>
    </row>
    <row r="81" spans="1:2">
      <c r="A81" s="57" t="s">
        <v>111</v>
      </c>
      <c r="B81" s="69">
        <v>155</v>
      </c>
    </row>
    <row r="82" spans="1:2">
      <c r="A82" s="57" t="s">
        <v>112</v>
      </c>
      <c r="B82" s="69">
        <v>255</v>
      </c>
    </row>
    <row r="83" spans="1:2">
      <c r="A83" s="57" t="s">
        <v>113</v>
      </c>
      <c r="B83" s="69">
        <v>162</v>
      </c>
    </row>
    <row r="84" spans="1:2">
      <c r="A84" s="57" t="s">
        <v>114</v>
      </c>
      <c r="B84" s="69">
        <v>192</v>
      </c>
    </row>
    <row r="85" spans="1:2">
      <c r="A85" s="57" t="s">
        <v>115</v>
      </c>
      <c r="B85" s="69">
        <v>284</v>
      </c>
    </row>
    <row r="86" spans="1:2">
      <c r="A86" s="57" t="s">
        <v>116</v>
      </c>
      <c r="B86" s="69">
        <v>285</v>
      </c>
    </row>
    <row r="87" spans="1:2">
      <c r="A87" s="57" t="s">
        <v>117</v>
      </c>
      <c r="B87" s="69">
        <v>288</v>
      </c>
    </row>
    <row r="88" spans="1:2">
      <c r="A88" s="57" t="s">
        <v>118</v>
      </c>
      <c r="B88" s="69">
        <v>289</v>
      </c>
    </row>
    <row r="89" spans="1:2">
      <c r="A89" s="57" t="s">
        <v>119</v>
      </c>
      <c r="B89" s="69">
        <v>294</v>
      </c>
    </row>
    <row r="90" spans="1:2">
      <c r="A90" s="57" t="s">
        <v>120</v>
      </c>
      <c r="B90" s="69">
        <v>295</v>
      </c>
    </row>
    <row r="91" spans="1:2">
      <c r="A91" s="57" t="s">
        <v>121</v>
      </c>
      <c r="B91" s="69">
        <v>253</v>
      </c>
    </row>
    <row r="92" spans="1:2">
      <c r="A92" s="57" t="s">
        <v>122</v>
      </c>
      <c r="B92" s="69">
        <v>257</v>
      </c>
    </row>
    <row r="93" spans="1:2">
      <c r="A93" s="57" t="s">
        <v>123</v>
      </c>
      <c r="B93" s="69">
        <v>263</v>
      </c>
    </row>
    <row r="94" spans="1:2">
      <c r="A94" s="57" t="s">
        <v>124</v>
      </c>
      <c r="B94" s="69">
        <v>264</v>
      </c>
    </row>
    <row r="95" spans="1:2">
      <c r="A95" s="57" t="s">
        <v>125</v>
      </c>
      <c r="B95" s="69">
        <v>184</v>
      </c>
    </row>
    <row r="96" spans="1:2">
      <c r="A96" s="57" t="s">
        <v>126</v>
      </c>
      <c r="B96" s="69">
        <v>185</v>
      </c>
    </row>
    <row r="97" spans="1:2">
      <c r="A97" s="57" t="s">
        <v>127</v>
      </c>
      <c r="B97" s="69">
        <v>189</v>
      </c>
    </row>
    <row r="98" spans="1:2">
      <c r="A98" s="57" t="s">
        <v>128</v>
      </c>
      <c r="B98" s="69">
        <v>188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72</vt:i4>
      </vt:variant>
    </vt:vector>
  </HeadingPairs>
  <TitlesOfParts>
    <vt:vector size="81" baseType="lpstr">
      <vt:lpstr>청주(유)</vt:lpstr>
      <vt:lpstr>대전(유)</vt:lpstr>
      <vt:lpstr>천안(무)</vt:lpstr>
      <vt:lpstr>서산(무)</vt:lpstr>
      <vt:lpstr>보령(무)</vt:lpstr>
      <vt:lpstr>부여(무)</vt:lpstr>
      <vt:lpstr>main</vt:lpstr>
      <vt:lpstr>AREA</vt:lpstr>
      <vt:lpstr>Code</vt:lpstr>
      <vt:lpstr>'대전(유)'!CategoryA_Area</vt:lpstr>
      <vt:lpstr>'보령(무)'!CategoryA_Area</vt:lpstr>
      <vt:lpstr>'부여(무)'!CategoryA_Area</vt:lpstr>
      <vt:lpstr>'서산(무)'!CategoryA_Area</vt:lpstr>
      <vt:lpstr>'천안(무)'!CategoryA_Area</vt:lpstr>
      <vt:lpstr>'청주(유)'!CategoryA_Area</vt:lpstr>
      <vt:lpstr>CategoryA_Area</vt:lpstr>
      <vt:lpstr>local_code</vt:lpstr>
      <vt:lpstr>Code!tbl_1</vt:lpstr>
      <vt:lpstr>'대전(유)'!tbl_1</vt:lpstr>
      <vt:lpstr>'보령(무)'!tbl_1</vt:lpstr>
      <vt:lpstr>'부여(무)'!tbl_1</vt:lpstr>
      <vt:lpstr>'서산(무)'!tbl_1</vt:lpstr>
      <vt:lpstr>'천안(무)'!tbl_1</vt:lpstr>
      <vt:lpstr>'청주(유)'!tbl_1</vt:lpstr>
      <vt:lpstr>tbl_1</vt:lpstr>
      <vt:lpstr>'대전(유)'!tbl_2</vt:lpstr>
      <vt:lpstr>'보령(무)'!tbl_2</vt:lpstr>
      <vt:lpstr>'부여(무)'!tbl_2</vt:lpstr>
      <vt:lpstr>'서산(무)'!tbl_2</vt:lpstr>
      <vt:lpstr>'천안(무)'!tbl_2</vt:lpstr>
      <vt:lpstr>'청주(유)'!tbl_2</vt:lpstr>
      <vt:lpstr>tbl_2</vt:lpstr>
      <vt:lpstr>'대전(유)'!tbl_3</vt:lpstr>
      <vt:lpstr>'보령(무)'!tbl_3</vt:lpstr>
      <vt:lpstr>'부여(무)'!tbl_3</vt:lpstr>
      <vt:lpstr>'서산(무)'!tbl_3</vt:lpstr>
      <vt:lpstr>'천안(무)'!tbl_3</vt:lpstr>
      <vt:lpstr>'청주(유)'!tbl_3</vt:lpstr>
      <vt:lpstr>tbl_3</vt:lpstr>
      <vt:lpstr>'대전(유)'!tbl_4</vt:lpstr>
      <vt:lpstr>'보령(무)'!tbl_4</vt:lpstr>
      <vt:lpstr>'부여(무)'!tbl_4</vt:lpstr>
      <vt:lpstr>'서산(무)'!tbl_4</vt:lpstr>
      <vt:lpstr>'천안(무)'!tbl_4</vt:lpstr>
      <vt:lpstr>'청주(유)'!tbl_4</vt:lpstr>
      <vt:lpstr>tbl_4</vt:lpstr>
      <vt:lpstr>'대전(유)'!tbl_5</vt:lpstr>
      <vt:lpstr>'보령(무)'!tbl_5</vt:lpstr>
      <vt:lpstr>'부여(무)'!tbl_5</vt:lpstr>
      <vt:lpstr>'서산(무)'!tbl_5</vt:lpstr>
      <vt:lpstr>'천안(무)'!tbl_5</vt:lpstr>
      <vt:lpstr>'청주(유)'!tbl_5</vt:lpstr>
      <vt:lpstr>tbl_5</vt:lpstr>
      <vt:lpstr>'대전(유)'!tbl_6</vt:lpstr>
      <vt:lpstr>'보령(무)'!tbl_6</vt:lpstr>
      <vt:lpstr>'부여(무)'!tbl_6</vt:lpstr>
      <vt:lpstr>'서산(무)'!tbl_6</vt:lpstr>
      <vt:lpstr>'천안(무)'!tbl_6</vt:lpstr>
      <vt:lpstr>'청주(유)'!tbl_6</vt:lpstr>
      <vt:lpstr>tbl_6</vt:lpstr>
      <vt:lpstr>'대전(유)'!tbl_7</vt:lpstr>
      <vt:lpstr>'보령(무)'!tbl_7</vt:lpstr>
      <vt:lpstr>'부여(무)'!tbl_7</vt:lpstr>
      <vt:lpstr>'서산(무)'!tbl_7</vt:lpstr>
      <vt:lpstr>'천안(무)'!tbl_7</vt:lpstr>
      <vt:lpstr>'청주(유)'!tbl_7</vt:lpstr>
      <vt:lpstr>tbl_7</vt:lpstr>
      <vt:lpstr>'대전(유)'!tbl_8</vt:lpstr>
      <vt:lpstr>'보령(무)'!tbl_8</vt:lpstr>
      <vt:lpstr>'부여(무)'!tbl_8</vt:lpstr>
      <vt:lpstr>'서산(무)'!tbl_8</vt:lpstr>
      <vt:lpstr>'천안(무)'!tbl_8</vt:lpstr>
      <vt:lpstr>'청주(유)'!tbl_8</vt:lpstr>
      <vt:lpstr>tbl_8</vt:lpstr>
      <vt:lpstr>'대전(유)'!tbl_9</vt:lpstr>
      <vt:lpstr>'보령(무)'!tbl_9</vt:lpstr>
      <vt:lpstr>'부여(무)'!tbl_9</vt:lpstr>
      <vt:lpstr>'서산(무)'!tbl_9</vt:lpstr>
      <vt:lpstr>'천안(무)'!tbl_9</vt:lpstr>
      <vt:lpstr>'청주(유)'!tbl_9</vt:lpstr>
      <vt:lpstr>tbl_9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2022-01-01T08:44:41Z</dcterms:modified>
</cp:coreProperties>
</file>