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\07_LandSlide\08_WebScraper\04_Selenium New Form\"/>
    </mc:Choice>
  </mc:AlternateContent>
  <xr:revisionPtr revIDLastSave="0" documentId="13_ncr:1_{68A74BBC-B6E4-4A61-AF1C-8AF120BD0977}" xr6:coauthVersionLast="47" xr6:coauthVersionMax="47" xr10:uidLastSave="{00000000-0000-0000-0000-000000000000}"/>
  <bookViews>
    <workbookView xWindow="28680" yWindow="-120" windowWidth="29040" windowHeight="15840" tabRatio="553" activeTab="4" xr2:uid="{00000000-000D-0000-FFFF-FFFF00000000}"/>
  </bookViews>
  <sheets>
    <sheet name="보령" sheetId="128" r:id="rId1"/>
    <sheet name="청주" sheetId="127" r:id="rId2"/>
    <sheet name="천안" sheetId="132" r:id="rId3"/>
    <sheet name="서산" sheetId="129" r:id="rId4"/>
    <sheet name="main" sheetId="103" r:id="rId5"/>
    <sheet name="AREA" sheetId="106" state="hidden" r:id="rId6"/>
  </sheets>
  <functionGroups builtInGroupCount="19"/>
  <definedNames>
    <definedName name="CategoryA_Area" localSheetId="0">tblLocation[Area]</definedName>
    <definedName name="CategoryA_Area" localSheetId="3">tblLocation[Area]</definedName>
    <definedName name="CategoryA_Area" localSheetId="2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53" i="132" l="1"/>
  <c r="M53" i="132"/>
  <c r="L53" i="132"/>
  <c r="K53" i="132"/>
  <c r="J53" i="132"/>
  <c r="I53" i="132"/>
  <c r="H53" i="132"/>
  <c r="G53" i="132"/>
  <c r="F53" i="132"/>
  <c r="E53" i="132"/>
  <c r="D53" i="132"/>
  <c r="C53" i="132"/>
  <c r="B53" i="132"/>
  <c r="N52" i="132"/>
  <c r="M52" i="132"/>
  <c r="L52" i="132"/>
  <c r="K52" i="132"/>
  <c r="J52" i="132"/>
  <c r="I52" i="132"/>
  <c r="H52" i="132"/>
  <c r="G52" i="132"/>
  <c r="F52" i="132"/>
  <c r="E52" i="132"/>
  <c r="D52" i="132"/>
  <c r="C52" i="132"/>
  <c r="B52" i="132"/>
  <c r="N51" i="132"/>
  <c r="M51" i="132"/>
  <c r="L51" i="132"/>
  <c r="K51" i="132"/>
  <c r="J51" i="132"/>
  <c r="I51" i="132"/>
  <c r="H51" i="132"/>
  <c r="G51" i="132"/>
  <c r="F51" i="132"/>
  <c r="E51" i="132"/>
  <c r="D51" i="132"/>
  <c r="C51" i="132"/>
  <c r="B51" i="132"/>
  <c r="N50" i="132"/>
  <c r="M50" i="132"/>
  <c r="L50" i="132"/>
  <c r="K50" i="132"/>
  <c r="J50" i="132"/>
  <c r="I50" i="132"/>
  <c r="H50" i="132"/>
  <c r="G50" i="132"/>
  <c r="F50" i="132"/>
  <c r="E50" i="132"/>
  <c r="D50" i="132"/>
  <c r="C50" i="132"/>
  <c r="B50" i="132"/>
  <c r="N49" i="132"/>
  <c r="M49" i="132"/>
  <c r="L49" i="132"/>
  <c r="K49" i="132"/>
  <c r="J49" i="132"/>
  <c r="I49" i="132"/>
  <c r="H49" i="132"/>
  <c r="G49" i="132"/>
  <c r="F49" i="132"/>
  <c r="E49" i="132"/>
  <c r="D49" i="132"/>
  <c r="C49" i="132"/>
  <c r="B49" i="132"/>
  <c r="N48" i="132"/>
  <c r="M48" i="132"/>
  <c r="L48" i="132"/>
  <c r="K48" i="132"/>
  <c r="J48" i="132"/>
  <c r="I48" i="132"/>
  <c r="H48" i="132"/>
  <c r="G48" i="132"/>
  <c r="F48" i="132"/>
  <c r="E48" i="132"/>
  <c r="D48" i="132"/>
  <c r="C48" i="132"/>
  <c r="B48" i="132"/>
  <c r="N47" i="132"/>
  <c r="M47" i="132"/>
  <c r="L47" i="132"/>
  <c r="K47" i="132"/>
  <c r="J47" i="132"/>
  <c r="I47" i="132"/>
  <c r="H47" i="132"/>
  <c r="G47" i="132"/>
  <c r="F47" i="132"/>
  <c r="E47" i="132"/>
  <c r="D47" i="132"/>
  <c r="O47" i="132" s="1"/>
  <c r="P47" i="132" s="1"/>
  <c r="C47" i="132"/>
  <c r="B47" i="132"/>
  <c r="N46" i="132"/>
  <c r="M46" i="132"/>
  <c r="L46" i="132"/>
  <c r="K46" i="132"/>
  <c r="J46" i="132"/>
  <c r="I46" i="132"/>
  <c r="H46" i="132"/>
  <c r="G46" i="132"/>
  <c r="F46" i="132"/>
  <c r="E46" i="132"/>
  <c r="D46" i="132"/>
  <c r="C46" i="132"/>
  <c r="B46" i="132"/>
  <c r="N45" i="132"/>
  <c r="M45" i="132"/>
  <c r="L45" i="132"/>
  <c r="K45" i="132"/>
  <c r="J45" i="132"/>
  <c r="I45" i="132"/>
  <c r="H45" i="132"/>
  <c r="G45" i="132"/>
  <c r="F45" i="132"/>
  <c r="E45" i="132"/>
  <c r="D45" i="132"/>
  <c r="C45" i="132"/>
  <c r="O45" i="132" s="1"/>
  <c r="P45" i="132" s="1"/>
  <c r="B45" i="132"/>
  <c r="N44" i="132"/>
  <c r="M44" i="132"/>
  <c r="L44" i="132"/>
  <c r="K44" i="132"/>
  <c r="J44" i="132"/>
  <c r="I44" i="132"/>
  <c r="H44" i="132"/>
  <c r="H55" i="132" s="1"/>
  <c r="G44" i="132"/>
  <c r="G55" i="132" s="1"/>
  <c r="F44" i="132"/>
  <c r="E44" i="132"/>
  <c r="D44" i="132"/>
  <c r="C44" i="132"/>
  <c r="B44" i="132"/>
  <c r="N38" i="132"/>
  <c r="M38" i="132"/>
  <c r="L38" i="132"/>
  <c r="K38" i="132"/>
  <c r="J38" i="132"/>
  <c r="I38" i="132"/>
  <c r="H38" i="132"/>
  <c r="G38" i="132"/>
  <c r="F38" i="132"/>
  <c r="E38" i="132"/>
  <c r="D38" i="132"/>
  <c r="C38" i="132"/>
  <c r="N37" i="132"/>
  <c r="M37" i="132"/>
  <c r="L37" i="132"/>
  <c r="K37" i="132"/>
  <c r="J37" i="132"/>
  <c r="I37" i="132"/>
  <c r="H37" i="132"/>
  <c r="G37" i="132"/>
  <c r="F37" i="132"/>
  <c r="E37" i="132"/>
  <c r="D37" i="132"/>
  <c r="C37" i="132"/>
  <c r="N36" i="132"/>
  <c r="M36" i="132"/>
  <c r="L36" i="132"/>
  <c r="K36" i="132"/>
  <c r="J36" i="132"/>
  <c r="I36" i="132"/>
  <c r="H36" i="132"/>
  <c r="G36" i="132"/>
  <c r="F36" i="132"/>
  <c r="E36" i="132"/>
  <c r="D36" i="132"/>
  <c r="C36" i="132"/>
  <c r="P35" i="132"/>
  <c r="O35" i="132"/>
  <c r="O34" i="132"/>
  <c r="P34" i="132" s="1"/>
  <c r="O33" i="132"/>
  <c r="P33" i="132" s="1"/>
  <c r="O32" i="132"/>
  <c r="P32" i="132" s="1"/>
  <c r="O31" i="132"/>
  <c r="P31" i="132" s="1"/>
  <c r="O30" i="132"/>
  <c r="P30" i="132" s="1"/>
  <c r="O29" i="132"/>
  <c r="P29" i="132" s="1"/>
  <c r="O28" i="132"/>
  <c r="P28" i="132" s="1"/>
  <c r="O27" i="132"/>
  <c r="P27" i="132" s="1"/>
  <c r="O26" i="132"/>
  <c r="P26" i="132" s="1"/>
  <c r="O25" i="132"/>
  <c r="P25" i="132" s="1"/>
  <c r="O24" i="132"/>
  <c r="P24" i="132" s="1"/>
  <c r="O23" i="132"/>
  <c r="P23" i="132" s="1"/>
  <c r="O22" i="132"/>
  <c r="P22" i="132" s="1"/>
  <c r="O21" i="132"/>
  <c r="P21" i="132" s="1"/>
  <c r="O20" i="132"/>
  <c r="P20" i="132" s="1"/>
  <c r="P19" i="132"/>
  <c r="O19" i="132"/>
  <c r="O18" i="132"/>
  <c r="P18" i="132" s="1"/>
  <c r="O17" i="132"/>
  <c r="P17" i="132" s="1"/>
  <c r="O16" i="132"/>
  <c r="P16" i="132" s="1"/>
  <c r="O15" i="132"/>
  <c r="P15" i="132" s="1"/>
  <c r="O14" i="132"/>
  <c r="P14" i="132" s="1"/>
  <c r="O13" i="132"/>
  <c r="P13" i="132" s="1"/>
  <c r="O12" i="132"/>
  <c r="P12" i="132" s="1"/>
  <c r="O11" i="132"/>
  <c r="P11" i="132" s="1"/>
  <c r="O10" i="132"/>
  <c r="P10" i="132" s="1"/>
  <c r="O9" i="132"/>
  <c r="P9" i="132" s="1"/>
  <c r="O8" i="132"/>
  <c r="P8" i="132" s="1"/>
  <c r="P7" i="132"/>
  <c r="O7" i="132"/>
  <c r="O6" i="132"/>
  <c r="R9" i="103"/>
  <c r="N53" i="129"/>
  <c r="M53" i="129"/>
  <c r="L53" i="129"/>
  <c r="K53" i="129"/>
  <c r="J53" i="129"/>
  <c r="I53" i="129"/>
  <c r="H53" i="129"/>
  <c r="G53" i="129"/>
  <c r="F53" i="129"/>
  <c r="E53" i="129"/>
  <c r="D53" i="129"/>
  <c r="C53" i="129"/>
  <c r="B53" i="129"/>
  <c r="N52" i="129"/>
  <c r="M52" i="129"/>
  <c r="L52" i="129"/>
  <c r="K52" i="129"/>
  <c r="J52" i="129"/>
  <c r="I52" i="129"/>
  <c r="H52" i="129"/>
  <c r="G52" i="129"/>
  <c r="F52" i="129"/>
  <c r="E52" i="129"/>
  <c r="D52" i="129"/>
  <c r="C52" i="129"/>
  <c r="B52" i="129"/>
  <c r="N51" i="129"/>
  <c r="M51" i="129"/>
  <c r="L51" i="129"/>
  <c r="K51" i="129"/>
  <c r="J51" i="129"/>
  <c r="I51" i="129"/>
  <c r="H51" i="129"/>
  <c r="G51" i="129"/>
  <c r="F51" i="129"/>
  <c r="E51" i="129"/>
  <c r="D51" i="129"/>
  <c r="C51" i="129"/>
  <c r="B51" i="129"/>
  <c r="N50" i="129"/>
  <c r="M50" i="129"/>
  <c r="L50" i="129"/>
  <c r="K50" i="129"/>
  <c r="J50" i="129"/>
  <c r="I50" i="129"/>
  <c r="H50" i="129"/>
  <c r="G50" i="129"/>
  <c r="F50" i="129"/>
  <c r="E50" i="129"/>
  <c r="D50" i="129"/>
  <c r="C50" i="129"/>
  <c r="B50" i="129"/>
  <c r="N49" i="129"/>
  <c r="M49" i="129"/>
  <c r="L49" i="129"/>
  <c r="K49" i="129"/>
  <c r="J49" i="129"/>
  <c r="I49" i="129"/>
  <c r="H49" i="129"/>
  <c r="G49" i="129"/>
  <c r="F49" i="129"/>
  <c r="E49" i="129"/>
  <c r="D49" i="129"/>
  <c r="C49" i="129"/>
  <c r="B49" i="129"/>
  <c r="N48" i="129"/>
  <c r="M48" i="129"/>
  <c r="L48" i="129"/>
  <c r="K48" i="129"/>
  <c r="J48" i="129"/>
  <c r="I48" i="129"/>
  <c r="H48" i="129"/>
  <c r="G48" i="129"/>
  <c r="F48" i="129"/>
  <c r="E48" i="129"/>
  <c r="D48" i="129"/>
  <c r="C48" i="129"/>
  <c r="B48" i="129"/>
  <c r="N47" i="129"/>
  <c r="M47" i="129"/>
  <c r="L47" i="129"/>
  <c r="K47" i="129"/>
  <c r="J47" i="129"/>
  <c r="I47" i="129"/>
  <c r="H47" i="129"/>
  <c r="G47" i="129"/>
  <c r="F47" i="129"/>
  <c r="E47" i="129"/>
  <c r="D47" i="129"/>
  <c r="C47" i="129"/>
  <c r="O47" i="129" s="1"/>
  <c r="P47" i="129" s="1"/>
  <c r="B47" i="129"/>
  <c r="N46" i="129"/>
  <c r="M46" i="129"/>
  <c r="L46" i="129"/>
  <c r="K46" i="129"/>
  <c r="J46" i="129"/>
  <c r="I46" i="129"/>
  <c r="H46" i="129"/>
  <c r="G46" i="129"/>
  <c r="F46" i="129"/>
  <c r="E46" i="129"/>
  <c r="D46" i="129"/>
  <c r="C46" i="129"/>
  <c r="O46" i="129" s="1"/>
  <c r="P46" i="129" s="1"/>
  <c r="B46" i="129"/>
  <c r="N45" i="129"/>
  <c r="M45" i="129"/>
  <c r="L45" i="129"/>
  <c r="K45" i="129"/>
  <c r="J45" i="129"/>
  <c r="I45" i="129"/>
  <c r="H45" i="129"/>
  <c r="G45" i="129"/>
  <c r="F45" i="129"/>
  <c r="E45" i="129"/>
  <c r="D45" i="129"/>
  <c r="C45" i="129"/>
  <c r="B45" i="129"/>
  <c r="N44" i="129"/>
  <c r="M44" i="129"/>
  <c r="L44" i="129"/>
  <c r="K44" i="129"/>
  <c r="J44" i="129"/>
  <c r="J56" i="129" s="1"/>
  <c r="I44" i="129"/>
  <c r="I54" i="129" s="1"/>
  <c r="H44" i="129"/>
  <c r="H54" i="129" s="1"/>
  <c r="G44" i="129"/>
  <c r="F44" i="129"/>
  <c r="E44" i="129"/>
  <c r="D44" i="129"/>
  <c r="C44" i="129"/>
  <c r="B44" i="129"/>
  <c r="N38" i="129"/>
  <c r="M38" i="129"/>
  <c r="L38" i="129"/>
  <c r="K38" i="129"/>
  <c r="J38" i="129"/>
  <c r="I38" i="129"/>
  <c r="H38" i="129"/>
  <c r="G38" i="129"/>
  <c r="F38" i="129"/>
  <c r="E38" i="129"/>
  <c r="D38" i="129"/>
  <c r="C38" i="129"/>
  <c r="N37" i="129"/>
  <c r="M37" i="129"/>
  <c r="L37" i="129"/>
  <c r="K37" i="129"/>
  <c r="J37" i="129"/>
  <c r="I37" i="129"/>
  <c r="H37" i="129"/>
  <c r="G37" i="129"/>
  <c r="F37" i="129"/>
  <c r="E37" i="129"/>
  <c r="D37" i="129"/>
  <c r="C37" i="129"/>
  <c r="N36" i="129"/>
  <c r="M36" i="129"/>
  <c r="L36" i="129"/>
  <c r="K36" i="129"/>
  <c r="J36" i="129"/>
  <c r="I36" i="129"/>
  <c r="H36" i="129"/>
  <c r="G36" i="129"/>
  <c r="F36" i="129"/>
  <c r="E36" i="129"/>
  <c r="D36" i="129"/>
  <c r="C36" i="129"/>
  <c r="O35" i="129"/>
  <c r="P35" i="129" s="1"/>
  <c r="O34" i="129"/>
  <c r="P34" i="129" s="1"/>
  <c r="O33" i="129"/>
  <c r="P33" i="129" s="1"/>
  <c r="O32" i="129"/>
  <c r="P32" i="129" s="1"/>
  <c r="O31" i="129"/>
  <c r="P31" i="129" s="1"/>
  <c r="O30" i="129"/>
  <c r="P30" i="129" s="1"/>
  <c r="O29" i="129"/>
  <c r="P29" i="129" s="1"/>
  <c r="O28" i="129"/>
  <c r="P28" i="129" s="1"/>
  <c r="P27" i="129"/>
  <c r="O27" i="129"/>
  <c r="O26" i="129"/>
  <c r="P26" i="129" s="1"/>
  <c r="O25" i="129"/>
  <c r="P25" i="129" s="1"/>
  <c r="O24" i="129"/>
  <c r="P24" i="129" s="1"/>
  <c r="O23" i="129"/>
  <c r="P23" i="129" s="1"/>
  <c r="O22" i="129"/>
  <c r="P22" i="129" s="1"/>
  <c r="O21" i="129"/>
  <c r="P21" i="129" s="1"/>
  <c r="O20" i="129"/>
  <c r="P20" i="129" s="1"/>
  <c r="O19" i="129"/>
  <c r="P19" i="129" s="1"/>
  <c r="O18" i="129"/>
  <c r="P18" i="129" s="1"/>
  <c r="O17" i="129"/>
  <c r="P17" i="129" s="1"/>
  <c r="O16" i="129"/>
  <c r="P16" i="129" s="1"/>
  <c r="O15" i="129"/>
  <c r="P15" i="129" s="1"/>
  <c r="O14" i="129"/>
  <c r="P14" i="129" s="1"/>
  <c r="O13" i="129"/>
  <c r="P13" i="129" s="1"/>
  <c r="O12" i="129"/>
  <c r="P12" i="129" s="1"/>
  <c r="O11" i="129"/>
  <c r="P11" i="129" s="1"/>
  <c r="O10" i="129"/>
  <c r="P10" i="129" s="1"/>
  <c r="O9" i="129"/>
  <c r="P9" i="129" s="1"/>
  <c r="O8" i="129"/>
  <c r="P8" i="129" s="1"/>
  <c r="O7" i="129"/>
  <c r="P7" i="129" s="1"/>
  <c r="P6" i="129"/>
  <c r="O6" i="129"/>
  <c r="N53" i="128"/>
  <c r="M53" i="128"/>
  <c r="L53" i="128"/>
  <c r="K53" i="128"/>
  <c r="J53" i="128"/>
  <c r="I53" i="128"/>
  <c r="H53" i="128"/>
  <c r="G53" i="128"/>
  <c r="F53" i="128"/>
  <c r="E53" i="128"/>
  <c r="D53" i="128"/>
  <c r="C53" i="128"/>
  <c r="B53" i="128"/>
  <c r="N52" i="128"/>
  <c r="M52" i="128"/>
  <c r="L52" i="128"/>
  <c r="K52" i="128"/>
  <c r="J52" i="128"/>
  <c r="I52" i="128"/>
  <c r="H52" i="128"/>
  <c r="G52" i="128"/>
  <c r="F52" i="128"/>
  <c r="E52" i="128"/>
  <c r="D52" i="128"/>
  <c r="C52" i="128"/>
  <c r="B52" i="128"/>
  <c r="N51" i="128"/>
  <c r="M51" i="128"/>
  <c r="L51" i="128"/>
  <c r="K51" i="128"/>
  <c r="J51" i="128"/>
  <c r="I51" i="128"/>
  <c r="H51" i="128"/>
  <c r="G51" i="128"/>
  <c r="F51" i="128"/>
  <c r="E51" i="128"/>
  <c r="D51" i="128"/>
  <c r="C51" i="128"/>
  <c r="B51" i="128"/>
  <c r="N50" i="128"/>
  <c r="M50" i="128"/>
  <c r="L50" i="128"/>
  <c r="K50" i="128"/>
  <c r="J50" i="128"/>
  <c r="I50" i="128"/>
  <c r="H50" i="128"/>
  <c r="G50" i="128"/>
  <c r="F50" i="128"/>
  <c r="E50" i="128"/>
  <c r="D50" i="128"/>
  <c r="C50" i="128"/>
  <c r="B50" i="128"/>
  <c r="N49" i="128"/>
  <c r="M49" i="128"/>
  <c r="L49" i="128"/>
  <c r="K49" i="128"/>
  <c r="J49" i="128"/>
  <c r="I49" i="128"/>
  <c r="H49" i="128"/>
  <c r="G49" i="128"/>
  <c r="F49" i="128"/>
  <c r="E49" i="128"/>
  <c r="D49" i="128"/>
  <c r="O49" i="128" s="1"/>
  <c r="P49" i="128" s="1"/>
  <c r="C49" i="128"/>
  <c r="B49" i="128"/>
  <c r="N48" i="128"/>
  <c r="M48" i="128"/>
  <c r="L48" i="128"/>
  <c r="K48" i="128"/>
  <c r="J48" i="128"/>
  <c r="I48" i="128"/>
  <c r="H48" i="128"/>
  <c r="G48" i="128"/>
  <c r="F48" i="128"/>
  <c r="E48" i="128"/>
  <c r="D48" i="128"/>
  <c r="C48" i="128"/>
  <c r="O48" i="128" s="1"/>
  <c r="P48" i="128" s="1"/>
  <c r="B48" i="128"/>
  <c r="N47" i="128"/>
  <c r="M47" i="128"/>
  <c r="L47" i="128"/>
  <c r="K47" i="128"/>
  <c r="J47" i="128"/>
  <c r="I47" i="128"/>
  <c r="H47" i="128"/>
  <c r="G47" i="128"/>
  <c r="F47" i="128"/>
  <c r="E47" i="128"/>
  <c r="D47" i="128"/>
  <c r="C47" i="128"/>
  <c r="B47" i="128"/>
  <c r="N46" i="128"/>
  <c r="M46" i="128"/>
  <c r="L46" i="128"/>
  <c r="K46" i="128"/>
  <c r="K56" i="128" s="1"/>
  <c r="J46" i="128"/>
  <c r="I46" i="128"/>
  <c r="H46" i="128"/>
  <c r="G46" i="128"/>
  <c r="F46" i="128"/>
  <c r="E46" i="128"/>
  <c r="D46" i="128"/>
  <c r="C46" i="128"/>
  <c r="B46" i="128"/>
  <c r="N45" i="128"/>
  <c r="M45" i="128"/>
  <c r="M54" i="128" s="1"/>
  <c r="L45" i="128"/>
  <c r="K45" i="128"/>
  <c r="J45" i="128"/>
  <c r="J54" i="128" s="1"/>
  <c r="I45" i="128"/>
  <c r="H45" i="128"/>
  <c r="G45" i="128"/>
  <c r="F45" i="128"/>
  <c r="E45" i="128"/>
  <c r="D45" i="128"/>
  <c r="C45" i="128"/>
  <c r="B45" i="128"/>
  <c r="N44" i="128"/>
  <c r="M44" i="128"/>
  <c r="L44" i="128"/>
  <c r="K44" i="128"/>
  <c r="J44" i="128"/>
  <c r="I44" i="128"/>
  <c r="I54" i="128" s="1"/>
  <c r="H44" i="128"/>
  <c r="G44" i="128"/>
  <c r="G55" i="128" s="1"/>
  <c r="F44" i="128"/>
  <c r="E44" i="128"/>
  <c r="E54" i="128" s="1"/>
  <c r="D44" i="128"/>
  <c r="C44" i="128"/>
  <c r="B44" i="128"/>
  <c r="N38" i="128"/>
  <c r="M38" i="128"/>
  <c r="L38" i="128"/>
  <c r="K38" i="128"/>
  <c r="J38" i="128"/>
  <c r="I38" i="128"/>
  <c r="H38" i="128"/>
  <c r="G38" i="128"/>
  <c r="F38" i="128"/>
  <c r="E38" i="128"/>
  <c r="D38" i="128"/>
  <c r="C38" i="128"/>
  <c r="N37" i="128"/>
  <c r="M37" i="128"/>
  <c r="L37" i="128"/>
  <c r="K37" i="128"/>
  <c r="J37" i="128"/>
  <c r="I37" i="128"/>
  <c r="H37" i="128"/>
  <c r="G37" i="128"/>
  <c r="F37" i="128"/>
  <c r="E37" i="128"/>
  <c r="D37" i="128"/>
  <c r="C37" i="128"/>
  <c r="N36" i="128"/>
  <c r="M36" i="128"/>
  <c r="L36" i="128"/>
  <c r="K36" i="128"/>
  <c r="J36" i="128"/>
  <c r="I36" i="128"/>
  <c r="H36" i="128"/>
  <c r="G36" i="128"/>
  <c r="F36" i="128"/>
  <c r="E36" i="128"/>
  <c r="D36" i="128"/>
  <c r="C36" i="128"/>
  <c r="O35" i="128"/>
  <c r="P35" i="128" s="1"/>
  <c r="O34" i="128"/>
  <c r="P34" i="128" s="1"/>
  <c r="O33" i="128"/>
  <c r="P33" i="128" s="1"/>
  <c r="O32" i="128"/>
  <c r="P32" i="128" s="1"/>
  <c r="O31" i="128"/>
  <c r="P31" i="128" s="1"/>
  <c r="O30" i="128"/>
  <c r="P30" i="128" s="1"/>
  <c r="O29" i="128"/>
  <c r="P29" i="128" s="1"/>
  <c r="P28" i="128"/>
  <c r="O28" i="128"/>
  <c r="O27" i="128"/>
  <c r="P27" i="128" s="1"/>
  <c r="O26" i="128"/>
  <c r="P26" i="128" s="1"/>
  <c r="O25" i="128"/>
  <c r="P25" i="128" s="1"/>
  <c r="P24" i="128"/>
  <c r="O24" i="128"/>
  <c r="O23" i="128"/>
  <c r="P23" i="128" s="1"/>
  <c r="O22" i="128"/>
  <c r="P22" i="128" s="1"/>
  <c r="O21" i="128"/>
  <c r="P21" i="128" s="1"/>
  <c r="O20" i="128"/>
  <c r="P20" i="128" s="1"/>
  <c r="O19" i="128"/>
  <c r="P19" i="128" s="1"/>
  <c r="O18" i="128"/>
  <c r="P18" i="128" s="1"/>
  <c r="O17" i="128"/>
  <c r="P17" i="128" s="1"/>
  <c r="P16" i="128"/>
  <c r="O16" i="128"/>
  <c r="O15" i="128"/>
  <c r="P15" i="128" s="1"/>
  <c r="O14" i="128"/>
  <c r="P14" i="128" s="1"/>
  <c r="O13" i="128"/>
  <c r="P13" i="128" s="1"/>
  <c r="O12" i="128"/>
  <c r="P12" i="128" s="1"/>
  <c r="O11" i="128"/>
  <c r="P11" i="128" s="1"/>
  <c r="O10" i="128"/>
  <c r="P10" i="128" s="1"/>
  <c r="O9" i="128"/>
  <c r="P9" i="128" s="1"/>
  <c r="O8" i="128"/>
  <c r="P8" i="128" s="1"/>
  <c r="O7" i="128"/>
  <c r="P7" i="128" s="1"/>
  <c r="O6" i="128"/>
  <c r="C38" i="103"/>
  <c r="N38" i="103"/>
  <c r="M38" i="103"/>
  <c r="L38" i="103"/>
  <c r="K38" i="103"/>
  <c r="N53" i="127"/>
  <c r="M53" i="127"/>
  <c r="L53" i="127"/>
  <c r="K53" i="127"/>
  <c r="J53" i="127"/>
  <c r="I53" i="127"/>
  <c r="H53" i="127"/>
  <c r="G53" i="127"/>
  <c r="F53" i="127"/>
  <c r="E53" i="127"/>
  <c r="D53" i="127"/>
  <c r="C53" i="127"/>
  <c r="O53" i="127" s="1"/>
  <c r="P53" i="127" s="1"/>
  <c r="B53" i="127"/>
  <c r="N52" i="127"/>
  <c r="M52" i="127"/>
  <c r="L52" i="127"/>
  <c r="K52" i="127"/>
  <c r="J52" i="127"/>
  <c r="I52" i="127"/>
  <c r="H52" i="127"/>
  <c r="G52" i="127"/>
  <c r="F52" i="127"/>
  <c r="E52" i="127"/>
  <c r="D52" i="127"/>
  <c r="C52" i="127"/>
  <c r="B52" i="127"/>
  <c r="N51" i="127"/>
  <c r="M51" i="127"/>
  <c r="L51" i="127"/>
  <c r="K51" i="127"/>
  <c r="J51" i="127"/>
  <c r="I51" i="127"/>
  <c r="H51" i="127"/>
  <c r="G51" i="127"/>
  <c r="F51" i="127"/>
  <c r="E51" i="127"/>
  <c r="D51" i="127"/>
  <c r="C51" i="127"/>
  <c r="B51" i="127"/>
  <c r="N50" i="127"/>
  <c r="M50" i="127"/>
  <c r="L50" i="127"/>
  <c r="K50" i="127"/>
  <c r="J50" i="127"/>
  <c r="I50" i="127"/>
  <c r="H50" i="127"/>
  <c r="H54" i="127" s="1"/>
  <c r="G50" i="127"/>
  <c r="F50" i="127"/>
  <c r="E50" i="127"/>
  <c r="D50" i="127"/>
  <c r="C50" i="127"/>
  <c r="B50" i="127"/>
  <c r="N49" i="127"/>
  <c r="M49" i="127"/>
  <c r="L49" i="127"/>
  <c r="K49" i="127"/>
  <c r="J49" i="127"/>
  <c r="I49" i="127"/>
  <c r="H49" i="127"/>
  <c r="G49" i="127"/>
  <c r="F49" i="127"/>
  <c r="E49" i="127"/>
  <c r="D49" i="127"/>
  <c r="C49" i="127"/>
  <c r="B49" i="127"/>
  <c r="N48" i="127"/>
  <c r="M48" i="127"/>
  <c r="L48" i="127"/>
  <c r="K48" i="127"/>
  <c r="J48" i="127"/>
  <c r="I48" i="127"/>
  <c r="H48" i="127"/>
  <c r="G48" i="127"/>
  <c r="F48" i="127"/>
  <c r="E48" i="127"/>
  <c r="D48" i="127"/>
  <c r="C48" i="127"/>
  <c r="B48" i="127"/>
  <c r="N47" i="127"/>
  <c r="M47" i="127"/>
  <c r="L47" i="127"/>
  <c r="K47" i="127"/>
  <c r="J47" i="127"/>
  <c r="I47" i="127"/>
  <c r="H47" i="127"/>
  <c r="G47" i="127"/>
  <c r="F47" i="127"/>
  <c r="E47" i="127"/>
  <c r="D47" i="127"/>
  <c r="C47" i="127"/>
  <c r="B47" i="127"/>
  <c r="N46" i="127"/>
  <c r="M46" i="127"/>
  <c r="L46" i="127"/>
  <c r="K46" i="127"/>
  <c r="J46" i="127"/>
  <c r="I46" i="127"/>
  <c r="H46" i="127"/>
  <c r="G46" i="127"/>
  <c r="F46" i="127"/>
  <c r="E46" i="127"/>
  <c r="D46" i="127"/>
  <c r="C46" i="127"/>
  <c r="B46" i="127"/>
  <c r="N45" i="127"/>
  <c r="M45" i="127"/>
  <c r="L45" i="127"/>
  <c r="K45" i="127"/>
  <c r="J45" i="127"/>
  <c r="I45" i="127"/>
  <c r="H45" i="127"/>
  <c r="G45" i="127"/>
  <c r="F45" i="127"/>
  <c r="E45" i="127"/>
  <c r="D45" i="127"/>
  <c r="C45" i="127"/>
  <c r="B45" i="127"/>
  <c r="N44" i="127"/>
  <c r="M44" i="127"/>
  <c r="L44" i="127"/>
  <c r="K44" i="127"/>
  <c r="J44" i="127"/>
  <c r="I44" i="127"/>
  <c r="H44" i="127"/>
  <c r="G44" i="127"/>
  <c r="G54" i="127" s="1"/>
  <c r="F44" i="127"/>
  <c r="F54" i="127" s="1"/>
  <c r="E44" i="127"/>
  <c r="D44" i="127"/>
  <c r="C44" i="127"/>
  <c r="B44" i="127"/>
  <c r="N38" i="127"/>
  <c r="M38" i="127"/>
  <c r="L38" i="127"/>
  <c r="K38" i="127"/>
  <c r="J38" i="127"/>
  <c r="I38" i="127"/>
  <c r="H38" i="127"/>
  <c r="G38" i="127"/>
  <c r="F38" i="127"/>
  <c r="E38" i="127"/>
  <c r="D38" i="127"/>
  <c r="C38" i="127"/>
  <c r="N37" i="127"/>
  <c r="M37" i="127"/>
  <c r="L37" i="127"/>
  <c r="K37" i="127"/>
  <c r="J37" i="127"/>
  <c r="I37" i="127"/>
  <c r="H37" i="127"/>
  <c r="G37" i="127"/>
  <c r="F37" i="127"/>
  <c r="E37" i="127"/>
  <c r="D37" i="127"/>
  <c r="C37" i="127"/>
  <c r="N36" i="127"/>
  <c r="M36" i="127"/>
  <c r="L36" i="127"/>
  <c r="K36" i="127"/>
  <c r="J36" i="127"/>
  <c r="I36" i="127"/>
  <c r="H36" i="127"/>
  <c r="G36" i="127"/>
  <c r="F36" i="127"/>
  <c r="E36" i="127"/>
  <c r="D36" i="127"/>
  <c r="C36" i="127"/>
  <c r="O35" i="127"/>
  <c r="P35" i="127" s="1"/>
  <c r="O34" i="127"/>
  <c r="P34" i="127" s="1"/>
  <c r="O33" i="127"/>
  <c r="P33" i="127" s="1"/>
  <c r="O32" i="127"/>
  <c r="P32" i="127" s="1"/>
  <c r="O31" i="127"/>
  <c r="P31" i="127" s="1"/>
  <c r="O30" i="127"/>
  <c r="P30" i="127" s="1"/>
  <c r="O29" i="127"/>
  <c r="P29" i="127" s="1"/>
  <c r="O28" i="127"/>
  <c r="P28" i="127" s="1"/>
  <c r="O27" i="127"/>
  <c r="P27" i="127" s="1"/>
  <c r="O26" i="127"/>
  <c r="P26" i="127" s="1"/>
  <c r="O25" i="127"/>
  <c r="P25" i="127" s="1"/>
  <c r="O24" i="127"/>
  <c r="P24" i="127" s="1"/>
  <c r="O23" i="127"/>
  <c r="P23" i="127" s="1"/>
  <c r="O22" i="127"/>
  <c r="P22" i="127" s="1"/>
  <c r="O21" i="127"/>
  <c r="P21" i="127" s="1"/>
  <c r="O20" i="127"/>
  <c r="P20" i="127" s="1"/>
  <c r="O19" i="127"/>
  <c r="P19" i="127" s="1"/>
  <c r="O18" i="127"/>
  <c r="P18" i="127" s="1"/>
  <c r="O17" i="127"/>
  <c r="P17" i="127" s="1"/>
  <c r="O16" i="127"/>
  <c r="P16" i="127" s="1"/>
  <c r="O15" i="127"/>
  <c r="P15" i="127" s="1"/>
  <c r="P14" i="127"/>
  <c r="O14" i="127"/>
  <c r="O13" i="127"/>
  <c r="P13" i="127" s="1"/>
  <c r="O12" i="127"/>
  <c r="P12" i="127" s="1"/>
  <c r="O11" i="127"/>
  <c r="P11" i="127" s="1"/>
  <c r="O10" i="127"/>
  <c r="P10" i="127" s="1"/>
  <c r="O9" i="127"/>
  <c r="P9" i="127" s="1"/>
  <c r="O8" i="127"/>
  <c r="P7" i="127"/>
  <c r="O7" i="127"/>
  <c r="P6" i="127"/>
  <c r="O6" i="127"/>
  <c r="S9" i="103"/>
  <c r="S10" i="103"/>
  <c r="E54" i="132" l="1"/>
  <c r="H56" i="132"/>
  <c r="K55" i="132"/>
  <c r="O49" i="132"/>
  <c r="P49" i="132" s="1"/>
  <c r="F54" i="132"/>
  <c r="N55" i="132"/>
  <c r="I54" i="132"/>
  <c r="J55" i="132"/>
  <c r="J54" i="132"/>
  <c r="O48" i="132"/>
  <c r="P48" i="132" s="1"/>
  <c r="K54" i="132"/>
  <c r="I55" i="132"/>
  <c r="O53" i="132"/>
  <c r="P53" i="132" s="1"/>
  <c r="L55" i="132"/>
  <c r="M55" i="132"/>
  <c r="O46" i="132"/>
  <c r="P46" i="132" s="1"/>
  <c r="H54" i="132"/>
  <c r="O52" i="132"/>
  <c r="P52" i="132" s="1"/>
  <c r="N56" i="132"/>
  <c r="G54" i="132"/>
  <c r="O51" i="132"/>
  <c r="P51" i="132" s="1"/>
  <c r="O50" i="132"/>
  <c r="P50" i="132" s="1"/>
  <c r="O38" i="132"/>
  <c r="F55" i="132"/>
  <c r="O44" i="132"/>
  <c r="D54" i="132"/>
  <c r="P44" i="132"/>
  <c r="L54" i="132"/>
  <c r="O37" i="132"/>
  <c r="M54" i="132"/>
  <c r="N54" i="132"/>
  <c r="O36" i="132"/>
  <c r="C56" i="132"/>
  <c r="D56" i="132"/>
  <c r="C55" i="132"/>
  <c r="E56" i="132"/>
  <c r="D55" i="132"/>
  <c r="F56" i="132"/>
  <c r="C54" i="132"/>
  <c r="E55" i="132"/>
  <c r="G56" i="132"/>
  <c r="P6" i="132"/>
  <c r="I56" i="132"/>
  <c r="J56" i="132"/>
  <c r="K56" i="132"/>
  <c r="L56" i="132"/>
  <c r="M56" i="132"/>
  <c r="L54" i="129"/>
  <c r="O53" i="129"/>
  <c r="P53" i="129" s="1"/>
  <c r="M55" i="129"/>
  <c r="N55" i="129"/>
  <c r="D55" i="129"/>
  <c r="O52" i="129"/>
  <c r="P52" i="129" s="1"/>
  <c r="O51" i="129"/>
  <c r="P51" i="129" s="1"/>
  <c r="L55" i="129"/>
  <c r="O50" i="129"/>
  <c r="P50" i="129" s="1"/>
  <c r="K54" i="129"/>
  <c r="C54" i="129"/>
  <c r="F56" i="129"/>
  <c r="J54" i="129"/>
  <c r="O38" i="129"/>
  <c r="O44" i="129"/>
  <c r="O56" i="129" s="1"/>
  <c r="O49" i="129"/>
  <c r="P49" i="129" s="1"/>
  <c r="D54" i="129"/>
  <c r="F54" i="129"/>
  <c r="G54" i="129"/>
  <c r="J55" i="129"/>
  <c r="H55" i="129"/>
  <c r="O48" i="129"/>
  <c r="P48" i="129" s="1"/>
  <c r="K55" i="129"/>
  <c r="O45" i="129"/>
  <c r="P45" i="129" s="1"/>
  <c r="I55" i="129"/>
  <c r="L56" i="129"/>
  <c r="P38" i="129"/>
  <c r="P36" i="129"/>
  <c r="P37" i="129"/>
  <c r="O37" i="129"/>
  <c r="M54" i="129"/>
  <c r="N54" i="129"/>
  <c r="O36" i="129"/>
  <c r="C56" i="129"/>
  <c r="D56" i="129"/>
  <c r="C55" i="129"/>
  <c r="E56" i="129"/>
  <c r="G56" i="129"/>
  <c r="F55" i="129"/>
  <c r="H56" i="129"/>
  <c r="E54" i="129"/>
  <c r="G55" i="129"/>
  <c r="I56" i="129"/>
  <c r="E55" i="129"/>
  <c r="K56" i="129"/>
  <c r="M56" i="129"/>
  <c r="N56" i="129"/>
  <c r="F54" i="128"/>
  <c r="O50" i="128"/>
  <c r="P50" i="128" s="1"/>
  <c r="H54" i="128"/>
  <c r="N55" i="128"/>
  <c r="J55" i="128"/>
  <c r="O53" i="128"/>
  <c r="P53" i="128" s="1"/>
  <c r="K54" i="128"/>
  <c r="L54" i="128"/>
  <c r="O47" i="128"/>
  <c r="P47" i="128" s="1"/>
  <c r="O52" i="128"/>
  <c r="P52" i="128" s="1"/>
  <c r="M55" i="128"/>
  <c r="O46" i="128"/>
  <c r="P46" i="128" s="1"/>
  <c r="O51" i="128"/>
  <c r="P51" i="128" s="1"/>
  <c r="H56" i="128"/>
  <c r="O45" i="128"/>
  <c r="P45" i="128" s="1"/>
  <c r="G54" i="128"/>
  <c r="C54" i="128"/>
  <c r="F55" i="128"/>
  <c r="O38" i="128"/>
  <c r="O44" i="128"/>
  <c r="P44" i="128"/>
  <c r="O37" i="128"/>
  <c r="N54" i="128"/>
  <c r="O36" i="128"/>
  <c r="C56" i="128"/>
  <c r="D56" i="128"/>
  <c r="C55" i="128"/>
  <c r="E56" i="128"/>
  <c r="D55" i="128"/>
  <c r="F56" i="128"/>
  <c r="E55" i="128"/>
  <c r="G56" i="128"/>
  <c r="D54" i="128"/>
  <c r="P6" i="128"/>
  <c r="I56" i="128"/>
  <c r="H55" i="128"/>
  <c r="J56" i="128"/>
  <c r="I55" i="128"/>
  <c r="L56" i="128"/>
  <c r="K55" i="128"/>
  <c r="M56" i="128"/>
  <c r="L55" i="128"/>
  <c r="N56" i="128"/>
  <c r="H55" i="127"/>
  <c r="I54" i="127"/>
  <c r="J54" i="127"/>
  <c r="O47" i="127"/>
  <c r="P47" i="127" s="1"/>
  <c r="G56" i="127"/>
  <c r="K55" i="127"/>
  <c r="N54" i="127"/>
  <c r="L54" i="127"/>
  <c r="E54" i="127"/>
  <c r="G55" i="127"/>
  <c r="M55" i="127"/>
  <c r="O52" i="127"/>
  <c r="P52" i="127" s="1"/>
  <c r="O46" i="127"/>
  <c r="P46" i="127" s="1"/>
  <c r="E55" i="127"/>
  <c r="O51" i="127"/>
  <c r="P51" i="127" s="1"/>
  <c r="O48" i="127"/>
  <c r="P48" i="127" s="1"/>
  <c r="O38" i="127"/>
  <c r="N55" i="127"/>
  <c r="O45" i="127"/>
  <c r="P45" i="127" s="1"/>
  <c r="O50" i="127"/>
  <c r="P50" i="127" s="1"/>
  <c r="K54" i="127"/>
  <c r="O44" i="127"/>
  <c r="D54" i="127"/>
  <c r="I56" i="127"/>
  <c r="M54" i="127"/>
  <c r="E56" i="127"/>
  <c r="L56" i="127"/>
  <c r="P44" i="127"/>
  <c r="O37" i="127"/>
  <c r="O36" i="127"/>
  <c r="C56" i="127"/>
  <c r="D56" i="127"/>
  <c r="C55" i="127"/>
  <c r="D55" i="127"/>
  <c r="F56" i="127"/>
  <c r="C54" i="127"/>
  <c r="F55" i="127"/>
  <c r="H56" i="127"/>
  <c r="J56" i="127"/>
  <c r="O49" i="127"/>
  <c r="P49" i="127" s="1"/>
  <c r="I55" i="127"/>
  <c r="K56" i="127"/>
  <c r="J55" i="127"/>
  <c r="P8" i="127"/>
  <c r="P38" i="127" s="1"/>
  <c r="M56" i="127"/>
  <c r="L55" i="127"/>
  <c r="N56" i="127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55" i="132" l="1"/>
  <c r="O56" i="132"/>
  <c r="O54" i="132"/>
  <c r="P38" i="132"/>
  <c r="P36" i="132"/>
  <c r="P37" i="132"/>
  <c r="P54" i="132"/>
  <c r="P55" i="132"/>
  <c r="P56" i="132"/>
  <c r="O55" i="129"/>
  <c r="O54" i="129"/>
  <c r="P44" i="129"/>
  <c r="P56" i="129"/>
  <c r="P54" i="129"/>
  <c r="P55" i="129"/>
  <c r="O55" i="128"/>
  <c r="O54" i="128"/>
  <c r="O56" i="128"/>
  <c r="P38" i="128"/>
  <c r="P36" i="128"/>
  <c r="P37" i="128"/>
  <c r="P56" i="128"/>
  <c r="P54" i="128"/>
  <c r="P55" i="128"/>
  <c r="O54" i="127"/>
  <c r="P37" i="127"/>
  <c r="P36" i="127"/>
  <c r="O55" i="127"/>
  <c r="P56" i="127"/>
  <c r="P54" i="127"/>
  <c r="P55" i="127"/>
  <c r="O56" i="127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<sst xmlns="http://schemas.openxmlformats.org/spreadsheetml/2006/main" count="1905" uniqueCount="156">
  <si>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</si>
  <si>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</si>
  <si>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</si>
  <si>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</si>
  <si>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</si>
  <si>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</si>
  <si>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</si>
  <si>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</si>
  <si>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</si>
  <si>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</si>
  <si>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</si>
  <si>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</si>
  <si>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</si>
  <si>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</si>
  <si>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</si>
  <si>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</si>
  <si>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</si>
  <si>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</si>
  <si>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</si>
  <si>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</si>
  <si>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</si>
  <si>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</si>
  <si>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</si>
  <si>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</si>
  <si>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</si>
  <si>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</si>
  <si>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</si>
  <si>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</si>
  <si>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</si>
  <si>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</si>
  <si>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</si>
  <si>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</si>
  <si>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</si>
  <si>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</si>
  <si>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</si>
  <si>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</si>
  <si>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</si>
  <si>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</si>
  <si>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</si>
  <si>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</si>
  <si>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</si>
  <si>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</si>
  <si>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Switch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</si>
  <si>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</si>
  <si>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</si>
  <si>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</si>
  <si>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</si>
  <si>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</si>
  <si>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</si>
  <si>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</si>
  <si>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</si>
  <si>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</si>
  <si>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</si>
  <si>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</si>
  <si>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</si>
  <si>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</si>
  <si>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</si>
  <si>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</si>
  <si>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</si>
  <si>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</si>
  <si>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</si>
  <si>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</si>
  <si>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</si>
  <si>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</si>
  <si>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</si>
  <si>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</si>
  <si>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</si>
  <si>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</si>
  <si>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</si>
  <si>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</si>
  <si>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</si>
  <si>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</si>
  <si>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</si>
  <si>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</si>
  <si>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</si>
  <si>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</si>
  <si>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</si>
  <si>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</si>
  <si>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</si>
  <si>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</si>
  <si>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</si>
  <si>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</si>
  <si>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</si>
  <si>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</si>
  <si>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</si>
  <si>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</si>
  <si>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</si>
  <si>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</si>
  <si>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</si>
  <si>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</si>
  <si>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</si>
  <si>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</si>
  <si>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</si>
  <si>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</si>
  <si>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</si>
  <si>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</si>
  <si>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</si>
  <si>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</si>
  <si>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</si>
  <si>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</si>
  <si>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</si>
  <si>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</si>
  <si>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</si>
  <si>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</si>
  <si>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</si>
  <si>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</si>
  <si>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</si>
  <si>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</si>
  <si>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</si>
  <si>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</si>
  <si>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</si>
  <si>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</si>
  <si>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</si>
  <si>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</si>
  <si>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</si>
  <si>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</si>
  <si>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</si>
  <si>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</si>
  <si>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</si>
  <si>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</si>
  <si>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</si>
  <si>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</si>
  <si>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</si>
  <si>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</si>
  <si>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</si>
  <si>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</si>
  <si>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</si>
  <si>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</si>
  <si>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</si>
  <si>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</si>
  <si>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</si>
  <si>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</si>
  <si>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</si>
  <si>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</si>
  <si>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</si>
  <si>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</si>
  <si>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</si>
  <si>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</si>
  <si>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</si>
  <si>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</si>
  <si>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</si>
  <si>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</si>
  <si>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</si>
  <si>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</si>
  <si>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</si>
  <si>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</si>
  <si>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</si>
  <si>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</si>
  <si>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</si>
  <si>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청주 Data, -- 2022-04-13 오후 1:41:04</t>
    <phoneticPr fontId="5" type="noConversion"/>
  </si>
  <si>
    <t>보령 Data, -- 2022-04-13 오후 2:11:19</t>
    <phoneticPr fontId="5" type="noConversion"/>
  </si>
  <si>
    <t>서산 Data, -- 2022-04-13 오후 3:45:27</t>
    <phoneticPr fontId="5" type="noConversion"/>
  </si>
  <si>
    <t>충청도</t>
  </si>
  <si>
    <t>30년 천안데이터, 2022-06-12 오전 5:42:20</t>
    <phoneticPr fontId="5" type="noConversion"/>
  </si>
  <si>
    <t>천안 Data, -- 2022-06-12 오전 5:43:04</t>
    <phoneticPr fontId="5" type="noConversion"/>
  </si>
  <si>
    <t>금산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</si>
</sst>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6"/>
      <name val="Consolas"/>
      <family val="3"/>
    </font>
    <font>
      <sz val="11"/>
      <name val="맑은 고딕"/>
      <family val="3"/>
      <charset val="129"/>
      <scheme val="minor"/>
    </font>
    <font>
      <sz val="14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aj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1">
    <xf numFmtId="0" fontId="0" fillId="0" borderId="0" xfId="0"/>
    <xf numFmtId="0" fontId="1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horizontal="center" vertical="center"/>
    </xf>
    <xf numFmtId="4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84" fontId="12" fillId="0" borderId="7" xfId="17" applyNumberFormat="1" applyFont="1" applyBorder="1">
      <alignment vertical="center"/>
    </xf>
    <xf numFmtId="184" fontId="12" fillId="0" borderId="7" xfId="0" applyNumberFormat="1" applyFont="1" applyBorder="1" applyAlignment="1">
      <alignment vertical="center"/>
    </xf>
    <xf numFmtId="184" fontId="12" fillId="0" borderId="8" xfId="17" applyNumberFormat="1" applyFont="1" applyBorder="1">
      <alignment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184" fontId="12" fillId="0" borderId="16" xfId="17" applyNumberFormat="1" applyFont="1" applyBorder="1">
      <alignment vertical="center"/>
    </xf>
    <xf numFmtId="184" fontId="12" fillId="0" borderId="16" xfId="0" applyNumberFormat="1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184" fontId="12" fillId="0" borderId="9" xfId="0" applyNumberFormat="1" applyFont="1" applyBorder="1" applyAlignment="1">
      <alignment vertical="center"/>
    </xf>
    <xf numFmtId="184" fontId="12" fillId="0" borderId="18" xfId="0" applyNumberFormat="1" applyFont="1" applyBorder="1" applyAlignment="1">
      <alignment vertical="center"/>
    </xf>
    <xf numFmtId="184" fontId="12" fillId="0" borderId="14" xfId="0" applyNumberFormat="1" applyFont="1" applyBorder="1" applyAlignment="1">
      <alignment vertical="center"/>
    </xf>
    <xf numFmtId="184" fontId="12" fillId="0" borderId="15" xfId="0" applyNumberFormat="1" applyFont="1" applyBorder="1" applyAlignment="1">
      <alignment vertical="center"/>
    </xf>
    <xf numFmtId="184" fontId="12" fillId="0" borderId="15" xfId="17" applyNumberFormat="1" applyFont="1" applyBorder="1">
      <alignment vertical="center"/>
    </xf>
    <xf numFmtId="184" fontId="12" fillId="0" borderId="17" xfId="17" applyNumberFormat="1" applyFont="1" applyBorder="1">
      <alignment vertical="center"/>
    </xf>
    <xf numFmtId="184" fontId="12" fillId="0" borderId="18" xfId="17" applyNumberFormat="1" applyFont="1" applyBorder="1">
      <alignment vertical="center"/>
    </xf>
    <xf numFmtId="184" fontId="12" fillId="0" borderId="19" xfId="0" applyNumberFormat="1" applyFont="1" applyBorder="1" applyAlignment="1">
      <alignment vertical="center"/>
    </xf>
    <xf numFmtId="184" fontId="1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horizontal="center" vertical="center"/>
    </xf>
    <xf numFmtId="184" fontId="12" fillId="0" borderId="23" xfId="0" applyNumberFormat="1" applyFont="1" applyBorder="1" applyAlignment="1">
      <alignment vertical="center"/>
    </xf>
    <xf numFmtId="184" fontId="12" fillId="0" borderId="24" xfId="0" applyNumberFormat="1" applyFont="1" applyBorder="1" applyAlignment="1">
      <alignment vertical="center"/>
    </xf>
    <xf numFmtId="184" fontId="12" fillId="0" borderId="22" xfId="17" applyNumberFormat="1" applyFont="1" applyBorder="1">
      <alignment vertical="center"/>
    </xf>
    <xf numFmtId="184" fontId="12" fillId="0" borderId="24" xfId="17" applyNumberFormat="1" applyFont="1" applyBorder="1">
      <alignment vertical="center"/>
    </xf>
    <xf numFmtId="184" fontId="12" fillId="3" borderId="22" xfId="17" applyNumberFormat="1" applyFont="1" applyFill="1" applyBorder="1" applyAlignment="1">
      <alignment horizontal="center" vertical="center"/>
    </xf>
    <xf numFmtId="184" fontId="12" fillId="3" borderId="23" xfId="17" applyNumberFormat="1" applyFont="1" applyFill="1" applyBorder="1" applyAlignment="1">
      <alignment horizontal="center" vertical="center"/>
    </xf>
    <xf numFmtId="184" fontId="12" fillId="3" borderId="24" xfId="17" applyNumberFormat="1" applyFont="1" applyFill="1" applyBorder="1" applyAlignment="1">
      <alignment horizontal="center" vertical="center"/>
    </xf>
    <xf numFmtId="184" fontId="12" fillId="0" borderId="15" xfId="17" applyNumberFormat="1" applyFont="1" applyBorder="1" applyAlignment="1">
      <alignment horizontal="center" vertical="center"/>
    </xf>
    <xf numFmtId="184" fontId="12" fillId="0" borderId="17" xfId="17" applyNumberFormat="1" applyFont="1" applyBorder="1" applyAlignment="1">
      <alignment horizontal="center" vertical="center"/>
    </xf>
    <xf numFmtId="184" fontId="12" fillId="0" borderId="9" xfId="17" applyNumberFormat="1" applyFont="1" applyBorder="1">
      <alignment vertical="center"/>
    </xf>
    <xf numFmtId="184" fontId="12" fillId="3" borderId="25" xfId="17" applyNumberFormat="1" applyFont="1" applyFill="1" applyBorder="1" applyAlignment="1">
      <alignment horizontal="center" vertical="center"/>
    </xf>
    <xf numFmtId="184" fontId="12" fillId="0" borderId="11" xfId="17" applyNumberFormat="1" applyFont="1" applyBorder="1">
      <alignment vertical="center"/>
    </xf>
    <xf numFmtId="3" fontId="0" fillId="0" borderId="0" xfId="0" applyNumberFormat="1" applyAlignment="1">
      <alignment vertical="center"/>
    </xf>
    <xf numFmtId="49" fontId="12" fillId="0" borderId="15" xfId="17" applyNumberFormat="1" applyFont="1" applyBorder="1" applyAlignment="1">
      <alignment horizontal="center" vertical="center"/>
    </xf>
    <xf numFmtId="49" fontId="12" fillId="0" borderId="7" xfId="17" applyNumberFormat="1" applyFont="1" applyBorder="1" applyAlignment="1">
      <alignment horizontal="center" vertical="center"/>
    </xf>
    <xf numFmtId="184" fontId="12" fillId="0" borderId="26" xfId="17" applyNumberFormat="1" applyFont="1" applyBorder="1" applyAlignment="1">
      <alignment horizontal="center" vertical="center"/>
    </xf>
    <xf numFmtId="184" fontId="12" fillId="0" borderId="10" xfId="17" applyNumberFormat="1" applyFont="1" applyBorder="1">
      <alignment vertical="center"/>
    </xf>
    <xf numFmtId="184" fontId="12" fillId="0" borderId="27" xfId="17" applyNumberFormat="1" applyFont="1" applyBorder="1">
      <alignment vertical="center"/>
    </xf>
    <xf numFmtId="49" fontId="12" fillId="0" borderId="17" xfId="17" applyNumberFormat="1" applyFont="1" applyBorder="1" applyAlignment="1">
      <alignment horizontal="center" vertical="center"/>
    </xf>
    <xf numFmtId="49" fontId="12" fillId="0" borderId="9" xfId="17" applyNumberFormat="1" applyFont="1" applyBorder="1" applyAlignment="1">
      <alignment horizontal="center" vertical="center"/>
    </xf>
    <xf numFmtId="184" fontId="12" fillId="0" borderId="28" xfId="17" applyNumberFormat="1" applyFont="1" applyBorder="1">
      <alignment vertical="center"/>
    </xf>
    <xf numFmtId="49" fontId="12" fillId="0" borderId="16" xfId="17" applyNumberFormat="1" applyFont="1" applyBorder="1" applyAlignment="1">
      <alignment horizontal="center" vertical="center"/>
    </xf>
    <xf numFmtId="49" fontId="12" fillId="0" borderId="18" xfId="17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/>
    <xf numFmtId="0" fontId="14" fillId="0" borderId="0" xfId="0" applyFont="1" applyBorder="1" applyAlignment="1">
      <alignment vertical="center"/>
    </xf>
    <xf numFmtId="0" fontId="14" fillId="0" borderId="29" xfId="0" applyFont="1" applyBorder="1" applyAlignment="1">
      <alignment vertical="center"/>
    </xf>
    <xf numFmtId="0" fontId="14" fillId="0" borderId="30" xfId="0" applyFont="1" applyBorder="1" applyAlignment="1">
      <alignment vertical="center"/>
    </xf>
    <xf numFmtId="0" fontId="14" fillId="0" borderId="31" xfId="0" applyFont="1" applyBorder="1" applyAlignment="1">
      <alignment vertical="center"/>
    </xf>
    <xf numFmtId="0" fontId="14" fillId="0" borderId="32" xfId="0" applyFont="1" applyBorder="1" applyAlignment="1">
      <alignment vertical="center"/>
    </xf>
    <xf numFmtId="0" fontId="14" fillId="0" borderId="33" xfId="0" applyFont="1" applyBorder="1" applyAlignment="1">
      <alignment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vertical="center"/>
    </xf>
    <xf numFmtId="0" fontId="14" fillId="0" borderId="36" xfId="0" applyFont="1" applyBorder="1" applyAlignment="1">
      <alignment vertical="center"/>
    </xf>
    <xf numFmtId="0" fontId="12" fillId="0" borderId="0" xfId="0" applyNumberFormat="1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185" fontId="12" fillId="0" borderId="13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19" xfId="0" applyNumberFormat="1" applyFont="1" applyBorder="1" applyAlignment="1">
      <alignment horizontal="center" vertical="center"/>
    </xf>
    <xf numFmtId="186" fontId="12" fillId="0" borderId="12" xfId="17" applyNumberFormat="1" applyFont="1" applyBorder="1">
      <alignment vertical="center"/>
    </xf>
    <xf numFmtId="186" fontId="12" fillId="0" borderId="12" xfId="17" applyNumberFormat="1" applyFont="1" applyBorder="1" applyAlignment="1">
      <alignment vertical="center" wrapText="1"/>
    </xf>
    <xf numFmtId="186" fontId="12" fillId="0" borderId="14" xfId="17" applyNumberFormat="1" applyFont="1" applyBorder="1">
      <alignment vertical="center"/>
    </xf>
    <xf numFmtId="186" fontId="12" fillId="0" borderId="7" xfId="17" applyNumberFormat="1" applyFont="1" applyBorder="1">
      <alignment vertical="center"/>
    </xf>
    <xf numFmtId="186" fontId="12" fillId="0" borderId="7" xfId="17" applyNumberFormat="1" applyFont="1" applyBorder="1" applyAlignment="1">
      <alignment vertical="center" wrapText="1"/>
    </xf>
    <xf numFmtId="186" fontId="12" fillId="0" borderId="16" xfId="17" applyNumberFormat="1" applyFont="1" applyBorder="1">
      <alignment vertical="center"/>
    </xf>
    <xf numFmtId="186" fontId="12" fillId="0" borderId="20" xfId="17" applyNumberFormat="1" applyFont="1" applyBorder="1">
      <alignment vertical="center"/>
    </xf>
    <xf numFmtId="186" fontId="12" fillId="0" borderId="21" xfId="17" applyNumberFormat="1" applyFont="1" applyBorder="1">
      <alignment vertical="center"/>
    </xf>
    <xf numFmtId="0" fontId="14" fillId="4" borderId="38" xfId="0" applyFont="1" applyFill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4" fillId="4" borderId="41" xfId="0" applyFont="1" applyFill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6" borderId="37" xfId="0" applyFont="1" applyFill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5</xdr:row>
          <xdr:rowOff>104775</xdr:rowOff>
        </xdr:from>
        <xdr:to>
          <xdr:col>23</xdr:col>
          <xdr:colOff>390525</xdr:colOff>
          <xdr:row>7</xdr:row>
          <xdr:rowOff>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4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7</xdr:row>
          <xdr:rowOff>142875</xdr:rowOff>
        </xdr:from>
        <xdr:to>
          <xdr:col>23</xdr:col>
          <xdr:colOff>390525</xdr:colOff>
          <xdr:row>9</xdr:row>
          <xdr:rowOff>38100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4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9</xdr:row>
          <xdr:rowOff>142875</xdr:rowOff>
        </xdr:from>
        <xdr:to>
          <xdr:col>23</xdr:col>
          <xdr:colOff>390525</xdr:colOff>
          <xdr:row>11</xdr:row>
          <xdr:rowOff>38100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4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019919-CB51-4D59-96A5-0E0EAEF458EB}" name="Table1" displayName="Table1" ref="A1:C11" totalsRowShown="0">
  <autoFilter ref="A1:C11" xr:uid="{38019919-CB51-4D59-96A5-0E0EAEF458EB}"/>
  <tableColumns count="3">
    <tableColumn id="1" xr3:uid="{9FDAC76A-1672-4BA5-B193-2B7BE88383AA}" name="Area" dataDxfId="19"/>
    <tableColumn id="3" xr3:uid="{D860024D-2094-46D7-86C1-B6469010E080}" name="Code" dataDxfId="18"/>
    <tableColumn id="2" xr3:uid="{4BB3E9D7-1743-4D5D-A7F4-B99255E51FAE}" name="Switch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0153-2CFF-4D7B-92BC-CF0B5556755F}" name="Table2" displayName="Table2" ref="E1:G16" totalsRowShown="0">
  <autoFilter ref="E1:G16" xr:uid="{D4550153-2CFF-4D7B-92BC-CF0B5556755F}"/>
  <tableColumns count="3">
    <tableColumn id="1" xr3:uid="{D4ED704E-5E9D-4E34-AF25-AF23CD6C6733}" name="Area" dataDxfId="16"/>
    <tableColumn id="3" xr3:uid="{FA931E84-E3F2-469C-B60D-0CF7D178E729}" name="Code" dataDxfId="15"/>
    <tableColumn id="2" xr3:uid="{35E1CE4C-A747-4F0E-B074-97480A9CD475}" name="Switch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7F6D66-934F-478D-8043-B787BB6EAB19}" name="Table3" displayName="Table3" ref="I1:K14" totalsRowShown="0">
  <autoFilter ref="I1:K14" xr:uid="{787F6D66-934F-478D-8043-B787BB6EAB19}"/>
  <tableColumns count="3">
    <tableColumn id="1" xr3:uid="{6A0E2B77-C3A1-4820-BBCA-1EC07200A039}" name="Area" dataDxfId="13"/>
    <tableColumn id="3" xr3:uid="{78E04352-3518-4DFD-B652-A47C6F31D74B}" name="Code" dataDxfId="12"/>
    <tableColumn id="2" xr3:uid="{74873089-EAD8-4FE8-8E20-1BFFACCF2069}" name="Switch" dataDxfId="1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6A22D-9274-47B0-9F9A-12CB242225EC}" name="Table4" displayName="Table4" ref="M1:O28" totalsRowShown="0">
  <autoFilter ref="M1:O28" xr:uid="{4706A22D-9274-47B0-9F9A-12CB242225EC}"/>
  <tableColumns count="3">
    <tableColumn id="1" xr3:uid="{9E481A4D-847A-4838-B08B-EEA9BEFEC9FA}" name="Area" dataDxfId="10"/>
    <tableColumn id="3" xr3:uid="{D1A00EF1-9FEC-46D0-A856-5F5101BFC8F1}" name="Code" dataDxfId="9"/>
    <tableColumn id="2" xr3:uid="{135FB3C9-F45F-4346-BE97-41B58C3136D0}" name="Switch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C9C907-3F61-483D-ACB1-5C46AEF050DE}" name="Table5" displayName="Table5" ref="Q1:S33" totalsRowShown="0">
  <autoFilter ref="Q1:S33" xr:uid="{61C9C907-3F61-483D-ACB1-5C46AEF050DE}"/>
  <tableColumns count="3">
    <tableColumn id="1" xr3:uid="{49E0E35F-8F32-480E-B796-E49D60CCD3CD}" name="Area" dataDxfId="7"/>
    <tableColumn id="3" xr3:uid="{54BEF3D7-ADA9-40B1-8194-838F3823F4C8}" name="Code" dataDxfId="6"/>
    <tableColumn id="2" xr3:uid="{FC8C8C57-BF5E-4BE6-BB30-9743F13F04CC}" name="Switch" dataDxfId="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F2367D-A876-4E60-95C5-6B82E6D60CBA}" name="Table6" displayName="Table6" ref="U1:W7" totalsRowShown="0">
  <autoFilter ref="U1:W7" xr:uid="{2DF2367D-A876-4E60-95C5-6B82E6D60CBA}"/>
  <tableColumns count="3">
    <tableColumn id="1" xr3:uid="{45376554-5BD7-4C68-B293-746C798AA6DD}" name="Area" dataDxfId="4"/>
    <tableColumn id="3" xr3:uid="{242ED5AB-9679-4620-B614-62743482E355}" name="Code" dataDxfId="3"/>
    <tableColumn id="2" xr3:uid="{DA377432-0CC5-402F-A02D-19E0F3C1B32D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7FB628-A468-4790-BE49-C390973AF997}" name="tblLocation" displayName="tblLocation" ref="Y1:Z7" totalsRowShown="0">
  <autoFilter ref="Y1:Z7" xr:uid="{097FB628-A468-4790-BE49-C390973AF997}"/>
  <tableColumns count="2">
    <tableColumn id="1" xr3:uid="{A313847D-7A0A-4995-9482-B180CBDE48C3}" name="Area" dataDxfId="1"/>
    <tableColumn id="3" xr3:uid="{DE52D9CB-5A3B-4CB4-9D06-60D58FB17256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3F90-43D5-4E83-A145-321B2646C441}">
  <sheetPr codeName="Sheet21">
    <tabColor rgb="FF92D050"/>
  </sheetPr>
  <dimension ref="A2:Q983"/>
  <sheetViews>
    <sheetView zoomScaleNormal="100" workbookViewId="0">
      <selection activeCell="G25" sqref="G25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2" t="s">
        <v>150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3">
        <v>1992</v>
      </c>
      <c r="C6" s="66">
        <v>9.5</v>
      </c>
      <c r="D6" s="66">
        <v>24.4</v>
      </c>
      <c r="E6" s="66">
        <v>23.6</v>
      </c>
      <c r="F6" s="66">
        <v>67.599999999999994</v>
      </c>
      <c r="G6" s="66">
        <v>89.6</v>
      </c>
      <c r="H6" s="66">
        <v>60.6</v>
      </c>
      <c r="I6" s="66">
        <v>84.9</v>
      </c>
      <c r="J6" s="67">
        <v>435</v>
      </c>
      <c r="K6" s="66">
        <v>168.1</v>
      </c>
      <c r="L6" s="66">
        <v>27.4</v>
      </c>
      <c r="M6" s="66">
        <v>73</v>
      </c>
      <c r="N6" s="68">
        <v>68.599999999999994</v>
      </c>
      <c r="O6" s="19">
        <f t="shared" ref="O6:O35" si="0">ROUND(SUM(C6:N6),1)</f>
        <v>1132.3</v>
      </c>
      <c r="P6" s="18">
        <f>ROUND(O6/12,1)</f>
        <v>94.4</v>
      </c>
      <c r="Q6" s="4"/>
    </row>
    <row r="7" spans="2:17" ht="21.95" customHeight="1">
      <c r="B7" s="64">
        <v>1993</v>
      </c>
      <c r="C7" s="69">
        <v>4.5999999999999996</v>
      </c>
      <c r="D7" s="69">
        <v>66.7</v>
      </c>
      <c r="E7" s="69">
        <v>21.6</v>
      </c>
      <c r="F7" s="69">
        <v>32.6</v>
      </c>
      <c r="G7" s="69">
        <v>68.5</v>
      </c>
      <c r="H7" s="69">
        <v>225.5</v>
      </c>
      <c r="I7" s="69">
        <v>241.5</v>
      </c>
      <c r="J7" s="70">
        <v>206.5</v>
      </c>
      <c r="K7" s="69">
        <v>141.5</v>
      </c>
      <c r="L7" s="69">
        <v>32</v>
      </c>
      <c r="M7" s="69">
        <v>87.4</v>
      </c>
      <c r="N7" s="71">
        <v>33.700000000000003</v>
      </c>
      <c r="O7" s="19">
        <f t="shared" si="0"/>
        <v>1162.0999999999999</v>
      </c>
      <c r="P7" s="14">
        <f t="shared" ref="P7:P35" si="1">ROUND(O7/12,1)</f>
        <v>96.8</v>
      </c>
      <c r="Q7" s="4"/>
    </row>
    <row r="8" spans="2:17" ht="21.95" customHeight="1">
      <c r="B8" s="64">
        <v>1994</v>
      </c>
      <c r="C8" s="69">
        <v>17.899999999999999</v>
      </c>
      <c r="D8" s="69">
        <v>6</v>
      </c>
      <c r="E8" s="69">
        <v>58.2</v>
      </c>
      <c r="F8" s="69">
        <v>51.5</v>
      </c>
      <c r="G8" s="69">
        <v>135.5</v>
      </c>
      <c r="H8" s="69">
        <v>207</v>
      </c>
      <c r="I8" s="69">
        <v>137</v>
      </c>
      <c r="J8" s="69">
        <v>443.5</v>
      </c>
      <c r="K8" s="69">
        <v>21</v>
      </c>
      <c r="L8" s="69">
        <v>155</v>
      </c>
      <c r="M8" s="69">
        <v>17.5</v>
      </c>
      <c r="N8" s="71">
        <v>18.899999999999999</v>
      </c>
      <c r="O8" s="19">
        <f t="shared" si="0"/>
        <v>1269</v>
      </c>
      <c r="P8" s="14">
        <f t="shared" si="1"/>
        <v>105.8</v>
      </c>
      <c r="Q8" s="4"/>
    </row>
    <row r="9" spans="2:17" ht="21.95" customHeight="1">
      <c r="B9" s="64">
        <v>1995</v>
      </c>
      <c r="C9" s="69">
        <v>15.7</v>
      </c>
      <c r="D9" s="69">
        <v>11</v>
      </c>
      <c r="E9" s="69">
        <v>19.600000000000001</v>
      </c>
      <c r="F9" s="69">
        <v>65.5</v>
      </c>
      <c r="G9" s="69">
        <v>49.5</v>
      </c>
      <c r="H9" s="69">
        <v>26.5</v>
      </c>
      <c r="I9" s="69">
        <v>144.5</v>
      </c>
      <c r="J9" s="69">
        <v>996.5</v>
      </c>
      <c r="K9" s="69">
        <v>70.5</v>
      </c>
      <c r="L9" s="69">
        <v>24.5</v>
      </c>
      <c r="M9" s="69">
        <v>23</v>
      </c>
      <c r="N9" s="71">
        <v>12.7</v>
      </c>
      <c r="O9" s="19">
        <f t="shared" si="0"/>
        <v>1459.5</v>
      </c>
      <c r="P9" s="14">
        <f t="shared" si="1"/>
        <v>121.6</v>
      </c>
      <c r="Q9" s="4"/>
    </row>
    <row r="10" spans="2:17" ht="21.95" customHeight="1">
      <c r="B10" s="64">
        <v>1996</v>
      </c>
      <c r="C10" s="69">
        <v>33.4</v>
      </c>
      <c r="D10" s="69">
        <v>6.8</v>
      </c>
      <c r="E10" s="69">
        <v>104.5</v>
      </c>
      <c r="F10" s="69">
        <v>34</v>
      </c>
      <c r="G10" s="69">
        <v>22.5</v>
      </c>
      <c r="H10" s="69">
        <v>235</v>
      </c>
      <c r="I10" s="69">
        <v>192.5</v>
      </c>
      <c r="J10" s="69">
        <v>44.5</v>
      </c>
      <c r="K10" s="69">
        <v>14</v>
      </c>
      <c r="L10" s="69">
        <v>106.5</v>
      </c>
      <c r="M10" s="69">
        <v>74.2</v>
      </c>
      <c r="N10" s="71">
        <v>31.7</v>
      </c>
      <c r="O10" s="19">
        <f t="shared" si="0"/>
        <v>899.6</v>
      </c>
      <c r="P10" s="14">
        <f t="shared" si="1"/>
        <v>75</v>
      </c>
      <c r="Q10" s="4"/>
    </row>
    <row r="11" spans="2:17" ht="21.95" customHeight="1">
      <c r="B11" s="64">
        <v>1997</v>
      </c>
      <c r="C11" s="69">
        <v>15.1</v>
      </c>
      <c r="D11" s="69">
        <v>38.4</v>
      </c>
      <c r="E11" s="69">
        <v>30.5</v>
      </c>
      <c r="F11" s="69">
        <v>57.5</v>
      </c>
      <c r="G11" s="69">
        <v>203</v>
      </c>
      <c r="H11" s="69">
        <v>272</v>
      </c>
      <c r="I11" s="69">
        <v>353.5</v>
      </c>
      <c r="J11" s="69">
        <v>211.5</v>
      </c>
      <c r="K11" s="69">
        <v>23</v>
      </c>
      <c r="L11" s="69">
        <v>10</v>
      </c>
      <c r="M11" s="69">
        <v>193.5</v>
      </c>
      <c r="N11" s="71">
        <v>34.299999999999997</v>
      </c>
      <c r="O11" s="19">
        <f t="shared" si="0"/>
        <v>1442.3</v>
      </c>
      <c r="P11" s="14">
        <f t="shared" si="1"/>
        <v>120.2</v>
      </c>
      <c r="Q11" s="4"/>
    </row>
    <row r="12" spans="2:17" ht="21.95" customHeight="1">
      <c r="B12" s="64">
        <v>1998</v>
      </c>
      <c r="C12" s="69">
        <v>29.9</v>
      </c>
      <c r="D12" s="69">
        <v>40.200000000000003</v>
      </c>
      <c r="E12" s="69">
        <v>30.5</v>
      </c>
      <c r="F12" s="69">
        <v>138</v>
      </c>
      <c r="G12" s="69">
        <v>100</v>
      </c>
      <c r="H12" s="69">
        <v>209.5</v>
      </c>
      <c r="I12" s="69">
        <v>263</v>
      </c>
      <c r="J12" s="69">
        <v>341.7</v>
      </c>
      <c r="K12" s="69">
        <v>150.30000000000001</v>
      </c>
      <c r="L12" s="69">
        <v>61</v>
      </c>
      <c r="M12" s="69">
        <v>29.3</v>
      </c>
      <c r="N12" s="71">
        <v>3.8</v>
      </c>
      <c r="O12" s="19">
        <f t="shared" si="0"/>
        <v>1397.2</v>
      </c>
      <c r="P12" s="14">
        <f t="shared" si="1"/>
        <v>116.4</v>
      </c>
    </row>
    <row r="13" spans="2:17" ht="21.95" customHeight="1">
      <c r="B13" s="64">
        <v>1999</v>
      </c>
      <c r="C13" s="69">
        <v>7.9</v>
      </c>
      <c r="D13" s="69">
        <v>9.5</v>
      </c>
      <c r="E13" s="69">
        <v>71</v>
      </c>
      <c r="F13" s="69">
        <v>88.5</v>
      </c>
      <c r="G13" s="69">
        <v>124.5</v>
      </c>
      <c r="H13" s="69">
        <v>192.5</v>
      </c>
      <c r="I13" s="69">
        <v>98</v>
      </c>
      <c r="J13" s="69">
        <v>180</v>
      </c>
      <c r="K13" s="69">
        <v>292.5</v>
      </c>
      <c r="L13" s="69">
        <v>169</v>
      </c>
      <c r="M13" s="69">
        <v>24.9</v>
      </c>
      <c r="N13" s="71">
        <v>25.8</v>
      </c>
      <c r="O13" s="19">
        <f t="shared" si="0"/>
        <v>1284.0999999999999</v>
      </c>
      <c r="P13" s="14">
        <f t="shared" si="1"/>
        <v>107</v>
      </c>
    </row>
    <row r="14" spans="2:17" ht="21.95" customHeight="1">
      <c r="B14" s="64">
        <v>2000</v>
      </c>
      <c r="C14" s="69">
        <v>42.1</v>
      </c>
      <c r="D14" s="69">
        <v>3.2</v>
      </c>
      <c r="E14" s="69">
        <v>7</v>
      </c>
      <c r="F14" s="69">
        <v>35</v>
      </c>
      <c r="G14" s="69">
        <v>53.5</v>
      </c>
      <c r="H14" s="69">
        <v>159.5</v>
      </c>
      <c r="I14" s="69">
        <v>155</v>
      </c>
      <c r="J14" s="69">
        <v>701.5</v>
      </c>
      <c r="K14" s="69">
        <v>241</v>
      </c>
      <c r="L14" s="69">
        <v>46</v>
      </c>
      <c r="M14" s="69">
        <v>39.5</v>
      </c>
      <c r="N14" s="71">
        <v>32.1</v>
      </c>
      <c r="O14" s="19">
        <f t="shared" si="0"/>
        <v>1515.4</v>
      </c>
      <c r="P14" s="14">
        <f t="shared" si="1"/>
        <v>126.3</v>
      </c>
    </row>
    <row r="15" spans="2:17" ht="21.95" customHeight="1">
      <c r="B15" s="64">
        <v>2001</v>
      </c>
      <c r="C15" s="69">
        <v>73.3</v>
      </c>
      <c r="D15" s="69">
        <v>46</v>
      </c>
      <c r="E15" s="69">
        <v>15.9</v>
      </c>
      <c r="F15" s="69">
        <v>26</v>
      </c>
      <c r="G15" s="69">
        <v>17</v>
      </c>
      <c r="H15" s="69">
        <v>129</v>
      </c>
      <c r="I15" s="69">
        <v>286.5</v>
      </c>
      <c r="J15" s="69">
        <v>170</v>
      </c>
      <c r="K15" s="69">
        <v>10</v>
      </c>
      <c r="L15" s="69">
        <v>85</v>
      </c>
      <c r="M15" s="69">
        <v>13</v>
      </c>
      <c r="N15" s="71">
        <v>32</v>
      </c>
      <c r="O15" s="19">
        <f t="shared" si="0"/>
        <v>903.7</v>
      </c>
      <c r="P15" s="14">
        <f t="shared" si="1"/>
        <v>75.3</v>
      </c>
    </row>
    <row r="16" spans="2:17" ht="21.95" customHeight="1">
      <c r="B16" s="64">
        <v>2002</v>
      </c>
      <c r="C16" s="69">
        <v>50.8</v>
      </c>
      <c r="D16" s="69">
        <v>5.5</v>
      </c>
      <c r="E16" s="69">
        <v>32</v>
      </c>
      <c r="F16" s="69">
        <v>169</v>
      </c>
      <c r="G16" s="69">
        <v>155.5</v>
      </c>
      <c r="H16" s="69">
        <v>72</v>
      </c>
      <c r="I16" s="69">
        <v>217.5</v>
      </c>
      <c r="J16" s="69">
        <v>477</v>
      </c>
      <c r="K16" s="69">
        <v>27</v>
      </c>
      <c r="L16" s="69">
        <v>134</v>
      </c>
      <c r="M16" s="69">
        <v>61.1</v>
      </c>
      <c r="N16" s="71">
        <v>51.8</v>
      </c>
      <c r="O16" s="19">
        <f t="shared" si="0"/>
        <v>1453.2</v>
      </c>
      <c r="P16" s="14">
        <f t="shared" si="1"/>
        <v>121.1</v>
      </c>
    </row>
    <row r="17" spans="2:16" ht="21.95" customHeight="1">
      <c r="B17" s="64">
        <v>2003</v>
      </c>
      <c r="C17" s="69">
        <v>30.7</v>
      </c>
      <c r="D17" s="69">
        <v>44.5</v>
      </c>
      <c r="E17" s="69">
        <v>39.5</v>
      </c>
      <c r="F17" s="69">
        <v>168.5</v>
      </c>
      <c r="G17" s="69">
        <v>78.5</v>
      </c>
      <c r="H17" s="69">
        <v>153</v>
      </c>
      <c r="I17" s="69">
        <v>309.5</v>
      </c>
      <c r="J17" s="69">
        <v>310</v>
      </c>
      <c r="K17" s="69">
        <v>128</v>
      </c>
      <c r="L17" s="69">
        <v>23</v>
      </c>
      <c r="M17" s="69">
        <v>45.5</v>
      </c>
      <c r="N17" s="71">
        <v>13</v>
      </c>
      <c r="O17" s="19">
        <f t="shared" si="0"/>
        <v>1343.7</v>
      </c>
      <c r="P17" s="14">
        <f t="shared" si="1"/>
        <v>112</v>
      </c>
    </row>
    <row r="18" spans="2:16" ht="21.95" customHeight="1">
      <c r="B18" s="64">
        <v>2004</v>
      </c>
      <c r="C18" s="69">
        <v>22.1</v>
      </c>
      <c r="D18" s="69">
        <v>28.5</v>
      </c>
      <c r="E18" s="69">
        <v>45.7</v>
      </c>
      <c r="F18" s="69">
        <v>58</v>
      </c>
      <c r="G18" s="69">
        <v>105.5</v>
      </c>
      <c r="H18" s="69">
        <v>234.5</v>
      </c>
      <c r="I18" s="69">
        <v>263.5</v>
      </c>
      <c r="J18" s="69">
        <v>164</v>
      </c>
      <c r="K18" s="69">
        <v>195</v>
      </c>
      <c r="L18" s="69">
        <v>4</v>
      </c>
      <c r="M18" s="69">
        <v>56.5</v>
      </c>
      <c r="N18" s="71">
        <v>38.9</v>
      </c>
      <c r="O18" s="19">
        <f t="shared" si="0"/>
        <v>1216.2</v>
      </c>
      <c r="P18" s="14">
        <f t="shared" si="1"/>
        <v>101.4</v>
      </c>
    </row>
    <row r="19" spans="2:16" ht="21.95" customHeight="1">
      <c r="B19" s="64">
        <v>2005</v>
      </c>
      <c r="C19" s="69">
        <v>5.8</v>
      </c>
      <c r="D19" s="69">
        <v>35.799999999999997</v>
      </c>
      <c r="E19" s="69">
        <v>30</v>
      </c>
      <c r="F19" s="69">
        <v>73.5</v>
      </c>
      <c r="G19" s="69">
        <v>48.5</v>
      </c>
      <c r="H19" s="69">
        <v>156</v>
      </c>
      <c r="I19" s="69">
        <v>260.5</v>
      </c>
      <c r="J19" s="69">
        <v>291.5</v>
      </c>
      <c r="K19" s="69">
        <v>282.5</v>
      </c>
      <c r="L19" s="69">
        <v>21</v>
      </c>
      <c r="M19" s="69">
        <v>18</v>
      </c>
      <c r="N19" s="71">
        <v>43.4</v>
      </c>
      <c r="O19" s="19">
        <f t="shared" si="0"/>
        <v>1266.5</v>
      </c>
      <c r="P19" s="14">
        <f t="shared" si="1"/>
        <v>105.5</v>
      </c>
    </row>
    <row r="20" spans="2:16" ht="21.95" customHeight="1">
      <c r="B20" s="64">
        <v>2006</v>
      </c>
      <c r="C20" s="69">
        <v>27</v>
      </c>
      <c r="D20" s="69">
        <v>25.9</v>
      </c>
      <c r="E20" s="69">
        <v>10.6</v>
      </c>
      <c r="F20" s="69">
        <v>81.5</v>
      </c>
      <c r="G20" s="69">
        <v>94.5</v>
      </c>
      <c r="H20" s="69">
        <v>114.5</v>
      </c>
      <c r="I20" s="69">
        <v>321</v>
      </c>
      <c r="J20" s="69">
        <v>21.5</v>
      </c>
      <c r="K20" s="69">
        <v>23.5</v>
      </c>
      <c r="L20" s="69">
        <v>24.5</v>
      </c>
      <c r="M20" s="69">
        <v>61.5</v>
      </c>
      <c r="N20" s="71">
        <v>25.4</v>
      </c>
      <c r="O20" s="19">
        <f t="shared" si="0"/>
        <v>831.4</v>
      </c>
      <c r="P20" s="14">
        <f t="shared" si="1"/>
        <v>69.3</v>
      </c>
    </row>
    <row r="21" spans="2:16" ht="21.95" customHeight="1">
      <c r="B21" s="64">
        <v>2007</v>
      </c>
      <c r="C21" s="69">
        <v>23.4</v>
      </c>
      <c r="D21" s="69">
        <v>29.8</v>
      </c>
      <c r="E21" s="69">
        <v>102</v>
      </c>
      <c r="F21" s="69">
        <v>29.5</v>
      </c>
      <c r="G21" s="69">
        <v>79</v>
      </c>
      <c r="H21" s="69">
        <v>85</v>
      </c>
      <c r="I21" s="69">
        <v>214</v>
      </c>
      <c r="J21" s="69">
        <v>239.5</v>
      </c>
      <c r="K21" s="69">
        <v>384</v>
      </c>
      <c r="L21" s="69">
        <v>59</v>
      </c>
      <c r="M21" s="69">
        <v>17.5</v>
      </c>
      <c r="N21" s="71">
        <v>33.1</v>
      </c>
      <c r="O21" s="19">
        <f t="shared" si="0"/>
        <v>1295.8</v>
      </c>
      <c r="P21" s="14">
        <f t="shared" si="1"/>
        <v>108</v>
      </c>
    </row>
    <row r="22" spans="2:16" ht="21.95" customHeight="1">
      <c r="B22" s="64">
        <v>2008</v>
      </c>
      <c r="C22" s="69">
        <v>20.9</v>
      </c>
      <c r="D22" s="69">
        <v>10.8</v>
      </c>
      <c r="E22" s="69">
        <v>48.2</v>
      </c>
      <c r="F22" s="69">
        <v>40.5</v>
      </c>
      <c r="G22" s="69">
        <v>78.900000000000006</v>
      </c>
      <c r="H22" s="69">
        <v>101.3</v>
      </c>
      <c r="I22" s="69">
        <v>257.2</v>
      </c>
      <c r="J22" s="69">
        <v>119.5</v>
      </c>
      <c r="K22" s="69">
        <v>46.9</v>
      </c>
      <c r="L22" s="69">
        <v>26.7</v>
      </c>
      <c r="M22" s="69">
        <v>37.6</v>
      </c>
      <c r="N22" s="71">
        <v>25</v>
      </c>
      <c r="O22" s="19">
        <f t="shared" si="0"/>
        <v>813.5</v>
      </c>
      <c r="P22" s="14">
        <f t="shared" si="1"/>
        <v>67.8</v>
      </c>
    </row>
    <row r="23" spans="2:16" ht="21.95" customHeight="1">
      <c r="B23" s="64">
        <v>2009</v>
      </c>
      <c r="C23" s="69">
        <v>18.5</v>
      </c>
      <c r="D23" s="69">
        <v>23.3</v>
      </c>
      <c r="E23" s="69">
        <v>55.1</v>
      </c>
      <c r="F23" s="69">
        <v>41.5</v>
      </c>
      <c r="G23" s="69">
        <v>154.5</v>
      </c>
      <c r="H23" s="69">
        <v>115.1</v>
      </c>
      <c r="I23" s="69">
        <v>320.89999999999998</v>
      </c>
      <c r="J23" s="69">
        <v>176.6</v>
      </c>
      <c r="K23" s="69">
        <v>25.5</v>
      </c>
      <c r="L23" s="69">
        <v>39.5</v>
      </c>
      <c r="M23" s="69">
        <v>52.9</v>
      </c>
      <c r="N23" s="71">
        <v>58</v>
      </c>
      <c r="O23" s="19">
        <f t="shared" si="0"/>
        <v>1081.4000000000001</v>
      </c>
      <c r="P23" s="14">
        <f t="shared" si="1"/>
        <v>90.1</v>
      </c>
    </row>
    <row r="24" spans="2:16" ht="21.95" customHeight="1">
      <c r="B24" s="64">
        <v>2010</v>
      </c>
      <c r="C24" s="69">
        <v>30.1</v>
      </c>
      <c r="D24" s="69">
        <v>73.5</v>
      </c>
      <c r="E24" s="69">
        <v>75.900000000000006</v>
      </c>
      <c r="F24" s="69">
        <v>58.5</v>
      </c>
      <c r="G24" s="69">
        <v>122.8</v>
      </c>
      <c r="H24" s="69">
        <v>60.8</v>
      </c>
      <c r="I24" s="69">
        <v>396.5</v>
      </c>
      <c r="J24" s="69">
        <v>402.7</v>
      </c>
      <c r="K24" s="69">
        <v>213.1</v>
      </c>
      <c r="L24" s="69">
        <v>19.2</v>
      </c>
      <c r="M24" s="69">
        <v>16.3</v>
      </c>
      <c r="N24" s="71">
        <v>32.9</v>
      </c>
      <c r="O24" s="19">
        <f t="shared" si="0"/>
        <v>1502.3</v>
      </c>
      <c r="P24" s="14">
        <f t="shared" si="1"/>
        <v>125.2</v>
      </c>
    </row>
    <row r="25" spans="2:16" ht="21.95" customHeight="1">
      <c r="B25" s="64">
        <v>2011</v>
      </c>
      <c r="C25" s="69">
        <v>11.1</v>
      </c>
      <c r="D25" s="69">
        <v>37.5</v>
      </c>
      <c r="E25" s="69">
        <v>18</v>
      </c>
      <c r="F25" s="69">
        <v>72.099999999999994</v>
      </c>
      <c r="G25" s="69">
        <v>115.3</v>
      </c>
      <c r="H25" s="69">
        <v>318</v>
      </c>
      <c r="I25" s="69">
        <v>723.1</v>
      </c>
      <c r="J25" s="69">
        <v>289.39999999999998</v>
      </c>
      <c r="K25" s="69">
        <v>70.8</v>
      </c>
      <c r="L25" s="69">
        <v>13.9</v>
      </c>
      <c r="M25" s="69">
        <v>61.3</v>
      </c>
      <c r="N25" s="71">
        <v>12.5</v>
      </c>
      <c r="O25" s="19">
        <f t="shared" si="0"/>
        <v>1743</v>
      </c>
      <c r="P25" s="14">
        <f t="shared" si="1"/>
        <v>145.30000000000001</v>
      </c>
    </row>
    <row r="26" spans="2:16" ht="21.95" customHeight="1">
      <c r="B26" s="64">
        <v>2012</v>
      </c>
      <c r="C26" s="69">
        <v>24.2</v>
      </c>
      <c r="D26" s="69">
        <v>9.1999999999999993</v>
      </c>
      <c r="E26" s="69">
        <v>45</v>
      </c>
      <c r="F26" s="69">
        <v>68.900000000000006</v>
      </c>
      <c r="G26" s="69">
        <v>14.6</v>
      </c>
      <c r="H26" s="69">
        <v>76.8</v>
      </c>
      <c r="I26" s="69">
        <v>231.1</v>
      </c>
      <c r="J26" s="69">
        <v>450.2</v>
      </c>
      <c r="K26" s="69">
        <v>207.7</v>
      </c>
      <c r="L26" s="69">
        <v>65</v>
      </c>
      <c r="M26" s="69">
        <v>61.1</v>
      </c>
      <c r="N26" s="71">
        <v>65.2</v>
      </c>
      <c r="O26" s="19">
        <f t="shared" si="0"/>
        <v>1319</v>
      </c>
      <c r="P26" s="14">
        <f t="shared" si="1"/>
        <v>109.9</v>
      </c>
    </row>
    <row r="27" spans="2:16" ht="21.95" customHeight="1">
      <c r="B27" s="64">
        <v>2013</v>
      </c>
      <c r="C27" s="69">
        <v>28.4</v>
      </c>
      <c r="D27" s="69">
        <v>40.700000000000003</v>
      </c>
      <c r="E27" s="69">
        <v>53.4</v>
      </c>
      <c r="F27" s="69">
        <v>68.2</v>
      </c>
      <c r="G27" s="69">
        <v>116.6</v>
      </c>
      <c r="H27" s="69">
        <v>159.9</v>
      </c>
      <c r="I27" s="69">
        <v>267.5</v>
      </c>
      <c r="J27" s="69">
        <v>214.6</v>
      </c>
      <c r="K27" s="69">
        <v>320</v>
      </c>
      <c r="L27" s="69">
        <v>10.9</v>
      </c>
      <c r="M27" s="69">
        <v>81.099999999999994</v>
      </c>
      <c r="N27" s="71">
        <v>26.4</v>
      </c>
      <c r="O27" s="19">
        <f t="shared" si="0"/>
        <v>1387.7</v>
      </c>
      <c r="P27" s="14">
        <f t="shared" si="1"/>
        <v>115.6</v>
      </c>
    </row>
    <row r="28" spans="2:16" ht="21.95" customHeight="1">
      <c r="B28" s="64">
        <v>2014</v>
      </c>
      <c r="C28" s="69">
        <v>3.4</v>
      </c>
      <c r="D28" s="69">
        <v>20.5</v>
      </c>
      <c r="E28" s="69">
        <v>56.3</v>
      </c>
      <c r="F28" s="69">
        <v>70</v>
      </c>
      <c r="G28" s="69">
        <v>47.1</v>
      </c>
      <c r="H28" s="69">
        <v>125.8</v>
      </c>
      <c r="I28" s="69">
        <v>104</v>
      </c>
      <c r="J28" s="69">
        <v>168.5</v>
      </c>
      <c r="K28" s="69">
        <v>152</v>
      </c>
      <c r="L28" s="69">
        <v>156</v>
      </c>
      <c r="M28" s="69">
        <v>39.9</v>
      </c>
      <c r="N28" s="71">
        <v>66.599999999999994</v>
      </c>
      <c r="O28" s="19">
        <f t="shared" si="0"/>
        <v>1010.1</v>
      </c>
      <c r="P28" s="14">
        <f t="shared" si="1"/>
        <v>84.2</v>
      </c>
    </row>
    <row r="29" spans="2:16" ht="21.95" customHeight="1">
      <c r="B29" s="64">
        <v>2015</v>
      </c>
      <c r="C29" s="69">
        <v>29.9</v>
      </c>
      <c r="D29" s="69">
        <v>23.4</v>
      </c>
      <c r="E29" s="69">
        <v>30.9</v>
      </c>
      <c r="F29" s="69">
        <v>129.69999999999999</v>
      </c>
      <c r="G29" s="69">
        <v>38.799999999999997</v>
      </c>
      <c r="H29" s="69">
        <v>83.9</v>
      </c>
      <c r="I29" s="69">
        <v>94.7</v>
      </c>
      <c r="J29" s="69">
        <v>30.2</v>
      </c>
      <c r="K29" s="69">
        <v>13.3</v>
      </c>
      <c r="L29" s="69">
        <v>90</v>
      </c>
      <c r="M29" s="69">
        <v>155.6</v>
      </c>
      <c r="N29" s="71">
        <v>65</v>
      </c>
      <c r="O29" s="19">
        <f t="shared" si="0"/>
        <v>785.4</v>
      </c>
      <c r="P29" s="14">
        <f t="shared" si="1"/>
        <v>65.5</v>
      </c>
    </row>
    <row r="30" spans="2:16" ht="21.95" customHeight="1">
      <c r="B30" s="64">
        <v>2016</v>
      </c>
      <c r="C30" s="69">
        <v>7.8</v>
      </c>
      <c r="D30" s="69">
        <v>54.2</v>
      </c>
      <c r="E30" s="69">
        <v>18.7</v>
      </c>
      <c r="F30" s="69">
        <v>105.1</v>
      </c>
      <c r="G30" s="69">
        <v>146.5</v>
      </c>
      <c r="H30" s="69">
        <v>23.7</v>
      </c>
      <c r="I30" s="69">
        <v>200.2</v>
      </c>
      <c r="J30" s="69">
        <v>5.0999999999999996</v>
      </c>
      <c r="K30" s="69">
        <v>73.400000000000006</v>
      </c>
      <c r="L30" s="69">
        <v>108</v>
      </c>
      <c r="M30" s="69">
        <v>5.6</v>
      </c>
      <c r="N30" s="71">
        <v>44.5</v>
      </c>
      <c r="O30" s="19">
        <f t="shared" si="0"/>
        <v>792.8</v>
      </c>
      <c r="P30" s="14">
        <f t="shared" si="1"/>
        <v>66.099999999999994</v>
      </c>
    </row>
    <row r="31" spans="2:16" ht="21.95" customHeight="1">
      <c r="B31" s="64">
        <v>2017</v>
      </c>
      <c r="C31" s="69">
        <v>14.8</v>
      </c>
      <c r="D31" s="69">
        <v>30.2</v>
      </c>
      <c r="E31" s="69">
        <v>14.4</v>
      </c>
      <c r="F31" s="69">
        <v>57.6</v>
      </c>
      <c r="G31" s="69">
        <v>58.9</v>
      </c>
      <c r="H31" s="69">
        <v>21.1</v>
      </c>
      <c r="I31" s="69">
        <v>278.10000000000002</v>
      </c>
      <c r="J31" s="69">
        <v>210</v>
      </c>
      <c r="K31" s="69">
        <v>90</v>
      </c>
      <c r="L31" s="69">
        <v>26.6</v>
      </c>
      <c r="M31" s="69">
        <v>15.9</v>
      </c>
      <c r="N31" s="71">
        <v>38.6</v>
      </c>
      <c r="O31" s="19">
        <f t="shared" si="0"/>
        <v>856.2</v>
      </c>
      <c r="P31" s="14">
        <f t="shared" si="1"/>
        <v>71.400000000000006</v>
      </c>
    </row>
    <row r="32" spans="2:16" ht="21.95" customHeight="1">
      <c r="B32" s="64">
        <v>2018</v>
      </c>
      <c r="C32" s="69">
        <v>15</v>
      </c>
      <c r="D32" s="69">
        <v>33.6</v>
      </c>
      <c r="E32" s="69">
        <v>92</v>
      </c>
      <c r="F32" s="69">
        <v>128.1</v>
      </c>
      <c r="G32" s="69">
        <v>104.5</v>
      </c>
      <c r="H32" s="69">
        <v>71</v>
      </c>
      <c r="I32" s="69">
        <v>262.7</v>
      </c>
      <c r="J32" s="69">
        <v>239.6</v>
      </c>
      <c r="K32" s="69">
        <v>158.19999999999999</v>
      </c>
      <c r="L32" s="69">
        <v>154.69999999999999</v>
      </c>
      <c r="M32" s="69">
        <v>46.7</v>
      </c>
      <c r="N32" s="71">
        <v>31.1</v>
      </c>
      <c r="O32" s="19">
        <f t="shared" si="0"/>
        <v>1337.2</v>
      </c>
      <c r="P32" s="14">
        <f t="shared" si="1"/>
        <v>111.4</v>
      </c>
    </row>
    <row r="33" spans="2:16" ht="21.95" customHeight="1">
      <c r="B33" s="64">
        <v>2019</v>
      </c>
      <c r="C33" s="69">
        <v>1.9</v>
      </c>
      <c r="D33" s="69">
        <v>17.8</v>
      </c>
      <c r="E33" s="69">
        <v>18.2</v>
      </c>
      <c r="F33" s="69">
        <v>71.900000000000006</v>
      </c>
      <c r="G33" s="69">
        <v>31.3</v>
      </c>
      <c r="H33" s="69">
        <v>56</v>
      </c>
      <c r="I33" s="69">
        <v>149</v>
      </c>
      <c r="J33" s="69">
        <v>131.30000000000001</v>
      </c>
      <c r="K33" s="69">
        <v>118.7</v>
      </c>
      <c r="L33" s="69">
        <v>63.9</v>
      </c>
      <c r="M33" s="69">
        <v>130.6</v>
      </c>
      <c r="N33" s="71">
        <v>31.3</v>
      </c>
      <c r="O33" s="19">
        <f t="shared" si="0"/>
        <v>821.9</v>
      </c>
      <c r="P33" s="14">
        <f t="shared" si="1"/>
        <v>68.5</v>
      </c>
    </row>
    <row r="34" spans="2:16" ht="21.95" customHeight="1">
      <c r="B34" s="64">
        <v>2020</v>
      </c>
      <c r="C34" s="69">
        <v>49.4</v>
      </c>
      <c r="D34" s="69">
        <v>75.3</v>
      </c>
      <c r="E34" s="69">
        <v>22.8</v>
      </c>
      <c r="F34" s="69">
        <v>16.5</v>
      </c>
      <c r="G34" s="69">
        <v>92.4</v>
      </c>
      <c r="H34" s="69">
        <v>139.69999999999999</v>
      </c>
      <c r="I34" s="69">
        <v>345.9</v>
      </c>
      <c r="J34" s="69">
        <v>321.5</v>
      </c>
      <c r="K34" s="69">
        <v>177.1</v>
      </c>
      <c r="L34" s="69">
        <v>16.2</v>
      </c>
      <c r="M34" s="69">
        <v>35.4</v>
      </c>
      <c r="N34" s="71">
        <v>9.6999999999999993</v>
      </c>
      <c r="O34" s="19">
        <f t="shared" si="0"/>
        <v>1301.9000000000001</v>
      </c>
      <c r="P34" s="14">
        <f t="shared" si="1"/>
        <v>108.5</v>
      </c>
    </row>
    <row r="35" spans="2:16" ht="21.95" customHeight="1" thickBot="1">
      <c r="B35" s="65">
        <v>2021</v>
      </c>
      <c r="C35" s="72">
        <v>32</v>
      </c>
      <c r="D35" s="72">
        <v>18.7</v>
      </c>
      <c r="E35" s="72">
        <v>76.099999999999994</v>
      </c>
      <c r="F35" s="72">
        <v>43.4</v>
      </c>
      <c r="G35" s="72">
        <v>110</v>
      </c>
      <c r="H35" s="72">
        <v>55</v>
      </c>
      <c r="I35" s="72">
        <v>131.30000000000001</v>
      </c>
      <c r="J35" s="72">
        <v>253.7</v>
      </c>
      <c r="K35" s="72">
        <v>215.9</v>
      </c>
      <c r="L35" s="72">
        <v>39.6</v>
      </c>
      <c r="M35" s="72">
        <v>117.8</v>
      </c>
      <c r="N35" s="73">
        <v>14.4</v>
      </c>
      <c r="O35" s="23">
        <f t="shared" si="0"/>
        <v>1107.9000000000001</v>
      </c>
      <c r="P35" s="24">
        <f t="shared" si="1"/>
        <v>92.3</v>
      </c>
    </row>
    <row r="36" spans="2:16" ht="21.95" customHeight="1">
      <c r="B36" s="25" t="s">
        <v>13</v>
      </c>
      <c r="C36" s="26">
        <f>ROUND(MAX(C6:C35),1)</f>
        <v>73.3</v>
      </c>
      <c r="D36" s="26">
        <f t="shared" ref="D36:N36" si="2">ROUND(MAX(D6:D35),1)</f>
        <v>75.3</v>
      </c>
      <c r="E36" s="26">
        <f t="shared" si="2"/>
        <v>104.5</v>
      </c>
      <c r="F36" s="26">
        <f t="shared" si="2"/>
        <v>169</v>
      </c>
      <c r="G36" s="26">
        <f t="shared" si="2"/>
        <v>203</v>
      </c>
      <c r="H36" s="26">
        <f t="shared" si="2"/>
        <v>318</v>
      </c>
      <c r="I36" s="26">
        <f t="shared" si="2"/>
        <v>723.1</v>
      </c>
      <c r="J36" s="26">
        <f t="shared" si="2"/>
        <v>996.5</v>
      </c>
      <c r="K36" s="26">
        <f t="shared" si="2"/>
        <v>384</v>
      </c>
      <c r="L36" s="26">
        <f t="shared" si="2"/>
        <v>169</v>
      </c>
      <c r="M36" s="26">
        <f t="shared" si="2"/>
        <v>193.5</v>
      </c>
      <c r="N36" s="27">
        <f t="shared" si="2"/>
        <v>68.599999999999994</v>
      </c>
      <c r="O36" s="28">
        <f>ROUND(MAX(O6:O35),1)</f>
        <v>1743</v>
      </c>
      <c r="P36" s="29">
        <f>ROUND(MAX(P6:P35),1)</f>
        <v>145.30000000000001</v>
      </c>
    </row>
    <row r="37" spans="2:16" ht="21.95" customHeight="1">
      <c r="B37" s="12" t="s">
        <v>14</v>
      </c>
      <c r="C37" s="7">
        <f>ROUND(MIN(C6:C35),1)</f>
        <v>1.9</v>
      </c>
      <c r="D37" s="7">
        <f t="shared" ref="D37:N37" si="3">ROUND(MIN(D6:D35),1)</f>
        <v>3.2</v>
      </c>
      <c r="E37" s="7">
        <f t="shared" si="3"/>
        <v>7</v>
      </c>
      <c r="F37" s="7">
        <f t="shared" si="3"/>
        <v>16.5</v>
      </c>
      <c r="G37" s="7">
        <f t="shared" si="3"/>
        <v>14.6</v>
      </c>
      <c r="H37" s="7">
        <f t="shared" si="3"/>
        <v>21.1</v>
      </c>
      <c r="I37" s="7">
        <f t="shared" si="3"/>
        <v>84.9</v>
      </c>
      <c r="J37" s="7">
        <f t="shared" si="3"/>
        <v>5.0999999999999996</v>
      </c>
      <c r="K37" s="7">
        <f t="shared" si="3"/>
        <v>10</v>
      </c>
      <c r="L37" s="7">
        <f t="shared" si="3"/>
        <v>4</v>
      </c>
      <c r="M37" s="7">
        <f t="shared" si="3"/>
        <v>5.6</v>
      </c>
      <c r="N37" s="14">
        <f t="shared" si="3"/>
        <v>3.8</v>
      </c>
      <c r="O37" s="20">
        <f>ROUND(MIN(O6:O35),1)</f>
        <v>785.4</v>
      </c>
      <c r="P37" s="13">
        <f>ROUND(MIN(P6:P35),1)</f>
        <v>65.5</v>
      </c>
    </row>
    <row r="38" spans="2:16" ht="21.95" customHeight="1" thickBot="1">
      <c r="B38" s="15" t="s">
        <v>18</v>
      </c>
      <c r="C38" s="16">
        <f>ROUND(AVERAGE(C6:C35),1)</f>
        <v>23.2</v>
      </c>
      <c r="D38" s="16">
        <f t="shared" ref="D38:J38" si="4">ROUND(AVERAGE(D6:D35),1)</f>
        <v>29.7</v>
      </c>
      <c r="E38" s="16">
        <f t="shared" si="4"/>
        <v>42.2</v>
      </c>
      <c r="F38" s="16">
        <f t="shared" si="4"/>
        <v>71.599999999999994</v>
      </c>
      <c r="G38" s="16">
        <f t="shared" si="4"/>
        <v>88.6</v>
      </c>
      <c r="H38" s="16">
        <f t="shared" si="4"/>
        <v>131.30000000000001</v>
      </c>
      <c r="I38" s="16">
        <f t="shared" si="4"/>
        <v>243.5</v>
      </c>
      <c r="J38" s="16">
        <f t="shared" si="4"/>
        <v>274.89999999999998</v>
      </c>
      <c r="K38" s="16">
        <f t="shared" ref="K38:P38" si="5">ROUND(AVERAGE(K6:K35),1)</f>
        <v>135.19999999999999</v>
      </c>
      <c r="L38" s="16">
        <f t="shared" si="5"/>
        <v>60.4</v>
      </c>
      <c r="M38" s="16">
        <f t="shared" si="5"/>
        <v>56.4</v>
      </c>
      <c r="N38" s="17">
        <f t="shared" si="5"/>
        <v>34</v>
      </c>
      <c r="O38" s="21">
        <f t="shared" si="5"/>
        <v>1191.0999999999999</v>
      </c>
      <c r="P38" s="22">
        <f t="shared" si="5"/>
        <v>99.3</v>
      </c>
    </row>
    <row r="39" spans="2:16" ht="21.95" customHeight="1"/>
    <row r="40" spans="2:16" ht="21.95" customHeight="1"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2012</v>
      </c>
      <c r="C44" s="40">
        <f t="shared" ref="C44:N44" si="6">C26</f>
        <v>24.2</v>
      </c>
      <c r="D44" s="40">
        <f t="shared" si="6"/>
        <v>9.1999999999999993</v>
      </c>
      <c r="E44" s="40">
        <f t="shared" si="6"/>
        <v>45</v>
      </c>
      <c r="F44" s="40">
        <f t="shared" si="6"/>
        <v>68.900000000000006</v>
      </c>
      <c r="G44" s="40">
        <f t="shared" si="6"/>
        <v>14.6</v>
      </c>
      <c r="H44" s="40">
        <f t="shared" si="6"/>
        <v>76.8</v>
      </c>
      <c r="I44" s="40">
        <f t="shared" si="6"/>
        <v>231.1</v>
      </c>
      <c r="J44" s="40">
        <f t="shared" si="6"/>
        <v>450.2</v>
      </c>
      <c r="K44" s="40">
        <f t="shared" si="6"/>
        <v>207.7</v>
      </c>
      <c r="L44" s="40">
        <f t="shared" si="6"/>
        <v>65</v>
      </c>
      <c r="M44" s="40">
        <f t="shared" si="6"/>
        <v>61.1</v>
      </c>
      <c r="N44" s="47">
        <f t="shared" si="6"/>
        <v>65.2</v>
      </c>
      <c r="O44" s="8">
        <f>ROUND(SUM(C44:N44),1)</f>
        <v>1319</v>
      </c>
      <c r="P44" s="13">
        <f>ROUND(O44/12,1)</f>
        <v>109.9</v>
      </c>
    </row>
    <row r="45" spans="2:16" ht="21.95" customHeight="1">
      <c r="B45" s="39">
        <f t="shared" ref="B45:N53" si="7">B27</f>
        <v>2013</v>
      </c>
      <c r="C45" s="40">
        <f t="shared" si="7"/>
        <v>28.4</v>
      </c>
      <c r="D45" s="40">
        <f t="shared" si="7"/>
        <v>40.700000000000003</v>
      </c>
      <c r="E45" s="40">
        <f t="shared" si="7"/>
        <v>53.4</v>
      </c>
      <c r="F45" s="40">
        <f t="shared" si="7"/>
        <v>68.2</v>
      </c>
      <c r="G45" s="40">
        <f t="shared" si="7"/>
        <v>116.6</v>
      </c>
      <c r="H45" s="40">
        <f t="shared" si="7"/>
        <v>159.9</v>
      </c>
      <c r="I45" s="40">
        <f t="shared" si="7"/>
        <v>267.5</v>
      </c>
      <c r="J45" s="40">
        <f t="shared" si="7"/>
        <v>214.6</v>
      </c>
      <c r="K45" s="40">
        <f t="shared" si="7"/>
        <v>320</v>
      </c>
      <c r="L45" s="40">
        <f t="shared" si="7"/>
        <v>10.9</v>
      </c>
      <c r="M45" s="40">
        <f t="shared" si="7"/>
        <v>81.099999999999994</v>
      </c>
      <c r="N45" s="47">
        <f t="shared" si="7"/>
        <v>26.4</v>
      </c>
      <c r="O45" s="8">
        <f t="shared" ref="O45:O53" si="8">ROUND(SUM(C45:N45),1)</f>
        <v>1387.7</v>
      </c>
      <c r="P45" s="13">
        <f t="shared" ref="P45:P53" si="9">ROUND(O45/12,1)</f>
        <v>115.6</v>
      </c>
    </row>
    <row r="46" spans="2:16" ht="21.95" customHeight="1">
      <c r="B46" s="39">
        <f t="shared" si="7"/>
        <v>2014</v>
      </c>
      <c r="C46" s="40">
        <f t="shared" si="7"/>
        <v>3.4</v>
      </c>
      <c r="D46" s="40">
        <f t="shared" si="7"/>
        <v>20.5</v>
      </c>
      <c r="E46" s="40">
        <f t="shared" si="7"/>
        <v>56.3</v>
      </c>
      <c r="F46" s="40">
        <f t="shared" si="7"/>
        <v>70</v>
      </c>
      <c r="G46" s="40">
        <f t="shared" si="7"/>
        <v>47.1</v>
      </c>
      <c r="H46" s="40">
        <f t="shared" si="7"/>
        <v>125.8</v>
      </c>
      <c r="I46" s="40">
        <f t="shared" si="7"/>
        <v>104</v>
      </c>
      <c r="J46" s="40">
        <f t="shared" si="7"/>
        <v>168.5</v>
      </c>
      <c r="K46" s="40">
        <f t="shared" si="7"/>
        <v>152</v>
      </c>
      <c r="L46" s="40">
        <f t="shared" si="7"/>
        <v>156</v>
      </c>
      <c r="M46" s="40">
        <f t="shared" si="7"/>
        <v>39.9</v>
      </c>
      <c r="N46" s="47">
        <f t="shared" si="7"/>
        <v>66.599999999999994</v>
      </c>
      <c r="O46" s="8">
        <f t="shared" si="8"/>
        <v>1010.1</v>
      </c>
      <c r="P46" s="13">
        <f t="shared" si="9"/>
        <v>84.2</v>
      </c>
    </row>
    <row r="47" spans="2:16" ht="21.95" customHeight="1">
      <c r="B47" s="39">
        <f t="shared" si="7"/>
        <v>2015</v>
      </c>
      <c r="C47" s="40">
        <f t="shared" si="7"/>
        <v>29.9</v>
      </c>
      <c r="D47" s="40">
        <f t="shared" si="7"/>
        <v>23.4</v>
      </c>
      <c r="E47" s="40">
        <f t="shared" si="7"/>
        <v>30.9</v>
      </c>
      <c r="F47" s="40">
        <f t="shared" si="7"/>
        <v>129.69999999999999</v>
      </c>
      <c r="G47" s="40">
        <f t="shared" si="7"/>
        <v>38.799999999999997</v>
      </c>
      <c r="H47" s="40">
        <f t="shared" si="7"/>
        <v>83.9</v>
      </c>
      <c r="I47" s="40">
        <f t="shared" si="7"/>
        <v>94.7</v>
      </c>
      <c r="J47" s="40">
        <f t="shared" si="7"/>
        <v>30.2</v>
      </c>
      <c r="K47" s="40">
        <f t="shared" si="7"/>
        <v>13.3</v>
      </c>
      <c r="L47" s="40">
        <f t="shared" si="7"/>
        <v>90</v>
      </c>
      <c r="M47" s="40">
        <f t="shared" si="7"/>
        <v>155.6</v>
      </c>
      <c r="N47" s="47">
        <f t="shared" si="7"/>
        <v>65</v>
      </c>
      <c r="O47" s="8">
        <f>ROUND(SUM(C47:N47),1)</f>
        <v>785.4</v>
      </c>
      <c r="P47" s="13">
        <f t="shared" si="9"/>
        <v>65.5</v>
      </c>
    </row>
    <row r="48" spans="2:16" ht="21.95" customHeight="1">
      <c r="B48" s="39">
        <f t="shared" si="7"/>
        <v>2016</v>
      </c>
      <c r="C48" s="40">
        <f t="shared" si="7"/>
        <v>7.8</v>
      </c>
      <c r="D48" s="40">
        <f t="shared" si="7"/>
        <v>54.2</v>
      </c>
      <c r="E48" s="40">
        <f t="shared" si="7"/>
        <v>18.7</v>
      </c>
      <c r="F48" s="40">
        <f t="shared" si="7"/>
        <v>105.1</v>
      </c>
      <c r="G48" s="40">
        <f t="shared" si="7"/>
        <v>146.5</v>
      </c>
      <c r="H48" s="40">
        <f t="shared" si="7"/>
        <v>23.7</v>
      </c>
      <c r="I48" s="40">
        <f t="shared" si="7"/>
        <v>200.2</v>
      </c>
      <c r="J48" s="40">
        <f t="shared" si="7"/>
        <v>5.0999999999999996</v>
      </c>
      <c r="K48" s="40">
        <f t="shared" si="7"/>
        <v>73.400000000000006</v>
      </c>
      <c r="L48" s="40">
        <f t="shared" si="7"/>
        <v>108</v>
      </c>
      <c r="M48" s="40">
        <f t="shared" si="7"/>
        <v>5.6</v>
      </c>
      <c r="N48" s="47">
        <f t="shared" si="7"/>
        <v>44.5</v>
      </c>
      <c r="O48" s="8">
        <f t="shared" si="8"/>
        <v>792.8</v>
      </c>
      <c r="P48" s="13">
        <f t="shared" si="9"/>
        <v>66.099999999999994</v>
      </c>
    </row>
    <row r="49" spans="2:16" ht="21.95" customHeight="1">
      <c r="B49" s="39">
        <f t="shared" si="7"/>
        <v>2017</v>
      </c>
      <c r="C49" s="40">
        <f t="shared" si="7"/>
        <v>14.8</v>
      </c>
      <c r="D49" s="40">
        <f t="shared" si="7"/>
        <v>30.2</v>
      </c>
      <c r="E49" s="40">
        <f t="shared" si="7"/>
        <v>14.4</v>
      </c>
      <c r="F49" s="40">
        <f t="shared" si="7"/>
        <v>57.6</v>
      </c>
      <c r="G49" s="40">
        <f t="shared" si="7"/>
        <v>58.9</v>
      </c>
      <c r="H49" s="40">
        <f t="shared" si="7"/>
        <v>21.1</v>
      </c>
      <c r="I49" s="40">
        <f t="shared" si="7"/>
        <v>278.10000000000002</v>
      </c>
      <c r="J49" s="40">
        <f t="shared" si="7"/>
        <v>210</v>
      </c>
      <c r="K49" s="40">
        <f t="shared" si="7"/>
        <v>90</v>
      </c>
      <c r="L49" s="40">
        <f t="shared" si="7"/>
        <v>26.6</v>
      </c>
      <c r="M49" s="40">
        <f t="shared" si="7"/>
        <v>15.9</v>
      </c>
      <c r="N49" s="47">
        <f t="shared" si="7"/>
        <v>38.6</v>
      </c>
      <c r="O49" s="8">
        <f t="shared" si="8"/>
        <v>856.2</v>
      </c>
      <c r="P49" s="13">
        <f t="shared" si="9"/>
        <v>71.400000000000006</v>
      </c>
    </row>
    <row r="50" spans="2:16" ht="21.95" customHeight="1">
      <c r="B50" s="39">
        <f t="shared" si="7"/>
        <v>2018</v>
      </c>
      <c r="C50" s="40">
        <f t="shared" si="7"/>
        <v>15</v>
      </c>
      <c r="D50" s="40">
        <f t="shared" si="7"/>
        <v>33.6</v>
      </c>
      <c r="E50" s="40">
        <f t="shared" si="7"/>
        <v>92</v>
      </c>
      <c r="F50" s="40">
        <f t="shared" si="7"/>
        <v>128.1</v>
      </c>
      <c r="G50" s="40">
        <f t="shared" si="7"/>
        <v>104.5</v>
      </c>
      <c r="H50" s="40">
        <f t="shared" si="7"/>
        <v>71</v>
      </c>
      <c r="I50" s="40">
        <f t="shared" si="7"/>
        <v>262.7</v>
      </c>
      <c r="J50" s="40">
        <f t="shared" si="7"/>
        <v>239.6</v>
      </c>
      <c r="K50" s="40">
        <f t="shared" si="7"/>
        <v>158.19999999999999</v>
      </c>
      <c r="L50" s="40">
        <f t="shared" si="7"/>
        <v>154.69999999999999</v>
      </c>
      <c r="M50" s="40">
        <f t="shared" si="7"/>
        <v>46.7</v>
      </c>
      <c r="N50" s="47">
        <f t="shared" si="7"/>
        <v>31.1</v>
      </c>
      <c r="O50" s="8">
        <f t="shared" si="8"/>
        <v>1337.2</v>
      </c>
      <c r="P50" s="13">
        <f t="shared" si="9"/>
        <v>111.4</v>
      </c>
    </row>
    <row r="51" spans="2:16" ht="21.95" customHeight="1">
      <c r="B51" s="39">
        <f t="shared" si="7"/>
        <v>2019</v>
      </c>
      <c r="C51" s="40">
        <f t="shared" si="7"/>
        <v>1.9</v>
      </c>
      <c r="D51" s="40">
        <f t="shared" si="7"/>
        <v>17.8</v>
      </c>
      <c r="E51" s="40">
        <f t="shared" si="7"/>
        <v>18.2</v>
      </c>
      <c r="F51" s="40">
        <f t="shared" si="7"/>
        <v>71.900000000000006</v>
      </c>
      <c r="G51" s="40">
        <f t="shared" si="7"/>
        <v>31.3</v>
      </c>
      <c r="H51" s="40">
        <f t="shared" si="7"/>
        <v>56</v>
      </c>
      <c r="I51" s="40">
        <f t="shared" si="7"/>
        <v>149</v>
      </c>
      <c r="J51" s="40">
        <f t="shared" si="7"/>
        <v>131.30000000000001</v>
      </c>
      <c r="K51" s="40">
        <f t="shared" si="7"/>
        <v>118.7</v>
      </c>
      <c r="L51" s="40">
        <f t="shared" si="7"/>
        <v>63.9</v>
      </c>
      <c r="M51" s="40">
        <f t="shared" si="7"/>
        <v>130.6</v>
      </c>
      <c r="N51" s="47">
        <f t="shared" si="7"/>
        <v>31.3</v>
      </c>
      <c r="O51" s="8">
        <f t="shared" si="8"/>
        <v>821.9</v>
      </c>
      <c r="P51" s="13">
        <f t="shared" si="9"/>
        <v>68.5</v>
      </c>
    </row>
    <row r="52" spans="2:16" ht="21.95" customHeight="1">
      <c r="B52" s="39">
        <f t="shared" si="7"/>
        <v>2020</v>
      </c>
      <c r="C52" s="40">
        <f t="shared" si="7"/>
        <v>49.4</v>
      </c>
      <c r="D52" s="40">
        <f t="shared" si="7"/>
        <v>75.3</v>
      </c>
      <c r="E52" s="40">
        <f t="shared" si="7"/>
        <v>22.8</v>
      </c>
      <c r="F52" s="40">
        <f t="shared" si="7"/>
        <v>16.5</v>
      </c>
      <c r="G52" s="40">
        <f t="shared" si="7"/>
        <v>92.4</v>
      </c>
      <c r="H52" s="40">
        <f t="shared" si="7"/>
        <v>139.69999999999999</v>
      </c>
      <c r="I52" s="40">
        <f t="shared" si="7"/>
        <v>345.9</v>
      </c>
      <c r="J52" s="40">
        <f t="shared" si="7"/>
        <v>321.5</v>
      </c>
      <c r="K52" s="40">
        <f t="shared" si="7"/>
        <v>177.1</v>
      </c>
      <c r="L52" s="40">
        <f t="shared" si="7"/>
        <v>16.2</v>
      </c>
      <c r="M52" s="40">
        <f t="shared" si="7"/>
        <v>35.4</v>
      </c>
      <c r="N52" s="47">
        <f t="shared" si="7"/>
        <v>9.6999999999999993</v>
      </c>
      <c r="O52" s="8">
        <f t="shared" si="8"/>
        <v>1301.9000000000001</v>
      </c>
      <c r="P52" s="13">
        <f t="shared" si="9"/>
        <v>108.5</v>
      </c>
    </row>
    <row r="53" spans="2:16" ht="21.95" customHeight="1" thickBot="1">
      <c r="B53" s="44">
        <f t="shared" si="7"/>
        <v>2021</v>
      </c>
      <c r="C53" s="45">
        <f t="shared" si="7"/>
        <v>32</v>
      </c>
      <c r="D53" s="45">
        <f t="shared" si="7"/>
        <v>18.7</v>
      </c>
      <c r="E53" s="45">
        <f t="shared" si="7"/>
        <v>76.099999999999994</v>
      </c>
      <c r="F53" s="45">
        <f t="shared" si="7"/>
        <v>43.4</v>
      </c>
      <c r="G53" s="45">
        <f t="shared" si="7"/>
        <v>110</v>
      </c>
      <c r="H53" s="45">
        <f t="shared" si="7"/>
        <v>55</v>
      </c>
      <c r="I53" s="45">
        <f t="shared" si="7"/>
        <v>131.30000000000001</v>
      </c>
      <c r="J53" s="45">
        <f t="shared" si="7"/>
        <v>253.7</v>
      </c>
      <c r="K53" s="45">
        <f t="shared" si="7"/>
        <v>215.9</v>
      </c>
      <c r="L53" s="45">
        <f t="shared" si="7"/>
        <v>39.6</v>
      </c>
      <c r="M53" s="45">
        <f t="shared" si="7"/>
        <v>117.8</v>
      </c>
      <c r="N53" s="48">
        <f t="shared" si="7"/>
        <v>14.4</v>
      </c>
      <c r="O53" s="37">
        <f t="shared" si="8"/>
        <v>1107.9000000000001</v>
      </c>
      <c r="P53" s="22">
        <f t="shared" si="9"/>
        <v>92.3</v>
      </c>
    </row>
    <row r="54" spans="2:16" ht="21.95" customHeight="1">
      <c r="B54" s="41" t="s">
        <v>19</v>
      </c>
      <c r="C54" s="42">
        <f>MAX(C44:C53)</f>
        <v>49.4</v>
      </c>
      <c r="D54" s="42">
        <f t="shared" ref="D54:P54" si="10">MAX(D44:D53)</f>
        <v>75.3</v>
      </c>
      <c r="E54" s="42">
        <f t="shared" si="10"/>
        <v>92</v>
      </c>
      <c r="F54" s="42">
        <f t="shared" si="10"/>
        <v>129.69999999999999</v>
      </c>
      <c r="G54" s="42">
        <f t="shared" si="10"/>
        <v>146.5</v>
      </c>
      <c r="H54" s="42">
        <f t="shared" si="10"/>
        <v>159.9</v>
      </c>
      <c r="I54" s="42">
        <f t="shared" si="10"/>
        <v>345.9</v>
      </c>
      <c r="J54" s="42">
        <f t="shared" si="10"/>
        <v>450.2</v>
      </c>
      <c r="K54" s="42">
        <f t="shared" si="10"/>
        <v>320</v>
      </c>
      <c r="L54" s="42">
        <f t="shared" si="10"/>
        <v>156</v>
      </c>
      <c r="M54" s="42">
        <f t="shared" si="10"/>
        <v>155.6</v>
      </c>
      <c r="N54" s="43">
        <f t="shared" si="10"/>
        <v>66.599999999999994</v>
      </c>
      <c r="O54" s="46">
        <f t="shared" si="10"/>
        <v>1387.7</v>
      </c>
      <c r="P54" s="43">
        <f t="shared" si="10"/>
        <v>115.6</v>
      </c>
    </row>
    <row r="55" spans="2:16" ht="21.95" customHeight="1">
      <c r="B55" s="33" t="s">
        <v>20</v>
      </c>
      <c r="C55" s="6">
        <f>MIN(C44:C53)</f>
        <v>1.9</v>
      </c>
      <c r="D55" s="6">
        <f t="shared" ref="D55:P55" si="11">MIN(D44:D53)</f>
        <v>9.1999999999999993</v>
      </c>
      <c r="E55" s="6">
        <f t="shared" si="11"/>
        <v>14.4</v>
      </c>
      <c r="F55" s="6">
        <f t="shared" si="11"/>
        <v>16.5</v>
      </c>
      <c r="G55" s="6">
        <f t="shared" si="11"/>
        <v>14.6</v>
      </c>
      <c r="H55" s="6">
        <f t="shared" si="11"/>
        <v>21.1</v>
      </c>
      <c r="I55" s="6">
        <f t="shared" si="11"/>
        <v>94.7</v>
      </c>
      <c r="J55" s="6">
        <f t="shared" si="11"/>
        <v>5.0999999999999996</v>
      </c>
      <c r="K55" s="6">
        <f t="shared" si="11"/>
        <v>13.3</v>
      </c>
      <c r="L55" s="6">
        <f t="shared" si="11"/>
        <v>10.9</v>
      </c>
      <c r="M55" s="6">
        <f t="shared" si="11"/>
        <v>5.6</v>
      </c>
      <c r="N55" s="13">
        <f t="shared" si="11"/>
        <v>9.6999999999999993</v>
      </c>
      <c r="O55" s="8">
        <f>MIN(O44:O53)</f>
        <v>785.4</v>
      </c>
      <c r="P55" s="13">
        <f t="shared" si="11"/>
        <v>65.5</v>
      </c>
    </row>
    <row r="56" spans="2:16" ht="21.95" customHeight="1" thickBot="1">
      <c r="B56" s="34" t="s">
        <v>7</v>
      </c>
      <c r="C56" s="35">
        <f>ROUND(AVERAGE(C44:C53),1)</f>
        <v>20.7</v>
      </c>
      <c r="D56" s="35">
        <f t="shared" ref="D56:N56" si="12">ROUND(AVERAGE(D44:D53),1)</f>
        <v>32.4</v>
      </c>
      <c r="E56" s="35">
        <f t="shared" si="12"/>
        <v>42.8</v>
      </c>
      <c r="F56" s="35">
        <f t="shared" si="12"/>
        <v>75.900000000000006</v>
      </c>
      <c r="G56" s="35">
        <f t="shared" si="12"/>
        <v>76.099999999999994</v>
      </c>
      <c r="H56" s="35">
        <f t="shared" si="12"/>
        <v>81.3</v>
      </c>
      <c r="I56" s="35">
        <f t="shared" si="12"/>
        <v>206.5</v>
      </c>
      <c r="J56" s="35">
        <f t="shared" si="12"/>
        <v>202.5</v>
      </c>
      <c r="K56" s="35">
        <f t="shared" si="12"/>
        <v>152.6</v>
      </c>
      <c r="L56" s="35">
        <f t="shared" si="12"/>
        <v>73.099999999999994</v>
      </c>
      <c r="M56" s="35">
        <f t="shared" si="12"/>
        <v>69</v>
      </c>
      <c r="N56" s="22">
        <f t="shared" si="12"/>
        <v>39.299999999999997</v>
      </c>
      <c r="O56" s="37">
        <f>ROUND(AVERAGE(O44:O53),1)</f>
        <v>1072</v>
      </c>
      <c r="P56" s="22">
        <f>ROUND(AVERAGE(P44:P53),1)</f>
        <v>89.3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029AE-D711-47D1-8E16-C15F3E8C9417}">
  <sheetPr codeName="Sheet20">
    <tabColor rgb="FFC000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2" t="s">
        <v>149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3">
        <v>1992</v>
      </c>
      <c r="C6" s="66">
        <v>13.5</v>
      </c>
      <c r="D6" s="66">
        <v>16.3</v>
      </c>
      <c r="E6" s="66">
        <v>29.6</v>
      </c>
      <c r="F6" s="66">
        <v>110.1</v>
      </c>
      <c r="G6" s="66">
        <v>100.3</v>
      </c>
      <c r="H6" s="66">
        <v>28.7</v>
      </c>
      <c r="I6" s="66">
        <v>141.69999999999999</v>
      </c>
      <c r="J6" s="67">
        <v>263.89999999999998</v>
      </c>
      <c r="K6" s="66">
        <v>176.9</v>
      </c>
      <c r="L6" s="66">
        <v>27.4</v>
      </c>
      <c r="M6" s="66">
        <v>42.2</v>
      </c>
      <c r="N6" s="68">
        <v>39.5</v>
      </c>
      <c r="O6" s="19">
        <f t="shared" ref="O6:O35" si="0">ROUND(SUM(C6:N6),1)</f>
        <v>990.1</v>
      </c>
      <c r="P6" s="18">
        <f>ROUND(O6/12,1)</f>
        <v>82.5</v>
      </c>
      <c r="Q6" s="4"/>
    </row>
    <row r="7" spans="2:17" ht="21.95" customHeight="1">
      <c r="B7" s="64">
        <v>1993</v>
      </c>
      <c r="C7" s="69">
        <v>7.3</v>
      </c>
      <c r="D7" s="69">
        <v>75.400000000000006</v>
      </c>
      <c r="E7" s="69">
        <v>33.1</v>
      </c>
      <c r="F7" s="69">
        <v>54.6</v>
      </c>
      <c r="G7" s="69">
        <v>127.2</v>
      </c>
      <c r="H7" s="69">
        <v>118.8</v>
      </c>
      <c r="I7" s="69">
        <v>254</v>
      </c>
      <c r="J7" s="70">
        <v>378.1</v>
      </c>
      <c r="K7" s="69">
        <v>126.6</v>
      </c>
      <c r="L7" s="69">
        <v>39.6</v>
      </c>
      <c r="M7" s="69">
        <v>66.900000000000006</v>
      </c>
      <c r="N7" s="71">
        <v>20.2</v>
      </c>
      <c r="O7" s="19">
        <f t="shared" si="0"/>
        <v>1301.8</v>
      </c>
      <c r="P7" s="14">
        <f t="shared" ref="P7:P35" si="1">ROUND(O7/12,1)</f>
        <v>108.5</v>
      </c>
      <c r="Q7" s="4"/>
    </row>
    <row r="8" spans="2:17" ht="21.95" customHeight="1">
      <c r="B8" s="64">
        <v>1994</v>
      </c>
      <c r="C8" s="69">
        <v>13.3</v>
      </c>
      <c r="D8" s="69">
        <v>12.8</v>
      </c>
      <c r="E8" s="69">
        <v>54.2</v>
      </c>
      <c r="F8" s="69">
        <v>21.3</v>
      </c>
      <c r="G8" s="69">
        <v>108.8</v>
      </c>
      <c r="H8" s="69">
        <v>140.5</v>
      </c>
      <c r="I8" s="69">
        <v>85.5</v>
      </c>
      <c r="J8" s="69">
        <v>318.5</v>
      </c>
      <c r="K8" s="69">
        <v>48.1</v>
      </c>
      <c r="L8" s="69">
        <v>160.1</v>
      </c>
      <c r="M8" s="69">
        <v>29.6</v>
      </c>
      <c r="N8" s="71">
        <v>19.3</v>
      </c>
      <c r="O8" s="19">
        <f t="shared" si="0"/>
        <v>1012</v>
      </c>
      <c r="P8" s="14">
        <f t="shared" si="1"/>
        <v>84.3</v>
      </c>
      <c r="Q8" s="4"/>
    </row>
    <row r="9" spans="2:17" ht="21.95" customHeight="1">
      <c r="B9" s="64">
        <v>1995</v>
      </c>
      <c r="C9" s="69">
        <v>21.5</v>
      </c>
      <c r="D9" s="69">
        <v>14</v>
      </c>
      <c r="E9" s="69">
        <v>34.4</v>
      </c>
      <c r="F9" s="69">
        <v>64</v>
      </c>
      <c r="G9" s="69">
        <v>70.7</v>
      </c>
      <c r="H9" s="69">
        <v>30.9</v>
      </c>
      <c r="I9" s="69">
        <v>204.9</v>
      </c>
      <c r="J9" s="69">
        <v>835.4</v>
      </c>
      <c r="K9" s="69">
        <v>17.5</v>
      </c>
      <c r="L9" s="69">
        <v>22.6</v>
      </c>
      <c r="M9" s="69">
        <v>20.3</v>
      </c>
      <c r="N9" s="71">
        <v>3.6</v>
      </c>
      <c r="O9" s="19">
        <f t="shared" si="0"/>
        <v>1339.8</v>
      </c>
      <c r="P9" s="14">
        <f t="shared" si="1"/>
        <v>111.7</v>
      </c>
      <c r="Q9" s="4"/>
    </row>
    <row r="10" spans="2:17" ht="21.95" customHeight="1">
      <c r="B10" s="64">
        <v>1996</v>
      </c>
      <c r="C10" s="69">
        <v>27.9</v>
      </c>
      <c r="D10" s="69">
        <v>4.2</v>
      </c>
      <c r="E10" s="69">
        <v>98.4</v>
      </c>
      <c r="F10" s="69">
        <v>28.6</v>
      </c>
      <c r="G10" s="69">
        <v>36.799999999999997</v>
      </c>
      <c r="H10" s="69">
        <v>255.8</v>
      </c>
      <c r="I10" s="69">
        <v>170.5</v>
      </c>
      <c r="J10" s="69">
        <v>128.6</v>
      </c>
      <c r="K10" s="69">
        <v>11.2</v>
      </c>
      <c r="L10" s="69">
        <v>67.099999999999994</v>
      </c>
      <c r="M10" s="69">
        <v>77.2</v>
      </c>
      <c r="N10" s="71">
        <v>22.5</v>
      </c>
      <c r="O10" s="19">
        <f t="shared" si="0"/>
        <v>928.8</v>
      </c>
      <c r="P10" s="14">
        <f t="shared" si="1"/>
        <v>77.400000000000006</v>
      </c>
      <c r="Q10" s="4"/>
    </row>
    <row r="11" spans="2:17" ht="21.95" customHeight="1">
      <c r="B11" s="64">
        <v>1997</v>
      </c>
      <c r="C11" s="69">
        <v>12.9</v>
      </c>
      <c r="D11" s="69">
        <v>39.1</v>
      </c>
      <c r="E11" s="69">
        <v>31.6</v>
      </c>
      <c r="F11" s="69">
        <v>58.5</v>
      </c>
      <c r="G11" s="69">
        <v>179.1</v>
      </c>
      <c r="H11" s="69">
        <v>210.3</v>
      </c>
      <c r="I11" s="69">
        <v>425.5</v>
      </c>
      <c r="J11" s="69">
        <v>211.1</v>
      </c>
      <c r="K11" s="69">
        <v>55.5</v>
      </c>
      <c r="L11" s="69">
        <v>8.4</v>
      </c>
      <c r="M11" s="69">
        <v>180.3</v>
      </c>
      <c r="N11" s="71">
        <v>44.3</v>
      </c>
      <c r="O11" s="19">
        <f t="shared" si="0"/>
        <v>1456.6</v>
      </c>
      <c r="P11" s="14">
        <f t="shared" si="1"/>
        <v>121.4</v>
      </c>
      <c r="Q11" s="4"/>
    </row>
    <row r="12" spans="2:17" ht="21.95" customHeight="1">
      <c r="B12" s="64">
        <v>1998</v>
      </c>
      <c r="C12" s="69">
        <v>22</v>
      </c>
      <c r="D12" s="69">
        <v>28.9</v>
      </c>
      <c r="E12" s="69">
        <v>30.9</v>
      </c>
      <c r="F12" s="69">
        <v>153.1</v>
      </c>
      <c r="G12" s="69">
        <v>92.8</v>
      </c>
      <c r="H12" s="69">
        <v>247</v>
      </c>
      <c r="I12" s="69">
        <v>253</v>
      </c>
      <c r="J12" s="69">
        <v>460.6</v>
      </c>
      <c r="K12" s="69">
        <v>225.9</v>
      </c>
      <c r="L12" s="69">
        <v>74.2</v>
      </c>
      <c r="M12" s="69">
        <v>44.7</v>
      </c>
      <c r="N12" s="71">
        <v>7.1</v>
      </c>
      <c r="O12" s="19">
        <f t="shared" si="0"/>
        <v>1640.2</v>
      </c>
      <c r="P12" s="14">
        <f t="shared" si="1"/>
        <v>136.69999999999999</v>
      </c>
    </row>
    <row r="13" spans="2:17" ht="21.95" customHeight="1">
      <c r="B13" s="64">
        <v>1999</v>
      </c>
      <c r="C13" s="69">
        <v>1.6</v>
      </c>
      <c r="D13" s="69">
        <v>3.6</v>
      </c>
      <c r="E13" s="69">
        <v>54.1</v>
      </c>
      <c r="F13" s="69">
        <v>91.4</v>
      </c>
      <c r="G13" s="69">
        <v>102.4</v>
      </c>
      <c r="H13" s="69">
        <v>191.1</v>
      </c>
      <c r="I13" s="69">
        <v>122.4</v>
      </c>
      <c r="J13" s="69">
        <v>197.4</v>
      </c>
      <c r="K13" s="69">
        <v>281.3</v>
      </c>
      <c r="L13" s="69">
        <v>252.4</v>
      </c>
      <c r="M13" s="69">
        <v>15.4</v>
      </c>
      <c r="N13" s="71">
        <v>13.4</v>
      </c>
      <c r="O13" s="19">
        <f t="shared" si="0"/>
        <v>1326.5</v>
      </c>
      <c r="P13" s="14">
        <f t="shared" si="1"/>
        <v>110.5</v>
      </c>
    </row>
    <row r="14" spans="2:17" ht="21.95" customHeight="1">
      <c r="B14" s="64">
        <v>2000</v>
      </c>
      <c r="C14" s="69">
        <v>38.700000000000003</v>
      </c>
      <c r="D14" s="69">
        <v>1.3</v>
      </c>
      <c r="E14" s="69">
        <v>10.4</v>
      </c>
      <c r="F14" s="69">
        <v>56.1</v>
      </c>
      <c r="G14" s="69">
        <v>42.1</v>
      </c>
      <c r="H14" s="69">
        <v>185.7</v>
      </c>
      <c r="I14" s="69">
        <v>300</v>
      </c>
      <c r="J14" s="69">
        <v>390.4</v>
      </c>
      <c r="K14" s="69">
        <v>244.6</v>
      </c>
      <c r="L14" s="69">
        <v>32.1</v>
      </c>
      <c r="M14" s="69">
        <v>37.299999999999997</v>
      </c>
      <c r="N14" s="71">
        <v>18.899999999999999</v>
      </c>
      <c r="O14" s="19">
        <f t="shared" si="0"/>
        <v>1357.6</v>
      </c>
      <c r="P14" s="14">
        <f t="shared" si="1"/>
        <v>113.1</v>
      </c>
    </row>
    <row r="15" spans="2:17" ht="21.95" customHeight="1">
      <c r="B15" s="64">
        <v>2001</v>
      </c>
      <c r="C15" s="69">
        <v>56.9</v>
      </c>
      <c r="D15" s="69">
        <v>50.3</v>
      </c>
      <c r="E15" s="69">
        <v>11.3</v>
      </c>
      <c r="F15" s="69">
        <v>12.7</v>
      </c>
      <c r="G15" s="69">
        <v>14.3</v>
      </c>
      <c r="H15" s="69">
        <v>217.5</v>
      </c>
      <c r="I15" s="69">
        <v>171.5</v>
      </c>
      <c r="J15" s="69">
        <v>135.5</v>
      </c>
      <c r="K15" s="69">
        <v>11.8</v>
      </c>
      <c r="L15" s="69">
        <v>75.900000000000006</v>
      </c>
      <c r="M15" s="69">
        <v>6.9</v>
      </c>
      <c r="N15" s="71">
        <v>19.5</v>
      </c>
      <c r="O15" s="19">
        <f t="shared" si="0"/>
        <v>784.1</v>
      </c>
      <c r="P15" s="14">
        <f t="shared" si="1"/>
        <v>65.3</v>
      </c>
    </row>
    <row r="16" spans="2:17" ht="21.95" customHeight="1">
      <c r="B16" s="64">
        <v>2002</v>
      </c>
      <c r="C16" s="69">
        <v>58.7</v>
      </c>
      <c r="D16" s="69">
        <v>9</v>
      </c>
      <c r="E16" s="69">
        <v>25.9</v>
      </c>
      <c r="F16" s="69">
        <v>132</v>
      </c>
      <c r="G16" s="69">
        <v>106.9</v>
      </c>
      <c r="H16" s="69">
        <v>57.9</v>
      </c>
      <c r="I16" s="69">
        <v>186.2</v>
      </c>
      <c r="J16" s="69">
        <v>482.4</v>
      </c>
      <c r="K16" s="69">
        <v>90.5</v>
      </c>
      <c r="L16" s="69">
        <v>58</v>
      </c>
      <c r="M16" s="69">
        <v>26.3</v>
      </c>
      <c r="N16" s="71">
        <v>48</v>
      </c>
      <c r="O16" s="19">
        <f t="shared" si="0"/>
        <v>1281.8</v>
      </c>
      <c r="P16" s="14">
        <f t="shared" si="1"/>
        <v>106.8</v>
      </c>
    </row>
    <row r="17" spans="2:16" ht="21.95" customHeight="1">
      <c r="B17" s="64">
        <v>2003</v>
      </c>
      <c r="C17" s="69">
        <v>16.2</v>
      </c>
      <c r="D17" s="69">
        <v>45</v>
      </c>
      <c r="E17" s="69">
        <v>38.9</v>
      </c>
      <c r="F17" s="69">
        <v>192.7</v>
      </c>
      <c r="G17" s="69">
        <v>113.5</v>
      </c>
      <c r="H17" s="69">
        <v>186</v>
      </c>
      <c r="I17" s="69">
        <v>467.2</v>
      </c>
      <c r="J17" s="69">
        <v>293.89999999999998</v>
      </c>
      <c r="K17" s="69">
        <v>150.6</v>
      </c>
      <c r="L17" s="69">
        <v>32.5</v>
      </c>
      <c r="M17" s="69">
        <v>33.1</v>
      </c>
      <c r="N17" s="71">
        <v>12.2</v>
      </c>
      <c r="O17" s="19">
        <f t="shared" si="0"/>
        <v>1581.8</v>
      </c>
      <c r="P17" s="14">
        <f t="shared" si="1"/>
        <v>131.80000000000001</v>
      </c>
    </row>
    <row r="18" spans="2:16" ht="21.95" customHeight="1">
      <c r="B18" s="64">
        <v>2004</v>
      </c>
      <c r="C18" s="69">
        <v>12.5</v>
      </c>
      <c r="D18" s="69">
        <v>42.3</v>
      </c>
      <c r="E18" s="69">
        <v>67.3</v>
      </c>
      <c r="F18" s="69">
        <v>61</v>
      </c>
      <c r="G18" s="69">
        <v>121.8</v>
      </c>
      <c r="H18" s="69">
        <v>421.5</v>
      </c>
      <c r="I18" s="69">
        <v>318.89999999999998</v>
      </c>
      <c r="J18" s="69">
        <v>247.6</v>
      </c>
      <c r="K18" s="69">
        <v>139</v>
      </c>
      <c r="L18" s="69">
        <v>2</v>
      </c>
      <c r="M18" s="69">
        <v>34</v>
      </c>
      <c r="N18" s="71">
        <v>38</v>
      </c>
      <c r="O18" s="19">
        <f t="shared" si="0"/>
        <v>1505.9</v>
      </c>
      <c r="P18" s="14">
        <f t="shared" si="1"/>
        <v>125.5</v>
      </c>
    </row>
    <row r="19" spans="2:16" ht="21.95" customHeight="1">
      <c r="B19" s="64">
        <v>2005</v>
      </c>
      <c r="C19" s="69">
        <v>4.5999999999999996</v>
      </c>
      <c r="D19" s="69">
        <v>13.8</v>
      </c>
      <c r="E19" s="69">
        <v>36.799999999999997</v>
      </c>
      <c r="F19" s="69">
        <v>66.099999999999994</v>
      </c>
      <c r="G19" s="69">
        <v>50.7</v>
      </c>
      <c r="H19" s="69">
        <v>170</v>
      </c>
      <c r="I19" s="69">
        <v>373.1</v>
      </c>
      <c r="J19" s="69">
        <v>334.7</v>
      </c>
      <c r="K19" s="69">
        <v>295.5</v>
      </c>
      <c r="L19" s="69">
        <v>54.6</v>
      </c>
      <c r="M19" s="69">
        <v>16</v>
      </c>
      <c r="N19" s="71">
        <v>11.3</v>
      </c>
      <c r="O19" s="19">
        <f t="shared" si="0"/>
        <v>1427.2</v>
      </c>
      <c r="P19" s="14">
        <f t="shared" si="1"/>
        <v>118.9</v>
      </c>
    </row>
    <row r="20" spans="2:16" ht="21.95" customHeight="1">
      <c r="B20" s="64">
        <v>2006</v>
      </c>
      <c r="C20" s="69">
        <v>20</v>
      </c>
      <c r="D20" s="69">
        <v>28.9</v>
      </c>
      <c r="E20" s="69">
        <v>8.1999999999999993</v>
      </c>
      <c r="F20" s="69">
        <v>89.3</v>
      </c>
      <c r="G20" s="69">
        <v>119.4</v>
      </c>
      <c r="H20" s="69">
        <v>115.5</v>
      </c>
      <c r="I20" s="69">
        <v>508</v>
      </c>
      <c r="J20" s="69">
        <v>52</v>
      </c>
      <c r="K20" s="69">
        <v>18.399999999999999</v>
      </c>
      <c r="L20" s="69">
        <v>21.3</v>
      </c>
      <c r="M20" s="69">
        <v>83.4</v>
      </c>
      <c r="N20" s="71">
        <v>16.7</v>
      </c>
      <c r="O20" s="19">
        <f t="shared" si="0"/>
        <v>1081.0999999999999</v>
      </c>
      <c r="P20" s="14">
        <f t="shared" si="1"/>
        <v>90.1</v>
      </c>
    </row>
    <row r="21" spans="2:16" ht="21.95" customHeight="1">
      <c r="B21" s="64">
        <v>2007</v>
      </c>
      <c r="C21" s="69">
        <v>11.2</v>
      </c>
      <c r="D21" s="69">
        <v>33.299999999999997</v>
      </c>
      <c r="E21" s="69">
        <v>103.2</v>
      </c>
      <c r="F21" s="69">
        <v>35.799999999999997</v>
      </c>
      <c r="G21" s="69">
        <v>145.5</v>
      </c>
      <c r="H21" s="69">
        <v>81.2</v>
      </c>
      <c r="I21" s="69">
        <v>273.2</v>
      </c>
      <c r="J21" s="69">
        <v>385.5</v>
      </c>
      <c r="K21" s="69">
        <v>391.4</v>
      </c>
      <c r="L21" s="69">
        <v>43.5</v>
      </c>
      <c r="M21" s="69">
        <v>8.8000000000000007</v>
      </c>
      <c r="N21" s="71">
        <v>21.9</v>
      </c>
      <c r="O21" s="19">
        <f t="shared" si="0"/>
        <v>1534.5</v>
      </c>
      <c r="P21" s="14">
        <f t="shared" si="1"/>
        <v>127.9</v>
      </c>
    </row>
    <row r="22" spans="2:16" ht="21.95" customHeight="1">
      <c r="B22" s="64">
        <v>2008</v>
      </c>
      <c r="C22" s="69">
        <v>29</v>
      </c>
      <c r="D22" s="69">
        <v>7.7</v>
      </c>
      <c r="E22" s="69">
        <v>29.4</v>
      </c>
      <c r="F22" s="69">
        <v>27</v>
      </c>
      <c r="G22" s="69">
        <v>64.5</v>
      </c>
      <c r="H22" s="69">
        <v>112</v>
      </c>
      <c r="I22" s="69">
        <v>296.60000000000002</v>
      </c>
      <c r="J22" s="69">
        <v>195.5</v>
      </c>
      <c r="K22" s="69">
        <v>92.6</v>
      </c>
      <c r="L22" s="69">
        <v>13.1</v>
      </c>
      <c r="M22" s="69">
        <v>10.5</v>
      </c>
      <c r="N22" s="71">
        <v>14.4</v>
      </c>
      <c r="O22" s="19">
        <f t="shared" si="0"/>
        <v>892.3</v>
      </c>
      <c r="P22" s="14">
        <f t="shared" si="1"/>
        <v>74.400000000000006</v>
      </c>
    </row>
    <row r="23" spans="2:16" ht="21.95" customHeight="1">
      <c r="B23" s="64">
        <v>2009</v>
      </c>
      <c r="C23" s="69">
        <v>17.8</v>
      </c>
      <c r="D23" s="69">
        <v>13.1</v>
      </c>
      <c r="E23" s="69">
        <v>54.9</v>
      </c>
      <c r="F23" s="69">
        <v>30.4</v>
      </c>
      <c r="G23" s="69">
        <v>109.6</v>
      </c>
      <c r="H23" s="69">
        <v>77.2</v>
      </c>
      <c r="I23" s="69">
        <v>345.7</v>
      </c>
      <c r="J23" s="69">
        <v>187.5</v>
      </c>
      <c r="K23" s="69">
        <v>49.5</v>
      </c>
      <c r="L23" s="69">
        <v>49.5</v>
      </c>
      <c r="M23" s="69">
        <v>43.9</v>
      </c>
      <c r="N23" s="71">
        <v>40.700000000000003</v>
      </c>
      <c r="O23" s="19">
        <f t="shared" si="0"/>
        <v>1019.8</v>
      </c>
      <c r="P23" s="14">
        <f t="shared" si="1"/>
        <v>85</v>
      </c>
    </row>
    <row r="24" spans="2:16" ht="21.95" customHeight="1">
      <c r="B24" s="64">
        <v>2010</v>
      </c>
      <c r="C24" s="69">
        <v>37.799999999999997</v>
      </c>
      <c r="D24" s="69">
        <v>69.2</v>
      </c>
      <c r="E24" s="69">
        <v>99.8</v>
      </c>
      <c r="F24" s="69">
        <v>70.5</v>
      </c>
      <c r="G24" s="69">
        <v>110</v>
      </c>
      <c r="H24" s="69">
        <v>42.6</v>
      </c>
      <c r="I24" s="69">
        <v>224.1</v>
      </c>
      <c r="J24" s="69">
        <v>433.2</v>
      </c>
      <c r="K24" s="69">
        <v>278.60000000000002</v>
      </c>
      <c r="L24" s="69">
        <v>17.100000000000001</v>
      </c>
      <c r="M24" s="69">
        <v>15.7</v>
      </c>
      <c r="N24" s="71">
        <v>23.8</v>
      </c>
      <c r="O24" s="19">
        <f t="shared" si="0"/>
        <v>1422.4</v>
      </c>
      <c r="P24" s="14">
        <f t="shared" si="1"/>
        <v>118.5</v>
      </c>
    </row>
    <row r="25" spans="2:16" ht="21.95" customHeight="1">
      <c r="B25" s="64">
        <v>2011</v>
      </c>
      <c r="C25" s="69">
        <v>4.5</v>
      </c>
      <c r="D25" s="69">
        <v>43.2</v>
      </c>
      <c r="E25" s="69">
        <v>23.5</v>
      </c>
      <c r="F25" s="69">
        <v>111.2</v>
      </c>
      <c r="G25" s="69">
        <v>116.2</v>
      </c>
      <c r="H25" s="69">
        <v>360.7</v>
      </c>
      <c r="I25" s="69">
        <v>531.9</v>
      </c>
      <c r="J25" s="69">
        <v>290.2</v>
      </c>
      <c r="K25" s="69">
        <v>182.5</v>
      </c>
      <c r="L25" s="69">
        <v>34.5</v>
      </c>
      <c r="M25" s="69">
        <v>92.6</v>
      </c>
      <c r="N25" s="71">
        <v>14.6</v>
      </c>
      <c r="O25" s="19">
        <f t="shared" si="0"/>
        <v>1805.6</v>
      </c>
      <c r="P25" s="14">
        <f t="shared" si="1"/>
        <v>150.5</v>
      </c>
    </row>
    <row r="26" spans="2:16" ht="21.95" customHeight="1">
      <c r="B26" s="64">
        <v>2012</v>
      </c>
      <c r="C26" s="69">
        <v>17.8</v>
      </c>
      <c r="D26" s="69">
        <v>3.7</v>
      </c>
      <c r="E26" s="69">
        <v>65.099999999999994</v>
      </c>
      <c r="F26" s="69">
        <v>106.8</v>
      </c>
      <c r="G26" s="69">
        <v>31.2</v>
      </c>
      <c r="H26" s="69">
        <v>93.7</v>
      </c>
      <c r="I26" s="69">
        <v>257.39999999999998</v>
      </c>
      <c r="J26" s="69">
        <v>479.5</v>
      </c>
      <c r="K26" s="69">
        <v>162.5</v>
      </c>
      <c r="L26" s="69">
        <v>61.2</v>
      </c>
      <c r="M26" s="69">
        <v>52.1</v>
      </c>
      <c r="N26" s="71">
        <v>56.6</v>
      </c>
      <c r="O26" s="19">
        <f t="shared" si="0"/>
        <v>1387.6</v>
      </c>
      <c r="P26" s="14">
        <f t="shared" si="1"/>
        <v>115.6</v>
      </c>
    </row>
    <row r="27" spans="2:16" ht="21.95" customHeight="1">
      <c r="B27" s="64">
        <v>2013</v>
      </c>
      <c r="C27" s="69">
        <v>30.5</v>
      </c>
      <c r="D27" s="69">
        <v>33.200000000000003</v>
      </c>
      <c r="E27" s="69">
        <v>46.8</v>
      </c>
      <c r="F27" s="69">
        <v>65</v>
      </c>
      <c r="G27" s="69">
        <v>97.9</v>
      </c>
      <c r="H27" s="69">
        <v>229.9</v>
      </c>
      <c r="I27" s="69">
        <v>253.6</v>
      </c>
      <c r="J27" s="69">
        <v>183.9</v>
      </c>
      <c r="K27" s="69">
        <v>162.6</v>
      </c>
      <c r="L27" s="69">
        <v>25</v>
      </c>
      <c r="M27" s="69">
        <v>75</v>
      </c>
      <c r="N27" s="71">
        <v>37.299999999999997</v>
      </c>
      <c r="O27" s="19">
        <f t="shared" si="0"/>
        <v>1240.7</v>
      </c>
      <c r="P27" s="14">
        <f t="shared" si="1"/>
        <v>103.4</v>
      </c>
    </row>
    <row r="28" spans="2:16" ht="21.95" customHeight="1">
      <c r="B28" s="64">
        <v>2014</v>
      </c>
      <c r="C28" s="69">
        <v>5.9</v>
      </c>
      <c r="D28" s="69">
        <v>6.8</v>
      </c>
      <c r="E28" s="69">
        <v>51.1</v>
      </c>
      <c r="F28" s="69">
        <v>43.7</v>
      </c>
      <c r="G28" s="69">
        <v>35</v>
      </c>
      <c r="H28" s="69">
        <v>92.6</v>
      </c>
      <c r="I28" s="69">
        <v>125.1</v>
      </c>
      <c r="J28" s="69">
        <v>197.5</v>
      </c>
      <c r="K28" s="69">
        <v>147.5</v>
      </c>
      <c r="L28" s="69">
        <v>151.1</v>
      </c>
      <c r="M28" s="69">
        <v>24.8</v>
      </c>
      <c r="N28" s="71">
        <v>32.6</v>
      </c>
      <c r="O28" s="19">
        <f t="shared" si="0"/>
        <v>913.7</v>
      </c>
      <c r="P28" s="14">
        <f t="shared" si="1"/>
        <v>76.099999999999994</v>
      </c>
    </row>
    <row r="29" spans="2:16" ht="21.95" customHeight="1">
      <c r="B29" s="64">
        <v>2015</v>
      </c>
      <c r="C29" s="69">
        <v>16</v>
      </c>
      <c r="D29" s="69">
        <v>26.5</v>
      </c>
      <c r="E29" s="69">
        <v>44.1</v>
      </c>
      <c r="F29" s="69">
        <v>109.1</v>
      </c>
      <c r="G29" s="69">
        <v>24.4</v>
      </c>
      <c r="H29" s="69">
        <v>83.3</v>
      </c>
      <c r="I29" s="69">
        <v>141.4</v>
      </c>
      <c r="J29" s="69">
        <v>54.3</v>
      </c>
      <c r="K29" s="69">
        <v>20.100000000000001</v>
      </c>
      <c r="L29" s="69">
        <v>90.5</v>
      </c>
      <c r="M29" s="69">
        <v>107.5</v>
      </c>
      <c r="N29" s="71">
        <v>39.700000000000003</v>
      </c>
      <c r="O29" s="19">
        <f t="shared" si="0"/>
        <v>756.9</v>
      </c>
      <c r="P29" s="14">
        <f t="shared" si="1"/>
        <v>63.1</v>
      </c>
    </row>
    <row r="30" spans="2:16" ht="21.95" customHeight="1">
      <c r="B30" s="64">
        <v>2016</v>
      </c>
      <c r="C30" s="69">
        <v>5.7</v>
      </c>
      <c r="D30" s="69">
        <v>45.5</v>
      </c>
      <c r="E30" s="69">
        <v>13.2</v>
      </c>
      <c r="F30" s="69">
        <v>132.1</v>
      </c>
      <c r="G30" s="69">
        <v>84.4</v>
      </c>
      <c r="H30" s="69">
        <v>39.9</v>
      </c>
      <c r="I30" s="69">
        <v>320</v>
      </c>
      <c r="J30" s="69">
        <v>69</v>
      </c>
      <c r="K30" s="69">
        <v>78.099999999999994</v>
      </c>
      <c r="L30" s="69">
        <v>83.6</v>
      </c>
      <c r="M30" s="69">
        <v>26.4</v>
      </c>
      <c r="N30" s="71">
        <v>40.1</v>
      </c>
      <c r="O30" s="19">
        <f t="shared" si="0"/>
        <v>938</v>
      </c>
      <c r="P30" s="14">
        <f t="shared" si="1"/>
        <v>78.2</v>
      </c>
    </row>
    <row r="31" spans="2:16" ht="21.95" customHeight="1">
      <c r="B31" s="64">
        <v>2017</v>
      </c>
      <c r="C31" s="69">
        <v>12</v>
      </c>
      <c r="D31" s="69">
        <v>38.700000000000003</v>
      </c>
      <c r="E31" s="69">
        <v>8.9</v>
      </c>
      <c r="F31" s="69">
        <v>61.7</v>
      </c>
      <c r="G31" s="69">
        <v>11.9</v>
      </c>
      <c r="H31" s="69">
        <v>17.5</v>
      </c>
      <c r="I31" s="69">
        <v>789.1</v>
      </c>
      <c r="J31" s="69">
        <v>225.2</v>
      </c>
      <c r="K31" s="69">
        <v>78.3</v>
      </c>
      <c r="L31" s="69">
        <v>23.1</v>
      </c>
      <c r="M31" s="69">
        <v>13.7</v>
      </c>
      <c r="N31" s="71">
        <v>21.1</v>
      </c>
      <c r="O31" s="19">
        <f t="shared" si="0"/>
        <v>1301.2</v>
      </c>
      <c r="P31" s="14">
        <f t="shared" si="1"/>
        <v>108.4</v>
      </c>
    </row>
    <row r="32" spans="2:16" ht="21.95" customHeight="1">
      <c r="B32" s="64">
        <v>2018</v>
      </c>
      <c r="C32" s="69">
        <v>17.600000000000001</v>
      </c>
      <c r="D32" s="69">
        <v>30.6</v>
      </c>
      <c r="E32" s="69">
        <v>81.7</v>
      </c>
      <c r="F32" s="69">
        <v>133</v>
      </c>
      <c r="G32" s="69">
        <v>92</v>
      </c>
      <c r="H32" s="69">
        <v>63.3</v>
      </c>
      <c r="I32" s="69">
        <v>324.89999999999998</v>
      </c>
      <c r="J32" s="69">
        <v>247.9</v>
      </c>
      <c r="K32" s="69">
        <v>204</v>
      </c>
      <c r="L32" s="69">
        <v>112.2</v>
      </c>
      <c r="M32" s="69">
        <v>45.9</v>
      </c>
      <c r="N32" s="71">
        <v>28.5</v>
      </c>
      <c r="O32" s="19">
        <f t="shared" si="0"/>
        <v>1381.6</v>
      </c>
      <c r="P32" s="14">
        <f t="shared" si="1"/>
        <v>115.1</v>
      </c>
    </row>
    <row r="33" spans="2:16" ht="21.95" customHeight="1">
      <c r="B33" s="64">
        <v>2019</v>
      </c>
      <c r="C33" s="69">
        <v>0.1</v>
      </c>
      <c r="D33" s="69">
        <v>23</v>
      </c>
      <c r="E33" s="69">
        <v>20.3</v>
      </c>
      <c r="F33" s="69">
        <v>60.8</v>
      </c>
      <c r="G33" s="69">
        <v>20.3</v>
      </c>
      <c r="H33" s="69">
        <v>82.5</v>
      </c>
      <c r="I33" s="69">
        <v>204.8</v>
      </c>
      <c r="J33" s="69">
        <v>80.5</v>
      </c>
      <c r="K33" s="69">
        <v>155.1</v>
      </c>
      <c r="L33" s="69">
        <v>84.3</v>
      </c>
      <c r="M33" s="69">
        <v>104.9</v>
      </c>
      <c r="N33" s="71">
        <v>20.100000000000001</v>
      </c>
      <c r="O33" s="19">
        <f t="shared" si="0"/>
        <v>856.7</v>
      </c>
      <c r="P33" s="14">
        <f t="shared" si="1"/>
        <v>71.400000000000006</v>
      </c>
    </row>
    <row r="34" spans="2:16" ht="21.95" customHeight="1">
      <c r="B34" s="64">
        <v>2020</v>
      </c>
      <c r="C34" s="69">
        <v>62</v>
      </c>
      <c r="D34" s="69">
        <v>62.7</v>
      </c>
      <c r="E34" s="69">
        <v>22.9</v>
      </c>
      <c r="F34" s="69">
        <v>15.7</v>
      </c>
      <c r="G34" s="69">
        <v>65.3</v>
      </c>
      <c r="H34" s="69">
        <v>145.9</v>
      </c>
      <c r="I34" s="69">
        <v>386.6</v>
      </c>
      <c r="J34" s="69">
        <v>385.8</v>
      </c>
      <c r="K34" s="69">
        <v>160.6</v>
      </c>
      <c r="L34" s="69">
        <v>5.8</v>
      </c>
      <c r="M34" s="69">
        <v>41</v>
      </c>
      <c r="N34" s="71">
        <v>4.3</v>
      </c>
      <c r="O34" s="19">
        <f t="shared" si="0"/>
        <v>1358.6</v>
      </c>
      <c r="P34" s="14">
        <f t="shared" si="1"/>
        <v>113.2</v>
      </c>
    </row>
    <row r="35" spans="2:16" ht="21.95" customHeight="1" thickBot="1">
      <c r="B35" s="65">
        <v>2021</v>
      </c>
      <c r="C35" s="72">
        <v>12.7</v>
      </c>
      <c r="D35" s="72">
        <v>7.5</v>
      </c>
      <c r="E35" s="72">
        <v>76.599999999999994</v>
      </c>
      <c r="F35" s="72">
        <v>46.4</v>
      </c>
      <c r="G35" s="72">
        <v>136.4</v>
      </c>
      <c r="H35" s="72">
        <v>75.400000000000006</v>
      </c>
      <c r="I35" s="72">
        <v>138.1</v>
      </c>
      <c r="J35" s="72">
        <v>233.1</v>
      </c>
      <c r="K35" s="72">
        <v>185</v>
      </c>
      <c r="L35" s="72">
        <v>29.4</v>
      </c>
      <c r="M35" s="72">
        <v>57.3</v>
      </c>
      <c r="N35" s="73">
        <v>3.7</v>
      </c>
      <c r="O35" s="23">
        <f t="shared" si="0"/>
        <v>1001.6</v>
      </c>
      <c r="P35" s="24">
        <f t="shared" si="1"/>
        <v>83.5</v>
      </c>
    </row>
    <row r="36" spans="2:16" ht="21.95" customHeight="1">
      <c r="B36" s="25" t="s">
        <v>13</v>
      </c>
      <c r="C36" s="26">
        <f>ROUND(MAX(C6:C35),1)</f>
        <v>62</v>
      </c>
      <c r="D36" s="26">
        <f t="shared" ref="D36:N36" si="2">ROUND(MAX(D6:D35),1)</f>
        <v>75.400000000000006</v>
      </c>
      <c r="E36" s="26">
        <f t="shared" si="2"/>
        <v>103.2</v>
      </c>
      <c r="F36" s="26">
        <f t="shared" si="2"/>
        <v>192.7</v>
      </c>
      <c r="G36" s="26">
        <f t="shared" si="2"/>
        <v>179.1</v>
      </c>
      <c r="H36" s="26">
        <f t="shared" si="2"/>
        <v>421.5</v>
      </c>
      <c r="I36" s="26">
        <f t="shared" si="2"/>
        <v>789.1</v>
      </c>
      <c r="J36" s="26">
        <f t="shared" si="2"/>
        <v>835.4</v>
      </c>
      <c r="K36" s="26">
        <f t="shared" si="2"/>
        <v>391.4</v>
      </c>
      <c r="L36" s="26">
        <f t="shared" si="2"/>
        <v>252.4</v>
      </c>
      <c r="M36" s="26">
        <f t="shared" si="2"/>
        <v>180.3</v>
      </c>
      <c r="N36" s="27">
        <f t="shared" si="2"/>
        <v>56.6</v>
      </c>
      <c r="O36" s="28">
        <f>ROUND(MAX(O6:O35),1)</f>
        <v>1805.6</v>
      </c>
      <c r="P36" s="29">
        <f>ROUND(MAX(P6:P35),1)</f>
        <v>150.5</v>
      </c>
    </row>
    <row r="37" spans="2:16" ht="21.95" customHeight="1">
      <c r="B37" s="12" t="s">
        <v>14</v>
      </c>
      <c r="C37" s="7">
        <f>ROUND(MIN(C6:C35),1)</f>
        <v>0.1</v>
      </c>
      <c r="D37" s="7">
        <f t="shared" ref="D37:N37" si="3">ROUND(MIN(D6:D35),1)</f>
        <v>1.3</v>
      </c>
      <c r="E37" s="7">
        <f t="shared" si="3"/>
        <v>8.1999999999999993</v>
      </c>
      <c r="F37" s="7">
        <f t="shared" si="3"/>
        <v>12.7</v>
      </c>
      <c r="G37" s="7">
        <f t="shared" si="3"/>
        <v>11.9</v>
      </c>
      <c r="H37" s="7">
        <f t="shared" si="3"/>
        <v>17.5</v>
      </c>
      <c r="I37" s="7">
        <f t="shared" si="3"/>
        <v>85.5</v>
      </c>
      <c r="J37" s="7">
        <f t="shared" si="3"/>
        <v>52</v>
      </c>
      <c r="K37" s="7">
        <f t="shared" si="3"/>
        <v>11.2</v>
      </c>
      <c r="L37" s="7">
        <f t="shared" si="3"/>
        <v>2</v>
      </c>
      <c r="M37" s="7">
        <f t="shared" si="3"/>
        <v>6.9</v>
      </c>
      <c r="N37" s="14">
        <f t="shared" si="3"/>
        <v>3.6</v>
      </c>
      <c r="O37" s="20">
        <f>ROUND(MIN(O6:O35),1)</f>
        <v>756.9</v>
      </c>
      <c r="P37" s="13">
        <f>ROUND(MIN(P6:P35),1)</f>
        <v>63.1</v>
      </c>
    </row>
    <row r="38" spans="2:16" ht="21.95" customHeight="1" thickBot="1">
      <c r="B38" s="15" t="s">
        <v>18</v>
      </c>
      <c r="C38" s="16">
        <f>ROUND(AVERAGE(C6:C35),1)</f>
        <v>20.3</v>
      </c>
      <c r="D38" s="16">
        <f t="shared" ref="D38:N38" si="4">ROUND(AVERAGE(D6:D35),1)</f>
        <v>27.7</v>
      </c>
      <c r="E38" s="16">
        <f t="shared" si="4"/>
        <v>43.6</v>
      </c>
      <c r="F38" s="16">
        <f t="shared" si="4"/>
        <v>74.7</v>
      </c>
      <c r="G38" s="16">
        <f t="shared" si="4"/>
        <v>84.4</v>
      </c>
      <c r="H38" s="16">
        <f t="shared" si="4"/>
        <v>139.19999999999999</v>
      </c>
      <c r="I38" s="16">
        <f t="shared" si="4"/>
        <v>286.5</v>
      </c>
      <c r="J38" s="16">
        <f t="shared" si="4"/>
        <v>279.3</v>
      </c>
      <c r="K38" s="16">
        <f t="shared" si="4"/>
        <v>141.4</v>
      </c>
      <c r="L38" s="16">
        <f t="shared" si="4"/>
        <v>58.4</v>
      </c>
      <c r="M38" s="16">
        <f t="shared" si="4"/>
        <v>47.8</v>
      </c>
      <c r="N38" s="17">
        <f t="shared" si="4"/>
        <v>24.5</v>
      </c>
      <c r="O38" s="21">
        <f>ROUND(AVERAGE(O6:O35),1)</f>
        <v>1227.5999999999999</v>
      </c>
      <c r="P38" s="22">
        <f>ROUND(AVERAGE(P6:P35),1)</f>
        <v>102.3</v>
      </c>
    </row>
    <row r="39" spans="2:16" ht="21.95" customHeight="1"/>
    <row r="40" spans="2:16" ht="21.95" customHeight="1"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2012</v>
      </c>
      <c r="C44" s="40">
        <f t="shared" ref="C44:N44" si="5">C26</f>
        <v>17.8</v>
      </c>
      <c r="D44" s="40">
        <f t="shared" si="5"/>
        <v>3.7</v>
      </c>
      <c r="E44" s="40">
        <f t="shared" si="5"/>
        <v>65.099999999999994</v>
      </c>
      <c r="F44" s="40">
        <f t="shared" si="5"/>
        <v>106.8</v>
      </c>
      <c r="G44" s="40">
        <f t="shared" si="5"/>
        <v>31.2</v>
      </c>
      <c r="H44" s="40">
        <f t="shared" si="5"/>
        <v>93.7</v>
      </c>
      <c r="I44" s="40">
        <f t="shared" si="5"/>
        <v>257.39999999999998</v>
      </c>
      <c r="J44" s="40">
        <f t="shared" si="5"/>
        <v>479.5</v>
      </c>
      <c r="K44" s="40">
        <f t="shared" si="5"/>
        <v>162.5</v>
      </c>
      <c r="L44" s="40">
        <f t="shared" si="5"/>
        <v>61.2</v>
      </c>
      <c r="M44" s="40">
        <f t="shared" si="5"/>
        <v>52.1</v>
      </c>
      <c r="N44" s="47">
        <f t="shared" si="5"/>
        <v>56.6</v>
      </c>
      <c r="O44" s="8">
        <f>ROUND(SUM(C44:N44),1)</f>
        <v>1387.6</v>
      </c>
      <c r="P44" s="13">
        <f>ROUND(O44/12,1)</f>
        <v>115.6</v>
      </c>
    </row>
    <row r="45" spans="2:16" ht="21.95" customHeight="1">
      <c r="B45" s="39">
        <f t="shared" ref="B45:N53" si="6">B27</f>
        <v>2013</v>
      </c>
      <c r="C45" s="40">
        <f t="shared" si="6"/>
        <v>30.5</v>
      </c>
      <c r="D45" s="40">
        <f t="shared" si="6"/>
        <v>33.200000000000003</v>
      </c>
      <c r="E45" s="40">
        <f t="shared" si="6"/>
        <v>46.8</v>
      </c>
      <c r="F45" s="40">
        <f t="shared" si="6"/>
        <v>65</v>
      </c>
      <c r="G45" s="40">
        <f t="shared" si="6"/>
        <v>97.9</v>
      </c>
      <c r="H45" s="40">
        <f t="shared" si="6"/>
        <v>229.9</v>
      </c>
      <c r="I45" s="40">
        <f t="shared" si="6"/>
        <v>253.6</v>
      </c>
      <c r="J45" s="40">
        <f t="shared" si="6"/>
        <v>183.9</v>
      </c>
      <c r="K45" s="40">
        <f t="shared" si="6"/>
        <v>162.6</v>
      </c>
      <c r="L45" s="40">
        <f t="shared" si="6"/>
        <v>25</v>
      </c>
      <c r="M45" s="40">
        <f t="shared" si="6"/>
        <v>75</v>
      </c>
      <c r="N45" s="47">
        <f t="shared" si="6"/>
        <v>37.299999999999997</v>
      </c>
      <c r="O45" s="8">
        <f t="shared" ref="O45:O53" si="7">ROUND(SUM(C45:N45),1)</f>
        <v>1240.7</v>
      </c>
      <c r="P45" s="13">
        <f t="shared" ref="P45:P53" si="8">ROUND(O45/12,1)</f>
        <v>103.4</v>
      </c>
    </row>
    <row r="46" spans="2:16" ht="21.95" customHeight="1">
      <c r="B46" s="39">
        <f t="shared" si="6"/>
        <v>2014</v>
      </c>
      <c r="C46" s="40">
        <f t="shared" si="6"/>
        <v>5.9</v>
      </c>
      <c r="D46" s="40">
        <f t="shared" si="6"/>
        <v>6.8</v>
      </c>
      <c r="E46" s="40">
        <f t="shared" si="6"/>
        <v>51.1</v>
      </c>
      <c r="F46" s="40">
        <f t="shared" si="6"/>
        <v>43.7</v>
      </c>
      <c r="G46" s="40">
        <f t="shared" si="6"/>
        <v>35</v>
      </c>
      <c r="H46" s="40">
        <f t="shared" si="6"/>
        <v>92.6</v>
      </c>
      <c r="I46" s="40">
        <f t="shared" si="6"/>
        <v>125.1</v>
      </c>
      <c r="J46" s="40">
        <f t="shared" si="6"/>
        <v>197.5</v>
      </c>
      <c r="K46" s="40">
        <f t="shared" si="6"/>
        <v>147.5</v>
      </c>
      <c r="L46" s="40">
        <f t="shared" si="6"/>
        <v>151.1</v>
      </c>
      <c r="M46" s="40">
        <f t="shared" si="6"/>
        <v>24.8</v>
      </c>
      <c r="N46" s="47">
        <f t="shared" si="6"/>
        <v>32.6</v>
      </c>
      <c r="O46" s="8">
        <f t="shared" si="7"/>
        <v>913.7</v>
      </c>
      <c r="P46" s="13">
        <f t="shared" si="8"/>
        <v>76.099999999999994</v>
      </c>
    </row>
    <row r="47" spans="2:16" ht="21.95" customHeight="1">
      <c r="B47" s="39">
        <f t="shared" si="6"/>
        <v>2015</v>
      </c>
      <c r="C47" s="40">
        <f t="shared" si="6"/>
        <v>16</v>
      </c>
      <c r="D47" s="40">
        <f t="shared" si="6"/>
        <v>26.5</v>
      </c>
      <c r="E47" s="40">
        <f t="shared" si="6"/>
        <v>44.1</v>
      </c>
      <c r="F47" s="40">
        <f t="shared" si="6"/>
        <v>109.1</v>
      </c>
      <c r="G47" s="40">
        <f t="shared" si="6"/>
        <v>24.4</v>
      </c>
      <c r="H47" s="40">
        <f t="shared" si="6"/>
        <v>83.3</v>
      </c>
      <c r="I47" s="40">
        <f t="shared" si="6"/>
        <v>141.4</v>
      </c>
      <c r="J47" s="40">
        <f t="shared" si="6"/>
        <v>54.3</v>
      </c>
      <c r="K47" s="40">
        <f t="shared" si="6"/>
        <v>20.100000000000001</v>
      </c>
      <c r="L47" s="40">
        <f t="shared" si="6"/>
        <v>90.5</v>
      </c>
      <c r="M47" s="40">
        <f t="shared" si="6"/>
        <v>107.5</v>
      </c>
      <c r="N47" s="47">
        <f t="shared" si="6"/>
        <v>39.700000000000003</v>
      </c>
      <c r="O47" s="8">
        <f>ROUND(SUM(C47:N47),1)</f>
        <v>756.9</v>
      </c>
      <c r="P47" s="13">
        <f t="shared" si="8"/>
        <v>63.1</v>
      </c>
    </row>
    <row r="48" spans="2:16" ht="21.95" customHeight="1">
      <c r="B48" s="39">
        <f t="shared" si="6"/>
        <v>2016</v>
      </c>
      <c r="C48" s="40">
        <f t="shared" si="6"/>
        <v>5.7</v>
      </c>
      <c r="D48" s="40">
        <f t="shared" si="6"/>
        <v>45.5</v>
      </c>
      <c r="E48" s="40">
        <f t="shared" si="6"/>
        <v>13.2</v>
      </c>
      <c r="F48" s="40">
        <f t="shared" si="6"/>
        <v>132.1</v>
      </c>
      <c r="G48" s="40">
        <f t="shared" si="6"/>
        <v>84.4</v>
      </c>
      <c r="H48" s="40">
        <f t="shared" si="6"/>
        <v>39.9</v>
      </c>
      <c r="I48" s="40">
        <f t="shared" si="6"/>
        <v>320</v>
      </c>
      <c r="J48" s="40">
        <f t="shared" si="6"/>
        <v>69</v>
      </c>
      <c r="K48" s="40">
        <f t="shared" si="6"/>
        <v>78.099999999999994</v>
      </c>
      <c r="L48" s="40">
        <f t="shared" si="6"/>
        <v>83.6</v>
      </c>
      <c r="M48" s="40">
        <f t="shared" si="6"/>
        <v>26.4</v>
      </c>
      <c r="N48" s="47">
        <f t="shared" si="6"/>
        <v>40.1</v>
      </c>
      <c r="O48" s="8">
        <f t="shared" si="7"/>
        <v>938</v>
      </c>
      <c r="P48" s="13">
        <f t="shared" si="8"/>
        <v>78.2</v>
      </c>
    </row>
    <row r="49" spans="2:16" ht="21.95" customHeight="1">
      <c r="B49" s="39">
        <f t="shared" si="6"/>
        <v>2017</v>
      </c>
      <c r="C49" s="40">
        <f t="shared" si="6"/>
        <v>12</v>
      </c>
      <c r="D49" s="40">
        <f t="shared" si="6"/>
        <v>38.700000000000003</v>
      </c>
      <c r="E49" s="40">
        <f t="shared" si="6"/>
        <v>8.9</v>
      </c>
      <c r="F49" s="40">
        <f t="shared" si="6"/>
        <v>61.7</v>
      </c>
      <c r="G49" s="40">
        <f t="shared" si="6"/>
        <v>11.9</v>
      </c>
      <c r="H49" s="40">
        <f t="shared" si="6"/>
        <v>17.5</v>
      </c>
      <c r="I49" s="40">
        <f t="shared" si="6"/>
        <v>789.1</v>
      </c>
      <c r="J49" s="40">
        <f t="shared" si="6"/>
        <v>225.2</v>
      </c>
      <c r="K49" s="40">
        <f t="shared" si="6"/>
        <v>78.3</v>
      </c>
      <c r="L49" s="40">
        <f t="shared" si="6"/>
        <v>23.1</v>
      </c>
      <c r="M49" s="40">
        <f t="shared" si="6"/>
        <v>13.7</v>
      </c>
      <c r="N49" s="47">
        <f t="shared" si="6"/>
        <v>21.1</v>
      </c>
      <c r="O49" s="8">
        <f t="shared" si="7"/>
        <v>1301.2</v>
      </c>
      <c r="P49" s="13">
        <f t="shared" si="8"/>
        <v>108.4</v>
      </c>
    </row>
    <row r="50" spans="2:16" ht="21.95" customHeight="1">
      <c r="B50" s="39">
        <f t="shared" si="6"/>
        <v>2018</v>
      </c>
      <c r="C50" s="40">
        <f t="shared" si="6"/>
        <v>17.600000000000001</v>
      </c>
      <c r="D50" s="40">
        <f t="shared" si="6"/>
        <v>30.6</v>
      </c>
      <c r="E50" s="40">
        <f t="shared" si="6"/>
        <v>81.7</v>
      </c>
      <c r="F50" s="40">
        <f t="shared" si="6"/>
        <v>133</v>
      </c>
      <c r="G50" s="40">
        <f t="shared" si="6"/>
        <v>92</v>
      </c>
      <c r="H50" s="40">
        <f t="shared" si="6"/>
        <v>63.3</v>
      </c>
      <c r="I50" s="40">
        <f t="shared" si="6"/>
        <v>324.89999999999998</v>
      </c>
      <c r="J50" s="40">
        <f t="shared" si="6"/>
        <v>247.9</v>
      </c>
      <c r="K50" s="40">
        <f t="shared" si="6"/>
        <v>204</v>
      </c>
      <c r="L50" s="40">
        <f t="shared" si="6"/>
        <v>112.2</v>
      </c>
      <c r="M50" s="40">
        <f t="shared" si="6"/>
        <v>45.9</v>
      </c>
      <c r="N50" s="47">
        <f t="shared" si="6"/>
        <v>28.5</v>
      </c>
      <c r="O50" s="8">
        <f t="shared" si="7"/>
        <v>1381.6</v>
      </c>
      <c r="P50" s="13">
        <f t="shared" si="8"/>
        <v>115.1</v>
      </c>
    </row>
    <row r="51" spans="2:16" ht="21.95" customHeight="1">
      <c r="B51" s="39">
        <f t="shared" si="6"/>
        <v>2019</v>
      </c>
      <c r="C51" s="40">
        <f t="shared" si="6"/>
        <v>0.1</v>
      </c>
      <c r="D51" s="40">
        <f t="shared" si="6"/>
        <v>23</v>
      </c>
      <c r="E51" s="40">
        <f t="shared" si="6"/>
        <v>20.3</v>
      </c>
      <c r="F51" s="40">
        <f t="shared" si="6"/>
        <v>60.8</v>
      </c>
      <c r="G51" s="40">
        <f t="shared" si="6"/>
        <v>20.3</v>
      </c>
      <c r="H51" s="40">
        <f t="shared" si="6"/>
        <v>82.5</v>
      </c>
      <c r="I51" s="40">
        <f t="shared" si="6"/>
        <v>204.8</v>
      </c>
      <c r="J51" s="40">
        <f t="shared" si="6"/>
        <v>80.5</v>
      </c>
      <c r="K51" s="40">
        <f t="shared" si="6"/>
        <v>155.1</v>
      </c>
      <c r="L51" s="40">
        <f t="shared" si="6"/>
        <v>84.3</v>
      </c>
      <c r="M51" s="40">
        <f t="shared" si="6"/>
        <v>104.9</v>
      </c>
      <c r="N51" s="47">
        <f t="shared" si="6"/>
        <v>20.100000000000001</v>
      </c>
      <c r="O51" s="8">
        <f t="shared" si="7"/>
        <v>856.7</v>
      </c>
      <c r="P51" s="13">
        <f t="shared" si="8"/>
        <v>71.400000000000006</v>
      </c>
    </row>
    <row r="52" spans="2:16" ht="21.95" customHeight="1">
      <c r="B52" s="39">
        <f t="shared" si="6"/>
        <v>2020</v>
      </c>
      <c r="C52" s="40">
        <f t="shared" si="6"/>
        <v>62</v>
      </c>
      <c r="D52" s="40">
        <f t="shared" si="6"/>
        <v>62.7</v>
      </c>
      <c r="E52" s="40">
        <f t="shared" si="6"/>
        <v>22.9</v>
      </c>
      <c r="F52" s="40">
        <f t="shared" si="6"/>
        <v>15.7</v>
      </c>
      <c r="G52" s="40">
        <f t="shared" si="6"/>
        <v>65.3</v>
      </c>
      <c r="H52" s="40">
        <f t="shared" si="6"/>
        <v>145.9</v>
      </c>
      <c r="I52" s="40">
        <f t="shared" si="6"/>
        <v>386.6</v>
      </c>
      <c r="J52" s="40">
        <f t="shared" si="6"/>
        <v>385.8</v>
      </c>
      <c r="K52" s="40">
        <f t="shared" si="6"/>
        <v>160.6</v>
      </c>
      <c r="L52" s="40">
        <f t="shared" si="6"/>
        <v>5.8</v>
      </c>
      <c r="M52" s="40">
        <f t="shared" si="6"/>
        <v>41</v>
      </c>
      <c r="N52" s="47">
        <f t="shared" si="6"/>
        <v>4.3</v>
      </c>
      <c r="O52" s="8">
        <f t="shared" si="7"/>
        <v>1358.6</v>
      </c>
      <c r="P52" s="13">
        <f t="shared" si="8"/>
        <v>113.2</v>
      </c>
    </row>
    <row r="53" spans="2:16" ht="21.95" customHeight="1" thickBot="1">
      <c r="B53" s="44">
        <f t="shared" si="6"/>
        <v>2021</v>
      </c>
      <c r="C53" s="45">
        <f t="shared" si="6"/>
        <v>12.7</v>
      </c>
      <c r="D53" s="45">
        <f t="shared" si="6"/>
        <v>7.5</v>
      </c>
      <c r="E53" s="45">
        <f t="shared" si="6"/>
        <v>76.599999999999994</v>
      </c>
      <c r="F53" s="45">
        <f t="shared" si="6"/>
        <v>46.4</v>
      </c>
      <c r="G53" s="45">
        <f t="shared" si="6"/>
        <v>136.4</v>
      </c>
      <c r="H53" s="45">
        <f t="shared" si="6"/>
        <v>75.400000000000006</v>
      </c>
      <c r="I53" s="45">
        <f t="shared" si="6"/>
        <v>138.1</v>
      </c>
      <c r="J53" s="45">
        <f t="shared" si="6"/>
        <v>233.1</v>
      </c>
      <c r="K53" s="45">
        <f t="shared" si="6"/>
        <v>185</v>
      </c>
      <c r="L53" s="45">
        <f t="shared" si="6"/>
        <v>29.4</v>
      </c>
      <c r="M53" s="45">
        <f t="shared" si="6"/>
        <v>57.3</v>
      </c>
      <c r="N53" s="48">
        <f t="shared" si="6"/>
        <v>3.7</v>
      </c>
      <c r="O53" s="37">
        <f t="shared" si="7"/>
        <v>1001.6</v>
      </c>
      <c r="P53" s="22">
        <f t="shared" si="8"/>
        <v>83.5</v>
      </c>
    </row>
    <row r="54" spans="2:16" ht="21.95" customHeight="1">
      <c r="B54" s="41" t="s">
        <v>19</v>
      </c>
      <c r="C54" s="42">
        <f>MAX(C44:C53)</f>
        <v>62</v>
      </c>
      <c r="D54" s="42">
        <f t="shared" ref="D54:P54" si="9">MAX(D44:D53)</f>
        <v>62.7</v>
      </c>
      <c r="E54" s="42">
        <f t="shared" si="9"/>
        <v>81.7</v>
      </c>
      <c r="F54" s="42">
        <f t="shared" si="9"/>
        <v>133</v>
      </c>
      <c r="G54" s="42">
        <f t="shared" si="9"/>
        <v>136.4</v>
      </c>
      <c r="H54" s="42">
        <f t="shared" si="9"/>
        <v>229.9</v>
      </c>
      <c r="I54" s="42">
        <f t="shared" si="9"/>
        <v>789.1</v>
      </c>
      <c r="J54" s="42">
        <f t="shared" si="9"/>
        <v>479.5</v>
      </c>
      <c r="K54" s="42">
        <f t="shared" si="9"/>
        <v>204</v>
      </c>
      <c r="L54" s="42">
        <f t="shared" si="9"/>
        <v>151.1</v>
      </c>
      <c r="M54" s="42">
        <f t="shared" si="9"/>
        <v>107.5</v>
      </c>
      <c r="N54" s="43">
        <f t="shared" si="9"/>
        <v>56.6</v>
      </c>
      <c r="O54" s="46">
        <f t="shared" si="9"/>
        <v>1387.6</v>
      </c>
      <c r="P54" s="43">
        <f t="shared" si="9"/>
        <v>115.6</v>
      </c>
    </row>
    <row r="55" spans="2:16" ht="21.95" customHeight="1">
      <c r="B55" s="33" t="s">
        <v>20</v>
      </c>
      <c r="C55" s="6">
        <f>MIN(C44:C53)</f>
        <v>0.1</v>
      </c>
      <c r="D55" s="6">
        <f t="shared" ref="D55:P55" si="10">MIN(D44:D53)</f>
        <v>3.7</v>
      </c>
      <c r="E55" s="6">
        <f t="shared" si="10"/>
        <v>8.9</v>
      </c>
      <c r="F55" s="6">
        <f t="shared" si="10"/>
        <v>15.7</v>
      </c>
      <c r="G55" s="6">
        <f t="shared" si="10"/>
        <v>11.9</v>
      </c>
      <c r="H55" s="6">
        <f t="shared" si="10"/>
        <v>17.5</v>
      </c>
      <c r="I55" s="6">
        <f t="shared" si="10"/>
        <v>125.1</v>
      </c>
      <c r="J55" s="6">
        <f t="shared" si="10"/>
        <v>54.3</v>
      </c>
      <c r="K55" s="6">
        <f t="shared" si="10"/>
        <v>20.100000000000001</v>
      </c>
      <c r="L55" s="6">
        <f t="shared" si="10"/>
        <v>5.8</v>
      </c>
      <c r="M55" s="6">
        <f t="shared" si="10"/>
        <v>13.7</v>
      </c>
      <c r="N55" s="13">
        <f t="shared" si="10"/>
        <v>3.7</v>
      </c>
      <c r="O55" s="8">
        <f>MIN(O44:O53)</f>
        <v>756.9</v>
      </c>
      <c r="P55" s="13">
        <f t="shared" si="10"/>
        <v>63.1</v>
      </c>
    </row>
    <row r="56" spans="2:16" ht="21.95" customHeight="1" thickBot="1">
      <c r="B56" s="34" t="s">
        <v>7</v>
      </c>
      <c r="C56" s="35">
        <f>ROUND(AVERAGE(C44:C53),1)</f>
        <v>18</v>
      </c>
      <c r="D56" s="35">
        <f t="shared" ref="D56:N56" si="11">ROUND(AVERAGE(D44:D53),1)</f>
        <v>27.8</v>
      </c>
      <c r="E56" s="35">
        <f t="shared" si="11"/>
        <v>43.1</v>
      </c>
      <c r="F56" s="35">
        <f t="shared" si="11"/>
        <v>77.400000000000006</v>
      </c>
      <c r="G56" s="35">
        <f t="shared" si="11"/>
        <v>59.9</v>
      </c>
      <c r="H56" s="35">
        <f t="shared" si="11"/>
        <v>92.4</v>
      </c>
      <c r="I56" s="35">
        <f t="shared" si="11"/>
        <v>294.10000000000002</v>
      </c>
      <c r="J56" s="35">
        <f t="shared" si="11"/>
        <v>215.7</v>
      </c>
      <c r="K56" s="35">
        <f t="shared" si="11"/>
        <v>135.4</v>
      </c>
      <c r="L56" s="35">
        <f t="shared" si="11"/>
        <v>66.599999999999994</v>
      </c>
      <c r="M56" s="35">
        <f t="shared" si="11"/>
        <v>54.9</v>
      </c>
      <c r="N56" s="22">
        <f t="shared" si="11"/>
        <v>28.4</v>
      </c>
      <c r="O56" s="37">
        <f>ROUND(AVERAGE(O44:O53),1)</f>
        <v>1113.7</v>
      </c>
      <c r="P56" s="22">
        <f>ROUND(AVERAGE(P44:P53),1)</f>
        <v>92.8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D82A1-1E88-474F-A65F-1BDD11B1CA28}">
  <sheetPr codeName="Sheet15">
    <tabColor theme="1" tint="4.9989318521683403E-2"/>
  </sheetPr>
  <dimension ref="A2:Q983"/>
  <sheetViews>
    <sheetView zoomScaleNormal="100" workbookViewId="0">
      <selection activeCell="W17" sqref="W17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2" t="s">
        <v>154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3">
        <v>1992</v>
      </c>
      <c r="C6" s="66">
        <v>9.3000000000000007</v>
      </c>
      <c r="D6" s="66">
        <v>16.2</v>
      </c>
      <c r="E6" s="66">
        <v>23.2</v>
      </c>
      <c r="F6" s="66">
        <v>77.400000000000006</v>
      </c>
      <c r="G6" s="66">
        <v>51</v>
      </c>
      <c r="H6" s="66">
        <v>46</v>
      </c>
      <c r="I6" s="66">
        <v>128.5</v>
      </c>
      <c r="J6" s="67">
        <v>331.5</v>
      </c>
      <c r="K6" s="66">
        <v>139.5</v>
      </c>
      <c r="L6" s="66">
        <v>18</v>
      </c>
      <c r="M6" s="66">
        <v>41.4</v>
      </c>
      <c r="N6" s="68">
        <v>51.6</v>
      </c>
      <c r="O6" s="19">
        <f t="shared" ref="O6:O35" si="0">ROUND(SUM(C6:N6),1)</f>
        <v>933.6</v>
      </c>
      <c r="P6" s="18">
        <f>ROUND(O6/12,1)</f>
        <v>77.8</v>
      </c>
      <c r="Q6" s="4"/>
    </row>
    <row r="7" spans="2:17" ht="21.95" customHeight="1">
      <c r="B7" s="64">
        <v>1993</v>
      </c>
      <c r="C7" s="69">
        <v>3.2</v>
      </c>
      <c r="D7" s="69">
        <v>68.599999999999994</v>
      </c>
      <c r="E7" s="69">
        <v>29.8</v>
      </c>
      <c r="F7" s="69">
        <v>31</v>
      </c>
      <c r="G7" s="69">
        <v>59</v>
      </c>
      <c r="H7" s="69">
        <v>139</v>
      </c>
      <c r="I7" s="69">
        <v>323.5</v>
      </c>
      <c r="J7" s="70">
        <v>163.5</v>
      </c>
      <c r="K7" s="69">
        <v>122.5</v>
      </c>
      <c r="L7" s="69">
        <v>48</v>
      </c>
      <c r="M7" s="69">
        <v>66.900000000000006</v>
      </c>
      <c r="N7" s="71">
        <v>25.7</v>
      </c>
      <c r="O7" s="19">
        <f t="shared" si="0"/>
        <v>1080.7</v>
      </c>
      <c r="P7" s="14">
        <f t="shared" ref="P7:P35" si="1">ROUND(O7/12,1)</f>
        <v>90.1</v>
      </c>
      <c r="Q7" s="4"/>
    </row>
    <row r="8" spans="2:17" ht="21.95" customHeight="1">
      <c r="B8" s="64">
        <v>1994</v>
      </c>
      <c r="C8" s="69">
        <v>9.1</v>
      </c>
      <c r="D8" s="69">
        <v>10.1</v>
      </c>
      <c r="E8" s="69">
        <v>39.5</v>
      </c>
      <c r="F8" s="69">
        <v>13.5</v>
      </c>
      <c r="G8" s="69">
        <v>106.5</v>
      </c>
      <c r="H8" s="69">
        <v>160.5</v>
      </c>
      <c r="I8" s="69">
        <v>98</v>
      </c>
      <c r="J8" s="69">
        <v>418</v>
      </c>
      <c r="K8" s="69">
        <v>52</v>
      </c>
      <c r="L8" s="69">
        <v>220</v>
      </c>
      <c r="M8" s="69">
        <v>22</v>
      </c>
      <c r="N8" s="71">
        <v>21</v>
      </c>
      <c r="O8" s="19">
        <f t="shared" si="0"/>
        <v>1170.2</v>
      </c>
      <c r="P8" s="14">
        <f t="shared" si="1"/>
        <v>97.5</v>
      </c>
      <c r="Q8" s="4"/>
    </row>
    <row r="9" spans="2:17" ht="21.95" customHeight="1">
      <c r="B9" s="64">
        <v>1995</v>
      </c>
      <c r="C9" s="69">
        <v>19</v>
      </c>
      <c r="D9" s="69">
        <v>8.1999999999999993</v>
      </c>
      <c r="E9" s="69">
        <v>25.3</v>
      </c>
      <c r="F9" s="69">
        <v>47</v>
      </c>
      <c r="G9" s="69">
        <v>48</v>
      </c>
      <c r="H9" s="69">
        <v>14.5</v>
      </c>
      <c r="I9" s="69">
        <v>239.9</v>
      </c>
      <c r="J9" s="69">
        <v>1082.5</v>
      </c>
      <c r="K9" s="69">
        <v>29</v>
      </c>
      <c r="L9" s="69">
        <v>23.5</v>
      </c>
      <c r="M9" s="69">
        <v>40.200000000000003</v>
      </c>
      <c r="N9" s="71">
        <v>8.9</v>
      </c>
      <c r="O9" s="19">
        <f t="shared" si="0"/>
        <v>1586</v>
      </c>
      <c r="P9" s="14">
        <f t="shared" si="1"/>
        <v>132.19999999999999</v>
      </c>
      <c r="Q9" s="4"/>
    </row>
    <row r="10" spans="2:17" ht="21.95" customHeight="1">
      <c r="B10" s="64">
        <v>1996</v>
      </c>
      <c r="C10" s="69">
        <v>29.5</v>
      </c>
      <c r="D10" s="69">
        <v>10.199999999999999</v>
      </c>
      <c r="E10" s="69">
        <v>115</v>
      </c>
      <c r="F10" s="69">
        <v>54.5</v>
      </c>
      <c r="G10" s="69">
        <v>19</v>
      </c>
      <c r="H10" s="69">
        <v>237</v>
      </c>
      <c r="I10" s="69">
        <v>177.5</v>
      </c>
      <c r="J10" s="69">
        <v>116.5</v>
      </c>
      <c r="K10" s="69">
        <v>8</v>
      </c>
      <c r="L10" s="69">
        <v>102.5</v>
      </c>
      <c r="M10" s="69">
        <v>71.599999999999994</v>
      </c>
      <c r="N10" s="71">
        <v>26.2</v>
      </c>
      <c r="O10" s="19">
        <f t="shared" si="0"/>
        <v>967.5</v>
      </c>
      <c r="P10" s="14">
        <f t="shared" si="1"/>
        <v>80.599999999999994</v>
      </c>
      <c r="Q10" s="4"/>
    </row>
    <row r="11" spans="2:17" ht="21.95" customHeight="1">
      <c r="B11" s="64">
        <v>1997</v>
      </c>
      <c r="C11" s="69">
        <v>10.7</v>
      </c>
      <c r="D11" s="69">
        <v>44.1</v>
      </c>
      <c r="E11" s="69">
        <v>30</v>
      </c>
      <c r="F11" s="69">
        <v>66.5</v>
      </c>
      <c r="G11" s="69">
        <v>211</v>
      </c>
      <c r="H11" s="69">
        <v>191.5</v>
      </c>
      <c r="I11" s="69">
        <v>305</v>
      </c>
      <c r="J11" s="69">
        <v>175.5</v>
      </c>
      <c r="K11" s="69">
        <v>14.5</v>
      </c>
      <c r="L11" s="69">
        <v>23</v>
      </c>
      <c r="M11" s="69">
        <v>153.5</v>
      </c>
      <c r="N11" s="71">
        <v>43.5</v>
      </c>
      <c r="O11" s="19">
        <f t="shared" si="0"/>
        <v>1268.8</v>
      </c>
      <c r="P11" s="14">
        <f t="shared" si="1"/>
        <v>105.7</v>
      </c>
      <c r="Q11" s="4"/>
    </row>
    <row r="12" spans="2:17" ht="21.95" customHeight="1">
      <c r="B12" s="64">
        <v>1998</v>
      </c>
      <c r="C12" s="69">
        <v>20.399999999999999</v>
      </c>
      <c r="D12" s="69">
        <v>27.9</v>
      </c>
      <c r="E12" s="69">
        <v>29.5</v>
      </c>
      <c r="F12" s="69">
        <v>120.5</v>
      </c>
      <c r="G12" s="69">
        <v>85</v>
      </c>
      <c r="H12" s="69">
        <v>219.5</v>
      </c>
      <c r="I12" s="69">
        <v>277</v>
      </c>
      <c r="J12" s="69">
        <v>408.1</v>
      </c>
      <c r="K12" s="69">
        <v>283</v>
      </c>
      <c r="L12" s="69">
        <v>51.5</v>
      </c>
      <c r="M12" s="69">
        <v>52.8</v>
      </c>
      <c r="N12" s="71">
        <v>8.5</v>
      </c>
      <c r="O12" s="19">
        <f t="shared" si="0"/>
        <v>1583.7</v>
      </c>
      <c r="P12" s="14">
        <f t="shared" si="1"/>
        <v>132</v>
      </c>
    </row>
    <row r="13" spans="2:17" ht="21.95" customHeight="1">
      <c r="B13" s="64">
        <v>1999</v>
      </c>
      <c r="C13" s="69">
        <v>2.7</v>
      </c>
      <c r="D13" s="69">
        <v>2.8</v>
      </c>
      <c r="E13" s="69">
        <v>46.5</v>
      </c>
      <c r="F13" s="69">
        <v>88.5</v>
      </c>
      <c r="G13" s="69">
        <v>121.5</v>
      </c>
      <c r="H13" s="69">
        <v>163.69999999999999</v>
      </c>
      <c r="I13" s="69">
        <v>138.5</v>
      </c>
      <c r="J13" s="69">
        <v>313.5</v>
      </c>
      <c r="K13" s="69">
        <v>324.5</v>
      </c>
      <c r="L13" s="69">
        <v>134.5</v>
      </c>
      <c r="M13" s="69">
        <v>16.5</v>
      </c>
      <c r="N13" s="71">
        <v>11.9</v>
      </c>
      <c r="O13" s="19">
        <f t="shared" si="0"/>
        <v>1365.1</v>
      </c>
      <c r="P13" s="14">
        <f t="shared" si="1"/>
        <v>113.8</v>
      </c>
    </row>
    <row r="14" spans="2:17" ht="21.95" customHeight="1">
      <c r="B14" s="64">
        <v>2000</v>
      </c>
      <c r="C14" s="69">
        <v>52.3</v>
      </c>
      <c r="D14" s="69">
        <v>2.7</v>
      </c>
      <c r="E14" s="69">
        <v>7.1</v>
      </c>
      <c r="F14" s="69">
        <v>36</v>
      </c>
      <c r="G14" s="69">
        <v>36</v>
      </c>
      <c r="H14" s="69">
        <v>181</v>
      </c>
      <c r="I14" s="69">
        <v>83</v>
      </c>
      <c r="J14" s="69">
        <v>636</v>
      </c>
      <c r="K14" s="69">
        <v>287.5</v>
      </c>
      <c r="L14" s="69">
        <v>32</v>
      </c>
      <c r="M14" s="69">
        <v>32</v>
      </c>
      <c r="N14" s="71">
        <v>22.5</v>
      </c>
      <c r="O14" s="19">
        <f t="shared" si="0"/>
        <v>1408.1</v>
      </c>
      <c r="P14" s="14">
        <f t="shared" si="1"/>
        <v>117.3</v>
      </c>
    </row>
    <row r="15" spans="2:17" ht="21.95" customHeight="1">
      <c r="B15" s="64">
        <v>2001</v>
      </c>
      <c r="C15" s="69">
        <v>43.5</v>
      </c>
      <c r="D15" s="69">
        <v>44</v>
      </c>
      <c r="E15" s="69">
        <v>16.5</v>
      </c>
      <c r="F15" s="69">
        <v>19</v>
      </c>
      <c r="G15" s="69">
        <v>15</v>
      </c>
      <c r="H15" s="69">
        <v>227.5</v>
      </c>
      <c r="I15" s="69">
        <v>178</v>
      </c>
      <c r="J15" s="69">
        <v>194.5</v>
      </c>
      <c r="K15" s="69">
        <v>12</v>
      </c>
      <c r="L15" s="69">
        <v>63.5</v>
      </c>
      <c r="M15" s="69">
        <v>6.3</v>
      </c>
      <c r="N15" s="71">
        <v>18.399999999999999</v>
      </c>
      <c r="O15" s="19">
        <f t="shared" si="0"/>
        <v>838.2</v>
      </c>
      <c r="P15" s="14">
        <f t="shared" si="1"/>
        <v>69.900000000000006</v>
      </c>
    </row>
    <row r="16" spans="2:17" ht="21.95" customHeight="1">
      <c r="B16" s="64">
        <v>2002</v>
      </c>
      <c r="C16" s="69">
        <v>45.3</v>
      </c>
      <c r="D16" s="69">
        <v>6</v>
      </c>
      <c r="E16" s="69">
        <v>25.5</v>
      </c>
      <c r="F16" s="69">
        <v>128</v>
      </c>
      <c r="G16" s="69">
        <v>104</v>
      </c>
      <c r="H16" s="69">
        <v>54</v>
      </c>
      <c r="I16" s="69">
        <v>229.5</v>
      </c>
      <c r="J16" s="69">
        <v>481.5</v>
      </c>
      <c r="K16" s="69">
        <v>57</v>
      </c>
      <c r="L16" s="69">
        <v>91.5</v>
      </c>
      <c r="M16" s="69">
        <v>42.1</v>
      </c>
      <c r="N16" s="71">
        <v>48.1</v>
      </c>
      <c r="O16" s="19">
        <f t="shared" si="0"/>
        <v>1312.5</v>
      </c>
      <c r="P16" s="14">
        <f t="shared" si="1"/>
        <v>109.4</v>
      </c>
    </row>
    <row r="17" spans="2:16" ht="21.95" customHeight="1">
      <c r="B17" s="64">
        <v>2003</v>
      </c>
      <c r="C17" s="69">
        <v>18.600000000000001</v>
      </c>
      <c r="D17" s="69">
        <v>44</v>
      </c>
      <c r="E17" s="69">
        <v>38.1</v>
      </c>
      <c r="F17" s="69">
        <v>172.3</v>
      </c>
      <c r="G17" s="69">
        <v>106</v>
      </c>
      <c r="H17" s="69">
        <v>178.6</v>
      </c>
      <c r="I17" s="69">
        <v>381.2</v>
      </c>
      <c r="J17" s="69">
        <v>334.6</v>
      </c>
      <c r="K17" s="69">
        <v>264.2</v>
      </c>
      <c r="L17" s="69">
        <v>27</v>
      </c>
      <c r="M17" s="69">
        <v>46.7</v>
      </c>
      <c r="N17" s="71">
        <v>17</v>
      </c>
      <c r="O17" s="19">
        <f t="shared" si="0"/>
        <v>1628.3</v>
      </c>
      <c r="P17" s="14">
        <f t="shared" si="1"/>
        <v>135.69999999999999</v>
      </c>
    </row>
    <row r="18" spans="2:16" ht="21.95" customHeight="1">
      <c r="B18" s="64">
        <v>2004</v>
      </c>
      <c r="C18" s="69">
        <v>16.399999999999999</v>
      </c>
      <c r="D18" s="69">
        <v>21.3</v>
      </c>
      <c r="E18" s="69">
        <v>21.5</v>
      </c>
      <c r="F18" s="69">
        <v>67.5</v>
      </c>
      <c r="G18" s="69">
        <v>127.6</v>
      </c>
      <c r="H18" s="69">
        <v>235</v>
      </c>
      <c r="I18" s="69">
        <v>365.2</v>
      </c>
      <c r="J18" s="69">
        <v>229.3</v>
      </c>
      <c r="K18" s="69">
        <v>189</v>
      </c>
      <c r="L18" s="69">
        <v>4.5</v>
      </c>
      <c r="M18" s="69">
        <v>53</v>
      </c>
      <c r="N18" s="71">
        <v>33</v>
      </c>
      <c r="O18" s="19">
        <f t="shared" si="0"/>
        <v>1363.3</v>
      </c>
      <c r="P18" s="14">
        <f t="shared" si="1"/>
        <v>113.6</v>
      </c>
    </row>
    <row r="19" spans="2:16" ht="21.95" customHeight="1">
      <c r="B19" s="64">
        <v>2005</v>
      </c>
      <c r="C19" s="69">
        <v>3</v>
      </c>
      <c r="D19" s="69">
        <v>29.8</v>
      </c>
      <c r="E19" s="69">
        <v>37</v>
      </c>
      <c r="F19" s="69">
        <v>53.7</v>
      </c>
      <c r="G19" s="69">
        <v>48</v>
      </c>
      <c r="H19" s="69">
        <v>183</v>
      </c>
      <c r="I19" s="69">
        <v>313.8</v>
      </c>
      <c r="J19" s="69">
        <v>202</v>
      </c>
      <c r="K19" s="69">
        <v>377.5</v>
      </c>
      <c r="L19" s="69">
        <v>26.7</v>
      </c>
      <c r="M19" s="69">
        <v>23.5</v>
      </c>
      <c r="N19" s="71">
        <v>11.3</v>
      </c>
      <c r="O19" s="19">
        <f t="shared" si="0"/>
        <v>1309.3</v>
      </c>
      <c r="P19" s="14">
        <f t="shared" si="1"/>
        <v>109.1</v>
      </c>
    </row>
    <row r="20" spans="2:16" ht="21.95" customHeight="1">
      <c r="B20" s="64">
        <v>2006</v>
      </c>
      <c r="C20" s="69">
        <v>25.2</v>
      </c>
      <c r="D20" s="69">
        <v>18.5</v>
      </c>
      <c r="E20" s="69">
        <v>6.1</v>
      </c>
      <c r="F20" s="69">
        <v>78.599999999999994</v>
      </c>
      <c r="G20" s="69">
        <v>79</v>
      </c>
      <c r="H20" s="69">
        <v>120</v>
      </c>
      <c r="I20" s="69">
        <v>535.1</v>
      </c>
      <c r="J20" s="69">
        <v>63.5</v>
      </c>
      <c r="K20" s="69">
        <v>22.2</v>
      </c>
      <c r="L20" s="69">
        <v>21.6</v>
      </c>
      <c r="M20" s="69">
        <v>56.3</v>
      </c>
      <c r="N20" s="71">
        <v>17.2</v>
      </c>
      <c r="O20" s="19">
        <f t="shared" si="0"/>
        <v>1043.3</v>
      </c>
      <c r="P20" s="14">
        <f t="shared" si="1"/>
        <v>86.9</v>
      </c>
    </row>
    <row r="21" spans="2:16" ht="21.95" customHeight="1">
      <c r="B21" s="64">
        <v>2007</v>
      </c>
      <c r="C21" s="69">
        <v>9.4</v>
      </c>
      <c r="D21" s="69">
        <v>34.1</v>
      </c>
      <c r="E21" s="69">
        <v>108.3</v>
      </c>
      <c r="F21" s="69">
        <v>35.299999999999997</v>
      </c>
      <c r="G21" s="69">
        <v>126.2</v>
      </c>
      <c r="H21" s="69">
        <v>106.7</v>
      </c>
      <c r="I21" s="69">
        <v>215.6</v>
      </c>
      <c r="J21" s="69">
        <v>470.6</v>
      </c>
      <c r="K21" s="69">
        <v>353.3</v>
      </c>
      <c r="L21" s="69">
        <v>43.4</v>
      </c>
      <c r="M21" s="69">
        <v>15.6</v>
      </c>
      <c r="N21" s="71">
        <v>43.9</v>
      </c>
      <c r="O21" s="19">
        <f t="shared" si="0"/>
        <v>1562.4</v>
      </c>
      <c r="P21" s="14">
        <f t="shared" si="1"/>
        <v>130.19999999999999</v>
      </c>
    </row>
    <row r="22" spans="2:16" ht="21.95" customHeight="1">
      <c r="B22" s="64">
        <v>2008</v>
      </c>
      <c r="C22" s="69">
        <v>17.5</v>
      </c>
      <c r="D22" s="69">
        <v>11.1</v>
      </c>
      <c r="E22" s="69">
        <v>40.1</v>
      </c>
      <c r="F22" s="69">
        <v>34</v>
      </c>
      <c r="G22" s="69">
        <v>62.6</v>
      </c>
      <c r="H22" s="69">
        <v>126.7</v>
      </c>
      <c r="I22" s="69">
        <v>287.2</v>
      </c>
      <c r="J22" s="69">
        <v>138.80000000000001</v>
      </c>
      <c r="K22" s="69">
        <v>89.3</v>
      </c>
      <c r="L22" s="69">
        <v>30.4</v>
      </c>
      <c r="M22" s="69">
        <v>16.600000000000001</v>
      </c>
      <c r="N22" s="71">
        <v>15.8</v>
      </c>
      <c r="O22" s="19">
        <f t="shared" si="0"/>
        <v>870.1</v>
      </c>
      <c r="P22" s="14">
        <f t="shared" si="1"/>
        <v>72.5</v>
      </c>
    </row>
    <row r="23" spans="2:16" ht="21.95" customHeight="1">
      <c r="B23" s="64">
        <v>2009</v>
      </c>
      <c r="C23" s="69">
        <v>13.3</v>
      </c>
      <c r="D23" s="69">
        <v>16</v>
      </c>
      <c r="E23" s="69">
        <v>51.6</v>
      </c>
      <c r="F23" s="69">
        <v>30.6</v>
      </c>
      <c r="G23" s="69">
        <v>112.6</v>
      </c>
      <c r="H23" s="69">
        <v>55.6</v>
      </c>
      <c r="I23" s="69">
        <v>335.8</v>
      </c>
      <c r="J23" s="69">
        <v>212.3</v>
      </c>
      <c r="K23" s="69">
        <v>30.8</v>
      </c>
      <c r="L23" s="69">
        <v>61.1</v>
      </c>
      <c r="M23" s="69">
        <v>39.700000000000003</v>
      </c>
      <c r="N23" s="71">
        <v>40.5</v>
      </c>
      <c r="O23" s="19">
        <f t="shared" si="0"/>
        <v>999.9</v>
      </c>
      <c r="P23" s="14">
        <f t="shared" si="1"/>
        <v>83.3</v>
      </c>
    </row>
    <row r="24" spans="2:16" ht="21.95" customHeight="1">
      <c r="B24" s="64">
        <v>2010</v>
      </c>
      <c r="C24" s="69">
        <v>40.700000000000003</v>
      </c>
      <c r="D24" s="69">
        <v>50.4</v>
      </c>
      <c r="E24" s="69">
        <v>73.8</v>
      </c>
      <c r="F24" s="69">
        <v>61</v>
      </c>
      <c r="G24" s="69">
        <v>84</v>
      </c>
      <c r="H24" s="69">
        <v>37</v>
      </c>
      <c r="I24" s="69">
        <v>171</v>
      </c>
      <c r="J24" s="69">
        <v>486.1</v>
      </c>
      <c r="K24" s="69">
        <v>316.89999999999998</v>
      </c>
      <c r="L24" s="69">
        <v>19.399999999999999</v>
      </c>
      <c r="M24" s="69">
        <v>13.5</v>
      </c>
      <c r="N24" s="71">
        <v>24.5</v>
      </c>
      <c r="O24" s="19">
        <f t="shared" si="0"/>
        <v>1378.3</v>
      </c>
      <c r="P24" s="14">
        <f t="shared" si="1"/>
        <v>114.9</v>
      </c>
    </row>
    <row r="25" spans="2:16" ht="21.95" customHeight="1">
      <c r="B25" s="64">
        <v>2011</v>
      </c>
      <c r="C25" s="69">
        <v>7.9</v>
      </c>
      <c r="D25" s="69">
        <v>31</v>
      </c>
      <c r="E25" s="69">
        <v>26.5</v>
      </c>
      <c r="F25" s="69">
        <v>133.19999999999999</v>
      </c>
      <c r="G25" s="69">
        <v>103.3</v>
      </c>
      <c r="H25" s="69">
        <v>374.6</v>
      </c>
      <c r="I25" s="69">
        <v>645.1</v>
      </c>
      <c r="J25" s="69">
        <v>268.2</v>
      </c>
      <c r="K25" s="69">
        <v>153.19999999999999</v>
      </c>
      <c r="L25" s="69">
        <v>26.5</v>
      </c>
      <c r="M25" s="69">
        <v>65.8</v>
      </c>
      <c r="N25" s="71">
        <v>10.5</v>
      </c>
      <c r="O25" s="19">
        <f t="shared" si="0"/>
        <v>1845.8</v>
      </c>
      <c r="P25" s="14">
        <f t="shared" si="1"/>
        <v>153.80000000000001</v>
      </c>
    </row>
    <row r="26" spans="2:16" ht="21.95" customHeight="1">
      <c r="B26" s="64">
        <v>2012</v>
      </c>
      <c r="C26" s="69">
        <v>14.5</v>
      </c>
      <c r="D26" s="69">
        <v>2.2999999999999998</v>
      </c>
      <c r="E26" s="69">
        <v>44.9</v>
      </c>
      <c r="F26" s="69">
        <v>81.599999999999994</v>
      </c>
      <c r="G26" s="69">
        <v>16.8</v>
      </c>
      <c r="H26" s="69">
        <v>75.099999999999994</v>
      </c>
      <c r="I26" s="69">
        <v>252.5</v>
      </c>
      <c r="J26" s="69">
        <v>483.7</v>
      </c>
      <c r="K26" s="69">
        <v>190.1</v>
      </c>
      <c r="L26" s="69">
        <v>66.599999999999994</v>
      </c>
      <c r="M26" s="69">
        <v>52.6</v>
      </c>
      <c r="N26" s="71">
        <v>56</v>
      </c>
      <c r="O26" s="19">
        <f t="shared" si="0"/>
        <v>1336.7</v>
      </c>
      <c r="P26" s="14">
        <f t="shared" si="1"/>
        <v>111.4</v>
      </c>
    </row>
    <row r="27" spans="2:16" ht="21.95" customHeight="1">
      <c r="B27" s="64">
        <v>2013</v>
      </c>
      <c r="C27" s="69">
        <v>28.5</v>
      </c>
      <c r="D27" s="69">
        <v>35.200000000000003</v>
      </c>
      <c r="E27" s="69">
        <v>40</v>
      </c>
      <c r="F27" s="69">
        <v>56.3</v>
      </c>
      <c r="G27" s="69">
        <v>123.5</v>
      </c>
      <c r="H27" s="69">
        <v>102.1</v>
      </c>
      <c r="I27" s="69">
        <v>308.2</v>
      </c>
      <c r="J27" s="69">
        <v>173.6</v>
      </c>
      <c r="K27" s="69">
        <v>117.5</v>
      </c>
      <c r="L27" s="69">
        <v>12.2</v>
      </c>
      <c r="M27" s="69">
        <v>58.2</v>
      </c>
      <c r="N27" s="71">
        <v>40.299999999999997</v>
      </c>
      <c r="O27" s="19">
        <f t="shared" si="0"/>
        <v>1095.5999999999999</v>
      </c>
      <c r="P27" s="14">
        <f t="shared" si="1"/>
        <v>91.3</v>
      </c>
    </row>
    <row r="28" spans="2:16" ht="21.95" customHeight="1">
      <c r="B28" s="64">
        <v>2014</v>
      </c>
      <c r="C28" s="69">
        <v>4.9000000000000004</v>
      </c>
      <c r="D28" s="69">
        <v>14.7</v>
      </c>
      <c r="E28" s="69">
        <v>40.9</v>
      </c>
      <c r="F28" s="69">
        <v>62.1</v>
      </c>
      <c r="G28" s="69">
        <v>34.6</v>
      </c>
      <c r="H28" s="69">
        <v>73.900000000000006</v>
      </c>
      <c r="I28" s="69">
        <v>239</v>
      </c>
      <c r="J28" s="69">
        <v>218.7</v>
      </c>
      <c r="K28" s="69">
        <v>144</v>
      </c>
      <c r="L28" s="69">
        <v>119.5</v>
      </c>
      <c r="M28" s="69">
        <v>28.9</v>
      </c>
      <c r="N28" s="71">
        <v>38.9</v>
      </c>
      <c r="O28" s="19">
        <f t="shared" si="0"/>
        <v>1020.1</v>
      </c>
      <c r="P28" s="14">
        <f t="shared" si="1"/>
        <v>85</v>
      </c>
    </row>
    <row r="29" spans="2:16" ht="21.95" customHeight="1">
      <c r="B29" s="64">
        <v>2015</v>
      </c>
      <c r="C29" s="69">
        <v>12.7</v>
      </c>
      <c r="D29" s="69">
        <v>21.5</v>
      </c>
      <c r="E29" s="69">
        <v>23.3</v>
      </c>
      <c r="F29" s="69">
        <v>87.6</v>
      </c>
      <c r="G29" s="69">
        <v>27.5</v>
      </c>
      <c r="H29" s="69">
        <v>86</v>
      </c>
      <c r="I29" s="69">
        <v>136.80000000000001</v>
      </c>
      <c r="J29" s="69">
        <v>64.2</v>
      </c>
      <c r="K29" s="69">
        <v>29</v>
      </c>
      <c r="L29" s="69">
        <v>69</v>
      </c>
      <c r="M29" s="69">
        <v>128.6</v>
      </c>
      <c r="N29" s="71">
        <v>41.8</v>
      </c>
      <c r="O29" s="19">
        <f t="shared" si="0"/>
        <v>728</v>
      </c>
      <c r="P29" s="14">
        <f t="shared" si="1"/>
        <v>60.7</v>
      </c>
    </row>
    <row r="30" spans="2:16" ht="21.95" customHeight="1">
      <c r="B30" s="64">
        <v>2016</v>
      </c>
      <c r="C30" s="69">
        <v>8</v>
      </c>
      <c r="D30" s="69">
        <v>43.6</v>
      </c>
      <c r="E30" s="69">
        <v>16.5</v>
      </c>
      <c r="F30" s="69">
        <v>118.3</v>
      </c>
      <c r="G30" s="69">
        <v>107.2</v>
      </c>
      <c r="H30" s="69">
        <v>36.200000000000003</v>
      </c>
      <c r="I30" s="69">
        <v>364.3</v>
      </c>
      <c r="J30" s="69">
        <v>82</v>
      </c>
      <c r="K30" s="69">
        <v>55</v>
      </c>
      <c r="L30" s="69">
        <v>95.9</v>
      </c>
      <c r="M30" s="69">
        <v>33.5</v>
      </c>
      <c r="N30" s="71">
        <v>44.3</v>
      </c>
      <c r="O30" s="19">
        <f t="shared" si="0"/>
        <v>1004.8</v>
      </c>
      <c r="P30" s="14">
        <f t="shared" si="1"/>
        <v>83.7</v>
      </c>
    </row>
    <row r="31" spans="2:16" ht="21.95" customHeight="1">
      <c r="B31" s="64">
        <v>2017</v>
      </c>
      <c r="C31" s="69">
        <v>13.9</v>
      </c>
      <c r="D31" s="69">
        <v>32.200000000000003</v>
      </c>
      <c r="E31" s="69">
        <v>6.5</v>
      </c>
      <c r="F31" s="69">
        <v>42.9</v>
      </c>
      <c r="G31" s="69">
        <v>14.3</v>
      </c>
      <c r="H31" s="69">
        <v>15.6</v>
      </c>
      <c r="I31" s="69">
        <v>788.1</v>
      </c>
      <c r="J31" s="69">
        <v>291.5</v>
      </c>
      <c r="K31" s="69">
        <v>43.3</v>
      </c>
      <c r="L31" s="69">
        <v>14.1</v>
      </c>
      <c r="M31" s="69">
        <v>23.8</v>
      </c>
      <c r="N31" s="71">
        <v>18.8</v>
      </c>
      <c r="O31" s="19">
        <f t="shared" si="0"/>
        <v>1305</v>
      </c>
      <c r="P31" s="14">
        <f t="shared" si="1"/>
        <v>108.8</v>
      </c>
    </row>
    <row r="32" spans="2:16" ht="21.95" customHeight="1">
      <c r="B32" s="64">
        <v>2018</v>
      </c>
      <c r="C32" s="69">
        <v>14</v>
      </c>
      <c r="D32" s="69">
        <v>31.6</v>
      </c>
      <c r="E32" s="69">
        <v>62.2</v>
      </c>
      <c r="F32" s="69">
        <v>117</v>
      </c>
      <c r="G32" s="69">
        <v>82.7</v>
      </c>
      <c r="H32" s="69">
        <v>88.9</v>
      </c>
      <c r="I32" s="69">
        <v>185.8</v>
      </c>
      <c r="J32" s="69">
        <v>282.7</v>
      </c>
      <c r="K32" s="69">
        <v>124.6</v>
      </c>
      <c r="L32" s="69">
        <v>99.8</v>
      </c>
      <c r="M32" s="69">
        <v>48.3</v>
      </c>
      <c r="N32" s="71">
        <v>25.8</v>
      </c>
      <c r="O32" s="19">
        <f t="shared" si="0"/>
        <v>1163.4000000000001</v>
      </c>
      <c r="P32" s="14">
        <f t="shared" si="1"/>
        <v>97</v>
      </c>
    </row>
    <row r="33" spans="2:16" ht="21.95" customHeight="1">
      <c r="B33" s="64">
        <v>2019</v>
      </c>
      <c r="C33" s="69">
        <v>0.6</v>
      </c>
      <c r="D33" s="69">
        <v>25.5</v>
      </c>
      <c r="E33" s="69">
        <v>26.9</v>
      </c>
      <c r="F33" s="69">
        <v>43.9</v>
      </c>
      <c r="G33" s="69">
        <v>15.1</v>
      </c>
      <c r="H33" s="69">
        <v>84.9</v>
      </c>
      <c r="I33" s="69">
        <v>234.7</v>
      </c>
      <c r="J33" s="69">
        <v>90.7</v>
      </c>
      <c r="K33" s="69">
        <v>102.8</v>
      </c>
      <c r="L33" s="69">
        <v>81.900000000000006</v>
      </c>
      <c r="M33" s="69">
        <v>120.6</v>
      </c>
      <c r="N33" s="71">
        <v>18</v>
      </c>
      <c r="O33" s="19">
        <f t="shared" si="0"/>
        <v>845.6</v>
      </c>
      <c r="P33" s="14">
        <f t="shared" si="1"/>
        <v>70.5</v>
      </c>
    </row>
    <row r="34" spans="2:16" ht="21.95" customHeight="1">
      <c r="B34" s="64">
        <v>2020</v>
      </c>
      <c r="C34" s="69">
        <v>59.7</v>
      </c>
      <c r="D34" s="69">
        <v>63.1</v>
      </c>
      <c r="E34" s="69">
        <v>21.7</v>
      </c>
      <c r="F34" s="69">
        <v>15.1</v>
      </c>
      <c r="G34" s="69">
        <v>86.4</v>
      </c>
      <c r="H34" s="69">
        <v>121.9</v>
      </c>
      <c r="I34" s="69">
        <v>356.4</v>
      </c>
      <c r="J34" s="69">
        <v>481.7</v>
      </c>
      <c r="K34" s="69">
        <v>167.2</v>
      </c>
      <c r="L34" s="69">
        <v>18.899999999999999</v>
      </c>
      <c r="M34" s="69">
        <v>45.9</v>
      </c>
      <c r="N34" s="71">
        <v>5.5</v>
      </c>
      <c r="O34" s="19">
        <f t="shared" si="0"/>
        <v>1443.5</v>
      </c>
      <c r="P34" s="14">
        <f t="shared" si="1"/>
        <v>120.3</v>
      </c>
    </row>
    <row r="35" spans="2:16" ht="21.95" customHeight="1" thickBot="1">
      <c r="B35" s="65">
        <v>2021</v>
      </c>
      <c r="C35" s="72">
        <v>17.8</v>
      </c>
      <c r="D35" s="72">
        <v>9.1999999999999993</v>
      </c>
      <c r="E35" s="72">
        <v>75.3</v>
      </c>
      <c r="F35" s="72">
        <v>54.7</v>
      </c>
      <c r="G35" s="72">
        <v>135.9</v>
      </c>
      <c r="H35" s="72">
        <v>44.8</v>
      </c>
      <c r="I35" s="72">
        <v>117.6</v>
      </c>
      <c r="J35" s="72">
        <v>230</v>
      </c>
      <c r="K35" s="72">
        <v>250.8</v>
      </c>
      <c r="L35" s="72">
        <v>49.5</v>
      </c>
      <c r="M35" s="72">
        <v>67.900000000000006</v>
      </c>
      <c r="N35" s="73">
        <v>5.4</v>
      </c>
      <c r="O35" s="23">
        <f t="shared" si="0"/>
        <v>1058.9000000000001</v>
      </c>
      <c r="P35" s="24">
        <f t="shared" si="1"/>
        <v>88.2</v>
      </c>
    </row>
    <row r="36" spans="2:16" ht="21.95" customHeight="1">
      <c r="B36" s="25" t="s">
        <v>13</v>
      </c>
      <c r="C36" s="26">
        <f>ROUND(MAX(C6:C35),1)</f>
        <v>59.7</v>
      </c>
      <c r="D36" s="26">
        <f t="shared" ref="D36:N36" si="2">ROUND(MAX(D6:D35),1)</f>
        <v>68.599999999999994</v>
      </c>
      <c r="E36" s="26">
        <f t="shared" si="2"/>
        <v>115</v>
      </c>
      <c r="F36" s="26">
        <f t="shared" si="2"/>
        <v>172.3</v>
      </c>
      <c r="G36" s="26">
        <f t="shared" si="2"/>
        <v>211</v>
      </c>
      <c r="H36" s="26">
        <f t="shared" si="2"/>
        <v>374.6</v>
      </c>
      <c r="I36" s="26">
        <f t="shared" si="2"/>
        <v>788.1</v>
      </c>
      <c r="J36" s="26">
        <f t="shared" si="2"/>
        <v>1082.5</v>
      </c>
      <c r="K36" s="26">
        <f t="shared" si="2"/>
        <v>377.5</v>
      </c>
      <c r="L36" s="26">
        <f t="shared" si="2"/>
        <v>220</v>
      </c>
      <c r="M36" s="26">
        <f t="shared" si="2"/>
        <v>153.5</v>
      </c>
      <c r="N36" s="27">
        <f t="shared" si="2"/>
        <v>56</v>
      </c>
      <c r="O36" s="28">
        <f>ROUND(MAX(O6:O35),1)</f>
        <v>1845.8</v>
      </c>
      <c r="P36" s="29">
        <f>ROUND(MAX(P6:P35),1)</f>
        <v>153.80000000000001</v>
      </c>
    </row>
    <row r="37" spans="2:16" ht="21.95" customHeight="1">
      <c r="B37" s="12" t="s">
        <v>14</v>
      </c>
      <c r="C37" s="7">
        <f>ROUND(MIN(C6:C35),1)</f>
        <v>0.6</v>
      </c>
      <c r="D37" s="7">
        <f t="shared" ref="D37:N37" si="3">ROUND(MIN(D6:D35),1)</f>
        <v>2.2999999999999998</v>
      </c>
      <c r="E37" s="7">
        <f t="shared" si="3"/>
        <v>6.1</v>
      </c>
      <c r="F37" s="7">
        <f t="shared" si="3"/>
        <v>13.5</v>
      </c>
      <c r="G37" s="7">
        <f t="shared" si="3"/>
        <v>14.3</v>
      </c>
      <c r="H37" s="7">
        <f t="shared" si="3"/>
        <v>14.5</v>
      </c>
      <c r="I37" s="7">
        <f t="shared" si="3"/>
        <v>83</v>
      </c>
      <c r="J37" s="7">
        <f t="shared" si="3"/>
        <v>63.5</v>
      </c>
      <c r="K37" s="7">
        <f t="shared" si="3"/>
        <v>8</v>
      </c>
      <c r="L37" s="7">
        <f t="shared" si="3"/>
        <v>4.5</v>
      </c>
      <c r="M37" s="7">
        <f t="shared" si="3"/>
        <v>6.3</v>
      </c>
      <c r="N37" s="14">
        <f t="shared" si="3"/>
        <v>5.4</v>
      </c>
      <c r="O37" s="20">
        <f>ROUND(MIN(O6:O35),1)</f>
        <v>728</v>
      </c>
      <c r="P37" s="13">
        <f>ROUND(MIN(P6:P35),1)</f>
        <v>60.7</v>
      </c>
    </row>
    <row r="38" spans="2:16" ht="21.95" customHeight="1" thickBot="1">
      <c r="B38" s="15" t="s">
        <v>18</v>
      </c>
      <c r="C38" s="16">
        <f>ROUND(AVERAGE(C6:C35),1)</f>
        <v>19.100000000000001</v>
      </c>
      <c r="D38" s="16">
        <f t="shared" ref="D38:P38" si="4">ROUND(AVERAGE(D6:D35),1)</f>
        <v>25.9</v>
      </c>
      <c r="E38" s="16">
        <f t="shared" si="4"/>
        <v>38.299999999999997</v>
      </c>
      <c r="F38" s="16">
        <f t="shared" si="4"/>
        <v>67.599999999999994</v>
      </c>
      <c r="G38" s="16">
        <f t="shared" si="4"/>
        <v>78.3</v>
      </c>
      <c r="H38" s="16">
        <f t="shared" si="4"/>
        <v>126</v>
      </c>
      <c r="I38" s="16">
        <f t="shared" si="4"/>
        <v>280.39999999999998</v>
      </c>
      <c r="J38" s="16">
        <f t="shared" si="4"/>
        <v>304.2</v>
      </c>
      <c r="K38" s="16">
        <f t="shared" si="4"/>
        <v>145</v>
      </c>
      <c r="L38" s="16">
        <f t="shared" si="4"/>
        <v>56.5</v>
      </c>
      <c r="M38" s="16">
        <f t="shared" si="4"/>
        <v>49.5</v>
      </c>
      <c r="N38" s="17">
        <f t="shared" si="4"/>
        <v>26.5</v>
      </c>
      <c r="O38" s="21">
        <f t="shared" si="4"/>
        <v>1217.2</v>
      </c>
      <c r="P38" s="22">
        <f t="shared" si="4"/>
        <v>101.4</v>
      </c>
    </row>
    <row r="39" spans="2:16" ht="21.95" customHeight="1"/>
    <row r="40" spans="2:16" ht="21.95" customHeight="1"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2012</v>
      </c>
      <c r="C44" s="40">
        <f t="shared" ref="C44:N44" si="5">C26</f>
        <v>14.5</v>
      </c>
      <c r="D44" s="40">
        <f t="shared" si="5"/>
        <v>2.2999999999999998</v>
      </c>
      <c r="E44" s="40">
        <f t="shared" si="5"/>
        <v>44.9</v>
      </c>
      <c r="F44" s="40">
        <f t="shared" si="5"/>
        <v>81.599999999999994</v>
      </c>
      <c r="G44" s="40">
        <f t="shared" si="5"/>
        <v>16.8</v>
      </c>
      <c r="H44" s="40">
        <f t="shared" si="5"/>
        <v>75.099999999999994</v>
      </c>
      <c r="I44" s="40">
        <f t="shared" si="5"/>
        <v>252.5</v>
      </c>
      <c r="J44" s="40">
        <f t="shared" si="5"/>
        <v>483.7</v>
      </c>
      <c r="K44" s="40">
        <f t="shared" si="5"/>
        <v>190.1</v>
      </c>
      <c r="L44" s="40">
        <f t="shared" si="5"/>
        <v>66.599999999999994</v>
      </c>
      <c r="M44" s="40">
        <f t="shared" si="5"/>
        <v>52.6</v>
      </c>
      <c r="N44" s="47">
        <f t="shared" si="5"/>
        <v>56</v>
      </c>
      <c r="O44" s="8">
        <f>ROUND(SUM(C44:N44),1)</f>
        <v>1336.7</v>
      </c>
      <c r="P44" s="13">
        <f>ROUND(O44/12,1)</f>
        <v>111.4</v>
      </c>
    </row>
    <row r="45" spans="2:16" ht="21.95" customHeight="1">
      <c r="B45" s="39">
        <f t="shared" ref="B45:N53" si="6">B27</f>
        <v>2013</v>
      </c>
      <c r="C45" s="40">
        <f t="shared" si="6"/>
        <v>28.5</v>
      </c>
      <c r="D45" s="40">
        <f t="shared" si="6"/>
        <v>35.200000000000003</v>
      </c>
      <c r="E45" s="40">
        <f t="shared" si="6"/>
        <v>40</v>
      </c>
      <c r="F45" s="40">
        <f t="shared" si="6"/>
        <v>56.3</v>
      </c>
      <c r="G45" s="40">
        <f t="shared" si="6"/>
        <v>123.5</v>
      </c>
      <c r="H45" s="40">
        <f t="shared" si="6"/>
        <v>102.1</v>
      </c>
      <c r="I45" s="40">
        <f t="shared" si="6"/>
        <v>308.2</v>
      </c>
      <c r="J45" s="40">
        <f t="shared" si="6"/>
        <v>173.6</v>
      </c>
      <c r="K45" s="40">
        <f t="shared" si="6"/>
        <v>117.5</v>
      </c>
      <c r="L45" s="40">
        <f t="shared" si="6"/>
        <v>12.2</v>
      </c>
      <c r="M45" s="40">
        <f t="shared" si="6"/>
        <v>58.2</v>
      </c>
      <c r="N45" s="47">
        <f t="shared" si="6"/>
        <v>40.299999999999997</v>
      </c>
      <c r="O45" s="8">
        <f t="shared" ref="O45:O53" si="7">ROUND(SUM(C45:N45),1)</f>
        <v>1095.5999999999999</v>
      </c>
      <c r="P45" s="13">
        <f t="shared" ref="P45:P53" si="8">ROUND(O45/12,1)</f>
        <v>91.3</v>
      </c>
    </row>
    <row r="46" spans="2:16" ht="21.95" customHeight="1">
      <c r="B46" s="39">
        <f t="shared" si="6"/>
        <v>2014</v>
      </c>
      <c r="C46" s="40">
        <f t="shared" si="6"/>
        <v>4.9000000000000004</v>
      </c>
      <c r="D46" s="40">
        <f t="shared" si="6"/>
        <v>14.7</v>
      </c>
      <c r="E46" s="40">
        <f t="shared" si="6"/>
        <v>40.9</v>
      </c>
      <c r="F46" s="40">
        <f t="shared" si="6"/>
        <v>62.1</v>
      </c>
      <c r="G46" s="40">
        <f t="shared" si="6"/>
        <v>34.6</v>
      </c>
      <c r="H46" s="40">
        <f t="shared" si="6"/>
        <v>73.900000000000006</v>
      </c>
      <c r="I46" s="40">
        <f t="shared" si="6"/>
        <v>239</v>
      </c>
      <c r="J46" s="40">
        <f t="shared" si="6"/>
        <v>218.7</v>
      </c>
      <c r="K46" s="40">
        <f t="shared" si="6"/>
        <v>144</v>
      </c>
      <c r="L46" s="40">
        <f t="shared" si="6"/>
        <v>119.5</v>
      </c>
      <c r="M46" s="40">
        <f t="shared" si="6"/>
        <v>28.9</v>
      </c>
      <c r="N46" s="47">
        <f t="shared" si="6"/>
        <v>38.9</v>
      </c>
      <c r="O46" s="8">
        <f t="shared" si="7"/>
        <v>1020.1</v>
      </c>
      <c r="P46" s="13">
        <f t="shared" si="8"/>
        <v>85</v>
      </c>
    </row>
    <row r="47" spans="2:16" ht="21.95" customHeight="1">
      <c r="B47" s="39">
        <f t="shared" si="6"/>
        <v>2015</v>
      </c>
      <c r="C47" s="40">
        <f t="shared" si="6"/>
        <v>12.7</v>
      </c>
      <c r="D47" s="40">
        <f t="shared" si="6"/>
        <v>21.5</v>
      </c>
      <c r="E47" s="40">
        <f t="shared" si="6"/>
        <v>23.3</v>
      </c>
      <c r="F47" s="40">
        <f t="shared" si="6"/>
        <v>87.6</v>
      </c>
      <c r="G47" s="40">
        <f t="shared" si="6"/>
        <v>27.5</v>
      </c>
      <c r="H47" s="40">
        <f t="shared" si="6"/>
        <v>86</v>
      </c>
      <c r="I47" s="40">
        <f t="shared" si="6"/>
        <v>136.80000000000001</v>
      </c>
      <c r="J47" s="40">
        <f t="shared" si="6"/>
        <v>64.2</v>
      </c>
      <c r="K47" s="40">
        <f t="shared" si="6"/>
        <v>29</v>
      </c>
      <c r="L47" s="40">
        <f t="shared" si="6"/>
        <v>69</v>
      </c>
      <c r="M47" s="40">
        <f t="shared" si="6"/>
        <v>128.6</v>
      </c>
      <c r="N47" s="47">
        <f t="shared" si="6"/>
        <v>41.8</v>
      </c>
      <c r="O47" s="8">
        <f>ROUND(SUM(C47:N47),1)</f>
        <v>728</v>
      </c>
      <c r="P47" s="13">
        <f t="shared" si="8"/>
        <v>60.7</v>
      </c>
    </row>
    <row r="48" spans="2:16" ht="21.95" customHeight="1">
      <c r="B48" s="39">
        <f t="shared" si="6"/>
        <v>2016</v>
      </c>
      <c r="C48" s="40">
        <f t="shared" si="6"/>
        <v>8</v>
      </c>
      <c r="D48" s="40">
        <f t="shared" si="6"/>
        <v>43.6</v>
      </c>
      <c r="E48" s="40">
        <f t="shared" si="6"/>
        <v>16.5</v>
      </c>
      <c r="F48" s="40">
        <f t="shared" si="6"/>
        <v>118.3</v>
      </c>
      <c r="G48" s="40">
        <f t="shared" si="6"/>
        <v>107.2</v>
      </c>
      <c r="H48" s="40">
        <f t="shared" si="6"/>
        <v>36.200000000000003</v>
      </c>
      <c r="I48" s="40">
        <f t="shared" si="6"/>
        <v>364.3</v>
      </c>
      <c r="J48" s="40">
        <f t="shared" si="6"/>
        <v>82</v>
      </c>
      <c r="K48" s="40">
        <f t="shared" si="6"/>
        <v>55</v>
      </c>
      <c r="L48" s="40">
        <f t="shared" si="6"/>
        <v>95.9</v>
      </c>
      <c r="M48" s="40">
        <f t="shared" si="6"/>
        <v>33.5</v>
      </c>
      <c r="N48" s="47">
        <f t="shared" si="6"/>
        <v>44.3</v>
      </c>
      <c r="O48" s="8">
        <f t="shared" si="7"/>
        <v>1004.8</v>
      </c>
      <c r="P48" s="13">
        <f t="shared" si="8"/>
        <v>83.7</v>
      </c>
    </row>
    <row r="49" spans="2:16" ht="21.95" customHeight="1">
      <c r="B49" s="39">
        <f t="shared" si="6"/>
        <v>2017</v>
      </c>
      <c r="C49" s="40">
        <f t="shared" si="6"/>
        <v>13.9</v>
      </c>
      <c r="D49" s="40">
        <f t="shared" si="6"/>
        <v>32.200000000000003</v>
      </c>
      <c r="E49" s="40">
        <f t="shared" si="6"/>
        <v>6.5</v>
      </c>
      <c r="F49" s="40">
        <f t="shared" si="6"/>
        <v>42.9</v>
      </c>
      <c r="G49" s="40">
        <f t="shared" si="6"/>
        <v>14.3</v>
      </c>
      <c r="H49" s="40">
        <f t="shared" si="6"/>
        <v>15.6</v>
      </c>
      <c r="I49" s="40">
        <f t="shared" si="6"/>
        <v>788.1</v>
      </c>
      <c r="J49" s="40">
        <f t="shared" si="6"/>
        <v>291.5</v>
      </c>
      <c r="K49" s="40">
        <f t="shared" si="6"/>
        <v>43.3</v>
      </c>
      <c r="L49" s="40">
        <f t="shared" si="6"/>
        <v>14.1</v>
      </c>
      <c r="M49" s="40">
        <f t="shared" si="6"/>
        <v>23.8</v>
      </c>
      <c r="N49" s="47">
        <f t="shared" si="6"/>
        <v>18.8</v>
      </c>
      <c r="O49" s="8">
        <f t="shared" si="7"/>
        <v>1305</v>
      </c>
      <c r="P49" s="13">
        <f t="shared" si="8"/>
        <v>108.8</v>
      </c>
    </row>
    <row r="50" spans="2:16" ht="21.95" customHeight="1">
      <c r="B50" s="39">
        <f t="shared" si="6"/>
        <v>2018</v>
      </c>
      <c r="C50" s="40">
        <f t="shared" si="6"/>
        <v>14</v>
      </c>
      <c r="D50" s="40">
        <f t="shared" si="6"/>
        <v>31.6</v>
      </c>
      <c r="E50" s="40">
        <f t="shared" si="6"/>
        <v>62.2</v>
      </c>
      <c r="F50" s="40">
        <f t="shared" si="6"/>
        <v>117</v>
      </c>
      <c r="G50" s="40">
        <f t="shared" si="6"/>
        <v>82.7</v>
      </c>
      <c r="H50" s="40">
        <f t="shared" si="6"/>
        <v>88.9</v>
      </c>
      <c r="I50" s="40">
        <f t="shared" si="6"/>
        <v>185.8</v>
      </c>
      <c r="J50" s="40">
        <f t="shared" si="6"/>
        <v>282.7</v>
      </c>
      <c r="K50" s="40">
        <f t="shared" si="6"/>
        <v>124.6</v>
      </c>
      <c r="L50" s="40">
        <f t="shared" si="6"/>
        <v>99.8</v>
      </c>
      <c r="M50" s="40">
        <f t="shared" si="6"/>
        <v>48.3</v>
      </c>
      <c r="N50" s="47">
        <f t="shared" si="6"/>
        <v>25.8</v>
      </c>
      <c r="O50" s="8">
        <f t="shared" si="7"/>
        <v>1163.4000000000001</v>
      </c>
      <c r="P50" s="13">
        <f t="shared" si="8"/>
        <v>97</v>
      </c>
    </row>
    <row r="51" spans="2:16" ht="21.95" customHeight="1">
      <c r="B51" s="39">
        <f t="shared" si="6"/>
        <v>2019</v>
      </c>
      <c r="C51" s="40">
        <f t="shared" si="6"/>
        <v>0.6</v>
      </c>
      <c r="D51" s="40">
        <f t="shared" si="6"/>
        <v>25.5</v>
      </c>
      <c r="E51" s="40">
        <f t="shared" si="6"/>
        <v>26.9</v>
      </c>
      <c r="F51" s="40">
        <f t="shared" si="6"/>
        <v>43.9</v>
      </c>
      <c r="G51" s="40">
        <f t="shared" si="6"/>
        <v>15.1</v>
      </c>
      <c r="H51" s="40">
        <f t="shared" si="6"/>
        <v>84.9</v>
      </c>
      <c r="I51" s="40">
        <f t="shared" si="6"/>
        <v>234.7</v>
      </c>
      <c r="J51" s="40">
        <f t="shared" si="6"/>
        <v>90.7</v>
      </c>
      <c r="K51" s="40">
        <f t="shared" si="6"/>
        <v>102.8</v>
      </c>
      <c r="L51" s="40">
        <f t="shared" si="6"/>
        <v>81.900000000000006</v>
      </c>
      <c r="M51" s="40">
        <f t="shared" si="6"/>
        <v>120.6</v>
      </c>
      <c r="N51" s="47">
        <f t="shared" si="6"/>
        <v>18</v>
      </c>
      <c r="O51" s="8">
        <f t="shared" si="7"/>
        <v>845.6</v>
      </c>
      <c r="P51" s="13">
        <f t="shared" si="8"/>
        <v>70.5</v>
      </c>
    </row>
    <row r="52" spans="2:16" ht="21.95" customHeight="1">
      <c r="B52" s="39">
        <f t="shared" si="6"/>
        <v>2020</v>
      </c>
      <c r="C52" s="40">
        <f t="shared" si="6"/>
        <v>59.7</v>
      </c>
      <c r="D52" s="40">
        <f t="shared" si="6"/>
        <v>63.1</v>
      </c>
      <c r="E52" s="40">
        <f t="shared" si="6"/>
        <v>21.7</v>
      </c>
      <c r="F52" s="40">
        <f t="shared" si="6"/>
        <v>15.1</v>
      </c>
      <c r="G52" s="40">
        <f t="shared" si="6"/>
        <v>86.4</v>
      </c>
      <c r="H52" s="40">
        <f t="shared" si="6"/>
        <v>121.9</v>
      </c>
      <c r="I52" s="40">
        <f t="shared" si="6"/>
        <v>356.4</v>
      </c>
      <c r="J52" s="40">
        <f t="shared" si="6"/>
        <v>481.7</v>
      </c>
      <c r="K52" s="40">
        <f t="shared" si="6"/>
        <v>167.2</v>
      </c>
      <c r="L52" s="40">
        <f t="shared" si="6"/>
        <v>18.899999999999999</v>
      </c>
      <c r="M52" s="40">
        <f t="shared" si="6"/>
        <v>45.9</v>
      </c>
      <c r="N52" s="47">
        <f t="shared" si="6"/>
        <v>5.5</v>
      </c>
      <c r="O52" s="8">
        <f t="shared" si="7"/>
        <v>1443.5</v>
      </c>
      <c r="P52" s="13">
        <f t="shared" si="8"/>
        <v>120.3</v>
      </c>
    </row>
    <row r="53" spans="2:16" ht="21.95" customHeight="1" thickBot="1">
      <c r="B53" s="44">
        <f t="shared" si="6"/>
        <v>2021</v>
      </c>
      <c r="C53" s="45">
        <f t="shared" si="6"/>
        <v>17.8</v>
      </c>
      <c r="D53" s="45">
        <f t="shared" si="6"/>
        <v>9.1999999999999993</v>
      </c>
      <c r="E53" s="45">
        <f t="shared" si="6"/>
        <v>75.3</v>
      </c>
      <c r="F53" s="45">
        <f t="shared" si="6"/>
        <v>54.7</v>
      </c>
      <c r="G53" s="45">
        <f t="shared" si="6"/>
        <v>135.9</v>
      </c>
      <c r="H53" s="45">
        <f t="shared" si="6"/>
        <v>44.8</v>
      </c>
      <c r="I53" s="45">
        <f t="shared" si="6"/>
        <v>117.6</v>
      </c>
      <c r="J53" s="45">
        <f t="shared" si="6"/>
        <v>230</v>
      </c>
      <c r="K53" s="45">
        <f t="shared" si="6"/>
        <v>250.8</v>
      </c>
      <c r="L53" s="45">
        <f t="shared" si="6"/>
        <v>49.5</v>
      </c>
      <c r="M53" s="45">
        <f t="shared" si="6"/>
        <v>67.900000000000006</v>
      </c>
      <c r="N53" s="48">
        <f t="shared" si="6"/>
        <v>5.4</v>
      </c>
      <c r="O53" s="37">
        <f t="shared" si="7"/>
        <v>1058.9000000000001</v>
      </c>
      <c r="P53" s="22">
        <f t="shared" si="8"/>
        <v>88.2</v>
      </c>
    </row>
    <row r="54" spans="2:16" ht="21.95" customHeight="1">
      <c r="B54" s="41" t="s">
        <v>19</v>
      </c>
      <c r="C54" s="42">
        <f>MAX(C44:C53)</f>
        <v>59.7</v>
      </c>
      <c r="D54" s="42">
        <f t="shared" ref="D54:P54" si="9">MAX(D44:D53)</f>
        <v>63.1</v>
      </c>
      <c r="E54" s="42">
        <f t="shared" si="9"/>
        <v>75.3</v>
      </c>
      <c r="F54" s="42">
        <f t="shared" si="9"/>
        <v>118.3</v>
      </c>
      <c r="G54" s="42">
        <f t="shared" si="9"/>
        <v>135.9</v>
      </c>
      <c r="H54" s="42">
        <f t="shared" si="9"/>
        <v>121.9</v>
      </c>
      <c r="I54" s="42">
        <f t="shared" si="9"/>
        <v>788.1</v>
      </c>
      <c r="J54" s="42">
        <f t="shared" si="9"/>
        <v>483.7</v>
      </c>
      <c r="K54" s="42">
        <f t="shared" si="9"/>
        <v>250.8</v>
      </c>
      <c r="L54" s="42">
        <f t="shared" si="9"/>
        <v>119.5</v>
      </c>
      <c r="M54" s="42">
        <f t="shared" si="9"/>
        <v>128.6</v>
      </c>
      <c r="N54" s="43">
        <f t="shared" si="9"/>
        <v>56</v>
      </c>
      <c r="O54" s="46">
        <f t="shared" si="9"/>
        <v>1443.5</v>
      </c>
      <c r="P54" s="43">
        <f t="shared" si="9"/>
        <v>120.3</v>
      </c>
    </row>
    <row r="55" spans="2:16" ht="21.95" customHeight="1">
      <c r="B55" s="33" t="s">
        <v>20</v>
      </c>
      <c r="C55" s="6">
        <f>MIN(C44:C53)</f>
        <v>0.6</v>
      </c>
      <c r="D55" s="6">
        <f t="shared" ref="D55:P55" si="10">MIN(D44:D53)</f>
        <v>2.2999999999999998</v>
      </c>
      <c r="E55" s="6">
        <f t="shared" si="10"/>
        <v>6.5</v>
      </c>
      <c r="F55" s="6">
        <f t="shared" si="10"/>
        <v>15.1</v>
      </c>
      <c r="G55" s="6">
        <f t="shared" si="10"/>
        <v>14.3</v>
      </c>
      <c r="H55" s="6">
        <f t="shared" si="10"/>
        <v>15.6</v>
      </c>
      <c r="I55" s="6">
        <f t="shared" si="10"/>
        <v>117.6</v>
      </c>
      <c r="J55" s="6">
        <f t="shared" si="10"/>
        <v>64.2</v>
      </c>
      <c r="K55" s="6">
        <f t="shared" si="10"/>
        <v>29</v>
      </c>
      <c r="L55" s="6">
        <f t="shared" si="10"/>
        <v>12.2</v>
      </c>
      <c r="M55" s="6">
        <f t="shared" si="10"/>
        <v>23.8</v>
      </c>
      <c r="N55" s="13">
        <f t="shared" si="10"/>
        <v>5.4</v>
      </c>
      <c r="O55" s="8">
        <f>MIN(O44:O53)</f>
        <v>728</v>
      </c>
      <c r="P55" s="13">
        <f t="shared" si="10"/>
        <v>60.7</v>
      </c>
    </row>
    <row r="56" spans="2:16" ht="21.95" customHeight="1" thickBot="1">
      <c r="B56" s="34" t="s">
        <v>7</v>
      </c>
      <c r="C56" s="35">
        <f>ROUND(AVERAGE(C44:C53),1)</f>
        <v>17.5</v>
      </c>
      <c r="D56" s="35">
        <f t="shared" ref="D56:N56" si="11">ROUND(AVERAGE(D44:D53),1)</f>
        <v>27.9</v>
      </c>
      <c r="E56" s="35">
        <f t="shared" si="11"/>
        <v>35.799999999999997</v>
      </c>
      <c r="F56" s="35">
        <f t="shared" si="11"/>
        <v>68</v>
      </c>
      <c r="G56" s="35">
        <f t="shared" si="11"/>
        <v>64.400000000000006</v>
      </c>
      <c r="H56" s="35">
        <f t="shared" si="11"/>
        <v>72.900000000000006</v>
      </c>
      <c r="I56" s="35">
        <f t="shared" si="11"/>
        <v>298.3</v>
      </c>
      <c r="J56" s="35">
        <f t="shared" si="11"/>
        <v>239.9</v>
      </c>
      <c r="K56" s="35">
        <f t="shared" si="11"/>
        <v>122.4</v>
      </c>
      <c r="L56" s="35">
        <f t="shared" si="11"/>
        <v>62.7</v>
      </c>
      <c r="M56" s="35">
        <f t="shared" si="11"/>
        <v>60.8</v>
      </c>
      <c r="N56" s="22">
        <f t="shared" si="11"/>
        <v>29.5</v>
      </c>
      <c r="O56" s="37">
        <f>ROUND(AVERAGE(O44:O53),1)</f>
        <v>1100.2</v>
      </c>
      <c r="P56" s="22">
        <f>ROUND(AVERAGE(P44:P53),1)</f>
        <v>91.7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27FA0-0109-4002-8074-0DD9DF2F2859}">
  <sheetPr codeName="Sheet14">
    <tabColor rgb="FF00B050"/>
  </sheetPr>
  <dimension ref="A2:Q983"/>
  <sheetViews>
    <sheetView zoomScaleNormal="100" workbookViewId="0">
      <selection activeCell="S16" sqref="S16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2" t="s">
        <v>151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3">
        <v>1992</v>
      </c>
      <c r="C6" s="66">
        <v>3.4</v>
      </c>
      <c r="D6" s="66">
        <v>21.7</v>
      </c>
      <c r="E6" s="66">
        <v>21.2</v>
      </c>
      <c r="F6" s="66">
        <v>68.2</v>
      </c>
      <c r="G6" s="66">
        <v>67</v>
      </c>
      <c r="H6" s="66">
        <v>79.2</v>
      </c>
      <c r="I6" s="66">
        <v>58</v>
      </c>
      <c r="J6" s="67">
        <v>344.9</v>
      </c>
      <c r="K6" s="66">
        <v>195.5</v>
      </c>
      <c r="L6" s="66">
        <v>32.1</v>
      </c>
      <c r="M6" s="66">
        <v>50.7</v>
      </c>
      <c r="N6" s="68">
        <v>75.7</v>
      </c>
      <c r="O6" s="19">
        <f t="shared" ref="O6:O35" si="0">ROUND(SUM(C6:N6),1)</f>
        <v>1017.6</v>
      </c>
      <c r="P6" s="18">
        <f>ROUND(O6/12,1)</f>
        <v>84.8</v>
      </c>
      <c r="Q6" s="4"/>
    </row>
    <row r="7" spans="2:17" ht="21.95" customHeight="1">
      <c r="B7" s="64">
        <v>1993</v>
      </c>
      <c r="C7" s="69">
        <v>9.1999999999999993</v>
      </c>
      <c r="D7" s="69">
        <v>68.2</v>
      </c>
      <c r="E7" s="69">
        <v>27.4</v>
      </c>
      <c r="F7" s="69">
        <v>45.2</v>
      </c>
      <c r="G7" s="69">
        <v>50.7</v>
      </c>
      <c r="H7" s="69">
        <v>151.80000000000001</v>
      </c>
      <c r="I7" s="69">
        <v>393.1</v>
      </c>
      <c r="J7" s="70">
        <v>95</v>
      </c>
      <c r="K7" s="69">
        <v>81.7</v>
      </c>
      <c r="L7" s="69">
        <v>31.5</v>
      </c>
      <c r="M7" s="69">
        <v>105.1</v>
      </c>
      <c r="N7" s="71">
        <v>34.700000000000003</v>
      </c>
      <c r="O7" s="19">
        <f t="shared" si="0"/>
        <v>1093.5999999999999</v>
      </c>
      <c r="P7" s="14">
        <f t="shared" ref="P7:P35" si="1">ROUND(O7/12,1)</f>
        <v>91.1</v>
      </c>
      <c r="Q7" s="4"/>
    </row>
    <row r="8" spans="2:17" ht="21.95" customHeight="1">
      <c r="B8" s="64">
        <v>1994</v>
      </c>
      <c r="C8" s="69">
        <v>14.6</v>
      </c>
      <c r="D8" s="69">
        <v>5.9</v>
      </c>
      <c r="E8" s="69">
        <v>65.599999999999994</v>
      </c>
      <c r="F8" s="69">
        <v>32.4</v>
      </c>
      <c r="G8" s="69">
        <v>156</v>
      </c>
      <c r="H8" s="69">
        <v>167.8</v>
      </c>
      <c r="I8" s="69">
        <v>107.1</v>
      </c>
      <c r="J8" s="69">
        <v>309.7</v>
      </c>
      <c r="K8" s="69">
        <v>99.2</v>
      </c>
      <c r="L8" s="69">
        <v>216.3</v>
      </c>
      <c r="M8" s="69">
        <v>23.3</v>
      </c>
      <c r="N8" s="71">
        <v>36.6</v>
      </c>
      <c r="O8" s="19">
        <f t="shared" si="0"/>
        <v>1234.5</v>
      </c>
      <c r="P8" s="14">
        <f t="shared" si="1"/>
        <v>102.9</v>
      </c>
      <c r="Q8" s="4"/>
    </row>
    <row r="9" spans="2:17" ht="21.95" customHeight="1">
      <c r="B9" s="64">
        <v>1995</v>
      </c>
      <c r="C9" s="69">
        <v>22.7</v>
      </c>
      <c r="D9" s="69">
        <v>7.2</v>
      </c>
      <c r="E9" s="69">
        <v>37.299999999999997</v>
      </c>
      <c r="F9" s="69">
        <v>48.2</v>
      </c>
      <c r="G9" s="69">
        <v>67.099999999999994</v>
      </c>
      <c r="H9" s="69">
        <v>24.5</v>
      </c>
      <c r="I9" s="69">
        <v>144.1</v>
      </c>
      <c r="J9" s="69">
        <v>992.7</v>
      </c>
      <c r="K9" s="69">
        <v>20.2</v>
      </c>
      <c r="L9" s="69">
        <v>19.3</v>
      </c>
      <c r="M9" s="69">
        <v>49.9</v>
      </c>
      <c r="N9" s="71">
        <v>15.1</v>
      </c>
      <c r="O9" s="19">
        <f t="shared" si="0"/>
        <v>1448.3</v>
      </c>
      <c r="P9" s="14">
        <f t="shared" si="1"/>
        <v>120.7</v>
      </c>
      <c r="Q9" s="4"/>
    </row>
    <row r="10" spans="2:17" ht="21.95" customHeight="1">
      <c r="B10" s="64">
        <v>1996</v>
      </c>
      <c r="C10" s="69">
        <v>29.1</v>
      </c>
      <c r="D10" s="69">
        <v>5.7</v>
      </c>
      <c r="E10" s="69">
        <v>115.1</v>
      </c>
      <c r="F10" s="69">
        <v>48.1</v>
      </c>
      <c r="G10" s="69">
        <v>20</v>
      </c>
      <c r="H10" s="69">
        <v>179.2</v>
      </c>
      <c r="I10" s="69">
        <v>152.80000000000001</v>
      </c>
      <c r="J10" s="69">
        <v>74.099999999999994</v>
      </c>
      <c r="K10" s="69">
        <v>6.4</v>
      </c>
      <c r="L10" s="69">
        <v>92.2</v>
      </c>
      <c r="M10" s="69">
        <v>72.099999999999994</v>
      </c>
      <c r="N10" s="71">
        <v>35.299999999999997</v>
      </c>
      <c r="O10" s="19">
        <f t="shared" si="0"/>
        <v>830.1</v>
      </c>
      <c r="P10" s="14">
        <f t="shared" si="1"/>
        <v>69.2</v>
      </c>
      <c r="Q10" s="4"/>
    </row>
    <row r="11" spans="2:17" ht="21.95" customHeight="1">
      <c r="B11" s="64">
        <v>1997</v>
      </c>
      <c r="C11" s="69">
        <v>20.5</v>
      </c>
      <c r="D11" s="69">
        <v>32.5</v>
      </c>
      <c r="E11" s="69">
        <v>29.6</v>
      </c>
      <c r="F11" s="69">
        <v>69.5</v>
      </c>
      <c r="G11" s="69">
        <v>232.8</v>
      </c>
      <c r="H11" s="69">
        <v>204.4</v>
      </c>
      <c r="I11" s="69">
        <v>298.7</v>
      </c>
      <c r="J11" s="69">
        <v>87.2</v>
      </c>
      <c r="K11" s="69">
        <v>16.100000000000001</v>
      </c>
      <c r="L11" s="69">
        <v>8.6999999999999993</v>
      </c>
      <c r="M11" s="69">
        <v>116.7</v>
      </c>
      <c r="N11" s="71">
        <v>40.200000000000003</v>
      </c>
      <c r="O11" s="19">
        <f t="shared" si="0"/>
        <v>1156.9000000000001</v>
      </c>
      <c r="P11" s="14">
        <f t="shared" si="1"/>
        <v>96.4</v>
      </c>
      <c r="Q11" s="4"/>
    </row>
    <row r="12" spans="2:17" ht="21.95" customHeight="1">
      <c r="B12" s="64">
        <v>1998</v>
      </c>
      <c r="C12" s="69">
        <v>40.1</v>
      </c>
      <c r="D12" s="69">
        <v>54.2</v>
      </c>
      <c r="E12" s="69">
        <v>35</v>
      </c>
      <c r="F12" s="69">
        <v>160.6</v>
      </c>
      <c r="G12" s="69">
        <v>95.5</v>
      </c>
      <c r="H12" s="69">
        <v>281.7</v>
      </c>
      <c r="I12" s="69">
        <v>295.60000000000002</v>
      </c>
      <c r="J12" s="69">
        <v>491.8</v>
      </c>
      <c r="K12" s="69">
        <v>168</v>
      </c>
      <c r="L12" s="69">
        <v>24.3</v>
      </c>
      <c r="M12" s="69">
        <v>55.6</v>
      </c>
      <c r="N12" s="71">
        <v>9.1999999999999993</v>
      </c>
      <c r="O12" s="19">
        <f t="shared" si="0"/>
        <v>1711.6</v>
      </c>
      <c r="P12" s="14">
        <f t="shared" si="1"/>
        <v>142.6</v>
      </c>
    </row>
    <row r="13" spans="2:17" ht="21.95" customHeight="1">
      <c r="B13" s="64">
        <v>1999</v>
      </c>
      <c r="C13" s="69">
        <v>8</v>
      </c>
      <c r="D13" s="69">
        <v>7.8</v>
      </c>
      <c r="E13" s="69">
        <v>59.9</v>
      </c>
      <c r="F13" s="69">
        <v>90.1</v>
      </c>
      <c r="G13" s="69">
        <v>178.8</v>
      </c>
      <c r="H13" s="69">
        <v>105.1</v>
      </c>
      <c r="I13" s="69">
        <v>175.6</v>
      </c>
      <c r="J13" s="69">
        <v>497.4</v>
      </c>
      <c r="K13" s="69">
        <v>532.6</v>
      </c>
      <c r="L13" s="69">
        <v>111.3</v>
      </c>
      <c r="M13" s="69">
        <v>36.6</v>
      </c>
      <c r="N13" s="71">
        <v>23.4</v>
      </c>
      <c r="O13" s="19">
        <f t="shared" si="0"/>
        <v>1826.6</v>
      </c>
      <c r="P13" s="14">
        <f t="shared" si="1"/>
        <v>152.19999999999999</v>
      </c>
    </row>
    <row r="14" spans="2:17" ht="21.95" customHeight="1">
      <c r="B14" s="64">
        <v>2000</v>
      </c>
      <c r="C14" s="69">
        <v>63</v>
      </c>
      <c r="D14" s="69">
        <v>2.9</v>
      </c>
      <c r="E14" s="69">
        <v>3.7</v>
      </c>
      <c r="F14" s="69">
        <v>38.1</v>
      </c>
      <c r="G14" s="69">
        <v>62.1</v>
      </c>
      <c r="H14" s="69">
        <v>204.4</v>
      </c>
      <c r="I14" s="69">
        <v>60.8</v>
      </c>
      <c r="J14" s="69">
        <v>608.1</v>
      </c>
      <c r="K14" s="69">
        <v>298.10000000000002</v>
      </c>
      <c r="L14" s="69">
        <v>34.4</v>
      </c>
      <c r="M14" s="69">
        <v>24.8</v>
      </c>
      <c r="N14" s="71">
        <v>24.4</v>
      </c>
      <c r="O14" s="19">
        <f t="shared" si="0"/>
        <v>1424.8</v>
      </c>
      <c r="P14" s="14">
        <f t="shared" si="1"/>
        <v>118.7</v>
      </c>
    </row>
    <row r="15" spans="2:17" ht="21.95" customHeight="1">
      <c r="B15" s="64">
        <v>2001</v>
      </c>
      <c r="C15" s="69">
        <v>66.900000000000006</v>
      </c>
      <c r="D15" s="69">
        <v>40.4</v>
      </c>
      <c r="E15" s="69">
        <v>12.7</v>
      </c>
      <c r="F15" s="69">
        <v>18.7</v>
      </c>
      <c r="G15" s="69">
        <v>17.8</v>
      </c>
      <c r="H15" s="69">
        <v>200.2</v>
      </c>
      <c r="I15" s="69">
        <v>402</v>
      </c>
      <c r="J15" s="69">
        <v>136.6</v>
      </c>
      <c r="K15" s="69">
        <v>15</v>
      </c>
      <c r="L15" s="69">
        <v>47.5</v>
      </c>
      <c r="M15" s="69">
        <v>8.1999999999999993</v>
      </c>
      <c r="N15" s="71">
        <v>20.8</v>
      </c>
      <c r="O15" s="19">
        <f t="shared" si="0"/>
        <v>986.8</v>
      </c>
      <c r="P15" s="14">
        <f t="shared" si="1"/>
        <v>82.2</v>
      </c>
    </row>
    <row r="16" spans="2:17" ht="21.95" customHeight="1">
      <c r="B16" s="64">
        <v>2002</v>
      </c>
      <c r="C16" s="69">
        <v>22.5</v>
      </c>
      <c r="D16" s="69">
        <v>7</v>
      </c>
      <c r="E16" s="69">
        <v>29.3</v>
      </c>
      <c r="F16" s="69">
        <v>179.5</v>
      </c>
      <c r="G16" s="69">
        <v>177.3</v>
      </c>
      <c r="H16" s="69">
        <v>60.8</v>
      </c>
      <c r="I16" s="69">
        <v>296.10000000000002</v>
      </c>
      <c r="J16" s="69">
        <v>428.2</v>
      </c>
      <c r="K16" s="69">
        <v>57.5</v>
      </c>
      <c r="L16" s="69">
        <v>78.3</v>
      </c>
      <c r="M16" s="69">
        <v>36.299999999999997</v>
      </c>
      <c r="N16" s="71">
        <v>14.8</v>
      </c>
      <c r="O16" s="19">
        <f t="shared" si="0"/>
        <v>1387.6</v>
      </c>
      <c r="P16" s="14">
        <f t="shared" si="1"/>
        <v>115.6</v>
      </c>
    </row>
    <row r="17" spans="2:16" ht="21.95" customHeight="1">
      <c r="B17" s="64">
        <v>2003</v>
      </c>
      <c r="C17" s="69">
        <v>20.9</v>
      </c>
      <c r="D17" s="69">
        <v>39</v>
      </c>
      <c r="E17" s="69">
        <v>22.5</v>
      </c>
      <c r="F17" s="69">
        <v>180</v>
      </c>
      <c r="G17" s="69">
        <v>105.5</v>
      </c>
      <c r="H17" s="69">
        <v>221.8</v>
      </c>
      <c r="I17" s="69">
        <v>290.2</v>
      </c>
      <c r="J17" s="69">
        <v>257.89999999999998</v>
      </c>
      <c r="K17" s="69">
        <v>201.9</v>
      </c>
      <c r="L17" s="69">
        <v>23</v>
      </c>
      <c r="M17" s="69">
        <v>53.6</v>
      </c>
      <c r="N17" s="71">
        <v>17.100000000000001</v>
      </c>
      <c r="O17" s="19">
        <f t="shared" si="0"/>
        <v>1433.4</v>
      </c>
      <c r="P17" s="14">
        <f t="shared" si="1"/>
        <v>119.5</v>
      </c>
    </row>
    <row r="18" spans="2:16" ht="21.95" customHeight="1">
      <c r="B18" s="64">
        <v>2004</v>
      </c>
      <c r="C18" s="69">
        <v>27.3</v>
      </c>
      <c r="D18" s="69">
        <v>26.3</v>
      </c>
      <c r="E18" s="69">
        <v>15.7</v>
      </c>
      <c r="F18" s="69">
        <v>80.2</v>
      </c>
      <c r="G18" s="69">
        <v>140.30000000000001</v>
      </c>
      <c r="H18" s="69">
        <v>211.1</v>
      </c>
      <c r="I18" s="69">
        <v>321.89999999999998</v>
      </c>
      <c r="J18" s="69">
        <v>131.19999999999999</v>
      </c>
      <c r="K18" s="69">
        <v>282.60000000000002</v>
      </c>
      <c r="L18" s="69">
        <v>1.8</v>
      </c>
      <c r="M18" s="69">
        <v>70.5</v>
      </c>
      <c r="N18" s="71">
        <v>32</v>
      </c>
      <c r="O18" s="19">
        <f t="shared" si="0"/>
        <v>1340.9</v>
      </c>
      <c r="P18" s="14">
        <f t="shared" si="1"/>
        <v>111.7</v>
      </c>
    </row>
    <row r="19" spans="2:16" ht="21.95" customHeight="1">
      <c r="B19" s="64">
        <v>2005</v>
      </c>
      <c r="C19" s="69">
        <v>10.4</v>
      </c>
      <c r="D19" s="69">
        <v>34</v>
      </c>
      <c r="E19" s="69">
        <v>36.1</v>
      </c>
      <c r="F19" s="69">
        <v>77.2</v>
      </c>
      <c r="G19" s="69">
        <v>56.1</v>
      </c>
      <c r="H19" s="69">
        <v>147</v>
      </c>
      <c r="I19" s="69">
        <v>386.1</v>
      </c>
      <c r="J19" s="69">
        <v>270.5</v>
      </c>
      <c r="K19" s="69">
        <v>228.7</v>
      </c>
      <c r="L19" s="69">
        <v>30.9</v>
      </c>
      <c r="M19" s="69">
        <v>19.600000000000001</v>
      </c>
      <c r="N19" s="71">
        <v>37.6</v>
      </c>
      <c r="O19" s="19">
        <f t="shared" si="0"/>
        <v>1334.2</v>
      </c>
      <c r="P19" s="14">
        <f t="shared" si="1"/>
        <v>111.2</v>
      </c>
    </row>
    <row r="20" spans="2:16" ht="21.95" customHeight="1">
      <c r="B20" s="64">
        <v>2006</v>
      </c>
      <c r="C20" s="69">
        <v>29.7</v>
      </c>
      <c r="D20" s="69">
        <v>18.899999999999999</v>
      </c>
      <c r="E20" s="69">
        <v>5</v>
      </c>
      <c r="F20" s="69">
        <v>77.3</v>
      </c>
      <c r="G20" s="69">
        <v>133.5</v>
      </c>
      <c r="H20" s="69">
        <v>226.8</v>
      </c>
      <c r="I20" s="69">
        <v>494.5</v>
      </c>
      <c r="J20" s="69">
        <v>58.2</v>
      </c>
      <c r="K20" s="69">
        <v>10.1</v>
      </c>
      <c r="L20" s="69">
        <v>10.5</v>
      </c>
      <c r="M20" s="69">
        <v>55</v>
      </c>
      <c r="N20" s="71">
        <v>19.7</v>
      </c>
      <c r="O20" s="19">
        <f t="shared" si="0"/>
        <v>1139.2</v>
      </c>
      <c r="P20" s="14">
        <f t="shared" si="1"/>
        <v>94.9</v>
      </c>
    </row>
    <row r="21" spans="2:16" ht="21.95" customHeight="1">
      <c r="B21" s="64">
        <v>2007</v>
      </c>
      <c r="C21" s="69">
        <v>13</v>
      </c>
      <c r="D21" s="69">
        <v>25.5</v>
      </c>
      <c r="E21" s="69">
        <v>127.2</v>
      </c>
      <c r="F21" s="69">
        <v>28.1</v>
      </c>
      <c r="G21" s="69">
        <v>108.5</v>
      </c>
      <c r="H21" s="69">
        <v>123.5</v>
      </c>
      <c r="I21" s="69">
        <v>257</v>
      </c>
      <c r="J21" s="69">
        <v>414.6</v>
      </c>
      <c r="K21" s="69">
        <v>305.8</v>
      </c>
      <c r="L21" s="69">
        <v>30.7</v>
      </c>
      <c r="M21" s="69">
        <v>14.4</v>
      </c>
      <c r="N21" s="71">
        <v>22.8</v>
      </c>
      <c r="O21" s="19">
        <f t="shared" si="0"/>
        <v>1471.1</v>
      </c>
      <c r="P21" s="14">
        <f t="shared" si="1"/>
        <v>122.6</v>
      </c>
    </row>
    <row r="22" spans="2:16" ht="21.95" customHeight="1">
      <c r="B22" s="64">
        <v>2008</v>
      </c>
      <c r="C22" s="69">
        <v>15</v>
      </c>
      <c r="D22" s="69">
        <v>7</v>
      </c>
      <c r="E22" s="69">
        <v>26</v>
      </c>
      <c r="F22" s="69">
        <v>46.1</v>
      </c>
      <c r="G22" s="69">
        <v>88.5</v>
      </c>
      <c r="H22" s="69">
        <v>118.1</v>
      </c>
      <c r="I22" s="69">
        <v>335.5</v>
      </c>
      <c r="J22" s="69">
        <v>114.2</v>
      </c>
      <c r="K22" s="69">
        <v>62.7</v>
      </c>
      <c r="L22" s="69">
        <v>34</v>
      </c>
      <c r="M22" s="69">
        <v>34.6</v>
      </c>
      <c r="N22" s="71">
        <v>27.9</v>
      </c>
      <c r="O22" s="19">
        <f t="shared" si="0"/>
        <v>909.6</v>
      </c>
      <c r="P22" s="14">
        <f t="shared" si="1"/>
        <v>75.8</v>
      </c>
    </row>
    <row r="23" spans="2:16" ht="21.95" customHeight="1">
      <c r="B23" s="64">
        <v>2009</v>
      </c>
      <c r="C23" s="69">
        <v>15.2</v>
      </c>
      <c r="D23" s="69">
        <v>26.5</v>
      </c>
      <c r="E23" s="69">
        <v>67</v>
      </c>
      <c r="F23" s="69">
        <v>43</v>
      </c>
      <c r="G23" s="69">
        <v>117.9</v>
      </c>
      <c r="H23" s="69">
        <v>74.900000000000006</v>
      </c>
      <c r="I23" s="69">
        <v>364.9</v>
      </c>
      <c r="J23" s="69">
        <v>196.3</v>
      </c>
      <c r="K23" s="69">
        <v>16</v>
      </c>
      <c r="L23" s="69">
        <v>49.2</v>
      </c>
      <c r="M23" s="69">
        <v>59.1</v>
      </c>
      <c r="N23" s="71">
        <v>44.3</v>
      </c>
      <c r="O23" s="19">
        <f t="shared" si="0"/>
        <v>1074.3</v>
      </c>
      <c r="P23" s="14">
        <f t="shared" si="1"/>
        <v>89.5</v>
      </c>
    </row>
    <row r="24" spans="2:16" ht="21.95" customHeight="1">
      <c r="B24" s="64">
        <v>2010</v>
      </c>
      <c r="C24" s="69">
        <v>55.5</v>
      </c>
      <c r="D24" s="69">
        <v>58.4</v>
      </c>
      <c r="E24" s="69">
        <v>79.2</v>
      </c>
      <c r="F24" s="69">
        <v>52.2</v>
      </c>
      <c r="G24" s="69">
        <v>168</v>
      </c>
      <c r="H24" s="69">
        <v>94.9</v>
      </c>
      <c r="I24" s="69">
        <v>447.1</v>
      </c>
      <c r="J24" s="69">
        <v>707</v>
      </c>
      <c r="K24" s="69">
        <v>402</v>
      </c>
      <c r="L24" s="69">
        <v>29.1</v>
      </c>
      <c r="M24" s="69">
        <v>12</v>
      </c>
      <c r="N24" s="71">
        <v>36.4</v>
      </c>
      <c r="O24" s="19">
        <f t="shared" si="0"/>
        <v>2141.8000000000002</v>
      </c>
      <c r="P24" s="14">
        <f t="shared" si="1"/>
        <v>178.5</v>
      </c>
    </row>
    <row r="25" spans="2:16" ht="21.95" customHeight="1">
      <c r="B25" s="64">
        <v>2011</v>
      </c>
      <c r="C25" s="69">
        <v>8.8000000000000007</v>
      </c>
      <c r="D25" s="69">
        <v>55.8</v>
      </c>
      <c r="E25" s="69">
        <v>34.5</v>
      </c>
      <c r="F25" s="69">
        <v>96.2</v>
      </c>
      <c r="G25" s="69">
        <v>107.9</v>
      </c>
      <c r="H25" s="69">
        <v>462.6</v>
      </c>
      <c r="I25" s="69">
        <v>656.5</v>
      </c>
      <c r="J25" s="69">
        <v>151.19999999999999</v>
      </c>
      <c r="K25" s="69">
        <v>50.3</v>
      </c>
      <c r="L25" s="69">
        <v>18.100000000000001</v>
      </c>
      <c r="M25" s="69">
        <v>48.9</v>
      </c>
      <c r="N25" s="71">
        <v>13.6</v>
      </c>
      <c r="O25" s="19">
        <f t="shared" si="0"/>
        <v>1704.4</v>
      </c>
      <c r="P25" s="14">
        <f t="shared" si="1"/>
        <v>142</v>
      </c>
    </row>
    <row r="26" spans="2:16" ht="21.95" customHeight="1">
      <c r="B26" s="64">
        <v>2012</v>
      </c>
      <c r="C26" s="69">
        <v>15.1</v>
      </c>
      <c r="D26" s="69">
        <v>2.4</v>
      </c>
      <c r="E26" s="69">
        <v>41.6</v>
      </c>
      <c r="F26" s="69">
        <v>113.5</v>
      </c>
      <c r="G26" s="69">
        <v>14.5</v>
      </c>
      <c r="H26" s="69">
        <v>91.1</v>
      </c>
      <c r="I26" s="69">
        <v>266.8</v>
      </c>
      <c r="J26" s="69">
        <v>647.9</v>
      </c>
      <c r="K26" s="69">
        <v>201.5</v>
      </c>
      <c r="L26" s="69">
        <v>100.7</v>
      </c>
      <c r="M26" s="69">
        <v>82.1</v>
      </c>
      <c r="N26" s="71">
        <v>65.400000000000006</v>
      </c>
      <c r="O26" s="19">
        <f t="shared" si="0"/>
        <v>1642.6</v>
      </c>
      <c r="P26" s="14">
        <f t="shared" si="1"/>
        <v>136.9</v>
      </c>
    </row>
    <row r="27" spans="2:16" ht="21.95" customHeight="1">
      <c r="B27" s="64">
        <v>2013</v>
      </c>
      <c r="C27" s="69">
        <v>36.799999999999997</v>
      </c>
      <c r="D27" s="69">
        <v>64.8</v>
      </c>
      <c r="E27" s="69">
        <v>60.8</v>
      </c>
      <c r="F27" s="69">
        <v>61.8</v>
      </c>
      <c r="G27" s="69">
        <v>114.9</v>
      </c>
      <c r="H27" s="69">
        <v>94.4</v>
      </c>
      <c r="I27" s="69">
        <v>213.8</v>
      </c>
      <c r="J27" s="69">
        <v>120.6</v>
      </c>
      <c r="K27" s="69">
        <v>147.4</v>
      </c>
      <c r="L27" s="69">
        <v>5.7</v>
      </c>
      <c r="M27" s="69">
        <v>64.900000000000006</v>
      </c>
      <c r="N27" s="71">
        <v>32.799999999999997</v>
      </c>
      <c r="O27" s="19">
        <f t="shared" si="0"/>
        <v>1018.7</v>
      </c>
      <c r="P27" s="14">
        <f t="shared" si="1"/>
        <v>84.9</v>
      </c>
    </row>
    <row r="28" spans="2:16" ht="21.95" customHeight="1">
      <c r="B28" s="64">
        <v>2014</v>
      </c>
      <c r="C28" s="69">
        <v>7</v>
      </c>
      <c r="D28" s="69">
        <v>17</v>
      </c>
      <c r="E28" s="69">
        <v>31.2</v>
      </c>
      <c r="F28" s="69">
        <v>85.6</v>
      </c>
      <c r="G28" s="69">
        <v>52.7</v>
      </c>
      <c r="H28" s="69">
        <v>69.3</v>
      </c>
      <c r="I28" s="69">
        <v>151.69999999999999</v>
      </c>
      <c r="J28" s="69">
        <v>242.3</v>
      </c>
      <c r="K28" s="69">
        <v>106.7</v>
      </c>
      <c r="L28" s="69">
        <v>117.2</v>
      </c>
      <c r="M28" s="69">
        <v>37.799999999999997</v>
      </c>
      <c r="N28" s="71">
        <v>81.599999999999994</v>
      </c>
      <c r="O28" s="19">
        <f t="shared" si="0"/>
        <v>1000.1</v>
      </c>
      <c r="P28" s="14">
        <f t="shared" si="1"/>
        <v>83.3</v>
      </c>
    </row>
    <row r="29" spans="2:16" ht="21.95" customHeight="1">
      <c r="B29" s="64">
        <v>2015</v>
      </c>
      <c r="C29" s="69">
        <v>20.7</v>
      </c>
      <c r="D29" s="69">
        <v>23.1</v>
      </c>
      <c r="E29" s="69">
        <v>20.6</v>
      </c>
      <c r="F29" s="69">
        <v>116.8</v>
      </c>
      <c r="G29" s="69">
        <v>40.6</v>
      </c>
      <c r="H29" s="69">
        <v>64.099999999999994</v>
      </c>
      <c r="I29" s="69">
        <v>158.5</v>
      </c>
      <c r="J29" s="69">
        <v>63.1</v>
      </c>
      <c r="K29" s="69">
        <v>15.1</v>
      </c>
      <c r="L29" s="69">
        <v>73.099999999999994</v>
      </c>
      <c r="M29" s="69">
        <v>156.6</v>
      </c>
      <c r="N29" s="71">
        <v>63.6</v>
      </c>
      <c r="O29" s="19">
        <f t="shared" si="0"/>
        <v>815.9</v>
      </c>
      <c r="P29" s="14">
        <f t="shared" si="1"/>
        <v>68</v>
      </c>
    </row>
    <row r="30" spans="2:16" ht="21.95" customHeight="1">
      <c r="B30" s="64">
        <v>2016</v>
      </c>
      <c r="C30" s="69">
        <v>21.9</v>
      </c>
      <c r="D30" s="69">
        <v>61.7</v>
      </c>
      <c r="E30" s="69">
        <v>24.3</v>
      </c>
      <c r="F30" s="69">
        <v>87</v>
      </c>
      <c r="G30" s="69">
        <v>153.69999999999999</v>
      </c>
      <c r="H30" s="69">
        <v>36.799999999999997</v>
      </c>
      <c r="I30" s="69">
        <v>295.60000000000002</v>
      </c>
      <c r="J30" s="69">
        <v>34</v>
      </c>
      <c r="K30" s="69">
        <v>53.1</v>
      </c>
      <c r="L30" s="69">
        <v>73.8</v>
      </c>
      <c r="M30" s="69">
        <v>17.5</v>
      </c>
      <c r="N30" s="71">
        <v>62.7</v>
      </c>
      <c r="O30" s="19">
        <f t="shared" si="0"/>
        <v>922.1</v>
      </c>
      <c r="P30" s="14">
        <f t="shared" si="1"/>
        <v>76.8</v>
      </c>
    </row>
    <row r="31" spans="2:16" ht="21.95" customHeight="1">
      <c r="B31" s="64">
        <v>2017</v>
      </c>
      <c r="C31" s="69">
        <v>21.3</v>
      </c>
      <c r="D31" s="69">
        <v>31.4</v>
      </c>
      <c r="E31" s="69">
        <v>4.8</v>
      </c>
      <c r="F31" s="69">
        <v>38.9</v>
      </c>
      <c r="G31" s="69">
        <v>27.9</v>
      </c>
      <c r="H31" s="69">
        <v>23.3</v>
      </c>
      <c r="I31" s="69">
        <v>327.8</v>
      </c>
      <c r="J31" s="69">
        <v>231.3</v>
      </c>
      <c r="K31" s="69">
        <v>37.6</v>
      </c>
      <c r="L31" s="69">
        <v>25.5</v>
      </c>
      <c r="M31" s="69">
        <v>24.7</v>
      </c>
      <c r="N31" s="71">
        <v>35.9</v>
      </c>
      <c r="O31" s="19">
        <f t="shared" si="0"/>
        <v>830.4</v>
      </c>
      <c r="P31" s="14">
        <f t="shared" si="1"/>
        <v>69.2</v>
      </c>
    </row>
    <row r="32" spans="2:16" ht="21.95" customHeight="1">
      <c r="B32" s="64">
        <v>2018</v>
      </c>
      <c r="C32" s="69">
        <v>21</v>
      </c>
      <c r="D32" s="69">
        <v>40.5</v>
      </c>
      <c r="E32" s="69">
        <v>76.599999999999994</v>
      </c>
      <c r="F32" s="69">
        <v>132.80000000000001</v>
      </c>
      <c r="G32" s="69">
        <v>147.69999999999999</v>
      </c>
      <c r="H32" s="69">
        <v>162.30000000000001</v>
      </c>
      <c r="I32" s="69">
        <v>152.9</v>
      </c>
      <c r="J32" s="69">
        <v>156.80000000000001</v>
      </c>
      <c r="K32" s="69">
        <v>82.7</v>
      </c>
      <c r="L32" s="69">
        <v>153.19999999999999</v>
      </c>
      <c r="M32" s="69">
        <v>73.900000000000006</v>
      </c>
      <c r="N32" s="71">
        <v>26.8</v>
      </c>
      <c r="O32" s="19">
        <f t="shared" si="0"/>
        <v>1227.2</v>
      </c>
      <c r="P32" s="14">
        <f t="shared" si="1"/>
        <v>102.3</v>
      </c>
    </row>
    <row r="33" spans="2:16" ht="21.95" customHeight="1">
      <c r="B33" s="64">
        <v>2019</v>
      </c>
      <c r="C33" s="69">
        <v>1.1000000000000001</v>
      </c>
      <c r="D33" s="69">
        <v>30.2</v>
      </c>
      <c r="E33" s="69">
        <v>43.7</v>
      </c>
      <c r="F33" s="69">
        <v>43.9</v>
      </c>
      <c r="G33" s="69">
        <v>20.100000000000001</v>
      </c>
      <c r="H33" s="69">
        <v>56.3</v>
      </c>
      <c r="I33" s="69">
        <v>174.5</v>
      </c>
      <c r="J33" s="69">
        <v>121.1</v>
      </c>
      <c r="K33" s="69">
        <v>181.1</v>
      </c>
      <c r="L33" s="69">
        <v>81</v>
      </c>
      <c r="M33" s="69">
        <v>124.6</v>
      </c>
      <c r="N33" s="71">
        <v>37.4</v>
      </c>
      <c r="O33" s="19">
        <f t="shared" si="0"/>
        <v>915</v>
      </c>
      <c r="P33" s="14">
        <f t="shared" si="1"/>
        <v>76.3</v>
      </c>
    </row>
    <row r="34" spans="2:16" ht="21.95" customHeight="1">
      <c r="B34" s="64">
        <v>2020</v>
      </c>
      <c r="C34" s="69">
        <v>46</v>
      </c>
      <c r="D34" s="69">
        <v>72.3</v>
      </c>
      <c r="E34" s="69">
        <v>23</v>
      </c>
      <c r="F34" s="69">
        <v>20.7</v>
      </c>
      <c r="G34" s="69">
        <v>101.3</v>
      </c>
      <c r="H34" s="69">
        <v>144</v>
      </c>
      <c r="I34" s="69">
        <v>329.4</v>
      </c>
      <c r="J34" s="69">
        <v>400</v>
      </c>
      <c r="K34" s="69">
        <v>257.7</v>
      </c>
      <c r="L34" s="69">
        <v>12.6</v>
      </c>
      <c r="M34" s="69">
        <v>72</v>
      </c>
      <c r="N34" s="71">
        <v>9.6999999999999993</v>
      </c>
      <c r="O34" s="19">
        <f t="shared" si="0"/>
        <v>1488.7</v>
      </c>
      <c r="P34" s="14">
        <f t="shared" si="1"/>
        <v>124.1</v>
      </c>
    </row>
    <row r="35" spans="2:16" ht="21.95" customHeight="1" thickBot="1">
      <c r="B35" s="65">
        <v>2021</v>
      </c>
      <c r="C35" s="72">
        <v>25.3</v>
      </c>
      <c r="D35" s="72">
        <v>9.6</v>
      </c>
      <c r="E35" s="72">
        <v>112.8</v>
      </c>
      <c r="F35" s="72">
        <v>110.6</v>
      </c>
      <c r="G35" s="72">
        <v>132.30000000000001</v>
      </c>
      <c r="H35" s="72">
        <v>70.900000000000006</v>
      </c>
      <c r="I35" s="72">
        <v>121.6</v>
      </c>
      <c r="J35" s="72">
        <v>217.8</v>
      </c>
      <c r="K35" s="72">
        <v>206</v>
      </c>
      <c r="L35" s="72">
        <v>55.9</v>
      </c>
      <c r="M35" s="72">
        <v>126.2</v>
      </c>
      <c r="N35" s="73">
        <v>18.3</v>
      </c>
      <c r="O35" s="23">
        <f t="shared" si="0"/>
        <v>1207.3</v>
      </c>
      <c r="P35" s="24">
        <f t="shared" si="1"/>
        <v>100.6</v>
      </c>
    </row>
    <row r="36" spans="2:16" ht="21.95" customHeight="1">
      <c r="B36" s="25" t="s">
        <v>13</v>
      </c>
      <c r="C36" s="26">
        <f>ROUND(MAX(C6:C35),1)</f>
        <v>66.900000000000006</v>
      </c>
      <c r="D36" s="26">
        <f t="shared" ref="D36:N36" si="2">ROUND(MAX(D6:D35),1)</f>
        <v>72.3</v>
      </c>
      <c r="E36" s="26">
        <f t="shared" si="2"/>
        <v>127.2</v>
      </c>
      <c r="F36" s="26">
        <f t="shared" si="2"/>
        <v>180</v>
      </c>
      <c r="G36" s="26">
        <f t="shared" si="2"/>
        <v>232.8</v>
      </c>
      <c r="H36" s="26">
        <f t="shared" si="2"/>
        <v>462.6</v>
      </c>
      <c r="I36" s="26">
        <f t="shared" si="2"/>
        <v>656.5</v>
      </c>
      <c r="J36" s="26">
        <f t="shared" si="2"/>
        <v>992.7</v>
      </c>
      <c r="K36" s="26">
        <f t="shared" si="2"/>
        <v>532.6</v>
      </c>
      <c r="L36" s="26">
        <f t="shared" si="2"/>
        <v>216.3</v>
      </c>
      <c r="M36" s="26">
        <f t="shared" si="2"/>
        <v>156.6</v>
      </c>
      <c r="N36" s="27">
        <f t="shared" si="2"/>
        <v>81.599999999999994</v>
      </c>
      <c r="O36" s="28">
        <f>ROUND(MAX(O6:O35),1)</f>
        <v>2141.8000000000002</v>
      </c>
      <c r="P36" s="29">
        <f>ROUND(MAX(P6:P35),1)</f>
        <v>178.5</v>
      </c>
    </row>
    <row r="37" spans="2:16" ht="21.95" customHeight="1">
      <c r="B37" s="12" t="s">
        <v>14</v>
      </c>
      <c r="C37" s="7">
        <f>ROUND(MIN(C6:C35),1)</f>
        <v>1.1000000000000001</v>
      </c>
      <c r="D37" s="7">
        <f t="shared" ref="D37:N37" si="3">ROUND(MIN(D6:D35),1)</f>
        <v>2.4</v>
      </c>
      <c r="E37" s="7">
        <f t="shared" si="3"/>
        <v>3.7</v>
      </c>
      <c r="F37" s="7">
        <f t="shared" si="3"/>
        <v>18.7</v>
      </c>
      <c r="G37" s="7">
        <f t="shared" si="3"/>
        <v>14.5</v>
      </c>
      <c r="H37" s="7">
        <f t="shared" si="3"/>
        <v>23.3</v>
      </c>
      <c r="I37" s="7">
        <f t="shared" si="3"/>
        <v>58</v>
      </c>
      <c r="J37" s="7">
        <f t="shared" si="3"/>
        <v>34</v>
      </c>
      <c r="K37" s="7">
        <f t="shared" si="3"/>
        <v>6.4</v>
      </c>
      <c r="L37" s="7">
        <f t="shared" si="3"/>
        <v>1.8</v>
      </c>
      <c r="M37" s="7">
        <f t="shared" si="3"/>
        <v>8.1999999999999993</v>
      </c>
      <c r="N37" s="14">
        <f t="shared" si="3"/>
        <v>9.1999999999999993</v>
      </c>
      <c r="O37" s="20">
        <f>ROUND(MIN(O6:O35),1)</f>
        <v>815.9</v>
      </c>
      <c r="P37" s="13">
        <f>ROUND(MIN(P6:P35),1)</f>
        <v>68</v>
      </c>
    </row>
    <row r="38" spans="2:16" ht="21.95" customHeight="1" thickBot="1">
      <c r="B38" s="15" t="s">
        <v>18</v>
      </c>
      <c r="C38" s="16">
        <f>ROUND(AVERAGE(C6:C35),1)</f>
        <v>23.7</v>
      </c>
      <c r="D38" s="16">
        <f t="shared" ref="D38:P38" si="4">ROUND(AVERAGE(D6:D35),1)</f>
        <v>29.9</v>
      </c>
      <c r="E38" s="16">
        <f t="shared" si="4"/>
        <v>43</v>
      </c>
      <c r="F38" s="16">
        <f t="shared" si="4"/>
        <v>76.400000000000006</v>
      </c>
      <c r="G38" s="16">
        <f t="shared" si="4"/>
        <v>98.6</v>
      </c>
      <c r="H38" s="16">
        <f t="shared" si="4"/>
        <v>138.4</v>
      </c>
      <c r="I38" s="16">
        <f t="shared" si="4"/>
        <v>271</v>
      </c>
      <c r="J38" s="16">
        <f t="shared" si="4"/>
        <v>286.7</v>
      </c>
      <c r="K38" s="16">
        <f t="shared" si="4"/>
        <v>144.6</v>
      </c>
      <c r="L38" s="16">
        <f t="shared" si="4"/>
        <v>54.1</v>
      </c>
      <c r="M38" s="16">
        <f t="shared" si="4"/>
        <v>57.6</v>
      </c>
      <c r="N38" s="17">
        <f t="shared" si="4"/>
        <v>33.9</v>
      </c>
      <c r="O38" s="21">
        <f t="shared" si="4"/>
        <v>1257.8</v>
      </c>
      <c r="P38" s="22">
        <f t="shared" si="4"/>
        <v>104.8</v>
      </c>
    </row>
    <row r="39" spans="2:16" ht="21.95" customHeight="1"/>
    <row r="40" spans="2:16" ht="21.95" customHeight="1"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2012</v>
      </c>
      <c r="C44" s="40">
        <f t="shared" ref="C44:N44" si="5">C26</f>
        <v>15.1</v>
      </c>
      <c r="D44" s="40">
        <f t="shared" si="5"/>
        <v>2.4</v>
      </c>
      <c r="E44" s="40">
        <f t="shared" si="5"/>
        <v>41.6</v>
      </c>
      <c r="F44" s="40">
        <f t="shared" si="5"/>
        <v>113.5</v>
      </c>
      <c r="G44" s="40">
        <f t="shared" si="5"/>
        <v>14.5</v>
      </c>
      <c r="H44" s="40">
        <f t="shared" si="5"/>
        <v>91.1</v>
      </c>
      <c r="I44" s="40">
        <f t="shared" si="5"/>
        <v>266.8</v>
      </c>
      <c r="J44" s="40">
        <f t="shared" si="5"/>
        <v>647.9</v>
      </c>
      <c r="K44" s="40">
        <f t="shared" si="5"/>
        <v>201.5</v>
      </c>
      <c r="L44" s="40">
        <f t="shared" si="5"/>
        <v>100.7</v>
      </c>
      <c r="M44" s="40">
        <f t="shared" si="5"/>
        <v>82.1</v>
      </c>
      <c r="N44" s="47">
        <f t="shared" si="5"/>
        <v>65.400000000000006</v>
      </c>
      <c r="O44" s="8">
        <f>ROUND(SUM(C44:N44),1)</f>
        <v>1642.6</v>
      </c>
      <c r="P44" s="13">
        <f>ROUND(O44/12,1)</f>
        <v>136.9</v>
      </c>
    </row>
    <row r="45" spans="2:16" ht="21.95" customHeight="1">
      <c r="B45" s="39">
        <f t="shared" ref="B45:N53" si="6">B27</f>
        <v>2013</v>
      </c>
      <c r="C45" s="40">
        <f t="shared" si="6"/>
        <v>36.799999999999997</v>
      </c>
      <c r="D45" s="40">
        <f t="shared" si="6"/>
        <v>64.8</v>
      </c>
      <c r="E45" s="40">
        <f t="shared" si="6"/>
        <v>60.8</v>
      </c>
      <c r="F45" s="40">
        <f t="shared" si="6"/>
        <v>61.8</v>
      </c>
      <c r="G45" s="40">
        <f t="shared" si="6"/>
        <v>114.9</v>
      </c>
      <c r="H45" s="40">
        <f t="shared" si="6"/>
        <v>94.4</v>
      </c>
      <c r="I45" s="40">
        <f t="shared" si="6"/>
        <v>213.8</v>
      </c>
      <c r="J45" s="40">
        <f t="shared" si="6"/>
        <v>120.6</v>
      </c>
      <c r="K45" s="40">
        <f t="shared" si="6"/>
        <v>147.4</v>
      </c>
      <c r="L45" s="40">
        <f t="shared" si="6"/>
        <v>5.7</v>
      </c>
      <c r="M45" s="40">
        <f t="shared" si="6"/>
        <v>64.900000000000006</v>
      </c>
      <c r="N45" s="47">
        <f t="shared" si="6"/>
        <v>32.799999999999997</v>
      </c>
      <c r="O45" s="8">
        <f t="shared" ref="O45:O53" si="7">ROUND(SUM(C45:N45),1)</f>
        <v>1018.7</v>
      </c>
      <c r="P45" s="13">
        <f t="shared" ref="P45:P53" si="8">ROUND(O45/12,1)</f>
        <v>84.9</v>
      </c>
    </row>
    <row r="46" spans="2:16" ht="21.95" customHeight="1">
      <c r="B46" s="39">
        <f t="shared" si="6"/>
        <v>2014</v>
      </c>
      <c r="C46" s="40">
        <f t="shared" si="6"/>
        <v>7</v>
      </c>
      <c r="D46" s="40">
        <f t="shared" si="6"/>
        <v>17</v>
      </c>
      <c r="E46" s="40">
        <f t="shared" si="6"/>
        <v>31.2</v>
      </c>
      <c r="F46" s="40">
        <f t="shared" si="6"/>
        <v>85.6</v>
      </c>
      <c r="G46" s="40">
        <f t="shared" si="6"/>
        <v>52.7</v>
      </c>
      <c r="H46" s="40">
        <f t="shared" si="6"/>
        <v>69.3</v>
      </c>
      <c r="I46" s="40">
        <f t="shared" si="6"/>
        <v>151.69999999999999</v>
      </c>
      <c r="J46" s="40">
        <f t="shared" si="6"/>
        <v>242.3</v>
      </c>
      <c r="K46" s="40">
        <f t="shared" si="6"/>
        <v>106.7</v>
      </c>
      <c r="L46" s="40">
        <f t="shared" si="6"/>
        <v>117.2</v>
      </c>
      <c r="M46" s="40">
        <f t="shared" si="6"/>
        <v>37.799999999999997</v>
      </c>
      <c r="N46" s="47">
        <f t="shared" si="6"/>
        <v>81.599999999999994</v>
      </c>
      <c r="O46" s="8">
        <f t="shared" si="7"/>
        <v>1000.1</v>
      </c>
      <c r="P46" s="13">
        <f t="shared" si="8"/>
        <v>83.3</v>
      </c>
    </row>
    <row r="47" spans="2:16" ht="21.95" customHeight="1">
      <c r="B47" s="39">
        <f t="shared" si="6"/>
        <v>2015</v>
      </c>
      <c r="C47" s="40">
        <f t="shared" si="6"/>
        <v>20.7</v>
      </c>
      <c r="D47" s="40">
        <f t="shared" si="6"/>
        <v>23.1</v>
      </c>
      <c r="E47" s="40">
        <f t="shared" si="6"/>
        <v>20.6</v>
      </c>
      <c r="F47" s="40">
        <f t="shared" si="6"/>
        <v>116.8</v>
      </c>
      <c r="G47" s="40">
        <f t="shared" si="6"/>
        <v>40.6</v>
      </c>
      <c r="H47" s="40">
        <f t="shared" si="6"/>
        <v>64.099999999999994</v>
      </c>
      <c r="I47" s="40">
        <f t="shared" si="6"/>
        <v>158.5</v>
      </c>
      <c r="J47" s="40">
        <f t="shared" si="6"/>
        <v>63.1</v>
      </c>
      <c r="K47" s="40">
        <f t="shared" si="6"/>
        <v>15.1</v>
      </c>
      <c r="L47" s="40">
        <f t="shared" si="6"/>
        <v>73.099999999999994</v>
      </c>
      <c r="M47" s="40">
        <f t="shared" si="6"/>
        <v>156.6</v>
      </c>
      <c r="N47" s="47">
        <f t="shared" si="6"/>
        <v>63.6</v>
      </c>
      <c r="O47" s="8">
        <f>ROUND(SUM(C47:N47),1)</f>
        <v>815.9</v>
      </c>
      <c r="P47" s="13">
        <f t="shared" si="8"/>
        <v>68</v>
      </c>
    </row>
    <row r="48" spans="2:16" ht="21.95" customHeight="1">
      <c r="B48" s="39">
        <f t="shared" si="6"/>
        <v>2016</v>
      </c>
      <c r="C48" s="40">
        <f t="shared" si="6"/>
        <v>21.9</v>
      </c>
      <c r="D48" s="40">
        <f t="shared" si="6"/>
        <v>61.7</v>
      </c>
      <c r="E48" s="40">
        <f t="shared" si="6"/>
        <v>24.3</v>
      </c>
      <c r="F48" s="40">
        <f t="shared" si="6"/>
        <v>87</v>
      </c>
      <c r="G48" s="40">
        <f t="shared" si="6"/>
        <v>153.69999999999999</v>
      </c>
      <c r="H48" s="40">
        <f t="shared" si="6"/>
        <v>36.799999999999997</v>
      </c>
      <c r="I48" s="40">
        <f t="shared" si="6"/>
        <v>295.60000000000002</v>
      </c>
      <c r="J48" s="40">
        <f t="shared" si="6"/>
        <v>34</v>
      </c>
      <c r="K48" s="40">
        <f t="shared" si="6"/>
        <v>53.1</v>
      </c>
      <c r="L48" s="40">
        <f t="shared" si="6"/>
        <v>73.8</v>
      </c>
      <c r="M48" s="40">
        <f t="shared" si="6"/>
        <v>17.5</v>
      </c>
      <c r="N48" s="47">
        <f t="shared" si="6"/>
        <v>62.7</v>
      </c>
      <c r="O48" s="8">
        <f t="shared" si="7"/>
        <v>922.1</v>
      </c>
      <c r="P48" s="13">
        <f t="shared" si="8"/>
        <v>76.8</v>
      </c>
    </row>
    <row r="49" spans="2:16" ht="21.95" customHeight="1">
      <c r="B49" s="39">
        <f t="shared" si="6"/>
        <v>2017</v>
      </c>
      <c r="C49" s="40">
        <f t="shared" si="6"/>
        <v>21.3</v>
      </c>
      <c r="D49" s="40">
        <f t="shared" si="6"/>
        <v>31.4</v>
      </c>
      <c r="E49" s="40">
        <f t="shared" si="6"/>
        <v>4.8</v>
      </c>
      <c r="F49" s="40">
        <f t="shared" si="6"/>
        <v>38.9</v>
      </c>
      <c r="G49" s="40">
        <f t="shared" si="6"/>
        <v>27.9</v>
      </c>
      <c r="H49" s="40">
        <f t="shared" si="6"/>
        <v>23.3</v>
      </c>
      <c r="I49" s="40">
        <f t="shared" si="6"/>
        <v>327.8</v>
      </c>
      <c r="J49" s="40">
        <f t="shared" si="6"/>
        <v>231.3</v>
      </c>
      <c r="K49" s="40">
        <f t="shared" si="6"/>
        <v>37.6</v>
      </c>
      <c r="L49" s="40">
        <f t="shared" si="6"/>
        <v>25.5</v>
      </c>
      <c r="M49" s="40">
        <f t="shared" si="6"/>
        <v>24.7</v>
      </c>
      <c r="N49" s="47">
        <f t="shared" si="6"/>
        <v>35.9</v>
      </c>
      <c r="O49" s="8">
        <f t="shared" si="7"/>
        <v>830.4</v>
      </c>
      <c r="P49" s="13">
        <f t="shared" si="8"/>
        <v>69.2</v>
      </c>
    </row>
    <row r="50" spans="2:16" ht="21.95" customHeight="1">
      <c r="B50" s="39">
        <f t="shared" si="6"/>
        <v>2018</v>
      </c>
      <c r="C50" s="40">
        <f t="shared" si="6"/>
        <v>21</v>
      </c>
      <c r="D50" s="40">
        <f t="shared" si="6"/>
        <v>40.5</v>
      </c>
      <c r="E50" s="40">
        <f t="shared" si="6"/>
        <v>76.599999999999994</v>
      </c>
      <c r="F50" s="40">
        <f t="shared" si="6"/>
        <v>132.80000000000001</v>
      </c>
      <c r="G50" s="40">
        <f t="shared" si="6"/>
        <v>147.69999999999999</v>
      </c>
      <c r="H50" s="40">
        <f t="shared" si="6"/>
        <v>162.30000000000001</v>
      </c>
      <c r="I50" s="40">
        <f t="shared" si="6"/>
        <v>152.9</v>
      </c>
      <c r="J50" s="40">
        <f t="shared" si="6"/>
        <v>156.80000000000001</v>
      </c>
      <c r="K50" s="40">
        <f t="shared" si="6"/>
        <v>82.7</v>
      </c>
      <c r="L50" s="40">
        <f t="shared" si="6"/>
        <v>153.19999999999999</v>
      </c>
      <c r="M50" s="40">
        <f t="shared" si="6"/>
        <v>73.900000000000006</v>
      </c>
      <c r="N50" s="47">
        <f t="shared" si="6"/>
        <v>26.8</v>
      </c>
      <c r="O50" s="8">
        <f t="shared" si="7"/>
        <v>1227.2</v>
      </c>
      <c r="P50" s="13">
        <f t="shared" si="8"/>
        <v>102.3</v>
      </c>
    </row>
    <row r="51" spans="2:16" ht="21.95" customHeight="1">
      <c r="B51" s="39">
        <f t="shared" si="6"/>
        <v>2019</v>
      </c>
      <c r="C51" s="40">
        <f t="shared" si="6"/>
        <v>1.1000000000000001</v>
      </c>
      <c r="D51" s="40">
        <f t="shared" si="6"/>
        <v>30.2</v>
      </c>
      <c r="E51" s="40">
        <f t="shared" si="6"/>
        <v>43.7</v>
      </c>
      <c r="F51" s="40">
        <f t="shared" si="6"/>
        <v>43.9</v>
      </c>
      <c r="G51" s="40">
        <f t="shared" si="6"/>
        <v>20.100000000000001</v>
      </c>
      <c r="H51" s="40">
        <f t="shared" si="6"/>
        <v>56.3</v>
      </c>
      <c r="I51" s="40">
        <f t="shared" si="6"/>
        <v>174.5</v>
      </c>
      <c r="J51" s="40">
        <f t="shared" si="6"/>
        <v>121.1</v>
      </c>
      <c r="K51" s="40">
        <f t="shared" si="6"/>
        <v>181.1</v>
      </c>
      <c r="L51" s="40">
        <f t="shared" si="6"/>
        <v>81</v>
      </c>
      <c r="M51" s="40">
        <f t="shared" si="6"/>
        <v>124.6</v>
      </c>
      <c r="N51" s="47">
        <f t="shared" si="6"/>
        <v>37.4</v>
      </c>
      <c r="O51" s="8">
        <f t="shared" si="7"/>
        <v>915</v>
      </c>
      <c r="P51" s="13">
        <f t="shared" si="8"/>
        <v>76.3</v>
      </c>
    </row>
    <row r="52" spans="2:16" ht="21.95" customHeight="1">
      <c r="B52" s="39">
        <f t="shared" si="6"/>
        <v>2020</v>
      </c>
      <c r="C52" s="40">
        <f t="shared" si="6"/>
        <v>46</v>
      </c>
      <c r="D52" s="40">
        <f t="shared" si="6"/>
        <v>72.3</v>
      </c>
      <c r="E52" s="40">
        <f t="shared" si="6"/>
        <v>23</v>
      </c>
      <c r="F52" s="40">
        <f t="shared" si="6"/>
        <v>20.7</v>
      </c>
      <c r="G52" s="40">
        <f t="shared" si="6"/>
        <v>101.3</v>
      </c>
      <c r="H52" s="40">
        <f t="shared" si="6"/>
        <v>144</v>
      </c>
      <c r="I52" s="40">
        <f t="shared" si="6"/>
        <v>329.4</v>
      </c>
      <c r="J52" s="40">
        <f t="shared" si="6"/>
        <v>400</v>
      </c>
      <c r="K52" s="40">
        <f t="shared" si="6"/>
        <v>257.7</v>
      </c>
      <c r="L52" s="40">
        <f t="shared" si="6"/>
        <v>12.6</v>
      </c>
      <c r="M52" s="40">
        <f t="shared" si="6"/>
        <v>72</v>
      </c>
      <c r="N52" s="47">
        <f t="shared" si="6"/>
        <v>9.6999999999999993</v>
      </c>
      <c r="O52" s="8">
        <f t="shared" si="7"/>
        <v>1488.7</v>
      </c>
      <c r="P52" s="13">
        <f t="shared" si="8"/>
        <v>124.1</v>
      </c>
    </row>
    <row r="53" spans="2:16" ht="21.95" customHeight="1" thickBot="1">
      <c r="B53" s="44">
        <f t="shared" si="6"/>
        <v>2021</v>
      </c>
      <c r="C53" s="45">
        <f t="shared" si="6"/>
        <v>25.3</v>
      </c>
      <c r="D53" s="45">
        <f t="shared" si="6"/>
        <v>9.6</v>
      </c>
      <c r="E53" s="45">
        <f t="shared" si="6"/>
        <v>112.8</v>
      </c>
      <c r="F53" s="45">
        <f t="shared" si="6"/>
        <v>110.6</v>
      </c>
      <c r="G53" s="45">
        <f t="shared" si="6"/>
        <v>132.30000000000001</v>
      </c>
      <c r="H53" s="45">
        <f t="shared" si="6"/>
        <v>70.900000000000006</v>
      </c>
      <c r="I53" s="45">
        <f t="shared" si="6"/>
        <v>121.6</v>
      </c>
      <c r="J53" s="45">
        <f t="shared" si="6"/>
        <v>217.8</v>
      </c>
      <c r="K53" s="45">
        <f t="shared" si="6"/>
        <v>206</v>
      </c>
      <c r="L53" s="45">
        <f t="shared" si="6"/>
        <v>55.9</v>
      </c>
      <c r="M53" s="45">
        <f t="shared" si="6"/>
        <v>126.2</v>
      </c>
      <c r="N53" s="48">
        <f t="shared" si="6"/>
        <v>18.3</v>
      </c>
      <c r="O53" s="37">
        <f t="shared" si="7"/>
        <v>1207.3</v>
      </c>
      <c r="P53" s="22">
        <f t="shared" si="8"/>
        <v>100.6</v>
      </c>
    </row>
    <row r="54" spans="2:16" ht="21.95" customHeight="1">
      <c r="B54" s="41" t="s">
        <v>19</v>
      </c>
      <c r="C54" s="42">
        <f>MAX(C44:C53)</f>
        <v>46</v>
      </c>
      <c r="D54" s="42">
        <f t="shared" ref="D54:P54" si="9">MAX(D44:D53)</f>
        <v>72.3</v>
      </c>
      <c r="E54" s="42">
        <f t="shared" si="9"/>
        <v>112.8</v>
      </c>
      <c r="F54" s="42">
        <f t="shared" si="9"/>
        <v>132.80000000000001</v>
      </c>
      <c r="G54" s="42">
        <f t="shared" si="9"/>
        <v>153.69999999999999</v>
      </c>
      <c r="H54" s="42">
        <f t="shared" si="9"/>
        <v>162.30000000000001</v>
      </c>
      <c r="I54" s="42">
        <f t="shared" si="9"/>
        <v>329.4</v>
      </c>
      <c r="J54" s="42">
        <f t="shared" si="9"/>
        <v>647.9</v>
      </c>
      <c r="K54" s="42">
        <f t="shared" si="9"/>
        <v>257.7</v>
      </c>
      <c r="L54" s="42">
        <f t="shared" si="9"/>
        <v>153.19999999999999</v>
      </c>
      <c r="M54" s="42">
        <f t="shared" si="9"/>
        <v>156.6</v>
      </c>
      <c r="N54" s="43">
        <f t="shared" si="9"/>
        <v>81.599999999999994</v>
      </c>
      <c r="O54" s="46">
        <f t="shared" si="9"/>
        <v>1642.6</v>
      </c>
      <c r="P54" s="43">
        <f t="shared" si="9"/>
        <v>136.9</v>
      </c>
    </row>
    <row r="55" spans="2:16" ht="21.95" customHeight="1">
      <c r="B55" s="33" t="s">
        <v>20</v>
      </c>
      <c r="C55" s="6">
        <f>MIN(C44:C53)</f>
        <v>1.1000000000000001</v>
      </c>
      <c r="D55" s="6">
        <f t="shared" ref="D55:P55" si="10">MIN(D44:D53)</f>
        <v>2.4</v>
      </c>
      <c r="E55" s="6">
        <f t="shared" si="10"/>
        <v>4.8</v>
      </c>
      <c r="F55" s="6">
        <f t="shared" si="10"/>
        <v>20.7</v>
      </c>
      <c r="G55" s="6">
        <f t="shared" si="10"/>
        <v>14.5</v>
      </c>
      <c r="H55" s="6">
        <f t="shared" si="10"/>
        <v>23.3</v>
      </c>
      <c r="I55" s="6">
        <f t="shared" si="10"/>
        <v>121.6</v>
      </c>
      <c r="J55" s="6">
        <f t="shared" si="10"/>
        <v>34</v>
      </c>
      <c r="K55" s="6">
        <f t="shared" si="10"/>
        <v>15.1</v>
      </c>
      <c r="L55" s="6">
        <f t="shared" si="10"/>
        <v>5.7</v>
      </c>
      <c r="M55" s="6">
        <f t="shared" si="10"/>
        <v>17.5</v>
      </c>
      <c r="N55" s="13">
        <f t="shared" si="10"/>
        <v>9.6999999999999993</v>
      </c>
      <c r="O55" s="8">
        <f>MIN(O44:O53)</f>
        <v>815.9</v>
      </c>
      <c r="P55" s="13">
        <f t="shared" si="10"/>
        <v>68</v>
      </c>
    </row>
    <row r="56" spans="2:16" ht="21.95" customHeight="1" thickBot="1">
      <c r="B56" s="34" t="s">
        <v>7</v>
      </c>
      <c r="C56" s="35">
        <f>ROUND(AVERAGE(C44:C53),1)</f>
        <v>21.6</v>
      </c>
      <c r="D56" s="35">
        <f t="shared" ref="D56:N56" si="11">ROUND(AVERAGE(D44:D53),1)</f>
        <v>35.299999999999997</v>
      </c>
      <c r="E56" s="35">
        <f t="shared" si="11"/>
        <v>43.9</v>
      </c>
      <c r="F56" s="35">
        <f t="shared" si="11"/>
        <v>81.2</v>
      </c>
      <c r="G56" s="35">
        <f t="shared" si="11"/>
        <v>80.599999999999994</v>
      </c>
      <c r="H56" s="35">
        <f t="shared" si="11"/>
        <v>81.3</v>
      </c>
      <c r="I56" s="35">
        <f t="shared" si="11"/>
        <v>219.3</v>
      </c>
      <c r="J56" s="35">
        <f t="shared" si="11"/>
        <v>223.5</v>
      </c>
      <c r="K56" s="35">
        <f t="shared" si="11"/>
        <v>128.9</v>
      </c>
      <c r="L56" s="35">
        <f t="shared" si="11"/>
        <v>69.900000000000006</v>
      </c>
      <c r="M56" s="35">
        <f t="shared" si="11"/>
        <v>78</v>
      </c>
      <c r="N56" s="22">
        <f t="shared" si="11"/>
        <v>43.4</v>
      </c>
      <c r="O56" s="37">
        <f>ROUND(AVERAGE(O44:O53),1)</f>
        <v>1106.8</v>
      </c>
      <c r="P56" s="22">
        <f>ROUND(AVERAGE(P44:P53),1)</f>
        <v>92.2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topLeftCell="A4" zoomScaleNormal="100" workbookViewId="0">
      <selection activeCell="S13" sqref="S13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8" width="11.6640625" style="2" customWidth="1"/>
    <col min="19" max="19" width="12.6640625" style="2" customWidth="1"/>
    <col min="20" max="16384" width="8.88671875" style="2"/>
  </cols>
  <sheetData>
    <row r="2" spans="2:21" ht="20.25">
      <c r="B2" s="62" t="s">
        <v>153</v>
      </c>
    </row>
    <row r="3" spans="2:21" ht="24.75" customHeight="1">
      <c r="R3" s="38"/>
    </row>
    <row r="4" spans="2:21" ht="21.75" customHeight="1" thickBot="1"/>
    <row r="5" spans="2:21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  <c r="U5" s="49"/>
    </row>
    <row r="6" spans="2:21" ht="21.95" customHeight="1" thickBot="1">
      <c r="B6" s="63">
        <v>1992</v>
      </c>
      <c r="C6" s="66">
        <v>9.3000000000000007</v>
      </c>
      <c r="D6" s="66">
        <v>16.2</v>
      </c>
      <c r="E6" s="66">
        <v>23.2</v>
      </c>
      <c r="F6" s="66">
        <v>77.400000000000006</v>
      </c>
      <c r="G6" s="66">
        <v>51</v>
      </c>
      <c r="H6" s="66">
        <v>46</v>
      </c>
      <c r="I6" s="66">
        <v>128.5</v>
      </c>
      <c r="J6" s="67">
        <v>331.5</v>
      </c>
      <c r="K6" s="66">
        <v>139.5</v>
      </c>
      <c r="L6" s="66">
        <v>18</v>
      </c>
      <c r="M6" s="66">
        <v>41.4</v>
      </c>
      <c r="N6" s="68">
        <v>51.6</v>
      </c>
      <c r="O6" s="19">
        <f t="shared" ref="O6:O35" si="0">ROUND(SUM(C6:N6),1)</f>
        <v>933.6</v>
      </c>
      <c r="P6" s="18">
        <f>ROUND(O6/12,1)</f>
        <v>77.8</v>
      </c>
      <c r="Q6" s="4"/>
    </row>
    <row r="7" spans="2:21" ht="21.95" customHeight="1">
      <c r="B7" s="64">
        <v>1993</v>
      </c>
      <c r="C7" s="69">
        <v>3.2</v>
      </c>
      <c r="D7" s="69">
        <v>68.599999999999994</v>
      </c>
      <c r="E7" s="69">
        <v>29.8</v>
      </c>
      <c r="F7" s="69">
        <v>31</v>
      </c>
      <c r="G7" s="69">
        <v>59</v>
      </c>
      <c r="H7" s="69">
        <v>139</v>
      </c>
      <c r="I7" s="69">
        <v>323.5</v>
      </c>
      <c r="J7" s="70">
        <v>163.5</v>
      </c>
      <c r="K7" s="69">
        <v>122.5</v>
      </c>
      <c r="L7" s="69">
        <v>48</v>
      </c>
      <c r="M7" s="69">
        <v>66.900000000000006</v>
      </c>
      <c r="N7" s="71">
        <v>25.7</v>
      </c>
      <c r="O7" s="19">
        <f t="shared" si="0"/>
        <v>1080.7</v>
      </c>
      <c r="P7" s="14">
        <f t="shared" ref="P7:P35" si="1">ROUND(O7/12,1)</f>
        <v>90.1</v>
      </c>
      <c r="Q7" s="4"/>
      <c r="R7" s="74" t="s">
        <v>41</v>
      </c>
      <c r="S7" s="76" t="s">
        <v>40</v>
      </c>
      <c r="T7" s="3"/>
    </row>
    <row r="8" spans="2:21" ht="21.95" customHeight="1">
      <c r="B8" s="64">
        <v>1994</v>
      </c>
      <c r="C8" s="69">
        <v>9.1</v>
      </c>
      <c r="D8" s="69">
        <v>10.1</v>
      </c>
      <c r="E8" s="69">
        <v>39.5</v>
      </c>
      <c r="F8" s="69">
        <v>13.5</v>
      </c>
      <c r="G8" s="69">
        <v>106.5</v>
      </c>
      <c r="H8" s="69">
        <v>160.5</v>
      </c>
      <c r="I8" s="69">
        <v>98</v>
      </c>
      <c r="J8" s="69">
        <v>418</v>
      </c>
      <c r="K8" s="69">
        <v>52</v>
      </c>
      <c r="L8" s="69">
        <v>220</v>
      </c>
      <c r="M8" s="69">
        <v>22</v>
      </c>
      <c r="N8" s="71">
        <v>21</v>
      </c>
      <c r="O8" s="19">
        <f t="shared" si="0"/>
        <v>1170.2</v>
      </c>
      <c r="P8" s="14">
        <f t="shared" si="1"/>
        <v>97.5</v>
      </c>
      <c r="Q8" s="4"/>
      <c r="R8" s="75" t="s">
        <v>152</v>
      </c>
      <c r="S8" s="77" t="s">
        <v>155</v>
      </c>
    </row>
    <row r="9" spans="2:21" ht="21.95" customHeight="1" thickBot="1">
      <c r="B9" s="64">
        <v>1995</v>
      </c>
      <c r="C9" s="69">
        <v>19</v>
      </c>
      <c r="D9" s="69">
        <v>8.1999999999999993</v>
      </c>
      <c r="E9" s="69">
        <v>25.3</v>
      </c>
      <c r="F9" s="69">
        <v>47</v>
      </c>
      <c r="G9" s="69">
        <v>48</v>
      </c>
      <c r="H9" s="69">
        <v>14.5</v>
      </c>
      <c r="I9" s="69">
        <v>239.9</v>
      </c>
      <c r="J9" s="69">
        <v>1082.5</v>
      </c>
      <c r="K9" s="69">
        <v>29</v>
      </c>
      <c r="L9" s="69">
        <v>23.5</v>
      </c>
      <c r="M9" s="69">
        <v>40.200000000000003</v>
      </c>
      <c r="N9" s="71">
        <v>8.9</v>
      </c>
      <c r="O9" s="19">
        <f t="shared" si="0"/>
        <v>1586</v>
      </c>
      <c r="P9" s="14">
        <f t="shared" si="1"/>
        <v>132.19999999999999</v>
      </c>
      <c r="Q9" s="4"/>
      <c r="R9" s="80" t="str">
        <f>VLOOKUP(R8, tblLocation[], 2, FALSE)</f>
        <v>Table3</v>
      </c>
      <c r="S9" s="78">
        <f ca="1">VLOOKUP(S8, INDIRECT($R$9), 2,0)</f>
        <v>238</v>
      </c>
    </row>
    <row r="10" spans="2:21" ht="21.95" customHeight="1" thickBot="1">
      <c r="B10" s="64">
        <v>1996</v>
      </c>
      <c r="C10" s="69">
        <v>29.5</v>
      </c>
      <c r="D10" s="69">
        <v>10.199999999999999</v>
      </c>
      <c r="E10" s="69">
        <v>115</v>
      </c>
      <c r="F10" s="69">
        <v>54.5</v>
      </c>
      <c r="G10" s="69">
        <v>19</v>
      </c>
      <c r="H10" s="69">
        <v>237</v>
      </c>
      <c r="I10" s="69">
        <v>177.5</v>
      </c>
      <c r="J10" s="69">
        <v>116.5</v>
      </c>
      <c r="K10" s="69">
        <v>8</v>
      </c>
      <c r="L10" s="69">
        <v>102.5</v>
      </c>
      <c r="M10" s="69">
        <v>71.599999999999994</v>
      </c>
      <c r="N10" s="71">
        <v>26.2</v>
      </c>
      <c r="O10" s="19">
        <f t="shared" si="0"/>
        <v>967.5</v>
      </c>
      <c r="P10" s="14">
        <f t="shared" si="1"/>
        <v>80.599999999999994</v>
      </c>
      <c r="Q10" s="4"/>
      <c r="S10" s="79">
        <f ca="1">VLOOKUP(S8, INDIRECT($R$9), 3,0)</f>
        <v>60</v>
      </c>
    </row>
    <row r="11" spans="2:21" ht="21.95" customHeight="1">
      <c r="B11" s="64">
        <v>1997</v>
      </c>
      <c r="C11" s="69">
        <v>10.7</v>
      </c>
      <c r="D11" s="69">
        <v>44.1</v>
      </c>
      <c r="E11" s="69">
        <v>30</v>
      </c>
      <c r="F11" s="69">
        <v>66.5</v>
      </c>
      <c r="G11" s="69">
        <v>211</v>
      </c>
      <c r="H11" s="69">
        <v>191.5</v>
      </c>
      <c r="I11" s="69">
        <v>305</v>
      </c>
      <c r="J11" s="69">
        <v>175.5</v>
      </c>
      <c r="K11" s="69">
        <v>14.5</v>
      </c>
      <c r="L11" s="69">
        <v>23</v>
      </c>
      <c r="M11" s="69">
        <v>153.5</v>
      </c>
      <c r="N11" s="71">
        <v>43.5</v>
      </c>
      <c r="O11" s="19">
        <f t="shared" si="0"/>
        <v>1268.8</v>
      </c>
      <c r="P11" s="14">
        <f t="shared" si="1"/>
        <v>105.7</v>
      </c>
      <c r="Q11" s="4"/>
    </row>
    <row r="12" spans="2:21" ht="21.95" customHeight="1">
      <c r="B12" s="64">
        <v>1998</v>
      </c>
      <c r="C12" s="69">
        <v>20.399999999999999</v>
      </c>
      <c r="D12" s="69">
        <v>27.9</v>
      </c>
      <c r="E12" s="69">
        <v>29.5</v>
      </c>
      <c r="F12" s="69">
        <v>120.5</v>
      </c>
      <c r="G12" s="69">
        <v>85</v>
      </c>
      <c r="H12" s="69">
        <v>219.5</v>
      </c>
      <c r="I12" s="69">
        <v>277</v>
      </c>
      <c r="J12" s="69">
        <v>408.1</v>
      </c>
      <c r="K12" s="69">
        <v>283</v>
      </c>
      <c r="L12" s="69">
        <v>51.5</v>
      </c>
      <c r="M12" s="69">
        <v>52.8</v>
      </c>
      <c r="N12" s="71">
        <v>8.5</v>
      </c>
      <c r="O12" s="19">
        <f t="shared" si="0"/>
        <v>1583.7</v>
      </c>
      <c r="P12" s="14">
        <f t="shared" si="1"/>
        <v>132</v>
      </c>
    </row>
    <row r="13" spans="2:21" ht="21.95" customHeight="1" thickBot="1">
      <c r="B13" s="64">
        <v>1999</v>
      </c>
      <c r="C13" s="69">
        <v>2.7</v>
      </c>
      <c r="D13" s="69">
        <v>2.8</v>
      </c>
      <c r="E13" s="69">
        <v>46.5</v>
      </c>
      <c r="F13" s="69">
        <v>88.5</v>
      </c>
      <c r="G13" s="69">
        <v>121.5</v>
      </c>
      <c r="H13" s="69">
        <v>163.69999999999999</v>
      </c>
      <c r="I13" s="69">
        <v>138.5</v>
      </c>
      <c r="J13" s="69">
        <v>313.5</v>
      </c>
      <c r="K13" s="69">
        <v>324.5</v>
      </c>
      <c r="L13" s="69">
        <v>134.5</v>
      </c>
      <c r="M13" s="69">
        <v>16.5</v>
      </c>
      <c r="N13" s="71">
        <v>11.9</v>
      </c>
      <c r="O13" s="19">
        <f t="shared" si="0"/>
        <v>1365.1</v>
      </c>
      <c r="P13" s="14">
        <f t="shared" si="1"/>
        <v>113.8</v>
      </c>
    </row>
    <row r="14" spans="2:21" ht="21.95" customHeight="1">
      <c r="B14" s="64">
        <v>2000</v>
      </c>
      <c r="C14" s="69">
        <v>52.3</v>
      </c>
      <c r="D14" s="69">
        <v>2.7</v>
      </c>
      <c r="E14" s="69">
        <v>7.1</v>
      </c>
      <c r="F14" s="69">
        <v>36</v>
      </c>
      <c r="G14" s="69">
        <v>36</v>
      </c>
      <c r="H14" s="69">
        <v>181</v>
      </c>
      <c r="I14" s="69">
        <v>83</v>
      </c>
      <c r="J14" s="69">
        <v>636</v>
      </c>
      <c r="K14" s="69">
        <v>287.5</v>
      </c>
      <c r="L14" s="69">
        <v>32</v>
      </c>
      <c r="M14" s="69">
        <v>32</v>
      </c>
      <c r="N14" s="71">
        <v>22.5</v>
      </c>
      <c r="O14" s="19">
        <f t="shared" si="0"/>
        <v>1408.1</v>
      </c>
      <c r="P14" s="14">
        <f t="shared" si="1"/>
        <v>117.3</v>
      </c>
      <c r="R14" s="52" t="s">
        <v>21</v>
      </c>
      <c r="S14" s="53" t="s">
        <v>22</v>
      </c>
      <c r="T14" s="54"/>
    </row>
    <row r="15" spans="2:21" ht="21.95" customHeight="1">
      <c r="B15" s="64">
        <v>2001</v>
      </c>
      <c r="C15" s="69">
        <v>43.5</v>
      </c>
      <c r="D15" s="69">
        <v>44</v>
      </c>
      <c r="E15" s="69">
        <v>16.5</v>
      </c>
      <c r="F15" s="69">
        <v>19</v>
      </c>
      <c r="G15" s="69">
        <v>15</v>
      </c>
      <c r="H15" s="69">
        <v>227.5</v>
      </c>
      <c r="I15" s="69">
        <v>178</v>
      </c>
      <c r="J15" s="69">
        <v>194.5</v>
      </c>
      <c r="K15" s="69">
        <v>12</v>
      </c>
      <c r="L15" s="69">
        <v>63.5</v>
      </c>
      <c r="M15" s="69">
        <v>6.3</v>
      </c>
      <c r="N15" s="71">
        <v>18.399999999999999</v>
      </c>
      <c r="O15" s="19">
        <f t="shared" si="0"/>
        <v>838.2</v>
      </c>
      <c r="P15" s="14">
        <f t="shared" si="1"/>
        <v>69.900000000000006</v>
      </c>
      <c r="R15" s="55" t="s">
        <v>23</v>
      </c>
      <c r="S15" s="51" t="s">
        <v>24</v>
      </c>
      <c r="T15" s="56"/>
    </row>
    <row r="16" spans="2:21" ht="21.95" customHeight="1" thickBot="1">
      <c r="B16" s="64">
        <v>2002</v>
      </c>
      <c r="C16" s="69">
        <v>45.3</v>
      </c>
      <c r="D16" s="69">
        <v>6</v>
      </c>
      <c r="E16" s="69">
        <v>25.5</v>
      </c>
      <c r="F16" s="69">
        <v>128</v>
      </c>
      <c r="G16" s="69">
        <v>104</v>
      </c>
      <c r="H16" s="69">
        <v>54</v>
      </c>
      <c r="I16" s="69">
        <v>229.5</v>
      </c>
      <c r="J16" s="69">
        <v>481.5</v>
      </c>
      <c r="K16" s="69">
        <v>57</v>
      </c>
      <c r="L16" s="69">
        <v>91.5</v>
      </c>
      <c r="M16" s="69">
        <v>42.1</v>
      </c>
      <c r="N16" s="71">
        <v>48.1</v>
      </c>
      <c r="O16" s="19">
        <f t="shared" si="0"/>
        <v>1312.5</v>
      </c>
      <c r="P16" s="14">
        <f t="shared" si="1"/>
        <v>109.4</v>
      </c>
      <c r="R16" s="57" t="s">
        <v>25</v>
      </c>
      <c r="S16" s="58" t="s">
        <v>26</v>
      </c>
      <c r="T16" s="59"/>
    </row>
    <row r="17" spans="2:18" ht="21.95" customHeight="1">
      <c r="B17" s="64">
        <v>2003</v>
      </c>
      <c r="C17" s="69">
        <v>18.600000000000001</v>
      </c>
      <c r="D17" s="69">
        <v>44</v>
      </c>
      <c r="E17" s="69">
        <v>38.1</v>
      </c>
      <c r="F17" s="69">
        <v>172.3</v>
      </c>
      <c r="G17" s="69">
        <v>106</v>
      </c>
      <c r="H17" s="69">
        <v>178.6</v>
      </c>
      <c r="I17" s="69">
        <v>381.2</v>
      </c>
      <c r="J17" s="69">
        <v>334.6</v>
      </c>
      <c r="K17" s="69">
        <v>264.2</v>
      </c>
      <c r="L17" s="69">
        <v>27</v>
      </c>
      <c r="M17" s="69">
        <v>46.7</v>
      </c>
      <c r="N17" s="71">
        <v>17</v>
      </c>
      <c r="O17" s="19">
        <f t="shared" si="0"/>
        <v>1628.3</v>
      </c>
      <c r="P17" s="14">
        <f t="shared" si="1"/>
        <v>135.69999999999999</v>
      </c>
    </row>
    <row r="18" spans="2:18" ht="21.95" customHeight="1">
      <c r="B18" s="64">
        <v>2004</v>
      </c>
      <c r="C18" s="69">
        <v>16.399999999999999</v>
      </c>
      <c r="D18" s="69">
        <v>21.3</v>
      </c>
      <c r="E18" s="69">
        <v>21.5</v>
      </c>
      <c r="F18" s="69">
        <v>67.5</v>
      </c>
      <c r="G18" s="69">
        <v>127.6</v>
      </c>
      <c r="H18" s="69">
        <v>235</v>
      </c>
      <c r="I18" s="69">
        <v>365.2</v>
      </c>
      <c r="J18" s="69">
        <v>229.3</v>
      </c>
      <c r="K18" s="69">
        <v>189</v>
      </c>
      <c r="L18" s="69">
        <v>4.5</v>
      </c>
      <c r="M18" s="69">
        <v>53</v>
      </c>
      <c r="N18" s="71">
        <v>33</v>
      </c>
      <c r="O18" s="19">
        <f t="shared" si="0"/>
        <v>1363.3</v>
      </c>
      <c r="P18" s="14">
        <f t="shared" si="1"/>
        <v>113.6</v>
      </c>
    </row>
    <row r="19" spans="2:18" ht="21.95" customHeight="1">
      <c r="B19" s="64">
        <v>2005</v>
      </c>
      <c r="C19" s="69">
        <v>3</v>
      </c>
      <c r="D19" s="69">
        <v>29.8</v>
      </c>
      <c r="E19" s="69">
        <v>37</v>
      </c>
      <c r="F19" s="69">
        <v>53.7</v>
      </c>
      <c r="G19" s="69">
        <v>48</v>
      </c>
      <c r="H19" s="69">
        <v>183</v>
      </c>
      <c r="I19" s="69">
        <v>313.8</v>
      </c>
      <c r="J19" s="69">
        <v>202</v>
      </c>
      <c r="K19" s="69">
        <v>377.5</v>
      </c>
      <c r="L19" s="69">
        <v>26.7</v>
      </c>
      <c r="M19" s="69">
        <v>23.5</v>
      </c>
      <c r="N19" s="71">
        <v>11.3</v>
      </c>
      <c r="O19" s="19">
        <f t="shared" si="0"/>
        <v>1309.3</v>
      </c>
      <c r="P19" s="14">
        <f t="shared" si="1"/>
        <v>109.1</v>
      </c>
    </row>
    <row r="20" spans="2:18" ht="21.95" customHeight="1">
      <c r="B20" s="64">
        <v>2006</v>
      </c>
      <c r="C20" s="69">
        <v>25.2</v>
      </c>
      <c r="D20" s="69">
        <v>18.5</v>
      </c>
      <c r="E20" s="69">
        <v>6.1</v>
      </c>
      <c r="F20" s="69">
        <v>78.599999999999994</v>
      </c>
      <c r="G20" s="69">
        <v>79</v>
      </c>
      <c r="H20" s="69">
        <v>120</v>
      </c>
      <c r="I20" s="69">
        <v>535.1</v>
      </c>
      <c r="J20" s="69">
        <v>63.5</v>
      </c>
      <c r="K20" s="69">
        <v>22.2</v>
      </c>
      <c r="L20" s="69">
        <v>21.6</v>
      </c>
      <c r="M20" s="69">
        <v>56.3</v>
      </c>
      <c r="N20" s="71">
        <v>17.2</v>
      </c>
      <c r="O20" s="19">
        <f t="shared" si="0"/>
        <v>1043.3</v>
      </c>
      <c r="P20" s="14">
        <f t="shared" si="1"/>
        <v>86.9</v>
      </c>
      <c r="R20" s="1"/>
    </row>
    <row r="21" spans="2:18" ht="21.95" customHeight="1">
      <c r="B21" s="64">
        <v>2007</v>
      </c>
      <c r="C21" s="69">
        <v>9.4</v>
      </c>
      <c r="D21" s="69">
        <v>34.1</v>
      </c>
      <c r="E21" s="69">
        <v>108.3</v>
      </c>
      <c r="F21" s="69">
        <v>35.299999999999997</v>
      </c>
      <c r="G21" s="69">
        <v>126.2</v>
      </c>
      <c r="H21" s="69">
        <v>106.7</v>
      </c>
      <c r="I21" s="69">
        <v>215.6</v>
      </c>
      <c r="J21" s="69">
        <v>470.6</v>
      </c>
      <c r="K21" s="69">
        <v>353.3</v>
      </c>
      <c r="L21" s="69">
        <v>43.4</v>
      </c>
      <c r="M21" s="69">
        <v>15.6</v>
      </c>
      <c r="N21" s="71">
        <v>43.9</v>
      </c>
      <c r="O21" s="19">
        <f t="shared" si="0"/>
        <v>1562.4</v>
      </c>
      <c r="P21" s="14">
        <f t="shared" si="1"/>
        <v>130.19999999999999</v>
      </c>
    </row>
    <row r="22" spans="2:18" ht="21.95" customHeight="1">
      <c r="B22" s="64">
        <v>2008</v>
      </c>
      <c r="C22" s="69">
        <v>17.5</v>
      </c>
      <c r="D22" s="69">
        <v>11.1</v>
      </c>
      <c r="E22" s="69">
        <v>40.1</v>
      </c>
      <c r="F22" s="69">
        <v>34</v>
      </c>
      <c r="G22" s="69">
        <v>62.6</v>
      </c>
      <c r="H22" s="69">
        <v>126.7</v>
      </c>
      <c r="I22" s="69">
        <v>287.2</v>
      </c>
      <c r="J22" s="69">
        <v>138.80000000000001</v>
      </c>
      <c r="K22" s="69">
        <v>89.3</v>
      </c>
      <c r="L22" s="69">
        <v>30.4</v>
      </c>
      <c r="M22" s="69">
        <v>16.600000000000001</v>
      </c>
      <c r="N22" s="71">
        <v>15.8</v>
      </c>
      <c r="O22" s="19">
        <f t="shared" si="0"/>
        <v>870.1</v>
      </c>
      <c r="P22" s="14">
        <f t="shared" si="1"/>
        <v>72.5</v>
      </c>
    </row>
    <row r="23" spans="2:18" ht="21.95" customHeight="1">
      <c r="B23" s="64">
        <v>2009</v>
      </c>
      <c r="C23" s="69">
        <v>13.3</v>
      </c>
      <c r="D23" s="69">
        <v>16</v>
      </c>
      <c r="E23" s="69">
        <v>51.6</v>
      </c>
      <c r="F23" s="69">
        <v>30.6</v>
      </c>
      <c r="G23" s="69">
        <v>112.6</v>
      </c>
      <c r="H23" s="69">
        <v>55.6</v>
      </c>
      <c r="I23" s="69">
        <v>335.8</v>
      </c>
      <c r="J23" s="69">
        <v>212.3</v>
      </c>
      <c r="K23" s="69">
        <v>30.8</v>
      </c>
      <c r="L23" s="69">
        <v>61.1</v>
      </c>
      <c r="M23" s="69">
        <v>39.700000000000003</v>
      </c>
      <c r="N23" s="71">
        <v>40.5</v>
      </c>
      <c r="O23" s="19">
        <f t="shared" si="0"/>
        <v>999.9</v>
      </c>
      <c r="P23" s="14">
        <f t="shared" si="1"/>
        <v>83.3</v>
      </c>
    </row>
    <row r="24" spans="2:18" ht="21.95" customHeight="1">
      <c r="B24" s="64">
        <v>2010</v>
      </c>
      <c r="C24" s="69">
        <v>40.700000000000003</v>
      </c>
      <c r="D24" s="69">
        <v>50.4</v>
      </c>
      <c r="E24" s="69">
        <v>73.8</v>
      </c>
      <c r="F24" s="69">
        <v>61</v>
      </c>
      <c r="G24" s="69">
        <v>84</v>
      </c>
      <c r="H24" s="69">
        <v>37</v>
      </c>
      <c r="I24" s="69">
        <v>171</v>
      </c>
      <c r="J24" s="69">
        <v>486.1</v>
      </c>
      <c r="K24" s="69">
        <v>316.89999999999998</v>
      </c>
      <c r="L24" s="69">
        <v>19.399999999999999</v>
      </c>
      <c r="M24" s="69">
        <v>13.5</v>
      </c>
      <c r="N24" s="71">
        <v>24.5</v>
      </c>
      <c r="O24" s="19">
        <f t="shared" si="0"/>
        <v>1378.3</v>
      </c>
      <c r="P24" s="14">
        <f t="shared" si="1"/>
        <v>114.9</v>
      </c>
    </row>
    <row r="25" spans="2:18" ht="21.95" customHeight="1">
      <c r="B25" s="64">
        <v>2011</v>
      </c>
      <c r="C25" s="69">
        <v>7.9</v>
      </c>
      <c r="D25" s="69">
        <v>31</v>
      </c>
      <c r="E25" s="69">
        <v>26.5</v>
      </c>
      <c r="F25" s="69">
        <v>133.19999999999999</v>
      </c>
      <c r="G25" s="69">
        <v>103.3</v>
      </c>
      <c r="H25" s="69">
        <v>374.6</v>
      </c>
      <c r="I25" s="69">
        <v>645.1</v>
      </c>
      <c r="J25" s="69">
        <v>268.2</v>
      </c>
      <c r="K25" s="69">
        <v>153.19999999999999</v>
      </c>
      <c r="L25" s="69">
        <v>26.5</v>
      </c>
      <c r="M25" s="69">
        <v>65.8</v>
      </c>
      <c r="N25" s="71">
        <v>10.5</v>
      </c>
      <c r="O25" s="19">
        <f t="shared" si="0"/>
        <v>1845.8</v>
      </c>
      <c r="P25" s="14">
        <f t="shared" si="1"/>
        <v>153.80000000000001</v>
      </c>
    </row>
    <row r="26" spans="2:18" ht="21.95" customHeight="1">
      <c r="B26" s="64">
        <v>2012</v>
      </c>
      <c r="C26" s="69">
        <v>14.5</v>
      </c>
      <c r="D26" s="69">
        <v>2.2999999999999998</v>
      </c>
      <c r="E26" s="69">
        <v>44.9</v>
      </c>
      <c r="F26" s="69">
        <v>81.599999999999994</v>
      </c>
      <c r="G26" s="69">
        <v>16.8</v>
      </c>
      <c r="H26" s="69">
        <v>75.099999999999994</v>
      </c>
      <c r="I26" s="69">
        <v>252.5</v>
      </c>
      <c r="J26" s="69">
        <v>483.7</v>
      </c>
      <c r="K26" s="69">
        <v>190.1</v>
      </c>
      <c r="L26" s="69">
        <v>66.599999999999994</v>
      </c>
      <c r="M26" s="69">
        <v>52.6</v>
      </c>
      <c r="N26" s="71">
        <v>56</v>
      </c>
      <c r="O26" s="19">
        <f t="shared" si="0"/>
        <v>1336.7</v>
      </c>
      <c r="P26" s="14">
        <f t="shared" si="1"/>
        <v>111.4</v>
      </c>
    </row>
    <row r="27" spans="2:18" ht="21.95" customHeight="1">
      <c r="B27" s="64">
        <v>2013</v>
      </c>
      <c r="C27" s="69">
        <v>28.5</v>
      </c>
      <c r="D27" s="69">
        <v>35.200000000000003</v>
      </c>
      <c r="E27" s="69">
        <v>40</v>
      </c>
      <c r="F27" s="69">
        <v>56.3</v>
      </c>
      <c r="G27" s="69">
        <v>123.5</v>
      </c>
      <c r="H27" s="69">
        <v>102.1</v>
      </c>
      <c r="I27" s="69">
        <v>308.2</v>
      </c>
      <c r="J27" s="69">
        <v>173.6</v>
      </c>
      <c r="K27" s="69">
        <v>117.5</v>
      </c>
      <c r="L27" s="69">
        <v>12.2</v>
      </c>
      <c r="M27" s="69">
        <v>58.2</v>
      </c>
      <c r="N27" s="71">
        <v>40.299999999999997</v>
      </c>
      <c r="O27" s="19">
        <f t="shared" si="0"/>
        <v>1095.5999999999999</v>
      </c>
      <c r="P27" s="14">
        <f t="shared" si="1"/>
        <v>91.3</v>
      </c>
    </row>
    <row r="28" spans="2:18" ht="21.95" customHeight="1">
      <c r="B28" s="64">
        <v>2014</v>
      </c>
      <c r="C28" s="69">
        <v>4.9000000000000004</v>
      </c>
      <c r="D28" s="69">
        <v>14.7</v>
      </c>
      <c r="E28" s="69">
        <v>40.9</v>
      </c>
      <c r="F28" s="69">
        <v>62.1</v>
      </c>
      <c r="G28" s="69">
        <v>34.6</v>
      </c>
      <c r="H28" s="69">
        <v>73.900000000000006</v>
      </c>
      <c r="I28" s="69">
        <v>239</v>
      </c>
      <c r="J28" s="69">
        <v>218.7</v>
      </c>
      <c r="K28" s="69">
        <v>144</v>
      </c>
      <c r="L28" s="69">
        <v>119.5</v>
      </c>
      <c r="M28" s="69">
        <v>28.9</v>
      </c>
      <c r="N28" s="71">
        <v>38.9</v>
      </c>
      <c r="O28" s="19">
        <f t="shared" si="0"/>
        <v>1020.1</v>
      </c>
      <c r="P28" s="14">
        <f t="shared" si="1"/>
        <v>85</v>
      </c>
    </row>
    <row r="29" spans="2:18" ht="21.95" customHeight="1">
      <c r="B29" s="64">
        <v>2015</v>
      </c>
      <c r="C29" s="69">
        <v>12.7</v>
      </c>
      <c r="D29" s="69">
        <v>21.5</v>
      </c>
      <c r="E29" s="69">
        <v>23.3</v>
      </c>
      <c r="F29" s="69">
        <v>87.6</v>
      </c>
      <c r="G29" s="69">
        <v>27.5</v>
      </c>
      <c r="H29" s="69">
        <v>86</v>
      </c>
      <c r="I29" s="69">
        <v>136.80000000000001</v>
      </c>
      <c r="J29" s="69">
        <v>64.2</v>
      </c>
      <c r="K29" s="69">
        <v>29</v>
      </c>
      <c r="L29" s="69">
        <v>69</v>
      </c>
      <c r="M29" s="69">
        <v>128.6</v>
      </c>
      <c r="N29" s="71">
        <v>41.8</v>
      </c>
      <c r="O29" s="19">
        <f t="shared" si="0"/>
        <v>728</v>
      </c>
      <c r="P29" s="14">
        <f t="shared" si="1"/>
        <v>60.7</v>
      </c>
    </row>
    <row r="30" spans="2:18" ht="21.95" customHeight="1">
      <c r="B30" s="64">
        <v>2016</v>
      </c>
      <c r="C30" s="69">
        <v>8</v>
      </c>
      <c r="D30" s="69">
        <v>43.6</v>
      </c>
      <c r="E30" s="69">
        <v>16.5</v>
      </c>
      <c r="F30" s="69">
        <v>118.3</v>
      </c>
      <c r="G30" s="69">
        <v>107.2</v>
      </c>
      <c r="H30" s="69">
        <v>36.200000000000003</v>
      </c>
      <c r="I30" s="69">
        <v>364.3</v>
      </c>
      <c r="J30" s="69">
        <v>82</v>
      </c>
      <c r="K30" s="69">
        <v>55</v>
      </c>
      <c r="L30" s="69">
        <v>95.9</v>
      </c>
      <c r="M30" s="69">
        <v>33.5</v>
      </c>
      <c r="N30" s="71">
        <v>44.3</v>
      </c>
      <c r="O30" s="19">
        <f t="shared" si="0"/>
        <v>1004.8</v>
      </c>
      <c r="P30" s="14">
        <f t="shared" si="1"/>
        <v>83.7</v>
      </c>
    </row>
    <row r="31" spans="2:18" ht="21.95" customHeight="1">
      <c r="B31" s="64">
        <v>2017</v>
      </c>
      <c r="C31" s="69">
        <v>13.9</v>
      </c>
      <c r="D31" s="69">
        <v>32.200000000000003</v>
      </c>
      <c r="E31" s="69">
        <v>6.5</v>
      </c>
      <c r="F31" s="69">
        <v>42.9</v>
      </c>
      <c r="G31" s="69">
        <v>14.3</v>
      </c>
      <c r="H31" s="69">
        <v>15.6</v>
      </c>
      <c r="I31" s="69">
        <v>788.1</v>
      </c>
      <c r="J31" s="69">
        <v>291.5</v>
      </c>
      <c r="K31" s="69">
        <v>43.3</v>
      </c>
      <c r="L31" s="69">
        <v>14.1</v>
      </c>
      <c r="M31" s="69">
        <v>23.8</v>
      </c>
      <c r="N31" s="71">
        <v>18.8</v>
      </c>
      <c r="O31" s="19">
        <f t="shared" si="0"/>
        <v>1305</v>
      </c>
      <c r="P31" s="14">
        <f t="shared" si="1"/>
        <v>108.8</v>
      </c>
    </row>
    <row r="32" spans="2:18" ht="21.95" customHeight="1">
      <c r="B32" s="64">
        <v>2018</v>
      </c>
      <c r="C32" s="69">
        <v>14</v>
      </c>
      <c r="D32" s="69">
        <v>31.6</v>
      </c>
      <c r="E32" s="69">
        <v>62.2</v>
      </c>
      <c r="F32" s="69">
        <v>117</v>
      </c>
      <c r="G32" s="69">
        <v>82.7</v>
      </c>
      <c r="H32" s="69">
        <v>88.9</v>
      </c>
      <c r="I32" s="69">
        <v>185.8</v>
      </c>
      <c r="J32" s="69">
        <v>282.7</v>
      </c>
      <c r="K32" s="69">
        <v>124.6</v>
      </c>
      <c r="L32" s="69">
        <v>99.8</v>
      </c>
      <c r="M32" s="69">
        <v>48.3</v>
      </c>
      <c r="N32" s="71">
        <v>25.8</v>
      </c>
      <c r="O32" s="19">
        <f t="shared" si="0"/>
        <v>1163.4000000000001</v>
      </c>
      <c r="P32" s="14">
        <f t="shared" si="1"/>
        <v>97</v>
      </c>
    </row>
    <row r="33" spans="2:16" ht="21.95" customHeight="1">
      <c r="B33" s="64">
        <v>2019</v>
      </c>
      <c r="C33" s="69">
        <v>0.6</v>
      </c>
      <c r="D33" s="69">
        <v>25.5</v>
      </c>
      <c r="E33" s="69">
        <v>26.9</v>
      </c>
      <c r="F33" s="69">
        <v>43.9</v>
      </c>
      <c r="G33" s="69">
        <v>15.1</v>
      </c>
      <c r="H33" s="69">
        <v>84.9</v>
      </c>
      <c r="I33" s="69">
        <v>234.7</v>
      </c>
      <c r="J33" s="69">
        <v>90.7</v>
      </c>
      <c r="K33" s="69">
        <v>102.8</v>
      </c>
      <c r="L33" s="69">
        <v>81.900000000000006</v>
      </c>
      <c r="M33" s="69">
        <v>120.6</v>
      </c>
      <c r="N33" s="71">
        <v>18</v>
      </c>
      <c r="O33" s="19">
        <f t="shared" si="0"/>
        <v>845.6</v>
      </c>
      <c r="P33" s="14">
        <f t="shared" si="1"/>
        <v>70.5</v>
      </c>
    </row>
    <row r="34" spans="2:16" ht="21.95" customHeight="1">
      <c r="B34" s="64">
        <v>2020</v>
      </c>
      <c r="C34" s="69">
        <v>59.7</v>
      </c>
      <c r="D34" s="69">
        <v>63.1</v>
      </c>
      <c r="E34" s="69">
        <v>21.7</v>
      </c>
      <c r="F34" s="69">
        <v>15.1</v>
      </c>
      <c r="G34" s="69">
        <v>86.4</v>
      </c>
      <c r="H34" s="69">
        <v>121.9</v>
      </c>
      <c r="I34" s="69">
        <v>356.4</v>
      </c>
      <c r="J34" s="69">
        <v>481.7</v>
      </c>
      <c r="K34" s="69">
        <v>167.2</v>
      </c>
      <c r="L34" s="69">
        <v>18.899999999999999</v>
      </c>
      <c r="M34" s="69">
        <v>45.9</v>
      </c>
      <c r="N34" s="71">
        <v>5.5</v>
      </c>
      <c r="O34" s="19">
        <f t="shared" si="0"/>
        <v>1443.5</v>
      </c>
      <c r="P34" s="14">
        <f t="shared" si="1"/>
        <v>120.3</v>
      </c>
    </row>
    <row r="35" spans="2:16" ht="21.95" customHeight="1" thickBot="1">
      <c r="B35" s="65">
        <v>2021</v>
      </c>
      <c r="C35" s="72">
        <v>17.8</v>
      </c>
      <c r="D35" s="72">
        <v>9.1999999999999993</v>
      </c>
      <c r="E35" s="72">
        <v>75.3</v>
      </c>
      <c r="F35" s="72">
        <v>54.7</v>
      </c>
      <c r="G35" s="72">
        <v>135.9</v>
      </c>
      <c r="H35" s="72">
        <v>44.8</v>
      </c>
      <c r="I35" s="72">
        <v>117.6</v>
      </c>
      <c r="J35" s="72">
        <v>230</v>
      </c>
      <c r="K35" s="72">
        <v>250.8</v>
      </c>
      <c r="L35" s="72">
        <v>49.5</v>
      </c>
      <c r="M35" s="72">
        <v>67.900000000000006</v>
      </c>
      <c r="N35" s="73">
        <v>5.4</v>
      </c>
      <c r="O35" s="23">
        <f t="shared" si="0"/>
        <v>1058.9000000000001</v>
      </c>
      <c r="P35" s="24">
        <f t="shared" si="1"/>
        <v>88.2</v>
      </c>
    </row>
    <row r="36" spans="2:16" ht="21.95" customHeight="1">
      <c r="B36" s="25" t="s">
        <v>13</v>
      </c>
      <c r="C36" s="26">
        <f>ROUND(MAX(C6:C35),1)</f>
        <v>59.7</v>
      </c>
      <c r="D36" s="26">
        <f t="shared" ref="D36:N36" si="2">ROUND(MAX(D6:D35),1)</f>
        <v>68.599999999999994</v>
      </c>
      <c r="E36" s="26">
        <f t="shared" si="2"/>
        <v>115</v>
      </c>
      <c r="F36" s="26">
        <f t="shared" si="2"/>
        <v>172.3</v>
      </c>
      <c r="G36" s="26">
        <f t="shared" si="2"/>
        <v>211</v>
      </c>
      <c r="H36" s="26">
        <f t="shared" si="2"/>
        <v>374.6</v>
      </c>
      <c r="I36" s="26">
        <f t="shared" si="2"/>
        <v>788.1</v>
      </c>
      <c r="J36" s="26">
        <f t="shared" si="2"/>
        <v>1082.5</v>
      </c>
      <c r="K36" s="26">
        <f t="shared" si="2"/>
        <v>377.5</v>
      </c>
      <c r="L36" s="26">
        <f t="shared" si="2"/>
        <v>220</v>
      </c>
      <c r="M36" s="26">
        <f t="shared" si="2"/>
        <v>153.5</v>
      </c>
      <c r="N36" s="27">
        <f t="shared" si="2"/>
        <v>56</v>
      </c>
      <c r="O36" s="28">
        <f>ROUND(MAX(O6:O35),1)</f>
        <v>1845.8</v>
      </c>
      <c r="P36" s="29">
        <f>ROUND(MAX(P6:P35),1)</f>
        <v>153.80000000000001</v>
      </c>
    </row>
    <row r="37" spans="2:16" ht="21.95" customHeight="1">
      <c r="B37" s="12" t="s">
        <v>14</v>
      </c>
      <c r="C37" s="7">
        <f>ROUND(MIN(C6:C35),1)</f>
        <v>0.6</v>
      </c>
      <c r="D37" s="7">
        <f t="shared" ref="D37:N37" si="3">ROUND(MIN(D6:D35),1)</f>
        <v>2.2999999999999998</v>
      </c>
      <c r="E37" s="7">
        <f t="shared" si="3"/>
        <v>6.1</v>
      </c>
      <c r="F37" s="7">
        <f t="shared" si="3"/>
        <v>13.5</v>
      </c>
      <c r="G37" s="7">
        <f t="shared" si="3"/>
        <v>14.3</v>
      </c>
      <c r="H37" s="7">
        <f t="shared" si="3"/>
        <v>14.5</v>
      </c>
      <c r="I37" s="7">
        <f t="shared" si="3"/>
        <v>83</v>
      </c>
      <c r="J37" s="7">
        <f t="shared" si="3"/>
        <v>63.5</v>
      </c>
      <c r="K37" s="7">
        <f t="shared" si="3"/>
        <v>8</v>
      </c>
      <c r="L37" s="7">
        <f t="shared" si="3"/>
        <v>4.5</v>
      </c>
      <c r="M37" s="7">
        <f t="shared" si="3"/>
        <v>6.3</v>
      </c>
      <c r="N37" s="14">
        <f t="shared" si="3"/>
        <v>5.4</v>
      </c>
      <c r="O37" s="20">
        <f>ROUND(MIN(O6:O35),1)</f>
        <v>728</v>
      </c>
      <c r="P37" s="13">
        <f>ROUND(MIN(P6:P35),1)</f>
        <v>60.7</v>
      </c>
    </row>
    <row r="38" spans="2:16" ht="21.95" customHeight="1" thickBot="1">
      <c r="B38" s="15" t="s">
        <v>18</v>
      </c>
      <c r="C38" s="16">
        <f>ROUND(AVERAGE(C6:C35),1)</f>
        <v>19.100000000000001</v>
      </c>
      <c r="D38" s="16">
        <f t="shared" ref="D38:J38" si="4">ROUND(AVERAGE(D6:D35),1)</f>
        <v>25.9</v>
      </c>
      <c r="E38" s="16">
        <f t="shared" si="4"/>
        <v>38.299999999999997</v>
      </c>
      <c r="F38" s="16">
        <f t="shared" si="4"/>
        <v>67.599999999999994</v>
      </c>
      <c r="G38" s="16">
        <f t="shared" si="4"/>
        <v>78.3</v>
      </c>
      <c r="H38" s="16">
        <f t="shared" si="4"/>
        <v>126</v>
      </c>
      <c r="I38" s="16">
        <f t="shared" si="4"/>
        <v>280.39999999999998</v>
      </c>
      <c r="J38" s="16">
        <f t="shared" si="4"/>
        <v>304.2</v>
      </c>
      <c r="K38" s="16">
        <f t="shared" ref="K38:P38" si="5">ROUND(AVERAGE(K6:K35),1)</f>
        <v>145</v>
      </c>
      <c r="L38" s="16">
        <f t="shared" si="5"/>
        <v>56.5</v>
      </c>
      <c r="M38" s="16">
        <f t="shared" si="5"/>
        <v>49.5</v>
      </c>
      <c r="N38" s="17">
        <f t="shared" si="5"/>
        <v>26.5</v>
      </c>
      <c r="O38" s="21">
        <f t="shared" si="5"/>
        <v>1217.2</v>
      </c>
      <c r="P38" s="22">
        <f t="shared" si="5"/>
        <v>101.4</v>
      </c>
    </row>
    <row r="39" spans="2:16" ht="21.95" customHeight="1"/>
    <row r="40" spans="2:16" ht="21.95" customHeight="1"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2012</v>
      </c>
      <c r="C44" s="40">
        <f t="shared" ref="C44:N44" si="6">C26</f>
        <v>14.5</v>
      </c>
      <c r="D44" s="40">
        <f t="shared" si="6"/>
        <v>2.2999999999999998</v>
      </c>
      <c r="E44" s="40">
        <f t="shared" si="6"/>
        <v>44.9</v>
      </c>
      <c r="F44" s="40">
        <f t="shared" si="6"/>
        <v>81.599999999999994</v>
      </c>
      <c r="G44" s="40">
        <f t="shared" si="6"/>
        <v>16.8</v>
      </c>
      <c r="H44" s="40">
        <f t="shared" si="6"/>
        <v>75.099999999999994</v>
      </c>
      <c r="I44" s="40">
        <f t="shared" si="6"/>
        <v>252.5</v>
      </c>
      <c r="J44" s="40">
        <f t="shared" si="6"/>
        <v>483.7</v>
      </c>
      <c r="K44" s="40">
        <f t="shared" si="6"/>
        <v>190.1</v>
      </c>
      <c r="L44" s="40">
        <f t="shared" si="6"/>
        <v>66.599999999999994</v>
      </c>
      <c r="M44" s="40">
        <f t="shared" si="6"/>
        <v>52.6</v>
      </c>
      <c r="N44" s="47">
        <f t="shared" si="6"/>
        <v>56</v>
      </c>
      <c r="O44" s="8">
        <f>ROUND(SUM(C44:N44),1)</f>
        <v>1336.7</v>
      </c>
      <c r="P44" s="13">
        <f>ROUND(O44/12,1)</f>
        <v>111.4</v>
      </c>
    </row>
    <row r="45" spans="2:16" ht="21.95" customHeight="1">
      <c r="B45" s="39">
        <f t="shared" ref="B45:N45" si="7">B27</f>
        <v>2013</v>
      </c>
      <c r="C45" s="40">
        <f t="shared" si="7"/>
        <v>28.5</v>
      </c>
      <c r="D45" s="40">
        <f t="shared" si="7"/>
        <v>35.200000000000003</v>
      </c>
      <c r="E45" s="40">
        <f t="shared" si="7"/>
        <v>40</v>
      </c>
      <c r="F45" s="40">
        <f t="shared" si="7"/>
        <v>56.3</v>
      </c>
      <c r="G45" s="40">
        <f t="shared" si="7"/>
        <v>123.5</v>
      </c>
      <c r="H45" s="40">
        <f t="shared" si="7"/>
        <v>102.1</v>
      </c>
      <c r="I45" s="40">
        <f t="shared" si="7"/>
        <v>308.2</v>
      </c>
      <c r="J45" s="40">
        <f t="shared" si="7"/>
        <v>173.6</v>
      </c>
      <c r="K45" s="40">
        <f t="shared" si="7"/>
        <v>117.5</v>
      </c>
      <c r="L45" s="40">
        <f t="shared" si="7"/>
        <v>12.2</v>
      </c>
      <c r="M45" s="40">
        <f t="shared" si="7"/>
        <v>58.2</v>
      </c>
      <c r="N45" s="47">
        <f t="shared" si="7"/>
        <v>40.299999999999997</v>
      </c>
      <c r="O45" s="8">
        <f t="shared" ref="O45:O53" si="8">ROUND(SUM(C45:N45),1)</f>
        <v>1095.5999999999999</v>
      </c>
      <c r="P45" s="13">
        <f t="shared" ref="P45:P53" si="9">ROUND(O45/12,1)</f>
        <v>91.3</v>
      </c>
    </row>
    <row r="46" spans="2:16" ht="21.95" customHeight="1">
      <c r="B46" s="39">
        <f t="shared" ref="B46:N46" si="10">B28</f>
        <v>2014</v>
      </c>
      <c r="C46" s="40">
        <f t="shared" si="10"/>
        <v>4.9000000000000004</v>
      </c>
      <c r="D46" s="40">
        <f t="shared" si="10"/>
        <v>14.7</v>
      </c>
      <c r="E46" s="40">
        <f t="shared" si="10"/>
        <v>40.9</v>
      </c>
      <c r="F46" s="40">
        <f t="shared" si="10"/>
        <v>62.1</v>
      </c>
      <c r="G46" s="40">
        <f t="shared" si="10"/>
        <v>34.6</v>
      </c>
      <c r="H46" s="40">
        <f t="shared" si="10"/>
        <v>73.900000000000006</v>
      </c>
      <c r="I46" s="40">
        <f t="shared" si="10"/>
        <v>239</v>
      </c>
      <c r="J46" s="40">
        <f t="shared" si="10"/>
        <v>218.7</v>
      </c>
      <c r="K46" s="40">
        <f t="shared" si="10"/>
        <v>144</v>
      </c>
      <c r="L46" s="40">
        <f t="shared" si="10"/>
        <v>119.5</v>
      </c>
      <c r="M46" s="40">
        <f t="shared" si="10"/>
        <v>28.9</v>
      </c>
      <c r="N46" s="47">
        <f t="shared" si="10"/>
        <v>38.9</v>
      </c>
      <c r="O46" s="8">
        <f t="shared" si="8"/>
        <v>1020.1</v>
      </c>
      <c r="P46" s="13">
        <f t="shared" si="9"/>
        <v>85</v>
      </c>
    </row>
    <row r="47" spans="2:16" ht="21.95" customHeight="1">
      <c r="B47" s="39">
        <f t="shared" ref="B47:N47" si="11">B29</f>
        <v>2015</v>
      </c>
      <c r="C47" s="40">
        <f t="shared" si="11"/>
        <v>12.7</v>
      </c>
      <c r="D47" s="40">
        <f t="shared" si="11"/>
        <v>21.5</v>
      </c>
      <c r="E47" s="40">
        <f t="shared" si="11"/>
        <v>23.3</v>
      </c>
      <c r="F47" s="40">
        <f t="shared" si="11"/>
        <v>87.6</v>
      </c>
      <c r="G47" s="40">
        <f t="shared" si="11"/>
        <v>27.5</v>
      </c>
      <c r="H47" s="40">
        <f t="shared" si="11"/>
        <v>86</v>
      </c>
      <c r="I47" s="40">
        <f t="shared" si="11"/>
        <v>136.80000000000001</v>
      </c>
      <c r="J47" s="40">
        <f t="shared" si="11"/>
        <v>64.2</v>
      </c>
      <c r="K47" s="40">
        <f t="shared" si="11"/>
        <v>29</v>
      </c>
      <c r="L47" s="40">
        <f t="shared" si="11"/>
        <v>69</v>
      </c>
      <c r="M47" s="40">
        <f t="shared" si="11"/>
        <v>128.6</v>
      </c>
      <c r="N47" s="47">
        <f t="shared" si="11"/>
        <v>41.8</v>
      </c>
      <c r="O47" s="8">
        <f>ROUND(SUM(C47:N47),1)</f>
        <v>728</v>
      </c>
      <c r="P47" s="13">
        <f t="shared" si="9"/>
        <v>60.7</v>
      </c>
    </row>
    <row r="48" spans="2:16" ht="21.95" customHeight="1">
      <c r="B48" s="39">
        <f t="shared" ref="B48:N48" si="12">B30</f>
        <v>2016</v>
      </c>
      <c r="C48" s="40">
        <f t="shared" si="12"/>
        <v>8</v>
      </c>
      <c r="D48" s="40">
        <f t="shared" si="12"/>
        <v>43.6</v>
      </c>
      <c r="E48" s="40">
        <f t="shared" si="12"/>
        <v>16.5</v>
      </c>
      <c r="F48" s="40">
        <f t="shared" si="12"/>
        <v>118.3</v>
      </c>
      <c r="G48" s="40">
        <f t="shared" si="12"/>
        <v>107.2</v>
      </c>
      <c r="H48" s="40">
        <f t="shared" si="12"/>
        <v>36.200000000000003</v>
      </c>
      <c r="I48" s="40">
        <f t="shared" si="12"/>
        <v>364.3</v>
      </c>
      <c r="J48" s="40">
        <f t="shared" si="12"/>
        <v>82</v>
      </c>
      <c r="K48" s="40">
        <f t="shared" si="12"/>
        <v>55</v>
      </c>
      <c r="L48" s="40">
        <f t="shared" si="12"/>
        <v>95.9</v>
      </c>
      <c r="M48" s="40">
        <f t="shared" si="12"/>
        <v>33.5</v>
      </c>
      <c r="N48" s="47">
        <f t="shared" si="12"/>
        <v>44.3</v>
      </c>
      <c r="O48" s="8">
        <f t="shared" si="8"/>
        <v>1004.8</v>
      </c>
      <c r="P48" s="13">
        <f t="shared" si="9"/>
        <v>83.7</v>
      </c>
    </row>
    <row r="49" spans="2:16" ht="21.95" customHeight="1">
      <c r="B49" s="39">
        <f t="shared" ref="B49:N49" si="13">B31</f>
        <v>2017</v>
      </c>
      <c r="C49" s="40">
        <f t="shared" si="13"/>
        <v>13.9</v>
      </c>
      <c r="D49" s="40">
        <f t="shared" si="13"/>
        <v>32.200000000000003</v>
      </c>
      <c r="E49" s="40">
        <f t="shared" si="13"/>
        <v>6.5</v>
      </c>
      <c r="F49" s="40">
        <f t="shared" si="13"/>
        <v>42.9</v>
      </c>
      <c r="G49" s="40">
        <f t="shared" si="13"/>
        <v>14.3</v>
      </c>
      <c r="H49" s="40">
        <f t="shared" si="13"/>
        <v>15.6</v>
      </c>
      <c r="I49" s="40">
        <f t="shared" si="13"/>
        <v>788.1</v>
      </c>
      <c r="J49" s="40">
        <f t="shared" si="13"/>
        <v>291.5</v>
      </c>
      <c r="K49" s="40">
        <f t="shared" si="13"/>
        <v>43.3</v>
      </c>
      <c r="L49" s="40">
        <f t="shared" si="13"/>
        <v>14.1</v>
      </c>
      <c r="M49" s="40">
        <f t="shared" si="13"/>
        <v>23.8</v>
      </c>
      <c r="N49" s="47">
        <f t="shared" si="13"/>
        <v>18.8</v>
      </c>
      <c r="O49" s="8">
        <f t="shared" si="8"/>
        <v>1305</v>
      </c>
      <c r="P49" s="13">
        <f t="shared" si="9"/>
        <v>108.8</v>
      </c>
    </row>
    <row r="50" spans="2:16" ht="21.95" customHeight="1">
      <c r="B50" s="39">
        <f t="shared" ref="B50:N50" si="14">B32</f>
        <v>2018</v>
      </c>
      <c r="C50" s="40">
        <f t="shared" si="14"/>
        <v>14</v>
      </c>
      <c r="D50" s="40">
        <f t="shared" si="14"/>
        <v>31.6</v>
      </c>
      <c r="E50" s="40">
        <f t="shared" si="14"/>
        <v>62.2</v>
      </c>
      <c r="F50" s="40">
        <f t="shared" si="14"/>
        <v>117</v>
      </c>
      <c r="G50" s="40">
        <f t="shared" si="14"/>
        <v>82.7</v>
      </c>
      <c r="H50" s="40">
        <f t="shared" si="14"/>
        <v>88.9</v>
      </c>
      <c r="I50" s="40">
        <f t="shared" si="14"/>
        <v>185.8</v>
      </c>
      <c r="J50" s="40">
        <f t="shared" si="14"/>
        <v>282.7</v>
      </c>
      <c r="K50" s="40">
        <f t="shared" si="14"/>
        <v>124.6</v>
      </c>
      <c r="L50" s="40">
        <f t="shared" si="14"/>
        <v>99.8</v>
      </c>
      <c r="M50" s="40">
        <f t="shared" si="14"/>
        <v>48.3</v>
      </c>
      <c r="N50" s="47">
        <f t="shared" si="14"/>
        <v>25.8</v>
      </c>
      <c r="O50" s="8">
        <f t="shared" si="8"/>
        <v>1163.4000000000001</v>
      </c>
      <c r="P50" s="13">
        <f t="shared" si="9"/>
        <v>97</v>
      </c>
    </row>
    <row r="51" spans="2:16" ht="21.95" customHeight="1">
      <c r="B51" s="39">
        <f t="shared" ref="B51:N51" si="15">B33</f>
        <v>2019</v>
      </c>
      <c r="C51" s="40">
        <f t="shared" si="15"/>
        <v>0.6</v>
      </c>
      <c r="D51" s="40">
        <f t="shared" si="15"/>
        <v>25.5</v>
      </c>
      <c r="E51" s="40">
        <f t="shared" si="15"/>
        <v>26.9</v>
      </c>
      <c r="F51" s="40">
        <f t="shared" si="15"/>
        <v>43.9</v>
      </c>
      <c r="G51" s="40">
        <f t="shared" si="15"/>
        <v>15.1</v>
      </c>
      <c r="H51" s="40">
        <f t="shared" si="15"/>
        <v>84.9</v>
      </c>
      <c r="I51" s="40">
        <f t="shared" si="15"/>
        <v>234.7</v>
      </c>
      <c r="J51" s="40">
        <f t="shared" si="15"/>
        <v>90.7</v>
      </c>
      <c r="K51" s="40">
        <f t="shared" si="15"/>
        <v>102.8</v>
      </c>
      <c r="L51" s="40">
        <f t="shared" si="15"/>
        <v>81.900000000000006</v>
      </c>
      <c r="M51" s="40">
        <f t="shared" si="15"/>
        <v>120.6</v>
      </c>
      <c r="N51" s="47">
        <f t="shared" si="15"/>
        <v>18</v>
      </c>
      <c r="O51" s="8">
        <f t="shared" si="8"/>
        <v>845.6</v>
      </c>
      <c r="P51" s="13">
        <f t="shared" si="9"/>
        <v>70.5</v>
      </c>
    </row>
    <row r="52" spans="2:16" ht="21.95" customHeight="1">
      <c r="B52" s="39">
        <f t="shared" ref="B52:N52" si="16">B34</f>
        <v>2020</v>
      </c>
      <c r="C52" s="40">
        <f t="shared" si="16"/>
        <v>59.7</v>
      </c>
      <c r="D52" s="40">
        <f t="shared" si="16"/>
        <v>63.1</v>
      </c>
      <c r="E52" s="40">
        <f t="shared" si="16"/>
        <v>21.7</v>
      </c>
      <c r="F52" s="40">
        <f t="shared" si="16"/>
        <v>15.1</v>
      </c>
      <c r="G52" s="40">
        <f t="shared" si="16"/>
        <v>86.4</v>
      </c>
      <c r="H52" s="40">
        <f t="shared" si="16"/>
        <v>121.9</v>
      </c>
      <c r="I52" s="40">
        <f t="shared" si="16"/>
        <v>356.4</v>
      </c>
      <c r="J52" s="40">
        <f t="shared" si="16"/>
        <v>481.7</v>
      </c>
      <c r="K52" s="40">
        <f t="shared" si="16"/>
        <v>167.2</v>
      </c>
      <c r="L52" s="40">
        <f t="shared" si="16"/>
        <v>18.899999999999999</v>
      </c>
      <c r="M52" s="40">
        <f t="shared" si="16"/>
        <v>45.9</v>
      </c>
      <c r="N52" s="47">
        <f t="shared" si="16"/>
        <v>5.5</v>
      </c>
      <c r="O52" s="8">
        <f t="shared" si="8"/>
        <v>1443.5</v>
      </c>
      <c r="P52" s="13">
        <f t="shared" si="9"/>
        <v>120.3</v>
      </c>
    </row>
    <row r="53" spans="2:16" ht="21.95" customHeight="1" thickBot="1">
      <c r="B53" s="44">
        <f t="shared" ref="B53:N53" si="17">B35</f>
        <v>2021</v>
      </c>
      <c r="C53" s="45">
        <f t="shared" si="17"/>
        <v>17.8</v>
      </c>
      <c r="D53" s="45">
        <f t="shared" si="17"/>
        <v>9.1999999999999993</v>
      </c>
      <c r="E53" s="45">
        <f t="shared" si="17"/>
        <v>75.3</v>
      </c>
      <c r="F53" s="45">
        <f t="shared" si="17"/>
        <v>54.7</v>
      </c>
      <c r="G53" s="45">
        <f t="shared" si="17"/>
        <v>135.9</v>
      </c>
      <c r="H53" s="45">
        <f t="shared" si="17"/>
        <v>44.8</v>
      </c>
      <c r="I53" s="45">
        <f t="shared" si="17"/>
        <v>117.6</v>
      </c>
      <c r="J53" s="45">
        <f t="shared" si="17"/>
        <v>230</v>
      </c>
      <c r="K53" s="45">
        <f t="shared" si="17"/>
        <v>250.8</v>
      </c>
      <c r="L53" s="45">
        <f t="shared" si="17"/>
        <v>49.5</v>
      </c>
      <c r="M53" s="45">
        <f t="shared" si="17"/>
        <v>67.900000000000006</v>
      </c>
      <c r="N53" s="48">
        <f t="shared" si="17"/>
        <v>5.4</v>
      </c>
      <c r="O53" s="37">
        <f t="shared" si="8"/>
        <v>1058.9000000000001</v>
      </c>
      <c r="P53" s="22">
        <f t="shared" si="9"/>
        <v>88.2</v>
      </c>
    </row>
    <row r="54" spans="2:16" ht="21.95" customHeight="1">
      <c r="B54" s="41" t="s">
        <v>19</v>
      </c>
      <c r="C54" s="42">
        <f>MAX(C44:C53)</f>
        <v>59.7</v>
      </c>
      <c r="D54" s="42">
        <f t="shared" ref="D54:P54" si="18">MAX(D44:D53)</f>
        <v>63.1</v>
      </c>
      <c r="E54" s="42">
        <f t="shared" si="18"/>
        <v>75.3</v>
      </c>
      <c r="F54" s="42">
        <f t="shared" si="18"/>
        <v>118.3</v>
      </c>
      <c r="G54" s="42">
        <f t="shared" si="18"/>
        <v>135.9</v>
      </c>
      <c r="H54" s="42">
        <f t="shared" si="18"/>
        <v>121.9</v>
      </c>
      <c r="I54" s="42">
        <f t="shared" si="18"/>
        <v>788.1</v>
      </c>
      <c r="J54" s="42">
        <f t="shared" si="18"/>
        <v>483.7</v>
      </c>
      <c r="K54" s="42">
        <f t="shared" si="18"/>
        <v>250.8</v>
      </c>
      <c r="L54" s="42">
        <f t="shared" si="18"/>
        <v>119.5</v>
      </c>
      <c r="M54" s="42">
        <f t="shared" si="18"/>
        <v>128.6</v>
      </c>
      <c r="N54" s="43">
        <f t="shared" si="18"/>
        <v>56</v>
      </c>
      <c r="O54" s="46">
        <f t="shared" si="18"/>
        <v>1443.5</v>
      </c>
      <c r="P54" s="43">
        <f t="shared" si="18"/>
        <v>120.3</v>
      </c>
    </row>
    <row r="55" spans="2:16" ht="21.95" customHeight="1">
      <c r="B55" s="33" t="s">
        <v>20</v>
      </c>
      <c r="C55" s="6">
        <f>MIN(C44:C53)</f>
        <v>0.6</v>
      </c>
      <c r="D55" s="6">
        <f t="shared" ref="D55:P55" si="19">MIN(D44:D53)</f>
        <v>2.2999999999999998</v>
      </c>
      <c r="E55" s="6">
        <f t="shared" si="19"/>
        <v>6.5</v>
      </c>
      <c r="F55" s="6">
        <f t="shared" si="19"/>
        <v>15.1</v>
      </c>
      <c r="G55" s="6">
        <f t="shared" si="19"/>
        <v>14.3</v>
      </c>
      <c r="H55" s="6">
        <f t="shared" si="19"/>
        <v>15.6</v>
      </c>
      <c r="I55" s="6">
        <f t="shared" si="19"/>
        <v>117.6</v>
      </c>
      <c r="J55" s="6">
        <f t="shared" si="19"/>
        <v>64.2</v>
      </c>
      <c r="K55" s="6">
        <f t="shared" si="19"/>
        <v>29</v>
      </c>
      <c r="L55" s="6">
        <f t="shared" si="19"/>
        <v>12.2</v>
      </c>
      <c r="M55" s="6">
        <f t="shared" si="19"/>
        <v>23.8</v>
      </c>
      <c r="N55" s="13">
        <f t="shared" si="19"/>
        <v>5.4</v>
      </c>
      <c r="O55" s="8">
        <f>MIN(O44:O53)</f>
        <v>728</v>
      </c>
      <c r="P55" s="13">
        <f t="shared" si="19"/>
        <v>60.7</v>
      </c>
    </row>
    <row r="56" spans="2:16" ht="21.95" customHeight="1" thickBot="1">
      <c r="B56" s="34" t="s">
        <v>7</v>
      </c>
      <c r="C56" s="35">
        <f>ROUND(AVERAGE(C44:C53),1)</f>
        <v>17.5</v>
      </c>
      <c r="D56" s="35">
        <f t="shared" ref="D56:N56" si="20">ROUND(AVERAGE(D44:D53),1)</f>
        <v>27.9</v>
      </c>
      <c r="E56" s="35">
        <f t="shared" si="20"/>
        <v>35.799999999999997</v>
      </c>
      <c r="F56" s="35">
        <f t="shared" si="20"/>
        <v>68</v>
      </c>
      <c r="G56" s="35">
        <f t="shared" si="20"/>
        <v>64.400000000000006</v>
      </c>
      <c r="H56" s="35">
        <f t="shared" si="20"/>
        <v>72.900000000000006</v>
      </c>
      <c r="I56" s="35">
        <f t="shared" si="20"/>
        <v>298.3</v>
      </c>
      <c r="J56" s="35">
        <f t="shared" si="20"/>
        <v>239.9</v>
      </c>
      <c r="K56" s="35">
        <f t="shared" si="20"/>
        <v>122.4</v>
      </c>
      <c r="L56" s="35">
        <f t="shared" si="20"/>
        <v>62.7</v>
      </c>
      <c r="M56" s="35">
        <f t="shared" si="20"/>
        <v>60.8</v>
      </c>
      <c r="N56" s="22">
        <f t="shared" si="20"/>
        <v>29.5</v>
      </c>
      <c r="O56" s="37">
        <f>ROUND(AVERAGE(O44:O53),1)</f>
        <v>1100.2</v>
      </c>
      <c r="P56" s="22">
        <f>ROUND(AVERAGE(P44:P53),1)</f>
        <v>91.7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15" r:id="rId4" name="CommandButton2">
          <controlPr defaultSize="0" autoLine="0" r:id="rId5">
            <anchor moveWithCells="1">
              <from>
                <xdr:col>20</xdr:col>
                <xdr:colOff>285750</xdr:colOff>
                <xdr:row>9</xdr:row>
                <xdr:rowOff>142875</xdr:rowOff>
              </from>
              <to>
                <xdr:col>23</xdr:col>
                <xdr:colOff>390525</xdr:colOff>
                <xdr:row>11</xdr:row>
                <xdr:rowOff>38100</xdr:rowOff>
              </to>
            </anchor>
          </controlPr>
        </control>
      </mc:Choice>
      <mc:Fallback>
        <control shapeId="59415" r:id="rId4" name="CommandButton2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285750</xdr:colOff>
                <xdr:row>5</xdr:row>
                <xdr:rowOff>104775</xdr:rowOff>
              </from>
              <to>
                <xdr:col>23</xdr:col>
                <xdr:colOff>390525</xdr:colOff>
                <xdr:row>7</xdr:row>
                <xdr:rowOff>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07" r:id="rId8" name="CommandButton3">
          <controlPr defaultSize="0" autoLine="0" r:id="rId9">
            <anchor moveWithCells="1">
              <from>
                <xdr:col>20</xdr:col>
                <xdr:colOff>285750</xdr:colOff>
                <xdr:row>7</xdr:row>
                <xdr:rowOff>142875</xdr:rowOff>
              </from>
              <to>
                <xdr:col>23</xdr:col>
                <xdr:colOff>390525</xdr:colOff>
                <xdr:row>9</xdr:row>
                <xdr:rowOff>38100</xdr:rowOff>
              </to>
            </anchor>
          </controlPr>
        </control>
      </mc:Choice>
      <mc:Fallback>
        <control shapeId="59407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6A298-5AB4-4F7D-AC3D-6ED55FD8BA6C}">
  <sheetPr codeName="Sheet1"/>
  <dimension ref="A1:Z33"/>
  <sheetViews>
    <sheetView workbookViewId="0">
      <selection activeCell="Y5" sqref="Y5"/>
    </sheetView>
  </sheetViews>
  <sheetFormatPr defaultRowHeight="16.5"/>
  <cols>
    <col min="1" max="1" width="8.88671875" style="50"/>
    <col min="2" max="2" width="7.5546875" style="50" customWidth="1"/>
    <col min="3" max="3" width="7.33203125" style="60" bestFit="1" customWidth="1"/>
    <col min="4" max="4" width="3.21875" style="50" customWidth="1"/>
    <col min="5" max="5" width="8.88671875" style="50"/>
    <col min="6" max="7" width="6.77734375" style="50" customWidth="1"/>
    <col min="8" max="8" width="3.44140625" style="50" customWidth="1"/>
    <col min="9" max="9" width="8.88671875" style="50"/>
    <col min="10" max="11" width="6" style="50" customWidth="1"/>
    <col min="12" max="12" width="3.21875" style="50" customWidth="1"/>
    <col min="13" max="13" width="10.5546875" style="50" customWidth="1"/>
    <col min="14" max="14" width="7.44140625" style="50" customWidth="1"/>
    <col min="15" max="15" width="6.88671875" style="50" customWidth="1"/>
    <col min="16" max="16" width="3.6640625" style="50" customWidth="1"/>
    <col min="17" max="17" width="8.88671875" style="50"/>
    <col min="18" max="18" width="6.44140625" style="50" customWidth="1"/>
    <col min="19" max="19" width="6.5546875" style="50" customWidth="1"/>
    <col min="20" max="20" width="4.21875" style="50" customWidth="1"/>
    <col min="21" max="21" width="8.88671875" style="50"/>
    <col min="22" max="22" width="6.33203125" style="50" customWidth="1"/>
    <col min="23" max="23" width="6.21875" style="50" customWidth="1"/>
    <col min="24" max="24" width="4.77734375" style="50" customWidth="1"/>
    <col min="25" max="25" width="8.88671875" style="50"/>
    <col min="26" max="26" width="7.109375" style="50" customWidth="1"/>
    <col min="27" max="16384" width="8.88671875" style="50"/>
  </cols>
  <sheetData>
    <row r="1" spans="1:26">
      <c r="A1" s="50" t="s">
        <v>30</v>
      </c>
      <c r="B1" s="50" t="s">
        <v>31</v>
      </c>
      <c r="C1" s="60" t="s">
        <v>42</v>
      </c>
      <c r="E1" s="50" t="s">
        <v>30</v>
      </c>
      <c r="F1" s="50" t="s">
        <v>31</v>
      </c>
      <c r="G1" s="60" t="s">
        <v>42</v>
      </c>
      <c r="I1" s="50" t="s">
        <v>30</v>
      </c>
      <c r="J1" s="50" t="s">
        <v>31</v>
      </c>
      <c r="K1" s="60" t="s">
        <v>42</v>
      </c>
      <c r="M1" s="50" t="s">
        <v>30</v>
      </c>
      <c r="N1" s="50" t="s">
        <v>31</v>
      </c>
      <c r="O1" s="60" t="s">
        <v>42</v>
      </c>
      <c r="Q1" s="50" t="s">
        <v>30</v>
      </c>
      <c r="R1" s="50" t="s">
        <v>31</v>
      </c>
      <c r="S1" s="60" t="s">
        <v>42</v>
      </c>
      <c r="U1" s="50" t="s">
        <v>30</v>
      </c>
      <c r="V1" s="50" t="s">
        <v>31</v>
      </c>
      <c r="W1" s="60" t="s">
        <v>42</v>
      </c>
      <c r="Y1" s="50" t="s">
        <v>30</v>
      </c>
      <c r="Z1" s="50" t="s">
        <v>31</v>
      </c>
    </row>
    <row r="2" spans="1:26">
      <c r="A2" s="50" t="s">
        <v>43</v>
      </c>
      <c r="B2" s="50">
        <v>116</v>
      </c>
      <c r="C2" s="60">
        <v>14</v>
      </c>
      <c r="E2" s="50" t="s">
        <v>53</v>
      </c>
      <c r="F2" s="50">
        <v>105</v>
      </c>
      <c r="G2" s="60">
        <v>38</v>
      </c>
      <c r="I2" s="50" t="s">
        <v>68</v>
      </c>
      <c r="J2" s="50">
        <v>226</v>
      </c>
      <c r="K2" s="60">
        <v>54</v>
      </c>
      <c r="M2" s="50" t="s">
        <v>81</v>
      </c>
      <c r="N2" s="50">
        <v>156</v>
      </c>
      <c r="O2" s="60">
        <v>26</v>
      </c>
      <c r="Q2" s="50" t="s">
        <v>108</v>
      </c>
      <c r="R2" s="50">
        <v>143</v>
      </c>
      <c r="S2" s="60">
        <v>19</v>
      </c>
      <c r="U2" s="50" t="s">
        <v>140</v>
      </c>
      <c r="V2" s="50">
        <v>185</v>
      </c>
      <c r="W2" s="60">
        <v>125</v>
      </c>
      <c r="Y2" s="50" t="s">
        <v>32</v>
      </c>
      <c r="Z2" s="50" t="s">
        <v>148</v>
      </c>
    </row>
    <row r="3" spans="1:26">
      <c r="A3" s="50" t="s">
        <v>44</v>
      </c>
      <c r="B3" s="50">
        <v>108</v>
      </c>
      <c r="C3" s="60">
        <v>14</v>
      </c>
      <c r="E3" s="50" t="s">
        <v>54</v>
      </c>
      <c r="F3" s="50">
        <v>100</v>
      </c>
      <c r="G3" s="60">
        <v>38</v>
      </c>
      <c r="I3" s="50" t="s">
        <v>69</v>
      </c>
      <c r="J3" s="50">
        <v>221</v>
      </c>
      <c r="K3" s="60">
        <v>54</v>
      </c>
      <c r="M3" s="50" t="s">
        <v>82</v>
      </c>
      <c r="N3" s="50">
        <v>172</v>
      </c>
      <c r="O3" s="60">
        <v>67</v>
      </c>
      <c r="Q3" s="50" t="s">
        <v>109</v>
      </c>
      <c r="R3" s="50">
        <v>176</v>
      </c>
      <c r="S3" s="60">
        <v>19</v>
      </c>
      <c r="U3" s="50" t="s">
        <v>141</v>
      </c>
      <c r="V3" s="50">
        <v>189</v>
      </c>
      <c r="W3" s="60">
        <v>125</v>
      </c>
      <c r="Y3" s="50" t="s">
        <v>33</v>
      </c>
      <c r="Z3" s="50" t="s">
        <v>35</v>
      </c>
    </row>
    <row r="4" spans="1:26">
      <c r="A4" s="50" t="s">
        <v>45</v>
      </c>
      <c r="B4" s="50">
        <v>201</v>
      </c>
      <c r="C4" s="60">
        <v>22</v>
      </c>
      <c r="E4" s="50" t="s">
        <v>55</v>
      </c>
      <c r="F4" s="50">
        <v>106</v>
      </c>
      <c r="G4" s="60">
        <v>38</v>
      </c>
      <c r="I4" s="50" t="s">
        <v>70</v>
      </c>
      <c r="J4" s="50">
        <v>131</v>
      </c>
      <c r="K4" s="60">
        <v>54</v>
      </c>
      <c r="M4" s="50" t="s">
        <v>83</v>
      </c>
      <c r="N4" s="50">
        <v>251</v>
      </c>
      <c r="O4" s="60">
        <v>67</v>
      </c>
      <c r="Q4" s="50" t="s">
        <v>110</v>
      </c>
      <c r="R4" s="50">
        <v>152</v>
      </c>
      <c r="S4" s="60">
        <v>30</v>
      </c>
      <c r="U4" s="50" t="s">
        <v>142</v>
      </c>
      <c r="V4" s="50">
        <v>188</v>
      </c>
      <c r="W4" s="60">
        <v>125</v>
      </c>
      <c r="Y4" s="50" t="s">
        <v>145</v>
      </c>
      <c r="Z4" s="50" t="s">
        <v>36</v>
      </c>
    </row>
    <row r="5" spans="1:26">
      <c r="A5" s="50" t="s">
        <v>46</v>
      </c>
      <c r="B5" s="50">
        <v>102</v>
      </c>
      <c r="C5" s="60">
        <v>22</v>
      </c>
      <c r="E5" s="50" t="s">
        <v>56</v>
      </c>
      <c r="F5" s="50">
        <v>104</v>
      </c>
      <c r="G5" s="60">
        <v>38</v>
      </c>
      <c r="I5" s="50" t="s">
        <v>71</v>
      </c>
      <c r="J5" s="50">
        <v>135</v>
      </c>
      <c r="K5" s="60">
        <v>54</v>
      </c>
      <c r="M5" s="50" t="s">
        <v>84</v>
      </c>
      <c r="N5" s="50">
        <v>140</v>
      </c>
      <c r="O5" s="60">
        <v>67</v>
      </c>
      <c r="Q5" s="50" t="s">
        <v>111</v>
      </c>
      <c r="R5" s="50">
        <v>159</v>
      </c>
      <c r="S5" s="60">
        <v>17</v>
      </c>
      <c r="U5" s="50" t="s">
        <v>142</v>
      </c>
      <c r="V5" s="50">
        <v>187</v>
      </c>
      <c r="W5" s="60">
        <v>125</v>
      </c>
      <c r="Y5" s="50" t="s">
        <v>146</v>
      </c>
      <c r="Z5" s="50" t="s">
        <v>37</v>
      </c>
    </row>
    <row r="6" spans="1:26">
      <c r="A6" s="50" t="s">
        <v>47</v>
      </c>
      <c r="B6" s="50">
        <v>112</v>
      </c>
      <c r="C6" s="60">
        <v>22</v>
      </c>
      <c r="E6" s="50" t="s">
        <v>57</v>
      </c>
      <c r="F6" s="50">
        <v>93</v>
      </c>
      <c r="G6" s="60">
        <v>38</v>
      </c>
      <c r="I6" s="50" t="s">
        <v>72</v>
      </c>
      <c r="J6" s="50">
        <v>127</v>
      </c>
      <c r="K6" s="60">
        <v>54</v>
      </c>
      <c r="M6" s="50" t="s">
        <v>85</v>
      </c>
      <c r="N6" s="50">
        <v>247</v>
      </c>
      <c r="O6" s="60">
        <v>67</v>
      </c>
      <c r="Q6" s="50" t="s">
        <v>112</v>
      </c>
      <c r="R6" s="50">
        <v>283</v>
      </c>
      <c r="S6" s="60">
        <v>95</v>
      </c>
      <c r="U6" s="50" t="s">
        <v>143</v>
      </c>
      <c r="V6" s="50">
        <v>265</v>
      </c>
      <c r="W6" s="60">
        <v>125</v>
      </c>
      <c r="Y6" s="50" t="s">
        <v>147</v>
      </c>
      <c r="Z6" s="50" t="s">
        <v>38</v>
      </c>
    </row>
    <row r="7" spans="1:26">
      <c r="A7" s="50" t="s">
        <v>48</v>
      </c>
      <c r="B7" s="50">
        <v>98</v>
      </c>
      <c r="C7" s="60">
        <v>32</v>
      </c>
      <c r="E7" s="50" t="s">
        <v>58</v>
      </c>
      <c r="F7" s="50">
        <v>214</v>
      </c>
      <c r="G7" s="60">
        <v>38</v>
      </c>
      <c r="I7" s="50" t="s">
        <v>73</v>
      </c>
      <c r="J7" s="50">
        <v>133</v>
      </c>
      <c r="K7" s="60">
        <v>28</v>
      </c>
      <c r="M7" s="50" t="s">
        <v>86</v>
      </c>
      <c r="N7" s="50">
        <v>243</v>
      </c>
      <c r="O7" s="60">
        <v>67</v>
      </c>
      <c r="Q7" s="50" t="s">
        <v>113</v>
      </c>
      <c r="R7" s="50">
        <v>279</v>
      </c>
      <c r="S7" s="60">
        <v>95</v>
      </c>
      <c r="U7" s="50" t="s">
        <v>144</v>
      </c>
      <c r="V7" s="50">
        <v>184</v>
      </c>
      <c r="W7" s="60">
        <v>125</v>
      </c>
      <c r="Y7" s="50" t="s">
        <v>34</v>
      </c>
      <c r="Z7" s="50" t="s">
        <v>39</v>
      </c>
    </row>
    <row r="8" spans="1:26">
      <c r="A8" s="50" t="s">
        <v>49</v>
      </c>
      <c r="B8" s="50">
        <v>119</v>
      </c>
      <c r="C8" s="60">
        <v>32</v>
      </c>
      <c r="E8" s="50" t="s">
        <v>59</v>
      </c>
      <c r="F8" s="50">
        <v>90</v>
      </c>
      <c r="G8" s="60">
        <v>38</v>
      </c>
      <c r="I8" s="50" t="s">
        <v>74</v>
      </c>
      <c r="J8" s="50">
        <v>239</v>
      </c>
      <c r="K8" s="60">
        <v>132</v>
      </c>
      <c r="M8" s="50" t="s">
        <v>87</v>
      </c>
      <c r="N8" s="50">
        <v>254</v>
      </c>
      <c r="O8" s="60">
        <v>67</v>
      </c>
      <c r="Q8" s="50" t="s">
        <v>114</v>
      </c>
      <c r="R8" s="50">
        <v>273</v>
      </c>
      <c r="S8" s="60">
        <v>95</v>
      </c>
    </row>
    <row r="9" spans="1:26">
      <c r="A9" s="50" t="s">
        <v>50</v>
      </c>
      <c r="B9" s="50">
        <v>202</v>
      </c>
      <c r="C9" s="60">
        <v>32</v>
      </c>
      <c r="E9" s="50" t="s">
        <v>60</v>
      </c>
      <c r="F9" s="50">
        <v>121</v>
      </c>
      <c r="G9" s="60">
        <v>38</v>
      </c>
      <c r="I9" s="50" t="s">
        <v>75</v>
      </c>
      <c r="J9" s="50">
        <v>238</v>
      </c>
      <c r="K9" s="60">
        <v>60</v>
      </c>
      <c r="M9" s="50" t="s">
        <v>88</v>
      </c>
      <c r="N9" s="50">
        <v>244</v>
      </c>
      <c r="O9" s="60">
        <v>67</v>
      </c>
      <c r="Q9" s="50" t="s">
        <v>115</v>
      </c>
      <c r="R9" s="50">
        <v>271</v>
      </c>
      <c r="S9" s="60">
        <v>95</v>
      </c>
    </row>
    <row r="10" spans="1:26">
      <c r="A10" s="50" t="s">
        <v>51</v>
      </c>
      <c r="B10" s="50">
        <v>203</v>
      </c>
      <c r="C10" s="60">
        <v>32</v>
      </c>
      <c r="E10" s="50" t="s">
        <v>61</v>
      </c>
      <c r="F10" s="50">
        <v>114</v>
      </c>
      <c r="G10" s="60">
        <v>38</v>
      </c>
      <c r="I10" s="50" t="s">
        <v>76</v>
      </c>
      <c r="J10" s="50">
        <v>235</v>
      </c>
      <c r="K10" s="60">
        <v>60</v>
      </c>
      <c r="M10" s="50" t="s">
        <v>89</v>
      </c>
      <c r="N10" s="50">
        <v>248</v>
      </c>
      <c r="O10" s="60">
        <v>67</v>
      </c>
      <c r="Q10" s="50" t="s">
        <v>116</v>
      </c>
      <c r="R10" s="50">
        <v>137</v>
      </c>
      <c r="S10" s="60">
        <v>95</v>
      </c>
    </row>
    <row r="11" spans="1:26">
      <c r="A11" s="50" t="s">
        <v>52</v>
      </c>
      <c r="B11" s="50">
        <v>99</v>
      </c>
      <c r="C11" s="60">
        <v>32</v>
      </c>
      <c r="E11" s="50" t="s">
        <v>62</v>
      </c>
      <c r="F11" s="50">
        <v>211</v>
      </c>
      <c r="G11" s="60">
        <v>38</v>
      </c>
      <c r="I11" s="50" t="s">
        <v>77</v>
      </c>
      <c r="J11" s="50">
        <v>236</v>
      </c>
      <c r="K11" s="60">
        <v>60</v>
      </c>
      <c r="M11" s="50" t="s">
        <v>90</v>
      </c>
      <c r="N11" s="50">
        <v>146</v>
      </c>
      <c r="O11" s="60">
        <v>67</v>
      </c>
      <c r="Q11" s="50" t="s">
        <v>117</v>
      </c>
      <c r="R11" s="50">
        <v>136</v>
      </c>
      <c r="S11" s="60">
        <v>95</v>
      </c>
    </row>
    <row r="12" spans="1:26">
      <c r="E12" s="50" t="s">
        <v>63</v>
      </c>
      <c r="F12" s="50">
        <v>217</v>
      </c>
      <c r="G12" s="60">
        <v>38</v>
      </c>
      <c r="I12" s="50" t="s">
        <v>78</v>
      </c>
      <c r="J12" s="50">
        <v>129</v>
      </c>
      <c r="K12" s="60">
        <v>60</v>
      </c>
      <c r="M12" s="50" t="s">
        <v>91</v>
      </c>
      <c r="N12" s="50">
        <v>245</v>
      </c>
      <c r="O12" s="60">
        <v>67</v>
      </c>
      <c r="Q12" s="50" t="s">
        <v>118</v>
      </c>
      <c r="R12" s="50">
        <v>277</v>
      </c>
      <c r="S12" s="60">
        <v>95</v>
      </c>
    </row>
    <row r="13" spans="1:26">
      <c r="E13" s="50" t="s">
        <v>64</v>
      </c>
      <c r="F13" s="50">
        <v>95</v>
      </c>
      <c r="G13" s="60">
        <v>38</v>
      </c>
      <c r="I13" s="50" t="s">
        <v>79</v>
      </c>
      <c r="J13" s="50">
        <v>232</v>
      </c>
      <c r="K13" s="60">
        <v>60</v>
      </c>
      <c r="M13" s="50" t="s">
        <v>92</v>
      </c>
      <c r="N13" s="50">
        <v>259</v>
      </c>
      <c r="O13" s="60">
        <v>78</v>
      </c>
      <c r="Q13" s="50" t="s">
        <v>119</v>
      </c>
      <c r="R13" s="50">
        <v>272</v>
      </c>
      <c r="S13" s="60">
        <v>95</v>
      </c>
    </row>
    <row r="14" spans="1:26">
      <c r="E14" s="50" t="s">
        <v>65</v>
      </c>
      <c r="F14" s="50">
        <v>101</v>
      </c>
      <c r="G14" s="60">
        <v>38</v>
      </c>
      <c r="I14" s="50" t="s">
        <v>80</v>
      </c>
      <c r="J14" s="50">
        <v>177</v>
      </c>
      <c r="K14" s="60">
        <v>60</v>
      </c>
      <c r="M14" s="50" t="s">
        <v>93</v>
      </c>
      <c r="N14" s="50">
        <v>262</v>
      </c>
      <c r="O14" s="60">
        <v>78</v>
      </c>
      <c r="Q14" s="50" t="s">
        <v>120</v>
      </c>
      <c r="R14" s="50">
        <v>281</v>
      </c>
      <c r="S14" s="60">
        <v>95</v>
      </c>
    </row>
    <row r="15" spans="1:26">
      <c r="E15" s="50" t="s">
        <v>66</v>
      </c>
      <c r="F15" s="50">
        <v>216</v>
      </c>
      <c r="G15" s="60">
        <v>38</v>
      </c>
      <c r="M15" s="50" t="s">
        <v>94</v>
      </c>
      <c r="N15" s="50">
        <v>266</v>
      </c>
      <c r="O15" s="60">
        <v>78</v>
      </c>
      <c r="Q15" s="50" t="s">
        <v>121</v>
      </c>
      <c r="R15" s="50">
        <v>115</v>
      </c>
      <c r="S15" s="60">
        <v>95</v>
      </c>
    </row>
    <row r="16" spans="1:26">
      <c r="E16" s="50" t="s">
        <v>67</v>
      </c>
      <c r="F16" s="50">
        <v>212</v>
      </c>
      <c r="G16" s="60">
        <v>38</v>
      </c>
      <c r="M16" s="50" t="s">
        <v>95</v>
      </c>
      <c r="N16" s="50">
        <v>165</v>
      </c>
      <c r="O16" s="60">
        <v>78</v>
      </c>
      <c r="Q16" s="50" t="s">
        <v>122</v>
      </c>
      <c r="R16" s="50">
        <v>130</v>
      </c>
      <c r="S16" s="60">
        <v>95</v>
      </c>
    </row>
    <row r="17" spans="13:19">
      <c r="M17" s="50" t="s">
        <v>96</v>
      </c>
      <c r="N17" s="50">
        <v>164</v>
      </c>
      <c r="O17" s="60">
        <v>78</v>
      </c>
      <c r="Q17" s="50" t="s">
        <v>123</v>
      </c>
      <c r="R17" s="50">
        <v>278</v>
      </c>
      <c r="S17" s="60">
        <v>95</v>
      </c>
    </row>
    <row r="18" spans="13:19">
      <c r="M18" s="50" t="s">
        <v>97</v>
      </c>
      <c r="N18" s="50">
        <v>258</v>
      </c>
      <c r="O18" s="60">
        <v>78</v>
      </c>
      <c r="Q18" s="50" t="s">
        <v>124</v>
      </c>
      <c r="R18" s="50">
        <v>276</v>
      </c>
      <c r="S18" s="60">
        <v>95</v>
      </c>
    </row>
    <row r="19" spans="13:19">
      <c r="M19" s="50" t="s">
        <v>98</v>
      </c>
      <c r="N19" s="50">
        <v>174</v>
      </c>
      <c r="O19" s="60">
        <v>78</v>
      </c>
      <c r="Q19" s="50" t="s">
        <v>125</v>
      </c>
      <c r="R19" s="50">
        <v>138</v>
      </c>
      <c r="S19" s="60">
        <v>95</v>
      </c>
    </row>
    <row r="20" spans="13:19">
      <c r="M20" s="50" t="s">
        <v>99</v>
      </c>
      <c r="N20" s="50">
        <v>168</v>
      </c>
      <c r="O20" s="60">
        <v>78</v>
      </c>
      <c r="Q20" s="50" t="s">
        <v>126</v>
      </c>
      <c r="R20" s="50">
        <v>294</v>
      </c>
      <c r="S20" s="60">
        <v>110</v>
      </c>
    </row>
    <row r="21" spans="13:19">
      <c r="M21" s="50" t="s">
        <v>100</v>
      </c>
      <c r="N21" s="50">
        <v>252</v>
      </c>
      <c r="O21" s="60">
        <v>78</v>
      </c>
      <c r="Q21" s="50" t="s">
        <v>127</v>
      </c>
      <c r="R21" s="50">
        <v>284</v>
      </c>
      <c r="S21" s="60">
        <v>110</v>
      </c>
    </row>
    <row r="22" spans="13:19">
      <c r="M22" s="50" t="s">
        <v>101</v>
      </c>
      <c r="N22" s="50">
        <v>170</v>
      </c>
      <c r="O22" s="60">
        <v>78</v>
      </c>
      <c r="Q22" s="50" t="s">
        <v>128</v>
      </c>
      <c r="R22" s="50">
        <v>253</v>
      </c>
      <c r="S22" s="60">
        <v>110</v>
      </c>
    </row>
    <row r="23" spans="13:19">
      <c r="M23" s="50" t="s">
        <v>102</v>
      </c>
      <c r="N23" s="50">
        <v>260</v>
      </c>
      <c r="O23" s="60">
        <v>78</v>
      </c>
      <c r="Q23" s="50" t="s">
        <v>129</v>
      </c>
      <c r="R23" s="50">
        <v>295</v>
      </c>
      <c r="S23" s="60">
        <v>110</v>
      </c>
    </row>
    <row r="24" spans="13:19">
      <c r="M24" s="50" t="s">
        <v>103</v>
      </c>
      <c r="N24" s="50">
        <v>256</v>
      </c>
      <c r="O24" s="60">
        <v>78</v>
      </c>
      <c r="Q24" s="50" t="s">
        <v>130</v>
      </c>
      <c r="R24" s="50">
        <v>288</v>
      </c>
      <c r="S24" s="60">
        <v>110</v>
      </c>
    </row>
    <row r="25" spans="13:19">
      <c r="M25" s="50" t="s">
        <v>104</v>
      </c>
      <c r="N25" s="50">
        <v>175</v>
      </c>
      <c r="O25" s="60">
        <v>78</v>
      </c>
      <c r="Q25" s="50" t="s">
        <v>131</v>
      </c>
      <c r="R25" s="50">
        <v>255</v>
      </c>
      <c r="S25" s="60">
        <v>110</v>
      </c>
    </row>
    <row r="26" spans="13:19">
      <c r="M26" s="50" t="s">
        <v>105</v>
      </c>
      <c r="N26" s="50">
        <v>268</v>
      </c>
      <c r="O26" s="60">
        <v>78</v>
      </c>
      <c r="Q26" s="50" t="s">
        <v>132</v>
      </c>
      <c r="R26" s="50">
        <v>289</v>
      </c>
      <c r="S26" s="60">
        <v>110</v>
      </c>
    </row>
    <row r="27" spans="13:19">
      <c r="M27" s="50" t="s">
        <v>106</v>
      </c>
      <c r="N27" s="50">
        <v>261</v>
      </c>
      <c r="O27" s="60">
        <v>78</v>
      </c>
      <c r="Q27" s="50" t="s">
        <v>133</v>
      </c>
      <c r="R27" s="50">
        <v>257</v>
      </c>
      <c r="S27" s="60">
        <v>110</v>
      </c>
    </row>
    <row r="28" spans="13:19">
      <c r="M28" s="50" t="s">
        <v>107</v>
      </c>
      <c r="N28" s="50">
        <v>169</v>
      </c>
      <c r="O28" s="60">
        <v>78</v>
      </c>
      <c r="Q28" s="50" t="s">
        <v>134</v>
      </c>
      <c r="R28" s="50">
        <v>263</v>
      </c>
      <c r="S28" s="60">
        <v>110</v>
      </c>
    </row>
    <row r="29" spans="13:19">
      <c r="Q29" s="50" t="s">
        <v>135</v>
      </c>
      <c r="R29" s="50">
        <v>192</v>
      </c>
      <c r="S29" s="60">
        <v>110</v>
      </c>
    </row>
    <row r="30" spans="13:19">
      <c r="Q30" s="50" t="s">
        <v>136</v>
      </c>
      <c r="R30" s="50">
        <v>155</v>
      </c>
      <c r="S30" s="60">
        <v>110</v>
      </c>
    </row>
    <row r="31" spans="13:19">
      <c r="Q31" s="50" t="s">
        <v>137</v>
      </c>
      <c r="R31" s="50">
        <v>162</v>
      </c>
      <c r="S31" s="60">
        <v>110</v>
      </c>
    </row>
    <row r="32" spans="13:19">
      <c r="Q32" s="50" t="s">
        <v>138</v>
      </c>
      <c r="R32" s="50">
        <v>264</v>
      </c>
      <c r="S32" s="60">
        <v>110</v>
      </c>
    </row>
    <row r="33" spans="17:19">
      <c r="Q33" s="50" t="s">
        <v>139</v>
      </c>
      <c r="R33" s="50">
        <v>285</v>
      </c>
      <c r="S33" s="60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5</vt:i4>
      </vt:variant>
    </vt:vector>
  </HeadingPairs>
  <TitlesOfParts>
    <vt:vector size="11" baseType="lpstr">
      <vt:lpstr>보령</vt:lpstr>
      <vt:lpstr>청주</vt:lpstr>
      <vt:lpstr>천안</vt:lpstr>
      <vt:lpstr>서산</vt:lpstr>
      <vt:lpstr>main</vt:lpstr>
      <vt:lpstr>AREA</vt:lpstr>
      <vt:lpstr>보령!CategoryA_Area</vt:lpstr>
      <vt:lpstr>서산!CategoryA_Area</vt:lpstr>
      <vt:lpstr>천안!CategoryA_Area</vt:lpstr>
      <vt:lpstr>청주!CategoryA_Area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2022-06-17T05:35:56Z</dcterms:modified>
</cp:coreProperties>
</file>