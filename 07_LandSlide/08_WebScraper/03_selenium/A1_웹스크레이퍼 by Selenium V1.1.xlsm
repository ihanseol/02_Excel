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5_Web Scraper\"/>
    </mc:Choice>
  </mc:AlternateContent>
  <xr:revisionPtr revIDLastSave="0" documentId="13_ncr:1_{87C7E460-4C9A-4439-A7C9-27F918E5B8ED}" xr6:coauthVersionLast="47" xr6:coauthVersionMax="47" xr10:uidLastSave="{00000000-0000-0000-0000-000000000000}"/>
  <bookViews>
    <workbookView xWindow="-120" yWindow="-120" windowWidth="29040" windowHeight="15720" tabRatio="579" activeTab="1" xr2:uid="{00000000-000D-0000-FFFF-FFFF00000000}"/>
  </bookViews>
  <sheets>
    <sheet name="30Year" sheetId="92" r:id="rId1"/>
    <sheet name="30" sheetId="103" r:id="rId2"/>
    <sheet name="AreaCode" sheetId="105" r:id="rId3"/>
    <sheet name="Y" sheetId="97" r:id="rId4"/>
    <sheet name="M" sheetId="98" r:id="rId5"/>
    <sheet name="GPS" sheetId="104" r:id="rId6"/>
    <sheet name="drastic" sheetId="84" state="hidden" r:id="rId7"/>
  </sheets>
  <functionGroups builtInGroupCount="19"/>
  <externalReferences>
    <externalReference r:id="rId8"/>
  </externalReferences>
  <definedNames>
    <definedName name="baseTemp" localSheetId="1">#REF!</definedName>
    <definedName name="baseTemp" localSheetId="0">#REF!</definedName>
    <definedName name="baseTemp" localSheetId="4">#REF!</definedName>
    <definedName name="baseTemp" localSheetId="3">#REF!</definedName>
    <definedName name="baseTemp">#REF!</definedName>
    <definedName name="max" localSheetId="1">[1]지하수함양량!$C$26</definedName>
    <definedName name="max" localSheetId="0">[1]지하수함양량!$C$26</definedName>
    <definedName name="max" localSheetId="4">[1]지하수함양량!$C$26</definedName>
    <definedName name="max" localSheetId="3">[1]지하수함양량!$C$26</definedName>
    <definedName name="max">#REF!</definedName>
    <definedName name="min" localSheetId="1">[1]지하수함양량!$C$25</definedName>
    <definedName name="min" localSheetId="0">[1]지하수함양량!$C$25</definedName>
    <definedName name="min" localSheetId="4">[1]지하수함양량!$C$25</definedName>
    <definedName name="min" localSheetId="3">[1]지하수함양량!$C$25</definedName>
    <definedName name="min">#REF!</definedName>
    <definedName name="rf_1" localSheetId="1">[1]지하수함양량!$C$28</definedName>
    <definedName name="rf_1" localSheetId="0">[1]지하수함양량!$C$28</definedName>
    <definedName name="rf_1" localSheetId="4">[1]지하수함양량!$C$28</definedName>
    <definedName name="rf_1" localSheetId="3">[1]지하수함양량!$C$28</definedName>
    <definedName name="rf_1">#REF!</definedName>
    <definedName name="rf_2" localSheetId="1">[1]지하수함양량!$D$28</definedName>
    <definedName name="rf_2" localSheetId="0">[1]지하수함양량!$D$28</definedName>
    <definedName name="rf_2" localSheetId="4">[1]지하수함양량!$D$28</definedName>
    <definedName name="rf_2" localSheetId="3">[1]지하수함양량!$D$28</definedName>
    <definedName name="rf_2">#REF!</definedName>
  </definedNames>
  <calcPr calcId="191029"/>
  <fileRecoveryPr autoRecover="0"/>
</workbook>
</file>

<file path=xl/calcChain.xml><?xml version="1.0" encoding="utf-8"?>
<calcChain xmlns="http://schemas.openxmlformats.org/spreadsheetml/2006/main"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  <c r="D56" i="92" l="1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N4" i="98" s="1"/>
  <c r="C56" i="92"/>
  <c r="C4" i="98" s="1"/>
  <c r="F4" i="98"/>
  <c r="G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C18" i="97" l="1"/>
  <c r="N18" i="97"/>
  <c r="G18" i="97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P10" i="97" l="1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O4" i="98" l="1"/>
  <c r="P18" i="97"/>
  <c r="P19" i="9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14" authorId="0" shapeId="0" xr:uid="{1A591B5A-BEFA-44CD-B344-DEAF29B636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AreaCode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넣어주고</t>
        </r>
        <r>
          <rPr>
            <sz val="9"/>
            <color indexed="81"/>
            <rFont val="Tahoma"/>
            <family val="2"/>
          </rPr>
          <t xml:space="preserve"> …
etc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주의해주세요
그리고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모르니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홈페이지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들어가서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맞는지
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년도의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<sst xmlns="http://schemas.openxmlformats.org/spreadsheetml/2006/main" count="599" uniqueCount="192">
  <si>
    <t>조사지역의 월평균 강수량 (2007-2016)</t>
    <phoneticPr fontId="13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</si>
  <si>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</si>
  <si>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</si>
  <si>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</si>
  <si>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</si>
  <si>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</si>
  <si>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</si>
  <si>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</si>
  <si>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</si>
  <si>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</si>
  <si>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</si>
  <si>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</si>
  <si>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</si>
  <si>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3" type="noConversion"/>
  </si>
  <si>
    <t>30년평균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</si>
  <si>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</si>
  <si>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</si>
  <si>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</si>
  <si>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</si>
  <si>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</si>
  <si>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</si>
  <si>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</si>
  <si>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</si>
  <si>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</si>
  <si>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</si>
  <si>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</si>
  <si>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</si>
  <si>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</si>
  <si>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</si>
  <si>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</si>
  <si>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</si>
  <si>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</si>
  <si>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</si>
  <si>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</si>
  <si>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</si>
  <si>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</si>
  <si>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</si>
  <si>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</si>
  <si>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</si>
  <si>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</si>
  <si>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</si>
  <si>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</si>
  <si>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</si>
  <si>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</si>
  <si>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</si>
  <si>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</si>
  <si>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</si>
  <si>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</si>
  <si>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</si>
  <si>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</si>
  <si>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</si>
  <si>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</si>
  <si>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</si>
  <si>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</si>
  <si>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</si>
  <si>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</si>
  <si>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</si>
  <si>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</si>
  <si>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</si>
  <si>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</si>
  <si>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</si>
  <si>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</si>
  <si>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</si>
  <si>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</si>
  <si>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</si>
  <si>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</si>
  <si>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</si>
  <si>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</si>
  <si>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</si>
  <si>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30년 대전데이터, 2019/4/3  일날, 기상청 기상자료를 바탕으로 데이터 획득</t>
    <phoneticPr fontId="6" type="noConversion"/>
  </si>
  <si>
    <t>강우량</t>
    <phoneticPr fontId="6" type="noConversion"/>
  </si>
  <si>
    <t>지번주소</t>
    <phoneticPr fontId="6" type="noConversion"/>
  </si>
  <si>
    <t>GPS</t>
    <phoneticPr fontId="6" type="noConversion"/>
  </si>
  <si>
    <t>거리(km)</t>
    <phoneticPr fontId="6" type="noConversion"/>
  </si>
  <si>
    <t>경기도 화성시 능동 1117</t>
    <phoneticPr fontId="6" type="noConversion"/>
  </si>
  <si>
    <t>경기도 화성시 반월동 944</t>
    <phoneticPr fontId="6" type="noConversion"/>
  </si>
  <si>
    <t>2020-03-24 오전 9:35 {</t>
  </si>
  <si>
    <t>&lt;option value="108" &gt;서울(유)&lt;/option&gt;</t>
  </si>
  <si>
    <t>&lt;option value="102" &gt;백령도(유)&lt;/option&gt;</t>
  </si>
  <si>
    <t>&lt;option value="98" &gt;동두천(무)&lt;/option&gt;</t>
  </si>
  <si>
    <t>&lt;option value="99" &gt;파주(무)&lt;/option&gt;</t>
  </si>
  <si>
    <t>&lt;option value=""&gt;--------&lt;/option&gt;</t>
  </si>
  <si>
    <t>&lt;option value="112" &gt;인천(유)&lt;/option&gt;</t>
  </si>
  <si>
    <t>&lt;option value="119" &gt;수원(유)&lt;/option&gt;</t>
  </si>
  <si>
    <t>&lt;option value="201" &gt;강화(무)&lt;/option&gt;</t>
  </si>
  <si>
    <t>&lt;option value="202" &gt;양평(무)&lt;/option&gt;</t>
  </si>
  <si>
    <t>&lt;option value="203" &gt;이천(무)&lt;/option&gt;</t>
  </si>
  <si>
    <t>&lt;option value="93" &gt;북춘천(유)&lt;/option&gt;</t>
  </si>
  <si>
    <t>&lt;option value="95" &gt;철원(무)&lt;/option&gt;</t>
  </si>
  <si>
    <t>&lt;option value="101" &gt;춘천(무)&lt;/option&gt;</t>
  </si>
  <si>
    <t>&lt;option value="114" &gt;원주(무)&lt;/option&gt;</t>
  </si>
  <si>
    <t>&lt;option value="121" &gt;영월(무)&lt;/option&gt;</t>
  </si>
  <si>
    <t>&lt;option value="211" &gt;인제(무)&lt;/option&gt;</t>
  </si>
  <si>
    <t>&lt;option value="212" &gt;홍천(무)&lt;/option&gt;</t>
  </si>
  <si>
    <t>&lt;option value="104" &gt;북강릉(유)&lt;/option&gt;</t>
  </si>
  <si>
    <t>&lt;option value="115" &gt;울릉도(유)&lt;/option&gt;</t>
  </si>
  <si>
    <t>&lt;option value="105" &gt;강릉(무)&lt;/option&gt;</t>
  </si>
  <si>
    <t>&lt;option value="90" &gt;속초(무)&lt;/option&gt;</t>
  </si>
  <si>
    <t>&lt;option value="100" &gt;대관령(무)&lt;/option&gt;</t>
  </si>
  <si>
    <t>&lt;option value="106" &gt;동해(무)&lt;/option&gt;</t>
  </si>
  <si>
    <t>&lt;option value="216" &gt;태백(무)&lt;/option&gt;</t>
  </si>
  <si>
    <t>&lt;!--2011.12.01 추가 시작--&gt;</t>
  </si>
  <si>
    <t>&lt;option value="217" &gt;정선군(무)&lt;/option&gt;</t>
  </si>
  <si>
    <t>&lt;!--2011.12.01 추가 끝--&gt;</t>
  </si>
  <si>
    <t>&lt;option value="131" &gt;청주(유)&lt;/option&gt;</t>
  </si>
  <si>
    <t>&lt;option value="127" &gt;충주(무)&lt;/option&gt;</t>
  </si>
  <si>
    <t>&lt;option value="135" &gt;추풍령(무)&lt;/option&gt;</t>
  </si>
  <si>
    <t>&lt;option value="221" &gt;제천(무)&lt;/option&gt;</t>
  </si>
  <si>
    <t>&lt;option value="226" &gt;보은(무)&lt;/option&gt;</t>
  </si>
  <si>
    <t>&lt;option value="177" &gt;홍성(유)&lt;/option&gt;                    </t>
  </si>
  <si>
    <t>&lt;option value="133" &gt;대전(유)&lt;/option&gt;</t>
  </si>
  <si>
    <t>&lt;option value="129" &gt;서산(무)&lt;/option&gt;</t>
  </si>
  <si>
    <t>&lt;option value="232" &gt;천안(무)&lt;/option&gt;</t>
  </si>
  <si>
    <t>&lt;option value="235" selected="selected"&gt;보령(무)&lt;/option&gt;</t>
  </si>
  <si>
    <t>&lt;option value="236" &gt;부여(무)&lt;/option&gt;</t>
  </si>
  <si>
    <t>&lt;option value="238" &gt;금산(무)&lt;/option&gt;</t>
  </si>
  <si>
    <t>&lt;option value="146" &gt;전주(유)&lt;/option&gt;</t>
  </si>
  <si>
    <t>&lt;option value="140" &gt;군산(무)&lt;/option&gt;</t>
  </si>
  <si>
    <t>&lt;option value="243" &gt;부안(무)&lt;/option&gt;</t>
  </si>
  <si>
    <t>&lt;option value="244" &gt;임실(무)&lt;/option&gt;</t>
  </si>
  <si>
    <t>&lt;option value="245" &gt;정읍(무)&lt;/option&gt;</t>
  </si>
  <si>
    <t>&lt;option value="247" &gt;남원(무)&lt;/option&gt;</t>
  </si>
  <si>
    <t>&lt;option value="248" &gt;장수(무)&lt;/option&gt;</t>
  </si>
  <si>
    <t>&lt;option value="254" &gt;순창(무)&lt;/option&gt;</t>
  </si>
  <si>
    <t>&lt;option value="172" &gt;고창(무)&lt;/option&gt;</t>
  </si>
  <si>
    <t>&lt;option value="251" &gt;고창(구)&lt;/option&gt;</t>
  </si>
  <si>
    <t>&lt;option value="156" &gt;광주(유)&lt;/option&gt;</t>
  </si>
  <si>
    <t>&lt;option value="165" &gt;목포(유)&lt;/option&gt;</t>
  </si>
  <si>
    <t>&lt;option value="169" &gt;흑산도(유)&lt;/option&gt;</t>
  </si>
  <si>
    <t>&lt;option value="168" &gt;여수(유)&lt;/option&gt;</t>
  </si>
  <si>
    <t>&lt;option value="170" &gt;완도(무)&lt;/option&gt;</t>
  </si>
  <si>
    <t>&lt;option value="175" &gt;진도(첨찰산)(무)&lt;/option&gt;</t>
  </si>
  <si>
    <t>&lt;!--2014.09.15 진도군(공)추가 --&gt;</t>
  </si>
  <si>
    <t>&lt;option value="268" &gt;진도군(무)&lt;/option&gt;</t>
  </si>
  <si>
    <t>&lt;option value="252" &gt;영광(무)&lt;/option&gt;</t>
  </si>
  <si>
    <t>&lt;option value="174" &gt;순천(무)&lt;/option&gt;</t>
  </si>
  <si>
    <t>&lt;option value="256" &gt;순천(구)&lt;/option&gt;</t>
  </si>
  <si>
    <t>&lt;option value="260" &gt;장흥(무)&lt;/option&gt;</t>
  </si>
  <si>
    <t>&lt;option value="261" &gt;해남(무)&lt;/option&gt;</t>
  </si>
  <si>
    <t>&lt;option value="262" &gt;고흥(무)&lt;/option&gt;</t>
  </si>
  <si>
    <t>&lt;option value="259" &gt;강진군(무)&lt;/option&gt;</t>
  </si>
  <si>
    <t>&lt;option value="258" &gt;보성군(무)&lt;/option&gt;</t>
  </si>
  <si>
    <t>&lt;option value="266" &gt;광양(무)&lt;/option&gt;</t>
  </si>
  <si>
    <t>&lt;option value="136" &gt;안동(유)&lt;/option&gt;</t>
  </si>
  <si>
    <t>&lt;option value="138" &gt;포항(유)&lt;/option&gt;</t>
  </si>
  <si>
    <t>&lt;option value="143" &gt;대구(유)&lt;/option&gt;</t>
  </si>
  <si>
    <t>&lt;option value="176" &gt;대구(구)&lt;/option&gt;</t>
  </si>
  <si>
    <t>&lt;option value="130" &gt;울진(무)&lt;/option&gt;</t>
  </si>
  <si>
    <t>&lt;option value="137" &gt;상주(무)&lt;/option&gt;</t>
  </si>
  <si>
    <t>&lt;option value="271" &gt;봉화(무)&lt;/option&gt;</t>
  </si>
  <si>
    <t>&lt;option value="272" &gt;영주(무)&lt;/option&gt;</t>
  </si>
  <si>
    <t>&lt;option value="273" &gt;문경(무)&lt;/option&gt;</t>
  </si>
  <si>
    <t>&lt;option value="277" &gt;영덕(무)&lt;/option&gt;</t>
  </si>
  <si>
    <t>&lt;option value="278" &gt;의성(무)&lt;/option&gt;</t>
  </si>
  <si>
    <t>&lt;option value="279" &gt;구미(무)&lt;/option&gt;</t>
  </si>
  <si>
    <t>&lt;option value="281" &gt;영천(무)&lt;/option&gt;</t>
  </si>
  <si>
    <t>&lt;option value="276" &gt;청송군(무)&lt;/option&gt;</t>
  </si>
  <si>
    <t>&lt;option value="283" &gt;경주(무)&lt;/option&gt;</t>
  </si>
  <si>
    <t>&lt;option value="159" &gt;부산(유)&lt;/option&gt;</t>
  </si>
  <si>
    <t>&lt;option value="152" &gt;울산(유)&lt;/option&gt;</t>
  </si>
  <si>
    <t>&lt;option value="155" &gt;창원(유)&lt;/option&gt;</t>
  </si>
  <si>
    <t>&lt;option value="255" &gt;북창원(무)&lt;/option&gt;</t>
  </si>
  <si>
    <t>&lt;option value="162" &gt;통영(무)&lt;/option&gt;</t>
  </si>
  <si>
    <t>&lt;option value="192" &gt;진주(무)&lt;/option&gt;</t>
  </si>
  <si>
    <t>&lt;option value="284" &gt;거창(무)&lt;/option&gt;</t>
  </si>
  <si>
    <t>&lt;option value="285" &gt;합천(무)&lt;/option&gt;</t>
  </si>
  <si>
    <t>&lt;option value="288" &gt;밀양(무)&lt;/option&gt;</t>
  </si>
  <si>
    <t>&lt;option value="289" &gt;산청(무)&lt;/option&gt;</t>
  </si>
  <si>
    <t>&lt;option value="294" &gt;거제(무)&lt;/option&gt;</t>
  </si>
  <si>
    <t>&lt;option value="295" &gt;남해(무)&lt;/option&gt;</t>
  </si>
  <si>
    <t>&lt;option value="253" &gt;김해시(무)&lt;/option&gt;</t>
  </si>
  <si>
    <t>&lt;option value="257" &gt;양산(무)&lt;/option&gt;</t>
  </si>
  <si>
    <t>&lt;option value="263" &gt;의령군(무)&lt;/option&gt;</t>
  </si>
  <si>
    <t>&lt;option value="264" &gt;함양군(무)&lt;/option&gt;</t>
  </si>
  <si>
    <t>&lt;option value="184" &gt;제주(유)&lt;/option&gt;</t>
  </si>
  <si>
    <t>&lt;option value="185" &gt;고산(무)&lt;/option&gt;</t>
  </si>
  <si>
    <t>&lt;option value="189" &gt;서귀포(무)&lt;/option&gt;</t>
  </si>
  <si>
    <t>&lt;option value="188" &gt;성산(무)&lt;/option&gt;</t>
  </si>
  <si>
    <t>}</t>
  </si>
  <si>
    <t>문경</t>
    <phoneticPr fontId="6" type="noConversion"/>
  </si>
  <si>
    <t>보은</t>
    <phoneticPr fontId="6" type="noConversion"/>
  </si>
  <si>
    <t>상주</t>
    <phoneticPr fontId="6" type="noConversion"/>
  </si>
  <si>
    <t xml:space="preserve">평균미만 </t>
    <phoneticPr fontId="6" type="noConversion"/>
  </si>
  <si>
    <t>1250미리 이하</t>
    <phoneticPr fontId="6" type="noConversion"/>
  </si>
  <si>
    <t>평균강수</t>
    <phoneticPr fontId="6" type="noConversion"/>
  </si>
  <si>
    <t>1250 ~ 1450 미리</t>
    <phoneticPr fontId="6" type="noConversion"/>
  </si>
  <si>
    <t>평균초과</t>
    <phoneticPr fontId="6" type="noConversion"/>
  </si>
  <si>
    <t>1450 미리 이상</t>
    <phoneticPr fontId="6" type="noConversion"/>
  </si>
  <si>
    <t xml:space="preserve"> </t>
  </si>
  <si>
    <t>31일</t>
  </si>
  <si>
    <t>합계</t>
  </si>
  <si>
    <t>Working 29 ----&gt;  ( 2020 )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</si>
</sst>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24" formatCode="\$#,##0_);[Red]\(\$#,##0\)"/>
    <numFmt numFmtId="176" formatCode="_-&quot;₩&quot;* #,##0.00_-;\-&quot;₩&quot;* #,##0.00_-;_-&quot;₩&quot;* &quot;-&quot;??_-;_-@_-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444444"/>
      <name val="돋움"/>
      <family val="3"/>
      <charset val="129"/>
    </font>
    <font>
      <sz val="16"/>
      <name val="Consolas"/>
      <family val="3"/>
    </font>
    <font>
      <b/>
      <sz val="1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24" fontId="7" fillId="0" borderId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80" fontId="8" fillId="0" borderId="0" applyFont="0" applyFill="0" applyBorder="0" applyAlignment="0" applyProtection="0"/>
    <xf numFmtId="183" fontId="10" fillId="0" borderId="0" applyFont="0" applyFill="0" applyBorder="0" applyAlignment="0" applyProtection="0"/>
    <xf numFmtId="182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77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131">
    <xf numFmtId="0" fontId="0" fillId="0" borderId="0" xfId="0"/>
    <xf numFmtId="0" fontId="1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16" xfId="0" applyFont="1" applyBorder="1"/>
    <xf numFmtId="0" fontId="17" fillId="0" borderId="18" xfId="0" applyFont="1" applyBorder="1"/>
    <xf numFmtId="0" fontId="17" fillId="3" borderId="1" xfId="0" applyFont="1" applyFill="1" applyBorder="1"/>
    <xf numFmtId="0" fontId="17" fillId="3" borderId="0" xfId="0" applyFont="1" applyFill="1"/>
    <xf numFmtId="0" fontId="17" fillId="3" borderId="16" xfId="0" applyFont="1" applyFill="1" applyBorder="1"/>
    <xf numFmtId="0" fontId="17" fillId="3" borderId="0" xfId="0" applyFont="1" applyFill="1" applyAlignment="1">
      <alignment horizontal="center" vertical="center"/>
    </xf>
    <xf numFmtId="0" fontId="17" fillId="3" borderId="18" xfId="0" applyFont="1" applyFill="1" applyBorder="1"/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8" fillId="3" borderId="5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3" borderId="5" xfId="0" applyFont="1" applyFill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5" xfId="0" applyFont="1" applyFill="1" applyBorder="1"/>
    <xf numFmtId="0" fontId="18" fillId="0" borderId="17" xfId="0" applyFont="1" applyBorder="1"/>
    <xf numFmtId="0" fontId="18" fillId="3" borderId="17" xfId="0" applyFont="1" applyFill="1" applyBorder="1"/>
    <xf numFmtId="0" fontId="18" fillId="3" borderId="10" xfId="0" applyFont="1" applyFill="1" applyBorder="1"/>
    <xf numFmtId="176" fontId="0" fillId="0" borderId="0" xfId="0" applyNumberFormat="1" applyAlignment="1">
      <alignment vertical="center"/>
    </xf>
    <xf numFmtId="0" fontId="14" fillId="0" borderId="0" xfId="0" applyFont="1" applyAlignment="1">
      <alignment horizontal="left" vertical="center"/>
    </xf>
    <xf numFmtId="0" fontId="2" fillId="0" borderId="0" xfId="20">
      <alignment vertical="center"/>
    </xf>
    <xf numFmtId="0" fontId="2" fillId="0" borderId="0" xfId="20" applyAlignment="1">
      <alignment horizontal="left" vertical="center"/>
    </xf>
    <xf numFmtId="0" fontId="2" fillId="0" borderId="0" xfId="2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vertical="center"/>
    </xf>
    <xf numFmtId="0" fontId="2" fillId="4" borderId="11" xfId="20" applyNumberFormat="1" applyFill="1" applyBorder="1" applyAlignment="1">
      <alignment horizontal="center" vertical="center"/>
    </xf>
    <xf numFmtId="184" fontId="14" fillId="0" borderId="19" xfId="17" applyNumberFormat="1" applyFont="1" applyBorder="1">
      <alignment vertical="center"/>
    </xf>
    <xf numFmtId="184" fontId="14" fillId="0" borderId="11" xfId="17" applyNumberFormat="1" applyFont="1" applyBorder="1">
      <alignment vertical="center"/>
    </xf>
    <xf numFmtId="184" fontId="14" fillId="0" borderId="11" xfId="0" applyNumberFormat="1" applyFont="1" applyBorder="1" applyAlignment="1">
      <alignment vertical="center"/>
    </xf>
    <xf numFmtId="184" fontId="14" fillId="0" borderId="12" xfId="17" applyNumberFormat="1" applyFont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184" fontId="14" fillId="0" borderId="21" xfId="17" applyNumberFormat="1" applyFont="1" applyBorder="1">
      <alignment vertical="center"/>
    </xf>
    <xf numFmtId="0" fontId="14" fillId="0" borderId="22" xfId="0" applyFont="1" applyBorder="1" applyAlignment="1">
      <alignment horizontal="center" vertical="center"/>
    </xf>
    <xf numFmtId="184" fontId="14" fillId="0" borderId="23" xfId="17" applyNumberFormat="1" applyFont="1" applyBorder="1">
      <alignment vertical="center"/>
    </xf>
    <xf numFmtId="184" fontId="14" fillId="0" borderId="23" xfId="0" applyNumberFormat="1" applyFont="1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184" fontId="14" fillId="0" borderId="13" xfId="0" applyNumberFormat="1" applyFont="1" applyBorder="1" applyAlignment="1">
      <alignment vertical="center"/>
    </xf>
    <xf numFmtId="184" fontId="14" fillId="0" borderId="25" xfId="0" applyNumberFormat="1" applyFont="1" applyBorder="1" applyAlignment="1">
      <alignment vertical="center"/>
    </xf>
    <xf numFmtId="184" fontId="14" fillId="0" borderId="20" xfId="0" applyNumberFormat="1" applyFont="1" applyBorder="1" applyAlignment="1">
      <alignment vertical="center"/>
    </xf>
    <xf numFmtId="184" fontId="14" fillId="0" borderId="21" xfId="0" applyNumberFormat="1" applyFont="1" applyBorder="1" applyAlignment="1">
      <alignment vertical="center"/>
    </xf>
    <xf numFmtId="184" fontId="14" fillId="0" borderId="22" xfId="0" applyNumberFormat="1" applyFont="1" applyBorder="1" applyAlignment="1">
      <alignment vertical="center"/>
    </xf>
    <xf numFmtId="184" fontId="14" fillId="0" borderId="22" xfId="17" applyNumberFormat="1" applyFont="1" applyBorder="1">
      <alignment vertical="center"/>
    </xf>
    <xf numFmtId="184" fontId="14" fillId="0" borderId="24" xfId="17" applyNumberFormat="1" applyFont="1" applyBorder="1">
      <alignment vertical="center"/>
    </xf>
    <xf numFmtId="184" fontId="14" fillId="0" borderId="25" xfId="17" applyNumberFormat="1" applyFont="1" applyBorder="1">
      <alignment vertical="center"/>
    </xf>
    <xf numFmtId="0" fontId="14" fillId="0" borderId="26" xfId="0" applyFont="1" applyBorder="1" applyAlignment="1">
      <alignment horizontal="center" vertical="center"/>
    </xf>
    <xf numFmtId="184" fontId="14" fillId="0" borderId="27" xfId="17" applyNumberFormat="1" applyFont="1" applyBorder="1">
      <alignment vertical="center"/>
    </xf>
    <xf numFmtId="184" fontId="14" fillId="0" borderId="28" xfId="17" applyNumberFormat="1" applyFont="1" applyBorder="1">
      <alignment vertical="center"/>
    </xf>
    <xf numFmtId="184" fontId="14" fillId="0" borderId="26" xfId="0" applyNumberFormat="1" applyFont="1" applyBorder="1" applyAlignment="1">
      <alignment vertical="center"/>
    </xf>
    <xf numFmtId="184" fontId="14" fillId="0" borderId="28" xfId="0" applyNumberFormat="1" applyFont="1" applyBorder="1" applyAlignment="1">
      <alignment vertical="center"/>
    </xf>
    <xf numFmtId="0" fontId="14" fillId="0" borderId="29" xfId="0" applyFont="1" applyBorder="1" applyAlignment="1">
      <alignment horizontal="center" vertical="center"/>
    </xf>
    <xf numFmtId="184" fontId="14" fillId="0" borderId="30" xfId="0" applyNumberFormat="1" applyFont="1" applyBorder="1" applyAlignment="1">
      <alignment vertical="center"/>
    </xf>
    <xf numFmtId="184" fontId="14" fillId="0" borderId="31" xfId="0" applyNumberFormat="1" applyFont="1" applyBorder="1" applyAlignment="1">
      <alignment vertical="center"/>
    </xf>
    <xf numFmtId="184" fontId="14" fillId="0" borderId="29" xfId="17" applyNumberFormat="1" applyFont="1" applyBorder="1">
      <alignment vertical="center"/>
    </xf>
    <xf numFmtId="184" fontId="14" fillId="0" borderId="31" xfId="17" applyNumberFormat="1" applyFont="1" applyBorder="1">
      <alignment vertical="center"/>
    </xf>
    <xf numFmtId="184" fontId="14" fillId="4" borderId="29" xfId="17" applyNumberFormat="1" applyFont="1" applyFill="1" applyBorder="1" applyAlignment="1">
      <alignment horizontal="center" vertical="center"/>
    </xf>
    <xf numFmtId="184" fontId="14" fillId="4" borderId="30" xfId="17" applyNumberFormat="1" applyFont="1" applyFill="1" applyBorder="1" applyAlignment="1">
      <alignment horizontal="center" vertical="center"/>
    </xf>
    <xf numFmtId="184" fontId="14" fillId="4" borderId="31" xfId="17" applyNumberFormat="1" applyFont="1" applyFill="1" applyBorder="1" applyAlignment="1">
      <alignment horizontal="center" vertical="center"/>
    </xf>
    <xf numFmtId="0" fontId="14" fillId="0" borderId="22" xfId="17" applyNumberFormat="1" applyFont="1" applyBorder="1" applyAlignment="1">
      <alignment horizontal="center" vertical="center"/>
    </xf>
    <xf numFmtId="184" fontId="14" fillId="0" borderId="22" xfId="17" applyNumberFormat="1" applyFont="1" applyBorder="1" applyAlignment="1">
      <alignment horizontal="center" vertical="center"/>
    </xf>
    <xf numFmtId="184" fontId="14" fillId="0" borderId="24" xfId="17" applyNumberFormat="1" applyFont="1" applyBorder="1" applyAlignment="1">
      <alignment horizontal="center" vertical="center"/>
    </xf>
    <xf numFmtId="184" fontId="14" fillId="0" borderId="13" xfId="17" applyNumberFormat="1" applyFont="1" applyBorder="1">
      <alignment vertical="center"/>
    </xf>
    <xf numFmtId="184" fontId="14" fillId="0" borderId="29" xfId="17" applyNumberFormat="1" applyFont="1" applyBorder="1" applyAlignment="1">
      <alignment horizontal="center" vertical="center"/>
    </xf>
    <xf numFmtId="184" fontId="14" fillId="0" borderId="30" xfId="17" applyNumberFormat="1" applyFont="1" applyBorder="1">
      <alignment vertical="center"/>
    </xf>
    <xf numFmtId="184" fontId="14" fillId="4" borderId="32" xfId="17" applyNumberFormat="1" applyFont="1" applyFill="1" applyBorder="1" applyAlignment="1">
      <alignment horizontal="center" vertical="center"/>
    </xf>
    <xf numFmtId="184" fontId="14" fillId="0" borderId="33" xfId="17" applyNumberFormat="1" applyFont="1" applyBorder="1">
      <alignment vertical="center"/>
    </xf>
    <xf numFmtId="184" fontId="14" fillId="0" borderId="32" xfId="17" applyNumberFormat="1" applyFont="1" applyBorder="1">
      <alignment vertical="center"/>
    </xf>
    <xf numFmtId="184" fontId="14" fillId="0" borderId="15" xfId="17" applyNumberFormat="1" applyFont="1" applyBorder="1">
      <alignment vertical="center"/>
    </xf>
    <xf numFmtId="0" fontId="2" fillId="4" borderId="29" xfId="20" applyFill="1" applyBorder="1" applyAlignment="1">
      <alignment horizontal="center" vertical="center"/>
    </xf>
    <xf numFmtId="0" fontId="1" fillId="4" borderId="31" xfId="20" applyFont="1" applyFill="1" applyBorder="1" applyAlignment="1">
      <alignment horizontal="center" vertical="center"/>
    </xf>
    <xf numFmtId="0" fontId="2" fillId="0" borderId="22" xfId="20" applyBorder="1" applyAlignment="1">
      <alignment horizontal="center" vertical="center"/>
    </xf>
    <xf numFmtId="0" fontId="2" fillId="0" borderId="23" xfId="20" applyNumberFormat="1" applyBorder="1" applyAlignment="1">
      <alignment horizontal="center" vertical="center"/>
    </xf>
    <xf numFmtId="0" fontId="2" fillId="0" borderId="24" xfId="20" applyBorder="1" applyAlignment="1">
      <alignment horizontal="center" vertical="center"/>
    </xf>
    <xf numFmtId="0" fontId="2" fillId="0" borderId="25" xfId="20" applyNumberFormat="1" applyBorder="1" applyAlignment="1">
      <alignment horizontal="center" vertical="center"/>
    </xf>
    <xf numFmtId="0" fontId="2" fillId="4" borderId="30" xfId="20" applyFill="1" applyBorder="1" applyAlignment="1">
      <alignment horizontal="center" vertical="center"/>
    </xf>
    <xf numFmtId="0" fontId="2" fillId="4" borderId="31" xfId="20" applyFill="1" applyBorder="1" applyAlignment="1">
      <alignment horizontal="center" vertical="center"/>
    </xf>
    <xf numFmtId="0" fontId="2" fillId="0" borderId="24" xfId="20" applyNumberFormat="1" applyBorder="1" applyAlignment="1">
      <alignment horizontal="center" vertical="center"/>
    </xf>
    <xf numFmtId="0" fontId="2" fillId="0" borderId="13" xfId="17" applyNumberFormat="1" applyFont="1" applyBorder="1" applyAlignment="1">
      <alignment horizontal="center" vertical="center"/>
    </xf>
    <xf numFmtId="0" fontId="2" fillId="0" borderId="25" xfId="17" applyNumberFormat="1" applyFont="1" applyBorder="1" applyAlignment="1">
      <alignment horizontal="center" vertical="center"/>
    </xf>
    <xf numFmtId="0" fontId="2" fillId="4" borderId="22" xfId="20" applyFill="1" applyBorder="1" applyAlignment="1">
      <alignment horizontal="center" vertical="center"/>
    </xf>
    <xf numFmtId="0" fontId="2" fillId="4" borderId="23" xfId="20" applyNumberFormat="1" applyFill="1" applyBorder="1" applyAlignment="1">
      <alignment horizontal="center" vertical="center"/>
    </xf>
    <xf numFmtId="0" fontId="2" fillId="4" borderId="24" xfId="20" applyFill="1" applyBorder="1">
      <alignment vertical="center"/>
    </xf>
    <xf numFmtId="0" fontId="2" fillId="4" borderId="13" xfId="20" applyNumberFormat="1" applyFill="1" applyBorder="1" applyAlignment="1">
      <alignment horizontal="center" vertical="center"/>
    </xf>
    <xf numFmtId="0" fontId="2" fillId="4" borderId="25" xfId="20" applyNumberForma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2" fillId="5" borderId="22" xfId="20" applyFill="1" applyBorder="1" applyAlignment="1">
      <alignment horizontal="center" vertical="center"/>
    </xf>
    <xf numFmtId="0" fontId="2" fillId="5" borderId="11" xfId="20" applyNumberFormat="1" applyFill="1" applyBorder="1" applyAlignment="1">
      <alignment horizontal="center" vertical="center"/>
    </xf>
    <xf numFmtId="0" fontId="2" fillId="5" borderId="23" xfId="20" applyNumberFormat="1" applyFill="1" applyBorder="1" applyAlignment="1">
      <alignment horizontal="center" vertical="center"/>
    </xf>
    <xf numFmtId="49" fontId="14" fillId="0" borderId="20" xfId="0" applyNumberFormat="1" applyFont="1" applyBorder="1" applyAlignment="1">
      <alignment horizontal="center" vertical="center"/>
    </xf>
    <xf numFmtId="49" fontId="14" fillId="0" borderId="22" xfId="0" applyNumberFormat="1" applyFont="1" applyBorder="1" applyAlignment="1">
      <alignment horizontal="center" vertical="center"/>
    </xf>
    <xf numFmtId="49" fontId="14" fillId="0" borderId="26" xfId="0" applyNumberFormat="1" applyFont="1" applyBorder="1" applyAlignment="1">
      <alignment horizontal="center" vertical="center"/>
    </xf>
    <xf numFmtId="49" fontId="14" fillId="0" borderId="22" xfId="17" applyNumberFormat="1" applyFont="1" applyBorder="1" applyAlignment="1">
      <alignment horizontal="center" vertical="center"/>
    </xf>
    <xf numFmtId="49" fontId="14" fillId="0" borderId="11" xfId="17" applyNumberFormat="1" applyFont="1" applyBorder="1" applyAlignment="1">
      <alignment horizontal="center" vertical="center"/>
    </xf>
    <xf numFmtId="184" fontId="14" fillId="0" borderId="34" xfId="17" applyNumberFormat="1" applyFont="1" applyBorder="1" applyAlignment="1">
      <alignment horizontal="center" vertical="center"/>
    </xf>
    <xf numFmtId="184" fontId="14" fillId="0" borderId="14" xfId="17" applyNumberFormat="1" applyFont="1" applyBorder="1">
      <alignment vertical="center"/>
    </xf>
    <xf numFmtId="184" fontId="14" fillId="0" borderId="35" xfId="17" applyNumberFormat="1" applyFont="1" applyBorder="1">
      <alignment vertical="center"/>
    </xf>
    <xf numFmtId="49" fontId="14" fillId="0" borderId="24" xfId="17" applyNumberFormat="1" applyFont="1" applyBorder="1" applyAlignment="1">
      <alignment horizontal="center" vertical="center"/>
    </xf>
    <xf numFmtId="49" fontId="14" fillId="0" borderId="13" xfId="17" applyNumberFormat="1" applyFont="1" applyBorder="1" applyAlignment="1">
      <alignment horizontal="center" vertical="center"/>
    </xf>
    <xf numFmtId="184" fontId="14" fillId="0" borderId="36" xfId="17" applyNumberFormat="1" applyFont="1" applyBorder="1">
      <alignment vertical="center"/>
    </xf>
    <xf numFmtId="49" fontId="14" fillId="0" borderId="23" xfId="17" applyNumberFormat="1" applyFont="1" applyBorder="1" applyAlignment="1">
      <alignment horizontal="center" vertical="center"/>
    </xf>
    <xf numFmtId="49" fontId="14" fillId="0" borderId="25" xfId="17" applyNumberFormat="1" applyFont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left" vertical="center" indent="2"/>
    </xf>
    <xf numFmtId="0" fontId="21" fillId="6" borderId="0" xfId="0" applyFont="1" applyFill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6" fillId="0" borderId="37" xfId="0" applyFont="1" applyBorder="1" applyAlignment="1">
      <alignment vertical="center"/>
    </xf>
    <xf numFmtId="0" fontId="16" fillId="0" borderId="38" xfId="0" applyFont="1" applyBorder="1" applyAlignment="1">
      <alignment vertical="center"/>
    </xf>
    <xf numFmtId="0" fontId="16" fillId="0" borderId="39" xfId="0" applyFont="1" applyBorder="1" applyAlignment="1">
      <alignment vertical="center"/>
    </xf>
    <xf numFmtId="0" fontId="16" fillId="0" borderId="40" xfId="0" applyFont="1" applyBorder="1" applyAlignment="1">
      <alignment vertical="center"/>
    </xf>
    <xf numFmtId="0" fontId="16" fillId="0" borderId="41" xfId="0" applyFont="1" applyBorder="1" applyAlignment="1">
      <alignment vertical="center"/>
    </xf>
    <xf numFmtId="0" fontId="16" fillId="0" borderId="42" xfId="0" applyFont="1" applyBorder="1" applyAlignment="1">
      <alignment vertical="center"/>
    </xf>
    <xf numFmtId="0" fontId="16" fillId="0" borderId="43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184" fontId="14" fillId="0" borderId="11" xfId="17" applyNumberFormat="1" applyFont="1" applyBorder="1" applyAlignment="1">
      <alignment vertical="center" wrapText="1"/>
    </xf>
    <xf numFmtId="184" fontId="14" fillId="0" borderId="19" xfId="17" applyNumberFormat="1" applyFont="1" applyBorder="1" applyAlignment="1">
      <alignment vertical="center" wrapText="1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4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10" Type="http://schemas.openxmlformats.org/officeDocument/2006/relationships/image" Target="../media/image2.emf"/><Relationship Id="rId4" Type="http://schemas.openxmlformats.org/officeDocument/2006/relationships/image" Target="../media/image7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4</xdr:row>
          <xdr:rowOff>9525</xdr:rowOff>
        </xdr:from>
        <xdr:to>
          <xdr:col>18</xdr:col>
          <xdr:colOff>19050</xdr:colOff>
          <xdr:row>4</xdr:row>
          <xdr:rowOff>247650</xdr:rowOff>
        </xdr:to>
        <xdr:sp macro="" textlink="">
          <xdr:nvSpPr>
            <xdr:cNvPr id="59394" name="OptionButton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18</xdr:col>
          <xdr:colOff>28575</xdr:colOff>
          <xdr:row>5</xdr:row>
          <xdr:rowOff>257175</xdr:rowOff>
        </xdr:to>
        <xdr:sp macro="" textlink="">
          <xdr:nvSpPr>
            <xdr:cNvPr id="59395" name="OptionButton2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6</xdr:row>
          <xdr:rowOff>28575</xdr:rowOff>
        </xdr:from>
        <xdr:to>
          <xdr:col>18</xdr:col>
          <xdr:colOff>28575</xdr:colOff>
          <xdr:row>6</xdr:row>
          <xdr:rowOff>266700</xdr:rowOff>
        </xdr:to>
        <xdr:sp macro="" textlink="">
          <xdr:nvSpPr>
            <xdr:cNvPr id="59396" name="OptionButton3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</xdr:row>
          <xdr:rowOff>152400</xdr:rowOff>
        </xdr:from>
        <xdr:to>
          <xdr:col>22</xdr:col>
          <xdr:colOff>390525</xdr:colOff>
          <xdr:row>9</xdr:row>
          <xdr:rowOff>47625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7</xdr:row>
          <xdr:rowOff>38100</xdr:rowOff>
        </xdr:from>
        <xdr:to>
          <xdr:col>18</xdr:col>
          <xdr:colOff>200025</xdr:colOff>
          <xdr:row>8</xdr:row>
          <xdr:rowOff>0</xdr:rowOff>
        </xdr:to>
        <xdr:sp macro="" textlink="">
          <xdr:nvSpPr>
            <xdr:cNvPr id="59401" name="OptionButton4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1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8</xdr:row>
          <xdr:rowOff>47625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9402" name="OptionButton5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1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9</xdr:row>
          <xdr:rowOff>57150</xdr:rowOff>
        </xdr:from>
        <xdr:to>
          <xdr:col>18</xdr:col>
          <xdr:colOff>276225</xdr:colOff>
          <xdr:row>10</xdr:row>
          <xdr:rowOff>19050</xdr:rowOff>
        </xdr:to>
        <xdr:sp macro="" textlink="">
          <xdr:nvSpPr>
            <xdr:cNvPr id="59403" name="OptionButton6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1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10</xdr:row>
          <xdr:rowOff>66675</xdr:rowOff>
        </xdr:from>
        <xdr:to>
          <xdr:col>18</xdr:col>
          <xdr:colOff>276225</xdr:colOff>
          <xdr:row>11</xdr:row>
          <xdr:rowOff>28575</xdr:rowOff>
        </xdr:to>
        <xdr:sp macro="" textlink="">
          <xdr:nvSpPr>
            <xdr:cNvPr id="59404" name="OptionButton7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1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1028700</xdr:colOff>
          <xdr:row>11</xdr:row>
          <xdr:rowOff>161925</xdr:rowOff>
        </xdr:from>
        <xdr:to>
          <xdr:col>18</xdr:col>
          <xdr:colOff>295275</xdr:colOff>
          <xdr:row>12</xdr:row>
          <xdr:rowOff>123825</xdr:rowOff>
        </xdr:to>
        <xdr:sp macro="" textlink="">
          <xdr:nvSpPr>
            <xdr:cNvPr id="59405" name="OptionButton8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1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257175</xdr:colOff>
          <xdr:row>9</xdr:row>
          <xdr:rowOff>161925</xdr:rowOff>
        </xdr:from>
        <xdr:to>
          <xdr:col>22</xdr:col>
          <xdr:colOff>361950</xdr:colOff>
          <xdr:row>11</xdr:row>
          <xdr:rowOff>57150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1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R62"/>
  <sheetViews>
    <sheetView zoomScaleNormal="100" workbookViewId="0">
      <selection activeCell="T13" sqref="T13"/>
    </sheetView>
  </sheetViews>
  <sheetFormatPr defaultRowHeight="16.5"/>
  <cols>
    <col min="1" max="1" width="8.88671875" style="2"/>
    <col min="2" max="2" width="5.88671875" style="1" customWidth="1"/>
    <col min="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8">
      <c r="B2" s="30" t="s">
        <v>69</v>
      </c>
    </row>
    <row r="3" spans="2:18">
      <c r="R3" s="98"/>
    </row>
    <row r="4" spans="2:18" ht="17.25" thickBot="1"/>
    <row r="5" spans="2:18" s="3" customFormat="1" ht="21.95" customHeight="1">
      <c r="B5" s="42" t="s">
        <v>28</v>
      </c>
      <c r="C5" s="43" t="s">
        <v>29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</row>
    <row r="6" spans="2:18" ht="21.95" customHeight="1">
      <c r="B6" s="45">
        <v>1989</v>
      </c>
      <c r="C6" s="38">
        <v>90.4</v>
      </c>
      <c r="D6" s="38">
        <v>82.1</v>
      </c>
      <c r="E6" s="38">
        <v>76.900000000000006</v>
      </c>
      <c r="F6" s="38">
        <v>21.9</v>
      </c>
      <c r="G6" s="38">
        <v>51.6</v>
      </c>
      <c r="H6" s="38">
        <v>170.3</v>
      </c>
      <c r="I6" s="38">
        <v>511.6</v>
      </c>
      <c r="J6" s="38">
        <v>105.5</v>
      </c>
      <c r="K6" s="38">
        <v>323.60000000000002</v>
      </c>
      <c r="L6" s="38">
        <v>35.299999999999997</v>
      </c>
      <c r="M6" s="38">
        <v>51</v>
      </c>
      <c r="N6" s="46">
        <v>17.8</v>
      </c>
      <c r="O6" s="53">
        <f>ROUND(SUM(C6:N6),1)</f>
        <v>1538</v>
      </c>
      <c r="P6" s="54">
        <f>ROUND(O6/12,1)</f>
        <v>128.19999999999999</v>
      </c>
      <c r="Q6" s="29"/>
    </row>
    <row r="7" spans="2:18" ht="21.95" customHeight="1">
      <c r="B7" s="47">
        <v>1990</v>
      </c>
      <c r="C7" s="39">
        <v>73.400000000000006</v>
      </c>
      <c r="D7" s="39">
        <v>111.1</v>
      </c>
      <c r="E7" s="39">
        <v>58.9</v>
      </c>
      <c r="F7" s="39">
        <v>88.4</v>
      </c>
      <c r="G7" s="39">
        <v>113.4</v>
      </c>
      <c r="H7" s="39">
        <v>277.8</v>
      </c>
      <c r="I7" s="39">
        <v>334.6</v>
      </c>
      <c r="J7" s="39">
        <v>215</v>
      </c>
      <c r="K7" s="39">
        <v>151.6</v>
      </c>
      <c r="L7" s="39">
        <v>4.2</v>
      </c>
      <c r="M7" s="39">
        <v>48.8</v>
      </c>
      <c r="N7" s="48">
        <v>19.2</v>
      </c>
      <c r="O7" s="55">
        <f t="shared" ref="O7:O35" si="0">ROUND(SUM(C7:N7),1)</f>
        <v>1496.4</v>
      </c>
      <c r="P7" s="49">
        <f t="shared" ref="P7:P35" si="1">ROUND(O7/12,1)</f>
        <v>124.7</v>
      </c>
      <c r="Q7" s="29"/>
    </row>
    <row r="8" spans="2:18" ht="21.95" customHeight="1">
      <c r="B8" s="47">
        <v>1991</v>
      </c>
      <c r="C8" s="39">
        <v>23.2</v>
      </c>
      <c r="D8" s="39">
        <v>56.9</v>
      </c>
      <c r="E8" s="39">
        <v>89.4</v>
      </c>
      <c r="F8" s="39">
        <v>69.400000000000006</v>
      </c>
      <c r="G8" s="39">
        <v>50.2</v>
      </c>
      <c r="H8" s="39">
        <v>169</v>
      </c>
      <c r="I8" s="39">
        <v>275</v>
      </c>
      <c r="J8" s="39">
        <v>139</v>
      </c>
      <c r="K8" s="39">
        <v>218.3</v>
      </c>
      <c r="L8" s="39">
        <v>16.100000000000001</v>
      </c>
      <c r="M8" s="39">
        <v>18.600000000000001</v>
      </c>
      <c r="N8" s="48">
        <v>57</v>
      </c>
      <c r="O8" s="55">
        <f t="shared" si="0"/>
        <v>1182.0999999999999</v>
      </c>
      <c r="P8" s="49">
        <f t="shared" si="1"/>
        <v>98.5</v>
      </c>
      <c r="Q8" s="29"/>
    </row>
    <row r="9" spans="2:18" ht="21.95" customHeight="1">
      <c r="B9" s="47">
        <v>1992</v>
      </c>
      <c r="C9" s="39">
        <v>12.6</v>
      </c>
      <c r="D9" s="39">
        <v>27</v>
      </c>
      <c r="E9" s="39">
        <v>46.5</v>
      </c>
      <c r="F9" s="39">
        <v>119.9</v>
      </c>
      <c r="G9" s="39">
        <v>92.3</v>
      </c>
      <c r="H9" s="39">
        <v>24.4</v>
      </c>
      <c r="I9" s="39">
        <v>187.7</v>
      </c>
      <c r="J9" s="39">
        <v>232.1</v>
      </c>
      <c r="K9" s="39">
        <v>163.6</v>
      </c>
      <c r="L9" s="39">
        <v>34.200000000000003</v>
      </c>
      <c r="M9" s="39">
        <v>47.4</v>
      </c>
      <c r="N9" s="48">
        <v>49.2</v>
      </c>
      <c r="O9" s="55">
        <f t="shared" si="0"/>
        <v>1036.9000000000001</v>
      </c>
      <c r="P9" s="49">
        <f t="shared" si="1"/>
        <v>86.4</v>
      </c>
      <c r="Q9" s="29"/>
    </row>
    <row r="10" spans="2:18" ht="21.95" customHeight="1">
      <c r="B10" s="47">
        <v>1993</v>
      </c>
      <c r="C10" s="39">
        <v>8</v>
      </c>
      <c r="D10" s="39">
        <v>82.9</v>
      </c>
      <c r="E10" s="39">
        <v>40.1</v>
      </c>
      <c r="F10" s="39">
        <v>64.8</v>
      </c>
      <c r="G10" s="39">
        <v>154.9</v>
      </c>
      <c r="H10" s="39">
        <v>222.4</v>
      </c>
      <c r="I10" s="39">
        <v>295.60000000000002</v>
      </c>
      <c r="J10" s="39">
        <v>364.3</v>
      </c>
      <c r="K10" s="39">
        <v>142.4</v>
      </c>
      <c r="L10" s="39">
        <v>39.299999999999997</v>
      </c>
      <c r="M10" s="39">
        <v>93.7</v>
      </c>
      <c r="N10" s="48">
        <v>24.7</v>
      </c>
      <c r="O10" s="55">
        <f t="shared" si="0"/>
        <v>1533.1</v>
      </c>
      <c r="P10" s="49">
        <f t="shared" si="1"/>
        <v>127.8</v>
      </c>
      <c r="Q10" s="29"/>
    </row>
    <row r="11" spans="2:18" ht="21.95" customHeight="1">
      <c r="B11" s="47">
        <v>1994</v>
      </c>
      <c r="C11" s="39">
        <v>17.899999999999999</v>
      </c>
      <c r="D11" s="39">
        <v>16.8</v>
      </c>
      <c r="E11" s="39">
        <v>46.5</v>
      </c>
      <c r="F11" s="39">
        <v>38.700000000000003</v>
      </c>
      <c r="G11" s="39">
        <v>138.4</v>
      </c>
      <c r="H11" s="39">
        <v>115.1</v>
      </c>
      <c r="I11" s="39">
        <v>105.3</v>
      </c>
      <c r="J11" s="39">
        <v>145.9</v>
      </c>
      <c r="K11" s="39">
        <v>37.9</v>
      </c>
      <c r="L11" s="39">
        <v>145.30000000000001</v>
      </c>
      <c r="M11" s="39">
        <v>24.3</v>
      </c>
      <c r="N11" s="48">
        <v>25.8</v>
      </c>
      <c r="O11" s="55">
        <f t="shared" si="0"/>
        <v>857.9</v>
      </c>
      <c r="P11" s="49">
        <f t="shared" si="1"/>
        <v>71.5</v>
      </c>
      <c r="Q11" s="29"/>
    </row>
    <row r="12" spans="2:18" ht="21.95" customHeight="1">
      <c r="B12" s="47">
        <v>1995</v>
      </c>
      <c r="C12" s="39">
        <v>23.5</v>
      </c>
      <c r="D12" s="39">
        <v>16.899999999999999</v>
      </c>
      <c r="E12" s="39">
        <v>33.799999999999997</v>
      </c>
      <c r="F12" s="39">
        <v>54.7</v>
      </c>
      <c r="G12" s="39">
        <v>62.2</v>
      </c>
      <c r="H12" s="39">
        <v>33.6</v>
      </c>
      <c r="I12" s="39">
        <v>155.4</v>
      </c>
      <c r="J12" s="39">
        <v>641.9</v>
      </c>
      <c r="K12" s="39">
        <v>53.4</v>
      </c>
      <c r="L12" s="39">
        <v>36</v>
      </c>
      <c r="M12" s="39">
        <v>17.5</v>
      </c>
      <c r="N12" s="48">
        <v>7.3</v>
      </c>
      <c r="O12" s="55">
        <f t="shared" si="0"/>
        <v>1136.2</v>
      </c>
      <c r="P12" s="49">
        <f t="shared" si="1"/>
        <v>94.7</v>
      </c>
    </row>
    <row r="13" spans="2:18" ht="21.95" customHeight="1">
      <c r="B13" s="47">
        <v>1996</v>
      </c>
      <c r="C13" s="39">
        <v>32.700000000000003</v>
      </c>
      <c r="D13" s="39">
        <v>4.4000000000000004</v>
      </c>
      <c r="E13" s="39">
        <v>138</v>
      </c>
      <c r="F13" s="39">
        <v>49.8</v>
      </c>
      <c r="G13" s="39">
        <v>62.9</v>
      </c>
      <c r="H13" s="39">
        <v>411.4</v>
      </c>
      <c r="I13" s="39">
        <v>257.7</v>
      </c>
      <c r="J13" s="39">
        <v>114.4</v>
      </c>
      <c r="K13" s="39">
        <v>11.4</v>
      </c>
      <c r="L13" s="39">
        <v>90.8</v>
      </c>
      <c r="M13" s="39">
        <v>77.099999999999994</v>
      </c>
      <c r="N13" s="48">
        <v>28.6</v>
      </c>
      <c r="O13" s="55">
        <f t="shared" si="0"/>
        <v>1279.2</v>
      </c>
      <c r="P13" s="49">
        <f t="shared" si="1"/>
        <v>106.6</v>
      </c>
    </row>
    <row r="14" spans="2:18" ht="21.95" customHeight="1">
      <c r="B14" s="47">
        <v>1997</v>
      </c>
      <c r="C14" s="39">
        <v>15.6</v>
      </c>
      <c r="D14" s="39">
        <v>51.1</v>
      </c>
      <c r="E14" s="39">
        <v>37.1</v>
      </c>
      <c r="F14" s="39">
        <v>55.4</v>
      </c>
      <c r="G14" s="39">
        <v>200.9</v>
      </c>
      <c r="H14" s="39">
        <v>267.5</v>
      </c>
      <c r="I14" s="39">
        <v>424.2</v>
      </c>
      <c r="J14" s="39">
        <v>463.5</v>
      </c>
      <c r="K14" s="39">
        <v>30.2</v>
      </c>
      <c r="L14" s="39">
        <v>7.7</v>
      </c>
      <c r="M14" s="39">
        <v>168.2</v>
      </c>
      <c r="N14" s="48">
        <v>44.5</v>
      </c>
      <c r="O14" s="55">
        <f t="shared" si="0"/>
        <v>1765.9</v>
      </c>
      <c r="P14" s="49">
        <f t="shared" si="1"/>
        <v>147.19999999999999</v>
      </c>
    </row>
    <row r="15" spans="2:18" ht="21.95" customHeight="1">
      <c r="B15" s="47">
        <v>1998</v>
      </c>
      <c r="C15" s="39">
        <v>33.299999999999997</v>
      </c>
      <c r="D15" s="39">
        <v>36.299999999999997</v>
      </c>
      <c r="E15" s="39">
        <v>31.1</v>
      </c>
      <c r="F15" s="39">
        <v>154.30000000000001</v>
      </c>
      <c r="G15" s="39">
        <v>119.5</v>
      </c>
      <c r="H15" s="39">
        <v>297.2</v>
      </c>
      <c r="I15" s="39">
        <v>256.10000000000002</v>
      </c>
      <c r="J15" s="39">
        <v>781.7</v>
      </c>
      <c r="K15" s="39">
        <v>254.7</v>
      </c>
      <c r="L15" s="39">
        <v>71.5</v>
      </c>
      <c r="M15" s="39">
        <v>31.6</v>
      </c>
      <c r="N15" s="48">
        <v>2.7</v>
      </c>
      <c r="O15" s="55">
        <f t="shared" si="0"/>
        <v>2070</v>
      </c>
      <c r="P15" s="49">
        <f t="shared" si="1"/>
        <v>172.5</v>
      </c>
    </row>
    <row r="16" spans="2:18" ht="21.95" customHeight="1">
      <c r="B16" s="47">
        <v>1999</v>
      </c>
      <c r="C16" s="39">
        <v>1.8</v>
      </c>
      <c r="D16" s="39">
        <v>12.2</v>
      </c>
      <c r="E16" s="39">
        <v>79.400000000000006</v>
      </c>
      <c r="F16" s="39">
        <v>103</v>
      </c>
      <c r="G16" s="39">
        <v>116.8</v>
      </c>
      <c r="H16" s="39">
        <v>245.7</v>
      </c>
      <c r="I16" s="39">
        <v>137.80000000000001</v>
      </c>
      <c r="J16" s="39">
        <v>203</v>
      </c>
      <c r="K16" s="39">
        <v>359.5</v>
      </c>
      <c r="L16" s="39">
        <v>171.6</v>
      </c>
      <c r="M16" s="39">
        <v>16.5</v>
      </c>
      <c r="N16" s="48">
        <v>7.9</v>
      </c>
      <c r="O16" s="55">
        <f t="shared" si="0"/>
        <v>1455.2</v>
      </c>
      <c r="P16" s="49">
        <f t="shared" si="1"/>
        <v>121.3</v>
      </c>
    </row>
    <row r="17" spans="2:16" ht="21.95" customHeight="1">
      <c r="B17" s="47">
        <v>2000</v>
      </c>
      <c r="C17" s="39">
        <v>27.5</v>
      </c>
      <c r="D17" s="39">
        <v>4.0999999999999996</v>
      </c>
      <c r="E17" s="39">
        <v>17.8</v>
      </c>
      <c r="F17" s="39">
        <v>67.8</v>
      </c>
      <c r="G17" s="39">
        <v>54.3</v>
      </c>
      <c r="H17" s="39">
        <v>238.3</v>
      </c>
      <c r="I17" s="39">
        <v>470.1</v>
      </c>
      <c r="J17" s="39">
        <v>473.6</v>
      </c>
      <c r="K17" s="39">
        <v>263.2</v>
      </c>
      <c r="L17" s="39">
        <v>24.6</v>
      </c>
      <c r="M17" s="39">
        <v>44.6</v>
      </c>
      <c r="N17" s="48">
        <v>21.6</v>
      </c>
      <c r="O17" s="55">
        <f t="shared" si="0"/>
        <v>1707.5</v>
      </c>
      <c r="P17" s="49">
        <f t="shared" si="1"/>
        <v>142.30000000000001</v>
      </c>
    </row>
    <row r="18" spans="2:16" ht="21.95" customHeight="1">
      <c r="B18" s="47">
        <v>2001</v>
      </c>
      <c r="C18" s="39">
        <v>61.2</v>
      </c>
      <c r="D18" s="39">
        <v>70</v>
      </c>
      <c r="E18" s="39">
        <v>16</v>
      </c>
      <c r="F18" s="39">
        <v>20.399999999999999</v>
      </c>
      <c r="G18" s="39">
        <v>30.2</v>
      </c>
      <c r="H18" s="39">
        <v>234.2</v>
      </c>
      <c r="I18" s="39">
        <v>171</v>
      </c>
      <c r="J18" s="39">
        <v>78.099999999999994</v>
      </c>
      <c r="K18" s="39">
        <v>25.2</v>
      </c>
      <c r="L18" s="39">
        <v>91.2</v>
      </c>
      <c r="M18" s="39">
        <v>10.8</v>
      </c>
      <c r="N18" s="48">
        <v>20.399999999999999</v>
      </c>
      <c r="O18" s="55">
        <f t="shared" si="0"/>
        <v>828.7</v>
      </c>
      <c r="P18" s="49">
        <f t="shared" si="1"/>
        <v>69.099999999999994</v>
      </c>
    </row>
    <row r="19" spans="2:16" ht="21.95" customHeight="1">
      <c r="B19" s="47">
        <v>2002</v>
      </c>
      <c r="C19" s="39">
        <v>92.1</v>
      </c>
      <c r="D19" s="39">
        <v>12</v>
      </c>
      <c r="E19" s="39">
        <v>33.5</v>
      </c>
      <c r="F19" s="39">
        <v>155.5</v>
      </c>
      <c r="G19" s="39">
        <v>130.5</v>
      </c>
      <c r="H19" s="39">
        <v>55.4</v>
      </c>
      <c r="I19" s="39">
        <v>149.1</v>
      </c>
      <c r="J19" s="39">
        <v>538.79999999999995</v>
      </c>
      <c r="K19" s="39">
        <v>77</v>
      </c>
      <c r="L19" s="39">
        <v>67.8</v>
      </c>
      <c r="M19" s="39">
        <v>24</v>
      </c>
      <c r="N19" s="48">
        <v>43</v>
      </c>
      <c r="O19" s="55">
        <f t="shared" si="0"/>
        <v>1378.7</v>
      </c>
      <c r="P19" s="49">
        <f t="shared" si="1"/>
        <v>114.9</v>
      </c>
    </row>
    <row r="20" spans="2:16" ht="21.95" customHeight="1">
      <c r="B20" s="47">
        <v>2003</v>
      </c>
      <c r="C20" s="39">
        <v>11.2</v>
      </c>
      <c r="D20" s="39">
        <v>59.2</v>
      </c>
      <c r="E20" s="39">
        <v>44.2</v>
      </c>
      <c r="F20" s="39">
        <v>217.5</v>
      </c>
      <c r="G20" s="39">
        <v>119.5</v>
      </c>
      <c r="H20" s="39">
        <v>186.4</v>
      </c>
      <c r="I20" s="39">
        <v>576.29999999999995</v>
      </c>
      <c r="J20" s="39">
        <v>254.9</v>
      </c>
      <c r="K20" s="39">
        <v>208.5</v>
      </c>
      <c r="L20" s="39">
        <v>21.5</v>
      </c>
      <c r="M20" s="39">
        <v>32.6</v>
      </c>
      <c r="N20" s="48">
        <v>17.100000000000001</v>
      </c>
      <c r="O20" s="55">
        <f t="shared" si="0"/>
        <v>1748.9</v>
      </c>
      <c r="P20" s="49">
        <f t="shared" si="1"/>
        <v>145.69999999999999</v>
      </c>
    </row>
    <row r="21" spans="2:16" ht="21.95" customHeight="1">
      <c r="B21" s="47">
        <v>2004</v>
      </c>
      <c r="C21" s="39">
        <v>10.9</v>
      </c>
      <c r="D21" s="39">
        <v>30.6</v>
      </c>
      <c r="E21" s="39">
        <v>83.2</v>
      </c>
      <c r="F21" s="39">
        <v>73.099999999999994</v>
      </c>
      <c r="G21" s="39">
        <v>109</v>
      </c>
      <c r="H21" s="39">
        <v>383.5</v>
      </c>
      <c r="I21" s="39">
        <v>391</v>
      </c>
      <c r="J21" s="39">
        <v>198.3</v>
      </c>
      <c r="K21" s="39">
        <v>133.69999999999999</v>
      </c>
      <c r="L21" s="39">
        <v>5</v>
      </c>
      <c r="M21" s="39">
        <v>37.1</v>
      </c>
      <c r="N21" s="48">
        <v>41.1</v>
      </c>
      <c r="O21" s="55">
        <f t="shared" si="0"/>
        <v>1496.5</v>
      </c>
      <c r="P21" s="49">
        <f t="shared" si="1"/>
        <v>124.7</v>
      </c>
    </row>
    <row r="22" spans="2:16" ht="21.95" customHeight="1">
      <c r="B22" s="47">
        <v>2005</v>
      </c>
      <c r="C22" s="39">
        <v>6</v>
      </c>
      <c r="D22" s="39">
        <v>37.5</v>
      </c>
      <c r="E22" s="39">
        <v>38.799999999999997</v>
      </c>
      <c r="F22" s="39">
        <v>48.5</v>
      </c>
      <c r="G22" s="39">
        <v>60.5</v>
      </c>
      <c r="H22" s="39">
        <v>209.6</v>
      </c>
      <c r="I22" s="39">
        <v>463.3</v>
      </c>
      <c r="J22" s="39">
        <v>499.5</v>
      </c>
      <c r="K22" s="39">
        <v>226.4</v>
      </c>
      <c r="L22" s="39">
        <v>30.5</v>
      </c>
      <c r="M22" s="39">
        <v>20.3</v>
      </c>
      <c r="N22" s="48">
        <v>15.2</v>
      </c>
      <c r="O22" s="55">
        <f t="shared" si="0"/>
        <v>1656.1</v>
      </c>
      <c r="P22" s="49">
        <f t="shared" si="1"/>
        <v>138</v>
      </c>
    </row>
    <row r="23" spans="2:16" ht="21.95" customHeight="1">
      <c r="B23" s="47">
        <v>2006</v>
      </c>
      <c r="C23" s="39">
        <v>31.2</v>
      </c>
      <c r="D23" s="39">
        <v>33.1</v>
      </c>
      <c r="E23" s="39">
        <v>8.1</v>
      </c>
      <c r="F23" s="39">
        <v>94.2</v>
      </c>
      <c r="G23" s="39">
        <v>119.7</v>
      </c>
      <c r="H23" s="39">
        <v>131</v>
      </c>
      <c r="I23" s="39">
        <v>531</v>
      </c>
      <c r="J23" s="39">
        <v>113.6</v>
      </c>
      <c r="K23" s="39">
        <v>24.1</v>
      </c>
      <c r="L23" s="39">
        <v>19.3</v>
      </c>
      <c r="M23" s="39">
        <v>60</v>
      </c>
      <c r="N23" s="48">
        <v>29.9</v>
      </c>
      <c r="O23" s="55">
        <f t="shared" si="0"/>
        <v>1195.2</v>
      </c>
      <c r="P23" s="49">
        <f t="shared" si="1"/>
        <v>99.6</v>
      </c>
    </row>
    <row r="24" spans="2:16" ht="21.95" customHeight="1">
      <c r="B24" s="47">
        <v>2007</v>
      </c>
      <c r="C24" s="39">
        <v>14</v>
      </c>
      <c r="D24" s="39">
        <v>45</v>
      </c>
      <c r="E24" s="39">
        <v>117.5</v>
      </c>
      <c r="F24" s="39">
        <v>28.6</v>
      </c>
      <c r="G24" s="39">
        <v>130.1</v>
      </c>
      <c r="H24" s="39">
        <v>133</v>
      </c>
      <c r="I24" s="39">
        <v>275.7</v>
      </c>
      <c r="J24" s="39">
        <v>373</v>
      </c>
      <c r="K24" s="39">
        <v>549.9</v>
      </c>
      <c r="L24" s="39">
        <v>47.4</v>
      </c>
      <c r="M24" s="39">
        <v>9.8000000000000007</v>
      </c>
      <c r="N24" s="48">
        <v>26.9</v>
      </c>
      <c r="O24" s="55">
        <f t="shared" si="0"/>
        <v>1750.9</v>
      </c>
      <c r="P24" s="49">
        <f t="shared" si="1"/>
        <v>145.9</v>
      </c>
    </row>
    <row r="25" spans="2:16" ht="21.95" customHeight="1">
      <c r="B25" s="47">
        <v>2008</v>
      </c>
      <c r="C25" s="39">
        <v>45.3</v>
      </c>
      <c r="D25" s="39">
        <v>9.1</v>
      </c>
      <c r="E25" s="39">
        <v>29.1</v>
      </c>
      <c r="F25" s="39">
        <v>34.4</v>
      </c>
      <c r="G25" s="39">
        <v>59.2</v>
      </c>
      <c r="H25" s="39">
        <v>148.30000000000001</v>
      </c>
      <c r="I25" s="39">
        <v>253.4</v>
      </c>
      <c r="J25" s="39">
        <v>325.2</v>
      </c>
      <c r="K25" s="39">
        <v>85.5</v>
      </c>
      <c r="L25" s="39">
        <v>19.600000000000001</v>
      </c>
      <c r="M25" s="39">
        <v>12.1</v>
      </c>
      <c r="N25" s="48">
        <v>16.399999999999999</v>
      </c>
      <c r="O25" s="55">
        <f t="shared" si="0"/>
        <v>1037.5999999999999</v>
      </c>
      <c r="P25" s="49">
        <f t="shared" si="1"/>
        <v>86.5</v>
      </c>
    </row>
    <row r="26" spans="2:16" ht="21.95" customHeight="1">
      <c r="B26" s="47">
        <v>2009</v>
      </c>
      <c r="C26" s="39">
        <v>15.4</v>
      </c>
      <c r="D26" s="39">
        <v>27.5</v>
      </c>
      <c r="E26" s="39">
        <v>60.3</v>
      </c>
      <c r="F26" s="39">
        <v>34.5</v>
      </c>
      <c r="G26" s="39">
        <v>124.3</v>
      </c>
      <c r="H26" s="39">
        <v>87.3</v>
      </c>
      <c r="I26" s="39">
        <v>429.2</v>
      </c>
      <c r="J26" s="39">
        <v>148.30000000000001</v>
      </c>
      <c r="K26" s="39">
        <v>46</v>
      </c>
      <c r="L26" s="39">
        <v>24.7</v>
      </c>
      <c r="M26" s="39">
        <v>54.7</v>
      </c>
      <c r="N26" s="48">
        <v>38.200000000000003</v>
      </c>
      <c r="O26" s="55">
        <f t="shared" si="0"/>
        <v>1090.4000000000001</v>
      </c>
      <c r="P26" s="49">
        <f t="shared" si="1"/>
        <v>90.9</v>
      </c>
    </row>
    <row r="27" spans="2:16" ht="21.95" customHeight="1">
      <c r="B27" s="47">
        <v>2010</v>
      </c>
      <c r="C27" s="39">
        <v>46.4</v>
      </c>
      <c r="D27" s="39">
        <v>81.5</v>
      </c>
      <c r="E27" s="39">
        <v>100.1</v>
      </c>
      <c r="F27" s="39">
        <v>88.5</v>
      </c>
      <c r="G27" s="39">
        <v>117.6</v>
      </c>
      <c r="H27" s="39">
        <v>65.599999999999994</v>
      </c>
      <c r="I27" s="39">
        <v>223.1</v>
      </c>
      <c r="J27" s="39">
        <v>376.4</v>
      </c>
      <c r="K27" s="39">
        <v>250.5</v>
      </c>
      <c r="L27" s="39">
        <v>17.899999999999999</v>
      </c>
      <c r="M27" s="39">
        <v>16.399999999999999</v>
      </c>
      <c r="N27" s="48">
        <v>35.700000000000003</v>
      </c>
      <c r="O27" s="55">
        <f t="shared" si="0"/>
        <v>1419.7</v>
      </c>
      <c r="P27" s="49">
        <f t="shared" si="1"/>
        <v>118.3</v>
      </c>
    </row>
    <row r="28" spans="2:16" ht="21.95" customHeight="1">
      <c r="B28" s="47">
        <v>2011</v>
      </c>
      <c r="C28" s="39">
        <v>4</v>
      </c>
      <c r="D28" s="39">
        <v>44.8</v>
      </c>
      <c r="E28" s="39">
        <v>19</v>
      </c>
      <c r="F28" s="39">
        <v>71</v>
      </c>
      <c r="G28" s="39">
        <v>162</v>
      </c>
      <c r="H28" s="39">
        <v>391.6</v>
      </c>
      <c r="I28" s="39">
        <v>587.29999999999995</v>
      </c>
      <c r="J28" s="39">
        <v>420.3</v>
      </c>
      <c r="K28" s="39">
        <v>91.7</v>
      </c>
      <c r="L28" s="39">
        <v>37</v>
      </c>
      <c r="M28" s="39">
        <v>103.2</v>
      </c>
      <c r="N28" s="48">
        <v>11.5</v>
      </c>
      <c r="O28" s="55">
        <f t="shared" si="0"/>
        <v>1943.4</v>
      </c>
      <c r="P28" s="49">
        <f t="shared" si="1"/>
        <v>162</v>
      </c>
    </row>
    <row r="29" spans="2:16" ht="21.95" customHeight="1">
      <c r="B29" s="47">
        <v>2012</v>
      </c>
      <c r="C29" s="39">
        <v>16.399999999999999</v>
      </c>
      <c r="D29" s="39">
        <v>2.5</v>
      </c>
      <c r="E29" s="39">
        <v>54.6</v>
      </c>
      <c r="F29" s="39">
        <v>66.2</v>
      </c>
      <c r="G29" s="39">
        <v>24</v>
      </c>
      <c r="H29" s="39">
        <v>57.8</v>
      </c>
      <c r="I29" s="39">
        <v>277.60000000000002</v>
      </c>
      <c r="J29" s="39">
        <v>463.6</v>
      </c>
      <c r="K29" s="39">
        <v>242.5</v>
      </c>
      <c r="L29" s="39">
        <v>81.3</v>
      </c>
      <c r="M29" s="39">
        <v>58.4</v>
      </c>
      <c r="N29" s="48">
        <v>64.599999999999994</v>
      </c>
      <c r="O29" s="55">
        <f t="shared" si="0"/>
        <v>1409.5</v>
      </c>
      <c r="P29" s="49">
        <f t="shared" si="1"/>
        <v>117.5</v>
      </c>
    </row>
    <row r="30" spans="2:16" ht="21.95" customHeight="1">
      <c r="B30" s="47">
        <v>2013</v>
      </c>
      <c r="C30" s="39">
        <v>46.2</v>
      </c>
      <c r="D30" s="39">
        <v>54.2</v>
      </c>
      <c r="E30" s="39">
        <v>52.8</v>
      </c>
      <c r="F30" s="39">
        <v>86.8</v>
      </c>
      <c r="G30" s="39">
        <v>110.4</v>
      </c>
      <c r="H30" s="39">
        <v>162.6</v>
      </c>
      <c r="I30" s="39">
        <v>218.7</v>
      </c>
      <c r="J30" s="39">
        <v>126.6</v>
      </c>
      <c r="K30" s="39">
        <v>146.4</v>
      </c>
      <c r="L30" s="39">
        <v>19.899999999999999</v>
      </c>
      <c r="M30" s="39">
        <v>63.5</v>
      </c>
      <c r="N30" s="48">
        <v>32.799999999999997</v>
      </c>
      <c r="O30" s="55">
        <f t="shared" si="0"/>
        <v>1120.9000000000001</v>
      </c>
      <c r="P30" s="49">
        <f t="shared" si="1"/>
        <v>93.4</v>
      </c>
    </row>
    <row r="31" spans="2:16" ht="21.95" customHeight="1">
      <c r="B31" s="47">
        <v>2014</v>
      </c>
      <c r="C31" s="39">
        <v>6.5</v>
      </c>
      <c r="D31" s="39">
        <v>8.5</v>
      </c>
      <c r="E31" s="39">
        <v>67.2</v>
      </c>
      <c r="F31" s="39">
        <v>59.4</v>
      </c>
      <c r="G31" s="39">
        <v>49.7</v>
      </c>
      <c r="H31" s="39">
        <v>143.69999999999999</v>
      </c>
      <c r="I31" s="39">
        <v>177.2</v>
      </c>
      <c r="J31" s="39">
        <v>240.9</v>
      </c>
      <c r="K31" s="39">
        <v>118</v>
      </c>
      <c r="L31" s="39">
        <v>169.4</v>
      </c>
      <c r="M31" s="39">
        <v>40.700000000000003</v>
      </c>
      <c r="N31" s="48">
        <v>36.700000000000003</v>
      </c>
      <c r="O31" s="55">
        <f t="shared" si="0"/>
        <v>1117.9000000000001</v>
      </c>
      <c r="P31" s="49">
        <f t="shared" si="1"/>
        <v>93.2</v>
      </c>
    </row>
    <row r="32" spans="2:16" ht="21.95" customHeight="1">
      <c r="B32" s="47">
        <v>2015</v>
      </c>
      <c r="C32" s="39">
        <v>31.5</v>
      </c>
      <c r="D32" s="39">
        <v>27</v>
      </c>
      <c r="E32" s="39">
        <v>44.7</v>
      </c>
      <c r="F32" s="39">
        <v>95.2</v>
      </c>
      <c r="G32" s="39">
        <v>28.9</v>
      </c>
      <c r="H32" s="39">
        <v>119.8</v>
      </c>
      <c r="I32" s="39">
        <v>145.6</v>
      </c>
      <c r="J32" s="39">
        <v>51.6</v>
      </c>
      <c r="K32" s="39">
        <v>18.5</v>
      </c>
      <c r="L32" s="39">
        <v>94.1</v>
      </c>
      <c r="M32" s="39">
        <v>126</v>
      </c>
      <c r="N32" s="48">
        <v>39.700000000000003</v>
      </c>
      <c r="O32" s="55">
        <f t="shared" si="0"/>
        <v>822.6</v>
      </c>
      <c r="P32" s="49">
        <f t="shared" si="1"/>
        <v>68.599999999999994</v>
      </c>
    </row>
    <row r="33" spans="2:16" ht="21.95" customHeight="1">
      <c r="B33" s="47">
        <v>2016</v>
      </c>
      <c r="C33" s="39">
        <v>11.6</v>
      </c>
      <c r="D33" s="39">
        <v>45.8</v>
      </c>
      <c r="E33" s="39">
        <v>40.299999999999997</v>
      </c>
      <c r="F33" s="39">
        <v>154.9</v>
      </c>
      <c r="G33" s="39">
        <v>85.1</v>
      </c>
      <c r="H33" s="39">
        <v>62.5</v>
      </c>
      <c r="I33" s="39">
        <v>367.9</v>
      </c>
      <c r="J33" s="39">
        <v>57.4</v>
      </c>
      <c r="K33" s="39">
        <v>196</v>
      </c>
      <c r="L33" s="39">
        <v>122.6</v>
      </c>
      <c r="M33" s="39">
        <v>29.5</v>
      </c>
      <c r="N33" s="48">
        <v>54.8</v>
      </c>
      <c r="O33" s="55">
        <f t="shared" si="0"/>
        <v>1228.4000000000001</v>
      </c>
      <c r="P33" s="49">
        <f t="shared" si="1"/>
        <v>102.4</v>
      </c>
    </row>
    <row r="34" spans="2:16" ht="21.95" customHeight="1">
      <c r="B34" s="47">
        <v>2017</v>
      </c>
      <c r="C34" s="39">
        <v>15</v>
      </c>
      <c r="D34" s="39">
        <v>42</v>
      </c>
      <c r="E34" s="39">
        <v>11.6</v>
      </c>
      <c r="F34" s="39">
        <v>77.7</v>
      </c>
      <c r="G34" s="39">
        <v>29.3</v>
      </c>
      <c r="H34" s="39">
        <v>35.299999999999997</v>
      </c>
      <c r="I34" s="39">
        <v>434.5</v>
      </c>
      <c r="J34" s="39">
        <v>293.8</v>
      </c>
      <c r="K34" s="39">
        <v>111.4</v>
      </c>
      <c r="L34" s="39">
        <v>28.3</v>
      </c>
      <c r="M34" s="39">
        <v>15.1</v>
      </c>
      <c r="N34" s="48">
        <v>33.5</v>
      </c>
      <c r="O34" s="55">
        <f t="shared" si="0"/>
        <v>1127.5</v>
      </c>
      <c r="P34" s="49">
        <f t="shared" si="1"/>
        <v>94</v>
      </c>
    </row>
    <row r="35" spans="2:16" ht="21.95" customHeight="1" thickBot="1">
      <c r="B35" s="59">
        <v>2018</v>
      </c>
      <c r="C35" s="60">
        <v>23.9</v>
      </c>
      <c r="D35" s="60">
        <v>40.5</v>
      </c>
      <c r="E35" s="60">
        <v>108.4</v>
      </c>
      <c r="F35" s="60">
        <v>155.30000000000001</v>
      </c>
      <c r="G35" s="60">
        <v>95.9</v>
      </c>
      <c r="H35" s="60">
        <v>115.8</v>
      </c>
      <c r="I35" s="60">
        <v>226.9</v>
      </c>
      <c r="J35" s="60">
        <v>408.6</v>
      </c>
      <c r="K35" s="60">
        <v>149.4</v>
      </c>
      <c r="L35" s="60">
        <v>133.9</v>
      </c>
      <c r="M35" s="60">
        <v>49.8</v>
      </c>
      <c r="N35" s="61">
        <v>33.700000000000003</v>
      </c>
      <c r="O35" s="62">
        <f t="shared" si="0"/>
        <v>1542.1</v>
      </c>
      <c r="P35" s="63">
        <f t="shared" si="1"/>
        <v>128.5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1.8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28.3</v>
      </c>
      <c r="D38" s="51">
        <f t="shared" ref="D38:N38" si="4">ROUND(AVERAGE(D6:D35),1)</f>
        <v>39.1</v>
      </c>
      <c r="E38" s="51">
        <f t="shared" si="4"/>
        <v>54.2</v>
      </c>
      <c r="F38" s="51">
        <f t="shared" si="4"/>
        <v>81.7</v>
      </c>
      <c r="G38" s="51">
        <f t="shared" si="4"/>
        <v>93.4</v>
      </c>
      <c r="H38" s="51">
        <f t="shared" si="4"/>
        <v>173.2</v>
      </c>
      <c r="I38" s="51">
        <f t="shared" si="4"/>
        <v>310.3</v>
      </c>
      <c r="J38" s="51">
        <f t="shared" si="4"/>
        <v>295</v>
      </c>
      <c r="K38" s="51">
        <f t="shared" si="4"/>
        <v>157</v>
      </c>
      <c r="L38" s="51">
        <f t="shared" si="4"/>
        <v>56.9</v>
      </c>
      <c r="M38" s="51">
        <f t="shared" si="4"/>
        <v>46.8</v>
      </c>
      <c r="N38" s="52">
        <f t="shared" si="4"/>
        <v>29.9</v>
      </c>
      <c r="O38" s="57">
        <f>ROUND(AVERAGE(O6:O35),1)</f>
        <v>1365.8</v>
      </c>
      <c r="P38" s="58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72">
        <v>2009</v>
      </c>
      <c r="C44" s="39">
        <v>15.4</v>
      </c>
      <c r="D44" s="39">
        <v>27.5</v>
      </c>
      <c r="E44" s="39">
        <v>60.3</v>
      </c>
      <c r="F44" s="39">
        <v>34.5</v>
      </c>
      <c r="G44" s="39">
        <v>124.3</v>
      </c>
      <c r="H44" s="39">
        <v>87.3</v>
      </c>
      <c r="I44" s="39">
        <v>429.2</v>
      </c>
      <c r="J44" s="39">
        <v>148.30000000000001</v>
      </c>
      <c r="K44" s="39">
        <v>46</v>
      </c>
      <c r="L44" s="39">
        <v>24.7</v>
      </c>
      <c r="M44" s="39">
        <v>54.7</v>
      </c>
      <c r="N44" s="48">
        <v>38.200000000000003</v>
      </c>
      <c r="O44" s="41">
        <f>ROUND(SUM(C44:N44),1)</f>
        <v>1090.4000000000001</v>
      </c>
      <c r="P44" s="48">
        <f>ROUND(O44/12,1)</f>
        <v>90.9</v>
      </c>
    </row>
    <row r="45" spans="2:16" ht="21.95" customHeight="1">
      <c r="B45" s="72">
        <v>2010</v>
      </c>
      <c r="C45" s="39">
        <v>46.4</v>
      </c>
      <c r="D45" s="39">
        <v>81.5</v>
      </c>
      <c r="E45" s="39">
        <v>100.1</v>
      </c>
      <c r="F45" s="39">
        <v>88.5</v>
      </c>
      <c r="G45" s="39">
        <v>117.6</v>
      </c>
      <c r="H45" s="39">
        <v>65.599999999999994</v>
      </c>
      <c r="I45" s="39">
        <v>223.1</v>
      </c>
      <c r="J45" s="39">
        <v>376.4</v>
      </c>
      <c r="K45" s="39">
        <v>250.5</v>
      </c>
      <c r="L45" s="39">
        <v>17.899999999999999</v>
      </c>
      <c r="M45" s="39">
        <v>16.399999999999999</v>
      </c>
      <c r="N45" s="48">
        <v>35.700000000000003</v>
      </c>
      <c r="O45" s="41">
        <f t="shared" ref="O45:O53" si="5">ROUND(SUM(C45:N45),1)</f>
        <v>1419.7</v>
      </c>
      <c r="P45" s="48">
        <f t="shared" ref="P45:P53" si="6">ROUND(O45/12,1)</f>
        <v>118.3</v>
      </c>
    </row>
    <row r="46" spans="2:16" ht="21.95" customHeight="1">
      <c r="B46" s="72">
        <v>2011</v>
      </c>
      <c r="C46" s="39">
        <v>4</v>
      </c>
      <c r="D46" s="39">
        <v>44.8</v>
      </c>
      <c r="E46" s="39">
        <v>19</v>
      </c>
      <c r="F46" s="39">
        <v>71</v>
      </c>
      <c r="G46" s="39">
        <v>162</v>
      </c>
      <c r="H46" s="39">
        <v>391.6</v>
      </c>
      <c r="I46" s="39">
        <v>587.29999999999995</v>
      </c>
      <c r="J46" s="39">
        <v>420.3</v>
      </c>
      <c r="K46" s="39">
        <v>91.7</v>
      </c>
      <c r="L46" s="39">
        <v>37</v>
      </c>
      <c r="M46" s="39">
        <v>103.2</v>
      </c>
      <c r="N46" s="48">
        <v>11.5</v>
      </c>
      <c r="O46" s="41">
        <f t="shared" si="5"/>
        <v>1943.4</v>
      </c>
      <c r="P46" s="48">
        <f t="shared" si="6"/>
        <v>162</v>
      </c>
    </row>
    <row r="47" spans="2:16" ht="21.95" customHeight="1">
      <c r="B47" s="72">
        <v>2012</v>
      </c>
      <c r="C47" s="39">
        <v>16.399999999999999</v>
      </c>
      <c r="D47" s="39">
        <v>2.5</v>
      </c>
      <c r="E47" s="39">
        <v>54.6</v>
      </c>
      <c r="F47" s="39">
        <v>66.2</v>
      </c>
      <c r="G47" s="39">
        <v>24</v>
      </c>
      <c r="H47" s="39">
        <v>57.8</v>
      </c>
      <c r="I47" s="39">
        <v>277.60000000000002</v>
      </c>
      <c r="J47" s="39">
        <v>463.6</v>
      </c>
      <c r="K47" s="39">
        <v>242.5</v>
      </c>
      <c r="L47" s="39">
        <v>81.3</v>
      </c>
      <c r="M47" s="39">
        <v>58.4</v>
      </c>
      <c r="N47" s="48">
        <v>64.599999999999994</v>
      </c>
      <c r="O47" s="41">
        <f t="shared" si="5"/>
        <v>1409.5</v>
      </c>
      <c r="P47" s="48">
        <f t="shared" si="6"/>
        <v>117.5</v>
      </c>
    </row>
    <row r="48" spans="2:16" ht="21.95" customHeight="1">
      <c r="B48" s="72">
        <v>2013</v>
      </c>
      <c r="C48" s="39">
        <v>46.2</v>
      </c>
      <c r="D48" s="39">
        <v>54.2</v>
      </c>
      <c r="E48" s="39">
        <v>52.8</v>
      </c>
      <c r="F48" s="39">
        <v>86.8</v>
      </c>
      <c r="G48" s="39">
        <v>110.4</v>
      </c>
      <c r="H48" s="39">
        <v>162.6</v>
      </c>
      <c r="I48" s="39">
        <v>218.7</v>
      </c>
      <c r="J48" s="39">
        <v>126.6</v>
      </c>
      <c r="K48" s="39">
        <v>146.4</v>
      </c>
      <c r="L48" s="39">
        <v>19.899999999999999</v>
      </c>
      <c r="M48" s="39">
        <v>63.5</v>
      </c>
      <c r="N48" s="48">
        <v>32.799999999999997</v>
      </c>
      <c r="O48" s="41">
        <f t="shared" si="5"/>
        <v>1120.9000000000001</v>
      </c>
      <c r="P48" s="48">
        <f t="shared" si="6"/>
        <v>93.4</v>
      </c>
    </row>
    <row r="49" spans="2:17" ht="21.95" customHeight="1">
      <c r="B49" s="72">
        <v>2014</v>
      </c>
      <c r="C49" s="39">
        <v>6.5</v>
      </c>
      <c r="D49" s="39">
        <v>8.5</v>
      </c>
      <c r="E49" s="39">
        <v>67.2</v>
      </c>
      <c r="F49" s="39">
        <v>59.4</v>
      </c>
      <c r="G49" s="39">
        <v>49.7</v>
      </c>
      <c r="H49" s="39">
        <v>143.69999999999999</v>
      </c>
      <c r="I49" s="39">
        <v>177.2</v>
      </c>
      <c r="J49" s="39">
        <v>240.9</v>
      </c>
      <c r="K49" s="39">
        <v>118</v>
      </c>
      <c r="L49" s="39">
        <v>169.4</v>
      </c>
      <c r="M49" s="39">
        <v>40.700000000000003</v>
      </c>
      <c r="N49" s="48">
        <v>36.700000000000003</v>
      </c>
      <c r="O49" s="41">
        <f t="shared" si="5"/>
        <v>1117.9000000000001</v>
      </c>
      <c r="P49" s="48">
        <f t="shared" si="6"/>
        <v>93.2</v>
      </c>
    </row>
    <row r="50" spans="2:17" ht="21.95" customHeight="1">
      <c r="B50" s="72">
        <v>2015</v>
      </c>
      <c r="C50" s="39">
        <v>31.5</v>
      </c>
      <c r="D50" s="39">
        <v>27</v>
      </c>
      <c r="E50" s="39">
        <v>44.7</v>
      </c>
      <c r="F50" s="39">
        <v>95.2</v>
      </c>
      <c r="G50" s="39">
        <v>28.9</v>
      </c>
      <c r="H50" s="39">
        <v>119.8</v>
      </c>
      <c r="I50" s="39">
        <v>145.6</v>
      </c>
      <c r="J50" s="39">
        <v>51.6</v>
      </c>
      <c r="K50" s="39">
        <v>18.5</v>
      </c>
      <c r="L50" s="39">
        <v>94.1</v>
      </c>
      <c r="M50" s="39">
        <v>126</v>
      </c>
      <c r="N50" s="48">
        <v>39.700000000000003</v>
      </c>
      <c r="O50" s="41">
        <f t="shared" si="5"/>
        <v>822.6</v>
      </c>
      <c r="P50" s="48">
        <f t="shared" si="6"/>
        <v>68.599999999999994</v>
      </c>
    </row>
    <row r="51" spans="2:17" ht="21.95" customHeight="1">
      <c r="B51" s="72">
        <v>2016</v>
      </c>
      <c r="C51" s="39">
        <v>11.6</v>
      </c>
      <c r="D51" s="39">
        <v>45.8</v>
      </c>
      <c r="E51" s="39">
        <v>40.299999999999997</v>
      </c>
      <c r="F51" s="39">
        <v>154.9</v>
      </c>
      <c r="G51" s="39">
        <v>85.1</v>
      </c>
      <c r="H51" s="39">
        <v>62.5</v>
      </c>
      <c r="I51" s="39">
        <v>367.9</v>
      </c>
      <c r="J51" s="39">
        <v>57.4</v>
      </c>
      <c r="K51" s="39">
        <v>196</v>
      </c>
      <c r="L51" s="39">
        <v>122.6</v>
      </c>
      <c r="M51" s="39">
        <v>29.5</v>
      </c>
      <c r="N51" s="48">
        <v>54.8</v>
      </c>
      <c r="O51" s="41">
        <f t="shared" si="5"/>
        <v>1228.4000000000001</v>
      </c>
      <c r="P51" s="48">
        <f t="shared" si="6"/>
        <v>102.4</v>
      </c>
    </row>
    <row r="52" spans="2:17" ht="21.95" customHeight="1">
      <c r="B52" s="72">
        <v>2017</v>
      </c>
      <c r="C52" s="39">
        <v>15</v>
      </c>
      <c r="D52" s="39">
        <v>42</v>
      </c>
      <c r="E52" s="39">
        <v>11.6</v>
      </c>
      <c r="F52" s="39">
        <v>77.7</v>
      </c>
      <c r="G52" s="39">
        <v>29.3</v>
      </c>
      <c r="H52" s="39">
        <v>35.299999999999997</v>
      </c>
      <c r="I52" s="39">
        <v>434.5</v>
      </c>
      <c r="J52" s="39">
        <v>293.8</v>
      </c>
      <c r="K52" s="39">
        <v>111.4</v>
      </c>
      <c r="L52" s="39">
        <v>28.3</v>
      </c>
      <c r="M52" s="39">
        <v>15.1</v>
      </c>
      <c r="N52" s="48">
        <v>33.5</v>
      </c>
      <c r="O52" s="41">
        <f t="shared" si="5"/>
        <v>1127.5</v>
      </c>
      <c r="P52" s="48">
        <f t="shared" si="6"/>
        <v>94</v>
      </c>
    </row>
    <row r="53" spans="2:17" ht="21.95" customHeight="1" thickBot="1">
      <c r="B53" s="59">
        <v>2018</v>
      </c>
      <c r="C53" s="60">
        <v>23.9</v>
      </c>
      <c r="D53" s="60">
        <v>40.5</v>
      </c>
      <c r="E53" s="60">
        <v>108.4</v>
      </c>
      <c r="F53" s="60">
        <v>155.30000000000001</v>
      </c>
      <c r="G53" s="60">
        <v>95.9</v>
      </c>
      <c r="H53" s="60">
        <v>115.8</v>
      </c>
      <c r="I53" s="60">
        <v>226.9</v>
      </c>
      <c r="J53" s="60">
        <v>408.6</v>
      </c>
      <c r="K53" s="60">
        <v>149.4</v>
      </c>
      <c r="L53" s="60">
        <v>133.9</v>
      </c>
      <c r="M53" s="60">
        <v>49.8</v>
      </c>
      <c r="N53" s="61">
        <v>33.700000000000003</v>
      </c>
      <c r="O53" s="79">
        <f t="shared" si="5"/>
        <v>1542.1</v>
      </c>
      <c r="P53" s="61">
        <f t="shared" si="6"/>
        <v>128.5</v>
      </c>
    </row>
    <row r="54" spans="2:17" ht="21.95" customHeight="1">
      <c r="B54" s="76" t="s">
        <v>33</v>
      </c>
      <c r="C54" s="77">
        <f>MAX(C44:C53)</f>
        <v>46.4</v>
      </c>
      <c r="D54" s="77">
        <f t="shared" ref="D54:P54" si="7">MAX(D44:D53)</f>
        <v>81.5</v>
      </c>
      <c r="E54" s="77">
        <f t="shared" si="7"/>
        <v>108.4</v>
      </c>
      <c r="F54" s="77">
        <f t="shared" si="7"/>
        <v>155.30000000000001</v>
      </c>
      <c r="G54" s="77">
        <f t="shared" si="7"/>
        <v>162</v>
      </c>
      <c r="H54" s="77">
        <f t="shared" si="7"/>
        <v>391.6</v>
      </c>
      <c r="I54" s="77">
        <f t="shared" si="7"/>
        <v>587.29999999999995</v>
      </c>
      <c r="J54" s="77">
        <f t="shared" si="7"/>
        <v>463.6</v>
      </c>
      <c r="K54" s="77">
        <f t="shared" si="7"/>
        <v>250.5</v>
      </c>
      <c r="L54" s="77">
        <f t="shared" si="7"/>
        <v>169.4</v>
      </c>
      <c r="M54" s="77">
        <f t="shared" si="7"/>
        <v>126</v>
      </c>
      <c r="N54" s="68">
        <f t="shared" si="7"/>
        <v>64.599999999999994</v>
      </c>
      <c r="O54" s="80">
        <f t="shared" si="7"/>
        <v>1943.4</v>
      </c>
      <c r="P54" s="68">
        <f t="shared" si="7"/>
        <v>162</v>
      </c>
    </row>
    <row r="55" spans="2:17" ht="21.95" customHeight="1">
      <c r="B55" s="73" t="s">
        <v>34</v>
      </c>
      <c r="C55" s="39">
        <f>MIN(C44:C53)</f>
        <v>4</v>
      </c>
      <c r="D55" s="39">
        <f t="shared" ref="D55:P55" si="8">MIN(D44:D53)</f>
        <v>2.5</v>
      </c>
      <c r="E55" s="39">
        <f t="shared" si="8"/>
        <v>11.6</v>
      </c>
      <c r="F55" s="39">
        <f t="shared" si="8"/>
        <v>34.5</v>
      </c>
      <c r="G55" s="39">
        <f t="shared" si="8"/>
        <v>24</v>
      </c>
      <c r="H55" s="39">
        <f t="shared" si="8"/>
        <v>35.299999999999997</v>
      </c>
      <c r="I55" s="39">
        <f t="shared" si="8"/>
        <v>145.6</v>
      </c>
      <c r="J55" s="39">
        <f t="shared" si="8"/>
        <v>51.6</v>
      </c>
      <c r="K55" s="39">
        <f t="shared" si="8"/>
        <v>18.5</v>
      </c>
      <c r="L55" s="39">
        <f t="shared" si="8"/>
        <v>17.899999999999999</v>
      </c>
      <c r="M55" s="39">
        <f t="shared" si="8"/>
        <v>15.1</v>
      </c>
      <c r="N55" s="48">
        <f t="shared" si="8"/>
        <v>11.5</v>
      </c>
      <c r="O55" s="41">
        <f>MIN(O44:O53)</f>
        <v>822.6</v>
      </c>
      <c r="P55" s="48">
        <f t="shared" si="8"/>
        <v>68.599999999999994</v>
      </c>
    </row>
    <row r="56" spans="2:17" ht="21.95" customHeight="1" thickBot="1">
      <c r="B56" s="74" t="s">
        <v>18</v>
      </c>
      <c r="C56" s="75">
        <f>ROUND(AVERAGE(C44:C53),1)</f>
        <v>21.7</v>
      </c>
      <c r="D56" s="75">
        <f t="shared" ref="D56:N56" si="9">ROUND(AVERAGE(D44:D53),1)</f>
        <v>37.4</v>
      </c>
      <c r="E56" s="75">
        <f t="shared" si="9"/>
        <v>55.9</v>
      </c>
      <c r="F56" s="75">
        <f t="shared" si="9"/>
        <v>89</v>
      </c>
      <c r="G56" s="75">
        <f t="shared" si="9"/>
        <v>82.7</v>
      </c>
      <c r="H56" s="75">
        <f t="shared" si="9"/>
        <v>124.2</v>
      </c>
      <c r="I56" s="75">
        <f t="shared" si="9"/>
        <v>308.8</v>
      </c>
      <c r="J56" s="75">
        <f t="shared" si="9"/>
        <v>258.8</v>
      </c>
      <c r="K56" s="75">
        <f t="shared" si="9"/>
        <v>137</v>
      </c>
      <c r="L56" s="75">
        <f t="shared" si="9"/>
        <v>72.900000000000006</v>
      </c>
      <c r="M56" s="75">
        <f t="shared" si="9"/>
        <v>55.7</v>
      </c>
      <c r="N56" s="58">
        <f t="shared" si="9"/>
        <v>38.1</v>
      </c>
      <c r="O56" s="81">
        <f>ROUND(AVERAGE(O44:O53),1)</f>
        <v>1282.2</v>
      </c>
      <c r="P56" s="58">
        <f>ROUND(AVERAGE(P44:P53),1)</f>
        <v>106.9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rgb="FFC00000"/>
  </sheetPr>
  <dimension ref="A2:W983"/>
  <sheetViews>
    <sheetView tabSelected="1" zoomScaleNormal="100" workbookViewId="0">
      <selection activeCell="AA3" sqref="AA3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22" ht="17.25" thickBot="1">
      <c r="B2" s="30" t="s">
        <v>69</v>
      </c>
    </row>
    <row r="3" spans="2:22" ht="24.75" customHeight="1">
      <c r="R3" s="98"/>
      <c r="T3" s="121" t="s">
        <v>182</v>
      </c>
      <c r="U3" s="122" t="s">
        <v>183</v>
      </c>
      <c r="V3" s="123"/>
    </row>
    <row r="4" spans="2:22" ht="21.75" customHeight="1" thickBot="1">
      <c r="T4" s="124" t="s">
        <v>184</v>
      </c>
      <c r="U4" s="120" t="s">
        <v>185</v>
      </c>
      <c r="V4" s="125"/>
    </row>
    <row r="5" spans="2:22" s="3" customFormat="1" ht="21.95" customHeight="1" thickBot="1">
      <c r="B5" s="42" t="s">
        <v>27</v>
      </c>
      <c r="C5" s="43" t="s">
        <v>20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  <c r="T5" s="126" t="s">
        <v>186</v>
      </c>
      <c r="U5" s="127" t="s">
        <v>187</v>
      </c>
      <c r="V5" s="128"/>
    </row>
    <row r="6" spans="2:22" ht="21.95" customHeight="1">
      <c r="B6" s="102">
        <v>1991</v>
      </c>
      <c r="C6" s="38">
        <v>23.2</v>
      </c>
      <c r="D6" s="38">
        <v>56.9</v>
      </c>
      <c r="E6" s="38">
        <v>89.4</v>
      </c>
      <c r="F6" s="38">
        <v>69.400000000000006</v>
      </c>
      <c r="G6" s="38">
        <v>50.2</v>
      </c>
      <c r="H6" s="38">
        <v>169</v>
      </c>
      <c r="I6" s="38">
        <v>275</v>
      </c>
      <c r="J6" s="130">
        <v>139</v>
      </c>
      <c r="K6" s="38">
        <v>218.3</v>
      </c>
      <c r="L6" s="38">
        <v>16.100000000000001</v>
      </c>
      <c r="M6" s="38">
        <v>18.600000000000001</v>
      </c>
      <c r="N6" s="46">
        <v>57</v>
      </c>
      <c r="O6" s="55">
        <f t="shared" ref="O6:O35" si="0">ROUND(SUM(C6:N6),1)</f>
        <v>1182.0999999999999</v>
      </c>
      <c r="P6" s="54">
        <f>ROUND(O6/12,1)</f>
        <v>98.5</v>
      </c>
      <c r="Q6" s="29"/>
    </row>
    <row r="7" spans="2:22" ht="21.95" customHeight="1">
      <c r="B7" s="103">
        <v>1992</v>
      </c>
      <c r="C7" s="39">
        <v>12.6</v>
      </c>
      <c r="D7" s="39">
        <v>27</v>
      </c>
      <c r="E7" s="39">
        <v>46.5</v>
      </c>
      <c r="F7" s="39">
        <v>119.9</v>
      </c>
      <c r="G7" s="39">
        <v>92.3</v>
      </c>
      <c r="H7" s="39">
        <v>24.4</v>
      </c>
      <c r="I7" s="39">
        <v>187.7</v>
      </c>
      <c r="J7" s="129">
        <v>232.1</v>
      </c>
      <c r="K7" s="39">
        <v>163.6</v>
      </c>
      <c r="L7" s="39">
        <v>34.200000000000003</v>
      </c>
      <c r="M7" s="39">
        <v>47.4</v>
      </c>
      <c r="N7" s="48">
        <v>49.2</v>
      </c>
      <c r="O7" s="55">
        <f t="shared" si="0"/>
        <v>1036.9000000000001</v>
      </c>
      <c r="P7" s="49">
        <f t="shared" ref="P7:P35" si="1">ROUND(O7/12,1)</f>
        <v>86.4</v>
      </c>
      <c r="Q7" s="29"/>
      <c r="T7" s="116" t="s">
        <v>191</v>
      </c>
    </row>
    <row r="8" spans="2:22" ht="21.95" customHeight="1">
      <c r="B8" s="103">
        <v>1993</v>
      </c>
      <c r="C8" s="39">
        <v>8</v>
      </c>
      <c r="D8" s="39">
        <v>82.9</v>
      </c>
      <c r="E8" s="39">
        <v>40.1</v>
      </c>
      <c r="F8" s="39">
        <v>64.8</v>
      </c>
      <c r="G8" s="39">
        <v>154.9</v>
      </c>
      <c r="H8" s="39">
        <v>222.4</v>
      </c>
      <c r="I8" s="39">
        <v>295.60000000000002</v>
      </c>
      <c r="J8" s="39">
        <v>364.3</v>
      </c>
      <c r="K8" s="39">
        <v>142.4</v>
      </c>
      <c r="L8" s="39">
        <v>39.299999999999997</v>
      </c>
      <c r="M8" s="39">
        <v>93.7</v>
      </c>
      <c r="N8" s="48">
        <v>24.7</v>
      </c>
      <c r="O8" s="55">
        <f t="shared" si="0"/>
        <v>1533.1</v>
      </c>
      <c r="P8" s="49">
        <f t="shared" si="1"/>
        <v>127.8</v>
      </c>
      <c r="Q8" s="29"/>
    </row>
    <row r="9" spans="2:22" ht="21.95" customHeight="1">
      <c r="B9" s="103">
        <v>1994</v>
      </c>
      <c r="C9" s="39">
        <v>17.899999999999999</v>
      </c>
      <c r="D9" s="39">
        <v>16.8</v>
      </c>
      <c r="E9" s="39">
        <v>46.5</v>
      </c>
      <c r="F9" s="39">
        <v>38.700000000000003</v>
      </c>
      <c r="G9" s="39">
        <v>138.4</v>
      </c>
      <c r="H9" s="39">
        <v>115.1</v>
      </c>
      <c r="I9" s="39">
        <v>105.3</v>
      </c>
      <c r="J9" s="39">
        <v>145.9</v>
      </c>
      <c r="K9" s="39">
        <v>37.9</v>
      </c>
      <c r="L9" s="39">
        <v>145.30000000000001</v>
      </c>
      <c r="M9" s="39">
        <v>24.3</v>
      </c>
      <c r="N9" s="48">
        <v>25.8</v>
      </c>
      <c r="O9" s="55">
        <f t="shared" si="0"/>
        <v>857.9</v>
      </c>
      <c r="P9" s="49">
        <f t="shared" si="1"/>
        <v>71.5</v>
      </c>
      <c r="Q9" s="29"/>
    </row>
    <row r="10" spans="2:22" ht="21.95" customHeight="1">
      <c r="B10" s="103">
        <v>1995</v>
      </c>
      <c r="C10" s="39">
        <v>23.5</v>
      </c>
      <c r="D10" s="39">
        <v>16.899999999999999</v>
      </c>
      <c r="E10" s="39">
        <v>33.799999999999997</v>
      </c>
      <c r="F10" s="39">
        <v>54.7</v>
      </c>
      <c r="G10" s="39">
        <v>62.2</v>
      </c>
      <c r="H10" s="39">
        <v>33.6</v>
      </c>
      <c r="I10" s="39">
        <v>155.4</v>
      </c>
      <c r="J10" s="39">
        <v>641.9</v>
      </c>
      <c r="K10" s="39">
        <v>53.4</v>
      </c>
      <c r="L10" s="39">
        <v>36</v>
      </c>
      <c r="M10" s="39">
        <v>17.5</v>
      </c>
      <c r="N10" s="48">
        <v>7.3</v>
      </c>
      <c r="O10" s="55">
        <f t="shared" si="0"/>
        <v>1136.2</v>
      </c>
      <c r="P10" s="49">
        <f t="shared" si="1"/>
        <v>94.7</v>
      </c>
      <c r="Q10" s="29"/>
    </row>
    <row r="11" spans="2:22" ht="21.95" customHeight="1">
      <c r="B11" s="103">
        <v>1996</v>
      </c>
      <c r="C11" s="39">
        <v>32.700000000000003</v>
      </c>
      <c r="D11" s="39">
        <v>4.4000000000000004</v>
      </c>
      <c r="E11" s="39">
        <v>138</v>
      </c>
      <c r="F11" s="39">
        <v>49.8</v>
      </c>
      <c r="G11" s="39">
        <v>62.9</v>
      </c>
      <c r="H11" s="39">
        <v>411.4</v>
      </c>
      <c r="I11" s="39">
        <v>257.7</v>
      </c>
      <c r="J11" s="39">
        <v>114.4</v>
      </c>
      <c r="K11" s="39">
        <v>11.4</v>
      </c>
      <c r="L11" s="39">
        <v>90.8</v>
      </c>
      <c r="M11" s="39">
        <v>77.099999999999994</v>
      </c>
      <c r="N11" s="48">
        <v>28.6</v>
      </c>
      <c r="O11" s="55">
        <f t="shared" si="0"/>
        <v>1279.2</v>
      </c>
      <c r="P11" s="49">
        <f t="shared" si="1"/>
        <v>106.6</v>
      </c>
      <c r="Q11" s="29"/>
    </row>
    <row r="12" spans="2:22" ht="21.95" customHeight="1">
      <c r="B12" s="103">
        <v>1997</v>
      </c>
      <c r="C12" s="39">
        <v>15.6</v>
      </c>
      <c r="D12" s="39">
        <v>51.1</v>
      </c>
      <c r="E12" s="39">
        <v>37.1</v>
      </c>
      <c r="F12" s="39">
        <v>55.4</v>
      </c>
      <c r="G12" s="39">
        <v>200.9</v>
      </c>
      <c r="H12" s="39">
        <v>267.5</v>
      </c>
      <c r="I12" s="39">
        <v>424.2</v>
      </c>
      <c r="J12" s="39">
        <v>463.5</v>
      </c>
      <c r="K12" s="39">
        <v>30.2</v>
      </c>
      <c r="L12" s="39">
        <v>7.7</v>
      </c>
      <c r="M12" s="39">
        <v>168.2</v>
      </c>
      <c r="N12" s="48">
        <v>44.5</v>
      </c>
      <c r="O12" s="55">
        <f t="shared" si="0"/>
        <v>1765.9</v>
      </c>
      <c r="P12" s="49">
        <f t="shared" si="1"/>
        <v>147.19999999999999</v>
      </c>
    </row>
    <row r="13" spans="2:22" ht="21.95" customHeight="1">
      <c r="B13" s="103">
        <v>1998</v>
      </c>
      <c r="C13" s="39">
        <v>33.299999999999997</v>
      </c>
      <c r="D13" s="39">
        <v>36.299999999999997</v>
      </c>
      <c r="E13" s="39">
        <v>31.1</v>
      </c>
      <c r="F13" s="39">
        <v>154.30000000000001</v>
      </c>
      <c r="G13" s="39">
        <v>119.5</v>
      </c>
      <c r="H13" s="39">
        <v>297.2</v>
      </c>
      <c r="I13" s="39">
        <v>256.10000000000002</v>
      </c>
      <c r="J13" s="39">
        <v>781.7</v>
      </c>
      <c r="K13" s="39">
        <v>254.7</v>
      </c>
      <c r="L13" s="39">
        <v>71.5</v>
      </c>
      <c r="M13" s="39">
        <v>31.6</v>
      </c>
      <c r="N13" s="48">
        <v>2.7</v>
      </c>
      <c r="O13" s="55">
        <f t="shared" si="0"/>
        <v>2070</v>
      </c>
      <c r="P13" s="49">
        <f t="shared" si="1"/>
        <v>172.5</v>
      </c>
    </row>
    <row r="14" spans="2:22" ht="21.95" customHeight="1">
      <c r="B14" s="103">
        <v>1999</v>
      </c>
      <c r="C14" s="39">
        <v>1.8</v>
      </c>
      <c r="D14" s="39">
        <v>12.2</v>
      </c>
      <c r="E14" s="39">
        <v>79.400000000000006</v>
      </c>
      <c r="F14" s="39">
        <v>103</v>
      </c>
      <c r="G14" s="39">
        <v>116.8</v>
      </c>
      <c r="H14" s="39">
        <v>245.7</v>
      </c>
      <c r="I14" s="39">
        <v>137.80000000000001</v>
      </c>
      <c r="J14" s="39">
        <v>203</v>
      </c>
      <c r="K14" s="39">
        <v>359.5</v>
      </c>
      <c r="L14" s="39">
        <v>171.6</v>
      </c>
      <c r="M14" s="39">
        <v>16.5</v>
      </c>
      <c r="N14" s="48">
        <v>7.9</v>
      </c>
      <c r="O14" s="55">
        <f t="shared" si="0"/>
        <v>1455.2</v>
      </c>
      <c r="P14" s="49">
        <f t="shared" si="1"/>
        <v>121.3</v>
      </c>
      <c r="R14" s="119">
        <v>273</v>
      </c>
    </row>
    <row r="15" spans="2:22" ht="21.95" customHeight="1">
      <c r="B15" s="103">
        <v>2000</v>
      </c>
      <c r="C15" s="39">
        <v>27.5</v>
      </c>
      <c r="D15" s="39">
        <v>4.0999999999999996</v>
      </c>
      <c r="E15" s="39">
        <v>17.8</v>
      </c>
      <c r="F15" s="39">
        <v>67.8</v>
      </c>
      <c r="G15" s="39">
        <v>54.3</v>
      </c>
      <c r="H15" s="39">
        <v>238.3</v>
      </c>
      <c r="I15" s="39">
        <v>470.1</v>
      </c>
      <c r="J15" s="39">
        <v>473.6</v>
      </c>
      <c r="K15" s="39">
        <v>263.2</v>
      </c>
      <c r="L15" s="39">
        <v>24.6</v>
      </c>
      <c r="M15" s="39">
        <v>44.6</v>
      </c>
      <c r="N15" s="48">
        <v>21.6</v>
      </c>
      <c r="O15" s="55">
        <f t="shared" si="0"/>
        <v>1707.5</v>
      </c>
      <c r="P15" s="49">
        <f t="shared" si="1"/>
        <v>142.30000000000001</v>
      </c>
    </row>
    <row r="16" spans="2:22" ht="21.95" customHeight="1">
      <c r="B16" s="103">
        <v>2001</v>
      </c>
      <c r="C16" s="39">
        <v>61.2</v>
      </c>
      <c r="D16" s="39">
        <v>70</v>
      </c>
      <c r="E16" s="39">
        <v>16</v>
      </c>
      <c r="F16" s="39">
        <v>20.399999999999999</v>
      </c>
      <c r="G16" s="39">
        <v>30.2</v>
      </c>
      <c r="H16" s="39">
        <v>234.2</v>
      </c>
      <c r="I16" s="39">
        <v>171</v>
      </c>
      <c r="J16" s="39">
        <v>78.099999999999994</v>
      </c>
      <c r="K16" s="39">
        <v>25.2</v>
      </c>
      <c r="L16" s="39">
        <v>91.2</v>
      </c>
      <c r="M16" s="39">
        <v>10.8</v>
      </c>
      <c r="N16" s="48">
        <v>20.399999999999999</v>
      </c>
      <c r="O16" s="55">
        <f t="shared" si="0"/>
        <v>828.7</v>
      </c>
      <c r="P16" s="49">
        <f t="shared" si="1"/>
        <v>69.099999999999994</v>
      </c>
    </row>
    <row r="17" spans="2:23" ht="21.95" customHeight="1">
      <c r="B17" s="103">
        <v>2002</v>
      </c>
      <c r="C17" s="39">
        <v>92.1</v>
      </c>
      <c r="D17" s="39">
        <v>12</v>
      </c>
      <c r="E17" s="39">
        <v>33.5</v>
      </c>
      <c r="F17" s="39">
        <v>155.5</v>
      </c>
      <c r="G17" s="39">
        <v>130.5</v>
      </c>
      <c r="H17" s="39">
        <v>55.4</v>
      </c>
      <c r="I17" s="39">
        <v>149.1</v>
      </c>
      <c r="J17" s="39">
        <v>538.79999999999995</v>
      </c>
      <c r="K17" s="39">
        <v>77</v>
      </c>
      <c r="L17" s="39">
        <v>67.8</v>
      </c>
      <c r="M17" s="39">
        <v>24</v>
      </c>
      <c r="N17" s="48">
        <v>43</v>
      </c>
      <c r="O17" s="55">
        <f t="shared" si="0"/>
        <v>1378.7</v>
      </c>
      <c r="P17" s="49">
        <f t="shared" si="1"/>
        <v>114.9</v>
      </c>
    </row>
    <row r="18" spans="2:23" ht="21.95" customHeight="1">
      <c r="B18" s="103">
        <v>2003</v>
      </c>
      <c r="C18" s="39">
        <v>11.2</v>
      </c>
      <c r="D18" s="39">
        <v>59.2</v>
      </c>
      <c r="E18" s="39">
        <v>44.2</v>
      </c>
      <c r="F18" s="39">
        <v>217.5</v>
      </c>
      <c r="G18" s="39">
        <v>119.5</v>
      </c>
      <c r="H18" s="39">
        <v>186.4</v>
      </c>
      <c r="I18" s="39">
        <v>576.29999999999995</v>
      </c>
      <c r="J18" s="39">
        <v>254.9</v>
      </c>
      <c r="K18" s="39">
        <v>208.5</v>
      </c>
      <c r="L18" s="39">
        <v>21.5</v>
      </c>
      <c r="M18" s="39">
        <v>32.6</v>
      </c>
      <c r="N18" s="48">
        <v>17.100000000000001</v>
      </c>
      <c r="O18" s="55">
        <f t="shared" si="0"/>
        <v>1748.9</v>
      </c>
      <c r="P18" s="49">
        <f t="shared" si="1"/>
        <v>145.69999999999999</v>
      </c>
    </row>
    <row r="19" spans="2:23" ht="21.95" customHeight="1">
      <c r="B19" s="103">
        <v>2004</v>
      </c>
      <c r="C19" s="39">
        <v>10.9</v>
      </c>
      <c r="D19" s="39">
        <v>30.6</v>
      </c>
      <c r="E19" s="39">
        <v>83.2</v>
      </c>
      <c r="F19" s="39">
        <v>73.099999999999994</v>
      </c>
      <c r="G19" s="39">
        <v>109</v>
      </c>
      <c r="H19" s="39">
        <v>383.5</v>
      </c>
      <c r="I19" s="39">
        <v>391</v>
      </c>
      <c r="J19" s="39">
        <v>198.3</v>
      </c>
      <c r="K19" s="39">
        <v>133.69999999999999</v>
      </c>
      <c r="L19" s="39">
        <v>5</v>
      </c>
      <c r="M19" s="39">
        <v>37.1</v>
      </c>
      <c r="N19" s="48">
        <v>41.1</v>
      </c>
      <c r="O19" s="55">
        <f t="shared" si="0"/>
        <v>1496.5</v>
      </c>
      <c r="P19" s="49">
        <f t="shared" si="1"/>
        <v>124.7</v>
      </c>
    </row>
    <row r="20" spans="2:23" ht="21.95" customHeight="1">
      <c r="B20" s="103">
        <v>2005</v>
      </c>
      <c r="C20" s="39">
        <v>6</v>
      </c>
      <c r="D20" s="39">
        <v>37.5</v>
      </c>
      <c r="E20" s="39">
        <v>38.799999999999997</v>
      </c>
      <c r="F20" s="39">
        <v>48.5</v>
      </c>
      <c r="G20" s="39">
        <v>60.5</v>
      </c>
      <c r="H20" s="39">
        <v>209.6</v>
      </c>
      <c r="I20" s="39">
        <v>463.3</v>
      </c>
      <c r="J20" s="39">
        <v>499.5</v>
      </c>
      <c r="K20" s="39">
        <v>226.4</v>
      </c>
      <c r="L20" s="39">
        <v>30.5</v>
      </c>
      <c r="M20" s="39">
        <v>20.3</v>
      </c>
      <c r="N20" s="48">
        <v>15.2</v>
      </c>
      <c r="O20" s="55">
        <f t="shared" si="0"/>
        <v>1656.1</v>
      </c>
      <c r="P20" s="49">
        <f t="shared" si="1"/>
        <v>138</v>
      </c>
    </row>
    <row r="21" spans="2:23" ht="21.95" customHeight="1">
      <c r="B21" s="103">
        <v>2006</v>
      </c>
      <c r="C21" s="39">
        <v>31.2</v>
      </c>
      <c r="D21" s="39">
        <v>33.1</v>
      </c>
      <c r="E21" s="39">
        <v>8.1</v>
      </c>
      <c r="F21" s="39">
        <v>94.2</v>
      </c>
      <c r="G21" s="39">
        <v>119.7</v>
      </c>
      <c r="H21" s="39">
        <v>131</v>
      </c>
      <c r="I21" s="39">
        <v>531</v>
      </c>
      <c r="J21" s="39">
        <v>113.6</v>
      </c>
      <c r="K21" s="39">
        <v>24.1</v>
      </c>
      <c r="L21" s="39">
        <v>19.3</v>
      </c>
      <c r="M21" s="39">
        <v>60</v>
      </c>
      <c r="N21" s="48">
        <v>29.9</v>
      </c>
      <c r="O21" s="55">
        <f t="shared" si="0"/>
        <v>1195.2</v>
      </c>
      <c r="P21" s="49">
        <f t="shared" si="1"/>
        <v>99.6</v>
      </c>
      <c r="V21" s="2" t="s">
        <v>179</v>
      </c>
      <c r="W21" s="2">
        <v>273</v>
      </c>
    </row>
    <row r="22" spans="2:23" ht="21.95" customHeight="1">
      <c r="B22" s="103">
        <v>2007</v>
      </c>
      <c r="C22" s="39">
        <v>14</v>
      </c>
      <c r="D22" s="39">
        <v>45</v>
      </c>
      <c r="E22" s="39">
        <v>117.5</v>
      </c>
      <c r="F22" s="39">
        <v>28.6</v>
      </c>
      <c r="G22" s="39">
        <v>130.1</v>
      </c>
      <c r="H22" s="39">
        <v>133</v>
      </c>
      <c r="I22" s="39">
        <v>275.7</v>
      </c>
      <c r="J22" s="39">
        <v>373</v>
      </c>
      <c r="K22" s="39">
        <v>549.9</v>
      </c>
      <c r="L22" s="39">
        <v>47.4</v>
      </c>
      <c r="M22" s="39">
        <v>9.8000000000000007</v>
      </c>
      <c r="N22" s="48">
        <v>26.9</v>
      </c>
      <c r="O22" s="55">
        <f t="shared" si="0"/>
        <v>1750.9</v>
      </c>
      <c r="P22" s="49">
        <f t="shared" si="1"/>
        <v>145.9</v>
      </c>
      <c r="V22" s="2" t="s">
        <v>180</v>
      </c>
      <c r="W22" s="2">
        <v>226</v>
      </c>
    </row>
    <row r="23" spans="2:23" ht="21.95" customHeight="1">
      <c r="B23" s="103">
        <v>2008</v>
      </c>
      <c r="C23" s="39">
        <v>45.3</v>
      </c>
      <c r="D23" s="39">
        <v>9.1</v>
      </c>
      <c r="E23" s="39">
        <v>29.1</v>
      </c>
      <c r="F23" s="39">
        <v>34.4</v>
      </c>
      <c r="G23" s="39">
        <v>59.2</v>
      </c>
      <c r="H23" s="39">
        <v>148.30000000000001</v>
      </c>
      <c r="I23" s="39">
        <v>253.4</v>
      </c>
      <c r="J23" s="39">
        <v>325.2</v>
      </c>
      <c r="K23" s="39">
        <v>85.5</v>
      </c>
      <c r="L23" s="39">
        <v>19.600000000000001</v>
      </c>
      <c r="M23" s="39">
        <v>12.1</v>
      </c>
      <c r="N23" s="48">
        <v>16.399999999999999</v>
      </c>
      <c r="O23" s="55">
        <f t="shared" si="0"/>
        <v>1037.5999999999999</v>
      </c>
      <c r="P23" s="49">
        <f t="shared" si="1"/>
        <v>86.5</v>
      </c>
      <c r="V23" s="2" t="s">
        <v>181</v>
      </c>
      <c r="W23" s="2">
        <v>137</v>
      </c>
    </row>
    <row r="24" spans="2:23" ht="21.95" customHeight="1">
      <c r="B24" s="103">
        <v>2009</v>
      </c>
      <c r="C24" s="39">
        <v>15.4</v>
      </c>
      <c r="D24" s="39">
        <v>27.5</v>
      </c>
      <c r="E24" s="39">
        <v>60.3</v>
      </c>
      <c r="F24" s="39">
        <v>34.5</v>
      </c>
      <c r="G24" s="39">
        <v>124.3</v>
      </c>
      <c r="H24" s="39">
        <v>87.3</v>
      </c>
      <c r="I24" s="39">
        <v>429.2</v>
      </c>
      <c r="J24" s="39">
        <v>148.30000000000001</v>
      </c>
      <c r="K24" s="39">
        <v>46</v>
      </c>
      <c r="L24" s="39">
        <v>24.7</v>
      </c>
      <c r="M24" s="39">
        <v>54.7</v>
      </c>
      <c r="N24" s="48">
        <v>38.200000000000003</v>
      </c>
      <c r="O24" s="55">
        <f t="shared" si="0"/>
        <v>1090.4000000000001</v>
      </c>
      <c r="P24" s="49">
        <f t="shared" si="1"/>
        <v>90.9</v>
      </c>
    </row>
    <row r="25" spans="2:23" ht="21.95" customHeight="1">
      <c r="B25" s="103">
        <v>2010</v>
      </c>
      <c r="C25" s="39">
        <v>46.4</v>
      </c>
      <c r="D25" s="39">
        <v>81.5</v>
      </c>
      <c r="E25" s="39">
        <v>100.1</v>
      </c>
      <c r="F25" s="39">
        <v>88.5</v>
      </c>
      <c r="G25" s="39">
        <v>117.6</v>
      </c>
      <c r="H25" s="39">
        <v>65.599999999999994</v>
      </c>
      <c r="I25" s="39">
        <v>223.1</v>
      </c>
      <c r="J25" s="39">
        <v>376.4</v>
      </c>
      <c r="K25" s="39">
        <v>250.5</v>
      </c>
      <c r="L25" s="39">
        <v>17.899999999999999</v>
      </c>
      <c r="M25" s="39">
        <v>16.399999999999999</v>
      </c>
      <c r="N25" s="48">
        <v>35.700000000000003</v>
      </c>
      <c r="O25" s="55">
        <f t="shared" si="0"/>
        <v>1419.7</v>
      </c>
      <c r="P25" s="49">
        <f t="shared" si="1"/>
        <v>118.3</v>
      </c>
    </row>
    <row r="26" spans="2:23" ht="21.95" customHeight="1">
      <c r="B26" s="103">
        <v>2011</v>
      </c>
      <c r="C26" s="39">
        <v>4</v>
      </c>
      <c r="D26" s="39">
        <v>44.8</v>
      </c>
      <c r="E26" s="39">
        <v>19</v>
      </c>
      <c r="F26" s="39">
        <v>71</v>
      </c>
      <c r="G26" s="39">
        <v>162</v>
      </c>
      <c r="H26" s="39">
        <v>391.6</v>
      </c>
      <c r="I26" s="39">
        <v>587.29999999999995</v>
      </c>
      <c r="J26" s="39">
        <v>420.3</v>
      </c>
      <c r="K26" s="39">
        <v>91.7</v>
      </c>
      <c r="L26" s="39">
        <v>37</v>
      </c>
      <c r="M26" s="39">
        <v>103.2</v>
      </c>
      <c r="N26" s="48">
        <v>11.5</v>
      </c>
      <c r="O26" s="55">
        <f t="shared" si="0"/>
        <v>1943.4</v>
      </c>
      <c r="P26" s="49">
        <f t="shared" si="1"/>
        <v>162</v>
      </c>
    </row>
    <row r="27" spans="2:23" ht="21.95" customHeight="1">
      <c r="B27" s="103">
        <v>2012</v>
      </c>
      <c r="C27" s="39">
        <v>16.399999999999999</v>
      </c>
      <c r="D27" s="39">
        <v>2.5</v>
      </c>
      <c r="E27" s="39">
        <v>54.6</v>
      </c>
      <c r="F27" s="39">
        <v>66.2</v>
      </c>
      <c r="G27" s="39">
        <v>24</v>
      </c>
      <c r="H27" s="39">
        <v>57.8</v>
      </c>
      <c r="I27" s="39">
        <v>277.60000000000002</v>
      </c>
      <c r="J27" s="39">
        <v>463.6</v>
      </c>
      <c r="K27" s="39">
        <v>242.5</v>
      </c>
      <c r="L27" s="39">
        <v>81.3</v>
      </c>
      <c r="M27" s="39">
        <v>58.4</v>
      </c>
      <c r="N27" s="48">
        <v>64.599999999999994</v>
      </c>
      <c r="O27" s="55">
        <f t="shared" si="0"/>
        <v>1409.5</v>
      </c>
      <c r="P27" s="49">
        <f t="shared" si="1"/>
        <v>117.5</v>
      </c>
    </row>
    <row r="28" spans="2:23" ht="21.95" customHeight="1">
      <c r="B28" s="103">
        <v>2013</v>
      </c>
      <c r="C28" s="39">
        <v>46.2</v>
      </c>
      <c r="D28" s="39">
        <v>54.2</v>
      </c>
      <c r="E28" s="39">
        <v>52.8</v>
      </c>
      <c r="F28" s="39">
        <v>86.8</v>
      </c>
      <c r="G28" s="39">
        <v>110.4</v>
      </c>
      <c r="H28" s="39">
        <v>162.6</v>
      </c>
      <c r="I28" s="39">
        <v>218.7</v>
      </c>
      <c r="J28" s="39">
        <v>126.6</v>
      </c>
      <c r="K28" s="39">
        <v>146.4</v>
      </c>
      <c r="L28" s="39">
        <v>19.899999999999999</v>
      </c>
      <c r="M28" s="39">
        <v>63.5</v>
      </c>
      <c r="N28" s="48">
        <v>32.799999999999997</v>
      </c>
      <c r="O28" s="55">
        <f t="shared" si="0"/>
        <v>1120.9000000000001</v>
      </c>
      <c r="P28" s="49">
        <f t="shared" si="1"/>
        <v>93.4</v>
      </c>
    </row>
    <row r="29" spans="2:23" ht="21.95" customHeight="1">
      <c r="B29" s="103">
        <v>2014</v>
      </c>
      <c r="C29" s="39">
        <v>6.5</v>
      </c>
      <c r="D29" s="39">
        <v>8.5</v>
      </c>
      <c r="E29" s="39">
        <v>67.2</v>
      </c>
      <c r="F29" s="39">
        <v>59.4</v>
      </c>
      <c r="G29" s="39">
        <v>49.7</v>
      </c>
      <c r="H29" s="39">
        <v>143.69999999999999</v>
      </c>
      <c r="I29" s="39">
        <v>177.2</v>
      </c>
      <c r="J29" s="39">
        <v>240.9</v>
      </c>
      <c r="K29" s="39">
        <v>118</v>
      </c>
      <c r="L29" s="39">
        <v>169.4</v>
      </c>
      <c r="M29" s="39">
        <v>40.700000000000003</v>
      </c>
      <c r="N29" s="48">
        <v>36.700000000000003</v>
      </c>
      <c r="O29" s="55">
        <f t="shared" si="0"/>
        <v>1117.9000000000001</v>
      </c>
      <c r="P29" s="49">
        <f t="shared" si="1"/>
        <v>93.2</v>
      </c>
    </row>
    <row r="30" spans="2:23" ht="21.95" customHeight="1">
      <c r="B30" s="103">
        <v>2015</v>
      </c>
      <c r="C30" s="39">
        <v>31.5</v>
      </c>
      <c r="D30" s="39">
        <v>27</v>
      </c>
      <c r="E30" s="39">
        <v>44.7</v>
      </c>
      <c r="F30" s="39">
        <v>95.2</v>
      </c>
      <c r="G30" s="39">
        <v>28.9</v>
      </c>
      <c r="H30" s="39">
        <v>119.8</v>
      </c>
      <c r="I30" s="39">
        <v>145.6</v>
      </c>
      <c r="J30" s="39">
        <v>51.6</v>
      </c>
      <c r="K30" s="39">
        <v>18.5</v>
      </c>
      <c r="L30" s="39">
        <v>94.1</v>
      </c>
      <c r="M30" s="39">
        <v>126</v>
      </c>
      <c r="N30" s="48">
        <v>39.700000000000003</v>
      </c>
      <c r="O30" s="55">
        <f t="shared" si="0"/>
        <v>822.6</v>
      </c>
      <c r="P30" s="49">
        <f t="shared" si="1"/>
        <v>68.599999999999994</v>
      </c>
    </row>
    <row r="31" spans="2:23" ht="21.95" customHeight="1">
      <c r="B31" s="103">
        <v>2016</v>
      </c>
      <c r="C31" s="39">
        <v>11.6</v>
      </c>
      <c r="D31" s="39">
        <v>45.8</v>
      </c>
      <c r="E31" s="39">
        <v>40.299999999999997</v>
      </c>
      <c r="F31" s="39">
        <v>154.9</v>
      </c>
      <c r="G31" s="39">
        <v>85.1</v>
      </c>
      <c r="H31" s="39">
        <v>62.5</v>
      </c>
      <c r="I31" s="39">
        <v>367.9</v>
      </c>
      <c r="J31" s="39">
        <v>57.4</v>
      </c>
      <c r="K31" s="39">
        <v>196</v>
      </c>
      <c r="L31" s="39">
        <v>122.6</v>
      </c>
      <c r="M31" s="39">
        <v>29.5</v>
      </c>
      <c r="N31" s="48">
        <v>54.8</v>
      </c>
      <c r="O31" s="55">
        <f t="shared" si="0"/>
        <v>1228.4000000000001</v>
      </c>
      <c r="P31" s="49">
        <f t="shared" si="1"/>
        <v>102.4</v>
      </c>
    </row>
    <row r="32" spans="2:23" ht="21.95" customHeight="1">
      <c r="B32" s="103">
        <v>2017</v>
      </c>
      <c r="C32" s="39">
        <v>15</v>
      </c>
      <c r="D32" s="39">
        <v>42</v>
      </c>
      <c r="E32" s="39">
        <v>11.6</v>
      </c>
      <c r="F32" s="39">
        <v>77.7</v>
      </c>
      <c r="G32" s="39">
        <v>29.3</v>
      </c>
      <c r="H32" s="39">
        <v>35.299999999999997</v>
      </c>
      <c r="I32" s="39">
        <v>434.5</v>
      </c>
      <c r="J32" s="39">
        <v>293.8</v>
      </c>
      <c r="K32" s="39">
        <v>111.4</v>
      </c>
      <c r="L32" s="39">
        <v>28.3</v>
      </c>
      <c r="M32" s="39">
        <v>15.1</v>
      </c>
      <c r="N32" s="48">
        <v>33.5</v>
      </c>
      <c r="O32" s="55">
        <f t="shared" si="0"/>
        <v>1127.5</v>
      </c>
      <c r="P32" s="49">
        <f t="shared" si="1"/>
        <v>94</v>
      </c>
    </row>
    <row r="33" spans="2:16" ht="21.95" customHeight="1">
      <c r="B33" s="103">
        <v>2018</v>
      </c>
      <c r="C33" s="39">
        <v>23.9</v>
      </c>
      <c r="D33" s="39">
        <v>40.5</v>
      </c>
      <c r="E33" s="39">
        <v>108.4</v>
      </c>
      <c r="F33" s="39">
        <v>155.30000000000001</v>
      </c>
      <c r="G33" s="39">
        <v>95.9</v>
      </c>
      <c r="H33" s="39">
        <v>115.8</v>
      </c>
      <c r="I33" s="39">
        <v>226.9</v>
      </c>
      <c r="J33" s="39">
        <v>408.6</v>
      </c>
      <c r="K33" s="39">
        <v>149.4</v>
      </c>
      <c r="L33" s="39">
        <v>133.9</v>
      </c>
      <c r="M33" s="39">
        <v>49.8</v>
      </c>
      <c r="N33" s="48">
        <v>33.700000000000003</v>
      </c>
      <c r="O33" s="55">
        <f t="shared" si="0"/>
        <v>1542.1</v>
      </c>
      <c r="P33" s="49">
        <f t="shared" si="1"/>
        <v>128.5</v>
      </c>
    </row>
    <row r="34" spans="2:16" ht="21.95" customHeight="1">
      <c r="B34" s="103">
        <v>2019</v>
      </c>
      <c r="C34" s="39">
        <v>1.7</v>
      </c>
      <c r="D34" s="39">
        <v>46.3</v>
      </c>
      <c r="E34" s="39">
        <v>33.700000000000003</v>
      </c>
      <c r="F34" s="39">
        <v>91.6</v>
      </c>
      <c r="G34" s="39">
        <v>35.6</v>
      </c>
      <c r="H34" s="39">
        <v>77.900000000000006</v>
      </c>
      <c r="I34" s="39">
        <v>199</v>
      </c>
      <c r="J34" s="39">
        <v>104.3</v>
      </c>
      <c r="K34" s="39">
        <v>167</v>
      </c>
      <c r="L34" s="39">
        <v>106.1</v>
      </c>
      <c r="M34" s="39">
        <v>94</v>
      </c>
      <c r="N34" s="48">
        <v>27</v>
      </c>
      <c r="O34" s="55">
        <f t="shared" si="0"/>
        <v>984.2</v>
      </c>
      <c r="P34" s="49">
        <f t="shared" si="1"/>
        <v>82</v>
      </c>
    </row>
    <row r="35" spans="2:16" ht="21.95" customHeight="1" thickBot="1">
      <c r="B35" s="104">
        <v>2020</v>
      </c>
      <c r="C35" s="60">
        <v>78.5</v>
      </c>
      <c r="D35" s="60">
        <v>91.2</v>
      </c>
      <c r="E35" s="60">
        <v>24.4</v>
      </c>
      <c r="F35" s="60">
        <v>17.8</v>
      </c>
      <c r="G35" s="60">
        <v>80.400000000000006</v>
      </c>
      <c r="H35" s="60">
        <v>192.5</v>
      </c>
      <c r="I35" s="60">
        <v>544.9</v>
      </c>
      <c r="J35" s="60">
        <v>361.6</v>
      </c>
      <c r="K35" s="60">
        <v>173.6</v>
      </c>
      <c r="L35" s="60">
        <v>3.2</v>
      </c>
      <c r="M35" s="60">
        <v>41.8</v>
      </c>
      <c r="N35" s="61">
        <v>4.0999999999999996</v>
      </c>
      <c r="O35" s="62">
        <f t="shared" si="0"/>
        <v>1614</v>
      </c>
      <c r="P35" s="63">
        <f t="shared" si="1"/>
        <v>134.5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91.2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1.7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17.8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3.2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25.5</v>
      </c>
      <c r="D38" s="51">
        <f t="shared" ref="D38:N38" si="4">ROUND(AVERAGE(D6:D35),1)</f>
        <v>37.200000000000003</v>
      </c>
      <c r="E38" s="51">
        <f t="shared" si="4"/>
        <v>51.6</v>
      </c>
      <c r="F38" s="51">
        <f t="shared" si="4"/>
        <v>81.599999999999994</v>
      </c>
      <c r="G38" s="51">
        <f t="shared" si="4"/>
        <v>91.8</v>
      </c>
      <c r="H38" s="51">
        <f t="shared" si="4"/>
        <v>167.3</v>
      </c>
      <c r="I38" s="51">
        <f t="shared" si="4"/>
        <v>306.89999999999998</v>
      </c>
      <c r="J38" s="51">
        <f t="shared" si="4"/>
        <v>299.8</v>
      </c>
      <c r="K38" s="51">
        <f t="shared" si="4"/>
        <v>152.5</v>
      </c>
      <c r="L38" s="51">
        <f t="shared" si="4"/>
        <v>59.3</v>
      </c>
      <c r="M38" s="51">
        <f t="shared" si="4"/>
        <v>48</v>
      </c>
      <c r="N38" s="52">
        <f t="shared" si="4"/>
        <v>29.7</v>
      </c>
      <c r="O38" s="57">
        <f>ROUND(AVERAGE(O6:O35),1)</f>
        <v>1351.2</v>
      </c>
      <c r="P38" s="58">
        <f>ROUND(AVERAGE(P6:P35),1)</f>
        <v>112.6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105">
        <f>B26</f>
        <v>2011</v>
      </c>
      <c r="C44" s="106">
        <f t="shared" ref="C44:N44" si="5">C26</f>
        <v>4</v>
      </c>
      <c r="D44" s="106">
        <f t="shared" si="5"/>
        <v>44.8</v>
      </c>
      <c r="E44" s="106">
        <f t="shared" si="5"/>
        <v>19</v>
      </c>
      <c r="F44" s="106">
        <f t="shared" si="5"/>
        <v>71</v>
      </c>
      <c r="G44" s="106">
        <f t="shared" si="5"/>
        <v>162</v>
      </c>
      <c r="H44" s="106">
        <f t="shared" si="5"/>
        <v>391.6</v>
      </c>
      <c r="I44" s="106">
        <f t="shared" si="5"/>
        <v>587.29999999999995</v>
      </c>
      <c r="J44" s="106">
        <f t="shared" si="5"/>
        <v>420.3</v>
      </c>
      <c r="K44" s="106">
        <f t="shared" si="5"/>
        <v>91.7</v>
      </c>
      <c r="L44" s="106">
        <f t="shared" si="5"/>
        <v>37</v>
      </c>
      <c r="M44" s="106">
        <f t="shared" si="5"/>
        <v>103.2</v>
      </c>
      <c r="N44" s="113">
        <f t="shared" si="5"/>
        <v>11.5</v>
      </c>
      <c r="O44" s="41">
        <f>ROUND(SUM(C44:N44),1)</f>
        <v>1943.4</v>
      </c>
      <c r="P44" s="48">
        <f>ROUND(O44/12,1)</f>
        <v>162</v>
      </c>
    </row>
    <row r="45" spans="2:16" ht="21.95" customHeight="1">
      <c r="B45" s="105">
        <f t="shared" ref="B45:N45" si="6">B27</f>
        <v>2012</v>
      </c>
      <c r="C45" s="106">
        <f t="shared" si="6"/>
        <v>16.399999999999999</v>
      </c>
      <c r="D45" s="106">
        <f t="shared" si="6"/>
        <v>2.5</v>
      </c>
      <c r="E45" s="106">
        <f t="shared" si="6"/>
        <v>54.6</v>
      </c>
      <c r="F45" s="106">
        <f t="shared" si="6"/>
        <v>66.2</v>
      </c>
      <c r="G45" s="106">
        <f t="shared" si="6"/>
        <v>24</v>
      </c>
      <c r="H45" s="106">
        <f t="shared" si="6"/>
        <v>57.8</v>
      </c>
      <c r="I45" s="106">
        <f t="shared" si="6"/>
        <v>277.60000000000002</v>
      </c>
      <c r="J45" s="106">
        <f t="shared" si="6"/>
        <v>463.6</v>
      </c>
      <c r="K45" s="106">
        <f t="shared" si="6"/>
        <v>242.5</v>
      </c>
      <c r="L45" s="106">
        <f t="shared" si="6"/>
        <v>81.3</v>
      </c>
      <c r="M45" s="106">
        <f t="shared" si="6"/>
        <v>58.4</v>
      </c>
      <c r="N45" s="113">
        <f t="shared" si="6"/>
        <v>64.599999999999994</v>
      </c>
      <c r="O45" s="41">
        <f t="shared" ref="O45:O53" si="7">ROUND(SUM(C45:N45),1)</f>
        <v>1409.5</v>
      </c>
      <c r="P45" s="48">
        <f t="shared" ref="P45:P53" si="8">ROUND(O45/12,1)</f>
        <v>117.5</v>
      </c>
    </row>
    <row r="46" spans="2:16" ht="21.95" customHeight="1">
      <c r="B46" s="105">
        <f t="shared" ref="B46:N46" si="9">B28</f>
        <v>2013</v>
      </c>
      <c r="C46" s="106">
        <f t="shared" si="9"/>
        <v>46.2</v>
      </c>
      <c r="D46" s="106">
        <f t="shared" si="9"/>
        <v>54.2</v>
      </c>
      <c r="E46" s="106">
        <f t="shared" si="9"/>
        <v>52.8</v>
      </c>
      <c r="F46" s="106">
        <f t="shared" si="9"/>
        <v>86.8</v>
      </c>
      <c r="G46" s="106">
        <f t="shared" si="9"/>
        <v>110.4</v>
      </c>
      <c r="H46" s="106">
        <f t="shared" si="9"/>
        <v>162.6</v>
      </c>
      <c r="I46" s="106">
        <f t="shared" si="9"/>
        <v>218.7</v>
      </c>
      <c r="J46" s="106">
        <f t="shared" si="9"/>
        <v>126.6</v>
      </c>
      <c r="K46" s="106">
        <f t="shared" si="9"/>
        <v>146.4</v>
      </c>
      <c r="L46" s="106">
        <f t="shared" si="9"/>
        <v>19.899999999999999</v>
      </c>
      <c r="M46" s="106">
        <f t="shared" si="9"/>
        <v>63.5</v>
      </c>
      <c r="N46" s="113">
        <f t="shared" si="9"/>
        <v>32.799999999999997</v>
      </c>
      <c r="O46" s="41">
        <f t="shared" si="7"/>
        <v>1120.9000000000001</v>
      </c>
      <c r="P46" s="48">
        <f t="shared" si="8"/>
        <v>93.4</v>
      </c>
    </row>
    <row r="47" spans="2:16" ht="21.95" customHeight="1">
      <c r="B47" s="105">
        <f t="shared" ref="B47:N47" si="10">B29</f>
        <v>2014</v>
      </c>
      <c r="C47" s="106">
        <f t="shared" si="10"/>
        <v>6.5</v>
      </c>
      <c r="D47" s="106">
        <f t="shared" si="10"/>
        <v>8.5</v>
      </c>
      <c r="E47" s="106">
        <f t="shared" si="10"/>
        <v>67.2</v>
      </c>
      <c r="F47" s="106">
        <f t="shared" si="10"/>
        <v>59.4</v>
      </c>
      <c r="G47" s="106">
        <f t="shared" si="10"/>
        <v>49.7</v>
      </c>
      <c r="H47" s="106">
        <f t="shared" si="10"/>
        <v>143.69999999999999</v>
      </c>
      <c r="I47" s="106">
        <f t="shared" si="10"/>
        <v>177.2</v>
      </c>
      <c r="J47" s="106">
        <f t="shared" si="10"/>
        <v>240.9</v>
      </c>
      <c r="K47" s="106">
        <f t="shared" si="10"/>
        <v>118</v>
      </c>
      <c r="L47" s="106">
        <f t="shared" si="10"/>
        <v>169.4</v>
      </c>
      <c r="M47" s="106">
        <f t="shared" si="10"/>
        <v>40.700000000000003</v>
      </c>
      <c r="N47" s="113">
        <f t="shared" si="10"/>
        <v>36.700000000000003</v>
      </c>
      <c r="O47" s="41">
        <f>ROUND(SUM(C47:N47),1)</f>
        <v>1117.9000000000001</v>
      </c>
      <c r="P47" s="48">
        <f t="shared" si="8"/>
        <v>93.2</v>
      </c>
    </row>
    <row r="48" spans="2:16" ht="21.95" customHeight="1">
      <c r="B48" s="105">
        <f t="shared" ref="B48:N48" si="11">B30</f>
        <v>2015</v>
      </c>
      <c r="C48" s="106">
        <f t="shared" si="11"/>
        <v>31.5</v>
      </c>
      <c r="D48" s="106">
        <f t="shared" si="11"/>
        <v>27</v>
      </c>
      <c r="E48" s="106">
        <f t="shared" si="11"/>
        <v>44.7</v>
      </c>
      <c r="F48" s="106">
        <f t="shared" si="11"/>
        <v>95.2</v>
      </c>
      <c r="G48" s="106">
        <f t="shared" si="11"/>
        <v>28.9</v>
      </c>
      <c r="H48" s="106">
        <f t="shared" si="11"/>
        <v>119.8</v>
      </c>
      <c r="I48" s="106">
        <f t="shared" si="11"/>
        <v>145.6</v>
      </c>
      <c r="J48" s="106">
        <f t="shared" si="11"/>
        <v>51.6</v>
      </c>
      <c r="K48" s="106">
        <f t="shared" si="11"/>
        <v>18.5</v>
      </c>
      <c r="L48" s="106">
        <f t="shared" si="11"/>
        <v>94.1</v>
      </c>
      <c r="M48" s="106">
        <f t="shared" si="11"/>
        <v>126</v>
      </c>
      <c r="N48" s="113">
        <f t="shared" si="11"/>
        <v>39.700000000000003</v>
      </c>
      <c r="O48" s="41">
        <f t="shared" si="7"/>
        <v>822.6</v>
      </c>
      <c r="P48" s="48">
        <f t="shared" si="8"/>
        <v>68.599999999999994</v>
      </c>
    </row>
    <row r="49" spans="2:16" ht="21.95" customHeight="1">
      <c r="B49" s="105">
        <f t="shared" ref="B49:N49" si="12">B31</f>
        <v>2016</v>
      </c>
      <c r="C49" s="106">
        <f t="shared" si="12"/>
        <v>11.6</v>
      </c>
      <c r="D49" s="106">
        <f t="shared" si="12"/>
        <v>45.8</v>
      </c>
      <c r="E49" s="106">
        <f t="shared" si="12"/>
        <v>40.299999999999997</v>
      </c>
      <c r="F49" s="106">
        <f t="shared" si="12"/>
        <v>154.9</v>
      </c>
      <c r="G49" s="106">
        <f t="shared" si="12"/>
        <v>85.1</v>
      </c>
      <c r="H49" s="106">
        <f t="shared" si="12"/>
        <v>62.5</v>
      </c>
      <c r="I49" s="106">
        <f t="shared" si="12"/>
        <v>367.9</v>
      </c>
      <c r="J49" s="106">
        <f t="shared" si="12"/>
        <v>57.4</v>
      </c>
      <c r="K49" s="106">
        <f t="shared" si="12"/>
        <v>196</v>
      </c>
      <c r="L49" s="106">
        <f t="shared" si="12"/>
        <v>122.6</v>
      </c>
      <c r="M49" s="106">
        <f t="shared" si="12"/>
        <v>29.5</v>
      </c>
      <c r="N49" s="113">
        <f t="shared" si="12"/>
        <v>54.8</v>
      </c>
      <c r="O49" s="41">
        <f t="shared" si="7"/>
        <v>1228.4000000000001</v>
      </c>
      <c r="P49" s="48">
        <f t="shared" si="8"/>
        <v>102.4</v>
      </c>
    </row>
    <row r="50" spans="2:16" ht="21.95" customHeight="1">
      <c r="B50" s="105">
        <f t="shared" ref="B50:N50" si="13">B32</f>
        <v>2017</v>
      </c>
      <c r="C50" s="106">
        <f t="shared" si="13"/>
        <v>15</v>
      </c>
      <c r="D50" s="106">
        <f t="shared" si="13"/>
        <v>42</v>
      </c>
      <c r="E50" s="106">
        <f t="shared" si="13"/>
        <v>11.6</v>
      </c>
      <c r="F50" s="106">
        <f t="shared" si="13"/>
        <v>77.7</v>
      </c>
      <c r="G50" s="106">
        <f t="shared" si="13"/>
        <v>29.3</v>
      </c>
      <c r="H50" s="106">
        <f t="shared" si="13"/>
        <v>35.299999999999997</v>
      </c>
      <c r="I50" s="106">
        <f t="shared" si="13"/>
        <v>434.5</v>
      </c>
      <c r="J50" s="106">
        <f t="shared" si="13"/>
        <v>293.8</v>
      </c>
      <c r="K50" s="106">
        <f t="shared" si="13"/>
        <v>111.4</v>
      </c>
      <c r="L50" s="106">
        <f t="shared" si="13"/>
        <v>28.3</v>
      </c>
      <c r="M50" s="106">
        <f t="shared" si="13"/>
        <v>15.1</v>
      </c>
      <c r="N50" s="113">
        <f t="shared" si="13"/>
        <v>33.5</v>
      </c>
      <c r="O50" s="41">
        <f t="shared" si="7"/>
        <v>1127.5</v>
      </c>
      <c r="P50" s="48">
        <f t="shared" si="8"/>
        <v>94</v>
      </c>
    </row>
    <row r="51" spans="2:16" ht="21.95" customHeight="1">
      <c r="B51" s="105">
        <f t="shared" ref="B51:N51" si="14">B33</f>
        <v>2018</v>
      </c>
      <c r="C51" s="106">
        <f t="shared" si="14"/>
        <v>23.9</v>
      </c>
      <c r="D51" s="106">
        <f t="shared" si="14"/>
        <v>40.5</v>
      </c>
      <c r="E51" s="106">
        <f t="shared" si="14"/>
        <v>108.4</v>
      </c>
      <c r="F51" s="106">
        <f t="shared" si="14"/>
        <v>155.30000000000001</v>
      </c>
      <c r="G51" s="106">
        <f t="shared" si="14"/>
        <v>95.9</v>
      </c>
      <c r="H51" s="106">
        <f t="shared" si="14"/>
        <v>115.8</v>
      </c>
      <c r="I51" s="106">
        <f t="shared" si="14"/>
        <v>226.9</v>
      </c>
      <c r="J51" s="106">
        <f t="shared" si="14"/>
        <v>408.6</v>
      </c>
      <c r="K51" s="106">
        <f t="shared" si="14"/>
        <v>149.4</v>
      </c>
      <c r="L51" s="106">
        <f t="shared" si="14"/>
        <v>133.9</v>
      </c>
      <c r="M51" s="106">
        <f t="shared" si="14"/>
        <v>49.8</v>
      </c>
      <c r="N51" s="113">
        <f t="shared" si="14"/>
        <v>33.700000000000003</v>
      </c>
      <c r="O51" s="41">
        <f t="shared" si="7"/>
        <v>1542.1</v>
      </c>
      <c r="P51" s="48">
        <f t="shared" si="8"/>
        <v>128.5</v>
      </c>
    </row>
    <row r="52" spans="2:16" ht="21.95" customHeight="1">
      <c r="B52" s="105">
        <f t="shared" ref="B52:N52" si="15">B34</f>
        <v>2019</v>
      </c>
      <c r="C52" s="106">
        <f t="shared" si="15"/>
        <v>1.7</v>
      </c>
      <c r="D52" s="106">
        <f t="shared" si="15"/>
        <v>46.3</v>
      </c>
      <c r="E52" s="106">
        <f t="shared" si="15"/>
        <v>33.700000000000003</v>
      </c>
      <c r="F52" s="106">
        <f t="shared" si="15"/>
        <v>91.6</v>
      </c>
      <c r="G52" s="106">
        <f t="shared" si="15"/>
        <v>35.6</v>
      </c>
      <c r="H52" s="106">
        <f t="shared" si="15"/>
        <v>77.900000000000006</v>
      </c>
      <c r="I52" s="106">
        <f t="shared" si="15"/>
        <v>199</v>
      </c>
      <c r="J52" s="106">
        <f t="shared" si="15"/>
        <v>104.3</v>
      </c>
      <c r="K52" s="106">
        <f t="shared" si="15"/>
        <v>167</v>
      </c>
      <c r="L52" s="106">
        <f t="shared" si="15"/>
        <v>106.1</v>
      </c>
      <c r="M52" s="106">
        <f t="shared" si="15"/>
        <v>94</v>
      </c>
      <c r="N52" s="113">
        <f t="shared" si="15"/>
        <v>27</v>
      </c>
      <c r="O52" s="41">
        <f t="shared" si="7"/>
        <v>984.2</v>
      </c>
      <c r="P52" s="48">
        <f t="shared" si="8"/>
        <v>82</v>
      </c>
    </row>
    <row r="53" spans="2:16" ht="21.95" customHeight="1" thickBot="1">
      <c r="B53" s="110">
        <f t="shared" ref="B53:N53" si="16">B35</f>
        <v>2020</v>
      </c>
      <c r="C53" s="111">
        <f t="shared" si="16"/>
        <v>78.5</v>
      </c>
      <c r="D53" s="111">
        <f t="shared" si="16"/>
        <v>91.2</v>
      </c>
      <c r="E53" s="111">
        <f t="shared" si="16"/>
        <v>24.4</v>
      </c>
      <c r="F53" s="111">
        <f t="shared" si="16"/>
        <v>17.8</v>
      </c>
      <c r="G53" s="111">
        <f t="shared" si="16"/>
        <v>80.400000000000006</v>
      </c>
      <c r="H53" s="111">
        <f t="shared" si="16"/>
        <v>192.5</v>
      </c>
      <c r="I53" s="111">
        <f t="shared" si="16"/>
        <v>544.9</v>
      </c>
      <c r="J53" s="111">
        <f t="shared" si="16"/>
        <v>361.6</v>
      </c>
      <c r="K53" s="111">
        <f t="shared" si="16"/>
        <v>173.6</v>
      </c>
      <c r="L53" s="111">
        <f t="shared" si="16"/>
        <v>3.2</v>
      </c>
      <c r="M53" s="111">
        <f t="shared" si="16"/>
        <v>41.8</v>
      </c>
      <c r="N53" s="114">
        <f t="shared" si="16"/>
        <v>4.0999999999999996</v>
      </c>
      <c r="O53" s="81">
        <f t="shared" si="7"/>
        <v>1614</v>
      </c>
      <c r="P53" s="58">
        <f t="shared" si="8"/>
        <v>134.5</v>
      </c>
    </row>
    <row r="54" spans="2:16" ht="21.95" customHeight="1">
      <c r="B54" s="107" t="s">
        <v>33</v>
      </c>
      <c r="C54" s="108">
        <f>MAX(C44:C53)</f>
        <v>78.5</v>
      </c>
      <c r="D54" s="108">
        <f t="shared" ref="D54:P54" si="17">MAX(D44:D53)</f>
        <v>91.2</v>
      </c>
      <c r="E54" s="108">
        <f t="shared" si="17"/>
        <v>108.4</v>
      </c>
      <c r="F54" s="108">
        <f t="shared" si="17"/>
        <v>155.30000000000001</v>
      </c>
      <c r="G54" s="108">
        <f t="shared" si="17"/>
        <v>162</v>
      </c>
      <c r="H54" s="108">
        <f t="shared" si="17"/>
        <v>391.6</v>
      </c>
      <c r="I54" s="108">
        <f t="shared" si="17"/>
        <v>587.29999999999995</v>
      </c>
      <c r="J54" s="108">
        <f t="shared" si="17"/>
        <v>463.6</v>
      </c>
      <c r="K54" s="108">
        <f t="shared" si="17"/>
        <v>242.5</v>
      </c>
      <c r="L54" s="108">
        <f t="shared" si="17"/>
        <v>169.4</v>
      </c>
      <c r="M54" s="108">
        <f t="shared" si="17"/>
        <v>126</v>
      </c>
      <c r="N54" s="109">
        <f t="shared" si="17"/>
        <v>64.599999999999994</v>
      </c>
      <c r="O54" s="112">
        <f t="shared" si="17"/>
        <v>1943.4</v>
      </c>
      <c r="P54" s="109">
        <f t="shared" si="17"/>
        <v>162</v>
      </c>
    </row>
    <row r="55" spans="2:16" ht="21.95" customHeight="1">
      <c r="B55" s="73" t="s">
        <v>34</v>
      </c>
      <c r="C55" s="39">
        <f>MIN(C44:C53)</f>
        <v>1.7</v>
      </c>
      <c r="D55" s="39">
        <f t="shared" ref="D55:P55" si="18">MIN(D44:D53)</f>
        <v>2.5</v>
      </c>
      <c r="E55" s="39">
        <f t="shared" si="18"/>
        <v>11.6</v>
      </c>
      <c r="F55" s="39">
        <f t="shared" si="18"/>
        <v>17.8</v>
      </c>
      <c r="G55" s="39">
        <f t="shared" si="18"/>
        <v>24</v>
      </c>
      <c r="H55" s="39">
        <f t="shared" si="18"/>
        <v>35.299999999999997</v>
      </c>
      <c r="I55" s="39">
        <f t="shared" si="18"/>
        <v>145.6</v>
      </c>
      <c r="J55" s="39">
        <f t="shared" si="18"/>
        <v>51.6</v>
      </c>
      <c r="K55" s="39">
        <f t="shared" si="18"/>
        <v>18.5</v>
      </c>
      <c r="L55" s="39">
        <f t="shared" si="18"/>
        <v>3.2</v>
      </c>
      <c r="M55" s="39">
        <f t="shared" si="18"/>
        <v>15.1</v>
      </c>
      <c r="N55" s="48">
        <f t="shared" si="18"/>
        <v>4.0999999999999996</v>
      </c>
      <c r="O55" s="41">
        <f>MIN(O44:O53)</f>
        <v>822.6</v>
      </c>
      <c r="P55" s="48">
        <f t="shared" si="18"/>
        <v>68.599999999999994</v>
      </c>
    </row>
    <row r="56" spans="2:16" ht="21.95" customHeight="1" thickBot="1">
      <c r="B56" s="74" t="s">
        <v>18</v>
      </c>
      <c r="C56" s="75">
        <f>ROUND(AVERAGE(C44:C53),1)</f>
        <v>23.5</v>
      </c>
      <c r="D56" s="75">
        <f t="shared" ref="D56:N56" si="19">ROUND(AVERAGE(D44:D53),1)</f>
        <v>40.299999999999997</v>
      </c>
      <c r="E56" s="75">
        <f t="shared" si="19"/>
        <v>45.7</v>
      </c>
      <c r="F56" s="75">
        <f t="shared" si="19"/>
        <v>87.6</v>
      </c>
      <c r="G56" s="75">
        <f t="shared" si="19"/>
        <v>70.099999999999994</v>
      </c>
      <c r="H56" s="75">
        <f t="shared" si="19"/>
        <v>136</v>
      </c>
      <c r="I56" s="75">
        <f t="shared" si="19"/>
        <v>318</v>
      </c>
      <c r="J56" s="75">
        <f t="shared" si="19"/>
        <v>252.9</v>
      </c>
      <c r="K56" s="75">
        <f t="shared" si="19"/>
        <v>141.5</v>
      </c>
      <c r="L56" s="75">
        <f t="shared" si="19"/>
        <v>79.599999999999994</v>
      </c>
      <c r="M56" s="75">
        <f t="shared" si="19"/>
        <v>62.2</v>
      </c>
      <c r="N56" s="58">
        <f t="shared" si="19"/>
        <v>33.799999999999997</v>
      </c>
      <c r="O56" s="81">
        <f>ROUND(AVERAGE(O44:O53),1)</f>
        <v>1291.0999999999999</v>
      </c>
      <c r="P56" s="58">
        <f>ROUND(AVERAGE(P44:P53),1)</f>
        <v>107.6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189</v>
      </c>
      <c r="B118" s="1">
        <v>5.4</v>
      </c>
      <c r="C118" s="2" t="s">
        <v>188</v>
      </c>
      <c r="D118" s="2">
        <v>0.4</v>
      </c>
      <c r="E118" s="2" t="s">
        <v>188</v>
      </c>
      <c r="F118" s="2" t="s">
        <v>188</v>
      </c>
      <c r="G118" s="2" t="s">
        <v>188</v>
      </c>
      <c r="H118" s="2">
        <v>0</v>
      </c>
      <c r="I118" s="2">
        <v>0</v>
      </c>
      <c r="J118" s="2" t="s">
        <v>188</v>
      </c>
      <c r="K118" s="2">
        <v>3.1</v>
      </c>
      <c r="L118" s="2" t="s">
        <v>188</v>
      </c>
      <c r="M118" s="2" t="s">
        <v>188</v>
      </c>
    </row>
    <row r="119" spans="1:13">
      <c r="A119" s="2" t="s">
        <v>190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189</v>
      </c>
      <c r="B150" s="1">
        <v>0</v>
      </c>
      <c r="C150" s="2" t="s">
        <v>188</v>
      </c>
      <c r="D150" s="2">
        <v>3</v>
      </c>
      <c r="E150" s="2" t="s">
        <v>188</v>
      </c>
      <c r="F150" s="2" t="s">
        <v>188</v>
      </c>
      <c r="G150" s="2" t="s">
        <v>188</v>
      </c>
      <c r="H150" s="2" t="s">
        <v>188</v>
      </c>
      <c r="I150" s="2" t="s">
        <v>188</v>
      </c>
      <c r="J150" s="2" t="s">
        <v>188</v>
      </c>
      <c r="K150" s="2">
        <v>1.1000000000000001</v>
      </c>
      <c r="L150" s="2" t="s">
        <v>188</v>
      </c>
      <c r="M150" s="2">
        <v>3.6</v>
      </c>
    </row>
    <row r="151" spans="1:13">
      <c r="A151" s="2" t="s">
        <v>190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189</v>
      </c>
      <c r="B182" s="1">
        <v>3.3</v>
      </c>
      <c r="C182" s="2" t="s">
        <v>188</v>
      </c>
      <c r="D182" s="2" t="s">
        <v>188</v>
      </c>
      <c r="E182" s="2" t="s">
        <v>188</v>
      </c>
      <c r="F182" s="2" t="s">
        <v>188</v>
      </c>
      <c r="G182" s="2" t="s">
        <v>188</v>
      </c>
      <c r="H182" s="2">
        <v>0</v>
      </c>
      <c r="I182" s="2" t="s">
        <v>188</v>
      </c>
      <c r="J182" s="2" t="s">
        <v>188</v>
      </c>
      <c r="K182" s="2" t="s">
        <v>188</v>
      </c>
      <c r="L182" s="2" t="s">
        <v>188</v>
      </c>
      <c r="M182" s="2" t="s">
        <v>188</v>
      </c>
    </row>
    <row r="183" spans="1:13">
      <c r="A183" s="2" t="s">
        <v>190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189</v>
      </c>
      <c r="B214" s="1">
        <v>0</v>
      </c>
      <c r="C214" s="2" t="s">
        <v>188</v>
      </c>
      <c r="D214" s="2">
        <v>2.2000000000000002</v>
      </c>
      <c r="E214" s="2" t="s">
        <v>188</v>
      </c>
      <c r="F214" s="2">
        <v>0</v>
      </c>
      <c r="G214" s="2" t="s">
        <v>188</v>
      </c>
      <c r="H214" s="2">
        <v>0.4</v>
      </c>
      <c r="I214" s="2">
        <v>1.2</v>
      </c>
      <c r="J214" s="2" t="s">
        <v>188</v>
      </c>
      <c r="K214" s="2">
        <v>10.7</v>
      </c>
      <c r="L214" s="2" t="s">
        <v>188</v>
      </c>
      <c r="M214" s="2">
        <v>0.4</v>
      </c>
    </row>
    <row r="215" spans="1:13">
      <c r="A215" s="2" t="s">
        <v>190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189</v>
      </c>
      <c r="B246" s="1">
        <v>0.7</v>
      </c>
      <c r="C246" s="2" t="s">
        <v>188</v>
      </c>
      <c r="D246" s="2" t="s">
        <v>188</v>
      </c>
      <c r="E246" s="2" t="s">
        <v>188</v>
      </c>
      <c r="F246" s="2" t="s">
        <v>188</v>
      </c>
      <c r="G246" s="2" t="s">
        <v>188</v>
      </c>
      <c r="H246" s="2" t="s">
        <v>188</v>
      </c>
      <c r="I246" s="2">
        <v>1.6</v>
      </c>
      <c r="J246" s="2" t="s">
        <v>188</v>
      </c>
      <c r="K246" s="2">
        <v>13.2</v>
      </c>
      <c r="L246" s="2" t="s">
        <v>188</v>
      </c>
      <c r="M246" s="2" t="s">
        <v>188</v>
      </c>
    </row>
    <row r="247" spans="1:13">
      <c r="A247" s="2" t="s">
        <v>190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189</v>
      </c>
      <c r="B278" s="1">
        <v>0</v>
      </c>
      <c r="C278" s="2" t="s">
        <v>188</v>
      </c>
      <c r="D278" s="2" t="s">
        <v>188</v>
      </c>
      <c r="E278" s="2" t="s">
        <v>188</v>
      </c>
      <c r="F278" s="2" t="s">
        <v>188</v>
      </c>
      <c r="G278" s="2" t="s">
        <v>188</v>
      </c>
      <c r="H278" s="2" t="s">
        <v>188</v>
      </c>
      <c r="I278" s="2" t="s">
        <v>188</v>
      </c>
      <c r="J278" s="2" t="s">
        <v>188</v>
      </c>
      <c r="K278" s="2" t="s">
        <v>188</v>
      </c>
      <c r="L278" s="2" t="s">
        <v>188</v>
      </c>
      <c r="M278" s="2" t="s">
        <v>188</v>
      </c>
    </row>
    <row r="279" spans="1:13">
      <c r="A279" s="2" t="s">
        <v>190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189</v>
      </c>
      <c r="B310" s="1" t="s">
        <v>188</v>
      </c>
      <c r="C310" s="2" t="s">
        <v>188</v>
      </c>
      <c r="D310" s="2" t="s">
        <v>188</v>
      </c>
      <c r="E310" s="2" t="s">
        <v>188</v>
      </c>
      <c r="F310" s="2" t="s">
        <v>188</v>
      </c>
      <c r="G310" s="2" t="s">
        <v>188</v>
      </c>
      <c r="H310" s="2">
        <v>22.6</v>
      </c>
      <c r="I310" s="2">
        <v>8.1</v>
      </c>
      <c r="J310" s="2" t="s">
        <v>188</v>
      </c>
      <c r="K310" s="2" t="s">
        <v>188</v>
      </c>
      <c r="L310" s="2" t="s">
        <v>188</v>
      </c>
      <c r="M310" s="2" t="s">
        <v>188</v>
      </c>
    </row>
    <row r="311" spans="1:13">
      <c r="A311" s="2" t="s">
        <v>190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189</v>
      </c>
      <c r="B342" s="1" t="s">
        <v>188</v>
      </c>
      <c r="C342" s="2" t="s">
        <v>188</v>
      </c>
      <c r="D342" s="2" t="s">
        <v>188</v>
      </c>
      <c r="E342" s="2" t="s">
        <v>188</v>
      </c>
      <c r="F342" s="2" t="s">
        <v>188</v>
      </c>
      <c r="G342" s="2" t="s">
        <v>188</v>
      </c>
      <c r="H342" s="2">
        <v>1.4</v>
      </c>
      <c r="I342" s="2">
        <v>8.1999999999999993</v>
      </c>
      <c r="J342" s="2" t="s">
        <v>188</v>
      </c>
      <c r="K342" s="2">
        <v>28.7</v>
      </c>
      <c r="L342" s="2" t="s">
        <v>188</v>
      </c>
      <c r="M342" s="2" t="s">
        <v>188</v>
      </c>
    </row>
    <row r="343" spans="1:13">
      <c r="A343" s="2" t="s">
        <v>190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189</v>
      </c>
      <c r="B374" s="1">
        <v>0</v>
      </c>
      <c r="C374" s="2" t="s">
        <v>188</v>
      </c>
      <c r="D374" s="2" t="s">
        <v>188</v>
      </c>
      <c r="E374" s="2" t="s">
        <v>188</v>
      </c>
      <c r="F374" s="2" t="s">
        <v>188</v>
      </c>
      <c r="G374" s="2" t="s">
        <v>188</v>
      </c>
      <c r="H374" s="2">
        <v>43.5</v>
      </c>
      <c r="I374" s="2">
        <v>13.9</v>
      </c>
      <c r="J374" s="2" t="s">
        <v>188</v>
      </c>
      <c r="K374" s="2" t="s">
        <v>188</v>
      </c>
      <c r="L374" s="2" t="s">
        <v>188</v>
      </c>
      <c r="M374" s="2" t="s">
        <v>188</v>
      </c>
    </row>
    <row r="375" spans="1:13">
      <c r="A375" s="2" t="s">
        <v>190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189</v>
      </c>
      <c r="B406" s="1">
        <v>0.8</v>
      </c>
      <c r="C406" s="2" t="s">
        <v>188</v>
      </c>
      <c r="D406" s="2" t="s">
        <v>188</v>
      </c>
      <c r="E406" s="2" t="s">
        <v>188</v>
      </c>
      <c r="F406" s="2" t="s">
        <v>188</v>
      </c>
      <c r="G406" s="2" t="s">
        <v>188</v>
      </c>
      <c r="H406" s="2">
        <v>1.3</v>
      </c>
      <c r="I406" s="2" t="s">
        <v>188</v>
      </c>
      <c r="J406" s="2" t="s">
        <v>188</v>
      </c>
      <c r="K406" s="2" t="s">
        <v>188</v>
      </c>
      <c r="L406" s="2" t="s">
        <v>188</v>
      </c>
      <c r="M406" s="2">
        <v>0.2</v>
      </c>
    </row>
    <row r="407" spans="1:13">
      <c r="A407" s="2" t="s">
        <v>190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189</v>
      </c>
      <c r="B438" s="1" t="s">
        <v>188</v>
      </c>
      <c r="C438" s="2" t="s">
        <v>188</v>
      </c>
      <c r="D438" s="2" t="s">
        <v>188</v>
      </c>
      <c r="E438" s="2" t="s">
        <v>188</v>
      </c>
      <c r="F438" s="2" t="s">
        <v>188</v>
      </c>
      <c r="G438" s="2" t="s">
        <v>188</v>
      </c>
      <c r="H438" s="2" t="s">
        <v>188</v>
      </c>
      <c r="I438" s="2">
        <v>121</v>
      </c>
      <c r="J438" s="2" t="s">
        <v>188</v>
      </c>
      <c r="K438" s="2" t="s">
        <v>188</v>
      </c>
      <c r="L438" s="2" t="s">
        <v>188</v>
      </c>
      <c r="M438" s="2" t="s">
        <v>188</v>
      </c>
    </row>
    <row r="439" spans="1:13">
      <c r="A439" s="2" t="s">
        <v>190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189</v>
      </c>
      <c r="B470" s="1" t="s">
        <v>188</v>
      </c>
      <c r="C470" s="2" t="s">
        <v>188</v>
      </c>
      <c r="D470" s="2">
        <v>0</v>
      </c>
      <c r="E470" s="2" t="s">
        <v>188</v>
      </c>
      <c r="F470" s="2" t="s">
        <v>188</v>
      </c>
      <c r="G470" s="2" t="s">
        <v>188</v>
      </c>
      <c r="H470" s="2" t="s">
        <v>188</v>
      </c>
      <c r="I470" s="2">
        <v>2.5</v>
      </c>
      <c r="J470" s="2" t="s">
        <v>188</v>
      </c>
      <c r="K470" s="2" t="s">
        <v>188</v>
      </c>
      <c r="L470" s="2" t="s">
        <v>188</v>
      </c>
      <c r="M470" s="2">
        <v>0</v>
      </c>
    </row>
    <row r="471" spans="1:13">
      <c r="A471" s="2" t="s">
        <v>190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189</v>
      </c>
      <c r="B502" s="1" t="s">
        <v>188</v>
      </c>
      <c r="C502" s="2" t="s">
        <v>188</v>
      </c>
      <c r="D502" s="2" t="s">
        <v>188</v>
      </c>
      <c r="E502" s="2" t="s">
        <v>188</v>
      </c>
      <c r="F502" s="2">
        <v>0.5</v>
      </c>
      <c r="G502" s="2" t="s">
        <v>188</v>
      </c>
      <c r="H502" s="2" t="s">
        <v>188</v>
      </c>
      <c r="I502" s="2" t="s">
        <v>188</v>
      </c>
      <c r="J502" s="2" t="s">
        <v>188</v>
      </c>
      <c r="K502" s="2" t="s">
        <v>188</v>
      </c>
      <c r="L502" s="2" t="s">
        <v>188</v>
      </c>
      <c r="M502" s="2" t="s">
        <v>188</v>
      </c>
    </row>
    <row r="503" spans="1:13">
      <c r="A503" s="2" t="s">
        <v>190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189</v>
      </c>
      <c r="B534" s="1">
        <v>1.1000000000000001</v>
      </c>
      <c r="C534" s="2" t="s">
        <v>188</v>
      </c>
      <c r="D534" s="2" t="s">
        <v>188</v>
      </c>
      <c r="E534" s="2" t="s">
        <v>188</v>
      </c>
      <c r="F534" s="2" t="s">
        <v>188</v>
      </c>
      <c r="G534" s="2" t="s">
        <v>188</v>
      </c>
      <c r="H534" s="2">
        <v>15</v>
      </c>
      <c r="I534" s="2" t="s">
        <v>188</v>
      </c>
      <c r="J534" s="2" t="s">
        <v>188</v>
      </c>
      <c r="K534" s="2" t="s">
        <v>188</v>
      </c>
      <c r="L534" s="2" t="s">
        <v>188</v>
      </c>
      <c r="M534" s="2" t="s">
        <v>188</v>
      </c>
    </row>
    <row r="535" spans="1:13">
      <c r="A535" s="2" t="s">
        <v>190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189</v>
      </c>
      <c r="B566" s="1">
        <v>10.5</v>
      </c>
      <c r="C566" s="2" t="s">
        <v>188</v>
      </c>
      <c r="D566" s="2" t="s">
        <v>188</v>
      </c>
      <c r="E566" s="2" t="s">
        <v>188</v>
      </c>
      <c r="F566" s="2" t="s">
        <v>188</v>
      </c>
      <c r="G566" s="2" t="s">
        <v>188</v>
      </c>
      <c r="H566" s="2" t="s">
        <v>188</v>
      </c>
      <c r="I566" s="2" t="s">
        <v>188</v>
      </c>
      <c r="J566" s="2" t="s">
        <v>188</v>
      </c>
      <c r="K566" s="2" t="s">
        <v>188</v>
      </c>
      <c r="L566" s="2" t="s">
        <v>188</v>
      </c>
      <c r="M566" s="2" t="s">
        <v>188</v>
      </c>
    </row>
    <row r="567" spans="1:13">
      <c r="A567" s="2" t="s">
        <v>190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189</v>
      </c>
      <c r="B598" s="1">
        <v>0.7</v>
      </c>
      <c r="C598" s="2" t="s">
        <v>188</v>
      </c>
      <c r="D598" s="2">
        <v>11</v>
      </c>
      <c r="E598" s="2" t="s">
        <v>188</v>
      </c>
      <c r="F598" s="2" t="s">
        <v>188</v>
      </c>
      <c r="G598" s="2" t="s">
        <v>188</v>
      </c>
      <c r="H598" s="2" t="s">
        <v>188</v>
      </c>
      <c r="I598" s="2">
        <v>0.5</v>
      </c>
      <c r="J598" s="2" t="s">
        <v>188</v>
      </c>
      <c r="K598" s="2" t="s">
        <v>188</v>
      </c>
      <c r="L598" s="2" t="s">
        <v>188</v>
      </c>
      <c r="M598" s="2">
        <v>1.7</v>
      </c>
    </row>
    <row r="599" spans="1:13">
      <c r="A599" s="2" t="s">
        <v>190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189</v>
      </c>
      <c r="B630" s="1" t="s">
        <v>188</v>
      </c>
      <c r="C630" s="2" t="s">
        <v>188</v>
      </c>
      <c r="D630" s="2" t="s">
        <v>188</v>
      </c>
      <c r="E630" s="2" t="s">
        <v>188</v>
      </c>
      <c r="F630" s="2" t="s">
        <v>188</v>
      </c>
      <c r="G630" s="2" t="s">
        <v>188</v>
      </c>
      <c r="H630" s="2">
        <v>0</v>
      </c>
      <c r="I630" s="2" t="s">
        <v>188</v>
      </c>
      <c r="J630" s="2" t="s">
        <v>188</v>
      </c>
      <c r="K630" s="2">
        <v>5.5</v>
      </c>
      <c r="L630" s="2" t="s">
        <v>188</v>
      </c>
      <c r="M630" s="2" t="s">
        <v>188</v>
      </c>
    </row>
    <row r="631" spans="1:13">
      <c r="A631" s="2" t="s">
        <v>190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189</v>
      </c>
      <c r="B662" s="1" t="s">
        <v>188</v>
      </c>
      <c r="C662" s="2" t="s">
        <v>188</v>
      </c>
      <c r="D662" s="2">
        <v>4.5</v>
      </c>
      <c r="E662" s="2" t="s">
        <v>188</v>
      </c>
      <c r="F662" s="2" t="s">
        <v>188</v>
      </c>
      <c r="G662" s="2" t="s">
        <v>188</v>
      </c>
      <c r="H662" s="2" t="s">
        <v>188</v>
      </c>
      <c r="I662" s="2" t="s">
        <v>188</v>
      </c>
      <c r="J662" s="2" t="s">
        <v>188</v>
      </c>
      <c r="K662" s="2">
        <v>6.5</v>
      </c>
      <c r="L662" s="2" t="s">
        <v>188</v>
      </c>
      <c r="M662" s="2">
        <v>1.5</v>
      </c>
    </row>
    <row r="663" spans="1:13">
      <c r="A663" s="2" t="s">
        <v>190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189</v>
      </c>
      <c r="B694" s="1" t="s">
        <v>188</v>
      </c>
      <c r="C694" s="2" t="s">
        <v>188</v>
      </c>
      <c r="D694" s="2">
        <v>32.5</v>
      </c>
      <c r="E694" s="2" t="s">
        <v>188</v>
      </c>
      <c r="F694" s="2" t="s">
        <v>188</v>
      </c>
      <c r="G694" s="2" t="s">
        <v>188</v>
      </c>
      <c r="H694" s="2" t="s">
        <v>188</v>
      </c>
      <c r="I694" s="2">
        <v>57</v>
      </c>
      <c r="J694" s="2" t="s">
        <v>188</v>
      </c>
      <c r="K694" s="2" t="s">
        <v>188</v>
      </c>
      <c r="L694" s="2" t="s">
        <v>188</v>
      </c>
      <c r="M694" s="2">
        <v>0</v>
      </c>
    </row>
    <row r="695" spans="1:13">
      <c r="A695" s="2" t="s">
        <v>190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189</v>
      </c>
      <c r="B726" s="1" t="s">
        <v>188</v>
      </c>
      <c r="C726" s="2" t="s">
        <v>188</v>
      </c>
      <c r="D726" s="2" t="s">
        <v>188</v>
      </c>
      <c r="E726" s="2" t="s">
        <v>188</v>
      </c>
      <c r="F726" s="2">
        <v>0</v>
      </c>
      <c r="G726" s="2" t="s">
        <v>188</v>
      </c>
      <c r="H726" s="2">
        <v>10</v>
      </c>
      <c r="I726" s="2" t="s">
        <v>188</v>
      </c>
      <c r="J726" s="2" t="s">
        <v>188</v>
      </c>
      <c r="K726" s="2" t="s">
        <v>188</v>
      </c>
      <c r="L726" s="2" t="s">
        <v>188</v>
      </c>
      <c r="M726" s="2" t="s">
        <v>188</v>
      </c>
    </row>
    <row r="727" spans="1:13">
      <c r="A727" s="2" t="s">
        <v>190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189</v>
      </c>
      <c r="B758" s="1">
        <v>5.6</v>
      </c>
      <c r="C758" s="2" t="s">
        <v>188</v>
      </c>
      <c r="D758" s="2">
        <v>0.2</v>
      </c>
      <c r="E758" s="2" t="s">
        <v>188</v>
      </c>
      <c r="F758" s="2" t="s">
        <v>188</v>
      </c>
      <c r="G758" s="2" t="s">
        <v>188</v>
      </c>
      <c r="H758" s="2" t="s">
        <v>188</v>
      </c>
      <c r="I758" s="2" t="s">
        <v>188</v>
      </c>
      <c r="J758" s="2" t="s">
        <v>188</v>
      </c>
      <c r="K758" s="2">
        <v>0.1</v>
      </c>
      <c r="L758" s="2" t="s">
        <v>188</v>
      </c>
      <c r="M758" s="2" t="s">
        <v>188</v>
      </c>
    </row>
    <row r="759" spans="1:13">
      <c r="A759" s="2" t="s">
        <v>190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189</v>
      </c>
      <c r="B790" s="1">
        <v>0.1</v>
      </c>
      <c r="C790" s="2" t="s">
        <v>188</v>
      </c>
      <c r="D790" s="2">
        <v>0</v>
      </c>
      <c r="E790" s="2" t="s">
        <v>188</v>
      </c>
      <c r="F790" s="2" t="s">
        <v>188</v>
      </c>
      <c r="G790" s="2" t="s">
        <v>188</v>
      </c>
      <c r="H790" s="2">
        <v>15.5</v>
      </c>
      <c r="I790" s="2" t="s">
        <v>188</v>
      </c>
      <c r="J790" s="2" t="s">
        <v>188</v>
      </c>
      <c r="K790" s="2" t="s">
        <v>188</v>
      </c>
      <c r="L790" s="2" t="s">
        <v>188</v>
      </c>
      <c r="M790" s="2" t="s">
        <v>188</v>
      </c>
    </row>
    <row r="791" spans="1:13">
      <c r="A791" s="2" t="s">
        <v>190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189</v>
      </c>
      <c r="B822" s="1" t="s">
        <v>188</v>
      </c>
      <c r="C822" s="2" t="s">
        <v>188</v>
      </c>
      <c r="D822" s="2" t="s">
        <v>188</v>
      </c>
      <c r="E822" s="2" t="s">
        <v>188</v>
      </c>
      <c r="F822" s="2" t="s">
        <v>188</v>
      </c>
      <c r="G822" s="2" t="s">
        <v>188</v>
      </c>
      <c r="H822" s="2">
        <v>10.6</v>
      </c>
      <c r="I822" s="2" t="s">
        <v>188</v>
      </c>
      <c r="J822" s="2" t="s">
        <v>188</v>
      </c>
      <c r="K822" s="2">
        <v>54.2</v>
      </c>
      <c r="L822" s="2" t="s">
        <v>188</v>
      </c>
      <c r="M822" s="2">
        <v>1.5</v>
      </c>
    </row>
    <row r="823" spans="1:13">
      <c r="A823" s="2" t="s">
        <v>190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189</v>
      </c>
      <c r="B854" s="1" t="s">
        <v>188</v>
      </c>
      <c r="C854" s="2" t="s">
        <v>188</v>
      </c>
      <c r="D854" s="2">
        <v>5.5</v>
      </c>
      <c r="E854" s="2" t="s">
        <v>188</v>
      </c>
      <c r="F854" s="2" t="s">
        <v>188</v>
      </c>
      <c r="G854" s="2" t="s">
        <v>188</v>
      </c>
      <c r="H854" s="2" t="s">
        <v>188</v>
      </c>
      <c r="I854" s="2" t="s">
        <v>188</v>
      </c>
      <c r="J854" s="2" t="s">
        <v>188</v>
      </c>
      <c r="K854" s="2" t="s">
        <v>188</v>
      </c>
      <c r="L854" s="2" t="s">
        <v>188</v>
      </c>
      <c r="M854" s="2" t="s">
        <v>188</v>
      </c>
    </row>
    <row r="855" spans="1:13">
      <c r="A855" s="2" t="s">
        <v>190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189</v>
      </c>
      <c r="B886" s="1" t="s">
        <v>188</v>
      </c>
      <c r="C886" s="2" t="s">
        <v>188</v>
      </c>
      <c r="D886" s="2" t="s">
        <v>188</v>
      </c>
      <c r="E886" s="2" t="s">
        <v>188</v>
      </c>
      <c r="F886" s="2" t="s">
        <v>188</v>
      </c>
      <c r="G886" s="2" t="s">
        <v>188</v>
      </c>
      <c r="H886" s="2" t="s">
        <v>188</v>
      </c>
      <c r="I886" s="2">
        <v>3.6</v>
      </c>
      <c r="J886" s="2" t="s">
        <v>188</v>
      </c>
      <c r="K886" s="2">
        <v>0</v>
      </c>
      <c r="L886" s="2" t="s">
        <v>188</v>
      </c>
      <c r="M886" s="2" t="s">
        <v>188</v>
      </c>
    </row>
    <row r="887" spans="1:13">
      <c r="A887" s="2" t="s">
        <v>190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189</v>
      </c>
      <c r="B918" s="1" t="s">
        <v>188</v>
      </c>
      <c r="C918" s="2" t="s">
        <v>188</v>
      </c>
      <c r="D918" s="2">
        <v>3.9</v>
      </c>
      <c r="E918" s="2" t="s">
        <v>188</v>
      </c>
      <c r="F918" s="2">
        <v>3.5</v>
      </c>
      <c r="G918" s="2" t="s">
        <v>188</v>
      </c>
      <c r="H918" s="2">
        <v>29.2</v>
      </c>
      <c r="I918" s="2" t="s">
        <v>188</v>
      </c>
      <c r="J918" s="2" t="s">
        <v>188</v>
      </c>
      <c r="K918" s="2" t="s">
        <v>188</v>
      </c>
      <c r="L918" s="2" t="s">
        <v>188</v>
      </c>
      <c r="M918" s="2">
        <v>0.5</v>
      </c>
    </row>
    <row r="919" spans="1:13">
      <c r="A919" s="2" t="s">
        <v>190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189</v>
      </c>
      <c r="B950" s="1" t="s">
        <v>188</v>
      </c>
      <c r="C950" s="2" t="s">
        <v>188</v>
      </c>
      <c r="D950" s="2" t="s">
        <v>188</v>
      </c>
      <c r="E950" s="2" t="s">
        <v>188</v>
      </c>
      <c r="F950" s="2" t="s">
        <v>188</v>
      </c>
      <c r="G950" s="2" t="s">
        <v>188</v>
      </c>
      <c r="H950" s="2" t="s">
        <v>188</v>
      </c>
      <c r="I950" s="2">
        <v>42.6</v>
      </c>
      <c r="J950" s="2" t="s">
        <v>188</v>
      </c>
      <c r="K950" s="2">
        <v>0</v>
      </c>
      <c r="L950" s="2" t="s">
        <v>188</v>
      </c>
      <c r="M950" s="2" t="s">
        <v>188</v>
      </c>
    </row>
    <row r="951" spans="1:13">
      <c r="A951" s="2" t="s">
        <v>190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189</v>
      </c>
      <c r="B982" s="1">
        <v>0</v>
      </c>
      <c r="C982" s="2" t="s">
        <v>188</v>
      </c>
      <c r="D982" s="2">
        <v>0</v>
      </c>
      <c r="E982" s="2" t="s">
        <v>188</v>
      </c>
      <c r="F982" s="2">
        <v>0</v>
      </c>
      <c r="G982" s="2" t="s">
        <v>188</v>
      </c>
      <c r="H982" s="2" t="s">
        <v>188</v>
      </c>
      <c r="I982" s="2" t="s">
        <v>188</v>
      </c>
      <c r="J982" s="2" t="s">
        <v>188</v>
      </c>
      <c r="K982" s="2" t="s">
        <v>188</v>
      </c>
      <c r="L982" s="2" t="s">
        <v>188</v>
      </c>
      <c r="M982" s="2">
        <v>0</v>
      </c>
    </row>
    <row r="983" spans="1:13">
      <c r="A983" s="2" t="s">
        <v>190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6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19</xdr:col>
                <xdr:colOff>257175</xdr:colOff>
                <xdr:row>9</xdr:row>
                <xdr:rowOff>161925</xdr:rowOff>
              </from>
              <to>
                <xdr:col>22</xdr:col>
                <xdr:colOff>361950</xdr:colOff>
                <xdr:row>11</xdr:row>
                <xdr:rowOff>57150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405" r:id="rId6" name="OptionButton8">
          <controlPr defaultSize="0" autoLine="0" r:id="rId7">
            <anchor moveWithCells="1">
              <from>
                <xdr:col>16</xdr:col>
                <xdr:colOff>1028700</xdr:colOff>
                <xdr:row>11</xdr:row>
                <xdr:rowOff>161925</xdr:rowOff>
              </from>
              <to>
                <xdr:col>18</xdr:col>
                <xdr:colOff>295275</xdr:colOff>
                <xdr:row>12</xdr:row>
                <xdr:rowOff>123825</xdr:rowOff>
              </to>
            </anchor>
          </controlPr>
        </control>
      </mc:Choice>
      <mc:Fallback>
        <control shapeId="59405" r:id="rId6" name="OptionButton8"/>
      </mc:Fallback>
    </mc:AlternateContent>
    <mc:AlternateContent xmlns:mc="http://schemas.openxmlformats.org/markup-compatibility/2006">
      <mc:Choice Requires="x14">
        <control shapeId="59396" r:id="rId8" name="OptionButton3">
          <controlPr defaultSize="0" autoLine="0" r:id="rId9">
            <anchor moveWithCells="1">
              <from>
                <xdr:col>16</xdr:col>
                <xdr:colOff>1009650</xdr:colOff>
                <xdr:row>6</xdr:row>
                <xdr:rowOff>28575</xdr:rowOff>
              </from>
              <to>
                <xdr:col>18</xdr:col>
                <xdr:colOff>28575</xdr:colOff>
                <xdr:row>6</xdr:row>
                <xdr:rowOff>266700</xdr:rowOff>
              </to>
            </anchor>
          </controlPr>
        </control>
      </mc:Choice>
      <mc:Fallback>
        <control shapeId="59396" r:id="rId8" name="OptionButton3"/>
      </mc:Fallback>
    </mc:AlternateContent>
    <mc:AlternateContent xmlns:mc="http://schemas.openxmlformats.org/markup-compatibility/2006">
      <mc:Choice Requires="x14">
        <control shapeId="59395" r:id="rId10" name="OptionButton2">
          <controlPr defaultSize="0" autoLine="0" r:id="rId11">
            <anchor moveWithCells="1">
              <from>
                <xdr:col>16</xdr:col>
                <xdr:colOff>1009650</xdr:colOff>
                <xdr:row>5</xdr:row>
                <xdr:rowOff>19050</xdr:rowOff>
              </from>
              <to>
                <xdr:col>18</xdr:col>
                <xdr:colOff>28575</xdr:colOff>
                <xdr:row>5</xdr:row>
                <xdr:rowOff>257175</xdr:rowOff>
              </to>
            </anchor>
          </controlPr>
        </control>
      </mc:Choice>
      <mc:Fallback>
        <control shapeId="59395" r:id="rId10" name="OptionButton2"/>
      </mc:Fallback>
    </mc:AlternateContent>
    <mc:AlternateContent xmlns:mc="http://schemas.openxmlformats.org/markup-compatibility/2006">
      <mc:Choice Requires="x14">
        <control shapeId="59394" r:id="rId12" name="OptionButton1">
          <controlPr defaultSize="0" autoLine="0" r:id="rId13">
            <anchor moveWithCells="1">
              <from>
                <xdr:col>16</xdr:col>
                <xdr:colOff>1009650</xdr:colOff>
                <xdr:row>4</xdr:row>
                <xdr:rowOff>9525</xdr:rowOff>
              </from>
              <to>
                <xdr:col>18</xdr:col>
                <xdr:colOff>19050</xdr:colOff>
                <xdr:row>4</xdr:row>
                <xdr:rowOff>247650</xdr:rowOff>
              </to>
            </anchor>
          </controlPr>
        </control>
      </mc:Choice>
      <mc:Fallback>
        <control shapeId="59394" r:id="rId12" name="OptionButton1"/>
      </mc:Fallback>
    </mc:AlternateContent>
    <mc:AlternateContent xmlns:mc="http://schemas.openxmlformats.org/markup-compatibility/2006">
      <mc:Choice Requires="x14">
        <control shapeId="59398" r:id="rId14" name="CommandButton1">
          <controlPr defaultSize="0" autoLine="0" autoPict="0" r:id="rId15">
            <anchor moveWithCells="1">
              <from>
                <xdr:col>19</xdr:col>
                <xdr:colOff>285750</xdr:colOff>
                <xdr:row>7</xdr:row>
                <xdr:rowOff>152400</xdr:rowOff>
              </from>
              <to>
                <xdr:col>22</xdr:col>
                <xdr:colOff>390525</xdr:colOff>
                <xdr:row>9</xdr:row>
                <xdr:rowOff>47625</xdr:rowOff>
              </to>
            </anchor>
          </controlPr>
        </control>
      </mc:Choice>
      <mc:Fallback>
        <control shapeId="59398" r:id="rId14" name="CommandButton1"/>
      </mc:Fallback>
    </mc:AlternateContent>
    <mc:AlternateContent xmlns:mc="http://schemas.openxmlformats.org/markup-compatibility/2006">
      <mc:Choice Requires="x14">
        <control shapeId="59401" r:id="rId16" name="OptionButton4">
          <controlPr defaultSize="0" autoLine="0" r:id="rId17">
            <anchor moveWithCells="1">
              <from>
                <xdr:col>16</xdr:col>
                <xdr:colOff>1009650</xdr:colOff>
                <xdr:row>7</xdr:row>
                <xdr:rowOff>38100</xdr:rowOff>
              </from>
              <to>
                <xdr:col>18</xdr:col>
                <xdr:colOff>200025</xdr:colOff>
                <xdr:row>8</xdr:row>
                <xdr:rowOff>0</xdr:rowOff>
              </to>
            </anchor>
          </controlPr>
        </control>
      </mc:Choice>
      <mc:Fallback>
        <control shapeId="59401" r:id="rId16" name="OptionButton4"/>
      </mc:Fallback>
    </mc:AlternateContent>
    <mc:AlternateContent xmlns:mc="http://schemas.openxmlformats.org/markup-compatibility/2006">
      <mc:Choice Requires="x14">
        <control shapeId="59402" r:id="rId18" name="OptionButton5">
          <controlPr defaultSize="0" autoLine="0" r:id="rId19">
            <anchor moveWithCells="1">
              <from>
                <xdr:col>16</xdr:col>
                <xdr:colOff>1009650</xdr:colOff>
                <xdr:row>8</xdr:row>
                <xdr:rowOff>47625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59402" r:id="rId18" name="OptionButton5"/>
      </mc:Fallback>
    </mc:AlternateContent>
    <mc:AlternateContent xmlns:mc="http://schemas.openxmlformats.org/markup-compatibility/2006">
      <mc:Choice Requires="x14">
        <control shapeId="59403" r:id="rId20" name="OptionButton6">
          <controlPr defaultSize="0" autoLine="0" r:id="rId21">
            <anchor moveWithCells="1">
              <from>
                <xdr:col>16</xdr:col>
                <xdr:colOff>1009650</xdr:colOff>
                <xdr:row>9</xdr:row>
                <xdr:rowOff>57150</xdr:rowOff>
              </from>
              <to>
                <xdr:col>18</xdr:col>
                <xdr:colOff>276225</xdr:colOff>
                <xdr:row>10</xdr:row>
                <xdr:rowOff>19050</xdr:rowOff>
              </to>
            </anchor>
          </controlPr>
        </control>
      </mc:Choice>
      <mc:Fallback>
        <control shapeId="59403" r:id="rId20" name="OptionButton6"/>
      </mc:Fallback>
    </mc:AlternateContent>
    <mc:AlternateContent xmlns:mc="http://schemas.openxmlformats.org/markup-compatibility/2006">
      <mc:Choice Requires="x14">
        <control shapeId="59404" r:id="rId22" name="OptionButton7">
          <controlPr defaultSize="0" autoLine="0" r:id="rId23">
            <anchor moveWithCells="1">
              <from>
                <xdr:col>16</xdr:col>
                <xdr:colOff>1009650</xdr:colOff>
                <xdr:row>10</xdr:row>
                <xdr:rowOff>66675</xdr:rowOff>
              </from>
              <to>
                <xdr:col>18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59404" r:id="rId22" name="OptionButton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EB32-1F00-4946-A35C-245598567123}">
  <sheetPr codeName="Sheet4">
    <tabColor rgb="FF00B050"/>
  </sheetPr>
  <dimension ref="A1:A133"/>
  <sheetViews>
    <sheetView topLeftCell="A64" workbookViewId="0">
      <selection activeCell="G93" sqref="G93"/>
    </sheetView>
  </sheetViews>
  <sheetFormatPr defaultRowHeight="16.5"/>
  <cols>
    <col min="1" max="16384" width="8.88671875" style="117"/>
  </cols>
  <sheetData>
    <row r="1" spans="1:1">
      <c r="A1" s="117" t="s">
        <v>76</v>
      </c>
    </row>
    <row r="3" spans="1:1">
      <c r="A3" s="118" t="s">
        <v>77</v>
      </c>
    </row>
    <row r="4" spans="1:1">
      <c r="A4" s="118" t="s">
        <v>78</v>
      </c>
    </row>
    <row r="5" spans="1:1">
      <c r="A5" s="118" t="s">
        <v>79</v>
      </c>
    </row>
    <row r="6" spans="1:1">
      <c r="A6" s="118" t="s">
        <v>80</v>
      </c>
    </row>
    <row r="8" spans="1:1">
      <c r="A8" s="118" t="s">
        <v>81</v>
      </c>
    </row>
    <row r="9" spans="1:1">
      <c r="A9" s="118" t="s">
        <v>82</v>
      </c>
    </row>
    <row r="10" spans="1:1">
      <c r="A10" s="118" t="s">
        <v>83</v>
      </c>
    </row>
    <row r="11" spans="1:1">
      <c r="A11" s="118" t="s">
        <v>84</v>
      </c>
    </row>
    <row r="12" spans="1:1">
      <c r="A12" s="118" t="s">
        <v>85</v>
      </c>
    </row>
    <row r="13" spans="1:1">
      <c r="A13" s="118" t="s">
        <v>86</v>
      </c>
    </row>
    <row r="14" spans="1:1">
      <c r="A14" s="118" t="s">
        <v>81</v>
      </c>
    </row>
    <row r="16" spans="1:1">
      <c r="A16" s="118" t="s">
        <v>87</v>
      </c>
    </row>
    <row r="17" spans="1:1">
      <c r="A17" s="118" t="s">
        <v>88</v>
      </c>
    </row>
    <row r="18" spans="1:1">
      <c r="A18" s="118" t="s">
        <v>89</v>
      </c>
    </row>
    <row r="19" spans="1:1">
      <c r="A19" s="118" t="s">
        <v>90</v>
      </c>
    </row>
    <row r="20" spans="1:1">
      <c r="A20" s="118" t="s">
        <v>91</v>
      </c>
    </row>
    <row r="21" spans="1:1">
      <c r="A21" s="118" t="s">
        <v>92</v>
      </c>
    </row>
    <row r="22" spans="1:1">
      <c r="A22" s="118" t="s">
        <v>93</v>
      </c>
    </row>
    <row r="24" spans="1:1">
      <c r="A24" s="118" t="s">
        <v>81</v>
      </c>
    </row>
    <row r="25" spans="1:1">
      <c r="A25" s="118" t="s">
        <v>94</v>
      </c>
    </row>
    <row r="26" spans="1:1">
      <c r="A26" s="118" t="s">
        <v>95</v>
      </c>
    </row>
    <row r="27" spans="1:1">
      <c r="A27" s="118" t="s">
        <v>96</v>
      </c>
    </row>
    <row r="28" spans="1:1">
      <c r="A28" s="118" t="s">
        <v>97</v>
      </c>
    </row>
    <row r="29" spans="1:1">
      <c r="A29" s="118" t="s">
        <v>98</v>
      </c>
    </row>
    <row r="30" spans="1:1">
      <c r="A30" s="118" t="s">
        <v>99</v>
      </c>
    </row>
    <row r="31" spans="1:1">
      <c r="A31" s="118" t="s">
        <v>100</v>
      </c>
    </row>
    <row r="33" spans="1:1">
      <c r="A33" s="118" t="s">
        <v>101</v>
      </c>
    </row>
    <row r="34" spans="1:1">
      <c r="A34" s="118" t="s">
        <v>102</v>
      </c>
    </row>
    <row r="35" spans="1:1">
      <c r="A35" s="118" t="s">
        <v>103</v>
      </c>
    </row>
    <row r="36" spans="1:1">
      <c r="A36" s="118" t="s">
        <v>81</v>
      </c>
    </row>
    <row r="37" spans="1:1">
      <c r="A37" s="118" t="s">
        <v>104</v>
      </c>
    </row>
    <row r="38" spans="1:1">
      <c r="A38" s="118" t="s">
        <v>105</v>
      </c>
    </row>
    <row r="39" spans="1:1">
      <c r="A39" s="118" t="s">
        <v>106</v>
      </c>
    </row>
    <row r="40" spans="1:1">
      <c r="A40" s="118" t="s">
        <v>107</v>
      </c>
    </row>
    <row r="41" spans="1:1">
      <c r="A41" s="118" t="s">
        <v>108</v>
      </c>
    </row>
    <row r="43" spans="1:1">
      <c r="A43" s="118" t="s">
        <v>81</v>
      </c>
    </row>
    <row r="44" spans="1:1">
      <c r="A44" s="118" t="s">
        <v>109</v>
      </c>
    </row>
    <row r="45" spans="1:1">
      <c r="A45" s="118" t="s">
        <v>110</v>
      </c>
    </row>
    <row r="46" spans="1:1">
      <c r="A46" s="118" t="s">
        <v>111</v>
      </c>
    </row>
    <row r="47" spans="1:1">
      <c r="A47" s="118" t="s">
        <v>112</v>
      </c>
    </row>
    <row r="48" spans="1:1">
      <c r="A48" s="118" t="s">
        <v>113</v>
      </c>
    </row>
    <row r="49" spans="1:1">
      <c r="A49" s="118" t="s">
        <v>114</v>
      </c>
    </row>
    <row r="50" spans="1:1">
      <c r="A50" s="118" t="s">
        <v>115</v>
      </c>
    </row>
    <row r="52" spans="1:1">
      <c r="A52" s="118" t="s">
        <v>81</v>
      </c>
    </row>
    <row r="53" spans="1:1">
      <c r="A53" s="118" t="s">
        <v>116</v>
      </c>
    </row>
    <row r="54" spans="1:1">
      <c r="A54" s="118" t="s">
        <v>117</v>
      </c>
    </row>
    <row r="55" spans="1:1">
      <c r="A55" s="118" t="s">
        <v>118</v>
      </c>
    </row>
    <row r="56" spans="1:1">
      <c r="A56" s="118" t="s">
        <v>119</v>
      </c>
    </row>
    <row r="57" spans="1:1">
      <c r="A57" s="118" t="s">
        <v>120</v>
      </c>
    </row>
    <row r="58" spans="1:1">
      <c r="A58" s="118" t="s">
        <v>121</v>
      </c>
    </row>
    <row r="59" spans="1:1">
      <c r="A59" s="118" t="s">
        <v>122</v>
      </c>
    </row>
    <row r="60" spans="1:1">
      <c r="A60" s="118" t="s">
        <v>123</v>
      </c>
    </row>
    <row r="61" spans="1:1">
      <c r="A61" s="118" t="s">
        <v>124</v>
      </c>
    </row>
    <row r="62" spans="1:1">
      <c r="A62" s="118" t="s">
        <v>125</v>
      </c>
    </row>
    <row r="64" spans="1:1">
      <c r="A64" s="118" t="s">
        <v>81</v>
      </c>
    </row>
    <row r="65" spans="1:1">
      <c r="A65" s="118" t="s">
        <v>126</v>
      </c>
    </row>
    <row r="66" spans="1:1">
      <c r="A66" s="118" t="s">
        <v>127</v>
      </c>
    </row>
    <row r="67" spans="1:1">
      <c r="A67" s="118" t="s">
        <v>128</v>
      </c>
    </row>
    <row r="68" spans="1:1">
      <c r="A68" s="118" t="s">
        <v>129</v>
      </c>
    </row>
    <row r="69" spans="1:1">
      <c r="A69" s="118" t="s">
        <v>130</v>
      </c>
    </row>
    <row r="70" spans="1:1">
      <c r="A70" s="118" t="s">
        <v>131</v>
      </c>
    </row>
    <row r="71" spans="1:1">
      <c r="A71" s="118" t="s">
        <v>132</v>
      </c>
    </row>
    <row r="72" spans="1:1">
      <c r="A72" s="118" t="s">
        <v>133</v>
      </c>
    </row>
    <row r="73" spans="1:1">
      <c r="A73" s="118" t="s">
        <v>134</v>
      </c>
    </row>
    <row r="74" spans="1:1">
      <c r="A74" s="118" t="s">
        <v>135</v>
      </c>
    </row>
    <row r="75" spans="1:1">
      <c r="A75" s="118" t="s">
        <v>136</v>
      </c>
    </row>
    <row r="76" spans="1:1">
      <c r="A76" s="118" t="s">
        <v>137</v>
      </c>
    </row>
    <row r="77" spans="1:1">
      <c r="A77" s="118" t="s">
        <v>138</v>
      </c>
    </row>
    <row r="78" spans="1:1">
      <c r="A78" s="118" t="s">
        <v>139</v>
      </c>
    </row>
    <row r="79" spans="1:1">
      <c r="A79" s="118" t="s">
        <v>101</v>
      </c>
    </row>
    <row r="80" spans="1:1">
      <c r="A80" s="118" t="s">
        <v>140</v>
      </c>
    </row>
    <row r="81" spans="1:1">
      <c r="A81" s="118" t="s">
        <v>141</v>
      </c>
    </row>
    <row r="82" spans="1:1">
      <c r="A82" s="118" t="s">
        <v>142</v>
      </c>
    </row>
    <row r="84" spans="1:1">
      <c r="A84" s="118" t="s">
        <v>103</v>
      </c>
    </row>
    <row r="85" spans="1:1">
      <c r="A85" s="118" t="s">
        <v>81</v>
      </c>
    </row>
    <row r="86" spans="1:1">
      <c r="A86" s="118" t="s">
        <v>143</v>
      </c>
    </row>
    <row r="87" spans="1:1">
      <c r="A87" s="118" t="s">
        <v>144</v>
      </c>
    </row>
    <row r="88" spans="1:1">
      <c r="A88" s="118" t="s">
        <v>145</v>
      </c>
    </row>
    <row r="89" spans="1:1">
      <c r="A89" s="118" t="s">
        <v>146</v>
      </c>
    </row>
    <row r="90" spans="1:1">
      <c r="A90" s="118" t="s">
        <v>147</v>
      </c>
    </row>
    <row r="91" spans="1:1">
      <c r="A91" s="118" t="s">
        <v>148</v>
      </c>
    </row>
    <row r="92" spans="1:1">
      <c r="A92" s="118" t="s">
        <v>149</v>
      </c>
    </row>
    <row r="93" spans="1:1">
      <c r="A93" s="118" t="s">
        <v>150</v>
      </c>
    </row>
    <row r="94" spans="1:1">
      <c r="A94" s="118" t="s">
        <v>151</v>
      </c>
    </row>
    <row r="95" spans="1:1">
      <c r="A95" s="118" t="s">
        <v>152</v>
      </c>
    </row>
    <row r="96" spans="1:1">
      <c r="A96" s="118" t="s">
        <v>153</v>
      </c>
    </row>
    <row r="97" spans="1:1">
      <c r="A97" s="118" t="s">
        <v>154</v>
      </c>
    </row>
    <row r="98" spans="1:1">
      <c r="A98" s="118" t="s">
        <v>155</v>
      </c>
    </row>
    <row r="99" spans="1:1">
      <c r="A99" s="118" t="s">
        <v>101</v>
      </c>
    </row>
    <row r="100" spans="1:1">
      <c r="A100" s="118" t="s">
        <v>156</v>
      </c>
    </row>
    <row r="101" spans="1:1">
      <c r="A101" s="118" t="s">
        <v>157</v>
      </c>
    </row>
    <row r="102" spans="1:1">
      <c r="A102" s="118" t="s">
        <v>103</v>
      </c>
    </row>
    <row r="104" spans="1:1">
      <c r="A104" s="118" t="s">
        <v>81</v>
      </c>
    </row>
    <row r="105" spans="1:1">
      <c r="A105" s="118" t="s">
        <v>158</v>
      </c>
    </row>
    <row r="106" spans="1:1">
      <c r="A106" s="118" t="s">
        <v>159</v>
      </c>
    </row>
    <row r="107" spans="1:1">
      <c r="A107" s="118" t="s">
        <v>160</v>
      </c>
    </row>
    <row r="108" spans="1:1">
      <c r="A108" s="118" t="s">
        <v>101</v>
      </c>
    </row>
    <row r="109" spans="1:1">
      <c r="A109" s="118" t="s">
        <v>161</v>
      </c>
    </row>
    <row r="110" spans="1:1">
      <c r="A110" s="118" t="s">
        <v>103</v>
      </c>
    </row>
    <row r="111" spans="1:1">
      <c r="A111" s="118" t="s">
        <v>162</v>
      </c>
    </row>
    <row r="112" spans="1:1">
      <c r="A112" s="118" t="s">
        <v>163</v>
      </c>
    </row>
    <row r="113" spans="1:1">
      <c r="A113" s="118" t="s">
        <v>164</v>
      </c>
    </row>
    <row r="114" spans="1:1">
      <c r="A114" s="118" t="s">
        <v>165</v>
      </c>
    </row>
    <row r="115" spans="1:1">
      <c r="A115" s="118" t="s">
        <v>166</v>
      </c>
    </row>
    <row r="116" spans="1:1">
      <c r="A116" s="118" t="s">
        <v>167</v>
      </c>
    </row>
    <row r="117" spans="1:1">
      <c r="A117" s="118" t="s">
        <v>168</v>
      </c>
    </row>
    <row r="118" spans="1:1">
      <c r="A118" s="118" t="s">
        <v>169</v>
      </c>
    </row>
    <row r="119" spans="1:1">
      <c r="A119" s="118" t="s">
        <v>170</v>
      </c>
    </row>
    <row r="120" spans="1:1">
      <c r="A120" s="118" t="s">
        <v>101</v>
      </c>
    </row>
    <row r="121" spans="1:1">
      <c r="A121" s="118" t="s">
        <v>171</v>
      </c>
    </row>
    <row r="122" spans="1:1">
      <c r="A122" s="118" t="s">
        <v>172</v>
      </c>
    </row>
    <row r="123" spans="1:1">
      <c r="A123" s="118" t="s">
        <v>173</v>
      </c>
    </row>
    <row r="124" spans="1:1">
      <c r="A124" s="118" t="s">
        <v>103</v>
      </c>
    </row>
    <row r="126" spans="1:1">
      <c r="A126" s="118" t="s">
        <v>81</v>
      </c>
    </row>
    <row r="127" spans="1:1">
      <c r="A127" s="118" t="s">
        <v>174</v>
      </c>
    </row>
    <row r="128" spans="1:1">
      <c r="A128" s="118" t="s">
        <v>175</v>
      </c>
    </row>
    <row r="129" spans="1:1">
      <c r="A129" s="118" t="s">
        <v>176</v>
      </c>
    </row>
    <row r="130" spans="1:1">
      <c r="A130" s="118" t="s">
        <v>177</v>
      </c>
    </row>
    <row r="133" spans="1:1">
      <c r="A133" s="117" t="s">
        <v>178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H17" sqref="H17"/>
    </sheetView>
  </sheetViews>
  <sheetFormatPr defaultColWidth="8.88671875" defaultRowHeight="16.5"/>
  <cols>
    <col min="1" max="2" width="8.88671875" style="31"/>
    <col min="3" max="3" width="8" style="31" customWidth="1"/>
    <col min="4" max="16384" width="8.88671875" style="31"/>
  </cols>
  <sheetData>
    <row r="2" spans="2:16">
      <c r="B2" s="31" t="s">
        <v>15</v>
      </c>
    </row>
    <row r="4" spans="2:16">
      <c r="B4" s="32" t="s">
        <v>0</v>
      </c>
    </row>
    <row r="6" spans="2:16" ht="17.25" thickBot="1">
      <c r="O6" s="31" t="s">
        <v>16</v>
      </c>
    </row>
    <row r="7" spans="2:16" ht="18" customHeight="1">
      <c r="B7" s="82"/>
      <c r="C7" s="88" t="s">
        <v>1</v>
      </c>
      <c r="D7" s="88" t="s">
        <v>2</v>
      </c>
      <c r="E7" s="88" t="s">
        <v>3</v>
      </c>
      <c r="F7" s="88" t="s">
        <v>4</v>
      </c>
      <c r="G7" s="88" t="s">
        <v>5</v>
      </c>
      <c r="H7" s="88" t="s">
        <v>6</v>
      </c>
      <c r="I7" s="88" t="s">
        <v>7</v>
      </c>
      <c r="J7" s="88" t="s">
        <v>8</v>
      </c>
      <c r="K7" s="88" t="s">
        <v>9</v>
      </c>
      <c r="L7" s="88" t="s">
        <v>10</v>
      </c>
      <c r="M7" s="88" t="s">
        <v>11</v>
      </c>
      <c r="N7" s="88" t="s">
        <v>12</v>
      </c>
      <c r="O7" s="88" t="s">
        <v>16</v>
      </c>
      <c r="P7" s="89" t="s">
        <v>13</v>
      </c>
    </row>
    <row r="8" spans="2:16" ht="18" customHeight="1">
      <c r="B8" s="99">
        <f>'30Year'!B44</f>
        <v>2009</v>
      </c>
      <c r="C8" s="100">
        <f>'30Year'!C44</f>
        <v>15.4</v>
      </c>
      <c r="D8" s="100">
        <f>'30Year'!D44</f>
        <v>27.5</v>
      </c>
      <c r="E8" s="100">
        <f>'30Year'!E44</f>
        <v>60.3</v>
      </c>
      <c r="F8" s="100">
        <f>'30Year'!F44</f>
        <v>34.5</v>
      </c>
      <c r="G8" s="100">
        <f>'30Year'!G44</f>
        <v>124.3</v>
      </c>
      <c r="H8" s="100">
        <f>'30Year'!H44</f>
        <v>87.3</v>
      </c>
      <c r="I8" s="100">
        <f>'30Year'!I44</f>
        <v>429.2</v>
      </c>
      <c r="J8" s="100">
        <f>'30Year'!J44</f>
        <v>148.30000000000001</v>
      </c>
      <c r="K8" s="100">
        <f>'30Year'!K44</f>
        <v>46</v>
      </c>
      <c r="L8" s="100">
        <f>'30Year'!L44</f>
        <v>24.7</v>
      </c>
      <c r="M8" s="100">
        <f>'30Year'!M44</f>
        <v>54.7</v>
      </c>
      <c r="N8" s="100">
        <f>'30Year'!N44</f>
        <v>38.200000000000003</v>
      </c>
      <c r="O8" s="100">
        <f>'30Year'!O44</f>
        <v>1090.4000000000001</v>
      </c>
      <c r="P8" s="101">
        <f>'30Year'!P44</f>
        <v>90.9</v>
      </c>
    </row>
    <row r="9" spans="2:16" ht="18" customHeight="1">
      <c r="B9" s="99">
        <f>'30Year'!B45</f>
        <v>2010</v>
      </c>
      <c r="C9" s="100">
        <f>'30Year'!C45</f>
        <v>46.4</v>
      </c>
      <c r="D9" s="100">
        <f>'30Year'!D45</f>
        <v>81.5</v>
      </c>
      <c r="E9" s="100">
        <f>'30Year'!E45</f>
        <v>100.1</v>
      </c>
      <c r="F9" s="100">
        <f>'30Year'!F45</f>
        <v>88.5</v>
      </c>
      <c r="G9" s="100">
        <f>'30Year'!G45</f>
        <v>117.6</v>
      </c>
      <c r="H9" s="100">
        <f>'30Year'!H45</f>
        <v>65.599999999999994</v>
      </c>
      <c r="I9" s="100">
        <f>'30Year'!I45</f>
        <v>223.1</v>
      </c>
      <c r="J9" s="100">
        <f>'30Year'!J45</f>
        <v>376.4</v>
      </c>
      <c r="K9" s="100">
        <f>'30Year'!K45</f>
        <v>250.5</v>
      </c>
      <c r="L9" s="100">
        <f>'30Year'!L45</f>
        <v>17.899999999999999</v>
      </c>
      <c r="M9" s="100">
        <f>'30Year'!M45</f>
        <v>16.399999999999999</v>
      </c>
      <c r="N9" s="100">
        <f>'30Year'!N45</f>
        <v>35.700000000000003</v>
      </c>
      <c r="O9" s="100">
        <f>'30Year'!O45</f>
        <v>1419.7</v>
      </c>
      <c r="P9" s="101">
        <f>'30Year'!P45</f>
        <v>118.3</v>
      </c>
    </row>
    <row r="10" spans="2:16" ht="18" customHeight="1">
      <c r="B10" s="99">
        <f>'30Year'!B46</f>
        <v>2011</v>
      </c>
      <c r="C10" s="100">
        <f>'30Year'!C46</f>
        <v>4</v>
      </c>
      <c r="D10" s="100">
        <f>'30Year'!D46</f>
        <v>44.8</v>
      </c>
      <c r="E10" s="100">
        <f>'30Year'!E46</f>
        <v>19</v>
      </c>
      <c r="F10" s="100">
        <f>'30Year'!F46</f>
        <v>71</v>
      </c>
      <c r="G10" s="100">
        <f>'30Year'!G46</f>
        <v>162</v>
      </c>
      <c r="H10" s="100">
        <f>'30Year'!H46</f>
        <v>391.6</v>
      </c>
      <c r="I10" s="100">
        <f>'30Year'!I46</f>
        <v>587.29999999999995</v>
      </c>
      <c r="J10" s="100">
        <f>'30Year'!J46</f>
        <v>420.3</v>
      </c>
      <c r="K10" s="100">
        <f>'30Year'!K46</f>
        <v>91.7</v>
      </c>
      <c r="L10" s="100">
        <f>'30Year'!L46</f>
        <v>37</v>
      </c>
      <c r="M10" s="100">
        <f>'30Year'!M46</f>
        <v>103.2</v>
      </c>
      <c r="N10" s="100">
        <f>'30Year'!N46</f>
        <v>11.5</v>
      </c>
      <c r="O10" s="100">
        <f>'30Year'!O46</f>
        <v>1943.4</v>
      </c>
      <c r="P10" s="101">
        <f>'30Year'!P46</f>
        <v>162</v>
      </c>
    </row>
    <row r="11" spans="2:16" ht="18" customHeight="1">
      <c r="B11" s="99">
        <f>'30Year'!B47</f>
        <v>2012</v>
      </c>
      <c r="C11" s="100">
        <f>'30Year'!C47</f>
        <v>16.399999999999999</v>
      </c>
      <c r="D11" s="100">
        <f>'30Year'!D47</f>
        <v>2.5</v>
      </c>
      <c r="E11" s="100">
        <f>'30Year'!E47</f>
        <v>54.6</v>
      </c>
      <c r="F11" s="100">
        <f>'30Year'!F47</f>
        <v>66.2</v>
      </c>
      <c r="G11" s="100">
        <f>'30Year'!G47</f>
        <v>24</v>
      </c>
      <c r="H11" s="100">
        <f>'30Year'!H47</f>
        <v>57.8</v>
      </c>
      <c r="I11" s="100">
        <f>'30Year'!I47</f>
        <v>277.60000000000002</v>
      </c>
      <c r="J11" s="100">
        <f>'30Year'!J47</f>
        <v>463.6</v>
      </c>
      <c r="K11" s="100">
        <f>'30Year'!K47</f>
        <v>242.5</v>
      </c>
      <c r="L11" s="100">
        <f>'30Year'!L47</f>
        <v>81.3</v>
      </c>
      <c r="M11" s="100">
        <f>'30Year'!M47</f>
        <v>58.4</v>
      </c>
      <c r="N11" s="100">
        <f>'30Year'!N47</f>
        <v>64.599999999999994</v>
      </c>
      <c r="O11" s="100">
        <f>'30Year'!O47</f>
        <v>1409.5</v>
      </c>
      <c r="P11" s="101">
        <f>'30Year'!P47</f>
        <v>117.5</v>
      </c>
    </row>
    <row r="12" spans="2:16" ht="18" customHeight="1">
      <c r="B12" s="99">
        <f>'30Year'!B48</f>
        <v>2013</v>
      </c>
      <c r="C12" s="100">
        <f>'30Year'!C48</f>
        <v>46.2</v>
      </c>
      <c r="D12" s="100">
        <f>'30Year'!D48</f>
        <v>54.2</v>
      </c>
      <c r="E12" s="100">
        <f>'30Year'!E48</f>
        <v>52.8</v>
      </c>
      <c r="F12" s="100">
        <f>'30Year'!F48</f>
        <v>86.8</v>
      </c>
      <c r="G12" s="100">
        <f>'30Year'!G48</f>
        <v>110.4</v>
      </c>
      <c r="H12" s="100">
        <f>'30Year'!H48</f>
        <v>162.6</v>
      </c>
      <c r="I12" s="100">
        <f>'30Year'!I48</f>
        <v>218.7</v>
      </c>
      <c r="J12" s="100">
        <f>'30Year'!J48</f>
        <v>126.6</v>
      </c>
      <c r="K12" s="100">
        <f>'30Year'!K48</f>
        <v>146.4</v>
      </c>
      <c r="L12" s="100">
        <f>'30Year'!L48</f>
        <v>19.899999999999999</v>
      </c>
      <c r="M12" s="100">
        <f>'30Year'!M48</f>
        <v>63.5</v>
      </c>
      <c r="N12" s="100">
        <f>'30Year'!N48</f>
        <v>32.799999999999997</v>
      </c>
      <c r="O12" s="100">
        <f>'30Year'!O48</f>
        <v>1120.9000000000001</v>
      </c>
      <c r="P12" s="101">
        <f>'30Year'!P48</f>
        <v>93.4</v>
      </c>
    </row>
    <row r="13" spans="2:16" ht="18" customHeight="1">
      <c r="B13" s="99">
        <f>'30Year'!B49</f>
        <v>2014</v>
      </c>
      <c r="C13" s="100">
        <f>'30Year'!C49</f>
        <v>6.5</v>
      </c>
      <c r="D13" s="100">
        <f>'30Year'!D49</f>
        <v>8.5</v>
      </c>
      <c r="E13" s="100">
        <f>'30Year'!E49</f>
        <v>67.2</v>
      </c>
      <c r="F13" s="100">
        <f>'30Year'!F49</f>
        <v>59.4</v>
      </c>
      <c r="G13" s="100">
        <f>'30Year'!G49</f>
        <v>49.7</v>
      </c>
      <c r="H13" s="100">
        <f>'30Year'!H49</f>
        <v>143.69999999999999</v>
      </c>
      <c r="I13" s="100">
        <f>'30Year'!I49</f>
        <v>177.2</v>
      </c>
      <c r="J13" s="100">
        <f>'30Year'!J49</f>
        <v>240.9</v>
      </c>
      <c r="K13" s="100">
        <f>'30Year'!K49</f>
        <v>118</v>
      </c>
      <c r="L13" s="100">
        <f>'30Year'!L49</f>
        <v>169.4</v>
      </c>
      <c r="M13" s="100">
        <f>'30Year'!M49</f>
        <v>40.700000000000003</v>
      </c>
      <c r="N13" s="100">
        <f>'30Year'!N49</f>
        <v>36.700000000000003</v>
      </c>
      <c r="O13" s="100">
        <f>'30Year'!O49</f>
        <v>1117.9000000000001</v>
      </c>
      <c r="P13" s="101">
        <f>'30Year'!P49</f>
        <v>93.2</v>
      </c>
    </row>
    <row r="14" spans="2:16" ht="18" customHeight="1">
      <c r="B14" s="99">
        <f>'30Year'!B50</f>
        <v>2015</v>
      </c>
      <c r="C14" s="100">
        <f>'30Year'!C50</f>
        <v>31.5</v>
      </c>
      <c r="D14" s="100">
        <f>'30Year'!D50</f>
        <v>27</v>
      </c>
      <c r="E14" s="100">
        <f>'30Year'!E50</f>
        <v>44.7</v>
      </c>
      <c r="F14" s="100">
        <f>'30Year'!F50</f>
        <v>95.2</v>
      </c>
      <c r="G14" s="100">
        <f>'30Year'!G50</f>
        <v>28.9</v>
      </c>
      <c r="H14" s="100">
        <f>'30Year'!H50</f>
        <v>119.8</v>
      </c>
      <c r="I14" s="100">
        <f>'30Year'!I50</f>
        <v>145.6</v>
      </c>
      <c r="J14" s="100">
        <f>'30Year'!J50</f>
        <v>51.6</v>
      </c>
      <c r="K14" s="100">
        <f>'30Year'!K50</f>
        <v>18.5</v>
      </c>
      <c r="L14" s="100">
        <f>'30Year'!L50</f>
        <v>94.1</v>
      </c>
      <c r="M14" s="100">
        <f>'30Year'!M50</f>
        <v>126</v>
      </c>
      <c r="N14" s="100">
        <f>'30Year'!N50</f>
        <v>39.700000000000003</v>
      </c>
      <c r="O14" s="100">
        <f>'30Year'!O50</f>
        <v>822.6</v>
      </c>
      <c r="P14" s="101">
        <f>'30Year'!P50</f>
        <v>68.599999999999994</v>
      </c>
    </row>
    <row r="15" spans="2:16" ht="18" customHeight="1">
      <c r="B15" s="99">
        <f>'30Year'!B51</f>
        <v>2016</v>
      </c>
      <c r="C15" s="100">
        <f>'30Year'!C51</f>
        <v>11.6</v>
      </c>
      <c r="D15" s="100">
        <f>'30Year'!D51</f>
        <v>45.8</v>
      </c>
      <c r="E15" s="100">
        <f>'30Year'!E51</f>
        <v>40.299999999999997</v>
      </c>
      <c r="F15" s="100">
        <f>'30Year'!F51</f>
        <v>154.9</v>
      </c>
      <c r="G15" s="100">
        <f>'30Year'!G51</f>
        <v>85.1</v>
      </c>
      <c r="H15" s="100">
        <f>'30Year'!H51</f>
        <v>62.5</v>
      </c>
      <c r="I15" s="100">
        <f>'30Year'!I51</f>
        <v>367.9</v>
      </c>
      <c r="J15" s="100">
        <f>'30Year'!J51</f>
        <v>57.4</v>
      </c>
      <c r="K15" s="100">
        <f>'30Year'!K51</f>
        <v>196</v>
      </c>
      <c r="L15" s="100">
        <f>'30Year'!L51</f>
        <v>122.6</v>
      </c>
      <c r="M15" s="100">
        <f>'30Year'!M51</f>
        <v>29.5</v>
      </c>
      <c r="N15" s="100">
        <f>'30Year'!N51</f>
        <v>54.8</v>
      </c>
      <c r="O15" s="100">
        <f>'30Year'!O51</f>
        <v>1228.4000000000001</v>
      </c>
      <c r="P15" s="101">
        <f>'30Year'!P51</f>
        <v>102.4</v>
      </c>
    </row>
    <row r="16" spans="2:16" ht="18" customHeight="1">
      <c r="B16" s="99">
        <f>'30Year'!B52</f>
        <v>2017</v>
      </c>
      <c r="C16" s="100">
        <f>'30Year'!C52</f>
        <v>15</v>
      </c>
      <c r="D16" s="100">
        <f>'30Year'!D52</f>
        <v>42</v>
      </c>
      <c r="E16" s="100">
        <f>'30Year'!E52</f>
        <v>11.6</v>
      </c>
      <c r="F16" s="100">
        <f>'30Year'!F52</f>
        <v>77.7</v>
      </c>
      <c r="G16" s="100">
        <f>'30Year'!G52</f>
        <v>29.3</v>
      </c>
      <c r="H16" s="100">
        <f>'30Year'!H52</f>
        <v>35.299999999999997</v>
      </c>
      <c r="I16" s="100">
        <f>'30Year'!I52</f>
        <v>434.5</v>
      </c>
      <c r="J16" s="100">
        <f>'30Year'!J52</f>
        <v>293.8</v>
      </c>
      <c r="K16" s="100">
        <f>'30Year'!K52</f>
        <v>111.4</v>
      </c>
      <c r="L16" s="100">
        <f>'30Year'!L52</f>
        <v>28.3</v>
      </c>
      <c r="M16" s="100">
        <f>'30Year'!M52</f>
        <v>15.1</v>
      </c>
      <c r="N16" s="100">
        <f>'30Year'!N52</f>
        <v>33.5</v>
      </c>
      <c r="O16" s="100">
        <f>'30Year'!O52</f>
        <v>1127.5</v>
      </c>
      <c r="P16" s="101">
        <f>'30Year'!P52</f>
        <v>94</v>
      </c>
    </row>
    <row r="17" spans="2:16" ht="18" customHeight="1">
      <c r="B17" s="99">
        <f>'30Year'!B53</f>
        <v>2018</v>
      </c>
      <c r="C17" s="100">
        <f>'30Year'!C53</f>
        <v>23.9</v>
      </c>
      <c r="D17" s="100">
        <f>'30Year'!D53</f>
        <v>40.5</v>
      </c>
      <c r="E17" s="100">
        <f>'30Year'!E53</f>
        <v>108.4</v>
      </c>
      <c r="F17" s="100">
        <f>'30Year'!F53</f>
        <v>155.30000000000001</v>
      </c>
      <c r="G17" s="100">
        <f>'30Year'!G53</f>
        <v>95.9</v>
      </c>
      <c r="H17" s="100">
        <f>'30Year'!H53</f>
        <v>115.8</v>
      </c>
      <c r="I17" s="100">
        <f>'30Year'!I53</f>
        <v>226.9</v>
      </c>
      <c r="J17" s="100">
        <f>'30Year'!J53</f>
        <v>408.6</v>
      </c>
      <c r="K17" s="100">
        <f>'30Year'!K53</f>
        <v>149.4</v>
      </c>
      <c r="L17" s="100">
        <f>'30Year'!L53</f>
        <v>133.9</v>
      </c>
      <c r="M17" s="100">
        <f>'30Year'!M53</f>
        <v>49.8</v>
      </c>
      <c r="N17" s="100">
        <f>'30Year'!N53</f>
        <v>33.700000000000003</v>
      </c>
      <c r="O17" s="100">
        <f>'30Year'!O53</f>
        <v>1542.1</v>
      </c>
      <c r="P17" s="101">
        <f>'30Year'!P53</f>
        <v>128.5</v>
      </c>
    </row>
    <row r="18" spans="2:16" ht="18" customHeight="1">
      <c r="B18" s="93" t="s">
        <v>13</v>
      </c>
      <c r="C18" s="37">
        <f>'30Year'!C56</f>
        <v>21.7</v>
      </c>
      <c r="D18" s="37">
        <f>'30Year'!D56</f>
        <v>37.4</v>
      </c>
      <c r="E18" s="37">
        <f>'30Year'!E56</f>
        <v>55.9</v>
      </c>
      <c r="F18" s="37">
        <f>'30Year'!F56</f>
        <v>89</v>
      </c>
      <c r="G18" s="37">
        <f>'30Year'!G56</f>
        <v>82.7</v>
      </c>
      <c r="H18" s="37">
        <f>'30Year'!H56</f>
        <v>124.2</v>
      </c>
      <c r="I18" s="37">
        <f>'30Year'!I56</f>
        <v>308.8</v>
      </c>
      <c r="J18" s="37">
        <f>'30Year'!J56</f>
        <v>258.8</v>
      </c>
      <c r="K18" s="37">
        <f>'30Year'!K56</f>
        <v>137</v>
      </c>
      <c r="L18" s="37">
        <f>'30Year'!L56</f>
        <v>72.900000000000006</v>
      </c>
      <c r="M18" s="37">
        <f>'30Year'!M56</f>
        <v>55.7</v>
      </c>
      <c r="N18" s="37">
        <f>'30Year'!N56</f>
        <v>38.1</v>
      </c>
      <c r="O18" s="37">
        <f>'30Year'!O56</f>
        <v>1282.2</v>
      </c>
      <c r="P18" s="94">
        <f>'30Year'!P56</f>
        <v>106.9</v>
      </c>
    </row>
    <row r="19" spans="2:16" ht="18" customHeight="1" thickBot="1">
      <c r="B19" s="95" t="s">
        <v>14</v>
      </c>
      <c r="C19" s="96">
        <f>'30Year'!C38</f>
        <v>28.3</v>
      </c>
      <c r="D19" s="96">
        <f>'30Year'!D38</f>
        <v>39.1</v>
      </c>
      <c r="E19" s="96">
        <f>'30Year'!E38</f>
        <v>54.2</v>
      </c>
      <c r="F19" s="96">
        <f>'30Year'!F38</f>
        <v>81.7</v>
      </c>
      <c r="G19" s="96">
        <f>'30Year'!G38</f>
        <v>93.4</v>
      </c>
      <c r="H19" s="96">
        <f>'30Year'!H38</f>
        <v>173.2</v>
      </c>
      <c r="I19" s="96">
        <f>'30Year'!I38</f>
        <v>310.3</v>
      </c>
      <c r="J19" s="96">
        <f>'30Year'!J38</f>
        <v>295</v>
      </c>
      <c r="K19" s="96">
        <f>'30Year'!K38</f>
        <v>157</v>
      </c>
      <c r="L19" s="96">
        <f>'30Year'!L38</f>
        <v>56.9</v>
      </c>
      <c r="M19" s="96">
        <f>'30Year'!M38</f>
        <v>46.8</v>
      </c>
      <c r="N19" s="96">
        <f>'30Year'!N38</f>
        <v>29.9</v>
      </c>
      <c r="O19" s="96">
        <f>'30Year'!O38</f>
        <v>1365.8</v>
      </c>
      <c r="P19" s="97">
        <f>'30Year'!P38</f>
        <v>113.8</v>
      </c>
    </row>
    <row r="20" spans="2:16" ht="18" customHeight="1"/>
    <row r="21" spans="2:16" ht="18" customHeight="1" thickBot="1"/>
    <row r="22" spans="2:16" ht="18" customHeight="1">
      <c r="B22" s="82" t="s">
        <v>17</v>
      </c>
      <c r="C22" s="83" t="s">
        <v>70</v>
      </c>
    </row>
    <row r="23" spans="2:16" ht="18" customHeight="1">
      <c r="B23" s="84">
        <f>B8</f>
        <v>2009</v>
      </c>
      <c r="C23" s="85">
        <f>O8</f>
        <v>1090.4000000000001</v>
      </c>
    </row>
    <row r="24" spans="2:16" ht="18" customHeight="1">
      <c r="B24" s="84">
        <f t="shared" ref="B24:B32" si="0">B9</f>
        <v>2010</v>
      </c>
      <c r="C24" s="85">
        <f t="shared" ref="C24:C32" si="1">O9</f>
        <v>1419.7</v>
      </c>
    </row>
    <row r="25" spans="2:16" ht="18" customHeight="1">
      <c r="B25" s="84">
        <f t="shared" si="0"/>
        <v>2011</v>
      </c>
      <c r="C25" s="85">
        <f t="shared" si="1"/>
        <v>1943.4</v>
      </c>
    </row>
    <row r="26" spans="2:16" ht="18" customHeight="1">
      <c r="B26" s="84">
        <f t="shared" si="0"/>
        <v>2012</v>
      </c>
      <c r="C26" s="85">
        <f t="shared" si="1"/>
        <v>1409.5</v>
      </c>
    </row>
    <row r="27" spans="2:16" ht="18" customHeight="1">
      <c r="B27" s="84">
        <f t="shared" si="0"/>
        <v>2013</v>
      </c>
      <c r="C27" s="85">
        <f t="shared" si="1"/>
        <v>1120.9000000000001</v>
      </c>
    </row>
    <row r="28" spans="2:16" ht="18" customHeight="1">
      <c r="B28" s="84">
        <f t="shared" si="0"/>
        <v>2014</v>
      </c>
      <c r="C28" s="85">
        <f t="shared" si="1"/>
        <v>1117.9000000000001</v>
      </c>
    </row>
    <row r="29" spans="2:16" ht="18" customHeight="1">
      <c r="B29" s="84">
        <f t="shared" si="0"/>
        <v>2015</v>
      </c>
      <c r="C29" s="85">
        <f t="shared" si="1"/>
        <v>822.6</v>
      </c>
    </row>
    <row r="30" spans="2:16" ht="18" customHeight="1">
      <c r="B30" s="84">
        <f t="shared" si="0"/>
        <v>2016</v>
      </c>
      <c r="C30" s="85">
        <f t="shared" si="1"/>
        <v>1228.4000000000001</v>
      </c>
    </row>
    <row r="31" spans="2:16" ht="18" customHeight="1">
      <c r="B31" s="84">
        <f t="shared" si="0"/>
        <v>2017</v>
      </c>
      <c r="C31" s="85">
        <f t="shared" si="1"/>
        <v>1127.5</v>
      </c>
    </row>
    <row r="32" spans="2:16" ht="18" customHeight="1">
      <c r="B32" s="84">
        <f t="shared" si="0"/>
        <v>2018</v>
      </c>
      <c r="C32" s="85">
        <f t="shared" si="1"/>
        <v>1542.1</v>
      </c>
    </row>
    <row r="33" spans="2:3" ht="18" customHeight="1" thickBot="1">
      <c r="B33" s="86" t="s">
        <v>18</v>
      </c>
      <c r="C33" s="87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O4" sqref="O4"/>
    </sheetView>
  </sheetViews>
  <sheetFormatPr defaultColWidth="8.88671875" defaultRowHeight="16.5"/>
  <cols>
    <col min="1" max="2" width="8.88671875" style="31"/>
    <col min="3" max="14" width="9" style="31" bestFit="1" customWidth="1"/>
    <col min="15" max="15" width="9.33203125" style="31" bestFit="1" customWidth="1"/>
    <col min="16" max="16" width="9" style="31" bestFit="1" customWidth="1"/>
    <col min="17" max="16384" width="8.88671875" style="31"/>
  </cols>
  <sheetData>
    <row r="1" spans="2:15">
      <c r="B1" s="31" t="s">
        <v>19</v>
      </c>
    </row>
    <row r="2" spans="2:15" ht="17.25" thickBot="1"/>
    <row r="3" spans="2:15" s="33" customFormat="1">
      <c r="B3" s="82"/>
      <c r="C3" s="88" t="s">
        <v>20</v>
      </c>
      <c r="D3" s="88" t="s">
        <v>21</v>
      </c>
      <c r="E3" s="88" t="s">
        <v>22</v>
      </c>
      <c r="F3" s="88" t="s">
        <v>23</v>
      </c>
      <c r="G3" s="88" t="s">
        <v>24</v>
      </c>
      <c r="H3" s="88" t="s">
        <v>6</v>
      </c>
      <c r="I3" s="88" t="s">
        <v>7</v>
      </c>
      <c r="J3" s="88" t="s">
        <v>8</v>
      </c>
      <c r="K3" s="88" t="s">
        <v>9</v>
      </c>
      <c r="L3" s="88" t="s">
        <v>10</v>
      </c>
      <c r="M3" s="88" t="s">
        <v>11</v>
      </c>
      <c r="N3" s="88" t="s">
        <v>12</v>
      </c>
      <c r="O3" s="89" t="s">
        <v>18</v>
      </c>
    </row>
    <row r="4" spans="2:15" ht="17.25" thickBot="1">
      <c r="B4" s="90" t="s">
        <v>18</v>
      </c>
      <c r="C4" s="91">
        <f>'30Year'!C56</f>
        <v>21.7</v>
      </c>
      <c r="D4" s="91">
        <f>'30Year'!D56</f>
        <v>37.4</v>
      </c>
      <c r="E4" s="91">
        <f>'30Year'!E56</f>
        <v>55.9</v>
      </c>
      <c r="F4" s="91">
        <f>'30Year'!F56</f>
        <v>89</v>
      </c>
      <c r="G4" s="91">
        <f>'30Year'!G56</f>
        <v>82.7</v>
      </c>
      <c r="H4" s="91">
        <f>'30Year'!H56</f>
        <v>124.2</v>
      </c>
      <c r="I4" s="91">
        <f>'30Year'!I56</f>
        <v>308.8</v>
      </c>
      <c r="J4" s="91">
        <f>'30Year'!J56</f>
        <v>258.8</v>
      </c>
      <c r="K4" s="91">
        <f>'30Year'!K56</f>
        <v>137</v>
      </c>
      <c r="L4" s="91">
        <f>'30Year'!L56</f>
        <v>72.900000000000006</v>
      </c>
      <c r="M4" s="91">
        <f>'30Year'!M56</f>
        <v>55.7</v>
      </c>
      <c r="N4" s="91">
        <f>'30Year'!N56</f>
        <v>38.1</v>
      </c>
      <c r="O4" s="92">
        <f>'30Year'!P56</f>
        <v>106.9</v>
      </c>
    </row>
  </sheetData>
  <phoneticPr fontId="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6F43E-4E40-438B-8565-20CE0BE51231}">
  <sheetPr codeName="Sheet1"/>
  <dimension ref="C2:N13"/>
  <sheetViews>
    <sheetView workbookViewId="0">
      <selection activeCell="N4" sqref="N4"/>
    </sheetView>
  </sheetViews>
  <sheetFormatPr defaultRowHeight="18" customHeight="1"/>
  <cols>
    <col min="2" max="2" width="14.109375" customWidth="1"/>
    <col min="3" max="3" width="21.5546875" bestFit="1" customWidth="1"/>
    <col min="4" max="4" width="20.21875" customWidth="1"/>
  </cols>
  <sheetData>
    <row r="2" spans="3:14" ht="18" customHeight="1">
      <c r="C2" t="s">
        <v>71</v>
      </c>
      <c r="D2" t="s">
        <v>72</v>
      </c>
      <c r="E2" t="s">
        <v>73</v>
      </c>
    </row>
    <row r="3" spans="3:14" ht="18" customHeight="1">
      <c r="C3" t="s">
        <v>74</v>
      </c>
    </row>
    <row r="4" spans="3:14" ht="18" customHeight="1">
      <c r="C4" t="s">
        <v>75</v>
      </c>
    </row>
    <row r="13" spans="3:14" ht="18" customHeight="1">
      <c r="C13" s="115">
        <v>10.199999999999999</v>
      </c>
      <c r="D13" s="115">
        <v>5.0999999999999996</v>
      </c>
      <c r="E13" s="115">
        <v>56.7</v>
      </c>
      <c r="F13" s="115">
        <v>60.4</v>
      </c>
      <c r="G13" s="115">
        <v>58.5</v>
      </c>
      <c r="H13" s="115">
        <v>62.4</v>
      </c>
      <c r="I13" s="115">
        <v>443.9</v>
      </c>
      <c r="J13" s="115">
        <v>154.19999999999999</v>
      </c>
      <c r="K13" s="115">
        <v>18.899999999999999</v>
      </c>
      <c r="L13" s="115">
        <v>2.1</v>
      </c>
      <c r="M13" s="115">
        <v>18.7</v>
      </c>
      <c r="N13" s="115">
        <v>29.8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63</v>
      </c>
      <c r="B2" s="15" t="s">
        <v>59</v>
      </c>
      <c r="D2" s="14" t="s">
        <v>62</v>
      </c>
      <c r="E2" s="16" t="s">
        <v>60</v>
      </c>
      <c r="G2" s="14" t="s">
        <v>61</v>
      </c>
    </row>
    <row r="3" spans="1:8">
      <c r="A3" s="5" t="s">
        <v>35</v>
      </c>
    </row>
    <row r="4" spans="1:8" s="10" customFormat="1">
      <c r="A4" s="9" t="s">
        <v>46</v>
      </c>
      <c r="B4" s="17">
        <v>2</v>
      </c>
      <c r="D4" s="9" t="s">
        <v>48</v>
      </c>
      <c r="E4" s="21">
        <v>10</v>
      </c>
      <c r="G4" s="9" t="s">
        <v>64</v>
      </c>
      <c r="H4" s="25">
        <v>1</v>
      </c>
    </row>
    <row r="5" spans="1:8">
      <c r="A5" s="7" t="s">
        <v>37</v>
      </c>
      <c r="B5" s="18">
        <v>3</v>
      </c>
      <c r="D5" s="7" t="s">
        <v>49</v>
      </c>
      <c r="E5" s="22">
        <v>10</v>
      </c>
      <c r="G5" s="7" t="s">
        <v>65</v>
      </c>
      <c r="H5" s="26">
        <v>3</v>
      </c>
    </row>
    <row r="6" spans="1:8" s="10" customFormat="1">
      <c r="A6" s="11" t="s">
        <v>38</v>
      </c>
      <c r="B6" s="19">
        <v>4</v>
      </c>
      <c r="D6" s="11" t="s">
        <v>50</v>
      </c>
      <c r="E6" s="23">
        <v>9</v>
      </c>
      <c r="G6" s="11" t="s">
        <v>36</v>
      </c>
      <c r="H6" s="27">
        <v>3</v>
      </c>
    </row>
    <row r="7" spans="1:8">
      <c r="A7" s="7" t="s">
        <v>39</v>
      </c>
      <c r="B7" s="18">
        <v>5</v>
      </c>
      <c r="D7" s="7" t="s">
        <v>51</v>
      </c>
      <c r="E7" s="22">
        <v>8</v>
      </c>
      <c r="G7" s="7" t="s">
        <v>41</v>
      </c>
      <c r="H7" s="26">
        <v>6</v>
      </c>
    </row>
    <row r="8" spans="1:8" s="10" customFormat="1">
      <c r="A8" s="11" t="s">
        <v>40</v>
      </c>
      <c r="B8" s="19">
        <v>6</v>
      </c>
      <c r="D8" s="11" t="s">
        <v>52</v>
      </c>
      <c r="E8" s="23">
        <v>7</v>
      </c>
      <c r="G8" s="11" t="s">
        <v>66</v>
      </c>
      <c r="H8" s="27">
        <v>6</v>
      </c>
    </row>
    <row r="9" spans="1:8">
      <c r="A9" s="7" t="s">
        <v>47</v>
      </c>
      <c r="B9" s="18">
        <v>6</v>
      </c>
      <c r="D9" s="7" t="s">
        <v>53</v>
      </c>
      <c r="E9" s="22">
        <v>6</v>
      </c>
      <c r="G9" s="7" t="s">
        <v>67</v>
      </c>
      <c r="H9" s="26">
        <v>6</v>
      </c>
    </row>
    <row r="10" spans="1:8" s="10" customFormat="1">
      <c r="A10" s="11" t="s">
        <v>45</v>
      </c>
      <c r="B10" s="19">
        <v>6</v>
      </c>
      <c r="D10" s="11" t="s">
        <v>54</v>
      </c>
      <c r="E10" s="23">
        <v>5</v>
      </c>
      <c r="G10" s="11" t="s">
        <v>68</v>
      </c>
      <c r="H10" s="27">
        <v>6</v>
      </c>
    </row>
    <row r="11" spans="1:8">
      <c r="A11" s="7" t="s">
        <v>42</v>
      </c>
      <c r="B11" s="18">
        <v>8</v>
      </c>
      <c r="D11" s="7" t="s">
        <v>55</v>
      </c>
      <c r="E11" s="22">
        <v>4</v>
      </c>
      <c r="G11" s="7" t="s">
        <v>37</v>
      </c>
      <c r="H11" s="26">
        <v>4</v>
      </c>
    </row>
    <row r="12" spans="1:8" s="10" customFormat="1">
      <c r="A12" s="11" t="s">
        <v>43</v>
      </c>
      <c r="B12" s="19">
        <v>9</v>
      </c>
      <c r="D12" s="11" t="s">
        <v>56</v>
      </c>
      <c r="E12" s="23">
        <v>3</v>
      </c>
      <c r="G12" s="11" t="s">
        <v>42</v>
      </c>
      <c r="H12" s="27">
        <v>8</v>
      </c>
    </row>
    <row r="13" spans="1:8">
      <c r="A13" s="8" t="s">
        <v>44</v>
      </c>
      <c r="B13" s="20">
        <v>10</v>
      </c>
      <c r="D13" s="7" t="s">
        <v>57</v>
      </c>
      <c r="E13" s="22">
        <v>2</v>
      </c>
      <c r="G13" s="7" t="s">
        <v>43</v>
      </c>
      <c r="H13" s="26">
        <v>9</v>
      </c>
    </row>
    <row r="14" spans="1:8" s="10" customFormat="1">
      <c r="B14" s="12"/>
      <c r="D14" s="13" t="s">
        <v>58</v>
      </c>
      <c r="E14" s="24">
        <v>1</v>
      </c>
      <c r="G14" s="13" t="s">
        <v>44</v>
      </c>
      <c r="H14" s="28"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30Year</vt:lpstr>
      <vt:lpstr>30</vt:lpstr>
      <vt:lpstr>AreaCode</vt:lpstr>
      <vt:lpstr>Y</vt:lpstr>
      <vt:lpstr>M</vt:lpstr>
      <vt:lpstr>GPS</vt:lpstr>
      <vt:lpstr>drastic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2021-07-20T09:15:33Z</dcterms:modified>
</cp:coreProperties>
</file>