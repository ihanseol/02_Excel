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6767160C-ABF6-4569-9C52-564E63F928A0}" xr6:coauthVersionLast="47" xr6:coauthVersionMax="47" xr10:uidLastSave="{00000000-0000-0000-0000-000000000000}"/>
  <bookViews>
    <workbookView xWindow="8055" yWindow="915" windowWidth="29355" windowHeight="19800" tabRatio="526" activeTab="7" xr2:uid="{00000000-000D-0000-FFFF-FFFF00000000}"/>
  </bookViews>
  <sheets>
    <sheet name="보은" sheetId="159" r:id="rId1"/>
    <sheet name="천안" sheetId="157" r:id="rId2"/>
    <sheet name="부여" sheetId="153" r:id="rId3"/>
    <sheet name="보령" sheetId="152" r:id="rId4"/>
    <sheet name="금산" sheetId="151" r:id="rId5"/>
    <sheet name="대전" sheetId="150" r:id="rId6"/>
    <sheet name="서산" sheetId="149" r:id="rId7"/>
    <sheet name="main" sheetId="103" r:id="rId8"/>
    <sheet name="AREA" sheetId="143" state="hidden" r:id="rId9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0">tblLocation[Area]</definedName>
    <definedName name="CategoryA_Area" localSheetId="2">tblLocation[Area]</definedName>
    <definedName name="CategoryA_Area" localSheetId="6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59" l="1"/>
  <c r="M53" i="159"/>
  <c r="L53" i="159"/>
  <c r="K53" i="159"/>
  <c r="J53" i="159"/>
  <c r="I53" i="159"/>
  <c r="H53" i="159"/>
  <c r="G53" i="159"/>
  <c r="F53" i="159"/>
  <c r="E53" i="159"/>
  <c r="D53" i="159"/>
  <c r="C53" i="159"/>
  <c r="B53" i="159"/>
  <c r="N52" i="159"/>
  <c r="M52" i="159"/>
  <c r="L52" i="159"/>
  <c r="K52" i="159"/>
  <c r="J52" i="159"/>
  <c r="I52" i="159"/>
  <c r="H52" i="159"/>
  <c r="G52" i="159"/>
  <c r="F52" i="159"/>
  <c r="E52" i="159"/>
  <c r="D52" i="159"/>
  <c r="C52" i="159"/>
  <c r="B52" i="159"/>
  <c r="N51" i="159"/>
  <c r="M51" i="159"/>
  <c r="L51" i="159"/>
  <c r="K51" i="159"/>
  <c r="J51" i="159"/>
  <c r="I51" i="159"/>
  <c r="H51" i="159"/>
  <c r="G51" i="159"/>
  <c r="F51" i="159"/>
  <c r="E51" i="159"/>
  <c r="D51" i="159"/>
  <c r="C51" i="159"/>
  <c r="B51" i="159"/>
  <c r="N50" i="159"/>
  <c r="M50" i="159"/>
  <c r="L50" i="159"/>
  <c r="K50" i="159"/>
  <c r="J50" i="159"/>
  <c r="I50" i="159"/>
  <c r="H50" i="159"/>
  <c r="G50" i="159"/>
  <c r="F50" i="159"/>
  <c r="E50" i="159"/>
  <c r="D50" i="159"/>
  <c r="C50" i="159"/>
  <c r="B50" i="159"/>
  <c r="N49" i="159"/>
  <c r="M49" i="159"/>
  <c r="L49" i="159"/>
  <c r="K49" i="159"/>
  <c r="J49" i="159"/>
  <c r="I49" i="159"/>
  <c r="H49" i="159"/>
  <c r="G49" i="159"/>
  <c r="F49" i="159"/>
  <c r="E49" i="159"/>
  <c r="D49" i="159"/>
  <c r="C49" i="159"/>
  <c r="O49" i="159" s="1"/>
  <c r="P49" i="159" s="1"/>
  <c r="B49" i="159"/>
  <c r="N48" i="159"/>
  <c r="M48" i="159"/>
  <c r="L48" i="159"/>
  <c r="K48" i="159"/>
  <c r="J48" i="159"/>
  <c r="I48" i="159"/>
  <c r="H48" i="159"/>
  <c r="G48" i="159"/>
  <c r="F48" i="159"/>
  <c r="E48" i="159"/>
  <c r="D48" i="159"/>
  <c r="C48" i="159"/>
  <c r="B48" i="159"/>
  <c r="N47" i="159"/>
  <c r="M47" i="159"/>
  <c r="L47" i="159"/>
  <c r="K47" i="159"/>
  <c r="J47" i="159"/>
  <c r="I47" i="159"/>
  <c r="H47" i="159"/>
  <c r="G47" i="159"/>
  <c r="F47" i="159"/>
  <c r="E47" i="159"/>
  <c r="D47" i="159"/>
  <c r="C47" i="159"/>
  <c r="B47" i="159"/>
  <c r="N46" i="159"/>
  <c r="M46" i="159"/>
  <c r="L46" i="159"/>
  <c r="K46" i="159"/>
  <c r="J46" i="159"/>
  <c r="I46" i="159"/>
  <c r="H46" i="159"/>
  <c r="G46" i="159"/>
  <c r="F46" i="159"/>
  <c r="E46" i="159"/>
  <c r="D46" i="159"/>
  <c r="C46" i="159"/>
  <c r="B46" i="159"/>
  <c r="N45" i="159"/>
  <c r="M45" i="159"/>
  <c r="L45" i="159"/>
  <c r="K45" i="159"/>
  <c r="J45" i="159"/>
  <c r="I45" i="159"/>
  <c r="H45" i="159"/>
  <c r="G45" i="159"/>
  <c r="F45" i="159"/>
  <c r="E45" i="159"/>
  <c r="D45" i="159"/>
  <c r="C45" i="159"/>
  <c r="B45" i="159"/>
  <c r="N44" i="159"/>
  <c r="M44" i="159"/>
  <c r="L44" i="159"/>
  <c r="K44" i="159"/>
  <c r="J44" i="159"/>
  <c r="I44" i="159"/>
  <c r="H44" i="159"/>
  <c r="G44" i="159"/>
  <c r="F44" i="159"/>
  <c r="E44" i="159"/>
  <c r="D44" i="159"/>
  <c r="C44" i="159"/>
  <c r="B44" i="159"/>
  <c r="N38" i="159"/>
  <c r="M38" i="159"/>
  <c r="L38" i="159"/>
  <c r="K38" i="159"/>
  <c r="J38" i="159"/>
  <c r="I38" i="159"/>
  <c r="H38" i="159"/>
  <c r="G38" i="159"/>
  <c r="F38" i="159"/>
  <c r="E38" i="159"/>
  <c r="D38" i="159"/>
  <c r="C38" i="159"/>
  <c r="N37" i="159"/>
  <c r="M37" i="159"/>
  <c r="L37" i="159"/>
  <c r="K37" i="159"/>
  <c r="J37" i="159"/>
  <c r="I37" i="159"/>
  <c r="H37" i="159"/>
  <c r="G37" i="159"/>
  <c r="F37" i="159"/>
  <c r="E37" i="159"/>
  <c r="D37" i="159"/>
  <c r="C37" i="159"/>
  <c r="N36" i="159"/>
  <c r="M36" i="159"/>
  <c r="L36" i="159"/>
  <c r="K36" i="159"/>
  <c r="J36" i="159"/>
  <c r="I36" i="159"/>
  <c r="H36" i="159"/>
  <c r="G36" i="159"/>
  <c r="F36" i="159"/>
  <c r="E36" i="159"/>
  <c r="D36" i="159"/>
  <c r="C36" i="159"/>
  <c r="O35" i="159"/>
  <c r="P35" i="159" s="1"/>
  <c r="O34" i="159"/>
  <c r="P34" i="159" s="1"/>
  <c r="O33" i="159"/>
  <c r="P33" i="159" s="1"/>
  <c r="O32" i="159"/>
  <c r="P32" i="159" s="1"/>
  <c r="O31" i="159"/>
  <c r="P31" i="159" s="1"/>
  <c r="O30" i="159"/>
  <c r="P30" i="159" s="1"/>
  <c r="O29" i="159"/>
  <c r="P29" i="159" s="1"/>
  <c r="O28" i="159"/>
  <c r="P28" i="159" s="1"/>
  <c r="O27" i="159"/>
  <c r="P27" i="159" s="1"/>
  <c r="O26" i="159"/>
  <c r="P26" i="159" s="1"/>
  <c r="O25" i="159"/>
  <c r="P25" i="159" s="1"/>
  <c r="O24" i="159"/>
  <c r="P24" i="159" s="1"/>
  <c r="O23" i="159"/>
  <c r="P23" i="159" s="1"/>
  <c r="O22" i="159"/>
  <c r="P22" i="159" s="1"/>
  <c r="O21" i="159"/>
  <c r="P21" i="159" s="1"/>
  <c r="O20" i="159"/>
  <c r="P20" i="159" s="1"/>
  <c r="O19" i="159"/>
  <c r="P19" i="159" s="1"/>
  <c r="O18" i="159"/>
  <c r="P18" i="159" s="1"/>
  <c r="O17" i="159"/>
  <c r="P17" i="159" s="1"/>
  <c r="O16" i="159"/>
  <c r="P16" i="159" s="1"/>
  <c r="O15" i="159"/>
  <c r="P15" i="159" s="1"/>
  <c r="O14" i="159"/>
  <c r="P14" i="159" s="1"/>
  <c r="O13" i="159"/>
  <c r="P13" i="159" s="1"/>
  <c r="O12" i="159"/>
  <c r="P12" i="159" s="1"/>
  <c r="O11" i="159"/>
  <c r="P11" i="159" s="1"/>
  <c r="O10" i="159"/>
  <c r="O9" i="159"/>
  <c r="P9" i="159" s="1"/>
  <c r="O8" i="159"/>
  <c r="P8" i="159" s="1"/>
  <c r="O7" i="159"/>
  <c r="P7" i="159" s="1"/>
  <c r="O6" i="159"/>
  <c r="R9" i="103"/>
  <c r="S10" i="103"/>
  <c r="M56" i="159" l="1"/>
  <c r="N56" i="159"/>
  <c r="O51" i="159"/>
  <c r="P51" i="159" s="1"/>
  <c r="O50" i="159"/>
  <c r="P50" i="159" s="1"/>
  <c r="I55" i="159"/>
  <c r="J55" i="159"/>
  <c r="O48" i="159"/>
  <c r="P48" i="159" s="1"/>
  <c r="O47" i="159"/>
  <c r="P47" i="159" s="1"/>
  <c r="K55" i="159"/>
  <c r="L55" i="159"/>
  <c r="M54" i="159"/>
  <c r="C55" i="159"/>
  <c r="N54" i="159"/>
  <c r="O38" i="159"/>
  <c r="D55" i="159"/>
  <c r="E55" i="159"/>
  <c r="O46" i="159"/>
  <c r="P46" i="159" s="1"/>
  <c r="F55" i="159"/>
  <c r="G56" i="159"/>
  <c r="O37" i="159"/>
  <c r="H56" i="159"/>
  <c r="O53" i="159"/>
  <c r="P53" i="159" s="1"/>
  <c r="I56" i="159"/>
  <c r="J54" i="159"/>
  <c r="K54" i="159"/>
  <c r="O52" i="159"/>
  <c r="P52" i="159" s="1"/>
  <c r="L56" i="159"/>
  <c r="G55" i="159"/>
  <c r="P10" i="159"/>
  <c r="H55" i="159"/>
  <c r="O45" i="159"/>
  <c r="P45" i="159" s="1"/>
  <c r="N55" i="159"/>
  <c r="E54" i="159"/>
  <c r="F54" i="159"/>
  <c r="G54" i="159"/>
  <c r="C56" i="159"/>
  <c r="H54" i="159"/>
  <c r="D56" i="159"/>
  <c r="I54" i="159"/>
  <c r="E56" i="159"/>
  <c r="C54" i="159"/>
  <c r="F56" i="159"/>
  <c r="P6" i="159"/>
  <c r="L54" i="159"/>
  <c r="J56" i="159"/>
  <c r="O36" i="159"/>
  <c r="K56" i="159"/>
  <c r="M55" i="159"/>
  <c r="D54" i="159"/>
  <c r="O44" i="159"/>
  <c r="N53" i="157"/>
  <c r="M53" i="157"/>
  <c r="L53" i="157"/>
  <c r="K53" i="157"/>
  <c r="J53" i="157"/>
  <c r="I53" i="157"/>
  <c r="H53" i="157"/>
  <c r="G53" i="157"/>
  <c r="F53" i="157"/>
  <c r="E53" i="157"/>
  <c r="D53" i="157"/>
  <c r="C53" i="157"/>
  <c r="B53" i="157"/>
  <c r="N52" i="157"/>
  <c r="M52" i="157"/>
  <c r="L52" i="157"/>
  <c r="K52" i="157"/>
  <c r="J52" i="157"/>
  <c r="I52" i="157"/>
  <c r="H52" i="157"/>
  <c r="G52" i="157"/>
  <c r="F52" i="157"/>
  <c r="E52" i="157"/>
  <c r="D52" i="157"/>
  <c r="C52" i="157"/>
  <c r="B52" i="157"/>
  <c r="N51" i="157"/>
  <c r="M51" i="157"/>
  <c r="L51" i="157"/>
  <c r="K51" i="157"/>
  <c r="J51" i="157"/>
  <c r="I51" i="157"/>
  <c r="H51" i="157"/>
  <c r="G51" i="157"/>
  <c r="F51" i="157"/>
  <c r="E51" i="157"/>
  <c r="D51" i="157"/>
  <c r="C51" i="157"/>
  <c r="B51" i="157"/>
  <c r="N50" i="157"/>
  <c r="M50" i="157"/>
  <c r="L50" i="157"/>
  <c r="K50" i="157"/>
  <c r="J50" i="157"/>
  <c r="I50" i="157"/>
  <c r="H50" i="157"/>
  <c r="G50" i="157"/>
  <c r="F50" i="157"/>
  <c r="E50" i="157"/>
  <c r="D50" i="157"/>
  <c r="C50" i="157"/>
  <c r="B50" i="157"/>
  <c r="N49" i="157"/>
  <c r="M49" i="157"/>
  <c r="L49" i="157"/>
  <c r="K49" i="157"/>
  <c r="J49" i="157"/>
  <c r="I49" i="157"/>
  <c r="H49" i="157"/>
  <c r="G49" i="157"/>
  <c r="F49" i="157"/>
  <c r="E49" i="157"/>
  <c r="D49" i="157"/>
  <c r="C49" i="157"/>
  <c r="B49" i="157"/>
  <c r="N48" i="157"/>
  <c r="M48" i="157"/>
  <c r="L48" i="157"/>
  <c r="K48" i="157"/>
  <c r="J48" i="157"/>
  <c r="I48" i="157"/>
  <c r="H48" i="157"/>
  <c r="G48" i="157"/>
  <c r="F48" i="157"/>
  <c r="E48" i="157"/>
  <c r="D48" i="157"/>
  <c r="C48" i="157"/>
  <c r="O48" i="157" s="1"/>
  <c r="P48" i="157" s="1"/>
  <c r="B48" i="157"/>
  <c r="N47" i="157"/>
  <c r="M47" i="157"/>
  <c r="L47" i="157"/>
  <c r="K47" i="157"/>
  <c r="J47" i="157"/>
  <c r="I47" i="157"/>
  <c r="H47" i="157"/>
  <c r="G47" i="157"/>
  <c r="F47" i="157"/>
  <c r="E47" i="157"/>
  <c r="D47" i="157"/>
  <c r="C47" i="157"/>
  <c r="B47" i="157"/>
  <c r="N46" i="157"/>
  <c r="M46" i="157"/>
  <c r="L46" i="157"/>
  <c r="K46" i="157"/>
  <c r="J46" i="157"/>
  <c r="I46" i="157"/>
  <c r="H46" i="157"/>
  <c r="G46" i="157"/>
  <c r="F46" i="157"/>
  <c r="E46" i="157"/>
  <c r="D46" i="157"/>
  <c r="C46" i="157"/>
  <c r="B46" i="157"/>
  <c r="N45" i="157"/>
  <c r="M45" i="157"/>
  <c r="L45" i="157"/>
  <c r="K45" i="157"/>
  <c r="J45" i="157"/>
  <c r="I45" i="157"/>
  <c r="H45" i="157"/>
  <c r="G45" i="157"/>
  <c r="F45" i="157"/>
  <c r="E45" i="157"/>
  <c r="D45" i="157"/>
  <c r="C45" i="157"/>
  <c r="B45" i="157"/>
  <c r="N44" i="157"/>
  <c r="M44" i="157"/>
  <c r="L44" i="157"/>
  <c r="K44" i="157"/>
  <c r="J44" i="157"/>
  <c r="I44" i="157"/>
  <c r="H44" i="157"/>
  <c r="G44" i="157"/>
  <c r="F44" i="157"/>
  <c r="E44" i="157"/>
  <c r="D44" i="157"/>
  <c r="C44" i="157"/>
  <c r="B44" i="157"/>
  <c r="N38" i="157"/>
  <c r="M38" i="157"/>
  <c r="L38" i="157"/>
  <c r="K38" i="157"/>
  <c r="J38" i="157"/>
  <c r="I38" i="157"/>
  <c r="H38" i="157"/>
  <c r="G38" i="157"/>
  <c r="F38" i="157"/>
  <c r="E38" i="157"/>
  <c r="D38" i="157"/>
  <c r="C38" i="157"/>
  <c r="N37" i="157"/>
  <c r="M37" i="157"/>
  <c r="L37" i="157"/>
  <c r="K37" i="157"/>
  <c r="J37" i="157"/>
  <c r="I37" i="157"/>
  <c r="H37" i="157"/>
  <c r="G37" i="157"/>
  <c r="F37" i="157"/>
  <c r="E37" i="157"/>
  <c r="D37" i="157"/>
  <c r="C37" i="157"/>
  <c r="N36" i="157"/>
  <c r="M36" i="157"/>
  <c r="L36" i="157"/>
  <c r="K36" i="157"/>
  <c r="J36" i="157"/>
  <c r="I36" i="157"/>
  <c r="H36" i="157"/>
  <c r="G36" i="157"/>
  <c r="F36" i="157"/>
  <c r="E36" i="157"/>
  <c r="D36" i="157"/>
  <c r="C36" i="157"/>
  <c r="O35" i="157"/>
  <c r="P35" i="157" s="1"/>
  <c r="O34" i="157"/>
  <c r="P34" i="157" s="1"/>
  <c r="O33" i="157"/>
  <c r="P33" i="157" s="1"/>
  <c r="O32" i="157"/>
  <c r="P32" i="157" s="1"/>
  <c r="O31" i="157"/>
  <c r="P31" i="157" s="1"/>
  <c r="O30" i="157"/>
  <c r="P30" i="157" s="1"/>
  <c r="O29" i="157"/>
  <c r="P29" i="157" s="1"/>
  <c r="O28" i="157"/>
  <c r="P28" i="157" s="1"/>
  <c r="O27" i="157"/>
  <c r="P27" i="157" s="1"/>
  <c r="O26" i="157"/>
  <c r="P26" i="157" s="1"/>
  <c r="O25" i="157"/>
  <c r="P25" i="157" s="1"/>
  <c r="O24" i="157"/>
  <c r="P24" i="157" s="1"/>
  <c r="O23" i="157"/>
  <c r="P23" i="157" s="1"/>
  <c r="O22" i="157"/>
  <c r="P22" i="157" s="1"/>
  <c r="O21" i="157"/>
  <c r="P21" i="157" s="1"/>
  <c r="O20" i="157"/>
  <c r="P20" i="157" s="1"/>
  <c r="O19" i="157"/>
  <c r="P19" i="157" s="1"/>
  <c r="O18" i="157"/>
  <c r="P18" i="157" s="1"/>
  <c r="O17" i="157"/>
  <c r="P17" i="157" s="1"/>
  <c r="O16" i="157"/>
  <c r="P16" i="157" s="1"/>
  <c r="O15" i="157"/>
  <c r="P15" i="157" s="1"/>
  <c r="O14" i="157"/>
  <c r="P14" i="157" s="1"/>
  <c r="P13" i="157"/>
  <c r="O13" i="157"/>
  <c r="O12" i="157"/>
  <c r="P12" i="157" s="1"/>
  <c r="O11" i="157"/>
  <c r="P11" i="157" s="1"/>
  <c r="O10" i="157"/>
  <c r="P10" i="157" s="1"/>
  <c r="O9" i="157"/>
  <c r="P9" i="157" s="1"/>
  <c r="P8" i="157"/>
  <c r="O8" i="157"/>
  <c r="O7" i="157"/>
  <c r="P7" i="157" s="1"/>
  <c r="O6" i="157"/>
  <c r="P6" i="157" s="1"/>
  <c r="N53" i="153"/>
  <c r="M53" i="153"/>
  <c r="L53" i="153"/>
  <c r="K53" i="153"/>
  <c r="J53" i="153"/>
  <c r="I53" i="153"/>
  <c r="H53" i="153"/>
  <c r="G53" i="153"/>
  <c r="F53" i="153"/>
  <c r="E53" i="153"/>
  <c r="D53" i="153"/>
  <c r="C53" i="153"/>
  <c r="B53" i="153"/>
  <c r="N52" i="153"/>
  <c r="M52" i="153"/>
  <c r="L52" i="153"/>
  <c r="K52" i="153"/>
  <c r="J52" i="153"/>
  <c r="I52" i="153"/>
  <c r="H52" i="153"/>
  <c r="G52" i="153"/>
  <c r="F52" i="153"/>
  <c r="E52" i="153"/>
  <c r="D52" i="153"/>
  <c r="C52" i="153"/>
  <c r="B52" i="153"/>
  <c r="N51" i="153"/>
  <c r="M51" i="153"/>
  <c r="L51" i="153"/>
  <c r="K51" i="153"/>
  <c r="J51" i="153"/>
  <c r="I51" i="153"/>
  <c r="H51" i="153"/>
  <c r="G51" i="153"/>
  <c r="F51" i="153"/>
  <c r="E51" i="153"/>
  <c r="D51" i="153"/>
  <c r="C51" i="153"/>
  <c r="B51" i="153"/>
  <c r="N50" i="153"/>
  <c r="M50" i="153"/>
  <c r="L50" i="153"/>
  <c r="K50" i="153"/>
  <c r="J50" i="153"/>
  <c r="I50" i="153"/>
  <c r="H50" i="153"/>
  <c r="G50" i="153"/>
  <c r="F50" i="153"/>
  <c r="E50" i="153"/>
  <c r="D50" i="153"/>
  <c r="C50" i="153"/>
  <c r="B50" i="153"/>
  <c r="N49" i="153"/>
  <c r="M49" i="153"/>
  <c r="L49" i="153"/>
  <c r="K49" i="153"/>
  <c r="J49" i="153"/>
  <c r="I49" i="153"/>
  <c r="H49" i="153"/>
  <c r="G49" i="153"/>
  <c r="F49" i="153"/>
  <c r="E49" i="153"/>
  <c r="D49" i="153"/>
  <c r="C49" i="153"/>
  <c r="B49" i="153"/>
  <c r="N48" i="153"/>
  <c r="M48" i="153"/>
  <c r="L48" i="153"/>
  <c r="K48" i="153"/>
  <c r="J48" i="153"/>
  <c r="I48" i="153"/>
  <c r="H48" i="153"/>
  <c r="G48" i="153"/>
  <c r="F48" i="153"/>
  <c r="E48" i="153"/>
  <c r="D48" i="153"/>
  <c r="C48" i="153"/>
  <c r="B48" i="153"/>
  <c r="N47" i="153"/>
  <c r="M47" i="153"/>
  <c r="L47" i="153"/>
  <c r="K47" i="153"/>
  <c r="J47" i="153"/>
  <c r="I47" i="153"/>
  <c r="H47" i="153"/>
  <c r="G47" i="153"/>
  <c r="F47" i="153"/>
  <c r="E47" i="153"/>
  <c r="D47" i="153"/>
  <c r="C47" i="153"/>
  <c r="B47" i="153"/>
  <c r="N46" i="153"/>
  <c r="M46" i="153"/>
  <c r="L46" i="153"/>
  <c r="K46" i="153"/>
  <c r="J46" i="153"/>
  <c r="I46" i="153"/>
  <c r="H46" i="153"/>
  <c r="G46" i="153"/>
  <c r="F46" i="153"/>
  <c r="E46" i="153"/>
  <c r="D46" i="153"/>
  <c r="C46" i="153"/>
  <c r="B46" i="153"/>
  <c r="N45" i="153"/>
  <c r="M45" i="153"/>
  <c r="L45" i="153"/>
  <c r="K45" i="153"/>
  <c r="J45" i="153"/>
  <c r="I45" i="153"/>
  <c r="H45" i="153"/>
  <c r="G45" i="153"/>
  <c r="F45" i="153"/>
  <c r="E45" i="153"/>
  <c r="D45" i="153"/>
  <c r="C45" i="153"/>
  <c r="B45" i="153"/>
  <c r="N44" i="153"/>
  <c r="M44" i="153"/>
  <c r="L44" i="153"/>
  <c r="K44" i="153"/>
  <c r="J44" i="153"/>
  <c r="I44" i="153"/>
  <c r="H44" i="153"/>
  <c r="G44" i="153"/>
  <c r="F44" i="153"/>
  <c r="E44" i="153"/>
  <c r="D44" i="153"/>
  <c r="C44" i="153"/>
  <c r="B44" i="153"/>
  <c r="N38" i="153"/>
  <c r="M38" i="153"/>
  <c r="L38" i="153"/>
  <c r="K38" i="153"/>
  <c r="J38" i="153"/>
  <c r="I38" i="153"/>
  <c r="H38" i="153"/>
  <c r="G38" i="153"/>
  <c r="F38" i="153"/>
  <c r="E38" i="153"/>
  <c r="D38" i="153"/>
  <c r="C38" i="153"/>
  <c r="N37" i="153"/>
  <c r="M37" i="153"/>
  <c r="L37" i="153"/>
  <c r="K37" i="153"/>
  <c r="J37" i="153"/>
  <c r="I37" i="153"/>
  <c r="H37" i="153"/>
  <c r="G37" i="153"/>
  <c r="F37" i="153"/>
  <c r="E37" i="153"/>
  <c r="D37" i="153"/>
  <c r="C37" i="153"/>
  <c r="N36" i="153"/>
  <c r="M36" i="153"/>
  <c r="L36" i="153"/>
  <c r="K36" i="153"/>
  <c r="J36" i="153"/>
  <c r="I36" i="153"/>
  <c r="H36" i="153"/>
  <c r="G36" i="153"/>
  <c r="F36" i="153"/>
  <c r="E36" i="153"/>
  <c r="D36" i="153"/>
  <c r="C36" i="153"/>
  <c r="O35" i="153"/>
  <c r="P35" i="153" s="1"/>
  <c r="O34" i="153"/>
  <c r="P34" i="153" s="1"/>
  <c r="O33" i="153"/>
  <c r="P33" i="153" s="1"/>
  <c r="O32" i="153"/>
  <c r="P32" i="153" s="1"/>
  <c r="O31" i="153"/>
  <c r="P31" i="153" s="1"/>
  <c r="O30" i="153"/>
  <c r="P30" i="153" s="1"/>
  <c r="O29" i="153"/>
  <c r="P29" i="153" s="1"/>
  <c r="O28" i="153"/>
  <c r="P28" i="153" s="1"/>
  <c r="O27" i="153"/>
  <c r="P27" i="153" s="1"/>
  <c r="O26" i="153"/>
  <c r="P26" i="153" s="1"/>
  <c r="O25" i="153"/>
  <c r="P25" i="153" s="1"/>
  <c r="O24" i="153"/>
  <c r="P24" i="153" s="1"/>
  <c r="O23" i="153"/>
  <c r="P23" i="153" s="1"/>
  <c r="O22" i="153"/>
  <c r="P22" i="153" s="1"/>
  <c r="O21" i="153"/>
  <c r="P21" i="153" s="1"/>
  <c r="O20" i="153"/>
  <c r="P20" i="153" s="1"/>
  <c r="O19" i="153"/>
  <c r="P19" i="153" s="1"/>
  <c r="O18" i="153"/>
  <c r="P18" i="153" s="1"/>
  <c r="O17" i="153"/>
  <c r="P17" i="153" s="1"/>
  <c r="O16" i="153"/>
  <c r="P16" i="153" s="1"/>
  <c r="O15" i="153"/>
  <c r="P15" i="153" s="1"/>
  <c r="O14" i="153"/>
  <c r="P14" i="153" s="1"/>
  <c r="O13" i="153"/>
  <c r="P13" i="153" s="1"/>
  <c r="O12" i="153"/>
  <c r="P12" i="153" s="1"/>
  <c r="O11" i="153"/>
  <c r="P11" i="153" s="1"/>
  <c r="O10" i="153"/>
  <c r="P10" i="153" s="1"/>
  <c r="O9" i="153"/>
  <c r="P9" i="153" s="1"/>
  <c r="O8" i="153"/>
  <c r="P8" i="153" s="1"/>
  <c r="O7" i="153"/>
  <c r="P7" i="153" s="1"/>
  <c r="P6" i="153"/>
  <c r="O6" i="153"/>
  <c r="N53" i="152"/>
  <c r="M53" i="152"/>
  <c r="L53" i="152"/>
  <c r="K53" i="152"/>
  <c r="J53" i="152"/>
  <c r="I53" i="152"/>
  <c r="H53" i="152"/>
  <c r="G53" i="152"/>
  <c r="F53" i="152"/>
  <c r="E53" i="152"/>
  <c r="D53" i="152"/>
  <c r="C53" i="152"/>
  <c r="B53" i="152"/>
  <c r="N52" i="152"/>
  <c r="M52" i="152"/>
  <c r="L52" i="152"/>
  <c r="K52" i="152"/>
  <c r="J52" i="152"/>
  <c r="I52" i="152"/>
  <c r="H52" i="152"/>
  <c r="G52" i="152"/>
  <c r="F52" i="152"/>
  <c r="E52" i="152"/>
  <c r="D52" i="152"/>
  <c r="C52" i="152"/>
  <c r="O52" i="152" s="1"/>
  <c r="P52" i="152" s="1"/>
  <c r="B52" i="152"/>
  <c r="N51" i="152"/>
  <c r="M51" i="152"/>
  <c r="L51" i="152"/>
  <c r="K51" i="152"/>
  <c r="J51" i="152"/>
  <c r="I51" i="152"/>
  <c r="H51" i="152"/>
  <c r="G51" i="152"/>
  <c r="F51" i="152"/>
  <c r="E51" i="152"/>
  <c r="D51" i="152"/>
  <c r="C51" i="152"/>
  <c r="B51" i="152"/>
  <c r="N50" i="152"/>
  <c r="M50" i="152"/>
  <c r="L50" i="152"/>
  <c r="K50" i="152"/>
  <c r="J50" i="152"/>
  <c r="I50" i="152"/>
  <c r="H50" i="152"/>
  <c r="G50" i="152"/>
  <c r="F50" i="152"/>
  <c r="E50" i="152"/>
  <c r="D50" i="152"/>
  <c r="C50" i="152"/>
  <c r="B50" i="152"/>
  <c r="N49" i="152"/>
  <c r="M49" i="152"/>
  <c r="L49" i="152"/>
  <c r="K49" i="152"/>
  <c r="J49" i="152"/>
  <c r="I49" i="152"/>
  <c r="H49" i="152"/>
  <c r="G49" i="152"/>
  <c r="F49" i="152"/>
  <c r="E49" i="152"/>
  <c r="D49" i="152"/>
  <c r="C49" i="152"/>
  <c r="B49" i="152"/>
  <c r="N48" i="152"/>
  <c r="M48" i="152"/>
  <c r="L48" i="152"/>
  <c r="K48" i="152"/>
  <c r="J48" i="152"/>
  <c r="I48" i="152"/>
  <c r="H48" i="152"/>
  <c r="G48" i="152"/>
  <c r="F48" i="152"/>
  <c r="E48" i="152"/>
  <c r="D48" i="152"/>
  <c r="C48" i="152"/>
  <c r="B48" i="152"/>
  <c r="N47" i="152"/>
  <c r="M47" i="152"/>
  <c r="L47" i="152"/>
  <c r="K47" i="152"/>
  <c r="J47" i="152"/>
  <c r="I47" i="152"/>
  <c r="H47" i="152"/>
  <c r="G47" i="152"/>
  <c r="F47" i="152"/>
  <c r="E47" i="152"/>
  <c r="D47" i="152"/>
  <c r="C47" i="152"/>
  <c r="B47" i="152"/>
  <c r="N46" i="152"/>
  <c r="M46" i="152"/>
  <c r="L46" i="152"/>
  <c r="K46" i="152"/>
  <c r="J46" i="152"/>
  <c r="I46" i="152"/>
  <c r="H46" i="152"/>
  <c r="G46" i="152"/>
  <c r="F46" i="152"/>
  <c r="E46" i="152"/>
  <c r="D46" i="152"/>
  <c r="C46" i="152"/>
  <c r="B46" i="152"/>
  <c r="N45" i="152"/>
  <c r="M45" i="152"/>
  <c r="L45" i="152"/>
  <c r="K45" i="152"/>
  <c r="J45" i="152"/>
  <c r="I45" i="152"/>
  <c r="H45" i="152"/>
  <c r="G45" i="152"/>
  <c r="F45" i="152"/>
  <c r="E45" i="152"/>
  <c r="D45" i="152"/>
  <c r="C45" i="152"/>
  <c r="B45" i="152"/>
  <c r="N44" i="152"/>
  <c r="M44" i="152"/>
  <c r="L44" i="152"/>
  <c r="K44" i="152"/>
  <c r="J44" i="152"/>
  <c r="I44" i="152"/>
  <c r="H44" i="152"/>
  <c r="G44" i="152"/>
  <c r="F44" i="152"/>
  <c r="E44" i="152"/>
  <c r="D44" i="152"/>
  <c r="C44" i="152"/>
  <c r="B44" i="152"/>
  <c r="N38" i="152"/>
  <c r="M38" i="152"/>
  <c r="L38" i="152"/>
  <c r="K38" i="152"/>
  <c r="J38" i="152"/>
  <c r="I38" i="152"/>
  <c r="H38" i="152"/>
  <c r="G38" i="152"/>
  <c r="F38" i="152"/>
  <c r="E38" i="152"/>
  <c r="D38" i="152"/>
  <c r="C38" i="152"/>
  <c r="N37" i="152"/>
  <c r="M37" i="152"/>
  <c r="L37" i="152"/>
  <c r="K37" i="152"/>
  <c r="J37" i="152"/>
  <c r="I37" i="152"/>
  <c r="H37" i="152"/>
  <c r="G37" i="152"/>
  <c r="F37" i="152"/>
  <c r="E37" i="152"/>
  <c r="D37" i="152"/>
  <c r="C37" i="152"/>
  <c r="N36" i="152"/>
  <c r="M36" i="152"/>
  <c r="L36" i="152"/>
  <c r="K36" i="152"/>
  <c r="J36" i="152"/>
  <c r="I36" i="152"/>
  <c r="H36" i="152"/>
  <c r="G36" i="152"/>
  <c r="F36" i="152"/>
  <c r="E36" i="152"/>
  <c r="D36" i="152"/>
  <c r="C36" i="152"/>
  <c r="O35" i="152"/>
  <c r="P35" i="152" s="1"/>
  <c r="O34" i="152"/>
  <c r="P34" i="152" s="1"/>
  <c r="O33" i="152"/>
  <c r="P33" i="152" s="1"/>
  <c r="O32" i="152"/>
  <c r="P32" i="152" s="1"/>
  <c r="O31" i="152"/>
  <c r="P31" i="152" s="1"/>
  <c r="O30" i="152"/>
  <c r="P30" i="152" s="1"/>
  <c r="O29" i="152"/>
  <c r="P29" i="152" s="1"/>
  <c r="O28" i="152"/>
  <c r="P28" i="152" s="1"/>
  <c r="O27" i="152"/>
  <c r="P27" i="152" s="1"/>
  <c r="O26" i="152"/>
  <c r="P26" i="152" s="1"/>
  <c r="O25" i="152"/>
  <c r="P25" i="152" s="1"/>
  <c r="O24" i="152"/>
  <c r="P24" i="152" s="1"/>
  <c r="O23" i="152"/>
  <c r="P23" i="152" s="1"/>
  <c r="O22" i="152"/>
  <c r="P22" i="152" s="1"/>
  <c r="P21" i="152"/>
  <c r="O21" i="152"/>
  <c r="O20" i="152"/>
  <c r="P20" i="152" s="1"/>
  <c r="O19" i="152"/>
  <c r="P19" i="152" s="1"/>
  <c r="O18" i="152"/>
  <c r="P18" i="152" s="1"/>
  <c r="O17" i="152"/>
  <c r="P17" i="152" s="1"/>
  <c r="O16" i="152"/>
  <c r="P16" i="152" s="1"/>
  <c r="O15" i="152"/>
  <c r="P15" i="152" s="1"/>
  <c r="O14" i="152"/>
  <c r="P14" i="152" s="1"/>
  <c r="O13" i="152"/>
  <c r="P13" i="152" s="1"/>
  <c r="O12" i="152"/>
  <c r="P12" i="152" s="1"/>
  <c r="O11" i="152"/>
  <c r="P11" i="152" s="1"/>
  <c r="O10" i="152"/>
  <c r="P10" i="152" s="1"/>
  <c r="O9" i="152"/>
  <c r="P9" i="152" s="1"/>
  <c r="O8" i="152"/>
  <c r="P8" i="152" s="1"/>
  <c r="O7" i="152"/>
  <c r="P7" i="152" s="1"/>
  <c r="O6" i="152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B53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B52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B51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B50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B49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B48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B47" i="151"/>
  <c r="N46" i="151"/>
  <c r="M46" i="151"/>
  <c r="L46" i="151"/>
  <c r="K46" i="151"/>
  <c r="J46" i="151"/>
  <c r="I46" i="151"/>
  <c r="H46" i="151"/>
  <c r="G46" i="151"/>
  <c r="F46" i="151"/>
  <c r="F54" i="151" s="1"/>
  <c r="E46" i="151"/>
  <c r="D46" i="151"/>
  <c r="C46" i="151"/>
  <c r="B46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B45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B44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O35" i="151"/>
  <c r="P35" i="151" s="1"/>
  <c r="O34" i="151"/>
  <c r="P34" i="151" s="1"/>
  <c r="O33" i="151"/>
  <c r="P33" i="151" s="1"/>
  <c r="O32" i="151"/>
  <c r="P32" i="151" s="1"/>
  <c r="O31" i="151"/>
  <c r="P31" i="151" s="1"/>
  <c r="O30" i="151"/>
  <c r="P30" i="151" s="1"/>
  <c r="O29" i="151"/>
  <c r="P29" i="151" s="1"/>
  <c r="O28" i="151"/>
  <c r="P28" i="151" s="1"/>
  <c r="O27" i="151"/>
  <c r="P27" i="151" s="1"/>
  <c r="O26" i="151"/>
  <c r="P26" i="151" s="1"/>
  <c r="O25" i="151"/>
  <c r="P25" i="151" s="1"/>
  <c r="O24" i="151"/>
  <c r="P24" i="151" s="1"/>
  <c r="O23" i="151"/>
  <c r="P23" i="151" s="1"/>
  <c r="P22" i="151"/>
  <c r="O22" i="151"/>
  <c r="O21" i="151"/>
  <c r="P21" i="151" s="1"/>
  <c r="O20" i="151"/>
  <c r="P20" i="151" s="1"/>
  <c r="O19" i="151"/>
  <c r="P19" i="151" s="1"/>
  <c r="O18" i="151"/>
  <c r="P18" i="151" s="1"/>
  <c r="O17" i="151"/>
  <c r="P17" i="151" s="1"/>
  <c r="O16" i="151"/>
  <c r="P16" i="151" s="1"/>
  <c r="O15" i="151"/>
  <c r="P15" i="151" s="1"/>
  <c r="O14" i="151"/>
  <c r="P14" i="151" s="1"/>
  <c r="O13" i="151"/>
  <c r="P13" i="151" s="1"/>
  <c r="O12" i="151"/>
  <c r="P12" i="151" s="1"/>
  <c r="O11" i="151"/>
  <c r="P11" i="151" s="1"/>
  <c r="O10" i="151"/>
  <c r="P10" i="151" s="1"/>
  <c r="O9" i="151"/>
  <c r="P9" i="151" s="1"/>
  <c r="O8" i="151"/>
  <c r="P8" i="151" s="1"/>
  <c r="O7" i="151"/>
  <c r="P7" i="151" s="1"/>
  <c r="O6" i="151"/>
  <c r="N53" i="150"/>
  <c r="M53" i="150"/>
  <c r="L53" i="150"/>
  <c r="K53" i="150"/>
  <c r="J53" i="150"/>
  <c r="I53" i="150"/>
  <c r="H53" i="150"/>
  <c r="G53" i="150"/>
  <c r="F53" i="150"/>
  <c r="E53" i="150"/>
  <c r="D53" i="150"/>
  <c r="C53" i="150"/>
  <c r="B53" i="150"/>
  <c r="N52" i="150"/>
  <c r="M52" i="150"/>
  <c r="L52" i="150"/>
  <c r="K52" i="150"/>
  <c r="J52" i="150"/>
  <c r="I52" i="150"/>
  <c r="H52" i="150"/>
  <c r="G52" i="150"/>
  <c r="F52" i="150"/>
  <c r="E52" i="150"/>
  <c r="D52" i="150"/>
  <c r="C52" i="150"/>
  <c r="B52" i="150"/>
  <c r="N51" i="150"/>
  <c r="M51" i="150"/>
  <c r="L51" i="150"/>
  <c r="K51" i="150"/>
  <c r="J51" i="150"/>
  <c r="I51" i="150"/>
  <c r="H51" i="150"/>
  <c r="G51" i="150"/>
  <c r="F51" i="150"/>
  <c r="E51" i="150"/>
  <c r="D51" i="150"/>
  <c r="C51" i="150"/>
  <c r="B51" i="150"/>
  <c r="N50" i="150"/>
  <c r="M50" i="150"/>
  <c r="L50" i="150"/>
  <c r="K50" i="150"/>
  <c r="J50" i="150"/>
  <c r="I50" i="150"/>
  <c r="H50" i="150"/>
  <c r="G50" i="150"/>
  <c r="F50" i="150"/>
  <c r="E50" i="150"/>
  <c r="D50" i="150"/>
  <c r="C50" i="150"/>
  <c r="B50" i="150"/>
  <c r="N49" i="150"/>
  <c r="M49" i="150"/>
  <c r="L49" i="150"/>
  <c r="K49" i="150"/>
  <c r="J49" i="150"/>
  <c r="I49" i="150"/>
  <c r="H49" i="150"/>
  <c r="G49" i="150"/>
  <c r="F49" i="150"/>
  <c r="E49" i="150"/>
  <c r="D49" i="150"/>
  <c r="C49" i="150"/>
  <c r="B49" i="150"/>
  <c r="N48" i="150"/>
  <c r="M48" i="150"/>
  <c r="L48" i="150"/>
  <c r="K48" i="150"/>
  <c r="J48" i="150"/>
  <c r="I48" i="150"/>
  <c r="H48" i="150"/>
  <c r="G48" i="150"/>
  <c r="F48" i="150"/>
  <c r="E48" i="150"/>
  <c r="D48" i="150"/>
  <c r="C48" i="150"/>
  <c r="B48" i="150"/>
  <c r="N47" i="150"/>
  <c r="M47" i="150"/>
  <c r="L47" i="150"/>
  <c r="K47" i="150"/>
  <c r="J47" i="150"/>
  <c r="I47" i="150"/>
  <c r="H47" i="150"/>
  <c r="G47" i="150"/>
  <c r="F47" i="150"/>
  <c r="E47" i="150"/>
  <c r="D47" i="150"/>
  <c r="C47" i="150"/>
  <c r="B47" i="150"/>
  <c r="N46" i="150"/>
  <c r="M46" i="150"/>
  <c r="L46" i="150"/>
  <c r="K46" i="150"/>
  <c r="J46" i="150"/>
  <c r="I46" i="150"/>
  <c r="H46" i="150"/>
  <c r="G46" i="150"/>
  <c r="F46" i="150"/>
  <c r="E46" i="150"/>
  <c r="D46" i="150"/>
  <c r="C46" i="150"/>
  <c r="B46" i="150"/>
  <c r="N45" i="150"/>
  <c r="M45" i="150"/>
  <c r="L45" i="150"/>
  <c r="K45" i="150"/>
  <c r="J45" i="150"/>
  <c r="I45" i="150"/>
  <c r="H45" i="150"/>
  <c r="G45" i="150"/>
  <c r="F45" i="150"/>
  <c r="E45" i="150"/>
  <c r="D45" i="150"/>
  <c r="C45" i="150"/>
  <c r="B45" i="150"/>
  <c r="N44" i="150"/>
  <c r="M44" i="150"/>
  <c r="L44" i="150"/>
  <c r="K44" i="150"/>
  <c r="J44" i="150"/>
  <c r="I44" i="150"/>
  <c r="H44" i="150"/>
  <c r="G44" i="150"/>
  <c r="F44" i="150"/>
  <c r="E44" i="150"/>
  <c r="D44" i="150"/>
  <c r="C44" i="150"/>
  <c r="B44" i="150"/>
  <c r="N38" i="150"/>
  <c r="M38" i="150"/>
  <c r="L38" i="150"/>
  <c r="K38" i="150"/>
  <c r="J38" i="150"/>
  <c r="I38" i="150"/>
  <c r="H38" i="150"/>
  <c r="G38" i="150"/>
  <c r="F38" i="150"/>
  <c r="E38" i="150"/>
  <c r="D38" i="150"/>
  <c r="C38" i="150"/>
  <c r="N37" i="150"/>
  <c r="M37" i="150"/>
  <c r="L37" i="150"/>
  <c r="K37" i="150"/>
  <c r="J37" i="150"/>
  <c r="I37" i="150"/>
  <c r="H37" i="150"/>
  <c r="G37" i="150"/>
  <c r="F37" i="150"/>
  <c r="E37" i="150"/>
  <c r="D37" i="150"/>
  <c r="C37" i="150"/>
  <c r="N36" i="150"/>
  <c r="M36" i="150"/>
  <c r="L36" i="150"/>
  <c r="K36" i="150"/>
  <c r="J36" i="150"/>
  <c r="I36" i="150"/>
  <c r="H36" i="150"/>
  <c r="G36" i="150"/>
  <c r="F36" i="150"/>
  <c r="E36" i="150"/>
  <c r="D36" i="150"/>
  <c r="C36" i="150"/>
  <c r="O35" i="150"/>
  <c r="P35" i="150" s="1"/>
  <c r="O34" i="150"/>
  <c r="P34" i="150" s="1"/>
  <c r="O33" i="150"/>
  <c r="P33" i="150" s="1"/>
  <c r="O32" i="150"/>
  <c r="P32" i="150" s="1"/>
  <c r="O31" i="150"/>
  <c r="P31" i="150" s="1"/>
  <c r="O30" i="150"/>
  <c r="P30" i="150" s="1"/>
  <c r="O29" i="150"/>
  <c r="P29" i="150" s="1"/>
  <c r="O28" i="150"/>
  <c r="P28" i="150" s="1"/>
  <c r="O27" i="150"/>
  <c r="P27" i="150" s="1"/>
  <c r="O26" i="150"/>
  <c r="P26" i="150" s="1"/>
  <c r="O25" i="150"/>
  <c r="P25" i="150" s="1"/>
  <c r="O24" i="150"/>
  <c r="P24" i="150" s="1"/>
  <c r="O23" i="150"/>
  <c r="P23" i="150" s="1"/>
  <c r="O22" i="150"/>
  <c r="P22" i="150" s="1"/>
  <c r="O21" i="150"/>
  <c r="P21" i="150" s="1"/>
  <c r="O20" i="150"/>
  <c r="P20" i="150" s="1"/>
  <c r="O19" i="150"/>
  <c r="P19" i="150" s="1"/>
  <c r="O18" i="150"/>
  <c r="P18" i="150" s="1"/>
  <c r="O17" i="150"/>
  <c r="P17" i="150" s="1"/>
  <c r="O16" i="150"/>
  <c r="P16" i="150" s="1"/>
  <c r="O15" i="150"/>
  <c r="P15" i="150" s="1"/>
  <c r="O14" i="150"/>
  <c r="O13" i="150"/>
  <c r="P13" i="150" s="1"/>
  <c r="O12" i="150"/>
  <c r="P12" i="150" s="1"/>
  <c r="O11" i="150"/>
  <c r="P11" i="150" s="1"/>
  <c r="O10" i="150"/>
  <c r="P10" i="150" s="1"/>
  <c r="O9" i="150"/>
  <c r="P9" i="150" s="1"/>
  <c r="O8" i="150"/>
  <c r="P8" i="150" s="1"/>
  <c r="O7" i="150"/>
  <c r="P7" i="150" s="1"/>
  <c r="O6" i="150"/>
  <c r="N53" i="149"/>
  <c r="M53" i="149"/>
  <c r="L53" i="149"/>
  <c r="K53" i="149"/>
  <c r="J53" i="149"/>
  <c r="I53" i="149"/>
  <c r="H53" i="149"/>
  <c r="G53" i="149"/>
  <c r="F53" i="149"/>
  <c r="E53" i="149"/>
  <c r="D53" i="149"/>
  <c r="C53" i="149"/>
  <c r="B53" i="149"/>
  <c r="N52" i="149"/>
  <c r="M52" i="149"/>
  <c r="L52" i="149"/>
  <c r="K52" i="149"/>
  <c r="J52" i="149"/>
  <c r="I52" i="149"/>
  <c r="H52" i="149"/>
  <c r="G52" i="149"/>
  <c r="F52" i="149"/>
  <c r="E52" i="149"/>
  <c r="D52" i="149"/>
  <c r="C52" i="149"/>
  <c r="B52" i="149"/>
  <c r="N51" i="149"/>
  <c r="M51" i="149"/>
  <c r="L51" i="149"/>
  <c r="K51" i="149"/>
  <c r="J51" i="149"/>
  <c r="I51" i="149"/>
  <c r="H51" i="149"/>
  <c r="G51" i="149"/>
  <c r="F51" i="149"/>
  <c r="E51" i="149"/>
  <c r="D51" i="149"/>
  <c r="C51" i="149"/>
  <c r="B51" i="149"/>
  <c r="N50" i="149"/>
  <c r="M50" i="149"/>
  <c r="L50" i="149"/>
  <c r="K50" i="149"/>
  <c r="J50" i="149"/>
  <c r="I50" i="149"/>
  <c r="H50" i="149"/>
  <c r="G50" i="149"/>
  <c r="F50" i="149"/>
  <c r="E50" i="149"/>
  <c r="D50" i="149"/>
  <c r="C50" i="149"/>
  <c r="B50" i="149"/>
  <c r="N49" i="149"/>
  <c r="M49" i="149"/>
  <c r="L49" i="149"/>
  <c r="K49" i="149"/>
  <c r="J49" i="149"/>
  <c r="I49" i="149"/>
  <c r="H49" i="149"/>
  <c r="G49" i="149"/>
  <c r="F49" i="149"/>
  <c r="E49" i="149"/>
  <c r="D49" i="149"/>
  <c r="C49" i="149"/>
  <c r="B49" i="149"/>
  <c r="N48" i="149"/>
  <c r="M48" i="149"/>
  <c r="L48" i="149"/>
  <c r="K48" i="149"/>
  <c r="J48" i="149"/>
  <c r="I48" i="149"/>
  <c r="H48" i="149"/>
  <c r="G48" i="149"/>
  <c r="F48" i="149"/>
  <c r="E48" i="149"/>
  <c r="D48" i="149"/>
  <c r="C48" i="149"/>
  <c r="B48" i="149"/>
  <c r="N47" i="149"/>
  <c r="M47" i="149"/>
  <c r="L47" i="149"/>
  <c r="K47" i="149"/>
  <c r="J47" i="149"/>
  <c r="I47" i="149"/>
  <c r="H47" i="149"/>
  <c r="G47" i="149"/>
  <c r="F47" i="149"/>
  <c r="E47" i="149"/>
  <c r="D47" i="149"/>
  <c r="C47" i="149"/>
  <c r="B47" i="149"/>
  <c r="N46" i="149"/>
  <c r="M46" i="149"/>
  <c r="L46" i="149"/>
  <c r="K46" i="149"/>
  <c r="J46" i="149"/>
  <c r="I46" i="149"/>
  <c r="H46" i="149"/>
  <c r="G46" i="149"/>
  <c r="F46" i="149"/>
  <c r="E46" i="149"/>
  <c r="D46" i="149"/>
  <c r="C46" i="149"/>
  <c r="B46" i="149"/>
  <c r="N45" i="149"/>
  <c r="M45" i="149"/>
  <c r="L45" i="149"/>
  <c r="K45" i="149"/>
  <c r="J45" i="149"/>
  <c r="I45" i="149"/>
  <c r="H45" i="149"/>
  <c r="G45" i="149"/>
  <c r="F45" i="149"/>
  <c r="E45" i="149"/>
  <c r="D45" i="149"/>
  <c r="C45" i="149"/>
  <c r="B45" i="149"/>
  <c r="N44" i="149"/>
  <c r="M44" i="149"/>
  <c r="L44" i="149"/>
  <c r="K44" i="149"/>
  <c r="J44" i="149"/>
  <c r="I44" i="149"/>
  <c r="H44" i="149"/>
  <c r="G44" i="149"/>
  <c r="F44" i="149"/>
  <c r="E44" i="149"/>
  <c r="D44" i="149"/>
  <c r="C44" i="149"/>
  <c r="B44" i="149"/>
  <c r="N38" i="149"/>
  <c r="M38" i="149"/>
  <c r="L38" i="149"/>
  <c r="K38" i="149"/>
  <c r="J38" i="149"/>
  <c r="I38" i="149"/>
  <c r="H38" i="149"/>
  <c r="G38" i="149"/>
  <c r="F38" i="149"/>
  <c r="E38" i="149"/>
  <c r="D38" i="149"/>
  <c r="C38" i="149"/>
  <c r="N37" i="149"/>
  <c r="M37" i="149"/>
  <c r="L37" i="149"/>
  <c r="K37" i="149"/>
  <c r="J37" i="149"/>
  <c r="I37" i="149"/>
  <c r="H37" i="149"/>
  <c r="G37" i="149"/>
  <c r="F37" i="149"/>
  <c r="E37" i="149"/>
  <c r="D37" i="149"/>
  <c r="C37" i="149"/>
  <c r="N36" i="149"/>
  <c r="M36" i="149"/>
  <c r="L36" i="149"/>
  <c r="K36" i="149"/>
  <c r="J36" i="149"/>
  <c r="I36" i="149"/>
  <c r="H36" i="149"/>
  <c r="G36" i="149"/>
  <c r="F36" i="149"/>
  <c r="E36" i="149"/>
  <c r="D36" i="149"/>
  <c r="C36" i="149"/>
  <c r="O35" i="149"/>
  <c r="P35" i="149" s="1"/>
  <c r="O34" i="149"/>
  <c r="P34" i="149" s="1"/>
  <c r="O33" i="149"/>
  <c r="P33" i="149" s="1"/>
  <c r="P32" i="149"/>
  <c r="O32" i="149"/>
  <c r="O31" i="149"/>
  <c r="P31" i="149" s="1"/>
  <c r="O30" i="149"/>
  <c r="P30" i="149" s="1"/>
  <c r="O29" i="149"/>
  <c r="P29" i="149" s="1"/>
  <c r="O28" i="149"/>
  <c r="P28" i="149" s="1"/>
  <c r="O27" i="149"/>
  <c r="P27" i="149" s="1"/>
  <c r="O26" i="149"/>
  <c r="P26" i="149" s="1"/>
  <c r="O25" i="149"/>
  <c r="P25" i="149" s="1"/>
  <c r="O24" i="149"/>
  <c r="P24" i="149" s="1"/>
  <c r="O23" i="149"/>
  <c r="P23" i="149" s="1"/>
  <c r="O22" i="149"/>
  <c r="P22" i="149" s="1"/>
  <c r="O21" i="149"/>
  <c r="P21" i="149" s="1"/>
  <c r="O20" i="149"/>
  <c r="P20" i="149" s="1"/>
  <c r="O19" i="149"/>
  <c r="P19" i="149" s="1"/>
  <c r="O18" i="149"/>
  <c r="P18" i="149" s="1"/>
  <c r="O17" i="149"/>
  <c r="P17" i="149" s="1"/>
  <c r="O16" i="149"/>
  <c r="P16" i="149" s="1"/>
  <c r="O15" i="149"/>
  <c r="P15" i="149" s="1"/>
  <c r="O14" i="149"/>
  <c r="P14" i="149" s="1"/>
  <c r="O13" i="149"/>
  <c r="P13" i="149" s="1"/>
  <c r="O12" i="149"/>
  <c r="P12" i="149" s="1"/>
  <c r="O11" i="149"/>
  <c r="P11" i="149" s="1"/>
  <c r="O10" i="149"/>
  <c r="P10" i="149" s="1"/>
  <c r="O9" i="149"/>
  <c r="P9" i="149" s="1"/>
  <c r="P8" i="149"/>
  <c r="O8" i="149"/>
  <c r="O7" i="149"/>
  <c r="P7" i="149" s="1"/>
  <c r="O6" i="149"/>
  <c r="F55" i="153" l="1"/>
  <c r="C56" i="149"/>
  <c r="D54" i="151"/>
  <c r="M56" i="151"/>
  <c r="H54" i="150"/>
  <c r="O45" i="157"/>
  <c r="P45" i="157" s="1"/>
  <c r="F55" i="152"/>
  <c r="C56" i="151"/>
  <c r="C56" i="150"/>
  <c r="D56" i="153"/>
  <c r="E55" i="153"/>
  <c r="E55" i="152"/>
  <c r="F55" i="150"/>
  <c r="M55" i="151"/>
  <c r="O45" i="153"/>
  <c r="P45" i="153" s="1"/>
  <c r="D56" i="157"/>
  <c r="G56" i="150"/>
  <c r="P38" i="159"/>
  <c r="P36" i="159"/>
  <c r="P37" i="159"/>
  <c r="P44" i="159"/>
  <c r="O56" i="159"/>
  <c r="O54" i="159"/>
  <c r="O55" i="159"/>
  <c r="O52" i="157"/>
  <c r="P52" i="157" s="1"/>
  <c r="O38" i="157"/>
  <c r="C56" i="157"/>
  <c r="O46" i="157"/>
  <c r="P46" i="157" s="1"/>
  <c r="N56" i="157"/>
  <c r="F55" i="157"/>
  <c r="O47" i="157"/>
  <c r="P47" i="157" s="1"/>
  <c r="E55" i="157"/>
  <c r="G54" i="157"/>
  <c r="E54" i="157"/>
  <c r="H56" i="157"/>
  <c r="O49" i="157"/>
  <c r="P49" i="157" s="1"/>
  <c r="I54" i="157"/>
  <c r="J56" i="157"/>
  <c r="G56" i="157"/>
  <c r="O50" i="157"/>
  <c r="P50" i="157" s="1"/>
  <c r="H54" i="157"/>
  <c r="K56" i="157"/>
  <c r="I56" i="157"/>
  <c r="O51" i="157"/>
  <c r="P51" i="157" s="1"/>
  <c r="L56" i="157"/>
  <c r="M56" i="157"/>
  <c r="O53" i="157"/>
  <c r="P53" i="157" s="1"/>
  <c r="J54" i="157"/>
  <c r="N55" i="157"/>
  <c r="M54" i="157"/>
  <c r="F56" i="157"/>
  <c r="H55" i="157"/>
  <c r="P38" i="157"/>
  <c r="G55" i="157"/>
  <c r="E56" i="157"/>
  <c r="K54" i="157"/>
  <c r="I55" i="157"/>
  <c r="L54" i="157"/>
  <c r="J55" i="157"/>
  <c r="N54" i="157"/>
  <c r="L55" i="157"/>
  <c r="K55" i="157"/>
  <c r="O36" i="157"/>
  <c r="C54" i="157"/>
  <c r="M55" i="157"/>
  <c r="P36" i="157"/>
  <c r="D54" i="157"/>
  <c r="O44" i="157"/>
  <c r="O37" i="157"/>
  <c r="C55" i="157"/>
  <c r="P37" i="157"/>
  <c r="F54" i="157"/>
  <c r="D55" i="157"/>
  <c r="G54" i="153"/>
  <c r="O48" i="153"/>
  <c r="P48" i="153" s="1"/>
  <c r="O47" i="153"/>
  <c r="P47" i="153" s="1"/>
  <c r="H54" i="153"/>
  <c r="O49" i="153"/>
  <c r="P49" i="153" s="1"/>
  <c r="I56" i="153"/>
  <c r="F56" i="153"/>
  <c r="O50" i="153"/>
  <c r="P50" i="153" s="1"/>
  <c r="J56" i="153"/>
  <c r="H55" i="153"/>
  <c r="O51" i="153"/>
  <c r="P51" i="153" s="1"/>
  <c r="K56" i="153"/>
  <c r="O52" i="153"/>
  <c r="P52" i="153" s="1"/>
  <c r="P38" i="153"/>
  <c r="L56" i="153"/>
  <c r="O53" i="153"/>
  <c r="P53" i="153" s="1"/>
  <c r="I54" i="153"/>
  <c r="M56" i="153"/>
  <c r="J54" i="153"/>
  <c r="N56" i="153"/>
  <c r="G55" i="153"/>
  <c r="O46" i="153"/>
  <c r="P46" i="153" s="1"/>
  <c r="O38" i="153"/>
  <c r="C56" i="153"/>
  <c r="E56" i="153"/>
  <c r="K54" i="153"/>
  <c r="I55" i="153"/>
  <c r="G56" i="153"/>
  <c r="L54" i="153"/>
  <c r="J55" i="153"/>
  <c r="H56" i="153"/>
  <c r="M54" i="153"/>
  <c r="K55" i="153"/>
  <c r="N54" i="153"/>
  <c r="L55" i="153"/>
  <c r="O36" i="153"/>
  <c r="C54" i="153"/>
  <c r="M55" i="153"/>
  <c r="P36" i="153"/>
  <c r="D54" i="153"/>
  <c r="N55" i="153"/>
  <c r="O44" i="153"/>
  <c r="O37" i="153"/>
  <c r="E54" i="153"/>
  <c r="C55" i="153"/>
  <c r="P37" i="153"/>
  <c r="F54" i="153"/>
  <c r="D55" i="153"/>
  <c r="O48" i="152"/>
  <c r="P48" i="152" s="1"/>
  <c r="H54" i="152"/>
  <c r="G54" i="152"/>
  <c r="O49" i="152"/>
  <c r="P49" i="152" s="1"/>
  <c r="O47" i="152"/>
  <c r="P47" i="152" s="1"/>
  <c r="O50" i="152"/>
  <c r="P50" i="152" s="1"/>
  <c r="J56" i="152"/>
  <c r="I56" i="152"/>
  <c r="H56" i="152"/>
  <c r="G56" i="152"/>
  <c r="O51" i="152"/>
  <c r="P51" i="152" s="1"/>
  <c r="K56" i="152"/>
  <c r="I55" i="152"/>
  <c r="O38" i="152"/>
  <c r="L56" i="152"/>
  <c r="K55" i="152"/>
  <c r="M55" i="152"/>
  <c r="O53" i="152"/>
  <c r="P53" i="152" s="1"/>
  <c r="E54" i="152"/>
  <c r="N56" i="152"/>
  <c r="M56" i="152"/>
  <c r="J54" i="152"/>
  <c r="C56" i="152"/>
  <c r="K54" i="152"/>
  <c r="D56" i="152"/>
  <c r="O45" i="152"/>
  <c r="P45" i="152" s="1"/>
  <c r="E56" i="152"/>
  <c r="O46" i="152"/>
  <c r="P46" i="152" s="1"/>
  <c r="H55" i="152"/>
  <c r="I54" i="152"/>
  <c r="G55" i="152"/>
  <c r="L54" i="152"/>
  <c r="J55" i="152"/>
  <c r="M54" i="152"/>
  <c r="F56" i="152"/>
  <c r="P6" i="152"/>
  <c r="N54" i="152"/>
  <c r="L55" i="152"/>
  <c r="O36" i="152"/>
  <c r="C54" i="152"/>
  <c r="D54" i="152"/>
  <c r="N55" i="152"/>
  <c r="O37" i="152"/>
  <c r="O44" i="152"/>
  <c r="C55" i="152"/>
  <c r="F54" i="152"/>
  <c r="D55" i="152"/>
  <c r="E55" i="151"/>
  <c r="D56" i="151"/>
  <c r="O46" i="151"/>
  <c r="P46" i="151" s="1"/>
  <c r="N56" i="151"/>
  <c r="F56" i="151"/>
  <c r="D55" i="151"/>
  <c r="O47" i="151"/>
  <c r="P47" i="151" s="1"/>
  <c r="G56" i="151"/>
  <c r="O48" i="151"/>
  <c r="P48" i="151" s="1"/>
  <c r="O49" i="151"/>
  <c r="P49" i="151" s="1"/>
  <c r="I55" i="151"/>
  <c r="H54" i="151"/>
  <c r="O50" i="151"/>
  <c r="P50" i="151" s="1"/>
  <c r="O36" i="151"/>
  <c r="J56" i="151"/>
  <c r="I56" i="151"/>
  <c r="O51" i="151"/>
  <c r="P51" i="151" s="1"/>
  <c r="K55" i="151"/>
  <c r="O52" i="151"/>
  <c r="P52" i="151" s="1"/>
  <c r="O45" i="151"/>
  <c r="P45" i="151" s="1"/>
  <c r="L56" i="151"/>
  <c r="O53" i="151"/>
  <c r="P53" i="151" s="1"/>
  <c r="E54" i="151"/>
  <c r="N55" i="151"/>
  <c r="L54" i="151"/>
  <c r="C54" i="151"/>
  <c r="N54" i="151"/>
  <c r="C55" i="151"/>
  <c r="O38" i="151"/>
  <c r="G54" i="151"/>
  <c r="F55" i="151"/>
  <c r="I54" i="151"/>
  <c r="G55" i="151"/>
  <c r="E56" i="151"/>
  <c r="O44" i="151"/>
  <c r="J54" i="151"/>
  <c r="H55" i="151"/>
  <c r="K54" i="151"/>
  <c r="J55" i="151"/>
  <c r="M54" i="151"/>
  <c r="L55" i="151"/>
  <c r="P6" i="151"/>
  <c r="K56" i="151"/>
  <c r="H56" i="151"/>
  <c r="O37" i="151"/>
  <c r="E54" i="150"/>
  <c r="O46" i="150"/>
  <c r="P46" i="150" s="1"/>
  <c r="D56" i="150"/>
  <c r="O49" i="150"/>
  <c r="P49" i="150" s="1"/>
  <c r="I55" i="150"/>
  <c r="O50" i="150"/>
  <c r="P50" i="150" s="1"/>
  <c r="J56" i="150"/>
  <c r="I56" i="150"/>
  <c r="O48" i="150"/>
  <c r="P48" i="150" s="1"/>
  <c r="O51" i="150"/>
  <c r="P51" i="150" s="1"/>
  <c r="O37" i="150"/>
  <c r="K54" i="150"/>
  <c r="O52" i="150"/>
  <c r="P52" i="150" s="1"/>
  <c r="L56" i="150"/>
  <c r="O53" i="150"/>
  <c r="P53" i="150" s="1"/>
  <c r="G54" i="150"/>
  <c r="M56" i="150"/>
  <c r="J54" i="150"/>
  <c r="O38" i="150"/>
  <c r="N56" i="150"/>
  <c r="K56" i="150"/>
  <c r="M54" i="150"/>
  <c r="C55" i="150"/>
  <c r="E55" i="150"/>
  <c r="P6" i="150"/>
  <c r="P36" i="150" s="1"/>
  <c r="D55" i="150"/>
  <c r="O45" i="150"/>
  <c r="P45" i="150" s="1"/>
  <c r="N55" i="150"/>
  <c r="K55" i="150"/>
  <c r="O47" i="150"/>
  <c r="P47" i="150" s="1"/>
  <c r="P14" i="150"/>
  <c r="I54" i="150"/>
  <c r="G55" i="150"/>
  <c r="E56" i="150"/>
  <c r="H55" i="150"/>
  <c r="O44" i="150"/>
  <c r="F56" i="150"/>
  <c r="L54" i="150"/>
  <c r="J55" i="150"/>
  <c r="H56" i="150"/>
  <c r="N54" i="150"/>
  <c r="L55" i="150"/>
  <c r="C54" i="150"/>
  <c r="M55" i="150"/>
  <c r="D54" i="150"/>
  <c r="O36" i="150"/>
  <c r="F54" i="150"/>
  <c r="N56" i="149"/>
  <c r="D55" i="149"/>
  <c r="O45" i="149"/>
  <c r="P45" i="149" s="1"/>
  <c r="E55" i="149"/>
  <c r="O46" i="149"/>
  <c r="P46" i="149" s="1"/>
  <c r="O47" i="149"/>
  <c r="P47" i="149" s="1"/>
  <c r="G54" i="149"/>
  <c r="D56" i="149"/>
  <c r="O48" i="149"/>
  <c r="P48" i="149" s="1"/>
  <c r="O49" i="149"/>
  <c r="P49" i="149" s="1"/>
  <c r="O38" i="149"/>
  <c r="I56" i="149"/>
  <c r="F56" i="149"/>
  <c r="O50" i="149"/>
  <c r="P50" i="149" s="1"/>
  <c r="F54" i="149"/>
  <c r="J56" i="149"/>
  <c r="H55" i="149"/>
  <c r="O51" i="149"/>
  <c r="P51" i="149" s="1"/>
  <c r="K56" i="149"/>
  <c r="J55" i="149"/>
  <c r="H54" i="149"/>
  <c r="O52" i="149"/>
  <c r="P52" i="149" s="1"/>
  <c r="L56" i="149"/>
  <c r="O53" i="149"/>
  <c r="P53" i="149" s="1"/>
  <c r="L54" i="149"/>
  <c r="M56" i="149"/>
  <c r="F55" i="149"/>
  <c r="I54" i="149"/>
  <c r="G55" i="149"/>
  <c r="E56" i="149"/>
  <c r="O44" i="149"/>
  <c r="J54" i="149"/>
  <c r="K54" i="149"/>
  <c r="I55" i="149"/>
  <c r="G56" i="149"/>
  <c r="H56" i="149"/>
  <c r="P6" i="149"/>
  <c r="M54" i="149"/>
  <c r="K55" i="149"/>
  <c r="N54" i="149"/>
  <c r="L55" i="149"/>
  <c r="O36" i="149"/>
  <c r="C54" i="149"/>
  <c r="M55" i="149"/>
  <c r="D54" i="149"/>
  <c r="N55" i="149"/>
  <c r="O37" i="149"/>
  <c r="E54" i="149"/>
  <c r="C55" i="149"/>
  <c r="C38" i="103"/>
  <c r="N38" i="103"/>
  <c r="M38" i="103"/>
  <c r="L38" i="103"/>
  <c r="K38" i="103"/>
  <c r="S9" i="103"/>
  <c r="S11" i="103"/>
  <c r="P37" i="150" l="1"/>
  <c r="P56" i="159"/>
  <c r="P54" i="159"/>
  <c r="P55" i="159"/>
  <c r="O56" i="157"/>
  <c r="O55" i="157"/>
  <c r="O54" i="157"/>
  <c r="P44" i="157"/>
  <c r="O56" i="153"/>
  <c r="O55" i="153"/>
  <c r="O54" i="153"/>
  <c r="P44" i="153"/>
  <c r="P38" i="152"/>
  <c r="P37" i="152"/>
  <c r="P36" i="152"/>
  <c r="O56" i="152"/>
  <c r="O55" i="152"/>
  <c r="O54" i="152"/>
  <c r="P44" i="152"/>
  <c r="P38" i="151"/>
  <c r="P36" i="151"/>
  <c r="P37" i="151"/>
  <c r="O55" i="151"/>
  <c r="O54" i="151"/>
  <c r="P44" i="151"/>
  <c r="O56" i="151"/>
  <c r="P38" i="150"/>
  <c r="O55" i="150"/>
  <c r="O54" i="150"/>
  <c r="P44" i="150"/>
  <c r="O56" i="150"/>
  <c r="P38" i="149"/>
  <c r="P37" i="149"/>
  <c r="P36" i="149"/>
  <c r="O56" i="149"/>
  <c r="O55" i="149"/>
  <c r="O54" i="149"/>
  <c r="P44" i="14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57" l="1"/>
  <c r="P55" i="157"/>
  <c r="P54" i="157"/>
  <c r="P56" i="153"/>
  <c r="P55" i="153"/>
  <c r="P54" i="153"/>
  <c r="P56" i="152"/>
  <c r="P55" i="152"/>
  <c r="P54" i="152"/>
  <c r="P56" i="151"/>
  <c r="P55" i="151"/>
  <c r="P54" i="151"/>
  <c r="P56" i="150"/>
  <c r="P55" i="150"/>
  <c r="P54" i="150"/>
  <c r="P56" i="149"/>
  <c r="P55" i="149"/>
  <c r="P54" i="149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<sst xmlns="http://schemas.openxmlformats.org/spreadsheetml/2006/main" count="3078" uniqueCount="266">
  <si>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</si>
  <si>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</si>
  <si>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</si>
  <si>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</si>
  <si>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</si>
  <si>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</si>
  <si>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</si>
  <si>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</si>
  <si>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</si>
  <si>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</si>
  <si>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</si>
  <si>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</si>
  <si>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</si>
  <si>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</si>
  <si>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</si>
  <si>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</si>
  <si>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</si>
  <si>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</si>
  <si>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</si>
  <si>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</si>
  <si>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</si>
  <si>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</si>
  <si>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</si>
  <si>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</si>
  <si>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</si>
  <si>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</si>
  <si>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</si>
  <si>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</si>
  <si>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</si>
  <si>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</si>
  <si>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</si>
  <si>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</si>
  <si>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</si>
  <si>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</si>
  <si>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</si>
  <si>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</si>
  <si>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</si>
  <si>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</si>
  <si>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</si>
  <si>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</si>
  <si>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</si>
  <si>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</si>
  <si>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</si>
  <si>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</si>
  <si>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</si>
  <si>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</si>
  <si>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</si>
  <si>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</si>
  <si>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</si>
  <si>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</si>
  <si>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</si>
  <si>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</si>
  <si>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</si>
  <si>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</si>
  <si>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</si>
  <si>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</si>
  <si>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</si>
  <si>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</si>
  <si>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</si>
  <si>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</si>
  <si>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</si>
  <si>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</si>
  <si>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</si>
  <si>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</si>
  <si>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</si>
  <si>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</si>
  <si>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</si>
  <si>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</si>
  <si>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</si>
  <si>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</si>
  <si>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</si>
  <si>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</si>
  <si>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</si>
  <si>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</si>
  <si>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</si>
  <si>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</si>
  <si>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</si>
  <si>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</si>
  <si>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</si>
  <si>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</si>
  <si>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</si>
  <si>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</si>
  <si>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</si>
  <si>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</si>
  <si>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</si>
  <si>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</si>
  <si>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</si>
  <si>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</si>
  <si>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</si>
  <si>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</si>
  <si>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</si>
  <si>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</si>
  <si>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</si>
  <si>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</si>
  <si>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</si>
  <si>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</si>
  <si>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</si>
  <si>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</si>
  <si>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</si>
  <si>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</si>
  <si>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</si>
  <si>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</si>
  <si>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</si>
  <si>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</si>
  <si>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</si>
  <si>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</si>
  <si>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</si>
  <si>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</si>
  <si>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</si>
  <si>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</si>
  <si>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</si>
  <si>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</si>
  <si>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</si>
  <si>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</si>
  <si>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</si>
  <si>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</si>
  <si>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</si>
  <si>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</si>
  <si>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</si>
  <si>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</si>
  <si>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</si>
  <si>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</si>
  <si>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</si>
  <si>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</si>
  <si>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</si>
  <si>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</si>
  <si>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</si>
  <si>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</si>
  <si>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</si>
  <si>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</si>
  <si>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</si>
  <si>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</si>
  <si>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</si>
  <si>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</si>
  <si>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</si>
  <si>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</si>
  <si>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</si>
  <si>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</si>
  <si>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</si>
  <si>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</si>
  <si>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</si>
  <si>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</si>
  <si>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</si>
  <si>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</si>
  <si>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</si>
  <si>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</si>
  <si>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</si>
  <si>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</si>
  <si>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</si>
  <si>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</si>
  <si>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</si>
  <si>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</si>
  <si>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</si>
  <si>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</si>
  <si>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</si>
  <si>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</si>
  <si>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</si>
  <si>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</si>
  <si>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</si>
  <si>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</si>
  <si>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</si>
  <si>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</si>
  <si>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</si>
  <si>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</si>
  <si>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</si>
  <si>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</si>
  <si>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</si>
  <si>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</si>
  <si>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</si>
  <si>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</si>
  <si>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</si>
  <si>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</si>
  <si>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</si>
  <si>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</si>
  <si>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</si>
  <si>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</si>
  <si>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</si>
  <si>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</si>
  <si>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</si>
  <si>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</si>
  <si>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</si>
  <si>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</si>
  <si>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</si>
  <si>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</si>
  <si>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</si>
  <si>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</si>
  <si>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</si>
  <si>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</si>
  <si>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</si>
  <si>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</si>
  <si>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</si>
  <si>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</si>
  <si>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</si>
  <si>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</si>
  <si>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</si>
  <si>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</si>
  <si>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</si>
  <si>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</si>
  <si>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</si>
  <si>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</si>
  <si>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</si>
  <si>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</si>
  <si>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</si>
  <si>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</si>
  <si>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</si>
  <si>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</si>
  <si>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</si>
  <si>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</si>
  <si>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</si>
  <si>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</si>
  <si>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</si>
  <si>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</si>
  <si>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</si>
  <si>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</si>
  <si>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</si>
  <si>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</si>
  <si>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</si>
  <si>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</si>
  <si>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</si>
  <si>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</si>
  <si>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</si>
  <si>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</si>
  <si>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</si>
  <si>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</si>
  <si>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</si>
  <si>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</si>
  <si>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</si>
  <si>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</si>
  <si>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</si>
  <si>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</si>
  <si>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</si>
  <si>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</si>
  <si>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</si>
  <si>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</si>
  <si>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</si>
  <si>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</si>
  <si>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</si>
  <si>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</si>
  <si>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</si>
  <si>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</si>
  <si>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</si>
  <si>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</si>
  <si>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</si>
  <si>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</si>
  <si>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</si>
  <si>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</si>
  <si>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</si>
  <si>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</si>
  <si>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</si>
  <si>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</si>
  <si>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</si>
  <si>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</si>
  <si>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</si>
  <si>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서산 Data, -- 2023-09-19 오후 4:17:55</t>
    <phoneticPr fontId="5" type="noConversion"/>
  </si>
  <si>
    <t>대전 Data, -- 2023-09-19 오후 4:23:46</t>
    <phoneticPr fontId="5" type="noConversion"/>
  </si>
  <si>
    <t>금산 Data, -- 2023-09-19 오후 4:24:13</t>
    <phoneticPr fontId="5" type="noConversion"/>
  </si>
  <si>
    <t>보령 Data, -- 2023-09-19 오후 4:24:39</t>
    <phoneticPr fontId="5" type="noConversion"/>
  </si>
  <si>
    <t>부여 Data, -- 2023-09-19 오후 4:25:04</t>
    <phoneticPr fontId="5" type="noConversion"/>
  </si>
  <si>
    <t>천안 Data, -- 2023-09-19 오후 4:28:19</t>
    <phoneticPr fontId="5" type="noConversion"/>
  </si>
  <si>
    <t>보은 Data, -- 2023-09-19 오후 5:19:29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</si>
  <si>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</si>
  <si>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</si>
  <si>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</si>
  <si>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</si>
  <si>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30년 보령데이터, 2023-10-28 오후 1:56:12</t>
    <phoneticPr fontId="5" type="noConversion"/>
  </si>
  <si>
    <t>부여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</si>
</sst>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1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12" fillId="0" borderId="0" xfId="0" applyNumberFormat="1" applyFont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1"/>
    <tableColumn id="4" xr3:uid="{3FABA01C-AB4B-48AC-BDB1-16BF1034D0DF}" name="name" dataDxfId="30"/>
    <tableColumn id="3" xr3:uid="{A5F66352-D28A-4CF0-B250-A489700B8D54}" name="Code" dataDxfId="29"/>
    <tableColumn id="2" xr3:uid="{09B4436B-841C-4B9C-8162-E947F4575E48}" name="aCode" dataDxfId="28"/>
    <tableColumn id="5" xr3:uid="{C31DCB80-AB53-4D9B-9C64-E7F32BEF140C}" name="switch" dataDxfId="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27"/>
    <tableColumn id="4" xr3:uid="{B62D6831-87BE-4F65-B7F1-BD0B146AF49F}" name="name" dataDxfId="26"/>
    <tableColumn id="3" xr3:uid="{658D7C19-D0E8-42F4-ABCB-2387237F828A}" name="Code" dataDxfId="25"/>
    <tableColumn id="2" xr3:uid="{989EB4D9-50A5-4C55-9B67-E92A0A209FA0}" name="aCode" dataDxfId="24"/>
    <tableColumn id="5" xr3:uid="{AECDD82A-ACE1-4B11-8AC5-F6E8FEEF4153}" name="switch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3"/>
    <tableColumn id="4" xr3:uid="{017C91F5-4BF0-4180-8133-652E08E84954}" name="name" dataDxfId="22"/>
    <tableColumn id="3" xr3:uid="{EC253443-ACAA-4D84-A256-070B355AA943}" name="Code" dataDxfId="21"/>
    <tableColumn id="2" xr3:uid="{80669424-532F-4472-8AC0-B591D616F4FF}" name="aCode" dataDxfId="20"/>
    <tableColumn id="5" xr3:uid="{3E99FA54-F62F-4943-96D0-A92D6B1BF889}" name="switch" dataDxfId="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19"/>
    <tableColumn id="4" xr3:uid="{9687561B-6A34-4432-917E-5BE8286748FA}" name="name" dataDxfId="18"/>
    <tableColumn id="3" xr3:uid="{2D753499-917F-4411-A14D-2196A2F1D788}" name="Code" dataDxfId="17"/>
    <tableColumn id="2" xr3:uid="{F72F6AA5-B461-4032-B5C7-926520FCFE1E}" name="aCode" dataDxfId="16"/>
    <tableColumn id="5" xr3:uid="{2BB69875-ADCC-49C7-B005-BDD03F21A48A}" name="switch" dataDxfId="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5"/>
    <tableColumn id="4" xr3:uid="{81223094-743C-484F-BD6C-C0070968E015}" name="name" dataDxfId="14"/>
    <tableColumn id="3" xr3:uid="{02B114B2-31A2-45E0-95CB-D7B5B59158D4}" name="Code" dataDxfId="13"/>
    <tableColumn id="2" xr3:uid="{25F1EE2B-22EC-4D69-8CEF-1F35F419008D}" name="aCode" dataDxfId="12"/>
    <tableColumn id="5" xr3:uid="{98CAFCC6-1A44-428B-AD18-F0F5163D8036}" name="switch" dataDxfId="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1"/>
    <tableColumn id="4" xr3:uid="{946138E4-408B-41AA-9EFE-0179ACDBA91C}" name="name" dataDxfId="10"/>
    <tableColumn id="3" xr3:uid="{4CD67D66-5E03-4217-ADBB-EDB24CF7D896}" name="Code" dataDxfId="9"/>
    <tableColumn id="2" xr3:uid="{951E4035-1C41-41A8-8801-D5CE38818C67}" name="aCode" dataDxfId="8"/>
    <tableColumn id="5" xr3:uid="{3153C0DB-1764-4890-BEFB-6C5DD9BCE384}" name="switch" dataDxfId="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7"/>
    <tableColumn id="3" xr3:uid="{4DB9070B-5067-4035-BDC5-48A6AFBB7D85}" name="Code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E845A-C7F9-4C88-ACB4-30BCDB59D763}">
  <sheetPr codeName="Sheet20">
    <tabColor rgb="FF008080"/>
  </sheetPr>
  <dimension ref="A2:Q983"/>
  <sheetViews>
    <sheetView zoomScaleNormal="100" workbookViewId="0">
      <selection activeCell="S27" sqref="S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10.199999999999999</v>
      </c>
      <c r="D6" s="12">
        <v>76</v>
      </c>
      <c r="E6" s="12">
        <v>30.5</v>
      </c>
      <c r="F6" s="12">
        <v>66.5</v>
      </c>
      <c r="G6" s="12">
        <v>175</v>
      </c>
      <c r="H6" s="12">
        <v>174.5</v>
      </c>
      <c r="I6" s="12">
        <v>258.5</v>
      </c>
      <c r="J6" s="13">
        <v>303</v>
      </c>
      <c r="K6" s="12">
        <v>125</v>
      </c>
      <c r="L6" s="12">
        <v>43</v>
      </c>
      <c r="M6" s="12">
        <v>64</v>
      </c>
      <c r="N6" s="14">
        <v>22.7</v>
      </c>
      <c r="O6" s="15">
        <f t="shared" ref="O6:O35" si="0">ROUND(SUM(C6:N6),1)</f>
        <v>1348.9</v>
      </c>
      <c r="P6" s="16">
        <f>ROUND(O6/12,1)</f>
        <v>112.4</v>
      </c>
      <c r="Q6" s="17"/>
    </row>
    <row r="7" spans="2:17" ht="21.95" customHeight="1">
      <c r="B7" s="18">
        <v>1994</v>
      </c>
      <c r="C7" s="19">
        <v>14.8</v>
      </c>
      <c r="D7" s="19">
        <v>12.3</v>
      </c>
      <c r="E7" s="19">
        <v>35.6</v>
      </c>
      <c r="F7" s="19">
        <v>31</v>
      </c>
      <c r="G7" s="19">
        <v>95</v>
      </c>
      <c r="H7" s="19">
        <v>129.5</v>
      </c>
      <c r="I7" s="19">
        <v>89</v>
      </c>
      <c r="J7" s="20">
        <v>205</v>
      </c>
      <c r="K7" s="19">
        <v>5</v>
      </c>
      <c r="L7" s="19">
        <v>111.5</v>
      </c>
      <c r="M7" s="19">
        <v>23.5</v>
      </c>
      <c r="N7" s="21">
        <v>13.1</v>
      </c>
      <c r="O7" s="15">
        <f t="shared" si="0"/>
        <v>765.3</v>
      </c>
      <c r="P7" s="22">
        <f t="shared" ref="P7:P35" si="1">ROUND(O7/12,1)</f>
        <v>63.8</v>
      </c>
      <c r="Q7" s="17"/>
    </row>
    <row r="8" spans="2:17" ht="21.95" customHeight="1">
      <c r="B8" s="18">
        <v>1995</v>
      </c>
      <c r="C8" s="19">
        <v>17</v>
      </c>
      <c r="D8" s="19">
        <v>13.4</v>
      </c>
      <c r="E8" s="19">
        <v>46.4</v>
      </c>
      <c r="F8" s="19">
        <v>60.5</v>
      </c>
      <c r="G8" s="19">
        <v>56</v>
      </c>
      <c r="H8" s="19">
        <v>45.5</v>
      </c>
      <c r="I8" s="19">
        <v>126.5</v>
      </c>
      <c r="J8" s="19">
        <v>508</v>
      </c>
      <c r="K8" s="19">
        <v>31</v>
      </c>
      <c r="L8" s="19">
        <v>42</v>
      </c>
      <c r="M8" s="19">
        <v>32.299999999999997</v>
      </c>
      <c r="N8" s="21">
        <v>5.3</v>
      </c>
      <c r="O8" s="15">
        <f t="shared" si="0"/>
        <v>983.9</v>
      </c>
      <c r="P8" s="22">
        <f t="shared" si="1"/>
        <v>82</v>
      </c>
      <c r="Q8" s="17"/>
    </row>
    <row r="9" spans="2:17" ht="21.95" customHeight="1">
      <c r="B9" s="18">
        <v>1996</v>
      </c>
      <c r="C9" s="19">
        <v>18.399999999999999</v>
      </c>
      <c r="D9" s="19">
        <v>5.3</v>
      </c>
      <c r="E9" s="19">
        <v>100.7</v>
      </c>
      <c r="F9" s="19">
        <v>28.5</v>
      </c>
      <c r="G9" s="19">
        <v>62.5</v>
      </c>
      <c r="H9" s="19">
        <v>385.5</v>
      </c>
      <c r="I9" s="19">
        <v>264</v>
      </c>
      <c r="J9" s="19">
        <v>97.5</v>
      </c>
      <c r="K9" s="19">
        <v>29</v>
      </c>
      <c r="L9" s="19">
        <v>80</v>
      </c>
      <c r="M9" s="19">
        <v>66.8</v>
      </c>
      <c r="N9" s="21">
        <v>25.8</v>
      </c>
      <c r="O9" s="15">
        <f t="shared" si="0"/>
        <v>1164</v>
      </c>
      <c r="P9" s="22">
        <f t="shared" si="1"/>
        <v>97</v>
      </c>
      <c r="Q9" s="17"/>
    </row>
    <row r="10" spans="2:17" ht="21.95" customHeight="1">
      <c r="B10" s="18">
        <v>1997</v>
      </c>
      <c r="C10" s="19">
        <v>14.1</v>
      </c>
      <c r="D10" s="19">
        <v>55</v>
      </c>
      <c r="E10" s="19">
        <v>32</v>
      </c>
      <c r="F10" s="19">
        <v>49</v>
      </c>
      <c r="G10" s="19">
        <v>238</v>
      </c>
      <c r="H10" s="19">
        <v>226</v>
      </c>
      <c r="I10" s="19">
        <v>378.8</v>
      </c>
      <c r="J10" s="19">
        <v>402.5</v>
      </c>
      <c r="K10" s="19">
        <v>46</v>
      </c>
      <c r="L10" s="19">
        <v>9.5</v>
      </c>
      <c r="M10" s="19">
        <v>162.69999999999999</v>
      </c>
      <c r="N10" s="21">
        <v>50.1</v>
      </c>
      <c r="O10" s="15">
        <f t="shared" si="0"/>
        <v>1663.7</v>
      </c>
      <c r="P10" s="22">
        <f t="shared" si="1"/>
        <v>138.6</v>
      </c>
      <c r="Q10" s="17"/>
    </row>
    <row r="11" spans="2:17" ht="21.95" customHeight="1">
      <c r="B11" s="18">
        <v>1998</v>
      </c>
      <c r="C11" s="19">
        <v>22.4</v>
      </c>
      <c r="D11" s="19">
        <v>28</v>
      </c>
      <c r="E11" s="19">
        <v>23.7</v>
      </c>
      <c r="F11" s="19">
        <v>173.5</v>
      </c>
      <c r="G11" s="19">
        <v>103.5</v>
      </c>
      <c r="H11" s="19">
        <v>256</v>
      </c>
      <c r="I11" s="19">
        <v>311.5</v>
      </c>
      <c r="J11" s="19">
        <v>894</v>
      </c>
      <c r="K11" s="19">
        <v>180.5</v>
      </c>
      <c r="L11" s="19">
        <v>54.5</v>
      </c>
      <c r="M11" s="19">
        <v>33</v>
      </c>
      <c r="N11" s="21">
        <v>4.5</v>
      </c>
      <c r="O11" s="15">
        <f t="shared" si="0"/>
        <v>2085.1</v>
      </c>
      <c r="P11" s="22">
        <f t="shared" si="1"/>
        <v>173.8</v>
      </c>
      <c r="Q11" s="17"/>
    </row>
    <row r="12" spans="2:17" ht="21.95" customHeight="1">
      <c r="B12" s="18">
        <v>1999</v>
      </c>
      <c r="C12" s="19">
        <v>1.5</v>
      </c>
      <c r="D12" s="19">
        <v>6.9</v>
      </c>
      <c r="E12" s="19">
        <v>72.5</v>
      </c>
      <c r="F12" s="19">
        <v>118</v>
      </c>
      <c r="G12" s="19">
        <v>108</v>
      </c>
      <c r="H12" s="19">
        <v>206</v>
      </c>
      <c r="I12" s="19">
        <v>136.5</v>
      </c>
      <c r="J12" s="19">
        <v>249.1</v>
      </c>
      <c r="K12" s="19">
        <v>306.8</v>
      </c>
      <c r="L12" s="19">
        <v>144</v>
      </c>
      <c r="M12" s="19">
        <v>15.6</v>
      </c>
      <c r="N12" s="21">
        <v>14.3</v>
      </c>
      <c r="O12" s="15">
        <f t="shared" si="0"/>
        <v>1379.2</v>
      </c>
      <c r="P12" s="22">
        <f t="shared" si="1"/>
        <v>114.9</v>
      </c>
    </row>
    <row r="13" spans="2:17" ht="21.95" customHeight="1">
      <c r="B13" s="18">
        <v>2000</v>
      </c>
      <c r="C13" s="19">
        <v>34.299999999999997</v>
      </c>
      <c r="D13" s="19">
        <v>3.7</v>
      </c>
      <c r="E13" s="19">
        <v>20.7</v>
      </c>
      <c r="F13" s="19">
        <v>60</v>
      </c>
      <c r="G13" s="19">
        <v>44.5</v>
      </c>
      <c r="H13" s="19">
        <v>244.6</v>
      </c>
      <c r="I13" s="19">
        <v>384.2</v>
      </c>
      <c r="J13" s="19">
        <v>348.5</v>
      </c>
      <c r="K13" s="19">
        <v>229.5</v>
      </c>
      <c r="L13" s="19">
        <v>25</v>
      </c>
      <c r="M13" s="19">
        <v>38</v>
      </c>
      <c r="N13" s="21">
        <v>16.2</v>
      </c>
      <c r="O13" s="15">
        <f t="shared" si="0"/>
        <v>1449.2</v>
      </c>
      <c r="P13" s="22">
        <f t="shared" si="1"/>
        <v>120.8</v>
      </c>
    </row>
    <row r="14" spans="2:17" ht="21.95" customHeight="1">
      <c r="B14" s="18">
        <v>2001</v>
      </c>
      <c r="C14" s="19">
        <v>49.4</v>
      </c>
      <c r="D14" s="19">
        <v>60.5</v>
      </c>
      <c r="E14" s="19">
        <v>12.7</v>
      </c>
      <c r="F14" s="19">
        <v>11.5</v>
      </c>
      <c r="G14" s="19">
        <v>18</v>
      </c>
      <c r="H14" s="19">
        <v>259.5</v>
      </c>
      <c r="I14" s="19">
        <v>139.5</v>
      </c>
      <c r="J14" s="19">
        <v>127</v>
      </c>
      <c r="K14" s="19">
        <v>42.5</v>
      </c>
      <c r="L14" s="19">
        <v>81</v>
      </c>
      <c r="M14" s="19">
        <v>9</v>
      </c>
      <c r="N14" s="21">
        <v>23.8</v>
      </c>
      <c r="O14" s="15">
        <f t="shared" si="0"/>
        <v>834.4</v>
      </c>
      <c r="P14" s="22">
        <f t="shared" si="1"/>
        <v>69.5</v>
      </c>
    </row>
    <row r="15" spans="2:17" ht="21.95" customHeight="1">
      <c r="B15" s="18">
        <v>2002</v>
      </c>
      <c r="C15" s="19">
        <v>89.1</v>
      </c>
      <c r="D15" s="19">
        <v>11</v>
      </c>
      <c r="E15" s="19">
        <v>35</v>
      </c>
      <c r="F15" s="19">
        <v>178</v>
      </c>
      <c r="G15" s="19">
        <v>126</v>
      </c>
      <c r="H15" s="19">
        <v>49</v>
      </c>
      <c r="I15" s="19">
        <v>156.5</v>
      </c>
      <c r="J15" s="19">
        <v>418</v>
      </c>
      <c r="K15" s="19">
        <v>114.5</v>
      </c>
      <c r="L15" s="19">
        <v>42</v>
      </c>
      <c r="M15" s="19">
        <v>20.100000000000001</v>
      </c>
      <c r="N15" s="21">
        <v>45.7</v>
      </c>
      <c r="O15" s="15">
        <f t="shared" si="0"/>
        <v>1284.9000000000001</v>
      </c>
      <c r="P15" s="22">
        <f t="shared" si="1"/>
        <v>107.1</v>
      </c>
    </row>
    <row r="16" spans="2:17" ht="21.95" customHeight="1">
      <c r="B16" s="18">
        <v>2003</v>
      </c>
      <c r="C16" s="19">
        <v>22.7</v>
      </c>
      <c r="D16" s="19">
        <v>67</v>
      </c>
      <c r="E16" s="19">
        <v>44.5</v>
      </c>
      <c r="F16" s="19">
        <v>200.5</v>
      </c>
      <c r="G16" s="19">
        <v>159</v>
      </c>
      <c r="H16" s="19">
        <v>192</v>
      </c>
      <c r="I16" s="19">
        <v>689</v>
      </c>
      <c r="J16" s="19">
        <v>310</v>
      </c>
      <c r="K16" s="19">
        <v>306.5</v>
      </c>
      <c r="L16" s="19">
        <v>32</v>
      </c>
      <c r="M16" s="19">
        <v>36.5</v>
      </c>
      <c r="N16" s="21">
        <v>19.5</v>
      </c>
      <c r="O16" s="15">
        <f t="shared" si="0"/>
        <v>2079.1999999999998</v>
      </c>
      <c r="P16" s="22">
        <f t="shared" si="1"/>
        <v>173.3</v>
      </c>
    </row>
    <row r="17" spans="2:16" ht="21.95" customHeight="1">
      <c r="B17" s="18">
        <v>2004</v>
      </c>
      <c r="C17" s="19">
        <v>15.4</v>
      </c>
      <c r="D17" s="19">
        <v>33.799999999999997</v>
      </c>
      <c r="E17" s="19">
        <v>59.9</v>
      </c>
      <c r="F17" s="19">
        <v>84.2</v>
      </c>
      <c r="G17" s="19">
        <v>117</v>
      </c>
      <c r="H17" s="19">
        <v>327</v>
      </c>
      <c r="I17" s="19">
        <v>295.5</v>
      </c>
      <c r="J17" s="19">
        <v>203.5</v>
      </c>
      <c r="K17" s="19">
        <v>136</v>
      </c>
      <c r="L17" s="19">
        <v>5.5</v>
      </c>
      <c r="M17" s="19">
        <v>38.5</v>
      </c>
      <c r="N17" s="21">
        <v>49.1</v>
      </c>
      <c r="O17" s="15">
        <f t="shared" si="0"/>
        <v>1365.4</v>
      </c>
      <c r="P17" s="22">
        <f t="shared" si="1"/>
        <v>113.8</v>
      </c>
    </row>
    <row r="18" spans="2:16" ht="21.95" customHeight="1">
      <c r="B18" s="18">
        <v>2005</v>
      </c>
      <c r="C18" s="19">
        <v>9.1999999999999993</v>
      </c>
      <c r="D18" s="19">
        <v>20</v>
      </c>
      <c r="E18" s="19">
        <v>38</v>
      </c>
      <c r="F18" s="19">
        <v>62.5</v>
      </c>
      <c r="G18" s="19">
        <v>62</v>
      </c>
      <c r="H18" s="19">
        <v>215</v>
      </c>
      <c r="I18" s="19">
        <v>400</v>
      </c>
      <c r="J18" s="19">
        <v>493.5</v>
      </c>
      <c r="K18" s="19">
        <v>177.5</v>
      </c>
      <c r="L18" s="19">
        <v>31</v>
      </c>
      <c r="M18" s="19">
        <v>15</v>
      </c>
      <c r="N18" s="21">
        <v>12.6</v>
      </c>
      <c r="O18" s="15">
        <f t="shared" si="0"/>
        <v>1536.3</v>
      </c>
      <c r="P18" s="22">
        <f t="shared" si="1"/>
        <v>128</v>
      </c>
    </row>
    <row r="19" spans="2:16" ht="21.95" customHeight="1">
      <c r="B19" s="18">
        <v>2006</v>
      </c>
      <c r="C19" s="19">
        <v>27</v>
      </c>
      <c r="D19" s="19">
        <v>37.799999999999997</v>
      </c>
      <c r="E19" s="19">
        <v>11.9</v>
      </c>
      <c r="F19" s="19">
        <v>92.5</v>
      </c>
      <c r="G19" s="19">
        <v>107</v>
      </c>
      <c r="H19" s="19">
        <v>113</v>
      </c>
      <c r="I19" s="19">
        <v>511.5</v>
      </c>
      <c r="J19" s="19">
        <v>143</v>
      </c>
      <c r="K19" s="19">
        <v>27.5</v>
      </c>
      <c r="L19" s="19">
        <v>25</v>
      </c>
      <c r="M19" s="19">
        <v>76.5</v>
      </c>
      <c r="N19" s="21">
        <v>23.5</v>
      </c>
      <c r="O19" s="15">
        <f t="shared" si="0"/>
        <v>1196.2</v>
      </c>
      <c r="P19" s="22">
        <f t="shared" si="1"/>
        <v>99.7</v>
      </c>
    </row>
    <row r="20" spans="2:16" ht="21.95" customHeight="1">
      <c r="B20" s="18">
        <v>2007</v>
      </c>
      <c r="C20" s="19">
        <v>11.6</v>
      </c>
      <c r="D20" s="19">
        <v>42.5</v>
      </c>
      <c r="E20" s="19">
        <v>119.8</v>
      </c>
      <c r="F20" s="19">
        <v>40</v>
      </c>
      <c r="G20" s="19">
        <v>105</v>
      </c>
      <c r="H20" s="19">
        <v>142</v>
      </c>
      <c r="I20" s="19">
        <v>282.5</v>
      </c>
      <c r="J20" s="19">
        <v>366</v>
      </c>
      <c r="K20" s="19">
        <v>351.5</v>
      </c>
      <c r="L20" s="19">
        <v>37</v>
      </c>
      <c r="M20" s="19">
        <v>10.6</v>
      </c>
      <c r="N20" s="21">
        <v>23.6</v>
      </c>
      <c r="O20" s="15">
        <f t="shared" si="0"/>
        <v>1532.1</v>
      </c>
      <c r="P20" s="22">
        <f t="shared" si="1"/>
        <v>127.7</v>
      </c>
    </row>
    <row r="21" spans="2:16" ht="21.95" customHeight="1">
      <c r="B21" s="18">
        <v>2008</v>
      </c>
      <c r="C21" s="19">
        <v>46.9</v>
      </c>
      <c r="D21" s="19">
        <v>7</v>
      </c>
      <c r="E21" s="19">
        <v>28.7</v>
      </c>
      <c r="F21" s="19">
        <v>23.3</v>
      </c>
      <c r="G21" s="19">
        <v>83.5</v>
      </c>
      <c r="H21" s="19">
        <v>152.1</v>
      </c>
      <c r="I21" s="19">
        <v>212.5</v>
      </c>
      <c r="J21" s="19">
        <v>311.10000000000002</v>
      </c>
      <c r="K21" s="19">
        <v>51.8</v>
      </c>
      <c r="L21" s="19">
        <v>19.399999999999999</v>
      </c>
      <c r="M21" s="19">
        <v>11.3</v>
      </c>
      <c r="N21" s="21">
        <v>14.3</v>
      </c>
      <c r="O21" s="15">
        <f t="shared" si="0"/>
        <v>961.9</v>
      </c>
      <c r="P21" s="22">
        <f t="shared" si="1"/>
        <v>80.2</v>
      </c>
    </row>
    <row r="22" spans="2:16" ht="21.95" customHeight="1">
      <c r="B22" s="18">
        <v>2009</v>
      </c>
      <c r="C22" s="19">
        <v>10.5</v>
      </c>
      <c r="D22" s="19">
        <v>23.9</v>
      </c>
      <c r="E22" s="19">
        <v>53</v>
      </c>
      <c r="F22" s="19">
        <v>37</v>
      </c>
      <c r="G22" s="19">
        <v>147.5</v>
      </c>
      <c r="H22" s="19">
        <v>137</v>
      </c>
      <c r="I22" s="19">
        <v>404</v>
      </c>
      <c r="J22" s="19">
        <v>124</v>
      </c>
      <c r="K22" s="19">
        <v>62.5</v>
      </c>
      <c r="L22" s="19">
        <v>27.2</v>
      </c>
      <c r="M22" s="19">
        <v>48</v>
      </c>
      <c r="N22" s="21">
        <v>37.6</v>
      </c>
      <c r="O22" s="15">
        <f t="shared" si="0"/>
        <v>1112.2</v>
      </c>
      <c r="P22" s="22">
        <f t="shared" si="1"/>
        <v>92.7</v>
      </c>
    </row>
    <row r="23" spans="2:16" ht="21.95" customHeight="1">
      <c r="B23" s="18">
        <v>2010</v>
      </c>
      <c r="C23" s="19">
        <v>32</v>
      </c>
      <c r="D23" s="19">
        <v>74.099999999999994</v>
      </c>
      <c r="E23" s="19">
        <v>82.9</v>
      </c>
      <c r="F23" s="19">
        <v>74</v>
      </c>
      <c r="G23" s="19">
        <v>108</v>
      </c>
      <c r="H23" s="19">
        <v>20.6</v>
      </c>
      <c r="I23" s="19">
        <v>199.6</v>
      </c>
      <c r="J23" s="19">
        <v>357.7</v>
      </c>
      <c r="K23" s="19">
        <v>249.7</v>
      </c>
      <c r="L23" s="19">
        <v>26.8</v>
      </c>
      <c r="M23" s="19">
        <v>9</v>
      </c>
      <c r="N23" s="21">
        <v>28.5</v>
      </c>
      <c r="O23" s="15">
        <f t="shared" si="0"/>
        <v>1262.9000000000001</v>
      </c>
      <c r="P23" s="22">
        <f t="shared" si="1"/>
        <v>105.2</v>
      </c>
    </row>
    <row r="24" spans="2:16" ht="21.95" customHeight="1">
      <c r="B24" s="18">
        <v>2011</v>
      </c>
      <c r="C24" s="19">
        <v>2.6</v>
      </c>
      <c r="D24" s="19">
        <v>38.9</v>
      </c>
      <c r="E24" s="19">
        <v>19.8</v>
      </c>
      <c r="F24" s="19">
        <v>94.5</v>
      </c>
      <c r="G24" s="19">
        <v>153.80000000000001</v>
      </c>
      <c r="H24" s="19">
        <v>412</v>
      </c>
      <c r="I24" s="19">
        <v>535.1</v>
      </c>
      <c r="J24" s="19">
        <v>296.7</v>
      </c>
      <c r="K24" s="19">
        <v>105.8</v>
      </c>
      <c r="L24" s="19">
        <v>55.5</v>
      </c>
      <c r="M24" s="19">
        <v>84.5</v>
      </c>
      <c r="N24" s="21">
        <v>11.5</v>
      </c>
      <c r="O24" s="15">
        <f t="shared" si="0"/>
        <v>1810.7</v>
      </c>
      <c r="P24" s="22">
        <f t="shared" si="1"/>
        <v>150.9</v>
      </c>
    </row>
    <row r="25" spans="2:16" ht="21.95" customHeight="1">
      <c r="B25" s="18">
        <v>2012</v>
      </c>
      <c r="C25" s="19">
        <v>16.100000000000001</v>
      </c>
      <c r="D25" s="19">
        <v>1</v>
      </c>
      <c r="E25" s="19">
        <v>79</v>
      </c>
      <c r="F25" s="19">
        <v>92.4</v>
      </c>
      <c r="G25" s="19">
        <v>44.6</v>
      </c>
      <c r="H25" s="19">
        <v>79.400000000000006</v>
      </c>
      <c r="I25" s="19">
        <v>294.60000000000002</v>
      </c>
      <c r="J25" s="19">
        <v>488.9</v>
      </c>
      <c r="K25" s="19">
        <v>218.5</v>
      </c>
      <c r="L25" s="19">
        <v>83.6</v>
      </c>
      <c r="M25" s="19">
        <v>68.2</v>
      </c>
      <c r="N25" s="21">
        <v>56</v>
      </c>
      <c r="O25" s="15">
        <f t="shared" si="0"/>
        <v>1522.3</v>
      </c>
      <c r="P25" s="22">
        <f t="shared" si="1"/>
        <v>126.9</v>
      </c>
    </row>
    <row r="26" spans="2:16" ht="21.95" customHeight="1">
      <c r="B26" s="18">
        <v>2013</v>
      </c>
      <c r="C26" s="19">
        <v>45.2</v>
      </c>
      <c r="D26" s="19">
        <v>37.200000000000003</v>
      </c>
      <c r="E26" s="19">
        <v>50.9</v>
      </c>
      <c r="F26" s="19">
        <v>90.3</v>
      </c>
      <c r="G26" s="19">
        <v>107.8</v>
      </c>
      <c r="H26" s="19">
        <v>160.9</v>
      </c>
      <c r="I26" s="19">
        <v>245.2</v>
      </c>
      <c r="J26" s="19">
        <v>114</v>
      </c>
      <c r="K26" s="19">
        <v>139.9</v>
      </c>
      <c r="L26" s="19">
        <v>32</v>
      </c>
      <c r="M26" s="19">
        <v>67.2</v>
      </c>
      <c r="N26" s="21">
        <v>35.299999999999997</v>
      </c>
      <c r="O26" s="15">
        <f t="shared" si="0"/>
        <v>1125.9000000000001</v>
      </c>
      <c r="P26" s="22">
        <f t="shared" si="1"/>
        <v>93.8</v>
      </c>
    </row>
    <row r="27" spans="2:16" ht="21.95" customHeight="1">
      <c r="B27" s="18">
        <v>2014</v>
      </c>
      <c r="C27" s="19">
        <v>8</v>
      </c>
      <c r="D27" s="19">
        <v>5.5</v>
      </c>
      <c r="E27" s="19">
        <v>72.2</v>
      </c>
      <c r="F27" s="19">
        <v>46.7</v>
      </c>
      <c r="G27" s="19">
        <v>53</v>
      </c>
      <c r="H27" s="19">
        <v>103.4</v>
      </c>
      <c r="I27" s="19">
        <v>164.7</v>
      </c>
      <c r="J27" s="19">
        <v>288.7</v>
      </c>
      <c r="K27" s="19">
        <v>106.7</v>
      </c>
      <c r="L27" s="19">
        <v>171.3</v>
      </c>
      <c r="M27" s="19">
        <v>43.2</v>
      </c>
      <c r="N27" s="21">
        <v>25.8</v>
      </c>
      <c r="O27" s="15">
        <f t="shared" si="0"/>
        <v>1089.2</v>
      </c>
      <c r="P27" s="22">
        <f t="shared" si="1"/>
        <v>90.8</v>
      </c>
    </row>
    <row r="28" spans="2:16" ht="21.95" customHeight="1">
      <c r="B28" s="18">
        <v>2015</v>
      </c>
      <c r="C28" s="19">
        <v>25.1</v>
      </c>
      <c r="D28" s="19">
        <v>31.8</v>
      </c>
      <c r="E28" s="19">
        <v>45</v>
      </c>
      <c r="F28" s="19">
        <v>92.1</v>
      </c>
      <c r="G28" s="19">
        <v>31.8</v>
      </c>
      <c r="H28" s="19">
        <v>73.400000000000006</v>
      </c>
      <c r="I28" s="19">
        <v>156.69999999999999</v>
      </c>
      <c r="J28" s="19">
        <v>85.2</v>
      </c>
      <c r="K28" s="19">
        <v>38.799999999999997</v>
      </c>
      <c r="L28" s="19">
        <v>84.5</v>
      </c>
      <c r="M28" s="19">
        <v>109.8</v>
      </c>
      <c r="N28" s="21">
        <v>42.8</v>
      </c>
      <c r="O28" s="15">
        <f t="shared" si="0"/>
        <v>817</v>
      </c>
      <c r="P28" s="22">
        <f t="shared" si="1"/>
        <v>68.099999999999994</v>
      </c>
    </row>
    <row r="29" spans="2:16" ht="21.95" customHeight="1">
      <c r="B29" s="18">
        <v>2016</v>
      </c>
      <c r="C29" s="19">
        <v>9.6999999999999993</v>
      </c>
      <c r="D29" s="19">
        <v>39.799999999999997</v>
      </c>
      <c r="E29" s="19">
        <v>45.5</v>
      </c>
      <c r="F29" s="19">
        <v>149.19999999999999</v>
      </c>
      <c r="G29" s="19">
        <v>88.5</v>
      </c>
      <c r="H29" s="19">
        <v>48.8</v>
      </c>
      <c r="I29" s="19">
        <v>494.9</v>
      </c>
      <c r="J29" s="19">
        <v>53</v>
      </c>
      <c r="K29" s="19">
        <v>149.4</v>
      </c>
      <c r="L29" s="19">
        <v>135.69999999999999</v>
      </c>
      <c r="M29" s="19">
        <v>33.5</v>
      </c>
      <c r="N29" s="21">
        <v>43.6</v>
      </c>
      <c r="O29" s="15">
        <f t="shared" si="0"/>
        <v>1291.5999999999999</v>
      </c>
      <c r="P29" s="22">
        <f t="shared" si="1"/>
        <v>107.6</v>
      </c>
    </row>
    <row r="30" spans="2:16" ht="21.95" customHeight="1">
      <c r="B30" s="18">
        <v>2017</v>
      </c>
      <c r="C30" s="19">
        <v>16.399999999999999</v>
      </c>
      <c r="D30" s="19">
        <v>47</v>
      </c>
      <c r="E30" s="19">
        <v>16.899999999999999</v>
      </c>
      <c r="F30" s="19">
        <v>61</v>
      </c>
      <c r="G30" s="19">
        <v>28</v>
      </c>
      <c r="H30" s="19">
        <v>87.6</v>
      </c>
      <c r="I30" s="19">
        <v>572</v>
      </c>
      <c r="J30" s="19">
        <v>315.8</v>
      </c>
      <c r="K30" s="19">
        <v>108.6</v>
      </c>
      <c r="L30" s="19">
        <v>28.5</v>
      </c>
      <c r="M30" s="19">
        <v>13.4</v>
      </c>
      <c r="N30" s="21">
        <v>27.6</v>
      </c>
      <c r="O30" s="15">
        <f t="shared" si="0"/>
        <v>1322.8</v>
      </c>
      <c r="P30" s="22">
        <f t="shared" si="1"/>
        <v>110.2</v>
      </c>
    </row>
    <row r="31" spans="2:16" ht="21.95" customHeight="1">
      <c r="B31" s="18">
        <v>2018</v>
      </c>
      <c r="C31" s="19">
        <v>25</v>
      </c>
      <c r="D31" s="19">
        <v>28.5</v>
      </c>
      <c r="E31" s="19">
        <v>93.5</v>
      </c>
      <c r="F31" s="19">
        <v>139.19999999999999</v>
      </c>
      <c r="G31" s="19">
        <v>103.9</v>
      </c>
      <c r="H31" s="19">
        <v>75.3</v>
      </c>
      <c r="I31" s="19">
        <v>224.9</v>
      </c>
      <c r="J31" s="19">
        <v>386</v>
      </c>
      <c r="K31" s="19">
        <v>134.69999999999999</v>
      </c>
      <c r="L31" s="19">
        <v>108.3</v>
      </c>
      <c r="M31" s="19">
        <v>52.2</v>
      </c>
      <c r="N31" s="21">
        <v>38</v>
      </c>
      <c r="O31" s="15">
        <f t="shared" si="0"/>
        <v>1409.5</v>
      </c>
      <c r="P31" s="22">
        <f t="shared" si="1"/>
        <v>117.5</v>
      </c>
    </row>
    <row r="32" spans="2:16" ht="21.95" customHeight="1">
      <c r="B32" s="18">
        <v>2019</v>
      </c>
      <c r="C32" s="19">
        <v>0.9</v>
      </c>
      <c r="D32" s="19">
        <v>39.799999999999997</v>
      </c>
      <c r="E32" s="19">
        <v>29</v>
      </c>
      <c r="F32" s="19">
        <v>100.8</v>
      </c>
      <c r="G32" s="19">
        <v>42.8</v>
      </c>
      <c r="H32" s="19">
        <v>73.900000000000006</v>
      </c>
      <c r="I32" s="19">
        <v>226.1</v>
      </c>
      <c r="J32" s="19">
        <v>132.69999999999999</v>
      </c>
      <c r="K32" s="19">
        <v>186.2</v>
      </c>
      <c r="L32" s="19">
        <v>100.6</v>
      </c>
      <c r="M32" s="19">
        <v>86.2</v>
      </c>
      <c r="N32" s="21">
        <v>27.2</v>
      </c>
      <c r="O32" s="15">
        <f t="shared" si="0"/>
        <v>1046.2</v>
      </c>
      <c r="P32" s="22">
        <f t="shared" si="1"/>
        <v>87.2</v>
      </c>
    </row>
    <row r="33" spans="2:16" ht="21.95" customHeight="1">
      <c r="B33" s="18">
        <v>2020</v>
      </c>
      <c r="C33" s="19">
        <v>71.8</v>
      </c>
      <c r="D33" s="19">
        <v>80.8</v>
      </c>
      <c r="E33" s="19">
        <v>23.6</v>
      </c>
      <c r="F33" s="19">
        <v>35.9</v>
      </c>
      <c r="G33" s="19">
        <v>89.1</v>
      </c>
      <c r="H33" s="19">
        <v>171.2</v>
      </c>
      <c r="I33" s="19">
        <v>500.8</v>
      </c>
      <c r="J33" s="19">
        <v>587.79999999999995</v>
      </c>
      <c r="K33" s="19">
        <v>162.19999999999999</v>
      </c>
      <c r="L33" s="19">
        <v>3</v>
      </c>
      <c r="M33" s="19">
        <v>37</v>
      </c>
      <c r="N33" s="21">
        <v>5.6</v>
      </c>
      <c r="O33" s="15">
        <f t="shared" si="0"/>
        <v>1768.8</v>
      </c>
      <c r="P33" s="22">
        <f t="shared" si="1"/>
        <v>147.4</v>
      </c>
    </row>
    <row r="34" spans="2:16" ht="21.95" customHeight="1">
      <c r="B34" s="18">
        <v>2021</v>
      </c>
      <c r="C34" s="19">
        <v>19.8</v>
      </c>
      <c r="D34" s="19">
        <v>14.1</v>
      </c>
      <c r="E34" s="19">
        <v>93</v>
      </c>
      <c r="F34" s="19">
        <v>52.5</v>
      </c>
      <c r="G34" s="19">
        <v>154.5</v>
      </c>
      <c r="H34" s="19">
        <v>76.8</v>
      </c>
      <c r="I34" s="19">
        <v>163.9</v>
      </c>
      <c r="J34" s="19">
        <v>275.8</v>
      </c>
      <c r="K34" s="19">
        <v>162.19999999999999</v>
      </c>
      <c r="L34" s="19">
        <v>33.799999999999997</v>
      </c>
      <c r="M34" s="19">
        <v>44.9</v>
      </c>
      <c r="N34" s="21">
        <v>6.4</v>
      </c>
      <c r="O34" s="15">
        <f t="shared" si="0"/>
        <v>1097.7</v>
      </c>
      <c r="P34" s="22">
        <f t="shared" si="1"/>
        <v>91.5</v>
      </c>
    </row>
    <row r="35" spans="2:16" ht="21.95" customHeight="1" thickBot="1">
      <c r="B35" s="38">
        <v>2022</v>
      </c>
      <c r="C35" s="39">
        <v>4.3</v>
      </c>
      <c r="D35" s="39">
        <v>4.3</v>
      </c>
      <c r="E35" s="39">
        <v>98.2</v>
      </c>
      <c r="F35" s="39">
        <v>61.1</v>
      </c>
      <c r="G35" s="39">
        <v>5.6</v>
      </c>
      <c r="H35" s="39">
        <v>98.3</v>
      </c>
      <c r="I35" s="39">
        <v>160.5</v>
      </c>
      <c r="J35" s="39">
        <v>391.9</v>
      </c>
      <c r="K35" s="39">
        <v>71.7</v>
      </c>
      <c r="L35" s="39">
        <v>89.7</v>
      </c>
      <c r="M35" s="39">
        <v>39.9</v>
      </c>
      <c r="N35" s="40">
        <v>18</v>
      </c>
      <c r="O35" s="41">
        <f t="shared" si="0"/>
        <v>1043.5</v>
      </c>
      <c r="P35" s="42">
        <f t="shared" si="1"/>
        <v>87</v>
      </c>
    </row>
    <row r="36" spans="2:16" ht="21.95" customHeight="1">
      <c r="B36" s="43" t="s">
        <v>13</v>
      </c>
      <c r="C36" s="44">
        <f>ROUND(MAX(C6:C35),1)</f>
        <v>89.1</v>
      </c>
      <c r="D36" s="44">
        <f t="shared" ref="D36:N36" si="2">ROUND(MAX(D6:D35),1)</f>
        <v>80.8</v>
      </c>
      <c r="E36" s="44">
        <f t="shared" si="2"/>
        <v>119.8</v>
      </c>
      <c r="F36" s="44">
        <f t="shared" si="2"/>
        <v>200.5</v>
      </c>
      <c r="G36" s="44">
        <f t="shared" si="2"/>
        <v>238</v>
      </c>
      <c r="H36" s="44">
        <f t="shared" si="2"/>
        <v>412</v>
      </c>
      <c r="I36" s="44">
        <f t="shared" si="2"/>
        <v>689</v>
      </c>
      <c r="J36" s="44">
        <f t="shared" si="2"/>
        <v>894</v>
      </c>
      <c r="K36" s="44">
        <f t="shared" si="2"/>
        <v>351.5</v>
      </c>
      <c r="L36" s="44">
        <f t="shared" si="2"/>
        <v>171.3</v>
      </c>
      <c r="M36" s="44">
        <f t="shared" si="2"/>
        <v>162.69999999999999</v>
      </c>
      <c r="N36" s="45">
        <f t="shared" si="2"/>
        <v>56</v>
      </c>
      <c r="O36" s="46">
        <f>ROUND(MAX(O6:O35),1)</f>
        <v>2085.1</v>
      </c>
      <c r="P36" s="47">
        <f>ROUND(MAX(P6:P35),1)</f>
        <v>173.8</v>
      </c>
    </row>
    <row r="37" spans="2:16" ht="21.95" customHeight="1">
      <c r="B37" s="48" t="s">
        <v>14</v>
      </c>
      <c r="C37" s="49">
        <f>ROUND(MIN(C6:C35),1)</f>
        <v>0.9</v>
      </c>
      <c r="D37" s="49">
        <f t="shared" ref="D37:N37" si="3">ROUND(MIN(D6:D35),1)</f>
        <v>1</v>
      </c>
      <c r="E37" s="49">
        <f t="shared" si="3"/>
        <v>11.9</v>
      </c>
      <c r="F37" s="49">
        <f t="shared" si="3"/>
        <v>11.5</v>
      </c>
      <c r="G37" s="49">
        <f t="shared" si="3"/>
        <v>5.6</v>
      </c>
      <c r="H37" s="49">
        <f t="shared" si="3"/>
        <v>20.6</v>
      </c>
      <c r="I37" s="49">
        <f t="shared" si="3"/>
        <v>89</v>
      </c>
      <c r="J37" s="49">
        <f t="shared" si="3"/>
        <v>53</v>
      </c>
      <c r="K37" s="49">
        <f t="shared" si="3"/>
        <v>5</v>
      </c>
      <c r="L37" s="49">
        <f t="shared" si="3"/>
        <v>3</v>
      </c>
      <c r="M37" s="49">
        <f t="shared" si="3"/>
        <v>9</v>
      </c>
      <c r="N37" s="22">
        <f t="shared" si="3"/>
        <v>4.5</v>
      </c>
      <c r="O37" s="50">
        <f>ROUND(MIN(O6:O35),1)</f>
        <v>765.3</v>
      </c>
      <c r="P37" s="51">
        <f>ROUND(MIN(P6:P35),1)</f>
        <v>63.8</v>
      </c>
    </row>
    <row r="38" spans="2:16" ht="21.95" customHeight="1" thickBot="1">
      <c r="B38" s="52" t="s">
        <v>18</v>
      </c>
      <c r="C38" s="53">
        <f>ROUND(AVERAGE(C6:C35),1)</f>
        <v>23</v>
      </c>
      <c r="D38" s="53">
        <f t="shared" ref="D38:P38" si="4">ROUND(AVERAGE(D6:D35),1)</f>
        <v>31.6</v>
      </c>
      <c r="E38" s="53">
        <f t="shared" si="4"/>
        <v>50.5</v>
      </c>
      <c r="F38" s="53">
        <f t="shared" si="4"/>
        <v>80.2</v>
      </c>
      <c r="G38" s="53">
        <f t="shared" si="4"/>
        <v>94</v>
      </c>
      <c r="H38" s="53">
        <f t="shared" si="4"/>
        <v>157.9</v>
      </c>
      <c r="I38" s="53">
        <f t="shared" si="4"/>
        <v>299.3</v>
      </c>
      <c r="J38" s="53">
        <f t="shared" si="4"/>
        <v>309.3</v>
      </c>
      <c r="K38" s="53">
        <f t="shared" si="4"/>
        <v>135.30000000000001</v>
      </c>
      <c r="L38" s="53">
        <f t="shared" si="4"/>
        <v>58.8</v>
      </c>
      <c r="M38" s="53">
        <f t="shared" si="4"/>
        <v>46.3</v>
      </c>
      <c r="N38" s="54">
        <f t="shared" si="4"/>
        <v>25.6</v>
      </c>
      <c r="O38" s="55">
        <f t="shared" si="4"/>
        <v>1311.7</v>
      </c>
      <c r="P38" s="56">
        <f t="shared" si="4"/>
        <v>109.3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45.2</v>
      </c>
      <c r="D44" s="62">
        <f t="shared" si="5"/>
        <v>37.200000000000003</v>
      </c>
      <c r="E44" s="62">
        <f t="shared" si="5"/>
        <v>50.9</v>
      </c>
      <c r="F44" s="62">
        <f t="shared" si="5"/>
        <v>90.3</v>
      </c>
      <c r="G44" s="62">
        <f t="shared" si="5"/>
        <v>107.8</v>
      </c>
      <c r="H44" s="62">
        <f t="shared" si="5"/>
        <v>160.9</v>
      </c>
      <c r="I44" s="62">
        <f t="shared" si="5"/>
        <v>245.2</v>
      </c>
      <c r="J44" s="62">
        <f t="shared" si="5"/>
        <v>114</v>
      </c>
      <c r="K44" s="62">
        <f t="shared" si="5"/>
        <v>139.9</v>
      </c>
      <c r="L44" s="62">
        <f t="shared" si="5"/>
        <v>32</v>
      </c>
      <c r="M44" s="62">
        <f t="shared" si="5"/>
        <v>67.2</v>
      </c>
      <c r="N44" s="63">
        <f t="shared" si="5"/>
        <v>35.299999999999997</v>
      </c>
      <c r="O44" s="64">
        <f>ROUND(SUM(C44:N44),1)</f>
        <v>1125.9000000000001</v>
      </c>
      <c r="P44" s="51">
        <f>ROUND(O44/12,1)</f>
        <v>93.8</v>
      </c>
    </row>
    <row r="45" spans="2:16" ht="21.95" customHeight="1">
      <c r="B45" s="61">
        <f t="shared" ref="B45:N53" si="6">B27</f>
        <v>2014</v>
      </c>
      <c r="C45" s="62">
        <f t="shared" si="6"/>
        <v>8</v>
      </c>
      <c r="D45" s="62">
        <f t="shared" si="6"/>
        <v>5.5</v>
      </c>
      <c r="E45" s="62">
        <f t="shared" si="6"/>
        <v>72.2</v>
      </c>
      <c r="F45" s="62">
        <f t="shared" si="6"/>
        <v>46.7</v>
      </c>
      <c r="G45" s="62">
        <f t="shared" si="6"/>
        <v>53</v>
      </c>
      <c r="H45" s="62">
        <f t="shared" si="6"/>
        <v>103.4</v>
      </c>
      <c r="I45" s="62">
        <f t="shared" si="6"/>
        <v>164.7</v>
      </c>
      <c r="J45" s="62">
        <f t="shared" si="6"/>
        <v>288.7</v>
      </c>
      <c r="K45" s="62">
        <f t="shared" si="6"/>
        <v>106.7</v>
      </c>
      <c r="L45" s="62">
        <f t="shared" si="6"/>
        <v>171.3</v>
      </c>
      <c r="M45" s="62">
        <f t="shared" si="6"/>
        <v>43.2</v>
      </c>
      <c r="N45" s="63">
        <f t="shared" si="6"/>
        <v>25.8</v>
      </c>
      <c r="O45" s="64">
        <f t="shared" ref="O45:O53" si="7">ROUND(SUM(C45:N45),1)</f>
        <v>1089.2</v>
      </c>
      <c r="P45" s="51">
        <f t="shared" ref="P45:P53" si="8">ROUND(O45/12,1)</f>
        <v>90.8</v>
      </c>
    </row>
    <row r="46" spans="2:16" ht="21.95" customHeight="1">
      <c r="B46" s="61">
        <f t="shared" si="6"/>
        <v>2015</v>
      </c>
      <c r="C46" s="62">
        <f t="shared" si="6"/>
        <v>25.1</v>
      </c>
      <c r="D46" s="62">
        <f t="shared" si="6"/>
        <v>31.8</v>
      </c>
      <c r="E46" s="62">
        <f t="shared" si="6"/>
        <v>45</v>
      </c>
      <c r="F46" s="62">
        <f t="shared" si="6"/>
        <v>92.1</v>
      </c>
      <c r="G46" s="62">
        <f t="shared" si="6"/>
        <v>31.8</v>
      </c>
      <c r="H46" s="62">
        <f t="shared" si="6"/>
        <v>73.400000000000006</v>
      </c>
      <c r="I46" s="62">
        <f t="shared" si="6"/>
        <v>156.69999999999999</v>
      </c>
      <c r="J46" s="62">
        <f t="shared" si="6"/>
        <v>85.2</v>
      </c>
      <c r="K46" s="62">
        <f t="shared" si="6"/>
        <v>38.799999999999997</v>
      </c>
      <c r="L46" s="62">
        <f t="shared" si="6"/>
        <v>84.5</v>
      </c>
      <c r="M46" s="62">
        <f t="shared" si="6"/>
        <v>109.8</v>
      </c>
      <c r="N46" s="63">
        <f t="shared" si="6"/>
        <v>42.8</v>
      </c>
      <c r="O46" s="64">
        <f t="shared" si="7"/>
        <v>817</v>
      </c>
      <c r="P46" s="51">
        <f t="shared" si="8"/>
        <v>68.099999999999994</v>
      </c>
    </row>
    <row r="47" spans="2:16" ht="21.95" customHeight="1">
      <c r="B47" s="61">
        <f t="shared" si="6"/>
        <v>2016</v>
      </c>
      <c r="C47" s="62">
        <f t="shared" si="6"/>
        <v>9.6999999999999993</v>
      </c>
      <c r="D47" s="62">
        <f t="shared" si="6"/>
        <v>39.799999999999997</v>
      </c>
      <c r="E47" s="62">
        <f t="shared" si="6"/>
        <v>45.5</v>
      </c>
      <c r="F47" s="62">
        <f t="shared" si="6"/>
        <v>149.19999999999999</v>
      </c>
      <c r="G47" s="62">
        <f t="shared" si="6"/>
        <v>88.5</v>
      </c>
      <c r="H47" s="62">
        <f t="shared" si="6"/>
        <v>48.8</v>
      </c>
      <c r="I47" s="62">
        <f t="shared" si="6"/>
        <v>494.9</v>
      </c>
      <c r="J47" s="62">
        <f t="shared" si="6"/>
        <v>53</v>
      </c>
      <c r="K47" s="62">
        <f t="shared" si="6"/>
        <v>149.4</v>
      </c>
      <c r="L47" s="62">
        <f t="shared" si="6"/>
        <v>135.69999999999999</v>
      </c>
      <c r="M47" s="62">
        <f t="shared" si="6"/>
        <v>33.5</v>
      </c>
      <c r="N47" s="63">
        <f t="shared" si="6"/>
        <v>43.6</v>
      </c>
      <c r="O47" s="64">
        <f>ROUND(SUM(C47:N47),1)</f>
        <v>1291.5999999999999</v>
      </c>
      <c r="P47" s="51">
        <f t="shared" si="8"/>
        <v>107.6</v>
      </c>
    </row>
    <row r="48" spans="2:16" ht="21.95" customHeight="1">
      <c r="B48" s="61">
        <f t="shared" si="6"/>
        <v>2017</v>
      </c>
      <c r="C48" s="62">
        <f t="shared" si="6"/>
        <v>16.399999999999999</v>
      </c>
      <c r="D48" s="62">
        <f t="shared" si="6"/>
        <v>47</v>
      </c>
      <c r="E48" s="62">
        <f t="shared" si="6"/>
        <v>16.899999999999999</v>
      </c>
      <c r="F48" s="62">
        <f t="shared" si="6"/>
        <v>61</v>
      </c>
      <c r="G48" s="62">
        <f t="shared" si="6"/>
        <v>28</v>
      </c>
      <c r="H48" s="62">
        <f t="shared" si="6"/>
        <v>87.6</v>
      </c>
      <c r="I48" s="62">
        <f t="shared" si="6"/>
        <v>572</v>
      </c>
      <c r="J48" s="62">
        <f t="shared" si="6"/>
        <v>315.8</v>
      </c>
      <c r="K48" s="62">
        <f t="shared" si="6"/>
        <v>108.6</v>
      </c>
      <c r="L48" s="62">
        <f t="shared" si="6"/>
        <v>28.5</v>
      </c>
      <c r="M48" s="62">
        <f t="shared" si="6"/>
        <v>13.4</v>
      </c>
      <c r="N48" s="63">
        <f t="shared" si="6"/>
        <v>27.6</v>
      </c>
      <c r="O48" s="64">
        <f t="shared" si="7"/>
        <v>1322.8</v>
      </c>
      <c r="P48" s="51">
        <f t="shared" si="8"/>
        <v>110.2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28.5</v>
      </c>
      <c r="E49" s="62">
        <f t="shared" si="6"/>
        <v>93.5</v>
      </c>
      <c r="F49" s="62">
        <f t="shared" si="6"/>
        <v>139.19999999999999</v>
      </c>
      <c r="G49" s="62">
        <f t="shared" si="6"/>
        <v>103.9</v>
      </c>
      <c r="H49" s="62">
        <f t="shared" si="6"/>
        <v>75.3</v>
      </c>
      <c r="I49" s="62">
        <f t="shared" si="6"/>
        <v>224.9</v>
      </c>
      <c r="J49" s="62">
        <f t="shared" si="6"/>
        <v>386</v>
      </c>
      <c r="K49" s="62">
        <f t="shared" si="6"/>
        <v>134.69999999999999</v>
      </c>
      <c r="L49" s="62">
        <f t="shared" si="6"/>
        <v>108.3</v>
      </c>
      <c r="M49" s="62">
        <f t="shared" si="6"/>
        <v>52.2</v>
      </c>
      <c r="N49" s="63">
        <f t="shared" si="6"/>
        <v>38</v>
      </c>
      <c r="O49" s="64">
        <f t="shared" si="7"/>
        <v>1409.5</v>
      </c>
      <c r="P49" s="51">
        <f t="shared" si="8"/>
        <v>117.5</v>
      </c>
    </row>
    <row r="50" spans="2:16" ht="21.95" customHeight="1">
      <c r="B50" s="61">
        <f t="shared" si="6"/>
        <v>2019</v>
      </c>
      <c r="C50" s="62">
        <f t="shared" si="6"/>
        <v>0.9</v>
      </c>
      <c r="D50" s="62">
        <f t="shared" si="6"/>
        <v>39.799999999999997</v>
      </c>
      <c r="E50" s="62">
        <f t="shared" si="6"/>
        <v>29</v>
      </c>
      <c r="F50" s="62">
        <f t="shared" si="6"/>
        <v>100.8</v>
      </c>
      <c r="G50" s="62">
        <f t="shared" si="6"/>
        <v>42.8</v>
      </c>
      <c r="H50" s="62">
        <f t="shared" si="6"/>
        <v>73.900000000000006</v>
      </c>
      <c r="I50" s="62">
        <f t="shared" si="6"/>
        <v>226.1</v>
      </c>
      <c r="J50" s="62">
        <f t="shared" si="6"/>
        <v>132.69999999999999</v>
      </c>
      <c r="K50" s="62">
        <f t="shared" si="6"/>
        <v>186.2</v>
      </c>
      <c r="L50" s="62">
        <f t="shared" si="6"/>
        <v>100.6</v>
      </c>
      <c r="M50" s="62">
        <f t="shared" si="6"/>
        <v>86.2</v>
      </c>
      <c r="N50" s="63">
        <f t="shared" si="6"/>
        <v>27.2</v>
      </c>
      <c r="O50" s="64">
        <f t="shared" si="7"/>
        <v>1046.2</v>
      </c>
      <c r="P50" s="51">
        <f t="shared" si="8"/>
        <v>87.2</v>
      </c>
    </row>
    <row r="51" spans="2:16" ht="21.95" customHeight="1">
      <c r="B51" s="61">
        <f t="shared" si="6"/>
        <v>2020</v>
      </c>
      <c r="C51" s="62">
        <f t="shared" si="6"/>
        <v>71.8</v>
      </c>
      <c r="D51" s="62">
        <f t="shared" si="6"/>
        <v>80.8</v>
      </c>
      <c r="E51" s="62">
        <f t="shared" si="6"/>
        <v>23.6</v>
      </c>
      <c r="F51" s="62">
        <f t="shared" si="6"/>
        <v>35.9</v>
      </c>
      <c r="G51" s="62">
        <f t="shared" si="6"/>
        <v>89.1</v>
      </c>
      <c r="H51" s="62">
        <f t="shared" si="6"/>
        <v>171.2</v>
      </c>
      <c r="I51" s="62">
        <f t="shared" si="6"/>
        <v>500.8</v>
      </c>
      <c r="J51" s="62">
        <f t="shared" si="6"/>
        <v>587.79999999999995</v>
      </c>
      <c r="K51" s="62">
        <f t="shared" si="6"/>
        <v>162.19999999999999</v>
      </c>
      <c r="L51" s="62">
        <f t="shared" si="6"/>
        <v>3</v>
      </c>
      <c r="M51" s="62">
        <f t="shared" si="6"/>
        <v>37</v>
      </c>
      <c r="N51" s="63">
        <f t="shared" si="6"/>
        <v>5.6</v>
      </c>
      <c r="O51" s="64">
        <f t="shared" si="7"/>
        <v>1768.8</v>
      </c>
      <c r="P51" s="51">
        <f t="shared" si="8"/>
        <v>147.4</v>
      </c>
    </row>
    <row r="52" spans="2:16" ht="21.95" customHeight="1">
      <c r="B52" s="61">
        <f t="shared" si="6"/>
        <v>2021</v>
      </c>
      <c r="C52" s="62">
        <f t="shared" si="6"/>
        <v>19.8</v>
      </c>
      <c r="D52" s="62">
        <f t="shared" si="6"/>
        <v>14.1</v>
      </c>
      <c r="E52" s="62">
        <f t="shared" si="6"/>
        <v>93</v>
      </c>
      <c r="F52" s="62">
        <f t="shared" si="6"/>
        <v>52.5</v>
      </c>
      <c r="G52" s="62">
        <f t="shared" si="6"/>
        <v>154.5</v>
      </c>
      <c r="H52" s="62">
        <f t="shared" si="6"/>
        <v>76.8</v>
      </c>
      <c r="I52" s="62">
        <f t="shared" si="6"/>
        <v>163.9</v>
      </c>
      <c r="J52" s="62">
        <f t="shared" si="6"/>
        <v>275.8</v>
      </c>
      <c r="K52" s="62">
        <f t="shared" si="6"/>
        <v>162.19999999999999</v>
      </c>
      <c r="L52" s="62">
        <f t="shared" si="6"/>
        <v>33.799999999999997</v>
      </c>
      <c r="M52" s="62">
        <f t="shared" si="6"/>
        <v>44.9</v>
      </c>
      <c r="N52" s="63">
        <f t="shared" si="6"/>
        <v>6.4</v>
      </c>
      <c r="O52" s="64">
        <f t="shared" si="7"/>
        <v>1097.7</v>
      </c>
      <c r="P52" s="51">
        <f t="shared" si="8"/>
        <v>91.5</v>
      </c>
    </row>
    <row r="53" spans="2:16" ht="21.95" customHeight="1" thickBot="1">
      <c r="B53" s="65">
        <f t="shared" si="6"/>
        <v>2022</v>
      </c>
      <c r="C53" s="66">
        <f t="shared" si="6"/>
        <v>4.3</v>
      </c>
      <c r="D53" s="66">
        <f t="shared" si="6"/>
        <v>4.3</v>
      </c>
      <c r="E53" s="66">
        <f t="shared" si="6"/>
        <v>98.2</v>
      </c>
      <c r="F53" s="66">
        <f t="shared" si="6"/>
        <v>61.1</v>
      </c>
      <c r="G53" s="66">
        <f t="shared" si="6"/>
        <v>5.6</v>
      </c>
      <c r="H53" s="66">
        <f t="shared" si="6"/>
        <v>98.3</v>
      </c>
      <c r="I53" s="66">
        <f t="shared" si="6"/>
        <v>160.5</v>
      </c>
      <c r="J53" s="66">
        <f t="shared" si="6"/>
        <v>391.9</v>
      </c>
      <c r="K53" s="66">
        <f t="shared" si="6"/>
        <v>71.7</v>
      </c>
      <c r="L53" s="66">
        <f t="shared" si="6"/>
        <v>89.7</v>
      </c>
      <c r="M53" s="66">
        <f t="shared" si="6"/>
        <v>39.9</v>
      </c>
      <c r="N53" s="67">
        <f t="shared" si="6"/>
        <v>18</v>
      </c>
      <c r="O53" s="68">
        <f t="shared" si="7"/>
        <v>1043.5</v>
      </c>
      <c r="P53" s="56">
        <f t="shared" si="8"/>
        <v>87</v>
      </c>
    </row>
    <row r="54" spans="2:16" ht="21.95" customHeight="1">
      <c r="B54" s="69" t="s">
        <v>19</v>
      </c>
      <c r="C54" s="70">
        <f>MAX(C44:C53)</f>
        <v>71.8</v>
      </c>
      <c r="D54" s="70">
        <f t="shared" ref="D54:P54" si="9">MAX(D44:D53)</f>
        <v>80.8</v>
      </c>
      <c r="E54" s="70">
        <f t="shared" si="9"/>
        <v>98.2</v>
      </c>
      <c r="F54" s="70">
        <f t="shared" si="9"/>
        <v>149.19999999999999</v>
      </c>
      <c r="G54" s="70">
        <f t="shared" si="9"/>
        <v>154.5</v>
      </c>
      <c r="H54" s="70">
        <f t="shared" si="9"/>
        <v>171.2</v>
      </c>
      <c r="I54" s="70">
        <f t="shared" si="9"/>
        <v>572</v>
      </c>
      <c r="J54" s="70">
        <f t="shared" si="9"/>
        <v>587.79999999999995</v>
      </c>
      <c r="K54" s="70">
        <f t="shared" si="9"/>
        <v>186.2</v>
      </c>
      <c r="L54" s="70">
        <f t="shared" si="9"/>
        <v>171.3</v>
      </c>
      <c r="M54" s="70">
        <f t="shared" si="9"/>
        <v>109.8</v>
      </c>
      <c r="N54" s="71">
        <f t="shared" si="9"/>
        <v>43.6</v>
      </c>
      <c r="O54" s="72">
        <f t="shared" si="9"/>
        <v>1768.8</v>
      </c>
      <c r="P54" s="71">
        <f t="shared" si="9"/>
        <v>147.4</v>
      </c>
    </row>
    <row r="55" spans="2:16" ht="21.95" customHeight="1">
      <c r="B55" s="73" t="s">
        <v>20</v>
      </c>
      <c r="C55" s="74">
        <f>MIN(C44:C53)</f>
        <v>0.9</v>
      </c>
      <c r="D55" s="74">
        <f t="shared" ref="D55:P55" si="10">MIN(D44:D53)</f>
        <v>4.3</v>
      </c>
      <c r="E55" s="74">
        <f t="shared" si="10"/>
        <v>16.899999999999999</v>
      </c>
      <c r="F55" s="74">
        <f t="shared" si="10"/>
        <v>35.9</v>
      </c>
      <c r="G55" s="74">
        <f t="shared" si="10"/>
        <v>5.6</v>
      </c>
      <c r="H55" s="74">
        <f t="shared" si="10"/>
        <v>48.8</v>
      </c>
      <c r="I55" s="74">
        <f t="shared" si="10"/>
        <v>156.69999999999999</v>
      </c>
      <c r="J55" s="74">
        <f t="shared" si="10"/>
        <v>53</v>
      </c>
      <c r="K55" s="74">
        <f t="shared" si="10"/>
        <v>38.799999999999997</v>
      </c>
      <c r="L55" s="74">
        <f t="shared" si="10"/>
        <v>3</v>
      </c>
      <c r="M55" s="74">
        <f t="shared" si="10"/>
        <v>13.4</v>
      </c>
      <c r="N55" s="51">
        <f t="shared" si="10"/>
        <v>5.6</v>
      </c>
      <c r="O55" s="64">
        <f>MIN(O44:O53)</f>
        <v>817</v>
      </c>
      <c r="P55" s="51">
        <f t="shared" si="10"/>
        <v>68.099999999999994</v>
      </c>
    </row>
    <row r="56" spans="2:16" ht="21.95" customHeight="1" thickBot="1">
      <c r="B56" s="75" t="s">
        <v>7</v>
      </c>
      <c r="C56" s="76">
        <f>ROUND(AVERAGE(C44:C53),1)</f>
        <v>22.6</v>
      </c>
      <c r="D56" s="76">
        <f t="shared" ref="D56:N56" si="11">ROUND(AVERAGE(D44:D53),1)</f>
        <v>32.9</v>
      </c>
      <c r="E56" s="76">
        <f t="shared" si="11"/>
        <v>56.8</v>
      </c>
      <c r="F56" s="76">
        <f t="shared" si="11"/>
        <v>82.9</v>
      </c>
      <c r="G56" s="76">
        <f t="shared" si="11"/>
        <v>70.5</v>
      </c>
      <c r="H56" s="76">
        <f t="shared" si="11"/>
        <v>97</v>
      </c>
      <c r="I56" s="76">
        <f t="shared" si="11"/>
        <v>291</v>
      </c>
      <c r="J56" s="76">
        <f t="shared" si="11"/>
        <v>263.10000000000002</v>
      </c>
      <c r="K56" s="76">
        <f t="shared" si="11"/>
        <v>126</v>
      </c>
      <c r="L56" s="76">
        <f t="shared" si="11"/>
        <v>78.7</v>
      </c>
      <c r="M56" s="76">
        <f t="shared" si="11"/>
        <v>52.7</v>
      </c>
      <c r="N56" s="56">
        <f t="shared" si="11"/>
        <v>27</v>
      </c>
      <c r="O56" s="68">
        <f>ROUND(AVERAGE(O44:O53),1)</f>
        <v>1201.2</v>
      </c>
      <c r="P56" s="56">
        <f>ROUND(AVERAGE(P44:P53),1)</f>
        <v>100.1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CCF13-6532-4B70-A9CE-1DA0D8349E12}">
  <sheetPr codeName="Sheet19">
    <tabColor rgb="FF00FFFF"/>
  </sheetPr>
  <dimension ref="A2:Q983"/>
  <sheetViews>
    <sheetView zoomScaleNormal="100" workbookViewId="0">
      <selection activeCell="W22" sqref="W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8">
        <v>2022</v>
      </c>
      <c r="C35" s="39">
        <v>3.3</v>
      </c>
      <c r="D35" s="39">
        <v>3.3</v>
      </c>
      <c r="E35" s="39">
        <v>57.6</v>
      </c>
      <c r="F35" s="39">
        <v>51.6</v>
      </c>
      <c r="G35" s="39">
        <v>9.8000000000000007</v>
      </c>
      <c r="H35" s="39">
        <v>168</v>
      </c>
      <c r="I35" s="39">
        <v>117</v>
      </c>
      <c r="J35" s="39">
        <v>366.6</v>
      </c>
      <c r="K35" s="39">
        <v>133.30000000000001</v>
      </c>
      <c r="L35" s="39">
        <v>98.2</v>
      </c>
      <c r="M35" s="39">
        <v>43.2</v>
      </c>
      <c r="N35" s="40">
        <v>28.8</v>
      </c>
      <c r="O35" s="41">
        <f t="shared" si="0"/>
        <v>1080.7</v>
      </c>
      <c r="P35" s="42">
        <f t="shared" si="1"/>
        <v>90.1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68.599999999999994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56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18.899999999999999</v>
      </c>
      <c r="D38" s="53">
        <f t="shared" ref="D38:P38" si="4">ROUND(AVERAGE(D6:D35),1)</f>
        <v>25.4</v>
      </c>
      <c r="E38" s="53">
        <f t="shared" si="4"/>
        <v>39.5</v>
      </c>
      <c r="F38" s="53">
        <f t="shared" si="4"/>
        <v>66.7</v>
      </c>
      <c r="G38" s="53">
        <f t="shared" si="4"/>
        <v>76.900000000000006</v>
      </c>
      <c r="H38" s="53">
        <f t="shared" si="4"/>
        <v>130.1</v>
      </c>
      <c r="I38" s="53">
        <f t="shared" si="4"/>
        <v>280</v>
      </c>
      <c r="J38" s="53">
        <f t="shared" si="4"/>
        <v>305.3</v>
      </c>
      <c r="K38" s="53">
        <f t="shared" si="4"/>
        <v>144.80000000000001</v>
      </c>
      <c r="L38" s="53">
        <f t="shared" si="4"/>
        <v>59.2</v>
      </c>
      <c r="M38" s="53">
        <f t="shared" si="4"/>
        <v>49.5</v>
      </c>
      <c r="N38" s="54">
        <f t="shared" si="4"/>
        <v>25.7</v>
      </c>
      <c r="O38" s="55">
        <f t="shared" si="4"/>
        <v>1222.0999999999999</v>
      </c>
      <c r="P38" s="56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28.5</v>
      </c>
      <c r="D44" s="62">
        <f t="shared" si="5"/>
        <v>35.200000000000003</v>
      </c>
      <c r="E44" s="62">
        <f t="shared" si="5"/>
        <v>40</v>
      </c>
      <c r="F44" s="62">
        <f t="shared" si="5"/>
        <v>56.3</v>
      </c>
      <c r="G44" s="62">
        <f t="shared" si="5"/>
        <v>123.5</v>
      </c>
      <c r="H44" s="62">
        <f t="shared" si="5"/>
        <v>102.1</v>
      </c>
      <c r="I44" s="62">
        <f t="shared" si="5"/>
        <v>308.2</v>
      </c>
      <c r="J44" s="62">
        <f t="shared" si="5"/>
        <v>173.6</v>
      </c>
      <c r="K44" s="62">
        <f t="shared" si="5"/>
        <v>117.5</v>
      </c>
      <c r="L44" s="62">
        <f t="shared" si="5"/>
        <v>12.2</v>
      </c>
      <c r="M44" s="62">
        <f t="shared" si="5"/>
        <v>58.2</v>
      </c>
      <c r="N44" s="63">
        <f t="shared" si="5"/>
        <v>40.299999999999997</v>
      </c>
      <c r="O44" s="64">
        <f>ROUND(SUM(C44:N44),1)</f>
        <v>1095.5999999999999</v>
      </c>
      <c r="P44" s="51">
        <f>ROUND(O44/12,1)</f>
        <v>91.3</v>
      </c>
    </row>
    <row r="45" spans="2:16" ht="21.95" customHeight="1">
      <c r="B45" s="61">
        <f t="shared" ref="B45:N53" si="6">B27</f>
        <v>2014</v>
      </c>
      <c r="C45" s="62">
        <f t="shared" si="6"/>
        <v>4.9000000000000004</v>
      </c>
      <c r="D45" s="62">
        <f t="shared" si="6"/>
        <v>14.7</v>
      </c>
      <c r="E45" s="62">
        <f t="shared" si="6"/>
        <v>40.9</v>
      </c>
      <c r="F45" s="62">
        <f t="shared" si="6"/>
        <v>62.1</v>
      </c>
      <c r="G45" s="62">
        <f t="shared" si="6"/>
        <v>34.6</v>
      </c>
      <c r="H45" s="62">
        <f t="shared" si="6"/>
        <v>73.900000000000006</v>
      </c>
      <c r="I45" s="62">
        <f t="shared" si="6"/>
        <v>239</v>
      </c>
      <c r="J45" s="62">
        <f t="shared" si="6"/>
        <v>218.7</v>
      </c>
      <c r="K45" s="62">
        <f t="shared" si="6"/>
        <v>144</v>
      </c>
      <c r="L45" s="62">
        <f t="shared" si="6"/>
        <v>119.5</v>
      </c>
      <c r="M45" s="62">
        <f t="shared" si="6"/>
        <v>28.9</v>
      </c>
      <c r="N45" s="63">
        <f t="shared" si="6"/>
        <v>38.9</v>
      </c>
      <c r="O45" s="64">
        <f t="shared" ref="O45:O53" si="7">ROUND(SUM(C45:N45),1)</f>
        <v>1020.1</v>
      </c>
      <c r="P45" s="51">
        <f t="shared" ref="P45:P53" si="8">ROUND(O45/12,1)</f>
        <v>85</v>
      </c>
    </row>
    <row r="46" spans="2:16" ht="21.95" customHeight="1">
      <c r="B46" s="61">
        <f t="shared" si="6"/>
        <v>2015</v>
      </c>
      <c r="C46" s="62">
        <f t="shared" si="6"/>
        <v>12.7</v>
      </c>
      <c r="D46" s="62">
        <f t="shared" si="6"/>
        <v>21.5</v>
      </c>
      <c r="E46" s="62">
        <f t="shared" si="6"/>
        <v>23.3</v>
      </c>
      <c r="F46" s="62">
        <f t="shared" si="6"/>
        <v>87.6</v>
      </c>
      <c r="G46" s="62">
        <f t="shared" si="6"/>
        <v>27.5</v>
      </c>
      <c r="H46" s="62">
        <f t="shared" si="6"/>
        <v>86</v>
      </c>
      <c r="I46" s="62">
        <f t="shared" si="6"/>
        <v>136.80000000000001</v>
      </c>
      <c r="J46" s="62">
        <f t="shared" si="6"/>
        <v>64.2</v>
      </c>
      <c r="K46" s="62">
        <f t="shared" si="6"/>
        <v>29</v>
      </c>
      <c r="L46" s="62">
        <f t="shared" si="6"/>
        <v>69</v>
      </c>
      <c r="M46" s="62">
        <f t="shared" si="6"/>
        <v>128.6</v>
      </c>
      <c r="N46" s="63">
        <f t="shared" si="6"/>
        <v>41.8</v>
      </c>
      <c r="O46" s="64">
        <f t="shared" si="7"/>
        <v>728</v>
      </c>
      <c r="P46" s="51">
        <f t="shared" si="8"/>
        <v>60.7</v>
      </c>
    </row>
    <row r="47" spans="2:16" ht="21.95" customHeight="1">
      <c r="B47" s="61">
        <f t="shared" si="6"/>
        <v>2016</v>
      </c>
      <c r="C47" s="62">
        <f t="shared" si="6"/>
        <v>8</v>
      </c>
      <c r="D47" s="62">
        <f t="shared" si="6"/>
        <v>43.6</v>
      </c>
      <c r="E47" s="62">
        <f t="shared" si="6"/>
        <v>16.5</v>
      </c>
      <c r="F47" s="62">
        <f t="shared" si="6"/>
        <v>118.3</v>
      </c>
      <c r="G47" s="62">
        <f t="shared" si="6"/>
        <v>107.2</v>
      </c>
      <c r="H47" s="62">
        <f t="shared" si="6"/>
        <v>36.200000000000003</v>
      </c>
      <c r="I47" s="62">
        <f t="shared" si="6"/>
        <v>364.3</v>
      </c>
      <c r="J47" s="62">
        <f t="shared" si="6"/>
        <v>82</v>
      </c>
      <c r="K47" s="62">
        <f t="shared" si="6"/>
        <v>55</v>
      </c>
      <c r="L47" s="62">
        <f t="shared" si="6"/>
        <v>95.9</v>
      </c>
      <c r="M47" s="62">
        <f t="shared" si="6"/>
        <v>33.5</v>
      </c>
      <c r="N47" s="63">
        <f t="shared" si="6"/>
        <v>44.3</v>
      </c>
      <c r="O47" s="64">
        <f>ROUND(SUM(C47:N47),1)</f>
        <v>1004.8</v>
      </c>
      <c r="P47" s="51">
        <f t="shared" si="8"/>
        <v>83.7</v>
      </c>
    </row>
    <row r="48" spans="2:16" ht="21.95" customHeight="1">
      <c r="B48" s="61">
        <f t="shared" si="6"/>
        <v>2017</v>
      </c>
      <c r="C48" s="62">
        <f t="shared" si="6"/>
        <v>13.9</v>
      </c>
      <c r="D48" s="62">
        <f t="shared" si="6"/>
        <v>32.200000000000003</v>
      </c>
      <c r="E48" s="62">
        <f t="shared" si="6"/>
        <v>6.5</v>
      </c>
      <c r="F48" s="62">
        <f t="shared" si="6"/>
        <v>42.9</v>
      </c>
      <c r="G48" s="62">
        <f t="shared" si="6"/>
        <v>14.3</v>
      </c>
      <c r="H48" s="62">
        <f t="shared" si="6"/>
        <v>15.6</v>
      </c>
      <c r="I48" s="62">
        <f t="shared" si="6"/>
        <v>788.1</v>
      </c>
      <c r="J48" s="62">
        <f t="shared" si="6"/>
        <v>291.5</v>
      </c>
      <c r="K48" s="62">
        <f t="shared" si="6"/>
        <v>43.3</v>
      </c>
      <c r="L48" s="62">
        <f t="shared" si="6"/>
        <v>14.1</v>
      </c>
      <c r="M48" s="62">
        <f t="shared" si="6"/>
        <v>23.8</v>
      </c>
      <c r="N48" s="63">
        <f t="shared" si="6"/>
        <v>18.8</v>
      </c>
      <c r="O48" s="64">
        <f t="shared" si="7"/>
        <v>1305</v>
      </c>
      <c r="P48" s="51">
        <f t="shared" si="8"/>
        <v>108.8</v>
      </c>
    </row>
    <row r="49" spans="2:16" ht="21.95" customHeight="1">
      <c r="B49" s="61">
        <f t="shared" si="6"/>
        <v>2018</v>
      </c>
      <c r="C49" s="62">
        <f t="shared" si="6"/>
        <v>14</v>
      </c>
      <c r="D49" s="62">
        <f t="shared" si="6"/>
        <v>31.6</v>
      </c>
      <c r="E49" s="62">
        <f t="shared" si="6"/>
        <v>62.2</v>
      </c>
      <c r="F49" s="62">
        <f t="shared" si="6"/>
        <v>117</v>
      </c>
      <c r="G49" s="62">
        <f t="shared" si="6"/>
        <v>82.7</v>
      </c>
      <c r="H49" s="62">
        <f t="shared" si="6"/>
        <v>88.9</v>
      </c>
      <c r="I49" s="62">
        <f t="shared" si="6"/>
        <v>185.8</v>
      </c>
      <c r="J49" s="62">
        <f t="shared" si="6"/>
        <v>282.7</v>
      </c>
      <c r="K49" s="62">
        <f t="shared" si="6"/>
        <v>124.6</v>
      </c>
      <c r="L49" s="62">
        <f t="shared" si="6"/>
        <v>99.8</v>
      </c>
      <c r="M49" s="62">
        <f t="shared" si="6"/>
        <v>48.3</v>
      </c>
      <c r="N49" s="63">
        <f t="shared" si="6"/>
        <v>25.8</v>
      </c>
      <c r="O49" s="64">
        <f t="shared" si="7"/>
        <v>1163.4000000000001</v>
      </c>
      <c r="P49" s="51">
        <f t="shared" si="8"/>
        <v>97</v>
      </c>
    </row>
    <row r="50" spans="2:16" ht="21.95" customHeight="1">
      <c r="B50" s="61">
        <f t="shared" si="6"/>
        <v>2019</v>
      </c>
      <c r="C50" s="62">
        <f t="shared" si="6"/>
        <v>0.6</v>
      </c>
      <c r="D50" s="62">
        <f t="shared" si="6"/>
        <v>25.5</v>
      </c>
      <c r="E50" s="62">
        <f t="shared" si="6"/>
        <v>26.9</v>
      </c>
      <c r="F50" s="62">
        <f t="shared" si="6"/>
        <v>43.9</v>
      </c>
      <c r="G50" s="62">
        <f t="shared" si="6"/>
        <v>15.1</v>
      </c>
      <c r="H50" s="62">
        <f t="shared" si="6"/>
        <v>84.9</v>
      </c>
      <c r="I50" s="62">
        <f t="shared" si="6"/>
        <v>234.7</v>
      </c>
      <c r="J50" s="62">
        <f t="shared" si="6"/>
        <v>90.7</v>
      </c>
      <c r="K50" s="62">
        <f t="shared" si="6"/>
        <v>102.8</v>
      </c>
      <c r="L50" s="62">
        <f t="shared" si="6"/>
        <v>81.900000000000006</v>
      </c>
      <c r="M50" s="62">
        <f t="shared" si="6"/>
        <v>120.6</v>
      </c>
      <c r="N50" s="63">
        <f t="shared" si="6"/>
        <v>18</v>
      </c>
      <c r="O50" s="64">
        <f t="shared" si="7"/>
        <v>845.6</v>
      </c>
      <c r="P50" s="51">
        <f t="shared" si="8"/>
        <v>70.5</v>
      </c>
    </row>
    <row r="51" spans="2:16" ht="21.95" customHeight="1">
      <c r="B51" s="61">
        <f t="shared" si="6"/>
        <v>2020</v>
      </c>
      <c r="C51" s="62">
        <f t="shared" si="6"/>
        <v>59.7</v>
      </c>
      <c r="D51" s="62">
        <f t="shared" si="6"/>
        <v>63.1</v>
      </c>
      <c r="E51" s="62">
        <f t="shared" si="6"/>
        <v>21.7</v>
      </c>
      <c r="F51" s="62">
        <f t="shared" si="6"/>
        <v>15.1</v>
      </c>
      <c r="G51" s="62">
        <f t="shared" si="6"/>
        <v>86.4</v>
      </c>
      <c r="H51" s="62">
        <f t="shared" si="6"/>
        <v>121.9</v>
      </c>
      <c r="I51" s="62">
        <f t="shared" si="6"/>
        <v>356.4</v>
      </c>
      <c r="J51" s="62">
        <f t="shared" si="6"/>
        <v>481.7</v>
      </c>
      <c r="K51" s="62">
        <f t="shared" si="6"/>
        <v>167.2</v>
      </c>
      <c r="L51" s="62">
        <f t="shared" si="6"/>
        <v>18.899999999999999</v>
      </c>
      <c r="M51" s="62">
        <f t="shared" si="6"/>
        <v>45.9</v>
      </c>
      <c r="N51" s="63">
        <f t="shared" si="6"/>
        <v>5.5</v>
      </c>
      <c r="O51" s="64">
        <f t="shared" si="7"/>
        <v>1443.5</v>
      </c>
      <c r="P51" s="51">
        <f t="shared" si="8"/>
        <v>120.3</v>
      </c>
    </row>
    <row r="52" spans="2:16" ht="21.95" customHeight="1">
      <c r="B52" s="61">
        <f t="shared" si="6"/>
        <v>2021</v>
      </c>
      <c r="C52" s="62">
        <f t="shared" si="6"/>
        <v>17.8</v>
      </c>
      <c r="D52" s="62">
        <f t="shared" si="6"/>
        <v>9.1999999999999993</v>
      </c>
      <c r="E52" s="62">
        <f t="shared" si="6"/>
        <v>75.3</v>
      </c>
      <c r="F52" s="62">
        <f t="shared" si="6"/>
        <v>54.7</v>
      </c>
      <c r="G52" s="62">
        <f t="shared" si="6"/>
        <v>135.9</v>
      </c>
      <c r="H52" s="62">
        <f t="shared" si="6"/>
        <v>44.8</v>
      </c>
      <c r="I52" s="62">
        <f t="shared" si="6"/>
        <v>117.6</v>
      </c>
      <c r="J52" s="62">
        <f t="shared" si="6"/>
        <v>230</v>
      </c>
      <c r="K52" s="62">
        <f t="shared" si="6"/>
        <v>250.8</v>
      </c>
      <c r="L52" s="62">
        <f t="shared" si="6"/>
        <v>49.5</v>
      </c>
      <c r="M52" s="62">
        <f t="shared" si="6"/>
        <v>67.900000000000006</v>
      </c>
      <c r="N52" s="63">
        <f t="shared" si="6"/>
        <v>5.4</v>
      </c>
      <c r="O52" s="64">
        <f t="shared" si="7"/>
        <v>1058.9000000000001</v>
      </c>
      <c r="P52" s="51">
        <f t="shared" si="8"/>
        <v>88.2</v>
      </c>
    </row>
    <row r="53" spans="2:16" ht="21.95" customHeight="1" thickBot="1">
      <c r="B53" s="65">
        <f t="shared" si="6"/>
        <v>2022</v>
      </c>
      <c r="C53" s="66">
        <f t="shared" si="6"/>
        <v>3.3</v>
      </c>
      <c r="D53" s="66">
        <f t="shared" si="6"/>
        <v>3.3</v>
      </c>
      <c r="E53" s="66">
        <f t="shared" si="6"/>
        <v>57.6</v>
      </c>
      <c r="F53" s="66">
        <f t="shared" si="6"/>
        <v>51.6</v>
      </c>
      <c r="G53" s="66">
        <f t="shared" si="6"/>
        <v>9.8000000000000007</v>
      </c>
      <c r="H53" s="66">
        <f t="shared" si="6"/>
        <v>168</v>
      </c>
      <c r="I53" s="66">
        <f t="shared" si="6"/>
        <v>117</v>
      </c>
      <c r="J53" s="66">
        <f t="shared" si="6"/>
        <v>366.6</v>
      </c>
      <c r="K53" s="66">
        <f t="shared" si="6"/>
        <v>133.30000000000001</v>
      </c>
      <c r="L53" s="66">
        <f t="shared" si="6"/>
        <v>98.2</v>
      </c>
      <c r="M53" s="66">
        <f t="shared" si="6"/>
        <v>43.2</v>
      </c>
      <c r="N53" s="67">
        <f t="shared" si="6"/>
        <v>28.8</v>
      </c>
      <c r="O53" s="68">
        <f t="shared" si="7"/>
        <v>1080.7</v>
      </c>
      <c r="P53" s="56">
        <f t="shared" si="8"/>
        <v>90.1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168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44.3</v>
      </c>
      <c r="O54" s="72">
        <f t="shared" si="9"/>
        <v>1443.5</v>
      </c>
      <c r="P54" s="71">
        <f t="shared" si="9"/>
        <v>120.3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3.3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12.2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16.3</v>
      </c>
      <c r="D56" s="76">
        <f t="shared" ref="D56:N56" si="11">ROUND(AVERAGE(D44:D53),1)</f>
        <v>28</v>
      </c>
      <c r="E56" s="76">
        <f t="shared" si="11"/>
        <v>37.1</v>
      </c>
      <c r="F56" s="76">
        <f t="shared" si="11"/>
        <v>65</v>
      </c>
      <c r="G56" s="76">
        <f t="shared" si="11"/>
        <v>63.7</v>
      </c>
      <c r="H56" s="76">
        <f t="shared" si="11"/>
        <v>82.2</v>
      </c>
      <c r="I56" s="76">
        <f t="shared" si="11"/>
        <v>284.8</v>
      </c>
      <c r="J56" s="76">
        <f t="shared" si="11"/>
        <v>228.2</v>
      </c>
      <c r="K56" s="76">
        <f t="shared" si="11"/>
        <v>116.8</v>
      </c>
      <c r="L56" s="76">
        <f t="shared" si="11"/>
        <v>65.900000000000006</v>
      </c>
      <c r="M56" s="76">
        <f t="shared" si="11"/>
        <v>59.9</v>
      </c>
      <c r="N56" s="56">
        <f t="shared" si="11"/>
        <v>26.8</v>
      </c>
      <c r="O56" s="68">
        <f>ROUND(AVERAGE(O44:O53),1)</f>
        <v>1074.5999999999999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5FF0-9381-4E44-87D8-54C2AB18B666}">
  <sheetPr codeName="Sheet17">
    <tabColor rgb="FF4682B4"/>
  </sheetPr>
  <dimension ref="A2:Q983"/>
  <sheetViews>
    <sheetView topLeftCell="A13" zoomScaleNormal="100" workbookViewId="0">
      <selection activeCell="W21" sqref="W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8">
        <v>2022</v>
      </c>
      <c r="C35" s="39">
        <v>3.5</v>
      </c>
      <c r="D35" s="39">
        <v>2.5</v>
      </c>
      <c r="E35" s="39">
        <v>76.099999999999994</v>
      </c>
      <c r="F35" s="39">
        <v>62.6</v>
      </c>
      <c r="G35" s="39">
        <v>4</v>
      </c>
      <c r="H35" s="39">
        <v>123.4</v>
      </c>
      <c r="I35" s="39">
        <v>168.5</v>
      </c>
      <c r="J35" s="39">
        <v>615.6</v>
      </c>
      <c r="K35" s="39">
        <v>87</v>
      </c>
      <c r="L35" s="39">
        <v>103.7</v>
      </c>
      <c r="M35" s="39">
        <v>36.4</v>
      </c>
      <c r="N35" s="40">
        <v>17.8</v>
      </c>
      <c r="O35" s="41">
        <f t="shared" si="0"/>
        <v>1301.0999999999999</v>
      </c>
      <c r="P35" s="42">
        <f t="shared" si="1"/>
        <v>108.4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229.5</v>
      </c>
      <c r="H36" s="44">
        <f t="shared" si="2"/>
        <v>388</v>
      </c>
      <c r="I36" s="44">
        <f t="shared" si="2"/>
        <v>626.5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63.1</v>
      </c>
      <c r="O36" s="46">
        <f>ROUND(MAX(O6:O35),1)</f>
        <v>2014.7</v>
      </c>
      <c r="P36" s="47">
        <f>ROUND(MAX(P6:P35),1)</f>
        <v>167.9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25.3</v>
      </c>
      <c r="D38" s="53">
        <f t="shared" ref="D38:P38" si="4">ROUND(AVERAGE(D6:D35),1)</f>
        <v>36.200000000000003</v>
      </c>
      <c r="E38" s="53">
        <f t="shared" si="4"/>
        <v>51.9</v>
      </c>
      <c r="F38" s="53">
        <f t="shared" si="4"/>
        <v>82.7</v>
      </c>
      <c r="G38" s="53">
        <f t="shared" si="4"/>
        <v>95.3</v>
      </c>
      <c r="H38" s="53">
        <f t="shared" si="4"/>
        <v>157.5</v>
      </c>
      <c r="I38" s="53">
        <f t="shared" si="4"/>
        <v>293.3</v>
      </c>
      <c r="J38" s="53">
        <f t="shared" si="4"/>
        <v>294.89999999999998</v>
      </c>
      <c r="K38" s="53">
        <f t="shared" si="4"/>
        <v>142.1</v>
      </c>
      <c r="L38" s="53">
        <f t="shared" si="4"/>
        <v>67.099999999999994</v>
      </c>
      <c r="M38" s="53">
        <f t="shared" si="4"/>
        <v>52.5</v>
      </c>
      <c r="N38" s="54">
        <f t="shared" si="4"/>
        <v>28.9</v>
      </c>
      <c r="O38" s="55">
        <f t="shared" si="4"/>
        <v>1327.5</v>
      </c>
      <c r="P38" s="56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45.4</v>
      </c>
      <c r="D44" s="62">
        <f t="shared" si="5"/>
        <v>58.7</v>
      </c>
      <c r="E44" s="62">
        <f t="shared" si="5"/>
        <v>50.3</v>
      </c>
      <c r="F44" s="62">
        <f t="shared" si="5"/>
        <v>93.7</v>
      </c>
      <c r="G44" s="62">
        <f t="shared" si="5"/>
        <v>159</v>
      </c>
      <c r="H44" s="62">
        <f t="shared" si="5"/>
        <v>151.69999999999999</v>
      </c>
      <c r="I44" s="62">
        <f t="shared" si="5"/>
        <v>240.4</v>
      </c>
      <c r="J44" s="62">
        <f t="shared" si="5"/>
        <v>119.5</v>
      </c>
      <c r="K44" s="62">
        <f t="shared" si="5"/>
        <v>184.8</v>
      </c>
      <c r="L44" s="62">
        <f t="shared" si="5"/>
        <v>17.5</v>
      </c>
      <c r="M44" s="62">
        <f t="shared" si="5"/>
        <v>79.400000000000006</v>
      </c>
      <c r="N44" s="63">
        <f t="shared" si="5"/>
        <v>35.9</v>
      </c>
      <c r="O44" s="64">
        <f>ROUND(SUM(C44:N44),1)</f>
        <v>1236.3</v>
      </c>
      <c r="P44" s="51">
        <f>ROUND(O44/12,1)</f>
        <v>103</v>
      </c>
    </row>
    <row r="45" spans="2:16" ht="21.95" customHeight="1">
      <c r="B45" s="61">
        <f t="shared" ref="B45:N53" si="6">B27</f>
        <v>2014</v>
      </c>
      <c r="C45" s="62">
        <f t="shared" si="6"/>
        <v>2.2000000000000002</v>
      </c>
      <c r="D45" s="62">
        <f t="shared" si="6"/>
        <v>15.3</v>
      </c>
      <c r="E45" s="62">
        <f t="shared" si="6"/>
        <v>69.3</v>
      </c>
      <c r="F45" s="62">
        <f t="shared" si="6"/>
        <v>94.1</v>
      </c>
      <c r="G45" s="62">
        <f t="shared" si="6"/>
        <v>61.5</v>
      </c>
      <c r="H45" s="62">
        <f t="shared" si="6"/>
        <v>77.8</v>
      </c>
      <c r="I45" s="62">
        <f t="shared" si="6"/>
        <v>174.7</v>
      </c>
      <c r="J45" s="62">
        <f t="shared" si="6"/>
        <v>225.1</v>
      </c>
      <c r="K45" s="62">
        <f t="shared" si="6"/>
        <v>157.5</v>
      </c>
      <c r="L45" s="62">
        <f t="shared" si="6"/>
        <v>170.5</v>
      </c>
      <c r="M45" s="62">
        <f t="shared" si="6"/>
        <v>42.4</v>
      </c>
      <c r="N45" s="63">
        <f t="shared" si="6"/>
        <v>51.7</v>
      </c>
      <c r="O45" s="64">
        <f t="shared" ref="O45:O53" si="7">ROUND(SUM(C45:N45),1)</f>
        <v>1142.0999999999999</v>
      </c>
      <c r="P45" s="51">
        <f t="shared" ref="P45:P53" si="8">ROUND(O45/12,1)</f>
        <v>95.2</v>
      </c>
    </row>
    <row r="46" spans="2:16" ht="21.95" customHeight="1">
      <c r="B46" s="61">
        <f t="shared" si="6"/>
        <v>2015</v>
      </c>
      <c r="C46" s="62">
        <f t="shared" si="6"/>
        <v>35.4</v>
      </c>
      <c r="D46" s="62">
        <f t="shared" si="6"/>
        <v>35.6</v>
      </c>
      <c r="E46" s="62">
        <f t="shared" si="6"/>
        <v>42.4</v>
      </c>
      <c r="F46" s="62">
        <f t="shared" si="6"/>
        <v>99.5</v>
      </c>
      <c r="G46" s="62">
        <f t="shared" si="6"/>
        <v>53.5</v>
      </c>
      <c r="H46" s="62">
        <f t="shared" si="6"/>
        <v>92.7</v>
      </c>
      <c r="I46" s="62">
        <f t="shared" si="6"/>
        <v>119.9</v>
      </c>
      <c r="J46" s="62">
        <f t="shared" si="6"/>
        <v>56.9</v>
      </c>
      <c r="K46" s="62">
        <f t="shared" si="6"/>
        <v>22</v>
      </c>
      <c r="L46" s="62">
        <f t="shared" si="6"/>
        <v>104</v>
      </c>
      <c r="M46" s="62">
        <f t="shared" si="6"/>
        <v>130</v>
      </c>
      <c r="N46" s="63">
        <f t="shared" si="6"/>
        <v>56.9</v>
      </c>
      <c r="O46" s="64">
        <f t="shared" si="7"/>
        <v>848.8</v>
      </c>
      <c r="P46" s="51">
        <f t="shared" si="8"/>
        <v>70.7</v>
      </c>
    </row>
    <row r="47" spans="2:16" ht="21.95" customHeight="1">
      <c r="B47" s="61">
        <f t="shared" si="6"/>
        <v>2016</v>
      </c>
      <c r="C47" s="62">
        <f t="shared" si="6"/>
        <v>6.6</v>
      </c>
      <c r="D47" s="62">
        <f t="shared" si="6"/>
        <v>59.6</v>
      </c>
      <c r="E47" s="62">
        <f t="shared" si="6"/>
        <v>19</v>
      </c>
      <c r="F47" s="62">
        <f t="shared" si="6"/>
        <v>164.6</v>
      </c>
      <c r="G47" s="62">
        <f t="shared" si="6"/>
        <v>121.6</v>
      </c>
      <c r="H47" s="62">
        <f t="shared" si="6"/>
        <v>49.4</v>
      </c>
      <c r="I47" s="62">
        <f t="shared" si="6"/>
        <v>341.1</v>
      </c>
      <c r="J47" s="62">
        <f t="shared" si="6"/>
        <v>33.4</v>
      </c>
      <c r="K47" s="62">
        <f t="shared" si="6"/>
        <v>133.69999999999999</v>
      </c>
      <c r="L47" s="62">
        <f t="shared" si="6"/>
        <v>120.1</v>
      </c>
      <c r="M47" s="62">
        <f t="shared" si="6"/>
        <v>17.100000000000001</v>
      </c>
      <c r="N47" s="63">
        <f t="shared" si="6"/>
        <v>63.1</v>
      </c>
      <c r="O47" s="64">
        <f>ROUND(SUM(C47:N47),1)</f>
        <v>1129.3</v>
      </c>
      <c r="P47" s="51">
        <f t="shared" si="8"/>
        <v>94.1</v>
      </c>
    </row>
    <row r="48" spans="2:16" ht="21.95" customHeight="1">
      <c r="B48" s="61">
        <f t="shared" si="6"/>
        <v>2017</v>
      </c>
      <c r="C48" s="62">
        <f t="shared" si="6"/>
        <v>16</v>
      </c>
      <c r="D48" s="62">
        <f t="shared" si="6"/>
        <v>28.5</v>
      </c>
      <c r="E48" s="62">
        <f t="shared" si="6"/>
        <v>8.8000000000000007</v>
      </c>
      <c r="F48" s="62">
        <f t="shared" si="6"/>
        <v>78.400000000000006</v>
      </c>
      <c r="G48" s="62">
        <f t="shared" si="6"/>
        <v>35.799999999999997</v>
      </c>
      <c r="H48" s="62">
        <f t="shared" si="6"/>
        <v>51.4</v>
      </c>
      <c r="I48" s="62">
        <f t="shared" si="6"/>
        <v>326.7</v>
      </c>
      <c r="J48" s="62">
        <f t="shared" si="6"/>
        <v>358.5</v>
      </c>
      <c r="K48" s="62">
        <f t="shared" si="6"/>
        <v>97.1</v>
      </c>
      <c r="L48" s="62">
        <f t="shared" si="6"/>
        <v>51.9</v>
      </c>
      <c r="M48" s="62">
        <f t="shared" si="6"/>
        <v>22.8</v>
      </c>
      <c r="N48" s="63">
        <f t="shared" si="6"/>
        <v>36.1</v>
      </c>
      <c r="O48" s="64">
        <f t="shared" si="7"/>
        <v>1112</v>
      </c>
      <c r="P48" s="51">
        <f t="shared" si="8"/>
        <v>92.7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43.1</v>
      </c>
      <c r="E49" s="62">
        <f t="shared" si="6"/>
        <v>99.3</v>
      </c>
      <c r="F49" s="62">
        <f t="shared" si="6"/>
        <v>156.5</v>
      </c>
      <c r="G49" s="62">
        <f t="shared" si="6"/>
        <v>116.1</v>
      </c>
      <c r="H49" s="62">
        <f t="shared" si="6"/>
        <v>107.1</v>
      </c>
      <c r="I49" s="62">
        <f t="shared" si="6"/>
        <v>278.8</v>
      </c>
      <c r="J49" s="62">
        <f t="shared" si="6"/>
        <v>277</v>
      </c>
      <c r="K49" s="62">
        <f t="shared" si="6"/>
        <v>98.3</v>
      </c>
      <c r="L49" s="62">
        <f t="shared" si="6"/>
        <v>159.19999999999999</v>
      </c>
      <c r="M49" s="62">
        <f t="shared" si="6"/>
        <v>66</v>
      </c>
      <c r="N49" s="63">
        <f t="shared" si="6"/>
        <v>31.5</v>
      </c>
      <c r="O49" s="64">
        <f t="shared" si="7"/>
        <v>1457.9</v>
      </c>
      <c r="P49" s="51">
        <f t="shared" si="8"/>
        <v>121.5</v>
      </c>
    </row>
    <row r="50" spans="2:16" ht="21.95" customHeight="1">
      <c r="B50" s="61">
        <f t="shared" si="6"/>
        <v>2019</v>
      </c>
      <c r="C50" s="62">
        <f t="shared" si="6"/>
        <v>0.5</v>
      </c>
      <c r="D50" s="62">
        <f t="shared" si="6"/>
        <v>37.6</v>
      </c>
      <c r="E50" s="62">
        <f t="shared" si="6"/>
        <v>35</v>
      </c>
      <c r="F50" s="62">
        <f t="shared" si="6"/>
        <v>73.7</v>
      </c>
      <c r="G50" s="62">
        <f t="shared" si="6"/>
        <v>44.3</v>
      </c>
      <c r="H50" s="62">
        <f t="shared" si="6"/>
        <v>59.9</v>
      </c>
      <c r="I50" s="62">
        <f t="shared" si="6"/>
        <v>216.7</v>
      </c>
      <c r="J50" s="62">
        <f t="shared" si="6"/>
        <v>102.1</v>
      </c>
      <c r="K50" s="62">
        <f t="shared" si="6"/>
        <v>191.9</v>
      </c>
      <c r="L50" s="62">
        <f t="shared" si="6"/>
        <v>85.6</v>
      </c>
      <c r="M50" s="62">
        <f t="shared" si="6"/>
        <v>113.5</v>
      </c>
      <c r="N50" s="63">
        <f t="shared" si="6"/>
        <v>31.2</v>
      </c>
      <c r="O50" s="64">
        <f t="shared" si="7"/>
        <v>992</v>
      </c>
      <c r="P50" s="51">
        <f t="shared" si="8"/>
        <v>82.7</v>
      </c>
    </row>
    <row r="51" spans="2:16" ht="21.95" customHeight="1">
      <c r="B51" s="61">
        <f t="shared" si="6"/>
        <v>2020</v>
      </c>
      <c r="C51" s="62">
        <f t="shared" si="6"/>
        <v>79.599999999999994</v>
      </c>
      <c r="D51" s="62">
        <f t="shared" si="6"/>
        <v>92.4</v>
      </c>
      <c r="E51" s="62">
        <f t="shared" si="6"/>
        <v>19.3</v>
      </c>
      <c r="F51" s="62">
        <f t="shared" si="6"/>
        <v>17.7</v>
      </c>
      <c r="G51" s="62">
        <f t="shared" si="6"/>
        <v>108.5</v>
      </c>
      <c r="H51" s="62">
        <f t="shared" si="6"/>
        <v>188.4</v>
      </c>
      <c r="I51" s="62">
        <f t="shared" si="6"/>
        <v>492.6</v>
      </c>
      <c r="J51" s="62">
        <f t="shared" si="6"/>
        <v>367.8</v>
      </c>
      <c r="K51" s="62">
        <f t="shared" si="6"/>
        <v>208.9</v>
      </c>
      <c r="L51" s="62">
        <f t="shared" si="6"/>
        <v>4.4000000000000004</v>
      </c>
      <c r="M51" s="62">
        <f t="shared" si="6"/>
        <v>41.8</v>
      </c>
      <c r="N51" s="63">
        <f t="shared" si="6"/>
        <v>3.4</v>
      </c>
      <c r="O51" s="64">
        <f t="shared" si="7"/>
        <v>1624.8</v>
      </c>
      <c r="P51" s="51">
        <f t="shared" si="8"/>
        <v>135.4</v>
      </c>
    </row>
    <row r="52" spans="2:16" ht="21.95" customHeight="1">
      <c r="B52" s="61">
        <f t="shared" si="6"/>
        <v>2021</v>
      </c>
      <c r="C52" s="62">
        <f t="shared" si="6"/>
        <v>32.1</v>
      </c>
      <c r="D52" s="62">
        <f t="shared" si="6"/>
        <v>18.100000000000001</v>
      </c>
      <c r="E52" s="62">
        <f t="shared" si="6"/>
        <v>95.7</v>
      </c>
      <c r="F52" s="62">
        <f t="shared" si="6"/>
        <v>42.3</v>
      </c>
      <c r="G52" s="62">
        <f t="shared" si="6"/>
        <v>136.9</v>
      </c>
      <c r="H52" s="62">
        <f t="shared" si="6"/>
        <v>76.900000000000006</v>
      </c>
      <c r="I52" s="62">
        <f t="shared" si="6"/>
        <v>187.7</v>
      </c>
      <c r="J52" s="62">
        <f t="shared" si="6"/>
        <v>227.6</v>
      </c>
      <c r="K52" s="62">
        <f t="shared" si="6"/>
        <v>187.1</v>
      </c>
      <c r="L52" s="62">
        <f t="shared" si="6"/>
        <v>36.9</v>
      </c>
      <c r="M52" s="62">
        <f t="shared" si="6"/>
        <v>73.400000000000006</v>
      </c>
      <c r="N52" s="63">
        <f t="shared" si="6"/>
        <v>8.6999999999999993</v>
      </c>
      <c r="O52" s="64">
        <f t="shared" si="7"/>
        <v>1123.4000000000001</v>
      </c>
      <c r="P52" s="51">
        <f t="shared" si="8"/>
        <v>93.6</v>
      </c>
    </row>
    <row r="53" spans="2:16" ht="21.95" customHeight="1" thickBot="1">
      <c r="B53" s="65">
        <f t="shared" si="6"/>
        <v>2022</v>
      </c>
      <c r="C53" s="66">
        <f t="shared" si="6"/>
        <v>3.5</v>
      </c>
      <c r="D53" s="66">
        <f t="shared" si="6"/>
        <v>2.5</v>
      </c>
      <c r="E53" s="66">
        <f t="shared" si="6"/>
        <v>76.099999999999994</v>
      </c>
      <c r="F53" s="66">
        <f t="shared" si="6"/>
        <v>62.6</v>
      </c>
      <c r="G53" s="66">
        <f t="shared" si="6"/>
        <v>4</v>
      </c>
      <c r="H53" s="66">
        <f t="shared" si="6"/>
        <v>123.4</v>
      </c>
      <c r="I53" s="66">
        <f t="shared" si="6"/>
        <v>168.5</v>
      </c>
      <c r="J53" s="66">
        <f t="shared" si="6"/>
        <v>615.6</v>
      </c>
      <c r="K53" s="66">
        <f t="shared" si="6"/>
        <v>87</v>
      </c>
      <c r="L53" s="66">
        <f t="shared" si="6"/>
        <v>103.7</v>
      </c>
      <c r="M53" s="66">
        <f t="shared" si="6"/>
        <v>36.4</v>
      </c>
      <c r="N53" s="67">
        <f t="shared" si="6"/>
        <v>17.8</v>
      </c>
      <c r="O53" s="68">
        <f t="shared" si="7"/>
        <v>1301.0999999999999</v>
      </c>
      <c r="P53" s="56">
        <f t="shared" si="8"/>
        <v>108.4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159</v>
      </c>
      <c r="H54" s="70">
        <f t="shared" si="9"/>
        <v>188.4</v>
      </c>
      <c r="I54" s="70">
        <f t="shared" si="9"/>
        <v>492.6</v>
      </c>
      <c r="J54" s="70">
        <f t="shared" si="9"/>
        <v>615.6</v>
      </c>
      <c r="K54" s="70">
        <f t="shared" si="9"/>
        <v>208.9</v>
      </c>
      <c r="L54" s="70">
        <f t="shared" si="9"/>
        <v>170.5</v>
      </c>
      <c r="M54" s="70">
        <f t="shared" si="9"/>
        <v>130</v>
      </c>
      <c r="N54" s="71">
        <f t="shared" si="9"/>
        <v>63.1</v>
      </c>
      <c r="O54" s="72">
        <f t="shared" si="9"/>
        <v>1624.8</v>
      </c>
      <c r="P54" s="71">
        <f t="shared" si="9"/>
        <v>135.4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24.6</v>
      </c>
      <c r="D56" s="76">
        <f t="shared" ref="D56:N56" si="11">ROUND(AVERAGE(D44:D53),1)</f>
        <v>39.1</v>
      </c>
      <c r="E56" s="76">
        <f t="shared" si="11"/>
        <v>51.5</v>
      </c>
      <c r="F56" s="76">
        <f t="shared" si="11"/>
        <v>88.3</v>
      </c>
      <c r="G56" s="76">
        <f t="shared" si="11"/>
        <v>84.1</v>
      </c>
      <c r="H56" s="76">
        <f t="shared" si="11"/>
        <v>97.9</v>
      </c>
      <c r="I56" s="76">
        <f t="shared" si="11"/>
        <v>254.7</v>
      </c>
      <c r="J56" s="76">
        <f t="shared" si="11"/>
        <v>238.4</v>
      </c>
      <c r="K56" s="76">
        <f t="shared" si="11"/>
        <v>136.80000000000001</v>
      </c>
      <c r="L56" s="76">
        <f t="shared" si="11"/>
        <v>85.4</v>
      </c>
      <c r="M56" s="76">
        <f t="shared" si="11"/>
        <v>62.3</v>
      </c>
      <c r="N56" s="56">
        <f t="shared" si="11"/>
        <v>33.6</v>
      </c>
      <c r="O56" s="68">
        <f>ROUND(AVERAGE(O44:O53),1)</f>
        <v>1196.8</v>
      </c>
      <c r="P56" s="56">
        <f>ROUND(AVERAGE(P44:P53),1)</f>
        <v>99.7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F5C44-175B-4063-9FDE-59743001D490}">
  <sheetPr codeName="Sheet16">
    <tabColor rgb="FFFF4500"/>
  </sheetPr>
  <dimension ref="A2:Q983"/>
  <sheetViews>
    <sheetView topLeftCell="A16" zoomScaleNormal="100" workbookViewId="0">
      <selection activeCell="W20" sqref="W2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P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si="4"/>
        <v>132.9</v>
      </c>
      <c r="L38" s="53">
        <f t="shared" si="4"/>
        <v>63.2</v>
      </c>
      <c r="M38" s="53">
        <f t="shared" si="4"/>
        <v>54.8</v>
      </c>
      <c r="N38" s="54">
        <f t="shared" si="4"/>
        <v>32.200000000000003</v>
      </c>
      <c r="O38" s="55">
        <f t="shared" si="4"/>
        <v>1198.3</v>
      </c>
      <c r="P38" s="56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28.4</v>
      </c>
      <c r="D44" s="62">
        <f t="shared" si="5"/>
        <v>40.700000000000003</v>
      </c>
      <c r="E44" s="62">
        <f t="shared" si="5"/>
        <v>53.4</v>
      </c>
      <c r="F44" s="62">
        <f t="shared" si="5"/>
        <v>68.2</v>
      </c>
      <c r="G44" s="62">
        <f t="shared" si="5"/>
        <v>116.6</v>
      </c>
      <c r="H44" s="62">
        <f t="shared" si="5"/>
        <v>159.9</v>
      </c>
      <c r="I44" s="62">
        <f t="shared" si="5"/>
        <v>267.5</v>
      </c>
      <c r="J44" s="62">
        <f t="shared" si="5"/>
        <v>214.6</v>
      </c>
      <c r="K44" s="62">
        <f t="shared" si="5"/>
        <v>320</v>
      </c>
      <c r="L44" s="62">
        <f t="shared" si="5"/>
        <v>10.9</v>
      </c>
      <c r="M44" s="62">
        <f t="shared" si="5"/>
        <v>81.099999999999994</v>
      </c>
      <c r="N44" s="63">
        <f t="shared" si="5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53" si="6">B27</f>
        <v>2014</v>
      </c>
      <c r="C45" s="62">
        <f t="shared" si="6"/>
        <v>3.4</v>
      </c>
      <c r="D45" s="62">
        <f t="shared" si="6"/>
        <v>20.5</v>
      </c>
      <c r="E45" s="62">
        <f t="shared" si="6"/>
        <v>56.3</v>
      </c>
      <c r="F45" s="62">
        <f t="shared" si="6"/>
        <v>70</v>
      </c>
      <c r="G45" s="62">
        <f t="shared" si="6"/>
        <v>47.1</v>
      </c>
      <c r="H45" s="62">
        <f t="shared" si="6"/>
        <v>125.8</v>
      </c>
      <c r="I45" s="62">
        <f t="shared" si="6"/>
        <v>104</v>
      </c>
      <c r="J45" s="62">
        <f t="shared" si="6"/>
        <v>168.5</v>
      </c>
      <c r="K45" s="62">
        <f t="shared" si="6"/>
        <v>152</v>
      </c>
      <c r="L45" s="62">
        <f t="shared" si="6"/>
        <v>156</v>
      </c>
      <c r="M45" s="62">
        <f t="shared" si="6"/>
        <v>39.9</v>
      </c>
      <c r="N45" s="63">
        <f t="shared" si="6"/>
        <v>66.599999999999994</v>
      </c>
      <c r="O45" s="64">
        <f t="shared" ref="O45:O53" si="7">ROUND(SUM(C45:N45),1)</f>
        <v>1010.1</v>
      </c>
      <c r="P45" s="51">
        <f t="shared" ref="P45:P53" si="8">ROUND(O45/12,1)</f>
        <v>84.2</v>
      </c>
    </row>
    <row r="46" spans="2:16" ht="21.95" customHeight="1">
      <c r="B46" s="61">
        <f t="shared" si="6"/>
        <v>2015</v>
      </c>
      <c r="C46" s="62">
        <f t="shared" si="6"/>
        <v>29.9</v>
      </c>
      <c r="D46" s="62">
        <f t="shared" si="6"/>
        <v>23.4</v>
      </c>
      <c r="E46" s="62">
        <f t="shared" si="6"/>
        <v>30.9</v>
      </c>
      <c r="F46" s="62">
        <f t="shared" si="6"/>
        <v>129.69999999999999</v>
      </c>
      <c r="G46" s="62">
        <f t="shared" si="6"/>
        <v>38.799999999999997</v>
      </c>
      <c r="H46" s="62">
        <f t="shared" si="6"/>
        <v>83.9</v>
      </c>
      <c r="I46" s="62">
        <f t="shared" si="6"/>
        <v>94.7</v>
      </c>
      <c r="J46" s="62">
        <f t="shared" si="6"/>
        <v>30.2</v>
      </c>
      <c r="K46" s="62">
        <f t="shared" si="6"/>
        <v>13.3</v>
      </c>
      <c r="L46" s="62">
        <f t="shared" si="6"/>
        <v>90</v>
      </c>
      <c r="M46" s="62">
        <f t="shared" si="6"/>
        <v>155.6</v>
      </c>
      <c r="N46" s="63">
        <f t="shared" si="6"/>
        <v>65</v>
      </c>
      <c r="O46" s="64">
        <f t="shared" si="7"/>
        <v>785.4</v>
      </c>
      <c r="P46" s="51">
        <f t="shared" si="8"/>
        <v>65.5</v>
      </c>
    </row>
    <row r="47" spans="2:16" ht="21.95" customHeight="1">
      <c r="B47" s="61">
        <f t="shared" si="6"/>
        <v>2016</v>
      </c>
      <c r="C47" s="62">
        <f t="shared" si="6"/>
        <v>7.8</v>
      </c>
      <c r="D47" s="62">
        <f t="shared" si="6"/>
        <v>54.2</v>
      </c>
      <c r="E47" s="62">
        <f t="shared" si="6"/>
        <v>18.7</v>
      </c>
      <c r="F47" s="62">
        <f t="shared" si="6"/>
        <v>105.1</v>
      </c>
      <c r="G47" s="62">
        <f t="shared" si="6"/>
        <v>146.5</v>
      </c>
      <c r="H47" s="62">
        <f t="shared" si="6"/>
        <v>23.7</v>
      </c>
      <c r="I47" s="62">
        <f t="shared" si="6"/>
        <v>200.2</v>
      </c>
      <c r="J47" s="62">
        <f t="shared" si="6"/>
        <v>5.0999999999999996</v>
      </c>
      <c r="K47" s="62">
        <f t="shared" si="6"/>
        <v>73.400000000000006</v>
      </c>
      <c r="L47" s="62">
        <f t="shared" si="6"/>
        <v>108</v>
      </c>
      <c r="M47" s="62">
        <f t="shared" si="6"/>
        <v>5.6</v>
      </c>
      <c r="N47" s="63">
        <f t="shared" si="6"/>
        <v>44.5</v>
      </c>
      <c r="O47" s="64">
        <f>ROUND(SUM(C47:N47),1)</f>
        <v>792.8</v>
      </c>
      <c r="P47" s="51">
        <f t="shared" si="8"/>
        <v>66.099999999999994</v>
      </c>
    </row>
    <row r="48" spans="2:16" ht="21.95" customHeight="1">
      <c r="B48" s="61">
        <f t="shared" si="6"/>
        <v>2017</v>
      </c>
      <c r="C48" s="62">
        <f t="shared" si="6"/>
        <v>14.8</v>
      </c>
      <c r="D48" s="62">
        <f t="shared" si="6"/>
        <v>30.2</v>
      </c>
      <c r="E48" s="62">
        <f t="shared" si="6"/>
        <v>14.4</v>
      </c>
      <c r="F48" s="62">
        <f t="shared" si="6"/>
        <v>57.6</v>
      </c>
      <c r="G48" s="62">
        <f t="shared" si="6"/>
        <v>58.9</v>
      </c>
      <c r="H48" s="62">
        <f t="shared" si="6"/>
        <v>21.1</v>
      </c>
      <c r="I48" s="62">
        <f t="shared" si="6"/>
        <v>278.10000000000002</v>
      </c>
      <c r="J48" s="62">
        <f t="shared" si="6"/>
        <v>210</v>
      </c>
      <c r="K48" s="62">
        <f t="shared" si="6"/>
        <v>90</v>
      </c>
      <c r="L48" s="62">
        <f t="shared" si="6"/>
        <v>26.6</v>
      </c>
      <c r="M48" s="62">
        <f t="shared" si="6"/>
        <v>15.9</v>
      </c>
      <c r="N48" s="63">
        <f t="shared" si="6"/>
        <v>38.6</v>
      </c>
      <c r="O48" s="64">
        <f t="shared" si="7"/>
        <v>856.2</v>
      </c>
      <c r="P48" s="51">
        <f t="shared" si="8"/>
        <v>71.400000000000006</v>
      </c>
    </row>
    <row r="49" spans="2:16" ht="21.95" customHeight="1">
      <c r="B49" s="61">
        <f t="shared" si="6"/>
        <v>2018</v>
      </c>
      <c r="C49" s="62">
        <f t="shared" si="6"/>
        <v>15</v>
      </c>
      <c r="D49" s="62">
        <f t="shared" si="6"/>
        <v>33.6</v>
      </c>
      <c r="E49" s="62">
        <f t="shared" si="6"/>
        <v>92</v>
      </c>
      <c r="F49" s="62">
        <f t="shared" si="6"/>
        <v>128.1</v>
      </c>
      <c r="G49" s="62">
        <f t="shared" si="6"/>
        <v>104.5</v>
      </c>
      <c r="H49" s="62">
        <f t="shared" si="6"/>
        <v>71</v>
      </c>
      <c r="I49" s="62">
        <f t="shared" si="6"/>
        <v>262.7</v>
      </c>
      <c r="J49" s="62">
        <f t="shared" si="6"/>
        <v>239.6</v>
      </c>
      <c r="K49" s="62">
        <f t="shared" si="6"/>
        <v>158.19999999999999</v>
      </c>
      <c r="L49" s="62">
        <f t="shared" si="6"/>
        <v>154.69999999999999</v>
      </c>
      <c r="M49" s="62">
        <f t="shared" si="6"/>
        <v>46.7</v>
      </c>
      <c r="N49" s="63">
        <f t="shared" si="6"/>
        <v>31.1</v>
      </c>
      <c r="O49" s="64">
        <f t="shared" si="7"/>
        <v>1337.2</v>
      </c>
      <c r="P49" s="51">
        <f t="shared" si="8"/>
        <v>111.4</v>
      </c>
    </row>
    <row r="50" spans="2:16" ht="21.95" customHeight="1">
      <c r="B50" s="61">
        <f t="shared" si="6"/>
        <v>2019</v>
      </c>
      <c r="C50" s="62">
        <f t="shared" si="6"/>
        <v>1.9</v>
      </c>
      <c r="D50" s="62">
        <f t="shared" si="6"/>
        <v>17.8</v>
      </c>
      <c r="E50" s="62">
        <f t="shared" si="6"/>
        <v>18.2</v>
      </c>
      <c r="F50" s="62">
        <f t="shared" si="6"/>
        <v>71.900000000000006</v>
      </c>
      <c r="G50" s="62">
        <f t="shared" si="6"/>
        <v>31.3</v>
      </c>
      <c r="H50" s="62">
        <f t="shared" si="6"/>
        <v>56</v>
      </c>
      <c r="I50" s="62">
        <f t="shared" si="6"/>
        <v>149</v>
      </c>
      <c r="J50" s="62">
        <f t="shared" si="6"/>
        <v>131.30000000000001</v>
      </c>
      <c r="K50" s="62">
        <f t="shared" si="6"/>
        <v>118.7</v>
      </c>
      <c r="L50" s="62">
        <f t="shared" si="6"/>
        <v>63.9</v>
      </c>
      <c r="M50" s="62">
        <f t="shared" si="6"/>
        <v>130.6</v>
      </c>
      <c r="N50" s="63">
        <f t="shared" si="6"/>
        <v>31.3</v>
      </c>
      <c r="O50" s="64">
        <f t="shared" si="7"/>
        <v>821.9</v>
      </c>
      <c r="P50" s="51">
        <f t="shared" si="8"/>
        <v>68.5</v>
      </c>
    </row>
    <row r="51" spans="2:16" ht="21.95" customHeight="1">
      <c r="B51" s="61">
        <f t="shared" si="6"/>
        <v>2020</v>
      </c>
      <c r="C51" s="62">
        <f t="shared" si="6"/>
        <v>49.4</v>
      </c>
      <c r="D51" s="62">
        <f t="shared" si="6"/>
        <v>75.3</v>
      </c>
      <c r="E51" s="62">
        <f t="shared" si="6"/>
        <v>22.8</v>
      </c>
      <c r="F51" s="62">
        <f t="shared" si="6"/>
        <v>16.5</v>
      </c>
      <c r="G51" s="62">
        <f t="shared" si="6"/>
        <v>92.4</v>
      </c>
      <c r="H51" s="62">
        <f t="shared" si="6"/>
        <v>139.69999999999999</v>
      </c>
      <c r="I51" s="62">
        <f t="shared" si="6"/>
        <v>345.9</v>
      </c>
      <c r="J51" s="62">
        <f t="shared" si="6"/>
        <v>321.5</v>
      </c>
      <c r="K51" s="62">
        <f t="shared" si="6"/>
        <v>177.1</v>
      </c>
      <c r="L51" s="62">
        <f t="shared" si="6"/>
        <v>16.2</v>
      </c>
      <c r="M51" s="62">
        <f t="shared" si="6"/>
        <v>35.4</v>
      </c>
      <c r="N51" s="63">
        <f t="shared" si="6"/>
        <v>9.6999999999999993</v>
      </c>
      <c r="O51" s="64">
        <f t="shared" si="7"/>
        <v>1301.9000000000001</v>
      </c>
      <c r="P51" s="51">
        <f t="shared" si="8"/>
        <v>108.5</v>
      </c>
    </row>
    <row r="52" spans="2:16" ht="21.95" customHeight="1">
      <c r="B52" s="61">
        <f t="shared" si="6"/>
        <v>2021</v>
      </c>
      <c r="C52" s="62">
        <f t="shared" si="6"/>
        <v>32</v>
      </c>
      <c r="D52" s="62">
        <f t="shared" si="6"/>
        <v>18.7</v>
      </c>
      <c r="E52" s="62">
        <f t="shared" si="6"/>
        <v>76.099999999999994</v>
      </c>
      <c r="F52" s="62">
        <f t="shared" si="6"/>
        <v>43.4</v>
      </c>
      <c r="G52" s="62">
        <f t="shared" si="6"/>
        <v>110</v>
      </c>
      <c r="H52" s="62">
        <f t="shared" si="6"/>
        <v>55</v>
      </c>
      <c r="I52" s="62">
        <f t="shared" si="6"/>
        <v>131.30000000000001</v>
      </c>
      <c r="J52" s="62">
        <f t="shared" si="6"/>
        <v>253.7</v>
      </c>
      <c r="K52" s="62">
        <f t="shared" si="6"/>
        <v>215.9</v>
      </c>
      <c r="L52" s="62">
        <f t="shared" si="6"/>
        <v>39.6</v>
      </c>
      <c r="M52" s="62">
        <f t="shared" si="6"/>
        <v>117.8</v>
      </c>
      <c r="N52" s="63">
        <f t="shared" si="6"/>
        <v>14.4</v>
      </c>
      <c r="O52" s="64">
        <f t="shared" si="7"/>
        <v>1107.9000000000001</v>
      </c>
      <c r="P52" s="51">
        <f t="shared" si="8"/>
        <v>92.3</v>
      </c>
    </row>
    <row r="53" spans="2:16" ht="21.95" customHeight="1" thickBot="1">
      <c r="B53" s="65">
        <f t="shared" si="6"/>
        <v>2022</v>
      </c>
      <c r="C53" s="66">
        <f t="shared" si="6"/>
        <v>8.4</v>
      </c>
      <c r="D53" s="66">
        <f t="shared" si="6"/>
        <v>5.3</v>
      </c>
      <c r="E53" s="66">
        <f t="shared" si="6"/>
        <v>60.9</v>
      </c>
      <c r="F53" s="66">
        <f t="shared" si="6"/>
        <v>34.799999999999997</v>
      </c>
      <c r="G53" s="66">
        <f t="shared" si="6"/>
        <v>5.7</v>
      </c>
      <c r="H53" s="66">
        <f t="shared" si="6"/>
        <v>225</v>
      </c>
      <c r="I53" s="66">
        <f t="shared" si="6"/>
        <v>119.9</v>
      </c>
      <c r="J53" s="66">
        <f t="shared" si="6"/>
        <v>637.1</v>
      </c>
      <c r="K53" s="66">
        <f t="shared" si="6"/>
        <v>102</v>
      </c>
      <c r="L53" s="66">
        <f t="shared" si="6"/>
        <v>112</v>
      </c>
      <c r="M53" s="66">
        <f t="shared" si="6"/>
        <v>23.3</v>
      </c>
      <c r="N53" s="67">
        <f t="shared" si="6"/>
        <v>14</v>
      </c>
      <c r="O53" s="68">
        <f t="shared" si="7"/>
        <v>1348.4</v>
      </c>
      <c r="P53" s="56">
        <f t="shared" si="8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146.5</v>
      </c>
      <c r="H54" s="70">
        <f t="shared" si="9"/>
        <v>225</v>
      </c>
      <c r="I54" s="70">
        <f t="shared" si="9"/>
        <v>345.9</v>
      </c>
      <c r="J54" s="70">
        <f t="shared" si="9"/>
        <v>637.1</v>
      </c>
      <c r="K54" s="70">
        <f t="shared" si="9"/>
        <v>320</v>
      </c>
      <c r="L54" s="70">
        <f t="shared" si="9"/>
        <v>156</v>
      </c>
      <c r="M54" s="70">
        <f t="shared" si="9"/>
        <v>155.6</v>
      </c>
      <c r="N54" s="71">
        <f t="shared" si="9"/>
        <v>66.599999999999994</v>
      </c>
      <c r="O54" s="72">
        <f t="shared" si="9"/>
        <v>1387.7</v>
      </c>
      <c r="P54" s="71">
        <f t="shared" si="9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5.3</v>
      </c>
      <c r="E55" s="74">
        <f t="shared" si="10"/>
        <v>14.4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10.9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11">ROUND(AVERAGE(D44:D53),1)</f>
        <v>32</v>
      </c>
      <c r="E56" s="76">
        <f t="shared" si="11"/>
        <v>44.4</v>
      </c>
      <c r="F56" s="76">
        <f t="shared" si="11"/>
        <v>72.5</v>
      </c>
      <c r="G56" s="76">
        <f t="shared" si="11"/>
        <v>75.2</v>
      </c>
      <c r="H56" s="76">
        <f t="shared" si="11"/>
        <v>96.1</v>
      </c>
      <c r="I56" s="76">
        <f t="shared" si="11"/>
        <v>195.3</v>
      </c>
      <c r="J56" s="76">
        <f t="shared" si="11"/>
        <v>221.2</v>
      </c>
      <c r="K56" s="76">
        <f t="shared" si="11"/>
        <v>142.1</v>
      </c>
      <c r="L56" s="76">
        <f t="shared" si="11"/>
        <v>77.8</v>
      </c>
      <c r="M56" s="76">
        <f t="shared" si="11"/>
        <v>65.2</v>
      </c>
      <c r="N56" s="56">
        <f t="shared" si="11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44CCB-B9E8-4BDA-81F5-4376EDCE616F}">
  <sheetPr codeName="Sheet15">
    <tabColor rgb="FF000080"/>
  </sheetPr>
  <dimension ref="A2:Q983"/>
  <sheetViews>
    <sheetView topLeftCell="A16" zoomScaleNormal="100" workbookViewId="0">
      <selection activeCell="W24" sqref="W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8">
        <v>2022</v>
      </c>
      <c r="C35" s="39">
        <v>1.5</v>
      </c>
      <c r="D35" s="39">
        <v>4.0999999999999996</v>
      </c>
      <c r="E35" s="39">
        <v>80.599999999999994</v>
      </c>
      <c r="F35" s="39">
        <v>63.3</v>
      </c>
      <c r="G35" s="39">
        <v>4.7</v>
      </c>
      <c r="H35" s="39">
        <v>145.4</v>
      </c>
      <c r="I35" s="39">
        <v>183.7</v>
      </c>
      <c r="J35" s="39">
        <v>265.7</v>
      </c>
      <c r="K35" s="39">
        <v>68.2</v>
      </c>
      <c r="L35" s="39">
        <v>59.3</v>
      </c>
      <c r="M35" s="39">
        <v>54.2</v>
      </c>
      <c r="N35" s="40">
        <v>18</v>
      </c>
      <c r="O35" s="41">
        <f t="shared" si="0"/>
        <v>948.7</v>
      </c>
      <c r="P35" s="42">
        <f t="shared" si="1"/>
        <v>79.099999999999994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170.5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62.7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24.9</v>
      </c>
      <c r="D38" s="53">
        <f t="shared" ref="D38:P38" si="4">ROUND(AVERAGE(D6:D35),1)</f>
        <v>35.9</v>
      </c>
      <c r="E38" s="53">
        <f t="shared" si="4"/>
        <v>53.6</v>
      </c>
      <c r="F38" s="53">
        <f t="shared" si="4"/>
        <v>81.2</v>
      </c>
      <c r="G38" s="53">
        <f t="shared" si="4"/>
        <v>83.8</v>
      </c>
      <c r="H38" s="53">
        <f t="shared" si="4"/>
        <v>163</v>
      </c>
      <c r="I38" s="53">
        <f t="shared" si="4"/>
        <v>294.2</v>
      </c>
      <c r="J38" s="53">
        <f t="shared" si="4"/>
        <v>290</v>
      </c>
      <c r="K38" s="53">
        <f t="shared" si="4"/>
        <v>126.5</v>
      </c>
      <c r="L38" s="53">
        <f t="shared" si="4"/>
        <v>57.1</v>
      </c>
      <c r="M38" s="53">
        <f t="shared" si="4"/>
        <v>48.9</v>
      </c>
      <c r="N38" s="54">
        <f t="shared" si="4"/>
        <v>27</v>
      </c>
      <c r="O38" s="55">
        <f t="shared" si="4"/>
        <v>1286.0999999999999</v>
      </c>
      <c r="P38" s="56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37</v>
      </c>
      <c r="D44" s="62">
        <f t="shared" si="5"/>
        <v>43.8</v>
      </c>
      <c r="E44" s="62">
        <f t="shared" si="5"/>
        <v>64.599999999999994</v>
      </c>
      <c r="F44" s="62">
        <f t="shared" si="5"/>
        <v>86.4</v>
      </c>
      <c r="G44" s="62">
        <f t="shared" si="5"/>
        <v>79.5</v>
      </c>
      <c r="H44" s="62">
        <f t="shared" si="5"/>
        <v>117.7</v>
      </c>
      <c r="I44" s="62">
        <f t="shared" si="5"/>
        <v>216.9</v>
      </c>
      <c r="J44" s="62">
        <f t="shared" si="5"/>
        <v>159.5</v>
      </c>
      <c r="K44" s="62">
        <f t="shared" si="5"/>
        <v>80.8</v>
      </c>
      <c r="L44" s="62">
        <f t="shared" si="5"/>
        <v>32.6</v>
      </c>
      <c r="M44" s="62">
        <f t="shared" si="5"/>
        <v>53.9</v>
      </c>
      <c r="N44" s="63">
        <f t="shared" si="5"/>
        <v>24.1</v>
      </c>
      <c r="O44" s="64">
        <f>ROUND(SUM(C44:N44),1)</f>
        <v>996.8</v>
      </c>
      <c r="P44" s="51">
        <f>ROUND(O44/12,1)</f>
        <v>83.1</v>
      </c>
    </row>
    <row r="45" spans="2:16" ht="21.95" customHeight="1">
      <c r="B45" s="61">
        <f t="shared" ref="B45:N53" si="6">B27</f>
        <v>2014</v>
      </c>
      <c r="C45" s="62">
        <f t="shared" si="6"/>
        <v>4.0999999999999996</v>
      </c>
      <c r="D45" s="62">
        <f t="shared" si="6"/>
        <v>2.7</v>
      </c>
      <c r="E45" s="62">
        <f t="shared" si="6"/>
        <v>97.9</v>
      </c>
      <c r="F45" s="62">
        <f t="shared" si="6"/>
        <v>88.7</v>
      </c>
      <c r="G45" s="62">
        <f t="shared" si="6"/>
        <v>26</v>
      </c>
      <c r="H45" s="62">
        <f t="shared" si="6"/>
        <v>45.6</v>
      </c>
      <c r="I45" s="62">
        <f t="shared" si="6"/>
        <v>105.8</v>
      </c>
      <c r="J45" s="62">
        <f t="shared" si="6"/>
        <v>426.4</v>
      </c>
      <c r="K45" s="62">
        <f t="shared" si="6"/>
        <v>91.2</v>
      </c>
      <c r="L45" s="62">
        <f t="shared" si="6"/>
        <v>141.19999999999999</v>
      </c>
      <c r="M45" s="62">
        <f t="shared" si="6"/>
        <v>70.099999999999994</v>
      </c>
      <c r="N45" s="63">
        <f t="shared" si="6"/>
        <v>31.3</v>
      </c>
      <c r="O45" s="64">
        <f t="shared" ref="O45:O53" si="7">ROUND(SUM(C45:N45),1)</f>
        <v>1131</v>
      </c>
      <c r="P45" s="51">
        <f t="shared" ref="P45:P53" si="8">ROUND(O45/12,1)</f>
        <v>94.3</v>
      </c>
    </row>
    <row r="46" spans="2:16" ht="21.95" customHeight="1">
      <c r="B46" s="61">
        <f t="shared" si="6"/>
        <v>2015</v>
      </c>
      <c r="C46" s="62">
        <f t="shared" si="6"/>
        <v>37.6</v>
      </c>
      <c r="D46" s="62">
        <f t="shared" si="6"/>
        <v>23.4</v>
      </c>
      <c r="E46" s="62">
        <f t="shared" si="6"/>
        <v>46.6</v>
      </c>
      <c r="F46" s="62">
        <f t="shared" si="6"/>
        <v>93.5</v>
      </c>
      <c r="G46" s="62">
        <f t="shared" si="6"/>
        <v>29.5</v>
      </c>
      <c r="H46" s="62">
        <f t="shared" si="6"/>
        <v>143.69999999999999</v>
      </c>
      <c r="I46" s="62">
        <f t="shared" si="6"/>
        <v>162.30000000000001</v>
      </c>
      <c r="J46" s="62">
        <f t="shared" si="6"/>
        <v>83.6</v>
      </c>
      <c r="K46" s="62">
        <f t="shared" si="6"/>
        <v>18.600000000000001</v>
      </c>
      <c r="L46" s="62">
        <f t="shared" si="6"/>
        <v>93.5</v>
      </c>
      <c r="M46" s="62">
        <f t="shared" si="6"/>
        <v>109.6</v>
      </c>
      <c r="N46" s="63">
        <f t="shared" si="6"/>
        <v>35.700000000000003</v>
      </c>
      <c r="O46" s="64">
        <f t="shared" si="7"/>
        <v>877.6</v>
      </c>
      <c r="P46" s="51">
        <f t="shared" si="8"/>
        <v>73.099999999999994</v>
      </c>
    </row>
    <row r="47" spans="2:16" ht="21.95" customHeight="1">
      <c r="B47" s="61">
        <f t="shared" si="6"/>
        <v>2016</v>
      </c>
      <c r="C47" s="62">
        <f t="shared" si="6"/>
        <v>11.1</v>
      </c>
      <c r="D47" s="62">
        <f t="shared" si="6"/>
        <v>46</v>
      </c>
      <c r="E47" s="62">
        <f t="shared" si="6"/>
        <v>54.5</v>
      </c>
      <c r="F47" s="62">
        <f t="shared" si="6"/>
        <v>171.7</v>
      </c>
      <c r="G47" s="62">
        <f t="shared" si="6"/>
        <v>70.5</v>
      </c>
      <c r="H47" s="62">
        <f t="shared" si="6"/>
        <v>87.4</v>
      </c>
      <c r="I47" s="62">
        <f t="shared" si="6"/>
        <v>377.9</v>
      </c>
      <c r="J47" s="62">
        <f t="shared" si="6"/>
        <v>105.6</v>
      </c>
      <c r="K47" s="62">
        <f t="shared" si="6"/>
        <v>160.9</v>
      </c>
      <c r="L47" s="62">
        <f t="shared" si="6"/>
        <v>157.19999999999999</v>
      </c>
      <c r="M47" s="62">
        <f t="shared" si="6"/>
        <v>33.200000000000003</v>
      </c>
      <c r="N47" s="63">
        <f t="shared" si="6"/>
        <v>49.6</v>
      </c>
      <c r="O47" s="64">
        <f>ROUND(SUM(C47:N47),1)</f>
        <v>1325.6</v>
      </c>
      <c r="P47" s="51">
        <f t="shared" si="8"/>
        <v>110.5</v>
      </c>
    </row>
    <row r="48" spans="2:16" ht="21.95" customHeight="1">
      <c r="B48" s="61">
        <f t="shared" si="6"/>
        <v>2017</v>
      </c>
      <c r="C48" s="62">
        <f t="shared" si="6"/>
        <v>13.6</v>
      </c>
      <c r="D48" s="62">
        <f t="shared" si="6"/>
        <v>54.6</v>
      </c>
      <c r="E48" s="62">
        <f t="shared" si="6"/>
        <v>29.8</v>
      </c>
      <c r="F48" s="62">
        <f t="shared" si="6"/>
        <v>76.099999999999994</v>
      </c>
      <c r="G48" s="62">
        <f t="shared" si="6"/>
        <v>31.8</v>
      </c>
      <c r="H48" s="62">
        <f t="shared" si="6"/>
        <v>48.3</v>
      </c>
      <c r="I48" s="62">
        <f t="shared" si="6"/>
        <v>305.5</v>
      </c>
      <c r="J48" s="62">
        <f t="shared" si="6"/>
        <v>222.3</v>
      </c>
      <c r="K48" s="62">
        <f t="shared" si="6"/>
        <v>105.6</v>
      </c>
      <c r="L48" s="62">
        <f t="shared" si="6"/>
        <v>35.1</v>
      </c>
      <c r="M48" s="62">
        <f t="shared" si="6"/>
        <v>15.6</v>
      </c>
      <c r="N48" s="63">
        <f t="shared" si="6"/>
        <v>29.3</v>
      </c>
      <c r="O48" s="64">
        <f t="shared" si="7"/>
        <v>967.6</v>
      </c>
      <c r="P48" s="51">
        <f t="shared" si="8"/>
        <v>80.599999999999994</v>
      </c>
    </row>
    <row r="49" spans="2:16" ht="21.95" customHeight="1">
      <c r="B49" s="61">
        <f t="shared" si="6"/>
        <v>2018</v>
      </c>
      <c r="C49" s="62">
        <f t="shared" si="6"/>
        <v>25.7</v>
      </c>
      <c r="D49" s="62">
        <f t="shared" si="6"/>
        <v>28.1</v>
      </c>
      <c r="E49" s="62">
        <f t="shared" si="6"/>
        <v>91.5</v>
      </c>
      <c r="F49" s="62">
        <f t="shared" si="6"/>
        <v>142.4</v>
      </c>
      <c r="G49" s="62">
        <f t="shared" si="6"/>
        <v>110.4</v>
      </c>
      <c r="H49" s="62">
        <f t="shared" si="6"/>
        <v>104.3</v>
      </c>
      <c r="I49" s="62">
        <f t="shared" si="6"/>
        <v>163.5</v>
      </c>
      <c r="J49" s="62">
        <f t="shared" si="6"/>
        <v>410.4</v>
      </c>
      <c r="K49" s="62">
        <f t="shared" si="6"/>
        <v>135.19999999999999</v>
      </c>
      <c r="L49" s="62">
        <f t="shared" si="6"/>
        <v>112.6</v>
      </c>
      <c r="M49" s="62">
        <f t="shared" si="6"/>
        <v>45.5</v>
      </c>
      <c r="N49" s="63">
        <f t="shared" si="6"/>
        <v>27.6</v>
      </c>
      <c r="O49" s="64">
        <f t="shared" si="7"/>
        <v>1397.2</v>
      </c>
      <c r="P49" s="51">
        <f t="shared" si="8"/>
        <v>116.4</v>
      </c>
    </row>
    <row r="50" spans="2:16" ht="21.95" customHeight="1">
      <c r="B50" s="61">
        <f t="shared" si="6"/>
        <v>2019</v>
      </c>
      <c r="C50" s="62">
        <f t="shared" si="6"/>
        <v>6.4</v>
      </c>
      <c r="D50" s="62">
        <f t="shared" si="6"/>
        <v>41.5</v>
      </c>
      <c r="E50" s="62">
        <f t="shared" si="6"/>
        <v>33</v>
      </c>
      <c r="F50" s="62">
        <f t="shared" si="6"/>
        <v>93</v>
      </c>
      <c r="G50" s="62">
        <f t="shared" si="6"/>
        <v>44.2</v>
      </c>
      <c r="H50" s="62">
        <f t="shared" si="6"/>
        <v>101</v>
      </c>
      <c r="I50" s="62">
        <f t="shared" si="6"/>
        <v>141.1</v>
      </c>
      <c r="J50" s="62">
        <f t="shared" si="6"/>
        <v>105.8</v>
      </c>
      <c r="K50" s="62">
        <f t="shared" si="6"/>
        <v>236.4</v>
      </c>
      <c r="L50" s="62">
        <f t="shared" si="6"/>
        <v>99.3</v>
      </c>
      <c r="M50" s="62">
        <f t="shared" si="6"/>
        <v>47.9</v>
      </c>
      <c r="N50" s="63">
        <f t="shared" si="6"/>
        <v>33</v>
      </c>
      <c r="O50" s="64">
        <f t="shared" si="7"/>
        <v>982.6</v>
      </c>
      <c r="P50" s="51">
        <f t="shared" si="8"/>
        <v>81.900000000000006</v>
      </c>
    </row>
    <row r="51" spans="2:16" ht="21.95" customHeight="1">
      <c r="B51" s="61">
        <f t="shared" si="6"/>
        <v>2020</v>
      </c>
      <c r="C51" s="62">
        <f t="shared" si="6"/>
        <v>80.8</v>
      </c>
      <c r="D51" s="62">
        <f t="shared" si="6"/>
        <v>83.9</v>
      </c>
      <c r="E51" s="62">
        <f t="shared" si="6"/>
        <v>20.5</v>
      </c>
      <c r="F51" s="62">
        <f t="shared" si="6"/>
        <v>35.6</v>
      </c>
      <c r="G51" s="62">
        <f t="shared" si="6"/>
        <v>80.5</v>
      </c>
      <c r="H51" s="62">
        <f t="shared" si="6"/>
        <v>234</v>
      </c>
      <c r="I51" s="62">
        <f t="shared" si="6"/>
        <v>628</v>
      </c>
      <c r="J51" s="62">
        <f t="shared" si="6"/>
        <v>373.4</v>
      </c>
      <c r="K51" s="62">
        <f t="shared" si="6"/>
        <v>167.2</v>
      </c>
      <c r="L51" s="62">
        <f t="shared" si="6"/>
        <v>4.0999999999999996</v>
      </c>
      <c r="M51" s="62">
        <f t="shared" si="6"/>
        <v>41.9</v>
      </c>
      <c r="N51" s="63">
        <f t="shared" si="6"/>
        <v>8.3000000000000007</v>
      </c>
      <c r="O51" s="64">
        <f t="shared" si="7"/>
        <v>1758.2</v>
      </c>
      <c r="P51" s="51">
        <f t="shared" si="8"/>
        <v>146.5</v>
      </c>
    </row>
    <row r="52" spans="2:16" ht="21.95" customHeight="1">
      <c r="B52" s="61">
        <f t="shared" si="6"/>
        <v>2021</v>
      </c>
      <c r="C52" s="62">
        <f t="shared" si="6"/>
        <v>23.5</v>
      </c>
      <c r="D52" s="62">
        <f t="shared" si="6"/>
        <v>19.3</v>
      </c>
      <c r="E52" s="62">
        <f t="shared" si="6"/>
        <v>88</v>
      </c>
      <c r="F52" s="62">
        <f t="shared" si="6"/>
        <v>39.299999999999997</v>
      </c>
      <c r="G52" s="62">
        <f t="shared" si="6"/>
        <v>162.69999999999999</v>
      </c>
      <c r="H52" s="62">
        <f t="shared" si="6"/>
        <v>105.6</v>
      </c>
      <c r="I52" s="62">
        <f t="shared" si="6"/>
        <v>300.8</v>
      </c>
      <c r="J52" s="62">
        <f t="shared" si="6"/>
        <v>297.2</v>
      </c>
      <c r="K52" s="62">
        <f t="shared" si="6"/>
        <v>151.9</v>
      </c>
      <c r="L52" s="62">
        <f t="shared" si="6"/>
        <v>44</v>
      </c>
      <c r="M52" s="62">
        <f t="shared" si="6"/>
        <v>50.7</v>
      </c>
      <c r="N52" s="63">
        <f t="shared" si="6"/>
        <v>7.1</v>
      </c>
      <c r="O52" s="64">
        <f t="shared" si="7"/>
        <v>1290.0999999999999</v>
      </c>
      <c r="P52" s="51">
        <f t="shared" si="8"/>
        <v>107.5</v>
      </c>
    </row>
    <row r="53" spans="2:16" ht="21.95" customHeight="1" thickBot="1">
      <c r="B53" s="65">
        <f t="shared" si="6"/>
        <v>2022</v>
      </c>
      <c r="C53" s="66">
        <f t="shared" si="6"/>
        <v>1.5</v>
      </c>
      <c r="D53" s="66">
        <f t="shared" si="6"/>
        <v>4.0999999999999996</v>
      </c>
      <c r="E53" s="66">
        <f t="shared" si="6"/>
        <v>80.599999999999994</v>
      </c>
      <c r="F53" s="66">
        <f t="shared" si="6"/>
        <v>63.3</v>
      </c>
      <c r="G53" s="66">
        <f t="shared" si="6"/>
        <v>4.7</v>
      </c>
      <c r="H53" s="66">
        <f t="shared" si="6"/>
        <v>145.4</v>
      </c>
      <c r="I53" s="66">
        <f t="shared" si="6"/>
        <v>183.7</v>
      </c>
      <c r="J53" s="66">
        <f t="shared" si="6"/>
        <v>265.7</v>
      </c>
      <c r="K53" s="66">
        <f t="shared" si="6"/>
        <v>68.2</v>
      </c>
      <c r="L53" s="66">
        <f t="shared" si="6"/>
        <v>59.3</v>
      </c>
      <c r="M53" s="66">
        <f t="shared" si="6"/>
        <v>54.2</v>
      </c>
      <c r="N53" s="67">
        <f t="shared" si="6"/>
        <v>18</v>
      </c>
      <c r="O53" s="68">
        <f t="shared" si="7"/>
        <v>948.7</v>
      </c>
      <c r="P53" s="56">
        <f t="shared" si="8"/>
        <v>79.099999999999994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162.69999999999999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49.6</v>
      </c>
      <c r="O54" s="72">
        <f t="shared" si="9"/>
        <v>1758.2</v>
      </c>
      <c r="P54" s="71">
        <f t="shared" si="9"/>
        <v>146.5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24.1</v>
      </c>
      <c r="D56" s="76">
        <f t="shared" ref="D56:N56" si="11">ROUND(AVERAGE(D44:D53),1)</f>
        <v>34.700000000000003</v>
      </c>
      <c r="E56" s="76">
        <f t="shared" si="11"/>
        <v>60.7</v>
      </c>
      <c r="F56" s="76">
        <f t="shared" si="11"/>
        <v>89</v>
      </c>
      <c r="G56" s="76">
        <f t="shared" si="11"/>
        <v>64</v>
      </c>
      <c r="H56" s="76">
        <f t="shared" si="11"/>
        <v>113.3</v>
      </c>
      <c r="I56" s="76">
        <f t="shared" si="11"/>
        <v>258.60000000000002</v>
      </c>
      <c r="J56" s="76">
        <f t="shared" si="11"/>
        <v>245</v>
      </c>
      <c r="K56" s="76">
        <f t="shared" si="11"/>
        <v>121.6</v>
      </c>
      <c r="L56" s="76">
        <f t="shared" si="11"/>
        <v>77.900000000000006</v>
      </c>
      <c r="M56" s="76">
        <f t="shared" si="11"/>
        <v>52.3</v>
      </c>
      <c r="N56" s="56">
        <f t="shared" si="11"/>
        <v>26.4</v>
      </c>
      <c r="O56" s="68">
        <f>ROUND(AVERAGE(O44:O53),1)</f>
        <v>1167.5</v>
      </c>
      <c r="P56" s="56">
        <f>ROUND(AVERAGE(P44:P53),1)</f>
        <v>97.3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F2D7-C1EE-4594-876C-631EEAC4A940}">
  <sheetPr codeName="Sheet14">
    <tabColor rgb="FF008000"/>
  </sheetPr>
  <dimension ref="A2:Q983"/>
  <sheetViews>
    <sheetView zoomScaleNormal="100" workbookViewId="0">
      <selection activeCell="O35" sqref="O3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8">
        <v>2022</v>
      </c>
      <c r="C35" s="39">
        <v>1.2</v>
      </c>
      <c r="D35" s="39">
        <v>1.4</v>
      </c>
      <c r="E35" s="39">
        <v>74</v>
      </c>
      <c r="F35" s="39">
        <v>69.7</v>
      </c>
      <c r="G35" s="39">
        <v>8.1</v>
      </c>
      <c r="H35" s="39">
        <v>117.6</v>
      </c>
      <c r="I35" s="39">
        <v>195</v>
      </c>
      <c r="J35" s="39">
        <v>496.1</v>
      </c>
      <c r="K35" s="39">
        <v>90.2</v>
      </c>
      <c r="L35" s="39">
        <v>89.3</v>
      </c>
      <c r="M35" s="39">
        <v>45.8</v>
      </c>
      <c r="N35" s="40">
        <v>14.7</v>
      </c>
      <c r="O35" s="41">
        <f t="shared" si="0"/>
        <v>1203.0999999999999</v>
      </c>
      <c r="P35" s="42">
        <f t="shared" si="1"/>
        <v>100.3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587.29999999999995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64.599999999999994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25.1</v>
      </c>
      <c r="D38" s="53">
        <f t="shared" ref="D38:P38" si="4">ROUND(AVERAGE(D6:D35),1)</f>
        <v>35</v>
      </c>
      <c r="E38" s="53">
        <f t="shared" si="4"/>
        <v>52.7</v>
      </c>
      <c r="F38" s="53">
        <f t="shared" si="4"/>
        <v>79.2</v>
      </c>
      <c r="G38" s="53">
        <f t="shared" si="4"/>
        <v>91.8</v>
      </c>
      <c r="H38" s="53">
        <f t="shared" si="4"/>
        <v>168.3</v>
      </c>
      <c r="I38" s="53">
        <f t="shared" si="4"/>
        <v>303.10000000000002</v>
      </c>
      <c r="J38" s="53">
        <f t="shared" si="4"/>
        <v>313.60000000000002</v>
      </c>
      <c r="K38" s="53">
        <f t="shared" si="4"/>
        <v>148.19999999999999</v>
      </c>
      <c r="L38" s="53">
        <f t="shared" si="4"/>
        <v>61.9</v>
      </c>
      <c r="M38" s="53">
        <f t="shared" si="4"/>
        <v>48.7</v>
      </c>
      <c r="N38" s="54">
        <f t="shared" si="4"/>
        <v>26.8</v>
      </c>
      <c r="O38" s="55">
        <f t="shared" si="4"/>
        <v>1354.3</v>
      </c>
      <c r="P38" s="56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46.2</v>
      </c>
      <c r="D44" s="62">
        <f t="shared" si="5"/>
        <v>54.2</v>
      </c>
      <c r="E44" s="62">
        <f t="shared" si="5"/>
        <v>52.8</v>
      </c>
      <c r="F44" s="62">
        <f t="shared" si="5"/>
        <v>86.8</v>
      </c>
      <c r="G44" s="62">
        <f t="shared" si="5"/>
        <v>110.4</v>
      </c>
      <c r="H44" s="62">
        <f t="shared" si="5"/>
        <v>162.6</v>
      </c>
      <c r="I44" s="62">
        <f t="shared" si="5"/>
        <v>218.7</v>
      </c>
      <c r="J44" s="62">
        <f t="shared" si="5"/>
        <v>126.6</v>
      </c>
      <c r="K44" s="62">
        <f t="shared" si="5"/>
        <v>146.4</v>
      </c>
      <c r="L44" s="62">
        <f t="shared" si="5"/>
        <v>19.600000000000001</v>
      </c>
      <c r="M44" s="62">
        <f t="shared" si="5"/>
        <v>63.1</v>
      </c>
      <c r="N44" s="63">
        <f t="shared" si="5"/>
        <v>32.799999999999997</v>
      </c>
      <c r="O44" s="64">
        <f>ROUND(SUM(C44:N44),1)</f>
        <v>1120.2</v>
      </c>
      <c r="P44" s="51">
        <f>ROUND(O44/12,1)</f>
        <v>93.4</v>
      </c>
    </row>
    <row r="45" spans="2:16" ht="21.95" customHeight="1">
      <c r="B45" s="61">
        <f t="shared" ref="B45:N53" si="6">B27</f>
        <v>2014</v>
      </c>
      <c r="C45" s="62">
        <f t="shared" si="6"/>
        <v>6.5</v>
      </c>
      <c r="D45" s="62">
        <f t="shared" si="6"/>
        <v>8.5</v>
      </c>
      <c r="E45" s="62">
        <f t="shared" si="6"/>
        <v>67.2</v>
      </c>
      <c r="F45" s="62">
        <f t="shared" si="6"/>
        <v>59.4</v>
      </c>
      <c r="G45" s="62">
        <f t="shared" si="6"/>
        <v>49.7</v>
      </c>
      <c r="H45" s="62">
        <f t="shared" si="6"/>
        <v>143.69999999999999</v>
      </c>
      <c r="I45" s="62">
        <f t="shared" si="6"/>
        <v>177.2</v>
      </c>
      <c r="J45" s="62">
        <f t="shared" si="6"/>
        <v>240.9</v>
      </c>
      <c r="K45" s="62">
        <f t="shared" si="6"/>
        <v>118</v>
      </c>
      <c r="L45" s="62">
        <f t="shared" si="6"/>
        <v>169.4</v>
      </c>
      <c r="M45" s="62">
        <f t="shared" si="6"/>
        <v>40.700000000000003</v>
      </c>
      <c r="N45" s="63">
        <f t="shared" si="6"/>
        <v>36.5</v>
      </c>
      <c r="O45" s="64">
        <f t="shared" ref="O45:O53" si="7">ROUND(SUM(C45:N45),1)</f>
        <v>1117.7</v>
      </c>
      <c r="P45" s="51">
        <f t="shared" ref="P45:P53" si="8">ROUND(O45/12,1)</f>
        <v>93.1</v>
      </c>
    </row>
    <row r="46" spans="2:16" ht="21.95" customHeight="1">
      <c r="B46" s="61">
        <f t="shared" si="6"/>
        <v>2015</v>
      </c>
      <c r="C46" s="62">
        <f t="shared" si="6"/>
        <v>31.5</v>
      </c>
      <c r="D46" s="62">
        <f t="shared" si="6"/>
        <v>27</v>
      </c>
      <c r="E46" s="62">
        <f t="shared" si="6"/>
        <v>44.7</v>
      </c>
      <c r="F46" s="62">
        <f t="shared" si="6"/>
        <v>95.2</v>
      </c>
      <c r="G46" s="62">
        <f t="shared" si="6"/>
        <v>28.9</v>
      </c>
      <c r="H46" s="62">
        <f t="shared" si="6"/>
        <v>119.8</v>
      </c>
      <c r="I46" s="62">
        <f t="shared" si="6"/>
        <v>145.6</v>
      </c>
      <c r="J46" s="62">
        <f t="shared" si="6"/>
        <v>51.6</v>
      </c>
      <c r="K46" s="62">
        <f t="shared" si="6"/>
        <v>18.5</v>
      </c>
      <c r="L46" s="62">
        <f t="shared" si="6"/>
        <v>94.1</v>
      </c>
      <c r="M46" s="62">
        <f t="shared" si="6"/>
        <v>126.1</v>
      </c>
      <c r="N46" s="63">
        <f t="shared" si="6"/>
        <v>39.700000000000003</v>
      </c>
      <c r="O46" s="64">
        <f t="shared" si="7"/>
        <v>822.7</v>
      </c>
      <c r="P46" s="51">
        <f t="shared" si="8"/>
        <v>68.599999999999994</v>
      </c>
    </row>
    <row r="47" spans="2:16" ht="21.95" customHeight="1">
      <c r="B47" s="61">
        <f t="shared" si="6"/>
        <v>2016</v>
      </c>
      <c r="C47" s="62">
        <f t="shared" si="6"/>
        <v>11.6</v>
      </c>
      <c r="D47" s="62">
        <f t="shared" si="6"/>
        <v>45.8</v>
      </c>
      <c r="E47" s="62">
        <f t="shared" si="6"/>
        <v>40.299999999999997</v>
      </c>
      <c r="F47" s="62">
        <f t="shared" si="6"/>
        <v>154.9</v>
      </c>
      <c r="G47" s="62">
        <f t="shared" si="6"/>
        <v>85.1</v>
      </c>
      <c r="H47" s="62">
        <f t="shared" si="6"/>
        <v>62.5</v>
      </c>
      <c r="I47" s="62">
        <f t="shared" si="6"/>
        <v>367.9</v>
      </c>
      <c r="J47" s="62">
        <f t="shared" si="6"/>
        <v>57.4</v>
      </c>
      <c r="K47" s="62">
        <f t="shared" si="6"/>
        <v>196</v>
      </c>
      <c r="L47" s="62">
        <f t="shared" si="6"/>
        <v>122.6</v>
      </c>
      <c r="M47" s="62">
        <f t="shared" si="6"/>
        <v>29.5</v>
      </c>
      <c r="N47" s="63">
        <f t="shared" si="6"/>
        <v>54.8</v>
      </c>
      <c r="O47" s="64">
        <f>ROUND(SUM(C47:N47),1)</f>
        <v>1228.4000000000001</v>
      </c>
      <c r="P47" s="51">
        <f t="shared" si="8"/>
        <v>102.4</v>
      </c>
    </row>
    <row r="48" spans="2:16" ht="21.95" customHeight="1">
      <c r="B48" s="61">
        <f t="shared" si="6"/>
        <v>2017</v>
      </c>
      <c r="C48" s="62">
        <f t="shared" si="6"/>
        <v>15</v>
      </c>
      <c r="D48" s="62">
        <f t="shared" si="6"/>
        <v>42</v>
      </c>
      <c r="E48" s="62">
        <f t="shared" si="6"/>
        <v>11.6</v>
      </c>
      <c r="F48" s="62">
        <f t="shared" si="6"/>
        <v>77.7</v>
      </c>
      <c r="G48" s="62">
        <f t="shared" si="6"/>
        <v>29.3</v>
      </c>
      <c r="H48" s="62">
        <f t="shared" si="6"/>
        <v>35.299999999999997</v>
      </c>
      <c r="I48" s="62">
        <f t="shared" si="6"/>
        <v>434.5</v>
      </c>
      <c r="J48" s="62">
        <f t="shared" si="6"/>
        <v>293.8</v>
      </c>
      <c r="K48" s="62">
        <f t="shared" si="6"/>
        <v>111.4</v>
      </c>
      <c r="L48" s="62">
        <f t="shared" si="6"/>
        <v>28.3</v>
      </c>
      <c r="M48" s="62">
        <f t="shared" si="6"/>
        <v>15.1</v>
      </c>
      <c r="N48" s="63">
        <f t="shared" si="6"/>
        <v>33.5</v>
      </c>
      <c r="O48" s="64">
        <f t="shared" si="7"/>
        <v>1127.5</v>
      </c>
      <c r="P48" s="51">
        <f t="shared" si="8"/>
        <v>94</v>
      </c>
    </row>
    <row r="49" spans="2:16" ht="21.95" customHeight="1">
      <c r="B49" s="61">
        <f t="shared" si="6"/>
        <v>2018</v>
      </c>
      <c r="C49" s="62">
        <f t="shared" si="6"/>
        <v>23.9</v>
      </c>
      <c r="D49" s="62">
        <f t="shared" si="6"/>
        <v>40.5</v>
      </c>
      <c r="E49" s="62">
        <f t="shared" si="6"/>
        <v>108.4</v>
      </c>
      <c r="F49" s="62">
        <f t="shared" si="6"/>
        <v>155.30000000000001</v>
      </c>
      <c r="G49" s="62">
        <f t="shared" si="6"/>
        <v>95.9</v>
      </c>
      <c r="H49" s="62">
        <f t="shared" si="6"/>
        <v>115.8</v>
      </c>
      <c r="I49" s="62">
        <f t="shared" si="6"/>
        <v>226.9</v>
      </c>
      <c r="J49" s="62">
        <f t="shared" si="6"/>
        <v>408.6</v>
      </c>
      <c r="K49" s="62">
        <f t="shared" si="6"/>
        <v>149.4</v>
      </c>
      <c r="L49" s="62">
        <f t="shared" si="6"/>
        <v>133.9</v>
      </c>
      <c r="M49" s="62">
        <f t="shared" si="6"/>
        <v>49.8</v>
      </c>
      <c r="N49" s="63">
        <f t="shared" si="6"/>
        <v>33.700000000000003</v>
      </c>
      <c r="O49" s="64">
        <f t="shared" si="7"/>
        <v>1542.1</v>
      </c>
      <c r="P49" s="51">
        <f t="shared" si="8"/>
        <v>128.5</v>
      </c>
    </row>
    <row r="50" spans="2:16" ht="21.95" customHeight="1">
      <c r="B50" s="61">
        <f t="shared" si="6"/>
        <v>2019</v>
      </c>
      <c r="C50" s="62">
        <f t="shared" si="6"/>
        <v>1.7</v>
      </c>
      <c r="D50" s="62">
        <f t="shared" si="6"/>
        <v>46.3</v>
      </c>
      <c r="E50" s="62">
        <f t="shared" si="6"/>
        <v>33.700000000000003</v>
      </c>
      <c r="F50" s="62">
        <f t="shared" si="6"/>
        <v>91.6</v>
      </c>
      <c r="G50" s="62">
        <f t="shared" si="6"/>
        <v>35.6</v>
      </c>
      <c r="H50" s="62">
        <f t="shared" si="6"/>
        <v>77.900000000000006</v>
      </c>
      <c r="I50" s="62">
        <f t="shared" si="6"/>
        <v>199</v>
      </c>
      <c r="J50" s="62">
        <f t="shared" si="6"/>
        <v>104.3</v>
      </c>
      <c r="K50" s="62">
        <f t="shared" si="6"/>
        <v>167</v>
      </c>
      <c r="L50" s="62">
        <f t="shared" si="6"/>
        <v>106.1</v>
      </c>
      <c r="M50" s="62">
        <f t="shared" si="6"/>
        <v>94</v>
      </c>
      <c r="N50" s="63">
        <f t="shared" si="6"/>
        <v>27</v>
      </c>
      <c r="O50" s="64">
        <f t="shared" si="7"/>
        <v>984.2</v>
      </c>
      <c r="P50" s="51">
        <f t="shared" si="8"/>
        <v>82</v>
      </c>
    </row>
    <row r="51" spans="2:16" ht="21.95" customHeight="1">
      <c r="B51" s="61">
        <f t="shared" si="6"/>
        <v>2020</v>
      </c>
      <c r="C51" s="62">
        <f t="shared" si="6"/>
        <v>78.5</v>
      </c>
      <c r="D51" s="62">
        <f t="shared" si="6"/>
        <v>91.2</v>
      </c>
      <c r="E51" s="62">
        <f t="shared" si="6"/>
        <v>24.4</v>
      </c>
      <c r="F51" s="62">
        <f t="shared" si="6"/>
        <v>17.8</v>
      </c>
      <c r="G51" s="62">
        <f t="shared" si="6"/>
        <v>80.400000000000006</v>
      </c>
      <c r="H51" s="62">
        <f t="shared" si="6"/>
        <v>192.5</v>
      </c>
      <c r="I51" s="62">
        <f t="shared" si="6"/>
        <v>544.9</v>
      </c>
      <c r="J51" s="62">
        <f t="shared" si="6"/>
        <v>361.6</v>
      </c>
      <c r="K51" s="62">
        <f t="shared" si="6"/>
        <v>173.6</v>
      </c>
      <c r="L51" s="62">
        <f t="shared" si="6"/>
        <v>3.2</v>
      </c>
      <c r="M51" s="62">
        <f t="shared" si="6"/>
        <v>41.8</v>
      </c>
      <c r="N51" s="63">
        <f t="shared" si="6"/>
        <v>4.0999999999999996</v>
      </c>
      <c r="O51" s="64">
        <f t="shared" si="7"/>
        <v>1614</v>
      </c>
      <c r="P51" s="51">
        <f t="shared" si="8"/>
        <v>134.5</v>
      </c>
    </row>
    <row r="52" spans="2:16" ht="21.95" customHeight="1">
      <c r="B52" s="61">
        <f t="shared" si="6"/>
        <v>2021</v>
      </c>
      <c r="C52" s="62">
        <f t="shared" si="6"/>
        <v>23.6</v>
      </c>
      <c r="D52" s="62">
        <f t="shared" si="6"/>
        <v>14.1</v>
      </c>
      <c r="E52" s="62">
        <f t="shared" si="6"/>
        <v>95.2</v>
      </c>
      <c r="F52" s="62">
        <f t="shared" si="6"/>
        <v>47.4</v>
      </c>
      <c r="G52" s="62">
        <f t="shared" si="6"/>
        <v>134.19999999999999</v>
      </c>
      <c r="H52" s="62">
        <f t="shared" si="6"/>
        <v>105.9</v>
      </c>
      <c r="I52" s="62">
        <f t="shared" si="6"/>
        <v>151.80000000000001</v>
      </c>
      <c r="J52" s="62">
        <f t="shared" si="6"/>
        <v>289.2</v>
      </c>
      <c r="K52" s="62">
        <f t="shared" si="6"/>
        <v>161.19999999999999</v>
      </c>
      <c r="L52" s="62">
        <f t="shared" si="6"/>
        <v>40.799999999999997</v>
      </c>
      <c r="M52" s="62">
        <f t="shared" si="6"/>
        <v>41.7</v>
      </c>
      <c r="N52" s="63">
        <f t="shared" si="6"/>
        <v>4.4000000000000004</v>
      </c>
      <c r="O52" s="64">
        <f t="shared" si="7"/>
        <v>1109.5</v>
      </c>
      <c r="P52" s="51">
        <f t="shared" si="8"/>
        <v>92.5</v>
      </c>
    </row>
    <row r="53" spans="2:16" ht="21.95" customHeight="1" thickBot="1">
      <c r="B53" s="65">
        <f t="shared" si="6"/>
        <v>2022</v>
      </c>
      <c r="C53" s="66">
        <f t="shared" si="6"/>
        <v>1.2</v>
      </c>
      <c r="D53" s="66">
        <f t="shared" si="6"/>
        <v>1.4</v>
      </c>
      <c r="E53" s="66">
        <f t="shared" si="6"/>
        <v>74</v>
      </c>
      <c r="F53" s="66">
        <f t="shared" si="6"/>
        <v>69.7</v>
      </c>
      <c r="G53" s="66">
        <f t="shared" si="6"/>
        <v>8.1</v>
      </c>
      <c r="H53" s="66">
        <f t="shared" si="6"/>
        <v>117.6</v>
      </c>
      <c r="I53" s="66">
        <f t="shared" si="6"/>
        <v>195</v>
      </c>
      <c r="J53" s="66">
        <f t="shared" si="6"/>
        <v>496.1</v>
      </c>
      <c r="K53" s="66">
        <f t="shared" si="6"/>
        <v>90.2</v>
      </c>
      <c r="L53" s="66">
        <f t="shared" si="6"/>
        <v>89.3</v>
      </c>
      <c r="M53" s="66">
        <f t="shared" si="6"/>
        <v>45.8</v>
      </c>
      <c r="N53" s="67">
        <f t="shared" si="6"/>
        <v>14.7</v>
      </c>
      <c r="O53" s="68">
        <f t="shared" si="7"/>
        <v>1203.0999999999999</v>
      </c>
      <c r="P53" s="56">
        <f t="shared" si="8"/>
        <v>100.3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134.19999999999999</v>
      </c>
      <c r="H54" s="70">
        <f t="shared" si="9"/>
        <v>192.5</v>
      </c>
      <c r="I54" s="70">
        <f t="shared" si="9"/>
        <v>544.9</v>
      </c>
      <c r="J54" s="70">
        <f t="shared" si="9"/>
        <v>496.1</v>
      </c>
      <c r="K54" s="70">
        <f t="shared" si="9"/>
        <v>196</v>
      </c>
      <c r="L54" s="70">
        <f t="shared" si="9"/>
        <v>169.4</v>
      </c>
      <c r="M54" s="70">
        <f t="shared" si="9"/>
        <v>126.1</v>
      </c>
      <c r="N54" s="71">
        <f t="shared" si="9"/>
        <v>54.8</v>
      </c>
      <c r="O54" s="72">
        <f t="shared" si="9"/>
        <v>1614</v>
      </c>
      <c r="P54" s="71">
        <f t="shared" si="9"/>
        <v>134.5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24</v>
      </c>
      <c r="D56" s="76">
        <f t="shared" ref="D56:N56" si="11">ROUND(AVERAGE(D44:D53),1)</f>
        <v>37.1</v>
      </c>
      <c r="E56" s="76">
        <f t="shared" si="11"/>
        <v>55.2</v>
      </c>
      <c r="F56" s="76">
        <f t="shared" si="11"/>
        <v>85.6</v>
      </c>
      <c r="G56" s="76">
        <f t="shared" si="11"/>
        <v>65.8</v>
      </c>
      <c r="H56" s="76">
        <f t="shared" si="11"/>
        <v>113.4</v>
      </c>
      <c r="I56" s="76">
        <f t="shared" si="11"/>
        <v>266.2</v>
      </c>
      <c r="J56" s="76">
        <f t="shared" si="11"/>
        <v>243</v>
      </c>
      <c r="K56" s="76">
        <f t="shared" si="11"/>
        <v>133.19999999999999</v>
      </c>
      <c r="L56" s="76">
        <f t="shared" si="11"/>
        <v>80.7</v>
      </c>
      <c r="M56" s="76">
        <f t="shared" si="11"/>
        <v>54.8</v>
      </c>
      <c r="N56" s="56">
        <f t="shared" si="11"/>
        <v>28.1</v>
      </c>
      <c r="O56" s="68">
        <f>ROUND(AVERAGE(O44:O53),1)</f>
        <v>1186.9000000000001</v>
      </c>
      <c r="P56" s="56">
        <f>ROUND(AVERAGE(P44:P53),1)</f>
        <v>98.9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5442E-E1B3-4C2E-810B-0EF71BC1D284}">
  <sheetPr codeName="Sheet18">
    <tabColor rgb="FF0000FF"/>
  </sheetPr>
  <dimension ref="A2:Q983"/>
  <sheetViews>
    <sheetView zoomScaleNormal="100" workbookViewId="0">
      <selection activeCell="V18" sqref="V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253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8">
        <v>2022</v>
      </c>
      <c r="C35" s="39">
        <v>8.6</v>
      </c>
      <c r="D35" s="39">
        <v>4.7</v>
      </c>
      <c r="E35" s="39">
        <v>72.099999999999994</v>
      </c>
      <c r="F35" s="39">
        <v>52.2</v>
      </c>
      <c r="G35" s="39">
        <v>2.9</v>
      </c>
      <c r="H35" s="39">
        <v>352.4</v>
      </c>
      <c r="I35" s="39">
        <v>178.4</v>
      </c>
      <c r="J35" s="39">
        <v>468.7</v>
      </c>
      <c r="K35" s="39">
        <v>165.9</v>
      </c>
      <c r="L35" s="39">
        <v>160</v>
      </c>
      <c r="M35" s="39">
        <v>72.900000000000006</v>
      </c>
      <c r="N35" s="40">
        <v>31.9</v>
      </c>
      <c r="O35" s="41">
        <f t="shared" si="0"/>
        <v>1570.7</v>
      </c>
      <c r="P35" s="42">
        <f t="shared" si="1"/>
        <v>130.9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81.599999999999994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2.4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23.9</v>
      </c>
      <c r="D38" s="53">
        <f t="shared" ref="D38:P38" si="4">ROUND(AVERAGE(D6:D35),1)</f>
        <v>29.4</v>
      </c>
      <c r="E38" s="53">
        <f t="shared" si="4"/>
        <v>44.7</v>
      </c>
      <c r="F38" s="53">
        <f t="shared" si="4"/>
        <v>75.8</v>
      </c>
      <c r="G38" s="53">
        <f t="shared" si="4"/>
        <v>96.4</v>
      </c>
      <c r="H38" s="53">
        <f t="shared" si="4"/>
        <v>147.5</v>
      </c>
      <c r="I38" s="53">
        <f t="shared" si="4"/>
        <v>275</v>
      </c>
      <c r="J38" s="53">
        <f t="shared" si="4"/>
        <v>290.89999999999998</v>
      </c>
      <c r="K38" s="53">
        <f t="shared" si="4"/>
        <v>143.69999999999999</v>
      </c>
      <c r="L38" s="53">
        <f t="shared" si="4"/>
        <v>58.3</v>
      </c>
      <c r="M38" s="53">
        <f t="shared" si="4"/>
        <v>58.3</v>
      </c>
      <c r="N38" s="54">
        <f t="shared" si="4"/>
        <v>32.4</v>
      </c>
      <c r="O38" s="55">
        <f t="shared" si="4"/>
        <v>1276.3</v>
      </c>
      <c r="P38" s="56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36.799999999999997</v>
      </c>
      <c r="D44" s="62">
        <f t="shared" si="5"/>
        <v>64.8</v>
      </c>
      <c r="E44" s="62">
        <f t="shared" si="5"/>
        <v>60.8</v>
      </c>
      <c r="F44" s="62">
        <f t="shared" si="5"/>
        <v>61.8</v>
      </c>
      <c r="G44" s="62">
        <f t="shared" si="5"/>
        <v>114.9</v>
      </c>
      <c r="H44" s="62">
        <f t="shared" si="5"/>
        <v>94.4</v>
      </c>
      <c r="I44" s="62">
        <f t="shared" si="5"/>
        <v>213.8</v>
      </c>
      <c r="J44" s="62">
        <f t="shared" si="5"/>
        <v>120.6</v>
      </c>
      <c r="K44" s="62">
        <f t="shared" si="5"/>
        <v>147.4</v>
      </c>
      <c r="L44" s="62">
        <f t="shared" si="5"/>
        <v>5.7</v>
      </c>
      <c r="M44" s="62">
        <f t="shared" si="5"/>
        <v>64.900000000000006</v>
      </c>
      <c r="N44" s="63">
        <f t="shared" si="5"/>
        <v>32.799999999999997</v>
      </c>
      <c r="O44" s="64">
        <f>ROUND(SUM(C44:N44),1)</f>
        <v>1018.7</v>
      </c>
      <c r="P44" s="51">
        <f>ROUND(O44/12,1)</f>
        <v>84.9</v>
      </c>
    </row>
    <row r="45" spans="2:16" ht="21.95" customHeight="1">
      <c r="B45" s="61">
        <f t="shared" ref="B45:N53" si="6">B27</f>
        <v>2014</v>
      </c>
      <c r="C45" s="62">
        <f t="shared" si="6"/>
        <v>7</v>
      </c>
      <c r="D45" s="62">
        <f t="shared" si="6"/>
        <v>17</v>
      </c>
      <c r="E45" s="62">
        <f t="shared" si="6"/>
        <v>31.2</v>
      </c>
      <c r="F45" s="62">
        <f t="shared" si="6"/>
        <v>85.6</v>
      </c>
      <c r="G45" s="62">
        <f t="shared" si="6"/>
        <v>52.7</v>
      </c>
      <c r="H45" s="62">
        <f t="shared" si="6"/>
        <v>69.3</v>
      </c>
      <c r="I45" s="62">
        <f t="shared" si="6"/>
        <v>151.69999999999999</v>
      </c>
      <c r="J45" s="62">
        <f t="shared" si="6"/>
        <v>242.3</v>
      </c>
      <c r="K45" s="62">
        <f t="shared" si="6"/>
        <v>106.7</v>
      </c>
      <c r="L45" s="62">
        <f t="shared" si="6"/>
        <v>117.2</v>
      </c>
      <c r="M45" s="62">
        <f t="shared" si="6"/>
        <v>37.799999999999997</v>
      </c>
      <c r="N45" s="63">
        <f t="shared" si="6"/>
        <v>81.599999999999994</v>
      </c>
      <c r="O45" s="64">
        <f t="shared" ref="O45:O53" si="7">ROUND(SUM(C45:N45),1)</f>
        <v>1000.1</v>
      </c>
      <c r="P45" s="51">
        <f t="shared" ref="P45:P53" si="8">ROUND(O45/12,1)</f>
        <v>83.3</v>
      </c>
    </row>
    <row r="46" spans="2:16" ht="21.95" customHeight="1">
      <c r="B46" s="61">
        <f t="shared" si="6"/>
        <v>2015</v>
      </c>
      <c r="C46" s="62">
        <f t="shared" si="6"/>
        <v>20.7</v>
      </c>
      <c r="D46" s="62">
        <f t="shared" si="6"/>
        <v>23.1</v>
      </c>
      <c r="E46" s="62">
        <f t="shared" si="6"/>
        <v>20.6</v>
      </c>
      <c r="F46" s="62">
        <f t="shared" si="6"/>
        <v>116.8</v>
      </c>
      <c r="G46" s="62">
        <f t="shared" si="6"/>
        <v>40.6</v>
      </c>
      <c r="H46" s="62">
        <f t="shared" si="6"/>
        <v>64.099999999999994</v>
      </c>
      <c r="I46" s="62">
        <f t="shared" si="6"/>
        <v>158.5</v>
      </c>
      <c r="J46" s="62">
        <f t="shared" si="6"/>
        <v>63.1</v>
      </c>
      <c r="K46" s="62">
        <f t="shared" si="6"/>
        <v>15.1</v>
      </c>
      <c r="L46" s="62">
        <f t="shared" si="6"/>
        <v>73.099999999999994</v>
      </c>
      <c r="M46" s="62">
        <f t="shared" si="6"/>
        <v>156.6</v>
      </c>
      <c r="N46" s="63">
        <f t="shared" si="6"/>
        <v>63.6</v>
      </c>
      <c r="O46" s="64">
        <f t="shared" si="7"/>
        <v>815.9</v>
      </c>
      <c r="P46" s="51">
        <f t="shared" si="8"/>
        <v>68</v>
      </c>
    </row>
    <row r="47" spans="2:16" ht="21.95" customHeight="1">
      <c r="B47" s="61">
        <f t="shared" si="6"/>
        <v>2016</v>
      </c>
      <c r="C47" s="62">
        <f t="shared" si="6"/>
        <v>21.9</v>
      </c>
      <c r="D47" s="62">
        <f t="shared" si="6"/>
        <v>61.7</v>
      </c>
      <c r="E47" s="62">
        <f t="shared" si="6"/>
        <v>24.3</v>
      </c>
      <c r="F47" s="62">
        <f t="shared" si="6"/>
        <v>87</v>
      </c>
      <c r="G47" s="62">
        <f t="shared" si="6"/>
        <v>153.69999999999999</v>
      </c>
      <c r="H47" s="62">
        <f t="shared" si="6"/>
        <v>36.799999999999997</v>
      </c>
      <c r="I47" s="62">
        <f t="shared" si="6"/>
        <v>295.60000000000002</v>
      </c>
      <c r="J47" s="62">
        <f t="shared" si="6"/>
        <v>34</v>
      </c>
      <c r="K47" s="62">
        <f t="shared" si="6"/>
        <v>53.1</v>
      </c>
      <c r="L47" s="62">
        <f t="shared" si="6"/>
        <v>73.8</v>
      </c>
      <c r="M47" s="62">
        <f t="shared" si="6"/>
        <v>17.5</v>
      </c>
      <c r="N47" s="63">
        <f t="shared" si="6"/>
        <v>62.7</v>
      </c>
      <c r="O47" s="64">
        <f>ROUND(SUM(C47:N47),1)</f>
        <v>922.1</v>
      </c>
      <c r="P47" s="51">
        <f t="shared" si="8"/>
        <v>76.8</v>
      </c>
    </row>
    <row r="48" spans="2:16" ht="21.95" customHeight="1">
      <c r="B48" s="61">
        <f t="shared" si="6"/>
        <v>2017</v>
      </c>
      <c r="C48" s="62">
        <f t="shared" si="6"/>
        <v>21.3</v>
      </c>
      <c r="D48" s="62">
        <f t="shared" si="6"/>
        <v>31.4</v>
      </c>
      <c r="E48" s="62">
        <f t="shared" si="6"/>
        <v>4.8</v>
      </c>
      <c r="F48" s="62">
        <f t="shared" si="6"/>
        <v>38.9</v>
      </c>
      <c r="G48" s="62">
        <f t="shared" si="6"/>
        <v>27.9</v>
      </c>
      <c r="H48" s="62">
        <f t="shared" si="6"/>
        <v>23.3</v>
      </c>
      <c r="I48" s="62">
        <f t="shared" si="6"/>
        <v>327.8</v>
      </c>
      <c r="J48" s="62">
        <f t="shared" si="6"/>
        <v>231.3</v>
      </c>
      <c r="K48" s="62">
        <f t="shared" si="6"/>
        <v>37.6</v>
      </c>
      <c r="L48" s="62">
        <f t="shared" si="6"/>
        <v>25.5</v>
      </c>
      <c r="M48" s="62">
        <f t="shared" si="6"/>
        <v>24.7</v>
      </c>
      <c r="N48" s="63">
        <f t="shared" si="6"/>
        <v>35.9</v>
      </c>
      <c r="O48" s="64">
        <f t="shared" si="7"/>
        <v>830.4</v>
      </c>
      <c r="P48" s="51">
        <f t="shared" si="8"/>
        <v>69.2</v>
      </c>
    </row>
    <row r="49" spans="2:16" ht="21.95" customHeight="1">
      <c r="B49" s="61">
        <f t="shared" si="6"/>
        <v>2018</v>
      </c>
      <c r="C49" s="62">
        <f t="shared" si="6"/>
        <v>21</v>
      </c>
      <c r="D49" s="62">
        <f t="shared" si="6"/>
        <v>40.5</v>
      </c>
      <c r="E49" s="62">
        <f t="shared" si="6"/>
        <v>76.599999999999994</v>
      </c>
      <c r="F49" s="62">
        <f t="shared" si="6"/>
        <v>132.80000000000001</v>
      </c>
      <c r="G49" s="62">
        <f t="shared" si="6"/>
        <v>147.69999999999999</v>
      </c>
      <c r="H49" s="62">
        <f t="shared" si="6"/>
        <v>162.30000000000001</v>
      </c>
      <c r="I49" s="62">
        <f t="shared" si="6"/>
        <v>152.9</v>
      </c>
      <c r="J49" s="62">
        <f t="shared" si="6"/>
        <v>156.80000000000001</v>
      </c>
      <c r="K49" s="62">
        <f t="shared" si="6"/>
        <v>82.7</v>
      </c>
      <c r="L49" s="62">
        <f t="shared" si="6"/>
        <v>153.19999999999999</v>
      </c>
      <c r="M49" s="62">
        <f t="shared" si="6"/>
        <v>73.900000000000006</v>
      </c>
      <c r="N49" s="63">
        <f t="shared" si="6"/>
        <v>26.8</v>
      </c>
      <c r="O49" s="64">
        <f t="shared" si="7"/>
        <v>1227.2</v>
      </c>
      <c r="P49" s="51">
        <f t="shared" si="8"/>
        <v>102.3</v>
      </c>
    </row>
    <row r="50" spans="2:16" ht="21.95" customHeight="1">
      <c r="B50" s="61">
        <f t="shared" si="6"/>
        <v>2019</v>
      </c>
      <c r="C50" s="62">
        <f t="shared" si="6"/>
        <v>1.1000000000000001</v>
      </c>
      <c r="D50" s="62">
        <f t="shared" si="6"/>
        <v>30.2</v>
      </c>
      <c r="E50" s="62">
        <f t="shared" si="6"/>
        <v>43.7</v>
      </c>
      <c r="F50" s="62">
        <f t="shared" si="6"/>
        <v>43.9</v>
      </c>
      <c r="G50" s="62">
        <f t="shared" si="6"/>
        <v>20.100000000000001</v>
      </c>
      <c r="H50" s="62">
        <f t="shared" si="6"/>
        <v>56.3</v>
      </c>
      <c r="I50" s="62">
        <f t="shared" si="6"/>
        <v>174.5</v>
      </c>
      <c r="J50" s="62">
        <f t="shared" si="6"/>
        <v>121.1</v>
      </c>
      <c r="K50" s="62">
        <f t="shared" si="6"/>
        <v>181.1</v>
      </c>
      <c r="L50" s="62">
        <f t="shared" si="6"/>
        <v>81</v>
      </c>
      <c r="M50" s="62">
        <f t="shared" si="6"/>
        <v>124.6</v>
      </c>
      <c r="N50" s="63">
        <f t="shared" si="6"/>
        <v>37.4</v>
      </c>
      <c r="O50" s="64">
        <f t="shared" si="7"/>
        <v>915</v>
      </c>
      <c r="P50" s="51">
        <f t="shared" si="8"/>
        <v>76.3</v>
      </c>
    </row>
    <row r="51" spans="2:16" ht="21.95" customHeight="1">
      <c r="B51" s="61">
        <f t="shared" si="6"/>
        <v>2020</v>
      </c>
      <c r="C51" s="62">
        <f t="shared" si="6"/>
        <v>46</v>
      </c>
      <c r="D51" s="62">
        <f t="shared" si="6"/>
        <v>72.3</v>
      </c>
      <c r="E51" s="62">
        <f t="shared" si="6"/>
        <v>23</v>
      </c>
      <c r="F51" s="62">
        <f t="shared" si="6"/>
        <v>20.7</v>
      </c>
      <c r="G51" s="62">
        <f t="shared" si="6"/>
        <v>101.3</v>
      </c>
      <c r="H51" s="62">
        <f t="shared" si="6"/>
        <v>144</v>
      </c>
      <c r="I51" s="62">
        <f t="shared" si="6"/>
        <v>329.4</v>
      </c>
      <c r="J51" s="62">
        <f t="shared" si="6"/>
        <v>400</v>
      </c>
      <c r="K51" s="62">
        <f t="shared" si="6"/>
        <v>257.7</v>
      </c>
      <c r="L51" s="62">
        <f t="shared" si="6"/>
        <v>12.6</v>
      </c>
      <c r="M51" s="62">
        <f t="shared" si="6"/>
        <v>72</v>
      </c>
      <c r="N51" s="63">
        <f t="shared" si="6"/>
        <v>9.6999999999999993</v>
      </c>
      <c r="O51" s="64">
        <f t="shared" si="7"/>
        <v>1488.7</v>
      </c>
      <c r="P51" s="51">
        <f t="shared" si="8"/>
        <v>124.1</v>
      </c>
    </row>
    <row r="52" spans="2:16" ht="21.95" customHeight="1">
      <c r="B52" s="61">
        <f t="shared" si="6"/>
        <v>2021</v>
      </c>
      <c r="C52" s="62">
        <f t="shared" si="6"/>
        <v>25.3</v>
      </c>
      <c r="D52" s="62">
        <f t="shared" si="6"/>
        <v>9.6</v>
      </c>
      <c r="E52" s="62">
        <f t="shared" si="6"/>
        <v>112.8</v>
      </c>
      <c r="F52" s="62">
        <f t="shared" si="6"/>
        <v>110.6</v>
      </c>
      <c r="G52" s="62">
        <f t="shared" si="6"/>
        <v>132.30000000000001</v>
      </c>
      <c r="H52" s="62">
        <f t="shared" si="6"/>
        <v>70.900000000000006</v>
      </c>
      <c r="I52" s="62">
        <f t="shared" si="6"/>
        <v>121.6</v>
      </c>
      <c r="J52" s="62">
        <f t="shared" si="6"/>
        <v>217.8</v>
      </c>
      <c r="K52" s="62">
        <f t="shared" si="6"/>
        <v>206</v>
      </c>
      <c r="L52" s="62">
        <f t="shared" si="6"/>
        <v>55.9</v>
      </c>
      <c r="M52" s="62">
        <f t="shared" si="6"/>
        <v>126.2</v>
      </c>
      <c r="N52" s="63">
        <f t="shared" si="6"/>
        <v>18.3</v>
      </c>
      <c r="O52" s="64">
        <f t="shared" si="7"/>
        <v>1207.3</v>
      </c>
      <c r="P52" s="51">
        <f t="shared" si="8"/>
        <v>100.6</v>
      </c>
    </row>
    <row r="53" spans="2:16" ht="21.95" customHeight="1" thickBot="1">
      <c r="B53" s="65">
        <f t="shared" si="6"/>
        <v>2022</v>
      </c>
      <c r="C53" s="66">
        <f t="shared" si="6"/>
        <v>8.6</v>
      </c>
      <c r="D53" s="66">
        <f t="shared" si="6"/>
        <v>4.7</v>
      </c>
      <c r="E53" s="66">
        <f t="shared" si="6"/>
        <v>72.099999999999994</v>
      </c>
      <c r="F53" s="66">
        <f t="shared" si="6"/>
        <v>52.2</v>
      </c>
      <c r="G53" s="66">
        <f t="shared" si="6"/>
        <v>2.9</v>
      </c>
      <c r="H53" s="66">
        <f t="shared" si="6"/>
        <v>352.4</v>
      </c>
      <c r="I53" s="66">
        <f t="shared" si="6"/>
        <v>178.4</v>
      </c>
      <c r="J53" s="66">
        <f t="shared" si="6"/>
        <v>468.7</v>
      </c>
      <c r="K53" s="66">
        <f t="shared" si="6"/>
        <v>165.9</v>
      </c>
      <c r="L53" s="66">
        <f t="shared" si="6"/>
        <v>160</v>
      </c>
      <c r="M53" s="66">
        <f t="shared" si="6"/>
        <v>72.900000000000006</v>
      </c>
      <c r="N53" s="67">
        <f t="shared" si="6"/>
        <v>31.9</v>
      </c>
      <c r="O53" s="68">
        <f t="shared" si="7"/>
        <v>1570.7</v>
      </c>
      <c r="P53" s="56">
        <f t="shared" si="8"/>
        <v>130.9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329.4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81.599999999999994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4.7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5.7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21</v>
      </c>
      <c r="D56" s="76">
        <f t="shared" ref="D56:N56" si="11">ROUND(AVERAGE(D44:D53),1)</f>
        <v>35.5</v>
      </c>
      <c r="E56" s="76">
        <f t="shared" si="11"/>
        <v>47</v>
      </c>
      <c r="F56" s="76">
        <f t="shared" si="11"/>
        <v>75</v>
      </c>
      <c r="G56" s="76">
        <f t="shared" si="11"/>
        <v>79.400000000000006</v>
      </c>
      <c r="H56" s="76">
        <f t="shared" si="11"/>
        <v>107.4</v>
      </c>
      <c r="I56" s="76">
        <f t="shared" si="11"/>
        <v>210.4</v>
      </c>
      <c r="J56" s="76">
        <f t="shared" si="11"/>
        <v>205.6</v>
      </c>
      <c r="K56" s="76">
        <f t="shared" si="11"/>
        <v>125.3</v>
      </c>
      <c r="L56" s="76">
        <f t="shared" si="11"/>
        <v>75.8</v>
      </c>
      <c r="M56" s="76">
        <f t="shared" si="11"/>
        <v>77.099999999999994</v>
      </c>
      <c r="N56" s="56">
        <f t="shared" si="11"/>
        <v>40.1</v>
      </c>
      <c r="O56" s="68">
        <f>ROUND(AVERAGE(O44:O53),1)</f>
        <v>1099.5999999999999</v>
      </c>
      <c r="P56" s="56">
        <f>ROUND(AVERAGE(P44:P53),1)</f>
        <v>91.6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Y5" sqref="Y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264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21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  <c r="R8" s="25" t="s">
        <v>148</v>
      </c>
      <c r="S8" s="26" t="s">
        <v>265</v>
      </c>
    </row>
    <row r="9" spans="2:21" ht="21.95" customHeight="1" thickBo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  <c r="R9" s="79" t="str">
        <f>VLOOKUP(R8, tblLocation[], 2, FALSE)</f>
        <v>Table3</v>
      </c>
      <c r="S9" s="27">
        <f ca="1">VLOOKUP(S8, INDIRECT($R$9), 3,0)</f>
        <v>236</v>
      </c>
    </row>
    <row r="10" spans="2:21" ht="21.95" customHeight="1" thickBo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  <c r="S10" s="28">
        <f ca="1">VLOOKUP(S8, INDIRECT($R$9), 5,0)</f>
        <v>61</v>
      </c>
    </row>
    <row r="11" spans="2:21" ht="21.95" customHeight="1" thickBo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  <c r="S11" s="78" t="str">
        <f ca="1">VLOOKUP(S8, INDIRECT($R$9), 2,0)</f>
        <v>BuYeo</v>
      </c>
    </row>
    <row r="12" spans="2:21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21" ht="21.95" customHeight="1" thickBo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21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  <c r="R14" s="29" t="s">
        <v>21</v>
      </c>
      <c r="S14" s="30" t="s">
        <v>22</v>
      </c>
      <c r="T14" s="31"/>
    </row>
    <row r="15" spans="2:21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  <c r="R16" s="35" t="s">
        <v>25</v>
      </c>
      <c r="S16" s="36" t="s">
        <v>26</v>
      </c>
      <c r="T16" s="37"/>
    </row>
    <row r="17" spans="2:18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8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8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8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  <c r="R20" s="4"/>
    </row>
    <row r="21" spans="2:18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8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8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8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8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8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8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8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8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8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8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8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J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ref="K38:P38" si="5">ROUND(AVERAGE(K6:K35),1)</f>
        <v>132.9</v>
      </c>
      <c r="L38" s="53">
        <f t="shared" si="5"/>
        <v>63.2</v>
      </c>
      <c r="M38" s="53">
        <f t="shared" si="5"/>
        <v>54.8</v>
      </c>
      <c r="N38" s="54">
        <f t="shared" si="5"/>
        <v>32.200000000000003</v>
      </c>
      <c r="O38" s="55">
        <f t="shared" si="5"/>
        <v>1198.3</v>
      </c>
      <c r="P38" s="56">
        <f t="shared" si="5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6">C26</f>
        <v>28.4</v>
      </c>
      <c r="D44" s="62">
        <f t="shared" si="6"/>
        <v>40.700000000000003</v>
      </c>
      <c r="E44" s="62">
        <f t="shared" si="6"/>
        <v>53.4</v>
      </c>
      <c r="F44" s="62">
        <f t="shared" si="6"/>
        <v>68.2</v>
      </c>
      <c r="G44" s="62">
        <f t="shared" si="6"/>
        <v>116.6</v>
      </c>
      <c r="H44" s="62">
        <f t="shared" si="6"/>
        <v>159.9</v>
      </c>
      <c r="I44" s="62">
        <f t="shared" si="6"/>
        <v>267.5</v>
      </c>
      <c r="J44" s="62">
        <f t="shared" si="6"/>
        <v>214.6</v>
      </c>
      <c r="K44" s="62">
        <f t="shared" si="6"/>
        <v>320</v>
      </c>
      <c r="L44" s="62">
        <f t="shared" si="6"/>
        <v>10.9</v>
      </c>
      <c r="M44" s="62">
        <f t="shared" si="6"/>
        <v>81.099999999999994</v>
      </c>
      <c r="N44" s="63">
        <f t="shared" si="6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45" si="7">B27</f>
        <v>2014</v>
      </c>
      <c r="C45" s="62">
        <f t="shared" si="7"/>
        <v>3.4</v>
      </c>
      <c r="D45" s="62">
        <f t="shared" si="7"/>
        <v>20.5</v>
      </c>
      <c r="E45" s="62">
        <f t="shared" si="7"/>
        <v>56.3</v>
      </c>
      <c r="F45" s="62">
        <f t="shared" si="7"/>
        <v>70</v>
      </c>
      <c r="G45" s="62">
        <f t="shared" si="7"/>
        <v>47.1</v>
      </c>
      <c r="H45" s="62">
        <f t="shared" si="7"/>
        <v>125.8</v>
      </c>
      <c r="I45" s="62">
        <f t="shared" si="7"/>
        <v>104</v>
      </c>
      <c r="J45" s="62">
        <f t="shared" si="7"/>
        <v>168.5</v>
      </c>
      <c r="K45" s="62">
        <f t="shared" si="7"/>
        <v>152</v>
      </c>
      <c r="L45" s="62">
        <f t="shared" si="7"/>
        <v>156</v>
      </c>
      <c r="M45" s="62">
        <f t="shared" si="7"/>
        <v>39.9</v>
      </c>
      <c r="N45" s="63">
        <f t="shared" si="7"/>
        <v>66.599999999999994</v>
      </c>
      <c r="O45" s="64">
        <f t="shared" ref="O45:O53" si="8">ROUND(SUM(C45:N45),1)</f>
        <v>1010.1</v>
      </c>
      <c r="P45" s="51">
        <f t="shared" ref="P45:P53" si="9">ROUND(O45/12,1)</f>
        <v>84.2</v>
      </c>
    </row>
    <row r="46" spans="2:16" ht="21.95" customHeight="1">
      <c r="B46" s="61">
        <f t="shared" ref="B46:N46" si="10">B28</f>
        <v>2015</v>
      </c>
      <c r="C46" s="62">
        <f t="shared" si="10"/>
        <v>29.9</v>
      </c>
      <c r="D46" s="62">
        <f t="shared" si="10"/>
        <v>23.4</v>
      </c>
      <c r="E46" s="62">
        <f t="shared" si="10"/>
        <v>30.9</v>
      </c>
      <c r="F46" s="62">
        <f t="shared" si="10"/>
        <v>129.69999999999999</v>
      </c>
      <c r="G46" s="62">
        <f t="shared" si="10"/>
        <v>38.799999999999997</v>
      </c>
      <c r="H46" s="62">
        <f t="shared" si="10"/>
        <v>83.9</v>
      </c>
      <c r="I46" s="62">
        <f t="shared" si="10"/>
        <v>94.7</v>
      </c>
      <c r="J46" s="62">
        <f t="shared" si="10"/>
        <v>30.2</v>
      </c>
      <c r="K46" s="62">
        <f t="shared" si="10"/>
        <v>13.3</v>
      </c>
      <c r="L46" s="62">
        <f t="shared" si="10"/>
        <v>90</v>
      </c>
      <c r="M46" s="62">
        <f t="shared" si="10"/>
        <v>155.6</v>
      </c>
      <c r="N46" s="63">
        <f t="shared" si="10"/>
        <v>65</v>
      </c>
      <c r="O46" s="64">
        <f t="shared" si="8"/>
        <v>785.4</v>
      </c>
      <c r="P46" s="51">
        <f t="shared" si="9"/>
        <v>65.5</v>
      </c>
    </row>
    <row r="47" spans="2:16" ht="21.95" customHeight="1">
      <c r="B47" s="61">
        <f t="shared" ref="B47:N47" si="11">B29</f>
        <v>2016</v>
      </c>
      <c r="C47" s="62">
        <f t="shared" si="11"/>
        <v>7.8</v>
      </c>
      <c r="D47" s="62">
        <f t="shared" si="11"/>
        <v>54.2</v>
      </c>
      <c r="E47" s="62">
        <f t="shared" si="11"/>
        <v>18.7</v>
      </c>
      <c r="F47" s="62">
        <f t="shared" si="11"/>
        <v>105.1</v>
      </c>
      <c r="G47" s="62">
        <f t="shared" si="11"/>
        <v>146.5</v>
      </c>
      <c r="H47" s="62">
        <f t="shared" si="11"/>
        <v>23.7</v>
      </c>
      <c r="I47" s="62">
        <f t="shared" si="11"/>
        <v>200.2</v>
      </c>
      <c r="J47" s="62">
        <f t="shared" si="11"/>
        <v>5.0999999999999996</v>
      </c>
      <c r="K47" s="62">
        <f t="shared" si="11"/>
        <v>73.400000000000006</v>
      </c>
      <c r="L47" s="62">
        <f t="shared" si="11"/>
        <v>108</v>
      </c>
      <c r="M47" s="62">
        <f t="shared" si="11"/>
        <v>5.6</v>
      </c>
      <c r="N47" s="63">
        <f t="shared" si="11"/>
        <v>44.5</v>
      </c>
      <c r="O47" s="64">
        <f>ROUND(SUM(C47:N47),1)</f>
        <v>792.8</v>
      </c>
      <c r="P47" s="51">
        <f t="shared" si="9"/>
        <v>66.099999999999994</v>
      </c>
    </row>
    <row r="48" spans="2:16" ht="21.95" customHeight="1">
      <c r="B48" s="61">
        <f t="shared" ref="B48:N48" si="12">B30</f>
        <v>2017</v>
      </c>
      <c r="C48" s="62">
        <f t="shared" si="12"/>
        <v>14.8</v>
      </c>
      <c r="D48" s="62">
        <f t="shared" si="12"/>
        <v>30.2</v>
      </c>
      <c r="E48" s="62">
        <f t="shared" si="12"/>
        <v>14.4</v>
      </c>
      <c r="F48" s="62">
        <f t="shared" si="12"/>
        <v>57.6</v>
      </c>
      <c r="G48" s="62">
        <f t="shared" si="12"/>
        <v>58.9</v>
      </c>
      <c r="H48" s="62">
        <f t="shared" si="12"/>
        <v>21.1</v>
      </c>
      <c r="I48" s="62">
        <f t="shared" si="12"/>
        <v>278.10000000000002</v>
      </c>
      <c r="J48" s="62">
        <f t="shared" si="12"/>
        <v>210</v>
      </c>
      <c r="K48" s="62">
        <f t="shared" si="12"/>
        <v>90</v>
      </c>
      <c r="L48" s="62">
        <f t="shared" si="12"/>
        <v>26.6</v>
      </c>
      <c r="M48" s="62">
        <f t="shared" si="12"/>
        <v>15.9</v>
      </c>
      <c r="N48" s="63">
        <f t="shared" si="12"/>
        <v>38.6</v>
      </c>
      <c r="O48" s="64">
        <f t="shared" si="8"/>
        <v>856.2</v>
      </c>
      <c r="P48" s="51">
        <f t="shared" si="9"/>
        <v>71.400000000000006</v>
      </c>
    </row>
    <row r="49" spans="2:16" ht="21.95" customHeight="1">
      <c r="B49" s="61">
        <f t="shared" ref="B49:N49" si="13">B31</f>
        <v>2018</v>
      </c>
      <c r="C49" s="62">
        <f t="shared" si="13"/>
        <v>15</v>
      </c>
      <c r="D49" s="62">
        <f t="shared" si="13"/>
        <v>33.6</v>
      </c>
      <c r="E49" s="62">
        <f t="shared" si="13"/>
        <v>92</v>
      </c>
      <c r="F49" s="62">
        <f t="shared" si="13"/>
        <v>128.1</v>
      </c>
      <c r="G49" s="62">
        <f t="shared" si="13"/>
        <v>104.5</v>
      </c>
      <c r="H49" s="62">
        <f t="shared" si="13"/>
        <v>71</v>
      </c>
      <c r="I49" s="62">
        <f t="shared" si="13"/>
        <v>262.7</v>
      </c>
      <c r="J49" s="62">
        <f t="shared" si="13"/>
        <v>239.6</v>
      </c>
      <c r="K49" s="62">
        <f t="shared" si="13"/>
        <v>158.19999999999999</v>
      </c>
      <c r="L49" s="62">
        <f t="shared" si="13"/>
        <v>154.69999999999999</v>
      </c>
      <c r="M49" s="62">
        <f t="shared" si="13"/>
        <v>46.7</v>
      </c>
      <c r="N49" s="63">
        <f t="shared" si="13"/>
        <v>31.1</v>
      </c>
      <c r="O49" s="64">
        <f t="shared" si="8"/>
        <v>1337.2</v>
      </c>
      <c r="P49" s="51">
        <f t="shared" si="9"/>
        <v>111.4</v>
      </c>
    </row>
    <row r="50" spans="2:16" ht="21.95" customHeight="1">
      <c r="B50" s="61">
        <f t="shared" ref="B50:N50" si="14">B32</f>
        <v>2019</v>
      </c>
      <c r="C50" s="62">
        <f t="shared" si="14"/>
        <v>1.9</v>
      </c>
      <c r="D50" s="62">
        <f t="shared" si="14"/>
        <v>17.8</v>
      </c>
      <c r="E50" s="62">
        <f t="shared" si="14"/>
        <v>18.2</v>
      </c>
      <c r="F50" s="62">
        <f t="shared" si="14"/>
        <v>71.900000000000006</v>
      </c>
      <c r="G50" s="62">
        <f t="shared" si="14"/>
        <v>31.3</v>
      </c>
      <c r="H50" s="62">
        <f t="shared" si="14"/>
        <v>56</v>
      </c>
      <c r="I50" s="62">
        <f t="shared" si="14"/>
        <v>149</v>
      </c>
      <c r="J50" s="62">
        <f t="shared" si="14"/>
        <v>131.30000000000001</v>
      </c>
      <c r="K50" s="62">
        <f t="shared" si="14"/>
        <v>118.7</v>
      </c>
      <c r="L50" s="62">
        <f t="shared" si="14"/>
        <v>63.9</v>
      </c>
      <c r="M50" s="62">
        <f t="shared" si="14"/>
        <v>130.6</v>
      </c>
      <c r="N50" s="63">
        <f t="shared" si="14"/>
        <v>31.3</v>
      </c>
      <c r="O50" s="64">
        <f t="shared" si="8"/>
        <v>821.9</v>
      </c>
      <c r="P50" s="51">
        <f t="shared" si="9"/>
        <v>68.5</v>
      </c>
    </row>
    <row r="51" spans="2:16" ht="21.95" customHeight="1">
      <c r="B51" s="61">
        <f t="shared" ref="B51:N51" si="15">B33</f>
        <v>2020</v>
      </c>
      <c r="C51" s="62">
        <f t="shared" si="15"/>
        <v>49.4</v>
      </c>
      <c r="D51" s="62">
        <f t="shared" si="15"/>
        <v>75.3</v>
      </c>
      <c r="E51" s="62">
        <f t="shared" si="15"/>
        <v>22.8</v>
      </c>
      <c r="F51" s="62">
        <f t="shared" si="15"/>
        <v>16.5</v>
      </c>
      <c r="G51" s="62">
        <f t="shared" si="15"/>
        <v>92.4</v>
      </c>
      <c r="H51" s="62">
        <f t="shared" si="15"/>
        <v>139.69999999999999</v>
      </c>
      <c r="I51" s="62">
        <f t="shared" si="15"/>
        <v>345.9</v>
      </c>
      <c r="J51" s="62">
        <f t="shared" si="15"/>
        <v>321.5</v>
      </c>
      <c r="K51" s="62">
        <f t="shared" si="15"/>
        <v>177.1</v>
      </c>
      <c r="L51" s="62">
        <f t="shared" si="15"/>
        <v>16.2</v>
      </c>
      <c r="M51" s="62">
        <f t="shared" si="15"/>
        <v>35.4</v>
      </c>
      <c r="N51" s="63">
        <f t="shared" si="15"/>
        <v>9.6999999999999993</v>
      </c>
      <c r="O51" s="64">
        <f t="shared" si="8"/>
        <v>1301.9000000000001</v>
      </c>
      <c r="P51" s="51">
        <f t="shared" si="9"/>
        <v>108.5</v>
      </c>
    </row>
    <row r="52" spans="2:16" ht="21.95" customHeight="1">
      <c r="B52" s="61">
        <f t="shared" ref="B52:N52" si="16">B34</f>
        <v>2021</v>
      </c>
      <c r="C52" s="62">
        <f t="shared" si="16"/>
        <v>32</v>
      </c>
      <c r="D52" s="62">
        <f t="shared" si="16"/>
        <v>18.7</v>
      </c>
      <c r="E52" s="62">
        <f t="shared" si="16"/>
        <v>76.099999999999994</v>
      </c>
      <c r="F52" s="62">
        <f t="shared" si="16"/>
        <v>43.4</v>
      </c>
      <c r="G52" s="62">
        <f t="shared" si="16"/>
        <v>110</v>
      </c>
      <c r="H52" s="62">
        <f t="shared" si="16"/>
        <v>55</v>
      </c>
      <c r="I52" s="62">
        <f t="shared" si="16"/>
        <v>131.30000000000001</v>
      </c>
      <c r="J52" s="62">
        <f t="shared" si="16"/>
        <v>253.7</v>
      </c>
      <c r="K52" s="62">
        <f t="shared" si="16"/>
        <v>215.9</v>
      </c>
      <c r="L52" s="62">
        <f t="shared" si="16"/>
        <v>39.6</v>
      </c>
      <c r="M52" s="62">
        <f t="shared" si="16"/>
        <v>117.8</v>
      </c>
      <c r="N52" s="63">
        <f t="shared" si="16"/>
        <v>14.4</v>
      </c>
      <c r="O52" s="64">
        <f t="shared" si="8"/>
        <v>1107.9000000000001</v>
      </c>
      <c r="P52" s="51">
        <f t="shared" si="9"/>
        <v>92.3</v>
      </c>
    </row>
    <row r="53" spans="2:16" ht="21.95" customHeight="1" thickBot="1">
      <c r="B53" s="65">
        <f t="shared" ref="B53:N53" si="17">B35</f>
        <v>2022</v>
      </c>
      <c r="C53" s="66">
        <f t="shared" si="17"/>
        <v>8.4</v>
      </c>
      <c r="D53" s="66">
        <f t="shared" si="17"/>
        <v>5.3</v>
      </c>
      <c r="E53" s="66">
        <f t="shared" si="17"/>
        <v>60.9</v>
      </c>
      <c r="F53" s="66">
        <f t="shared" si="17"/>
        <v>34.799999999999997</v>
      </c>
      <c r="G53" s="66">
        <f t="shared" si="17"/>
        <v>5.7</v>
      </c>
      <c r="H53" s="66">
        <f t="shared" si="17"/>
        <v>225</v>
      </c>
      <c r="I53" s="66">
        <f t="shared" si="17"/>
        <v>119.9</v>
      </c>
      <c r="J53" s="66">
        <f t="shared" si="17"/>
        <v>637.1</v>
      </c>
      <c r="K53" s="66">
        <f t="shared" si="17"/>
        <v>102</v>
      </c>
      <c r="L53" s="66">
        <f t="shared" si="17"/>
        <v>112</v>
      </c>
      <c r="M53" s="66">
        <f t="shared" si="17"/>
        <v>23.3</v>
      </c>
      <c r="N53" s="67">
        <f t="shared" si="17"/>
        <v>14</v>
      </c>
      <c r="O53" s="68">
        <f t="shared" si="8"/>
        <v>1348.4</v>
      </c>
      <c r="P53" s="56">
        <f t="shared" si="9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18">MAX(D44:D53)</f>
        <v>75.3</v>
      </c>
      <c r="E54" s="70">
        <f t="shared" si="18"/>
        <v>92</v>
      </c>
      <c r="F54" s="70">
        <f t="shared" si="18"/>
        <v>129.69999999999999</v>
      </c>
      <c r="G54" s="70">
        <f t="shared" si="18"/>
        <v>146.5</v>
      </c>
      <c r="H54" s="70">
        <f t="shared" si="18"/>
        <v>225</v>
      </c>
      <c r="I54" s="70">
        <f t="shared" si="18"/>
        <v>345.9</v>
      </c>
      <c r="J54" s="70">
        <f t="shared" si="18"/>
        <v>637.1</v>
      </c>
      <c r="K54" s="70">
        <f t="shared" si="18"/>
        <v>320</v>
      </c>
      <c r="L54" s="70">
        <f t="shared" si="18"/>
        <v>156</v>
      </c>
      <c r="M54" s="70">
        <f t="shared" si="18"/>
        <v>155.6</v>
      </c>
      <c r="N54" s="71">
        <f t="shared" si="18"/>
        <v>66.599999999999994</v>
      </c>
      <c r="O54" s="72">
        <f t="shared" si="18"/>
        <v>1387.7</v>
      </c>
      <c r="P54" s="71">
        <f t="shared" si="18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9">MIN(D44:D53)</f>
        <v>5.3</v>
      </c>
      <c r="E55" s="74">
        <f t="shared" si="19"/>
        <v>14.4</v>
      </c>
      <c r="F55" s="74">
        <f t="shared" si="19"/>
        <v>16.5</v>
      </c>
      <c r="G55" s="74">
        <f t="shared" si="19"/>
        <v>5.7</v>
      </c>
      <c r="H55" s="74">
        <f t="shared" si="19"/>
        <v>21.1</v>
      </c>
      <c r="I55" s="74">
        <f t="shared" si="19"/>
        <v>94.7</v>
      </c>
      <c r="J55" s="74">
        <f t="shared" si="19"/>
        <v>5.0999999999999996</v>
      </c>
      <c r="K55" s="74">
        <f t="shared" si="19"/>
        <v>13.3</v>
      </c>
      <c r="L55" s="74">
        <f t="shared" si="19"/>
        <v>10.9</v>
      </c>
      <c r="M55" s="74">
        <f t="shared" si="19"/>
        <v>5.6</v>
      </c>
      <c r="N55" s="51">
        <f t="shared" si="19"/>
        <v>9.6999999999999993</v>
      </c>
      <c r="O55" s="64">
        <f>MIN(O44:O53)</f>
        <v>785.4</v>
      </c>
      <c r="P55" s="51">
        <f t="shared" si="19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20">ROUND(AVERAGE(D44:D53),1)</f>
        <v>32</v>
      </c>
      <c r="E56" s="76">
        <f t="shared" si="20"/>
        <v>44.4</v>
      </c>
      <c r="F56" s="76">
        <f t="shared" si="20"/>
        <v>72.5</v>
      </c>
      <c r="G56" s="76">
        <f t="shared" si="20"/>
        <v>75.2</v>
      </c>
      <c r="H56" s="76">
        <f t="shared" si="20"/>
        <v>96.1</v>
      </c>
      <c r="I56" s="76">
        <f t="shared" si="20"/>
        <v>195.3</v>
      </c>
      <c r="J56" s="76">
        <f t="shared" si="20"/>
        <v>221.2</v>
      </c>
      <c r="K56" s="76">
        <f t="shared" si="20"/>
        <v>142.1</v>
      </c>
      <c r="L56" s="76">
        <f t="shared" si="20"/>
        <v>77.8</v>
      </c>
      <c r="M56" s="76">
        <f t="shared" si="20"/>
        <v>65.2</v>
      </c>
      <c r="N56" s="56">
        <f t="shared" si="20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Y14" sqref="Y14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149</v>
      </c>
      <c r="C1" s="1" t="s">
        <v>31</v>
      </c>
      <c r="D1" s="1" t="s">
        <v>262</v>
      </c>
      <c r="E1" s="1" t="s">
        <v>263</v>
      </c>
      <c r="G1" s="1" t="s">
        <v>30</v>
      </c>
      <c r="H1" s="1" t="s">
        <v>149</v>
      </c>
      <c r="I1" s="1" t="s">
        <v>31</v>
      </c>
      <c r="J1" s="1" t="s">
        <v>262</v>
      </c>
      <c r="K1" s="1" t="s">
        <v>263</v>
      </c>
      <c r="M1" s="1" t="s">
        <v>30</v>
      </c>
      <c r="N1" s="1" t="s">
        <v>149</v>
      </c>
      <c r="O1" s="1" t="s">
        <v>31</v>
      </c>
      <c r="P1" s="1" t="s">
        <v>262</v>
      </c>
      <c r="Q1" s="1" t="s">
        <v>263</v>
      </c>
      <c r="S1" s="1" t="s">
        <v>30</v>
      </c>
      <c r="T1" s="1" t="s">
        <v>31</v>
      </c>
    </row>
    <row r="2" spans="1:20">
      <c r="A2" s="1" t="s">
        <v>42</v>
      </c>
      <c r="B2" s="1" t="s">
        <v>205</v>
      </c>
      <c r="C2" s="1">
        <v>116</v>
      </c>
      <c r="D2" s="1">
        <v>15</v>
      </c>
      <c r="E2" s="1">
        <v>14</v>
      </c>
      <c r="G2" s="1" t="s">
        <v>52</v>
      </c>
      <c r="H2" s="1" t="s">
        <v>191</v>
      </c>
      <c r="I2" s="1">
        <v>105</v>
      </c>
      <c r="J2" s="1">
        <v>39</v>
      </c>
      <c r="K2" s="1">
        <v>38</v>
      </c>
      <c r="M2" s="1" t="s">
        <v>67</v>
      </c>
      <c r="N2" s="1" t="s">
        <v>179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151</v>
      </c>
      <c r="C3" s="1">
        <v>108</v>
      </c>
      <c r="D3" s="1">
        <v>16</v>
      </c>
      <c r="E3" s="1">
        <v>14</v>
      </c>
      <c r="G3" s="1" t="s">
        <v>53</v>
      </c>
      <c r="H3" s="1" t="s">
        <v>192</v>
      </c>
      <c r="I3" s="1">
        <v>100</v>
      </c>
      <c r="J3" s="1">
        <v>40</v>
      </c>
      <c r="K3" s="1">
        <v>38</v>
      </c>
      <c r="M3" s="1" t="s">
        <v>260</v>
      </c>
      <c r="N3" s="1" t="s">
        <v>261</v>
      </c>
      <c r="O3" s="1">
        <v>181</v>
      </c>
      <c r="P3" s="80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206</v>
      </c>
      <c r="C4" s="1">
        <v>201</v>
      </c>
      <c r="D4" s="1">
        <v>23</v>
      </c>
      <c r="E4" s="1">
        <v>22</v>
      </c>
      <c r="G4" s="1" t="s">
        <v>54</v>
      </c>
      <c r="H4" s="1" t="s">
        <v>193</v>
      </c>
      <c r="I4" s="1">
        <v>106</v>
      </c>
      <c r="J4" s="1">
        <v>41</v>
      </c>
      <c r="K4" s="1">
        <v>38</v>
      </c>
      <c r="M4" s="1" t="s">
        <v>68</v>
      </c>
      <c r="N4" s="1" t="s">
        <v>180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207</v>
      </c>
      <c r="C5" s="1">
        <v>102</v>
      </c>
      <c r="D5" s="1">
        <v>24</v>
      </c>
      <c r="E5" s="1">
        <v>22</v>
      </c>
      <c r="G5" s="1" t="s">
        <v>55</v>
      </c>
      <c r="H5" s="1" t="s">
        <v>194</v>
      </c>
      <c r="I5" s="1">
        <v>104</v>
      </c>
      <c r="J5" s="1">
        <v>42</v>
      </c>
      <c r="K5" s="1">
        <v>38</v>
      </c>
      <c r="M5" s="1" t="s">
        <v>69</v>
      </c>
      <c r="N5" s="1" t="s">
        <v>181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208</v>
      </c>
      <c r="C6" s="1">
        <v>112</v>
      </c>
      <c r="D6" s="1">
        <v>25</v>
      </c>
      <c r="E6" s="1">
        <v>22</v>
      </c>
      <c r="G6" s="1" t="s">
        <v>56</v>
      </c>
      <c r="H6" s="1" t="s">
        <v>195</v>
      </c>
      <c r="I6" s="1">
        <v>93</v>
      </c>
      <c r="J6" s="1">
        <v>43</v>
      </c>
      <c r="K6" s="1">
        <v>38</v>
      </c>
      <c r="M6" s="1" t="s">
        <v>70</v>
      </c>
      <c r="N6" s="1" t="s">
        <v>182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209</v>
      </c>
      <c r="C7" s="1">
        <v>98</v>
      </c>
      <c r="D7" s="1">
        <v>33</v>
      </c>
      <c r="E7" s="1">
        <v>32</v>
      </c>
      <c r="G7" s="1" t="s">
        <v>57</v>
      </c>
      <c r="H7" s="1" t="s">
        <v>150</v>
      </c>
      <c r="I7" s="1">
        <v>214</v>
      </c>
      <c r="J7" s="1">
        <v>44</v>
      </c>
      <c r="K7" s="1">
        <v>38</v>
      </c>
      <c r="M7" s="1" t="s">
        <v>71</v>
      </c>
      <c r="N7" s="1" t="s">
        <v>183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210</v>
      </c>
      <c r="C8" s="1">
        <v>119</v>
      </c>
      <c r="D8" s="1">
        <v>34</v>
      </c>
      <c r="E8" s="1">
        <v>32</v>
      </c>
      <c r="G8" s="1" t="s">
        <v>58</v>
      </c>
      <c r="H8" s="1" t="s">
        <v>196</v>
      </c>
      <c r="I8" s="1">
        <v>90</v>
      </c>
      <c r="J8" s="1">
        <v>45</v>
      </c>
      <c r="K8" s="1">
        <v>38</v>
      </c>
      <c r="M8" s="1" t="s">
        <v>72</v>
      </c>
      <c r="N8" s="1" t="s">
        <v>184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211</v>
      </c>
      <c r="C9" s="1">
        <v>202</v>
      </c>
      <c r="D9" s="1">
        <v>35</v>
      </c>
      <c r="E9" s="1">
        <v>32</v>
      </c>
      <c r="G9" s="1" t="s">
        <v>59</v>
      </c>
      <c r="H9" s="1" t="s">
        <v>197</v>
      </c>
      <c r="I9" s="1">
        <v>121</v>
      </c>
      <c r="J9" s="1">
        <v>46</v>
      </c>
      <c r="K9" s="1">
        <v>38</v>
      </c>
      <c r="M9" s="1" t="s">
        <v>73</v>
      </c>
      <c r="N9" s="1" t="s">
        <v>185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212</v>
      </c>
      <c r="C10" s="1">
        <v>203</v>
      </c>
      <c r="D10" s="1">
        <v>36</v>
      </c>
      <c r="E10" s="1">
        <v>32</v>
      </c>
      <c r="G10" s="1" t="s">
        <v>60</v>
      </c>
      <c r="H10" s="1" t="s">
        <v>198</v>
      </c>
      <c r="I10" s="1">
        <v>114</v>
      </c>
      <c r="J10" s="1">
        <v>47</v>
      </c>
      <c r="K10" s="1">
        <v>38</v>
      </c>
      <c r="M10" s="1" t="s">
        <v>74</v>
      </c>
      <c r="N10" s="1" t="s">
        <v>252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213</v>
      </c>
      <c r="C11" s="1">
        <v>99</v>
      </c>
      <c r="D11" s="1">
        <v>37</v>
      </c>
      <c r="E11" s="1">
        <v>32</v>
      </c>
      <c r="G11" s="1" t="s">
        <v>61</v>
      </c>
      <c r="H11" s="1" t="s">
        <v>199</v>
      </c>
      <c r="I11" s="1">
        <v>211</v>
      </c>
      <c r="J11" s="1">
        <v>48</v>
      </c>
      <c r="K11" s="1">
        <v>38</v>
      </c>
      <c r="M11" s="1" t="s">
        <v>75</v>
      </c>
      <c r="N11" s="1" t="s">
        <v>186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200</v>
      </c>
      <c r="I12" s="1">
        <v>217</v>
      </c>
      <c r="J12" s="1">
        <v>49</v>
      </c>
      <c r="K12" s="1">
        <v>38</v>
      </c>
      <c r="M12" s="1" t="s">
        <v>76</v>
      </c>
      <c r="N12" s="1" t="s">
        <v>187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201</v>
      </c>
      <c r="I13" s="1">
        <v>95</v>
      </c>
      <c r="J13" s="1">
        <v>50</v>
      </c>
      <c r="K13" s="1">
        <v>38</v>
      </c>
      <c r="M13" s="1" t="s">
        <v>77</v>
      </c>
      <c r="N13" s="1" t="s">
        <v>188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202</v>
      </c>
      <c r="I14" s="1">
        <v>101</v>
      </c>
      <c r="J14" s="1">
        <v>51</v>
      </c>
      <c r="K14" s="1">
        <v>38</v>
      </c>
      <c r="M14" s="1" t="s">
        <v>78</v>
      </c>
      <c r="N14" s="1" t="s">
        <v>189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203</v>
      </c>
      <c r="I15" s="1">
        <v>216</v>
      </c>
      <c r="J15" s="1">
        <v>52</v>
      </c>
      <c r="K15" s="1">
        <v>38</v>
      </c>
      <c r="M15" s="1" t="s">
        <v>79</v>
      </c>
      <c r="N15" s="1" t="s">
        <v>190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204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149</v>
      </c>
      <c r="C22" s="1" t="s">
        <v>31</v>
      </c>
      <c r="D22" s="1" t="s">
        <v>262</v>
      </c>
      <c r="E22" s="1" t="s">
        <v>263</v>
      </c>
      <c r="G22" s="1" t="s">
        <v>30</v>
      </c>
      <c r="H22" s="1" t="s">
        <v>149</v>
      </c>
      <c r="I22" s="1" t="s">
        <v>31</v>
      </c>
      <c r="J22" s="1" t="s">
        <v>262</v>
      </c>
      <c r="K22" s="1" t="s">
        <v>263</v>
      </c>
    </row>
    <row r="23" spans="1:17">
      <c r="A23" s="1" t="s">
        <v>80</v>
      </c>
      <c r="B23" s="1" t="s">
        <v>178</v>
      </c>
      <c r="C23" s="1">
        <v>156</v>
      </c>
      <c r="D23" s="1">
        <v>27</v>
      </c>
      <c r="E23" s="1">
        <v>26</v>
      </c>
      <c r="G23" s="1" t="s">
        <v>107</v>
      </c>
      <c r="H23" s="1" t="s">
        <v>214</v>
      </c>
      <c r="I23" s="1">
        <v>143</v>
      </c>
      <c r="J23" s="1">
        <v>20</v>
      </c>
      <c r="K23" s="1">
        <v>19</v>
      </c>
      <c r="M23" s="1" t="s">
        <v>30</v>
      </c>
      <c r="N23" s="1" t="s">
        <v>149</v>
      </c>
      <c r="O23" s="1" t="s">
        <v>31</v>
      </c>
      <c r="P23" s="1" t="s">
        <v>262</v>
      </c>
      <c r="Q23" s="1" t="s">
        <v>263</v>
      </c>
    </row>
    <row r="24" spans="1:17">
      <c r="A24" s="1" t="s">
        <v>81</v>
      </c>
      <c r="B24" s="1" t="s">
        <v>177</v>
      </c>
      <c r="C24" s="1">
        <v>172</v>
      </c>
      <c r="D24" s="1">
        <v>69</v>
      </c>
      <c r="E24" s="1">
        <v>67</v>
      </c>
      <c r="G24" s="1" t="s">
        <v>108</v>
      </c>
      <c r="H24" s="1" t="s">
        <v>215</v>
      </c>
      <c r="I24" s="1">
        <v>176</v>
      </c>
      <c r="J24" s="1">
        <v>21</v>
      </c>
      <c r="K24" s="1">
        <v>19</v>
      </c>
      <c r="M24" s="1" t="s">
        <v>139</v>
      </c>
      <c r="N24" s="1" t="s">
        <v>246</v>
      </c>
      <c r="O24" s="1">
        <v>185</v>
      </c>
      <c r="P24" s="1">
        <v>127</v>
      </c>
      <c r="Q24" s="1">
        <v>125</v>
      </c>
    </row>
    <row r="25" spans="1:17">
      <c r="A25" s="1" t="s">
        <v>82</v>
      </c>
      <c r="B25" s="1" t="s">
        <v>176</v>
      </c>
      <c r="C25" s="1">
        <v>251</v>
      </c>
      <c r="D25" s="1">
        <v>70</v>
      </c>
      <c r="E25" s="1">
        <v>67</v>
      </c>
      <c r="G25" s="1" t="s">
        <v>109</v>
      </c>
      <c r="H25" s="1" t="s">
        <v>216</v>
      </c>
      <c r="I25" s="1">
        <v>152</v>
      </c>
      <c r="J25" s="1">
        <v>31</v>
      </c>
      <c r="K25" s="1">
        <v>30</v>
      </c>
      <c r="M25" s="1" t="s">
        <v>140</v>
      </c>
      <c r="N25" s="1" t="s">
        <v>247</v>
      </c>
      <c r="O25" s="1">
        <v>189</v>
      </c>
      <c r="P25" s="1">
        <v>128</v>
      </c>
      <c r="Q25" s="1">
        <v>125</v>
      </c>
    </row>
    <row r="26" spans="1:17">
      <c r="A26" s="1" t="s">
        <v>83</v>
      </c>
      <c r="B26" s="1" t="s">
        <v>175</v>
      </c>
      <c r="C26" s="1">
        <v>140</v>
      </c>
      <c r="D26" s="1">
        <v>71</v>
      </c>
      <c r="E26" s="1">
        <v>67</v>
      </c>
      <c r="G26" s="1" t="s">
        <v>110</v>
      </c>
      <c r="H26" s="1" t="s">
        <v>217</v>
      </c>
      <c r="I26" s="1">
        <v>159</v>
      </c>
      <c r="J26" s="1">
        <v>18</v>
      </c>
      <c r="K26" s="1">
        <v>17</v>
      </c>
      <c r="M26" s="1" t="s">
        <v>141</v>
      </c>
      <c r="N26" s="1" t="s">
        <v>248</v>
      </c>
      <c r="O26" s="1">
        <v>188</v>
      </c>
      <c r="P26" s="1">
        <v>129</v>
      </c>
      <c r="Q26" s="1">
        <v>125</v>
      </c>
    </row>
    <row r="27" spans="1:17">
      <c r="A27" s="1" t="s">
        <v>84</v>
      </c>
      <c r="B27" s="1" t="s">
        <v>174</v>
      </c>
      <c r="C27" s="1">
        <v>247</v>
      </c>
      <c r="D27" s="1">
        <v>72</v>
      </c>
      <c r="E27" s="1">
        <v>67</v>
      </c>
      <c r="G27" s="1" t="s">
        <v>111</v>
      </c>
      <c r="H27" s="1" t="s">
        <v>218</v>
      </c>
      <c r="I27" s="1">
        <v>283</v>
      </c>
      <c r="J27" s="1">
        <v>97</v>
      </c>
      <c r="K27" s="1">
        <v>95</v>
      </c>
      <c r="M27" s="1" t="s">
        <v>141</v>
      </c>
      <c r="N27" s="1" t="s">
        <v>249</v>
      </c>
      <c r="O27" s="1">
        <v>187</v>
      </c>
      <c r="P27" s="1">
        <v>130</v>
      </c>
      <c r="Q27" s="1">
        <v>125</v>
      </c>
    </row>
    <row r="28" spans="1:17">
      <c r="A28" s="1" t="s">
        <v>85</v>
      </c>
      <c r="B28" s="1" t="s">
        <v>173</v>
      </c>
      <c r="C28" s="1">
        <v>243</v>
      </c>
      <c r="D28" s="1">
        <v>73</v>
      </c>
      <c r="E28" s="1">
        <v>67</v>
      </c>
      <c r="G28" s="1" t="s">
        <v>112</v>
      </c>
      <c r="H28" s="1" t="s">
        <v>219</v>
      </c>
      <c r="I28" s="1">
        <v>279</v>
      </c>
      <c r="J28" s="1">
        <v>98</v>
      </c>
      <c r="K28" s="1">
        <v>95</v>
      </c>
      <c r="M28" s="1" t="s">
        <v>142</v>
      </c>
      <c r="N28" s="1" t="s">
        <v>250</v>
      </c>
      <c r="O28" s="1">
        <v>265</v>
      </c>
      <c r="P28" s="1">
        <v>131</v>
      </c>
      <c r="Q28" s="1">
        <v>125</v>
      </c>
    </row>
    <row r="29" spans="1:17">
      <c r="A29" s="1" t="s">
        <v>86</v>
      </c>
      <c r="B29" s="1" t="s">
        <v>172</v>
      </c>
      <c r="C29" s="1">
        <v>254</v>
      </c>
      <c r="D29" s="1">
        <v>74</v>
      </c>
      <c r="E29" s="1">
        <v>67</v>
      </c>
      <c r="G29" s="1" t="s">
        <v>113</v>
      </c>
      <c r="H29" s="1" t="s">
        <v>220</v>
      </c>
      <c r="I29" s="1">
        <v>273</v>
      </c>
      <c r="J29" s="1">
        <v>99</v>
      </c>
      <c r="K29" s="1">
        <v>95</v>
      </c>
      <c r="M29" s="1" t="s">
        <v>143</v>
      </c>
      <c r="N29" s="1" t="s">
        <v>251</v>
      </c>
      <c r="O29" s="1">
        <v>184</v>
      </c>
      <c r="P29" s="1">
        <v>132</v>
      </c>
      <c r="Q29" s="1">
        <v>125</v>
      </c>
    </row>
    <row r="30" spans="1:17">
      <c r="A30" s="1" t="s">
        <v>87</v>
      </c>
      <c r="B30" s="1" t="s">
        <v>171</v>
      </c>
      <c r="C30" s="1">
        <v>244</v>
      </c>
      <c r="D30" s="1">
        <v>75</v>
      </c>
      <c r="E30" s="1">
        <v>67</v>
      </c>
      <c r="G30" s="1" t="s">
        <v>114</v>
      </c>
      <c r="H30" s="1" t="s">
        <v>221</v>
      </c>
      <c r="I30" s="1">
        <v>271</v>
      </c>
      <c r="J30" s="1">
        <v>100</v>
      </c>
      <c r="K30" s="1">
        <v>95</v>
      </c>
    </row>
    <row r="31" spans="1:17">
      <c r="A31" s="1" t="s">
        <v>88</v>
      </c>
      <c r="B31" s="1" t="s">
        <v>170</v>
      </c>
      <c r="C31" s="1">
        <v>248</v>
      </c>
      <c r="D31" s="1">
        <v>76</v>
      </c>
      <c r="E31" s="1">
        <v>67</v>
      </c>
      <c r="G31" s="1" t="s">
        <v>115</v>
      </c>
      <c r="H31" s="1" t="s">
        <v>222</v>
      </c>
      <c r="I31" s="1">
        <v>137</v>
      </c>
      <c r="J31" s="1">
        <v>101</v>
      </c>
      <c r="K31" s="1">
        <v>95</v>
      </c>
    </row>
    <row r="32" spans="1:17">
      <c r="A32" s="1" t="s">
        <v>89</v>
      </c>
      <c r="B32" s="1" t="s">
        <v>169</v>
      </c>
      <c r="C32" s="1">
        <v>146</v>
      </c>
      <c r="D32" s="1">
        <v>77</v>
      </c>
      <c r="E32" s="1">
        <v>67</v>
      </c>
      <c r="G32" s="1" t="s">
        <v>116</v>
      </c>
      <c r="H32" s="1" t="s">
        <v>223</v>
      </c>
      <c r="I32" s="1">
        <v>136</v>
      </c>
      <c r="J32" s="1">
        <v>102</v>
      </c>
      <c r="K32" s="1">
        <v>95</v>
      </c>
    </row>
    <row r="33" spans="1:11">
      <c r="A33" s="1" t="s">
        <v>90</v>
      </c>
      <c r="B33" s="1" t="s">
        <v>152</v>
      </c>
      <c r="C33" s="1">
        <v>245</v>
      </c>
      <c r="D33" s="1">
        <v>78</v>
      </c>
      <c r="E33" s="1">
        <v>67</v>
      </c>
      <c r="G33" s="1" t="s">
        <v>117</v>
      </c>
      <c r="H33" s="1" t="s">
        <v>224</v>
      </c>
      <c r="I33" s="1">
        <v>277</v>
      </c>
      <c r="J33" s="1">
        <v>103</v>
      </c>
      <c r="K33" s="1">
        <v>95</v>
      </c>
    </row>
    <row r="34" spans="1:11">
      <c r="A34" s="1" t="s">
        <v>91</v>
      </c>
      <c r="B34" s="1" t="s">
        <v>153</v>
      </c>
      <c r="C34" s="1">
        <v>259</v>
      </c>
      <c r="D34" s="1">
        <v>80</v>
      </c>
      <c r="E34" s="1">
        <v>78</v>
      </c>
      <c r="G34" s="1" t="s">
        <v>118</v>
      </c>
      <c r="H34" s="1" t="s">
        <v>226</v>
      </c>
      <c r="I34" s="1">
        <v>272</v>
      </c>
      <c r="J34" s="1">
        <v>104</v>
      </c>
      <c r="K34" s="1">
        <v>95</v>
      </c>
    </row>
    <row r="35" spans="1:11">
      <c r="A35" s="1" t="s">
        <v>92</v>
      </c>
      <c r="B35" s="1" t="s">
        <v>154</v>
      </c>
      <c r="C35" s="1">
        <v>262</v>
      </c>
      <c r="D35" s="1">
        <v>81</v>
      </c>
      <c r="E35" s="1">
        <v>78</v>
      </c>
      <c r="G35" s="1" t="s">
        <v>119</v>
      </c>
      <c r="H35" s="1" t="s">
        <v>225</v>
      </c>
      <c r="I35" s="1">
        <v>281</v>
      </c>
      <c r="J35" s="1">
        <v>105</v>
      </c>
      <c r="K35" s="1">
        <v>95</v>
      </c>
    </row>
    <row r="36" spans="1:11">
      <c r="A36" s="1" t="s">
        <v>93</v>
      </c>
      <c r="B36" s="1" t="s">
        <v>155</v>
      </c>
      <c r="C36" s="1">
        <v>266</v>
      </c>
      <c r="D36" s="1">
        <v>82</v>
      </c>
      <c r="E36" s="1">
        <v>78</v>
      </c>
      <c r="G36" s="1" t="s">
        <v>120</v>
      </c>
      <c r="H36" s="1" t="s">
        <v>227</v>
      </c>
      <c r="I36" s="1">
        <v>115</v>
      </c>
      <c r="J36" s="1">
        <v>106</v>
      </c>
      <c r="K36" s="1">
        <v>95</v>
      </c>
    </row>
    <row r="37" spans="1:11">
      <c r="A37" s="1" t="s">
        <v>94</v>
      </c>
      <c r="B37" s="1" t="s">
        <v>166</v>
      </c>
      <c r="C37" s="1">
        <v>165</v>
      </c>
      <c r="D37" s="1">
        <v>83</v>
      </c>
      <c r="E37" s="1">
        <v>78</v>
      </c>
      <c r="G37" s="1" t="s">
        <v>121</v>
      </c>
      <c r="H37" s="1" t="s">
        <v>228</v>
      </c>
      <c r="I37" s="1">
        <v>130</v>
      </c>
      <c r="J37" s="1">
        <v>107</v>
      </c>
      <c r="K37" s="1">
        <v>95</v>
      </c>
    </row>
    <row r="38" spans="1:11">
      <c r="A38" s="1" t="s">
        <v>95</v>
      </c>
      <c r="B38" s="1" t="s">
        <v>167</v>
      </c>
      <c r="C38" s="1">
        <v>164</v>
      </c>
      <c r="D38" s="1">
        <v>84</v>
      </c>
      <c r="E38" s="1">
        <v>78</v>
      </c>
      <c r="G38" s="1" t="s">
        <v>122</v>
      </c>
      <c r="H38" s="1" t="s">
        <v>229</v>
      </c>
      <c r="I38" s="1">
        <v>278</v>
      </c>
      <c r="J38" s="1">
        <v>108</v>
      </c>
      <c r="K38" s="1">
        <v>95</v>
      </c>
    </row>
    <row r="39" spans="1:11">
      <c r="A39" s="1" t="s">
        <v>96</v>
      </c>
      <c r="B39" s="1" t="s">
        <v>168</v>
      </c>
      <c r="C39" s="1">
        <v>258</v>
      </c>
      <c r="D39" s="1">
        <v>85</v>
      </c>
      <c r="E39" s="1">
        <v>78</v>
      </c>
      <c r="G39" s="1" t="s">
        <v>123</v>
      </c>
      <c r="H39" s="1" t="s">
        <v>230</v>
      </c>
      <c r="I39" s="1">
        <v>276</v>
      </c>
      <c r="J39" s="1">
        <v>109</v>
      </c>
      <c r="K39" s="1">
        <v>95</v>
      </c>
    </row>
    <row r="40" spans="1:11">
      <c r="A40" s="1" t="s">
        <v>97</v>
      </c>
      <c r="B40" s="1" t="s">
        <v>156</v>
      </c>
      <c r="C40" s="1">
        <v>174</v>
      </c>
      <c r="D40" s="1">
        <v>86</v>
      </c>
      <c r="E40" s="1">
        <v>78</v>
      </c>
      <c r="G40" s="1" t="s">
        <v>124</v>
      </c>
      <c r="H40" s="1" t="s">
        <v>231</v>
      </c>
      <c r="I40" s="1">
        <v>138</v>
      </c>
      <c r="J40" s="1">
        <v>110</v>
      </c>
      <c r="K40" s="1">
        <v>95</v>
      </c>
    </row>
    <row r="41" spans="1:11">
      <c r="A41" s="1" t="s">
        <v>98</v>
      </c>
      <c r="B41" s="1" t="s">
        <v>157</v>
      </c>
      <c r="C41" s="1">
        <v>168</v>
      </c>
      <c r="D41" s="1">
        <v>87</v>
      </c>
      <c r="E41" s="1">
        <v>78</v>
      </c>
      <c r="G41" s="1" t="s">
        <v>125</v>
      </c>
      <c r="H41" s="1" t="s">
        <v>232</v>
      </c>
      <c r="I41" s="1">
        <v>294</v>
      </c>
      <c r="J41" s="1">
        <v>112</v>
      </c>
      <c r="K41" s="1">
        <v>110</v>
      </c>
    </row>
    <row r="42" spans="1:11">
      <c r="A42" s="1" t="s">
        <v>99</v>
      </c>
      <c r="B42" s="1" t="s">
        <v>158</v>
      </c>
      <c r="C42" s="1">
        <v>252</v>
      </c>
      <c r="D42" s="1">
        <v>88</v>
      </c>
      <c r="E42" s="1">
        <v>78</v>
      </c>
      <c r="G42" s="1" t="s">
        <v>126</v>
      </c>
      <c r="H42" s="1" t="s">
        <v>233</v>
      </c>
      <c r="I42" s="1">
        <v>284</v>
      </c>
      <c r="J42" s="1">
        <v>113</v>
      </c>
      <c r="K42" s="1">
        <v>110</v>
      </c>
    </row>
    <row r="43" spans="1:11">
      <c r="A43" s="1" t="s">
        <v>100</v>
      </c>
      <c r="B43" s="1" t="s">
        <v>159</v>
      </c>
      <c r="C43" s="1">
        <v>170</v>
      </c>
      <c r="D43" s="1">
        <v>89</v>
      </c>
      <c r="E43" s="1">
        <v>78</v>
      </c>
      <c r="G43" s="1" t="s">
        <v>127</v>
      </c>
      <c r="H43" s="1" t="s">
        <v>234</v>
      </c>
      <c r="I43" s="1">
        <v>253</v>
      </c>
      <c r="J43" s="1">
        <v>114</v>
      </c>
      <c r="K43" s="1">
        <v>110</v>
      </c>
    </row>
    <row r="44" spans="1:11">
      <c r="A44" s="1" t="s">
        <v>101</v>
      </c>
      <c r="B44" s="1" t="s">
        <v>160</v>
      </c>
      <c r="C44" s="1">
        <v>260</v>
      </c>
      <c r="D44" s="1">
        <v>90</v>
      </c>
      <c r="E44" s="1">
        <v>78</v>
      </c>
      <c r="G44" s="1" t="s">
        <v>128</v>
      </c>
      <c r="H44" s="1" t="s">
        <v>235</v>
      </c>
      <c r="I44" s="1">
        <v>295</v>
      </c>
      <c r="J44" s="1">
        <v>115</v>
      </c>
      <c r="K44" s="1">
        <v>110</v>
      </c>
    </row>
    <row r="45" spans="1:11">
      <c r="A45" s="1" t="s">
        <v>102</v>
      </c>
      <c r="B45" s="1" t="s">
        <v>161</v>
      </c>
      <c r="C45" s="1">
        <v>256</v>
      </c>
      <c r="D45" s="1">
        <v>91</v>
      </c>
      <c r="E45" s="1">
        <v>78</v>
      </c>
      <c r="G45" s="1" t="s">
        <v>129</v>
      </c>
      <c r="H45" s="1" t="s">
        <v>236</v>
      </c>
      <c r="I45" s="1">
        <v>288</v>
      </c>
      <c r="J45" s="1">
        <v>116</v>
      </c>
      <c r="K45" s="1">
        <v>110</v>
      </c>
    </row>
    <row r="46" spans="1:11">
      <c r="A46" s="1" t="s">
        <v>103</v>
      </c>
      <c r="B46" s="1" t="s">
        <v>162</v>
      </c>
      <c r="C46" s="1">
        <v>175</v>
      </c>
      <c r="D46" s="1">
        <v>92</v>
      </c>
      <c r="E46" s="1">
        <v>78</v>
      </c>
      <c r="G46" s="1" t="s">
        <v>130</v>
      </c>
      <c r="H46" s="1" t="s">
        <v>237</v>
      </c>
      <c r="I46" s="1">
        <v>255</v>
      </c>
      <c r="J46" s="1">
        <v>117</v>
      </c>
      <c r="K46" s="1">
        <v>110</v>
      </c>
    </row>
    <row r="47" spans="1:11">
      <c r="A47" s="1" t="s">
        <v>104</v>
      </c>
      <c r="B47" s="1" t="s">
        <v>163</v>
      </c>
      <c r="C47" s="1">
        <v>268</v>
      </c>
      <c r="D47" s="1">
        <v>93</v>
      </c>
      <c r="E47" s="1">
        <v>78</v>
      </c>
      <c r="G47" s="1" t="s">
        <v>131</v>
      </c>
      <c r="H47" s="1" t="s">
        <v>238</v>
      </c>
      <c r="I47" s="1">
        <v>289</v>
      </c>
      <c r="J47" s="1">
        <v>118</v>
      </c>
      <c r="K47" s="1">
        <v>110</v>
      </c>
    </row>
    <row r="48" spans="1:11">
      <c r="A48" s="1" t="s">
        <v>105</v>
      </c>
      <c r="B48" s="1" t="s">
        <v>164</v>
      </c>
      <c r="C48" s="1">
        <v>261</v>
      </c>
      <c r="D48" s="1">
        <v>94</v>
      </c>
      <c r="E48" s="1">
        <v>78</v>
      </c>
      <c r="G48" s="1" t="s">
        <v>132</v>
      </c>
      <c r="H48" s="1" t="s">
        <v>239</v>
      </c>
      <c r="I48" s="1">
        <v>257</v>
      </c>
      <c r="J48" s="1">
        <v>119</v>
      </c>
      <c r="K48" s="1">
        <v>110</v>
      </c>
    </row>
    <row r="49" spans="1:11">
      <c r="A49" s="1" t="s">
        <v>106</v>
      </c>
      <c r="B49" s="1" t="s">
        <v>165</v>
      </c>
      <c r="C49" s="1">
        <v>169</v>
      </c>
      <c r="D49" s="1">
        <v>95</v>
      </c>
      <c r="E49" s="1">
        <v>78</v>
      </c>
      <c r="G49" s="1" t="s">
        <v>133</v>
      </c>
      <c r="H49" s="1" t="s">
        <v>240</v>
      </c>
      <c r="I49" s="1">
        <v>263</v>
      </c>
      <c r="J49" s="1">
        <v>120</v>
      </c>
      <c r="K49" s="1">
        <v>110</v>
      </c>
    </row>
    <row r="50" spans="1:11">
      <c r="G50" s="1" t="s">
        <v>134</v>
      </c>
      <c r="H50" s="1" t="s">
        <v>241</v>
      </c>
      <c r="I50" s="1">
        <v>192</v>
      </c>
      <c r="J50" s="1">
        <v>121</v>
      </c>
      <c r="K50" s="1">
        <v>110</v>
      </c>
    </row>
    <row r="51" spans="1:11">
      <c r="G51" s="1" t="s">
        <v>135</v>
      </c>
      <c r="H51" s="1" t="s">
        <v>242</v>
      </c>
      <c r="I51" s="1">
        <v>155</v>
      </c>
      <c r="J51" s="1">
        <v>122</v>
      </c>
      <c r="K51" s="1">
        <v>110</v>
      </c>
    </row>
    <row r="52" spans="1:11">
      <c r="G52" s="1" t="s">
        <v>136</v>
      </c>
      <c r="H52" s="1" t="s">
        <v>243</v>
      </c>
      <c r="I52" s="1">
        <v>162</v>
      </c>
      <c r="J52" s="1">
        <v>123</v>
      </c>
      <c r="K52" s="1">
        <v>110</v>
      </c>
    </row>
    <row r="53" spans="1:11">
      <c r="G53" s="1" t="s">
        <v>137</v>
      </c>
      <c r="H53" s="1" t="s">
        <v>244</v>
      </c>
      <c r="I53" s="1">
        <v>264</v>
      </c>
      <c r="J53" s="1">
        <v>124</v>
      </c>
      <c r="K53" s="1">
        <v>110</v>
      </c>
    </row>
    <row r="54" spans="1:11">
      <c r="G54" s="1" t="s">
        <v>138</v>
      </c>
      <c r="H54" s="1" t="s">
        <v>245</v>
      </c>
      <c r="I54" s="1">
        <v>285</v>
      </c>
      <c r="J54" s="1">
        <v>125</v>
      </c>
      <c r="K54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보은</vt:lpstr>
      <vt:lpstr>천안</vt:lpstr>
      <vt:lpstr>부여</vt:lpstr>
      <vt:lpstr>보령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보은!CategoryA_Area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2023-10-28T04:57:34Z</dcterms:modified>
</cp:coreProperties>
</file>