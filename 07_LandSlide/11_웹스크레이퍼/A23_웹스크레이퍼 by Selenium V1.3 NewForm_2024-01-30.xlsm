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12_dev\02_Excel2\01_Acquifer Pumping Test\04_웹스크레이퍼\"/>
    </mc:Choice>
  </mc:AlternateContent>
  <xr:revisionPtr revIDLastSave="0" documentId="13_ncr:1_{1D166D3D-36CC-4958-B7F9-2060D171D6D9}" xr6:coauthVersionLast="47" xr6:coauthVersionMax="47" xr10:uidLastSave="{00000000-0000-0000-0000-000000000000}"/>
  <bookViews>
    <workbookView xWindow="-120" yWindow="-120" windowWidth="29040" windowHeight="15720" tabRatio="526" activeTab="4" xr2:uid="{00000000-000D-0000-FFFF-FFFF00000000}"/>
  </bookViews>
  <sheets>
    <sheet name="서울" sheetId="166" r:id="rId1"/>
    <sheet name="천안" sheetId="165" r:id="rId2"/>
    <sheet name="서산" sheetId="164" r:id="rId3"/>
    <sheet name="부여" sheetId="163" r:id="rId4"/>
    <sheet name="보령" sheetId="162" r:id="rId5"/>
    <sheet name="금산" sheetId="161" r:id="rId6"/>
    <sheet name="대전" sheetId="160" r:id="rId7"/>
    <sheet name="main" sheetId="103" r:id="rId8"/>
    <sheet name="AREA" sheetId="143" state="hidden" r:id="rId9"/>
    <sheet name="AREAREF" sheetId="167" state="hidden" r:id="rId10"/>
  </sheets>
  <functionGroups builtInGroupCount="19"/>
  <definedNames>
    <definedName name="CategoryA_Area" localSheetId="5">tblLocation[Area]</definedName>
    <definedName name="CategoryA_Area" localSheetId="6">tblLocation[Area]</definedName>
    <definedName name="CategoryA_Area" localSheetId="4">tblLocation[Area]</definedName>
    <definedName name="CategoryA_Area" localSheetId="3">tblLocation[Area]</definedName>
    <definedName name="CategoryA_Area" localSheetId="2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6" l="1"/>
  <c r="M53" i="166"/>
  <c r="L53" i="166"/>
  <c r="K53" i="166"/>
  <c r="J53" i="166"/>
  <c r="I53" i="166"/>
  <c r="H53" i="166"/>
  <c r="G53" i="166"/>
  <c r="F53" i="166"/>
  <c r="E53" i="166"/>
  <c r="D53" i="166"/>
  <c r="C53" i="166"/>
  <c r="B53" i="166"/>
  <c r="N52" i="166"/>
  <c r="M52" i="166"/>
  <c r="L52" i="166"/>
  <c r="K52" i="166"/>
  <c r="J52" i="166"/>
  <c r="I52" i="166"/>
  <c r="H52" i="166"/>
  <c r="G52" i="166"/>
  <c r="F52" i="166"/>
  <c r="E52" i="166"/>
  <c r="D52" i="166"/>
  <c r="C52" i="166"/>
  <c r="B52" i="166"/>
  <c r="N51" i="166"/>
  <c r="M51" i="166"/>
  <c r="L51" i="166"/>
  <c r="K51" i="166"/>
  <c r="J51" i="166"/>
  <c r="I51" i="166"/>
  <c r="H51" i="166"/>
  <c r="G51" i="166"/>
  <c r="F51" i="166"/>
  <c r="E51" i="166"/>
  <c r="D51" i="166"/>
  <c r="C51" i="166"/>
  <c r="B51" i="166"/>
  <c r="N50" i="166"/>
  <c r="M50" i="166"/>
  <c r="L50" i="166"/>
  <c r="K50" i="166"/>
  <c r="J50" i="166"/>
  <c r="I50" i="166"/>
  <c r="H50" i="166"/>
  <c r="G50" i="166"/>
  <c r="F50" i="166"/>
  <c r="E50" i="166"/>
  <c r="D50" i="166"/>
  <c r="C50" i="166"/>
  <c r="B50" i="166"/>
  <c r="N49" i="166"/>
  <c r="M49" i="166"/>
  <c r="L49" i="166"/>
  <c r="K49" i="166"/>
  <c r="J49" i="166"/>
  <c r="I49" i="166"/>
  <c r="H49" i="166"/>
  <c r="G49" i="166"/>
  <c r="F49" i="166"/>
  <c r="E49" i="166"/>
  <c r="D49" i="166"/>
  <c r="C49" i="166"/>
  <c r="B49" i="166"/>
  <c r="N48" i="166"/>
  <c r="M48" i="166"/>
  <c r="L48" i="166"/>
  <c r="K48" i="166"/>
  <c r="J48" i="166"/>
  <c r="I48" i="166"/>
  <c r="H48" i="166"/>
  <c r="G48" i="166"/>
  <c r="F48" i="166"/>
  <c r="E48" i="166"/>
  <c r="D48" i="166"/>
  <c r="C48" i="166"/>
  <c r="B48" i="166"/>
  <c r="N47" i="166"/>
  <c r="M47" i="166"/>
  <c r="L47" i="166"/>
  <c r="K47" i="166"/>
  <c r="J47" i="166"/>
  <c r="I47" i="166"/>
  <c r="H47" i="166"/>
  <c r="G47" i="166"/>
  <c r="F47" i="166"/>
  <c r="E47" i="166"/>
  <c r="D47" i="166"/>
  <c r="C47" i="166"/>
  <c r="B47" i="166"/>
  <c r="N46" i="166"/>
  <c r="M46" i="166"/>
  <c r="L46" i="166"/>
  <c r="K46" i="166"/>
  <c r="J46" i="166"/>
  <c r="I46" i="166"/>
  <c r="H46" i="166"/>
  <c r="G46" i="166"/>
  <c r="F46" i="166"/>
  <c r="E46" i="166"/>
  <c r="D46" i="166"/>
  <c r="C46" i="166"/>
  <c r="B46" i="166"/>
  <c r="N45" i="166"/>
  <c r="N56" i="166" s="1"/>
  <c r="M45" i="166"/>
  <c r="L45" i="166"/>
  <c r="K45" i="166"/>
  <c r="J45" i="166"/>
  <c r="I45" i="166"/>
  <c r="H45" i="166"/>
  <c r="G45" i="166"/>
  <c r="F45" i="166"/>
  <c r="E45" i="166"/>
  <c r="D45" i="166"/>
  <c r="C45" i="166"/>
  <c r="B45" i="166"/>
  <c r="N44" i="166"/>
  <c r="M44" i="166"/>
  <c r="L44" i="166"/>
  <c r="K44" i="166"/>
  <c r="J44" i="166"/>
  <c r="I44" i="166"/>
  <c r="H44" i="166"/>
  <c r="G44" i="166"/>
  <c r="F44" i="166"/>
  <c r="E44" i="166"/>
  <c r="D44" i="166"/>
  <c r="D56" i="166" s="1"/>
  <c r="C44" i="166"/>
  <c r="C56" i="166" s="1"/>
  <c r="B44" i="166"/>
  <c r="N38" i="166"/>
  <c r="M38" i="166"/>
  <c r="L38" i="166"/>
  <c r="K38" i="166"/>
  <c r="J38" i="166"/>
  <c r="I38" i="166"/>
  <c r="H38" i="166"/>
  <c r="G38" i="166"/>
  <c r="F38" i="166"/>
  <c r="E38" i="166"/>
  <c r="D38" i="166"/>
  <c r="C38" i="166"/>
  <c r="N37" i="166"/>
  <c r="M37" i="166"/>
  <c r="L37" i="166"/>
  <c r="K37" i="166"/>
  <c r="J37" i="166"/>
  <c r="I37" i="166"/>
  <c r="H37" i="166"/>
  <c r="G37" i="166"/>
  <c r="F37" i="166"/>
  <c r="E37" i="166"/>
  <c r="D37" i="166"/>
  <c r="C37" i="166"/>
  <c r="N36" i="166"/>
  <c r="M36" i="166"/>
  <c r="L36" i="166"/>
  <c r="K36" i="166"/>
  <c r="J36" i="166"/>
  <c r="I36" i="166"/>
  <c r="H36" i="166"/>
  <c r="G36" i="166"/>
  <c r="F36" i="166"/>
  <c r="E36" i="166"/>
  <c r="D36" i="166"/>
  <c r="C36" i="166"/>
  <c r="O35" i="166"/>
  <c r="P35" i="166" s="1"/>
  <c r="P34" i="166"/>
  <c r="O34" i="166"/>
  <c r="O33" i="166"/>
  <c r="P33" i="166" s="1"/>
  <c r="O32" i="166"/>
  <c r="P32" i="166" s="1"/>
  <c r="O31" i="166"/>
  <c r="P31" i="166" s="1"/>
  <c r="O30" i="166"/>
  <c r="P30" i="166" s="1"/>
  <c r="O29" i="166"/>
  <c r="P29" i="166" s="1"/>
  <c r="O28" i="166"/>
  <c r="P28" i="166" s="1"/>
  <c r="O27" i="166"/>
  <c r="P27" i="166" s="1"/>
  <c r="O26" i="166"/>
  <c r="P26" i="166" s="1"/>
  <c r="O25" i="166"/>
  <c r="P25" i="166" s="1"/>
  <c r="O24" i="166"/>
  <c r="P24" i="166" s="1"/>
  <c r="O23" i="166"/>
  <c r="P23" i="166" s="1"/>
  <c r="O22" i="166"/>
  <c r="P22" i="166" s="1"/>
  <c r="P21" i="166"/>
  <c r="O21" i="166"/>
  <c r="O20" i="166"/>
  <c r="P20" i="166" s="1"/>
  <c r="O19" i="166"/>
  <c r="P19" i="166" s="1"/>
  <c r="O18" i="166"/>
  <c r="P18" i="166" s="1"/>
  <c r="O17" i="166"/>
  <c r="P17" i="166" s="1"/>
  <c r="P16" i="166"/>
  <c r="O16" i="166"/>
  <c r="O15" i="166"/>
  <c r="P15" i="166" s="1"/>
  <c r="O14" i="166"/>
  <c r="P14" i="166" s="1"/>
  <c r="O13" i="166"/>
  <c r="P13" i="166" s="1"/>
  <c r="O12" i="166"/>
  <c r="P12" i="166" s="1"/>
  <c r="O11" i="166"/>
  <c r="P11" i="166" s="1"/>
  <c r="O10" i="166"/>
  <c r="P10" i="166" s="1"/>
  <c r="O9" i="166"/>
  <c r="P9" i="166" s="1"/>
  <c r="O8" i="166"/>
  <c r="O7" i="166"/>
  <c r="P7" i="166" s="1"/>
  <c r="O6" i="166"/>
  <c r="P6" i="166" s="1"/>
  <c r="O6" i="161"/>
  <c r="O7" i="161"/>
  <c r="N53" i="165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O45" i="166" l="1"/>
  <c r="P45" i="166" s="1"/>
  <c r="E56" i="166"/>
  <c r="O46" i="166"/>
  <c r="P46" i="166" s="1"/>
  <c r="F55" i="166"/>
  <c r="D55" i="166"/>
  <c r="O47" i="166"/>
  <c r="P47" i="166" s="1"/>
  <c r="O52" i="166"/>
  <c r="P52" i="166" s="1"/>
  <c r="G56" i="166"/>
  <c r="O48" i="166"/>
  <c r="P48" i="166" s="1"/>
  <c r="H54" i="166"/>
  <c r="G54" i="166"/>
  <c r="F54" i="166"/>
  <c r="O49" i="166"/>
  <c r="P49" i="166" s="1"/>
  <c r="I56" i="166"/>
  <c r="F56" i="166"/>
  <c r="O50" i="166"/>
  <c r="P50" i="166" s="1"/>
  <c r="J56" i="166"/>
  <c r="O51" i="166"/>
  <c r="P51" i="166" s="1"/>
  <c r="K56" i="166"/>
  <c r="L56" i="166"/>
  <c r="O53" i="166"/>
  <c r="P53" i="166" s="1"/>
  <c r="E54" i="166"/>
  <c r="O38" i="166"/>
  <c r="M54" i="166"/>
  <c r="L54" i="166"/>
  <c r="E55" i="166"/>
  <c r="M56" i="166"/>
  <c r="N55" i="166"/>
  <c r="H55" i="166"/>
  <c r="O37" i="166"/>
  <c r="I54" i="166"/>
  <c r="G55" i="166"/>
  <c r="O44" i="166"/>
  <c r="J54" i="166"/>
  <c r="K54" i="166"/>
  <c r="I55" i="166"/>
  <c r="H56" i="166"/>
  <c r="J55" i="166"/>
  <c r="K55" i="166"/>
  <c r="N54" i="166"/>
  <c r="L55" i="166"/>
  <c r="C54" i="166"/>
  <c r="M55" i="166"/>
  <c r="O36" i="166"/>
  <c r="P8" i="166"/>
  <c r="P38" i="166" s="1"/>
  <c r="P36" i="166"/>
  <c r="D54" i="166"/>
  <c r="C55" i="166"/>
  <c r="N56" i="165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P37" i="166" l="1"/>
  <c r="O56" i="166"/>
  <c r="O55" i="166"/>
  <c r="O54" i="166"/>
  <c r="P44" i="166"/>
  <c r="O56" i="165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6" l="1"/>
  <c r="P55" i="166"/>
  <c r="P54" i="166"/>
  <c r="P56" i="165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<sst xmlns="http://schemas.openxmlformats.org/spreadsheetml/2006/main" count="3288" uniqueCount="266">
  <si>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</si>
  <si>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</si>
  <si>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</si>
  <si>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</si>
  <si>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</si>
  <si>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</si>
  <si>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</si>
  <si>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</si>
  <si>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</si>
  <si>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</si>
  <si>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</si>
  <si>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</si>
  <si>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</si>
  <si>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</si>
  <si>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</si>
  <si>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</si>
  <si>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</si>
  <si>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</si>
  <si>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</si>
  <si>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</si>
  <si>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</si>
  <si>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</si>
  <si>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</si>
  <si>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</si>
  <si>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</si>
  <si>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</si>
  <si>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</si>
  <si>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</si>
  <si>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</si>
  <si>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</si>
  <si>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</si>
  <si>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</si>
  <si>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</si>
  <si>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</si>
  <si>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</si>
  <si>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</si>
  <si>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</si>
  <si>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</si>
  <si>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</si>
  <si>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</si>
  <si>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</si>
  <si>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</si>
  <si>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</si>
  <si>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</si>
  <si>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</si>
  <si>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</si>
  <si>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</si>
  <si>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</si>
  <si>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</si>
  <si>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</si>
  <si>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</si>
  <si>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</si>
  <si>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</si>
  <si>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</si>
  <si>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</si>
  <si>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</si>
  <si>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</si>
  <si>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</si>
  <si>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</si>
  <si>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</si>
  <si>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</si>
  <si>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</si>
  <si>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</si>
  <si>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</si>
  <si>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</si>
  <si>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</si>
  <si>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</si>
  <si>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</si>
  <si>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</si>
  <si>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</si>
  <si>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</si>
  <si>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</si>
  <si>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</si>
  <si>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</si>
  <si>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</si>
  <si>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</si>
  <si>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</si>
  <si>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</si>
  <si>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</si>
  <si>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</si>
  <si>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</si>
  <si>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</si>
  <si>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</si>
  <si>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</si>
  <si>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</si>
  <si>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</si>
  <si>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</si>
  <si>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</si>
  <si>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</si>
  <si>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</si>
  <si>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</si>
  <si>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</si>
  <si>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</si>
  <si>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</si>
  <si>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</si>
  <si>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</si>
  <si>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</si>
  <si>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</si>
  <si>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</si>
  <si>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</si>
  <si>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</si>
  <si>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</si>
  <si>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</si>
  <si>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</si>
  <si>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</si>
  <si>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</si>
  <si>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</si>
  <si>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</si>
  <si>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</si>
  <si>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</si>
  <si>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</si>
  <si>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</si>
  <si>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</si>
  <si>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</si>
  <si>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</si>
  <si>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</si>
  <si>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</si>
  <si>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</si>
  <si>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</si>
  <si>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</si>
  <si>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</si>
  <si>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</si>
  <si>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</si>
  <si>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</si>
  <si>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</si>
  <si>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</si>
  <si>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</si>
  <si>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</si>
  <si>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</si>
  <si>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</si>
  <si>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</si>
  <si>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</si>
  <si>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</si>
  <si>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</si>
  <si>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</si>
  <si>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</si>
  <si>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</si>
  <si>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</si>
  <si>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</si>
  <si>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</si>
  <si>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</si>
  <si>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</si>
  <si>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</si>
  <si>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</si>
  <si>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</si>
  <si>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</si>
  <si>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</si>
  <si>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</si>
  <si>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</si>
  <si>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</si>
  <si>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</si>
  <si>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</si>
  <si>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</si>
  <si>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</si>
  <si>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</si>
  <si>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</si>
  <si>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</si>
  <si>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</si>
  <si>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</si>
  <si>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</si>
  <si>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</si>
  <si>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</si>
  <si>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</si>
  <si>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</si>
  <si>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</si>
  <si>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</si>
  <si>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</si>
  <si>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</si>
  <si>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</si>
  <si>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</si>
  <si>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</si>
  <si>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</si>
  <si>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</si>
  <si>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</si>
  <si>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</si>
  <si>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</si>
  <si>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</si>
  <si>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</si>
  <si>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</si>
  <si>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</si>
  <si>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</si>
  <si>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</si>
  <si>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</si>
  <si>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</si>
  <si>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</si>
  <si>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</si>
  <si>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</si>
  <si>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</si>
  <si>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</si>
  <si>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</si>
  <si>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</si>
  <si>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</si>
  <si>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</si>
  <si>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</si>
  <si>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</si>
  <si>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</si>
  <si>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</si>
  <si>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</si>
  <si>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</si>
  <si>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</si>
  <si>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</si>
  <si>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</si>
  <si>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</si>
  <si>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</si>
  <si>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</si>
  <si>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</si>
  <si>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</si>
  <si>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</si>
  <si>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</si>
  <si>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</si>
  <si>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</si>
  <si>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</si>
  <si>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</si>
  <si>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</si>
  <si>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</si>
  <si>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</si>
  <si>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</si>
  <si>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</si>
  <si>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</si>
  <si>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</si>
  <si>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</si>
  <si>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</si>
  <si>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</si>
  <si>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</si>
  <si>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</si>
  <si>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</si>
  <si>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</si>
  <si>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</si>
  <si>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</si>
  <si>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</si>
  <si>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</si>
  <si>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</si>
  <si>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</si>
  <si>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</si>
  <si>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</si>
  <si>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</si>
  <si>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</si>
  <si>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</si>
  <si>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</si>
  <si>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</si>
  <si>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</si>
  <si>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</si>
  <si>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</si>
  <si>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</si>
  <si>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</si>
  <si>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</si>
  <si>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</si>
  <si>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</si>
  <si>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</si>
  <si>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</si>
  <si>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</si>
  <si>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</si>
  <si>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</si>
  <si>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</si>
  <si>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</si>
  <si>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</si>
  <si>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</si>
  <si>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</si>
  <si>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</si>
  <si>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</si>
  <si>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</si>
  <si>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 Data, -- 2024-01-01 월 오전 12:52:04</t>
    <phoneticPr fontId="5" type="noConversion"/>
  </si>
  <si>
    <t>서울경기</t>
  </si>
  <si>
    <t>서울</t>
  </si>
  <si>
    <t>서울 Data, -- 2024-01-02 화 오후 4:58:46</t>
    <phoneticPr fontId="5" type="noConversion"/>
  </si>
  <si>
    <t>30년 서울데이터, 2024-01-02 화 오후 5:30:04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</si>
</sst>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5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1"/>
      <color theme="0"/>
      <name val="맑은 고딕"/>
      <family val="3"/>
      <charset val="129"/>
      <scheme val="major"/>
    </font>
    <font>
      <sz val="11"/>
      <color theme="1"/>
      <name val="맑은 고딕"/>
      <family val="3"/>
      <charset val="129"/>
      <scheme val="major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5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/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9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  <xf numFmtId="0" fontId="23" fillId="8" borderId="44" xfId="0" applyFont="1" applyFill="1" applyBorder="1"/>
    <xf numFmtId="0" fontId="24" fillId="9" borderId="46" xfId="0" applyFont="1" applyFill="1" applyBorder="1"/>
    <xf numFmtId="0" fontId="24" fillId="10" borderId="46" xfId="0" applyFont="1" applyFill="1" applyBorder="1"/>
    <xf numFmtId="0" fontId="24" fillId="10" borderId="48" xfId="0" applyFont="1" applyFill="1" applyBorder="1"/>
    <xf numFmtId="0" fontId="24" fillId="9" borderId="48" xfId="0" applyFont="1" applyFill="1" applyBorder="1"/>
    <xf numFmtId="0" fontId="23" fillId="8" borderId="45" xfId="0" applyFont="1" applyFill="1" applyBorder="1"/>
    <xf numFmtId="0" fontId="24" fillId="9" borderId="47" xfId="0" applyFont="1" applyFill="1" applyBorder="1"/>
    <xf numFmtId="0" fontId="24" fillId="10" borderId="47" xfId="0" applyFont="1" applyFill="1" applyBorder="1"/>
    <xf numFmtId="0" fontId="24" fillId="10" borderId="49" xfId="0" applyFont="1" applyFill="1" applyBorder="1"/>
    <xf numFmtId="0" fontId="24" fillId="9" borderId="49" xfId="0" applyFont="1" applyFill="1" applyBorder="1"/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8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theme="0"/>
        </left>
        <right/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3"/>
        <charset val="129"/>
        <scheme val="maj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border outline="0">
        <top style="thin">
          <color theme="0"/>
        </top>
      </border>
    </dxf>
    <dxf>
      <border outline="0">
        <right style="thin">
          <color theme="0"/>
        </right>
      </border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3"/>
        <charset val="129"/>
        <scheme val="maj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7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7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7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7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7"/>
    <tableColumn id="4" xr3:uid="{3FABA01C-AB4B-48AC-BDB1-16BF1034D0DF}" name="name" dataDxfId="36"/>
    <tableColumn id="3" xr3:uid="{A5F66352-D28A-4CF0-B250-A489700B8D54}" name="Code" dataDxfId="35"/>
    <tableColumn id="2" xr3:uid="{09B4436B-841C-4B9C-8162-E947F4575E48}" name="aCode" dataDxfId="34"/>
    <tableColumn id="5" xr3:uid="{C31DCB80-AB53-4D9B-9C64-E7F32BEF140C}" name="switch" dataDxfId="33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32"/>
    <tableColumn id="4" xr3:uid="{B62D6831-87BE-4F65-B7F1-BD0B146AF49F}" name="name" dataDxfId="31"/>
    <tableColumn id="3" xr3:uid="{658D7C19-D0E8-42F4-ABCB-2387237F828A}" name="Code" dataDxfId="30"/>
    <tableColumn id="2" xr3:uid="{989EB4D9-50A5-4C55-9B67-E92A0A209FA0}" name="aCode" dataDxfId="29"/>
    <tableColumn id="5" xr3:uid="{AECDD82A-ACE1-4B11-8AC5-F6E8FEEF4153}" name="switch" dataDxfId="28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7"/>
    <tableColumn id="4" xr3:uid="{017C91F5-4BF0-4180-8133-652E08E84954}" name="name" dataDxfId="26"/>
    <tableColumn id="3" xr3:uid="{EC253443-ACAA-4D84-A256-070B355AA943}" name="Code" dataDxfId="25"/>
    <tableColumn id="2" xr3:uid="{80669424-532F-4472-8AC0-B591D616F4FF}" name="aCode" dataDxfId="24"/>
    <tableColumn id="5" xr3:uid="{3E99FA54-F62F-4943-96D0-A92D6B1BF889}" name="switch" dataDxfId="23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22"/>
    <tableColumn id="4" xr3:uid="{9687561B-6A34-4432-917E-5BE8286748FA}" name="name" dataDxfId="21"/>
    <tableColumn id="3" xr3:uid="{2D753499-917F-4411-A14D-2196A2F1D788}" name="Code" dataDxfId="20"/>
    <tableColumn id="2" xr3:uid="{F72F6AA5-B461-4032-B5C7-926520FCFE1E}" name="aCode" dataDxfId="19"/>
    <tableColumn id="5" xr3:uid="{2BB69875-ADCC-49C7-B005-BDD03F21A48A}" name="switch" dataDxfId="18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7"/>
    <tableColumn id="4" xr3:uid="{81223094-743C-484F-BD6C-C0070968E015}" name="name" dataDxfId="16"/>
    <tableColumn id="3" xr3:uid="{02B114B2-31A2-45E0-95CB-D7B5B59158D4}" name="Code" dataDxfId="15"/>
    <tableColumn id="2" xr3:uid="{25F1EE2B-22EC-4D69-8CEF-1F35F419008D}" name="aCode" dataDxfId="14"/>
    <tableColumn id="5" xr3:uid="{98CAFCC6-1A44-428B-AD18-F0F5163D8036}" name="switch" dataDxfId="13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12"/>
    <tableColumn id="4" xr3:uid="{946138E4-408B-41AA-9EFE-0179ACDBA91C}" name="name" dataDxfId="11"/>
    <tableColumn id="3" xr3:uid="{4CD67D66-5E03-4217-ADBB-EDB24CF7D896}" name="Code" dataDxfId="10"/>
    <tableColumn id="2" xr3:uid="{951E4035-1C41-41A8-8801-D5CE38818C67}" name="aCode" dataDxfId="9"/>
    <tableColumn id="5" xr3:uid="{3153C0DB-1764-4890-BEFB-6C5DD9BCE384}" name="switch" dataDxfId="8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7"/>
    <tableColumn id="3" xr3:uid="{4DB9070B-5067-4035-BDC5-48A6AFBB7D85}" name="Code" dataDxfId="6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B6B9E16-3BEE-445D-8DF9-C6DF4B12B21F}" name="tblAREAREF" displayName="tblAREAREF" ref="B1:C105" totalsRowShown="0" headerRowDxfId="5" headerRowBorderDxfId="4" tableBorderDxfId="3" totalsRowBorderDxfId="2">
  <autoFilter ref="B1:C105" xr:uid="{1B6B9E16-3BEE-445D-8DF9-C6DF4B12B21F}"/>
  <tableColumns count="2">
    <tableColumn id="1" xr3:uid="{38CAC162-6209-4AC9-9794-855F18E5EEB7}" name="Area" dataDxfId="1"/>
    <tableColumn id="2" xr3:uid="{56518641-F89E-476A-9729-6BB245AA3E3A}" name="nam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F8C8-6B0C-42D4-AFFB-71217818938A}">
  <sheetPr codeName="Sheet20">
    <tabColor rgb="FF00B050"/>
  </sheetPr>
  <dimension ref="A2:Q983"/>
  <sheetViews>
    <sheetView topLeftCell="A4" zoomScaleNormal="100" workbookViewId="0">
      <selection activeCell="V10" sqref="V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264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17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</row>
    <row r="8" spans="2:17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</row>
    <row r="9" spans="2:17" ht="21.95" customHeigh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</row>
    <row r="10" spans="2:17" ht="21.95" customHeigh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</row>
    <row r="11" spans="2:17" ht="21.95" customHeigh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</row>
    <row r="12" spans="2:17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17" ht="21.95" customHeigh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17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</row>
    <row r="15" spans="2:17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</row>
    <row r="16" spans="2:17" ht="21.95" customHeigh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</row>
    <row r="17" spans="2:16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6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6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6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</row>
    <row r="21" spans="2:16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6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6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6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6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6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6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6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6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6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6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6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P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si="4"/>
        <v>143.80000000000001</v>
      </c>
      <c r="L38" s="53">
        <f t="shared" si="4"/>
        <v>56.7</v>
      </c>
      <c r="M38" s="53">
        <f t="shared" si="4"/>
        <v>52.3</v>
      </c>
      <c r="N38" s="54">
        <f t="shared" si="4"/>
        <v>22</v>
      </c>
      <c r="O38" s="55">
        <f t="shared" si="4"/>
        <v>1439.8</v>
      </c>
      <c r="P38" s="56">
        <f t="shared" si="4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13</v>
      </c>
      <c r="D44" s="62">
        <f t="shared" si="5"/>
        <v>16.2</v>
      </c>
      <c r="E44" s="62">
        <f t="shared" si="5"/>
        <v>7.2</v>
      </c>
      <c r="F44" s="62">
        <f t="shared" si="5"/>
        <v>31</v>
      </c>
      <c r="G44" s="62">
        <f t="shared" si="5"/>
        <v>63</v>
      </c>
      <c r="H44" s="62">
        <f t="shared" si="5"/>
        <v>98.1</v>
      </c>
      <c r="I44" s="62">
        <f t="shared" si="5"/>
        <v>207.9</v>
      </c>
      <c r="J44" s="62">
        <f t="shared" si="5"/>
        <v>172.8</v>
      </c>
      <c r="K44" s="62">
        <f t="shared" si="5"/>
        <v>88.1</v>
      </c>
      <c r="L44" s="62">
        <f t="shared" si="5"/>
        <v>52.2</v>
      </c>
      <c r="M44" s="62">
        <f t="shared" si="5"/>
        <v>41.5</v>
      </c>
      <c r="N44" s="63">
        <f t="shared" si="5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53" si="6">B27</f>
        <v>2015</v>
      </c>
      <c r="C45" s="62">
        <f t="shared" si="6"/>
        <v>11.3</v>
      </c>
      <c r="D45" s="62">
        <f t="shared" si="6"/>
        <v>22.7</v>
      </c>
      <c r="E45" s="62">
        <f t="shared" si="6"/>
        <v>9.6</v>
      </c>
      <c r="F45" s="62">
        <f t="shared" si="6"/>
        <v>80.5</v>
      </c>
      <c r="G45" s="62">
        <f t="shared" si="6"/>
        <v>28.9</v>
      </c>
      <c r="H45" s="62">
        <f t="shared" si="6"/>
        <v>99</v>
      </c>
      <c r="I45" s="62">
        <f t="shared" si="6"/>
        <v>226</v>
      </c>
      <c r="J45" s="62">
        <f t="shared" si="6"/>
        <v>72.900000000000006</v>
      </c>
      <c r="K45" s="62">
        <f t="shared" si="6"/>
        <v>26</v>
      </c>
      <c r="L45" s="62">
        <f t="shared" si="6"/>
        <v>81.5</v>
      </c>
      <c r="M45" s="62">
        <f t="shared" si="6"/>
        <v>104.6</v>
      </c>
      <c r="N45" s="63">
        <f t="shared" si="6"/>
        <v>29.1</v>
      </c>
      <c r="O45" s="64">
        <f t="shared" ref="O45:O53" si="7">ROUND(SUM(C45:N45),1)</f>
        <v>792.1</v>
      </c>
      <c r="P45" s="51">
        <f t="shared" ref="P45:P53" si="8">ROUND(O45/12,1)</f>
        <v>66</v>
      </c>
    </row>
    <row r="46" spans="2:16" ht="21.95" customHeight="1">
      <c r="B46" s="61">
        <f t="shared" si="6"/>
        <v>2016</v>
      </c>
      <c r="C46" s="62">
        <f t="shared" si="6"/>
        <v>1</v>
      </c>
      <c r="D46" s="62">
        <f t="shared" si="6"/>
        <v>47.6</v>
      </c>
      <c r="E46" s="62">
        <f t="shared" si="6"/>
        <v>40.5</v>
      </c>
      <c r="F46" s="62">
        <f t="shared" si="6"/>
        <v>76.8</v>
      </c>
      <c r="G46" s="62">
        <f t="shared" si="6"/>
        <v>160.5</v>
      </c>
      <c r="H46" s="62">
        <f t="shared" si="6"/>
        <v>54.4</v>
      </c>
      <c r="I46" s="62">
        <f t="shared" si="6"/>
        <v>358.2</v>
      </c>
      <c r="J46" s="62">
        <f t="shared" si="6"/>
        <v>67.099999999999994</v>
      </c>
      <c r="K46" s="62">
        <f t="shared" si="6"/>
        <v>33</v>
      </c>
      <c r="L46" s="62">
        <f t="shared" si="6"/>
        <v>74.8</v>
      </c>
      <c r="M46" s="62">
        <f t="shared" si="6"/>
        <v>16.7</v>
      </c>
      <c r="N46" s="63">
        <f t="shared" si="6"/>
        <v>61.1</v>
      </c>
      <c r="O46" s="64">
        <f t="shared" si="7"/>
        <v>991.7</v>
      </c>
      <c r="P46" s="51">
        <f t="shared" si="8"/>
        <v>82.6</v>
      </c>
    </row>
    <row r="47" spans="2:16" ht="21.95" customHeight="1">
      <c r="B47" s="61">
        <f t="shared" si="6"/>
        <v>2017</v>
      </c>
      <c r="C47" s="62">
        <f t="shared" si="6"/>
        <v>14.9</v>
      </c>
      <c r="D47" s="62">
        <f t="shared" si="6"/>
        <v>11.1</v>
      </c>
      <c r="E47" s="62">
        <f t="shared" si="6"/>
        <v>7.9</v>
      </c>
      <c r="F47" s="62">
        <f t="shared" si="6"/>
        <v>61.6</v>
      </c>
      <c r="G47" s="62">
        <f t="shared" si="6"/>
        <v>16.100000000000001</v>
      </c>
      <c r="H47" s="62">
        <f t="shared" si="6"/>
        <v>66.599999999999994</v>
      </c>
      <c r="I47" s="62">
        <f t="shared" si="6"/>
        <v>621</v>
      </c>
      <c r="J47" s="62">
        <f t="shared" si="6"/>
        <v>297</v>
      </c>
      <c r="K47" s="62">
        <f t="shared" si="6"/>
        <v>35</v>
      </c>
      <c r="L47" s="62">
        <f t="shared" si="6"/>
        <v>26.5</v>
      </c>
      <c r="M47" s="62">
        <f t="shared" si="6"/>
        <v>40.700000000000003</v>
      </c>
      <c r="N47" s="63">
        <f t="shared" si="6"/>
        <v>34.799999999999997</v>
      </c>
      <c r="O47" s="64">
        <f>ROUND(SUM(C47:N47),1)</f>
        <v>1233.2</v>
      </c>
      <c r="P47" s="51">
        <f t="shared" si="8"/>
        <v>102.8</v>
      </c>
    </row>
    <row r="48" spans="2:16" ht="21.95" customHeight="1">
      <c r="B48" s="61">
        <f t="shared" si="6"/>
        <v>2018</v>
      </c>
      <c r="C48" s="62">
        <f t="shared" si="6"/>
        <v>8.5</v>
      </c>
      <c r="D48" s="62">
        <f t="shared" si="6"/>
        <v>29.6</v>
      </c>
      <c r="E48" s="62">
        <f t="shared" si="6"/>
        <v>49.5</v>
      </c>
      <c r="F48" s="62">
        <f t="shared" si="6"/>
        <v>130.30000000000001</v>
      </c>
      <c r="G48" s="62">
        <f t="shared" si="6"/>
        <v>222</v>
      </c>
      <c r="H48" s="62">
        <f t="shared" si="6"/>
        <v>171.5</v>
      </c>
      <c r="I48" s="62">
        <f t="shared" si="6"/>
        <v>185.6</v>
      </c>
      <c r="J48" s="62">
        <f t="shared" si="6"/>
        <v>202.6</v>
      </c>
      <c r="K48" s="62">
        <f t="shared" si="6"/>
        <v>68.5</v>
      </c>
      <c r="L48" s="62">
        <f t="shared" si="6"/>
        <v>120.5</v>
      </c>
      <c r="M48" s="62">
        <f t="shared" si="6"/>
        <v>79.099999999999994</v>
      </c>
      <c r="N48" s="63">
        <f t="shared" si="6"/>
        <v>16.399999999999999</v>
      </c>
      <c r="O48" s="64">
        <f t="shared" si="7"/>
        <v>1284.0999999999999</v>
      </c>
      <c r="P48" s="51">
        <f t="shared" si="8"/>
        <v>107</v>
      </c>
    </row>
    <row r="49" spans="2:16" ht="21.95" customHeight="1">
      <c r="B49" s="61">
        <f t="shared" si="6"/>
        <v>2019</v>
      </c>
      <c r="C49" s="62">
        <f t="shared" si="6"/>
        <v>0</v>
      </c>
      <c r="D49" s="62">
        <f t="shared" si="6"/>
        <v>23.8</v>
      </c>
      <c r="E49" s="62">
        <f t="shared" si="6"/>
        <v>26.8</v>
      </c>
      <c r="F49" s="62">
        <f t="shared" si="6"/>
        <v>47.3</v>
      </c>
      <c r="G49" s="62">
        <f t="shared" si="6"/>
        <v>37.799999999999997</v>
      </c>
      <c r="H49" s="62">
        <f t="shared" si="6"/>
        <v>74</v>
      </c>
      <c r="I49" s="62">
        <f t="shared" si="6"/>
        <v>194.4</v>
      </c>
      <c r="J49" s="62">
        <f t="shared" si="6"/>
        <v>190.5</v>
      </c>
      <c r="K49" s="62">
        <f t="shared" si="6"/>
        <v>139.80000000000001</v>
      </c>
      <c r="L49" s="62">
        <f t="shared" si="6"/>
        <v>55.5</v>
      </c>
      <c r="M49" s="62">
        <f t="shared" si="6"/>
        <v>78.8</v>
      </c>
      <c r="N49" s="63">
        <f t="shared" si="6"/>
        <v>22.6</v>
      </c>
      <c r="O49" s="64">
        <f t="shared" si="7"/>
        <v>891.3</v>
      </c>
      <c r="P49" s="51">
        <f t="shared" si="8"/>
        <v>74.3</v>
      </c>
    </row>
    <row r="50" spans="2:16" ht="21.95" customHeight="1">
      <c r="B50" s="61">
        <f t="shared" si="6"/>
        <v>2020</v>
      </c>
      <c r="C50" s="62">
        <f t="shared" si="6"/>
        <v>60.5</v>
      </c>
      <c r="D50" s="62">
        <f t="shared" si="6"/>
        <v>53.1</v>
      </c>
      <c r="E50" s="62">
        <f t="shared" si="6"/>
        <v>16.3</v>
      </c>
      <c r="F50" s="62">
        <f t="shared" si="6"/>
        <v>16.899999999999999</v>
      </c>
      <c r="G50" s="62">
        <f t="shared" si="6"/>
        <v>112.4</v>
      </c>
      <c r="H50" s="62">
        <f t="shared" si="6"/>
        <v>139.6</v>
      </c>
      <c r="I50" s="62">
        <f t="shared" si="6"/>
        <v>270.39999999999998</v>
      </c>
      <c r="J50" s="62">
        <f t="shared" si="6"/>
        <v>675.7</v>
      </c>
      <c r="K50" s="62">
        <f t="shared" si="6"/>
        <v>181.5</v>
      </c>
      <c r="L50" s="62">
        <f t="shared" si="6"/>
        <v>0</v>
      </c>
      <c r="M50" s="62">
        <f t="shared" si="6"/>
        <v>120.1</v>
      </c>
      <c r="N50" s="63">
        <f t="shared" si="6"/>
        <v>4.5999999999999996</v>
      </c>
      <c r="O50" s="64">
        <f t="shared" si="7"/>
        <v>1651.1</v>
      </c>
      <c r="P50" s="51">
        <f t="shared" si="8"/>
        <v>137.6</v>
      </c>
    </row>
    <row r="51" spans="2:16" ht="21.95" customHeight="1">
      <c r="B51" s="61">
        <f t="shared" si="6"/>
        <v>2021</v>
      </c>
      <c r="C51" s="62">
        <f t="shared" si="6"/>
        <v>18.899999999999999</v>
      </c>
      <c r="D51" s="62">
        <f t="shared" si="6"/>
        <v>7.1</v>
      </c>
      <c r="E51" s="62">
        <f t="shared" si="6"/>
        <v>110.9</v>
      </c>
      <c r="F51" s="62">
        <f t="shared" si="6"/>
        <v>124.1</v>
      </c>
      <c r="G51" s="62">
        <f t="shared" si="6"/>
        <v>183.1</v>
      </c>
      <c r="H51" s="62">
        <f t="shared" si="6"/>
        <v>104.6</v>
      </c>
      <c r="I51" s="62">
        <f t="shared" si="6"/>
        <v>168.3</v>
      </c>
      <c r="J51" s="62">
        <f t="shared" si="6"/>
        <v>211.2</v>
      </c>
      <c r="K51" s="62">
        <f t="shared" si="6"/>
        <v>131</v>
      </c>
      <c r="L51" s="62">
        <f t="shared" si="6"/>
        <v>57</v>
      </c>
      <c r="M51" s="62">
        <f t="shared" si="6"/>
        <v>62.4</v>
      </c>
      <c r="N51" s="63">
        <f t="shared" si="6"/>
        <v>7.9</v>
      </c>
      <c r="O51" s="64">
        <f t="shared" si="7"/>
        <v>1186.5</v>
      </c>
      <c r="P51" s="51">
        <f t="shared" si="8"/>
        <v>98.9</v>
      </c>
    </row>
    <row r="52" spans="2:16" ht="21.95" customHeight="1">
      <c r="B52" s="61">
        <f t="shared" si="6"/>
        <v>2022</v>
      </c>
      <c r="C52" s="62">
        <f t="shared" si="6"/>
        <v>5.5</v>
      </c>
      <c r="D52" s="62">
        <f t="shared" si="6"/>
        <v>4.7</v>
      </c>
      <c r="E52" s="62">
        <f t="shared" si="6"/>
        <v>102.6</v>
      </c>
      <c r="F52" s="62">
        <f t="shared" si="6"/>
        <v>20.399999999999999</v>
      </c>
      <c r="G52" s="62">
        <f t="shared" si="6"/>
        <v>7.5</v>
      </c>
      <c r="H52" s="62">
        <f t="shared" si="6"/>
        <v>393.8</v>
      </c>
      <c r="I52" s="62">
        <f t="shared" si="6"/>
        <v>252.3</v>
      </c>
      <c r="J52" s="62">
        <f t="shared" si="6"/>
        <v>564.79999999999995</v>
      </c>
      <c r="K52" s="62">
        <f t="shared" si="6"/>
        <v>201.5</v>
      </c>
      <c r="L52" s="62">
        <f t="shared" si="6"/>
        <v>124.1</v>
      </c>
      <c r="M52" s="62">
        <f t="shared" si="6"/>
        <v>84.5</v>
      </c>
      <c r="N52" s="63">
        <f t="shared" si="6"/>
        <v>13.6</v>
      </c>
      <c r="O52" s="64">
        <f t="shared" si="7"/>
        <v>1775.3</v>
      </c>
      <c r="P52" s="51">
        <f t="shared" si="8"/>
        <v>147.9</v>
      </c>
    </row>
    <row r="53" spans="2:16" ht="21.95" customHeight="1" thickBot="1">
      <c r="B53" s="65">
        <f t="shared" si="6"/>
        <v>2023</v>
      </c>
      <c r="C53" s="66">
        <f t="shared" si="6"/>
        <v>47.9</v>
      </c>
      <c r="D53" s="66">
        <f t="shared" si="6"/>
        <v>1</v>
      </c>
      <c r="E53" s="66">
        <f t="shared" si="6"/>
        <v>10.5</v>
      </c>
      <c r="F53" s="66">
        <f t="shared" si="6"/>
        <v>96.9</v>
      </c>
      <c r="G53" s="66">
        <f t="shared" si="6"/>
        <v>155.6</v>
      </c>
      <c r="H53" s="66">
        <f t="shared" si="6"/>
        <v>195.6</v>
      </c>
      <c r="I53" s="66">
        <f t="shared" si="6"/>
        <v>459.9</v>
      </c>
      <c r="J53" s="66">
        <f t="shared" si="6"/>
        <v>298.10000000000002</v>
      </c>
      <c r="K53" s="66">
        <f t="shared" si="6"/>
        <v>134.5</v>
      </c>
      <c r="L53" s="66">
        <f t="shared" si="6"/>
        <v>31</v>
      </c>
      <c r="M53" s="66">
        <f t="shared" si="6"/>
        <v>81.900000000000006</v>
      </c>
      <c r="N53" s="67">
        <f t="shared" si="6"/>
        <v>85.9</v>
      </c>
      <c r="O53" s="68">
        <f t="shared" si="7"/>
        <v>1598.8</v>
      </c>
      <c r="P53" s="56">
        <f t="shared" si="8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9">MAX(D44:D53)</f>
        <v>53.1</v>
      </c>
      <c r="E54" s="70">
        <f t="shared" si="9"/>
        <v>110.9</v>
      </c>
      <c r="F54" s="70">
        <f t="shared" si="9"/>
        <v>130.30000000000001</v>
      </c>
      <c r="G54" s="70">
        <f t="shared" si="9"/>
        <v>222</v>
      </c>
      <c r="H54" s="70">
        <f t="shared" si="9"/>
        <v>393.8</v>
      </c>
      <c r="I54" s="70">
        <f t="shared" si="9"/>
        <v>621</v>
      </c>
      <c r="J54" s="70">
        <f t="shared" si="9"/>
        <v>675.7</v>
      </c>
      <c r="K54" s="70">
        <f t="shared" si="9"/>
        <v>201.5</v>
      </c>
      <c r="L54" s="70">
        <f t="shared" si="9"/>
        <v>124.1</v>
      </c>
      <c r="M54" s="70">
        <f t="shared" si="9"/>
        <v>120.1</v>
      </c>
      <c r="N54" s="71">
        <f t="shared" si="9"/>
        <v>85.9</v>
      </c>
      <c r="O54" s="72">
        <f t="shared" si="9"/>
        <v>1775.3</v>
      </c>
      <c r="P54" s="71">
        <f t="shared" si="9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1</v>
      </c>
      <c r="E55" s="74">
        <f t="shared" si="10"/>
        <v>7.2</v>
      </c>
      <c r="F55" s="74">
        <f t="shared" si="10"/>
        <v>16.899999999999999</v>
      </c>
      <c r="G55" s="74">
        <f t="shared" si="10"/>
        <v>7.5</v>
      </c>
      <c r="H55" s="74">
        <f t="shared" si="10"/>
        <v>54.4</v>
      </c>
      <c r="I55" s="74">
        <f t="shared" si="10"/>
        <v>168.3</v>
      </c>
      <c r="J55" s="74">
        <f t="shared" si="10"/>
        <v>67.099999999999994</v>
      </c>
      <c r="K55" s="74">
        <f t="shared" si="10"/>
        <v>26</v>
      </c>
      <c r="L55" s="74">
        <f t="shared" si="10"/>
        <v>0</v>
      </c>
      <c r="M55" s="74">
        <f t="shared" si="10"/>
        <v>16.7</v>
      </c>
      <c r="N55" s="51">
        <f t="shared" si="10"/>
        <v>4.5999999999999996</v>
      </c>
      <c r="O55" s="64">
        <f>MIN(O44:O53)</f>
        <v>792.1</v>
      </c>
      <c r="P55" s="51">
        <f t="shared" si="10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21.7</v>
      </c>
      <c r="E56" s="76">
        <f t="shared" si="11"/>
        <v>38.200000000000003</v>
      </c>
      <c r="F56" s="76">
        <f t="shared" si="11"/>
        <v>68.599999999999994</v>
      </c>
      <c r="G56" s="76">
        <f t="shared" si="11"/>
        <v>98.7</v>
      </c>
      <c r="H56" s="76">
        <f t="shared" si="11"/>
        <v>139.69999999999999</v>
      </c>
      <c r="I56" s="76">
        <f t="shared" si="11"/>
        <v>294.39999999999998</v>
      </c>
      <c r="J56" s="76">
        <f t="shared" si="11"/>
        <v>275.3</v>
      </c>
      <c r="K56" s="76">
        <f t="shared" si="11"/>
        <v>103.9</v>
      </c>
      <c r="L56" s="76">
        <f t="shared" si="11"/>
        <v>62.3</v>
      </c>
      <c r="M56" s="76">
        <f t="shared" si="11"/>
        <v>71</v>
      </c>
      <c r="N56" s="56">
        <f t="shared" si="11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zoomScaleNormal="100" workbookViewId="0">
      <selection activeCell="S22" sqref="S22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abSelected="1" topLeftCell="A13" zoomScaleNormal="100" workbookViewId="0">
      <selection activeCell="U18" sqref="U18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X3" sqref="X3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265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21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  <c r="R8" s="25" t="s">
        <v>262</v>
      </c>
      <c r="S8" s="26" t="s">
        <v>263</v>
      </c>
    </row>
    <row r="9" spans="2:21" ht="21.95" customHeight="1" thickBo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  <c r="R9" s="79" t="str">
        <f>VLOOKUP(R8, tblLocation[], 2, FALSE)</f>
        <v>Table1</v>
      </c>
      <c r="S9" s="27">
        <f ca="1">VLOOKUP(S8, INDIRECT($R$9), 3,0)</f>
        <v>108</v>
      </c>
    </row>
    <row r="10" spans="2:21" ht="21.95" customHeight="1" thickBo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  <c r="S10" s="28">
        <f ca="1">VLOOKUP(S8, INDIRECT($R$9), 5,0)</f>
        <v>14</v>
      </c>
    </row>
    <row r="11" spans="2:21" ht="21.95" customHeight="1" thickBo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  <c r="S11" s="78" t="str">
        <f ca="1">VLOOKUP(S8, INDIRECT($R$9), 2,0)</f>
        <v>Seoul</v>
      </c>
    </row>
    <row r="12" spans="2:21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21" ht="21.95" customHeight="1" thickBo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21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8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8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8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  <c r="R20" s="4"/>
    </row>
    <row r="21" spans="2:18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8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8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8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8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8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8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8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8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8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8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8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J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ref="K38:P38" si="5">ROUND(AVERAGE(K6:K35),1)</f>
        <v>143.80000000000001</v>
      </c>
      <c r="L38" s="53">
        <f t="shared" si="5"/>
        <v>56.7</v>
      </c>
      <c r="M38" s="53">
        <f t="shared" si="5"/>
        <v>52.3</v>
      </c>
      <c r="N38" s="54">
        <f t="shared" si="5"/>
        <v>22</v>
      </c>
      <c r="O38" s="55">
        <f t="shared" si="5"/>
        <v>1439.8</v>
      </c>
      <c r="P38" s="56">
        <f t="shared" si="5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13</v>
      </c>
      <c r="D44" s="62">
        <f t="shared" si="6"/>
        <v>16.2</v>
      </c>
      <c r="E44" s="62">
        <f t="shared" si="6"/>
        <v>7.2</v>
      </c>
      <c r="F44" s="62">
        <f t="shared" si="6"/>
        <v>31</v>
      </c>
      <c r="G44" s="62">
        <f t="shared" si="6"/>
        <v>63</v>
      </c>
      <c r="H44" s="62">
        <f t="shared" si="6"/>
        <v>98.1</v>
      </c>
      <c r="I44" s="62">
        <f t="shared" si="6"/>
        <v>207.9</v>
      </c>
      <c r="J44" s="62">
        <f t="shared" si="6"/>
        <v>172.8</v>
      </c>
      <c r="K44" s="62">
        <f t="shared" si="6"/>
        <v>88.1</v>
      </c>
      <c r="L44" s="62">
        <f t="shared" si="6"/>
        <v>52.2</v>
      </c>
      <c r="M44" s="62">
        <f t="shared" si="6"/>
        <v>41.5</v>
      </c>
      <c r="N44" s="63">
        <f t="shared" si="6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45" si="7">B27</f>
        <v>2015</v>
      </c>
      <c r="C45" s="62">
        <f t="shared" si="7"/>
        <v>11.3</v>
      </c>
      <c r="D45" s="62">
        <f t="shared" si="7"/>
        <v>22.7</v>
      </c>
      <c r="E45" s="62">
        <f t="shared" si="7"/>
        <v>9.6</v>
      </c>
      <c r="F45" s="62">
        <f t="shared" si="7"/>
        <v>80.5</v>
      </c>
      <c r="G45" s="62">
        <f t="shared" si="7"/>
        <v>28.9</v>
      </c>
      <c r="H45" s="62">
        <f t="shared" si="7"/>
        <v>99</v>
      </c>
      <c r="I45" s="62">
        <f t="shared" si="7"/>
        <v>226</v>
      </c>
      <c r="J45" s="62">
        <f t="shared" si="7"/>
        <v>72.900000000000006</v>
      </c>
      <c r="K45" s="62">
        <f t="shared" si="7"/>
        <v>26</v>
      </c>
      <c r="L45" s="62">
        <f t="shared" si="7"/>
        <v>81.5</v>
      </c>
      <c r="M45" s="62">
        <f t="shared" si="7"/>
        <v>104.6</v>
      </c>
      <c r="N45" s="63">
        <f t="shared" si="7"/>
        <v>29.1</v>
      </c>
      <c r="O45" s="64">
        <f t="shared" ref="O45:O53" si="8">ROUND(SUM(C45:N45),1)</f>
        <v>792.1</v>
      </c>
      <c r="P45" s="51">
        <f t="shared" ref="P45:P53" si="9">ROUND(O45/12,1)</f>
        <v>66</v>
      </c>
    </row>
    <row r="46" spans="2:16" ht="21.95" customHeight="1">
      <c r="B46" s="61">
        <f t="shared" ref="B46:N46" si="10">B28</f>
        <v>2016</v>
      </c>
      <c r="C46" s="62">
        <f t="shared" si="10"/>
        <v>1</v>
      </c>
      <c r="D46" s="62">
        <f t="shared" si="10"/>
        <v>47.6</v>
      </c>
      <c r="E46" s="62">
        <f t="shared" si="10"/>
        <v>40.5</v>
      </c>
      <c r="F46" s="62">
        <f t="shared" si="10"/>
        <v>76.8</v>
      </c>
      <c r="G46" s="62">
        <f t="shared" si="10"/>
        <v>160.5</v>
      </c>
      <c r="H46" s="62">
        <f t="shared" si="10"/>
        <v>54.4</v>
      </c>
      <c r="I46" s="62">
        <f t="shared" si="10"/>
        <v>358.2</v>
      </c>
      <c r="J46" s="62">
        <f t="shared" si="10"/>
        <v>67.099999999999994</v>
      </c>
      <c r="K46" s="62">
        <f t="shared" si="10"/>
        <v>33</v>
      </c>
      <c r="L46" s="62">
        <f t="shared" si="10"/>
        <v>74.8</v>
      </c>
      <c r="M46" s="62">
        <f t="shared" si="10"/>
        <v>16.7</v>
      </c>
      <c r="N46" s="63">
        <f t="shared" si="10"/>
        <v>61.1</v>
      </c>
      <c r="O46" s="64">
        <f t="shared" si="8"/>
        <v>991.7</v>
      </c>
      <c r="P46" s="51">
        <f t="shared" si="9"/>
        <v>82.6</v>
      </c>
    </row>
    <row r="47" spans="2:16" ht="21.95" customHeight="1">
      <c r="B47" s="61">
        <f t="shared" ref="B47:N47" si="11">B29</f>
        <v>2017</v>
      </c>
      <c r="C47" s="62">
        <f t="shared" si="11"/>
        <v>14.9</v>
      </c>
      <c r="D47" s="62">
        <f t="shared" si="11"/>
        <v>11.1</v>
      </c>
      <c r="E47" s="62">
        <f t="shared" si="11"/>
        <v>7.9</v>
      </c>
      <c r="F47" s="62">
        <f t="shared" si="11"/>
        <v>61.6</v>
      </c>
      <c r="G47" s="62">
        <f t="shared" si="11"/>
        <v>16.100000000000001</v>
      </c>
      <c r="H47" s="62">
        <f t="shared" si="11"/>
        <v>66.599999999999994</v>
      </c>
      <c r="I47" s="62">
        <f t="shared" si="11"/>
        <v>621</v>
      </c>
      <c r="J47" s="62">
        <f t="shared" si="11"/>
        <v>297</v>
      </c>
      <c r="K47" s="62">
        <f t="shared" si="11"/>
        <v>35</v>
      </c>
      <c r="L47" s="62">
        <f t="shared" si="11"/>
        <v>26.5</v>
      </c>
      <c r="M47" s="62">
        <f t="shared" si="11"/>
        <v>40.700000000000003</v>
      </c>
      <c r="N47" s="63">
        <f t="shared" si="11"/>
        <v>34.799999999999997</v>
      </c>
      <c r="O47" s="64">
        <f>ROUND(SUM(C47:N47),1)</f>
        <v>1233.2</v>
      </c>
      <c r="P47" s="51">
        <f t="shared" si="9"/>
        <v>102.8</v>
      </c>
    </row>
    <row r="48" spans="2:16" ht="21.95" customHeight="1">
      <c r="B48" s="61">
        <f t="shared" ref="B48:N48" si="12">B30</f>
        <v>2018</v>
      </c>
      <c r="C48" s="62">
        <f t="shared" si="12"/>
        <v>8.5</v>
      </c>
      <c r="D48" s="62">
        <f t="shared" si="12"/>
        <v>29.6</v>
      </c>
      <c r="E48" s="62">
        <f t="shared" si="12"/>
        <v>49.5</v>
      </c>
      <c r="F48" s="62">
        <f t="shared" si="12"/>
        <v>130.30000000000001</v>
      </c>
      <c r="G48" s="62">
        <f t="shared" si="12"/>
        <v>222</v>
      </c>
      <c r="H48" s="62">
        <f t="shared" si="12"/>
        <v>171.5</v>
      </c>
      <c r="I48" s="62">
        <f t="shared" si="12"/>
        <v>185.6</v>
      </c>
      <c r="J48" s="62">
        <f t="shared" si="12"/>
        <v>202.6</v>
      </c>
      <c r="K48" s="62">
        <f t="shared" si="12"/>
        <v>68.5</v>
      </c>
      <c r="L48" s="62">
        <f t="shared" si="12"/>
        <v>120.5</v>
      </c>
      <c r="M48" s="62">
        <f t="shared" si="12"/>
        <v>79.099999999999994</v>
      </c>
      <c r="N48" s="63">
        <f t="shared" si="12"/>
        <v>16.399999999999999</v>
      </c>
      <c r="O48" s="64">
        <f t="shared" si="8"/>
        <v>1284.0999999999999</v>
      </c>
      <c r="P48" s="51">
        <f t="shared" si="9"/>
        <v>107</v>
      </c>
    </row>
    <row r="49" spans="2:16" ht="21.95" customHeight="1">
      <c r="B49" s="61">
        <f t="shared" ref="B49:N49" si="13">B31</f>
        <v>2019</v>
      </c>
      <c r="C49" s="62">
        <f t="shared" si="13"/>
        <v>0</v>
      </c>
      <c r="D49" s="62">
        <f t="shared" si="13"/>
        <v>23.8</v>
      </c>
      <c r="E49" s="62">
        <f t="shared" si="13"/>
        <v>26.8</v>
      </c>
      <c r="F49" s="62">
        <f t="shared" si="13"/>
        <v>47.3</v>
      </c>
      <c r="G49" s="62">
        <f t="shared" si="13"/>
        <v>37.799999999999997</v>
      </c>
      <c r="H49" s="62">
        <f t="shared" si="13"/>
        <v>74</v>
      </c>
      <c r="I49" s="62">
        <f t="shared" si="13"/>
        <v>194.4</v>
      </c>
      <c r="J49" s="62">
        <f t="shared" si="13"/>
        <v>190.5</v>
      </c>
      <c r="K49" s="62">
        <f t="shared" si="13"/>
        <v>139.80000000000001</v>
      </c>
      <c r="L49" s="62">
        <f t="shared" si="13"/>
        <v>55.5</v>
      </c>
      <c r="M49" s="62">
        <f t="shared" si="13"/>
        <v>78.8</v>
      </c>
      <c r="N49" s="63">
        <f t="shared" si="13"/>
        <v>22.6</v>
      </c>
      <c r="O49" s="64">
        <f t="shared" si="8"/>
        <v>891.3</v>
      </c>
      <c r="P49" s="51">
        <f t="shared" si="9"/>
        <v>74.3</v>
      </c>
    </row>
    <row r="50" spans="2:16" ht="21.95" customHeight="1">
      <c r="B50" s="61">
        <f t="shared" ref="B50:N50" si="14">B32</f>
        <v>2020</v>
      </c>
      <c r="C50" s="62">
        <f t="shared" si="14"/>
        <v>60.5</v>
      </c>
      <c r="D50" s="62">
        <f t="shared" si="14"/>
        <v>53.1</v>
      </c>
      <c r="E50" s="62">
        <f t="shared" si="14"/>
        <v>16.3</v>
      </c>
      <c r="F50" s="62">
        <f t="shared" si="14"/>
        <v>16.899999999999999</v>
      </c>
      <c r="G50" s="62">
        <f t="shared" si="14"/>
        <v>112.4</v>
      </c>
      <c r="H50" s="62">
        <f t="shared" si="14"/>
        <v>139.6</v>
      </c>
      <c r="I50" s="62">
        <f t="shared" si="14"/>
        <v>270.39999999999998</v>
      </c>
      <c r="J50" s="62">
        <f t="shared" si="14"/>
        <v>675.7</v>
      </c>
      <c r="K50" s="62">
        <f t="shared" si="14"/>
        <v>181.5</v>
      </c>
      <c r="L50" s="62">
        <f t="shared" si="14"/>
        <v>0</v>
      </c>
      <c r="M50" s="62">
        <f t="shared" si="14"/>
        <v>120.1</v>
      </c>
      <c r="N50" s="63">
        <f t="shared" si="14"/>
        <v>4.5999999999999996</v>
      </c>
      <c r="O50" s="64">
        <f t="shared" si="8"/>
        <v>1651.1</v>
      </c>
      <c r="P50" s="51">
        <f t="shared" si="9"/>
        <v>137.6</v>
      </c>
    </row>
    <row r="51" spans="2:16" ht="21.95" customHeight="1">
      <c r="B51" s="61">
        <f t="shared" ref="B51:N51" si="15">B33</f>
        <v>2021</v>
      </c>
      <c r="C51" s="62">
        <f t="shared" si="15"/>
        <v>18.899999999999999</v>
      </c>
      <c r="D51" s="62">
        <f t="shared" si="15"/>
        <v>7.1</v>
      </c>
      <c r="E51" s="62">
        <f t="shared" si="15"/>
        <v>110.9</v>
      </c>
      <c r="F51" s="62">
        <f t="shared" si="15"/>
        <v>124.1</v>
      </c>
      <c r="G51" s="62">
        <f t="shared" si="15"/>
        <v>183.1</v>
      </c>
      <c r="H51" s="62">
        <f t="shared" si="15"/>
        <v>104.6</v>
      </c>
      <c r="I51" s="62">
        <f t="shared" si="15"/>
        <v>168.3</v>
      </c>
      <c r="J51" s="62">
        <f t="shared" si="15"/>
        <v>211.2</v>
      </c>
      <c r="K51" s="62">
        <f t="shared" si="15"/>
        <v>131</v>
      </c>
      <c r="L51" s="62">
        <f t="shared" si="15"/>
        <v>57</v>
      </c>
      <c r="M51" s="62">
        <f t="shared" si="15"/>
        <v>62.4</v>
      </c>
      <c r="N51" s="63">
        <f t="shared" si="15"/>
        <v>7.9</v>
      </c>
      <c r="O51" s="64">
        <f t="shared" si="8"/>
        <v>1186.5</v>
      </c>
      <c r="P51" s="51">
        <f t="shared" si="9"/>
        <v>98.9</v>
      </c>
    </row>
    <row r="52" spans="2:16" ht="21.95" customHeight="1">
      <c r="B52" s="61">
        <f t="shared" ref="B52:N52" si="16">B34</f>
        <v>2022</v>
      </c>
      <c r="C52" s="62">
        <f t="shared" si="16"/>
        <v>5.5</v>
      </c>
      <c r="D52" s="62">
        <f t="shared" si="16"/>
        <v>4.7</v>
      </c>
      <c r="E52" s="62">
        <f t="shared" si="16"/>
        <v>102.6</v>
      </c>
      <c r="F52" s="62">
        <f t="shared" si="16"/>
        <v>20.399999999999999</v>
      </c>
      <c r="G52" s="62">
        <f t="shared" si="16"/>
        <v>7.5</v>
      </c>
      <c r="H52" s="62">
        <f t="shared" si="16"/>
        <v>393.8</v>
      </c>
      <c r="I52" s="62">
        <f t="shared" si="16"/>
        <v>252.3</v>
      </c>
      <c r="J52" s="62">
        <f t="shared" si="16"/>
        <v>564.79999999999995</v>
      </c>
      <c r="K52" s="62">
        <f t="shared" si="16"/>
        <v>201.5</v>
      </c>
      <c r="L52" s="62">
        <f t="shared" si="16"/>
        <v>124.1</v>
      </c>
      <c r="M52" s="62">
        <f t="shared" si="16"/>
        <v>84.5</v>
      </c>
      <c r="N52" s="63">
        <f t="shared" si="16"/>
        <v>13.6</v>
      </c>
      <c r="O52" s="64">
        <f t="shared" si="8"/>
        <v>1775.3</v>
      </c>
      <c r="P52" s="51">
        <f t="shared" si="9"/>
        <v>147.9</v>
      </c>
    </row>
    <row r="53" spans="2:16" ht="21.95" customHeight="1" thickBot="1">
      <c r="B53" s="65">
        <f t="shared" ref="B53:N53" si="17">B35</f>
        <v>2023</v>
      </c>
      <c r="C53" s="66">
        <f t="shared" si="17"/>
        <v>47.9</v>
      </c>
      <c r="D53" s="66">
        <f t="shared" si="17"/>
        <v>1</v>
      </c>
      <c r="E53" s="66">
        <f t="shared" si="17"/>
        <v>10.5</v>
      </c>
      <c r="F53" s="66">
        <f t="shared" si="17"/>
        <v>96.9</v>
      </c>
      <c r="G53" s="66">
        <f t="shared" si="17"/>
        <v>155.6</v>
      </c>
      <c r="H53" s="66">
        <f t="shared" si="17"/>
        <v>195.6</v>
      </c>
      <c r="I53" s="66">
        <f t="shared" si="17"/>
        <v>459.9</v>
      </c>
      <c r="J53" s="66">
        <f t="shared" si="17"/>
        <v>298.10000000000002</v>
      </c>
      <c r="K53" s="66">
        <f t="shared" si="17"/>
        <v>134.5</v>
      </c>
      <c r="L53" s="66">
        <f t="shared" si="17"/>
        <v>31</v>
      </c>
      <c r="M53" s="66">
        <f t="shared" si="17"/>
        <v>81.900000000000006</v>
      </c>
      <c r="N53" s="67">
        <f t="shared" si="17"/>
        <v>85.9</v>
      </c>
      <c r="O53" s="68">
        <f t="shared" si="8"/>
        <v>1598.8</v>
      </c>
      <c r="P53" s="56">
        <f t="shared" si="9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18">MAX(D44:D53)</f>
        <v>53.1</v>
      </c>
      <c r="E54" s="70">
        <f t="shared" si="18"/>
        <v>110.9</v>
      </c>
      <c r="F54" s="70">
        <f t="shared" si="18"/>
        <v>130.30000000000001</v>
      </c>
      <c r="G54" s="70">
        <f t="shared" si="18"/>
        <v>222</v>
      </c>
      <c r="H54" s="70">
        <f t="shared" si="18"/>
        <v>393.8</v>
      </c>
      <c r="I54" s="70">
        <f t="shared" si="18"/>
        <v>621</v>
      </c>
      <c r="J54" s="70">
        <f t="shared" si="18"/>
        <v>675.7</v>
      </c>
      <c r="K54" s="70">
        <f t="shared" si="18"/>
        <v>201.5</v>
      </c>
      <c r="L54" s="70">
        <f t="shared" si="18"/>
        <v>124.1</v>
      </c>
      <c r="M54" s="70">
        <f t="shared" si="18"/>
        <v>120.1</v>
      </c>
      <c r="N54" s="71">
        <f t="shared" si="18"/>
        <v>85.9</v>
      </c>
      <c r="O54" s="72">
        <f t="shared" si="18"/>
        <v>1775.3</v>
      </c>
      <c r="P54" s="71">
        <f t="shared" si="18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1</v>
      </c>
      <c r="E55" s="74">
        <f t="shared" si="19"/>
        <v>7.2</v>
      </c>
      <c r="F55" s="74">
        <f t="shared" si="19"/>
        <v>16.899999999999999</v>
      </c>
      <c r="G55" s="74">
        <f t="shared" si="19"/>
        <v>7.5</v>
      </c>
      <c r="H55" s="74">
        <f t="shared" si="19"/>
        <v>54.4</v>
      </c>
      <c r="I55" s="74">
        <f t="shared" si="19"/>
        <v>168.3</v>
      </c>
      <c r="J55" s="74">
        <f t="shared" si="19"/>
        <v>67.099999999999994</v>
      </c>
      <c r="K55" s="74">
        <f t="shared" si="19"/>
        <v>26</v>
      </c>
      <c r="L55" s="74">
        <f t="shared" si="19"/>
        <v>0</v>
      </c>
      <c r="M55" s="74">
        <f t="shared" si="19"/>
        <v>16.7</v>
      </c>
      <c r="N55" s="51">
        <f t="shared" si="19"/>
        <v>4.5999999999999996</v>
      </c>
      <c r="O55" s="64">
        <f>MIN(O44:O53)</f>
        <v>792.1</v>
      </c>
      <c r="P55" s="51">
        <f t="shared" si="19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20">ROUND(AVERAGE(D44:D53),1)</f>
        <v>21.7</v>
      </c>
      <c r="E56" s="76">
        <f t="shared" si="20"/>
        <v>38.200000000000003</v>
      </c>
      <c r="F56" s="76">
        <f t="shared" si="20"/>
        <v>68.599999999999994</v>
      </c>
      <c r="G56" s="76">
        <f t="shared" si="20"/>
        <v>98.7</v>
      </c>
      <c r="H56" s="76">
        <f t="shared" si="20"/>
        <v>139.69999999999999</v>
      </c>
      <c r="I56" s="76">
        <f t="shared" si="20"/>
        <v>294.39999999999998</v>
      </c>
      <c r="J56" s="76">
        <f t="shared" si="20"/>
        <v>275.3</v>
      </c>
      <c r="K56" s="76">
        <f t="shared" si="20"/>
        <v>103.9</v>
      </c>
      <c r="L56" s="76">
        <f t="shared" si="20"/>
        <v>62.3</v>
      </c>
      <c r="M56" s="76">
        <f t="shared" si="20"/>
        <v>71</v>
      </c>
      <c r="N56" s="56">
        <f t="shared" si="20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30" r:id="rId4" name="CommandButton4">
          <controlPr defaultSize="0" autoLine="0" r:id="rId5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4" name="CommandButton4"/>
      </mc:Fallback>
    </mc:AlternateContent>
    <mc:AlternateContent xmlns:mc="http://schemas.openxmlformats.org/markup-compatibility/2006">
      <mc:Choice Requires="x14">
        <control shapeId="59415" r:id="rId6" name="CommandButton2">
          <controlPr defaultSize="0" autoLine="0" r:id="rId7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6" name="CommandButton2"/>
      </mc:Fallback>
    </mc:AlternateContent>
    <mc:AlternateContent xmlns:mc="http://schemas.openxmlformats.org/markup-compatibility/2006">
      <mc:Choice Requires="x14">
        <control shapeId="59398" r:id="rId8" name="CommandButton1">
          <controlPr defaultSize="0" autoLine="0" r:id="rId9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8" name="CommandButton1"/>
      </mc:Fallback>
    </mc:AlternateContent>
    <mc:AlternateContent xmlns:mc="http://schemas.openxmlformats.org/markup-compatibility/2006">
      <mc:Choice Requires="x14">
        <control shapeId="59407" r:id="rId10" name="CommandButton3">
          <controlPr defaultSize="0" autoLine="0" r:id="rId11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10" name="CommandButton3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topLeftCell="A8" workbookViewId="0">
      <selection activeCell="M24" sqref="M24:N29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39</v>
      </c>
      <c r="K2" s="1">
        <v>38</v>
      </c>
      <c r="M2" s="1" t="s">
        <v>67</v>
      </c>
      <c r="N2" s="1" t="s">
        <v>178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40</v>
      </c>
      <c r="K3" s="1">
        <v>38</v>
      </c>
      <c r="M3" s="1" t="s">
        <v>252</v>
      </c>
      <c r="N3" s="1" t="s">
        <v>253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23</v>
      </c>
      <c r="E4" s="1">
        <v>22</v>
      </c>
      <c r="G4" s="1" t="s">
        <v>54</v>
      </c>
      <c r="H4" s="1" t="s">
        <v>192</v>
      </c>
      <c r="I4" s="1">
        <v>106</v>
      </c>
      <c r="J4" s="1">
        <v>41</v>
      </c>
      <c r="K4" s="1">
        <v>38</v>
      </c>
      <c r="M4" s="1" t="s">
        <v>68</v>
      </c>
      <c r="N4" s="1" t="s">
        <v>179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24</v>
      </c>
      <c r="E5" s="1">
        <v>22</v>
      </c>
      <c r="G5" s="1" t="s">
        <v>55</v>
      </c>
      <c r="H5" s="1" t="s">
        <v>193</v>
      </c>
      <c r="I5" s="1">
        <v>104</v>
      </c>
      <c r="J5" s="1">
        <v>42</v>
      </c>
      <c r="K5" s="1">
        <v>38</v>
      </c>
      <c r="M5" s="1" t="s">
        <v>69</v>
      </c>
      <c r="N5" s="1" t="s">
        <v>180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25</v>
      </c>
      <c r="E6" s="1">
        <v>22</v>
      </c>
      <c r="G6" s="1" t="s">
        <v>56</v>
      </c>
      <c r="H6" s="1" t="s">
        <v>194</v>
      </c>
      <c r="I6" s="1">
        <v>93</v>
      </c>
      <c r="J6" s="1">
        <v>43</v>
      </c>
      <c r="K6" s="1">
        <v>38</v>
      </c>
      <c r="M6" s="1" t="s">
        <v>70</v>
      </c>
      <c r="N6" s="1" t="s">
        <v>181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33</v>
      </c>
      <c r="E7" s="1">
        <v>32</v>
      </c>
      <c r="G7" s="1" t="s">
        <v>57</v>
      </c>
      <c r="H7" s="1" t="s">
        <v>149</v>
      </c>
      <c r="I7" s="1">
        <v>214</v>
      </c>
      <c r="J7" s="1">
        <v>44</v>
      </c>
      <c r="K7" s="1">
        <v>38</v>
      </c>
      <c r="M7" s="1" t="s">
        <v>71</v>
      </c>
      <c r="N7" s="1" t="s">
        <v>182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34</v>
      </c>
      <c r="E8" s="1">
        <v>32</v>
      </c>
      <c r="G8" s="1" t="s">
        <v>58</v>
      </c>
      <c r="H8" s="1" t="s">
        <v>195</v>
      </c>
      <c r="I8" s="1">
        <v>90</v>
      </c>
      <c r="J8" s="1">
        <v>45</v>
      </c>
      <c r="K8" s="1">
        <v>38</v>
      </c>
      <c r="M8" s="1" t="s">
        <v>72</v>
      </c>
      <c r="N8" s="1" t="s">
        <v>183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210</v>
      </c>
      <c r="C9" s="1">
        <v>202</v>
      </c>
      <c r="D9" s="1">
        <v>35</v>
      </c>
      <c r="E9" s="1">
        <v>32</v>
      </c>
      <c r="G9" s="1" t="s">
        <v>59</v>
      </c>
      <c r="H9" s="1" t="s">
        <v>196</v>
      </c>
      <c r="I9" s="1">
        <v>121</v>
      </c>
      <c r="J9" s="1">
        <v>46</v>
      </c>
      <c r="K9" s="1">
        <v>38</v>
      </c>
      <c r="M9" s="1" t="s">
        <v>73</v>
      </c>
      <c r="N9" s="1" t="s">
        <v>184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211</v>
      </c>
      <c r="C10" s="1">
        <v>203</v>
      </c>
      <c r="D10" s="1">
        <v>36</v>
      </c>
      <c r="E10" s="1">
        <v>32</v>
      </c>
      <c r="G10" s="1" t="s">
        <v>60</v>
      </c>
      <c r="H10" s="1" t="s">
        <v>197</v>
      </c>
      <c r="I10" s="1">
        <v>114</v>
      </c>
      <c r="J10" s="1">
        <v>47</v>
      </c>
      <c r="K10" s="1">
        <v>38</v>
      </c>
      <c r="M10" s="1" t="s">
        <v>74</v>
      </c>
      <c r="N10" s="1" t="s">
        <v>251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212</v>
      </c>
      <c r="C11" s="1">
        <v>99</v>
      </c>
      <c r="D11" s="1">
        <v>37</v>
      </c>
      <c r="E11" s="1">
        <v>32</v>
      </c>
      <c r="G11" s="1" t="s">
        <v>61</v>
      </c>
      <c r="H11" s="1" t="s">
        <v>198</v>
      </c>
      <c r="I11" s="1">
        <v>211</v>
      </c>
      <c r="J11" s="1">
        <v>48</v>
      </c>
      <c r="K11" s="1">
        <v>38</v>
      </c>
      <c r="M11" s="1" t="s">
        <v>75</v>
      </c>
      <c r="N11" s="1" t="s">
        <v>185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199</v>
      </c>
      <c r="I12" s="1">
        <v>217</v>
      </c>
      <c r="J12" s="1">
        <v>49</v>
      </c>
      <c r="K12" s="1">
        <v>38</v>
      </c>
      <c r="M12" s="1" t="s">
        <v>76</v>
      </c>
      <c r="N12" s="1" t="s">
        <v>186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200</v>
      </c>
      <c r="I13" s="1">
        <v>95</v>
      </c>
      <c r="J13" s="1">
        <v>50</v>
      </c>
      <c r="K13" s="1">
        <v>38</v>
      </c>
      <c r="M13" s="1" t="s">
        <v>77</v>
      </c>
      <c r="N13" s="1" t="s">
        <v>187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201</v>
      </c>
      <c r="I14" s="1">
        <v>101</v>
      </c>
      <c r="J14" s="1">
        <v>51</v>
      </c>
      <c r="K14" s="1">
        <v>38</v>
      </c>
      <c r="M14" s="1" t="s">
        <v>78</v>
      </c>
      <c r="N14" s="1" t="s">
        <v>188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202</v>
      </c>
      <c r="I15" s="1">
        <v>216</v>
      </c>
      <c r="J15" s="1">
        <v>52</v>
      </c>
      <c r="K15" s="1">
        <v>38</v>
      </c>
      <c r="M15" s="1" t="s">
        <v>79</v>
      </c>
      <c r="N15" s="1" t="s">
        <v>189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203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20</v>
      </c>
      <c r="K23" s="1">
        <v>19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69</v>
      </c>
      <c r="E24" s="1">
        <v>68</v>
      </c>
      <c r="G24" s="1" t="s">
        <v>108</v>
      </c>
      <c r="H24" s="1" t="s">
        <v>214</v>
      </c>
      <c r="I24" s="1">
        <v>176</v>
      </c>
      <c r="J24" s="1">
        <v>21</v>
      </c>
      <c r="K24" s="1">
        <v>19</v>
      </c>
      <c r="M24" s="1" t="s">
        <v>139</v>
      </c>
      <c r="N24" s="1" t="s">
        <v>245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175</v>
      </c>
      <c r="C25" s="1">
        <v>251</v>
      </c>
      <c r="D25" s="1">
        <v>70</v>
      </c>
      <c r="E25" s="1">
        <v>68</v>
      </c>
      <c r="G25" s="1" t="s">
        <v>109</v>
      </c>
      <c r="H25" s="1" t="s">
        <v>215</v>
      </c>
      <c r="I25" s="1">
        <v>152</v>
      </c>
      <c r="J25" s="1">
        <v>31</v>
      </c>
      <c r="K25" s="1">
        <v>30</v>
      </c>
      <c r="M25" s="1" t="s">
        <v>140</v>
      </c>
      <c r="N25" s="1" t="s">
        <v>246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174</v>
      </c>
      <c r="C26" s="1">
        <v>140</v>
      </c>
      <c r="D26" s="1">
        <v>71</v>
      </c>
      <c r="E26" s="1">
        <v>68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173</v>
      </c>
      <c r="C27" s="1">
        <v>247</v>
      </c>
      <c r="D27" s="1">
        <v>72</v>
      </c>
      <c r="E27" s="1">
        <v>68</v>
      </c>
      <c r="G27" s="1" t="s">
        <v>111</v>
      </c>
      <c r="H27" s="1" t="s">
        <v>217</v>
      </c>
      <c r="I27" s="1">
        <v>283</v>
      </c>
      <c r="J27" s="1">
        <v>97</v>
      </c>
      <c r="K27" s="1">
        <v>96</v>
      </c>
      <c r="M27" s="1" t="s">
        <v>141</v>
      </c>
      <c r="N27" s="1" t="s">
        <v>248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172</v>
      </c>
      <c r="C28" s="1">
        <v>243</v>
      </c>
      <c r="D28" s="1">
        <v>73</v>
      </c>
      <c r="E28" s="1">
        <v>68</v>
      </c>
      <c r="G28" s="1" t="s">
        <v>112</v>
      </c>
      <c r="H28" s="1" t="s">
        <v>218</v>
      </c>
      <c r="I28" s="1">
        <v>279</v>
      </c>
      <c r="J28" s="1">
        <v>98</v>
      </c>
      <c r="K28" s="1">
        <v>96</v>
      </c>
      <c r="M28" s="1" t="s">
        <v>142</v>
      </c>
      <c r="N28" s="1" t="s">
        <v>249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171</v>
      </c>
      <c r="C29" s="1">
        <v>254</v>
      </c>
      <c r="D29" s="1">
        <v>74</v>
      </c>
      <c r="E29" s="1">
        <v>68</v>
      </c>
      <c r="G29" s="1" t="s">
        <v>113</v>
      </c>
      <c r="H29" s="1" t="s">
        <v>219</v>
      </c>
      <c r="I29" s="1">
        <v>273</v>
      </c>
      <c r="J29" s="1">
        <v>99</v>
      </c>
      <c r="K29" s="1">
        <v>96</v>
      </c>
      <c r="M29" s="1" t="s">
        <v>143</v>
      </c>
      <c r="N29" s="1" t="s">
        <v>250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170</v>
      </c>
      <c r="C30" s="1">
        <v>244</v>
      </c>
      <c r="D30" s="1">
        <v>75</v>
      </c>
      <c r="E30" s="1">
        <v>68</v>
      </c>
      <c r="G30" s="1" t="s">
        <v>114</v>
      </c>
      <c r="H30" s="1" t="s">
        <v>220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169</v>
      </c>
      <c r="C31" s="1">
        <v>248</v>
      </c>
      <c r="D31" s="1">
        <v>76</v>
      </c>
      <c r="E31" s="1">
        <v>68</v>
      </c>
      <c r="G31" s="1" t="s">
        <v>115</v>
      </c>
      <c r="H31" s="1" t="s">
        <v>221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168</v>
      </c>
      <c r="C32" s="1">
        <v>146</v>
      </c>
      <c r="D32" s="1">
        <v>77</v>
      </c>
      <c r="E32" s="1">
        <v>68</v>
      </c>
      <c r="G32" s="1" t="s">
        <v>116</v>
      </c>
      <c r="H32" s="1" t="s">
        <v>222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151</v>
      </c>
      <c r="C33" s="1">
        <v>245</v>
      </c>
      <c r="D33" s="1">
        <v>78</v>
      </c>
      <c r="E33" s="1">
        <v>68</v>
      </c>
      <c r="G33" s="1" t="s">
        <v>117</v>
      </c>
      <c r="H33" s="1" t="s">
        <v>223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152</v>
      </c>
      <c r="C34" s="1">
        <v>259</v>
      </c>
      <c r="D34" s="1">
        <v>80</v>
      </c>
      <c r="E34" s="1">
        <v>79</v>
      </c>
      <c r="G34" s="1" t="s">
        <v>118</v>
      </c>
      <c r="H34" s="1" t="s">
        <v>225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153</v>
      </c>
      <c r="C35" s="1">
        <v>262</v>
      </c>
      <c r="D35" s="1">
        <v>81</v>
      </c>
      <c r="E35" s="1">
        <v>79</v>
      </c>
      <c r="G35" s="1" t="s">
        <v>119</v>
      </c>
      <c r="H35" s="1" t="s">
        <v>224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154</v>
      </c>
      <c r="C36" s="1">
        <v>266</v>
      </c>
      <c r="D36" s="1">
        <v>82</v>
      </c>
      <c r="E36" s="1">
        <v>79</v>
      </c>
      <c r="G36" s="1" t="s">
        <v>120</v>
      </c>
      <c r="H36" s="1" t="s">
        <v>226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165</v>
      </c>
      <c r="C37" s="1">
        <v>165</v>
      </c>
      <c r="D37" s="1">
        <v>83</v>
      </c>
      <c r="E37" s="1">
        <v>79</v>
      </c>
      <c r="G37" s="1" t="s">
        <v>121</v>
      </c>
      <c r="H37" s="1" t="s">
        <v>227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166</v>
      </c>
      <c r="C38" s="1">
        <v>164</v>
      </c>
      <c r="D38" s="1">
        <v>84</v>
      </c>
      <c r="E38" s="1">
        <v>79</v>
      </c>
      <c r="G38" s="1" t="s">
        <v>122</v>
      </c>
      <c r="H38" s="1" t="s">
        <v>228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167</v>
      </c>
      <c r="C39" s="1">
        <v>258</v>
      </c>
      <c r="D39" s="1">
        <v>85</v>
      </c>
      <c r="E39" s="1">
        <v>79</v>
      </c>
      <c r="G39" s="1" t="s">
        <v>123</v>
      </c>
      <c r="H39" s="1" t="s">
        <v>229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155</v>
      </c>
      <c r="C40" s="1">
        <v>174</v>
      </c>
      <c r="D40" s="1">
        <v>86</v>
      </c>
      <c r="E40" s="1">
        <v>79</v>
      </c>
      <c r="G40" s="1" t="s">
        <v>124</v>
      </c>
      <c r="H40" s="1" t="s">
        <v>230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156</v>
      </c>
      <c r="C41" s="1">
        <v>168</v>
      </c>
      <c r="D41" s="1">
        <v>87</v>
      </c>
      <c r="E41" s="1">
        <v>79</v>
      </c>
      <c r="G41" s="1" t="s">
        <v>125</v>
      </c>
      <c r="H41" s="1" t="s">
        <v>231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157</v>
      </c>
      <c r="C42" s="1">
        <v>252</v>
      </c>
      <c r="D42" s="1">
        <v>88</v>
      </c>
      <c r="E42" s="1">
        <v>79</v>
      </c>
      <c r="G42" s="1" t="s">
        <v>126</v>
      </c>
      <c r="H42" s="1" t="s">
        <v>232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158</v>
      </c>
      <c r="C43" s="1">
        <v>170</v>
      </c>
      <c r="D43" s="1">
        <v>89</v>
      </c>
      <c r="E43" s="1">
        <v>79</v>
      </c>
      <c r="G43" s="1" t="s">
        <v>127</v>
      </c>
      <c r="H43" s="1" t="s">
        <v>233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159</v>
      </c>
      <c r="C44" s="1">
        <v>260</v>
      </c>
      <c r="D44" s="1">
        <v>90</v>
      </c>
      <c r="E44" s="1">
        <v>79</v>
      </c>
      <c r="G44" s="1" t="s">
        <v>128</v>
      </c>
      <c r="H44" s="1" t="s">
        <v>234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160</v>
      </c>
      <c r="C45" s="1">
        <v>256</v>
      </c>
      <c r="D45" s="1">
        <v>91</v>
      </c>
      <c r="E45" s="1">
        <v>79</v>
      </c>
      <c r="G45" s="1" t="s">
        <v>129</v>
      </c>
      <c r="H45" s="1" t="s">
        <v>235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161</v>
      </c>
      <c r="C46" s="1">
        <v>175</v>
      </c>
      <c r="D46" s="1">
        <v>92</v>
      </c>
      <c r="E46" s="1">
        <v>79</v>
      </c>
      <c r="G46" s="1" t="s">
        <v>130</v>
      </c>
      <c r="H46" s="1" t="s">
        <v>236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162</v>
      </c>
      <c r="C47" s="1">
        <v>268</v>
      </c>
      <c r="D47" s="1">
        <v>93</v>
      </c>
      <c r="E47" s="1">
        <v>79</v>
      </c>
      <c r="G47" s="1" t="s">
        <v>131</v>
      </c>
      <c r="H47" s="1" t="s">
        <v>237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163</v>
      </c>
      <c r="C48" s="1">
        <v>261</v>
      </c>
      <c r="D48" s="1">
        <v>94</v>
      </c>
      <c r="E48" s="1">
        <v>79</v>
      </c>
      <c r="G48" s="1" t="s">
        <v>132</v>
      </c>
      <c r="H48" s="1" t="s">
        <v>238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164</v>
      </c>
      <c r="C49" s="1">
        <v>169</v>
      </c>
      <c r="D49" s="1">
        <v>95</v>
      </c>
      <c r="E49" s="1">
        <v>79</v>
      </c>
      <c r="G49" s="1" t="s">
        <v>133</v>
      </c>
      <c r="H49" s="1" t="s">
        <v>239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240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241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242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243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244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AA06-4430-4CCD-A38C-56F4F308D72F}">
  <sheetPr codeName="Sheet1"/>
  <dimension ref="B1:C105"/>
  <sheetViews>
    <sheetView workbookViewId="0">
      <selection activeCell="H18" sqref="H18"/>
    </sheetView>
  </sheetViews>
  <sheetFormatPr defaultRowHeight="13.5"/>
  <cols>
    <col min="2" max="2" width="9.44140625" customWidth="1"/>
    <col min="3" max="3" width="17.5546875" customWidth="1"/>
  </cols>
  <sheetData>
    <row r="1" spans="2:3" ht="17.25" thickBot="1">
      <c r="B1" s="80" t="s">
        <v>30</v>
      </c>
      <c r="C1" s="85" t="s">
        <v>148</v>
      </c>
    </row>
    <row r="2" spans="2:3" ht="17.25" thickTop="1">
      <c r="B2" s="81" t="s">
        <v>42</v>
      </c>
      <c r="C2" s="86" t="s">
        <v>204</v>
      </c>
    </row>
    <row r="3" spans="2:3" ht="16.5">
      <c r="B3" s="82" t="s">
        <v>43</v>
      </c>
      <c r="C3" s="87" t="s">
        <v>150</v>
      </c>
    </row>
    <row r="4" spans="2:3" ht="16.5">
      <c r="B4" s="81" t="s">
        <v>44</v>
      </c>
      <c r="C4" s="86" t="s">
        <v>205</v>
      </c>
    </row>
    <row r="5" spans="2:3" ht="16.5">
      <c r="B5" s="82" t="s">
        <v>45</v>
      </c>
      <c r="C5" s="87" t="s">
        <v>206</v>
      </c>
    </row>
    <row r="6" spans="2:3" ht="16.5">
      <c r="B6" s="81" t="s">
        <v>46</v>
      </c>
      <c r="C6" s="86" t="s">
        <v>207</v>
      </c>
    </row>
    <row r="7" spans="2:3" ht="16.5">
      <c r="B7" s="82" t="s">
        <v>47</v>
      </c>
      <c r="C7" s="87" t="s">
        <v>208</v>
      </c>
    </row>
    <row r="8" spans="2:3" ht="16.5">
      <c r="B8" s="81" t="s">
        <v>48</v>
      </c>
      <c r="C8" s="86" t="s">
        <v>209</v>
      </c>
    </row>
    <row r="9" spans="2:3" ht="16.5">
      <c r="B9" s="82" t="s">
        <v>49</v>
      </c>
      <c r="C9" s="87" t="s">
        <v>210</v>
      </c>
    </row>
    <row r="10" spans="2:3" ht="16.5">
      <c r="B10" s="81" t="s">
        <v>50</v>
      </c>
      <c r="C10" s="86" t="s">
        <v>211</v>
      </c>
    </row>
    <row r="11" spans="2:3" ht="16.5">
      <c r="B11" s="83" t="s">
        <v>51</v>
      </c>
      <c r="C11" s="88" t="s">
        <v>212</v>
      </c>
    </row>
    <row r="12" spans="2:3" ht="16.5">
      <c r="B12" s="81" t="s">
        <v>52</v>
      </c>
      <c r="C12" s="86" t="s">
        <v>190</v>
      </c>
    </row>
    <row r="13" spans="2:3" ht="16.5">
      <c r="B13" s="82" t="s">
        <v>53</v>
      </c>
      <c r="C13" s="87" t="s">
        <v>191</v>
      </c>
    </row>
    <row r="14" spans="2:3" ht="16.5">
      <c r="B14" s="81" t="s">
        <v>54</v>
      </c>
      <c r="C14" s="86" t="s">
        <v>192</v>
      </c>
    </row>
    <row r="15" spans="2:3" ht="16.5">
      <c r="B15" s="82" t="s">
        <v>55</v>
      </c>
      <c r="C15" s="87" t="s">
        <v>193</v>
      </c>
    </row>
    <row r="16" spans="2:3" ht="16.5">
      <c r="B16" s="81" t="s">
        <v>56</v>
      </c>
      <c r="C16" s="86" t="s">
        <v>194</v>
      </c>
    </row>
    <row r="17" spans="2:3" ht="16.5">
      <c r="B17" s="82" t="s">
        <v>57</v>
      </c>
      <c r="C17" s="87" t="s">
        <v>149</v>
      </c>
    </row>
    <row r="18" spans="2:3" ht="16.5">
      <c r="B18" s="81" t="s">
        <v>58</v>
      </c>
      <c r="C18" s="86" t="s">
        <v>195</v>
      </c>
    </row>
    <row r="19" spans="2:3" ht="16.5">
      <c r="B19" s="82" t="s">
        <v>59</v>
      </c>
      <c r="C19" s="87" t="s">
        <v>196</v>
      </c>
    </row>
    <row r="20" spans="2:3" ht="16.5">
      <c r="B20" s="81" t="s">
        <v>60</v>
      </c>
      <c r="C20" s="86" t="s">
        <v>197</v>
      </c>
    </row>
    <row r="21" spans="2:3" ht="16.5">
      <c r="B21" s="82" t="s">
        <v>61</v>
      </c>
      <c r="C21" s="87" t="s">
        <v>198</v>
      </c>
    </row>
    <row r="22" spans="2:3" ht="16.5">
      <c r="B22" s="81" t="s">
        <v>62</v>
      </c>
      <c r="C22" s="86" t="s">
        <v>199</v>
      </c>
    </row>
    <row r="23" spans="2:3" ht="16.5">
      <c r="B23" s="82" t="s">
        <v>63</v>
      </c>
      <c r="C23" s="87" t="s">
        <v>200</v>
      </c>
    </row>
    <row r="24" spans="2:3" ht="16.5">
      <c r="B24" s="81" t="s">
        <v>64</v>
      </c>
      <c r="C24" s="86" t="s">
        <v>201</v>
      </c>
    </row>
    <row r="25" spans="2:3" ht="16.5">
      <c r="B25" s="82" t="s">
        <v>65</v>
      </c>
      <c r="C25" s="87" t="s">
        <v>202</v>
      </c>
    </row>
    <row r="26" spans="2:3" ht="16.5">
      <c r="B26" s="84" t="s">
        <v>66</v>
      </c>
      <c r="C26" s="89" t="s">
        <v>203</v>
      </c>
    </row>
    <row r="27" spans="2:3" ht="16.5">
      <c r="B27" s="81" t="s">
        <v>67</v>
      </c>
      <c r="C27" s="86" t="s">
        <v>178</v>
      </c>
    </row>
    <row r="28" spans="2:3" ht="16.5">
      <c r="B28" s="82" t="s">
        <v>252</v>
      </c>
      <c r="C28" s="87" t="s">
        <v>253</v>
      </c>
    </row>
    <row r="29" spans="2:3" ht="16.5">
      <c r="B29" s="81" t="s">
        <v>68</v>
      </c>
      <c r="C29" s="86" t="s">
        <v>179</v>
      </c>
    </row>
    <row r="30" spans="2:3" ht="16.5">
      <c r="B30" s="82" t="s">
        <v>69</v>
      </c>
      <c r="C30" s="87" t="s">
        <v>180</v>
      </c>
    </row>
    <row r="31" spans="2:3" ht="16.5">
      <c r="B31" s="81" t="s">
        <v>70</v>
      </c>
      <c r="C31" s="86" t="s">
        <v>181</v>
      </c>
    </row>
    <row r="32" spans="2:3" ht="16.5">
      <c r="B32" s="82" t="s">
        <v>71</v>
      </c>
      <c r="C32" s="87" t="s">
        <v>182</v>
      </c>
    </row>
    <row r="33" spans="2:3" ht="16.5">
      <c r="B33" s="81" t="s">
        <v>72</v>
      </c>
      <c r="C33" s="86" t="s">
        <v>183</v>
      </c>
    </row>
    <row r="34" spans="2:3" ht="16.5">
      <c r="B34" s="82" t="s">
        <v>73</v>
      </c>
      <c r="C34" s="87" t="s">
        <v>184</v>
      </c>
    </row>
    <row r="35" spans="2:3" ht="16.5">
      <c r="B35" s="81" t="s">
        <v>74</v>
      </c>
      <c r="C35" s="86" t="s">
        <v>251</v>
      </c>
    </row>
    <row r="36" spans="2:3" ht="16.5">
      <c r="B36" s="82" t="s">
        <v>75</v>
      </c>
      <c r="C36" s="87" t="s">
        <v>185</v>
      </c>
    </row>
    <row r="37" spans="2:3" ht="16.5">
      <c r="B37" s="81" t="s">
        <v>76</v>
      </c>
      <c r="C37" s="86" t="s">
        <v>186</v>
      </c>
    </row>
    <row r="38" spans="2:3" ht="16.5">
      <c r="B38" s="82" t="s">
        <v>77</v>
      </c>
      <c r="C38" s="87" t="s">
        <v>187</v>
      </c>
    </row>
    <row r="39" spans="2:3" ht="16.5">
      <c r="B39" s="81" t="s">
        <v>78</v>
      </c>
      <c r="C39" s="86" t="s">
        <v>188</v>
      </c>
    </row>
    <row r="40" spans="2:3" ht="16.5">
      <c r="B40" s="83" t="s">
        <v>79</v>
      </c>
      <c r="C40" s="88" t="s">
        <v>189</v>
      </c>
    </row>
    <row r="41" spans="2:3" ht="16.5">
      <c r="B41" s="81" t="s">
        <v>80</v>
      </c>
      <c r="C41" s="86" t="s">
        <v>177</v>
      </c>
    </row>
    <row r="42" spans="2:3" ht="16.5">
      <c r="B42" s="82" t="s">
        <v>81</v>
      </c>
      <c r="C42" s="87" t="s">
        <v>176</v>
      </c>
    </row>
    <row r="43" spans="2:3" ht="16.5">
      <c r="B43" s="81" t="s">
        <v>82</v>
      </c>
      <c r="C43" s="86" t="s">
        <v>175</v>
      </c>
    </row>
    <row r="44" spans="2:3" ht="16.5">
      <c r="B44" s="82" t="s">
        <v>83</v>
      </c>
      <c r="C44" s="87" t="s">
        <v>174</v>
      </c>
    </row>
    <row r="45" spans="2:3" ht="16.5">
      <c r="B45" s="81" t="s">
        <v>84</v>
      </c>
      <c r="C45" s="86" t="s">
        <v>173</v>
      </c>
    </row>
    <row r="46" spans="2:3" ht="16.5">
      <c r="B46" s="82" t="s">
        <v>85</v>
      </c>
      <c r="C46" s="87" t="s">
        <v>172</v>
      </c>
    </row>
    <row r="47" spans="2:3" ht="16.5">
      <c r="B47" s="81" t="s">
        <v>86</v>
      </c>
      <c r="C47" s="86" t="s">
        <v>171</v>
      </c>
    </row>
    <row r="48" spans="2:3" ht="16.5">
      <c r="B48" s="82" t="s">
        <v>87</v>
      </c>
      <c r="C48" s="87" t="s">
        <v>170</v>
      </c>
    </row>
    <row r="49" spans="2:3" ht="16.5">
      <c r="B49" s="81" t="s">
        <v>88</v>
      </c>
      <c r="C49" s="86" t="s">
        <v>169</v>
      </c>
    </row>
    <row r="50" spans="2:3" ht="16.5">
      <c r="B50" s="82" t="s">
        <v>89</v>
      </c>
      <c r="C50" s="87" t="s">
        <v>168</v>
      </c>
    </row>
    <row r="51" spans="2:3" ht="16.5">
      <c r="B51" s="81" t="s">
        <v>90</v>
      </c>
      <c r="C51" s="86" t="s">
        <v>151</v>
      </c>
    </row>
    <row r="52" spans="2:3" ht="16.5">
      <c r="B52" s="82" t="s">
        <v>91</v>
      </c>
      <c r="C52" s="87" t="s">
        <v>152</v>
      </c>
    </row>
    <row r="53" spans="2:3" ht="16.5">
      <c r="B53" s="81" t="s">
        <v>92</v>
      </c>
      <c r="C53" s="86" t="s">
        <v>153</v>
      </c>
    </row>
    <row r="54" spans="2:3" ht="16.5">
      <c r="B54" s="82" t="s">
        <v>93</v>
      </c>
      <c r="C54" s="87" t="s">
        <v>154</v>
      </c>
    </row>
    <row r="55" spans="2:3" ht="16.5">
      <c r="B55" s="81" t="s">
        <v>94</v>
      </c>
      <c r="C55" s="86" t="s">
        <v>165</v>
      </c>
    </row>
    <row r="56" spans="2:3" ht="16.5">
      <c r="B56" s="82" t="s">
        <v>95</v>
      </c>
      <c r="C56" s="87" t="s">
        <v>166</v>
      </c>
    </row>
    <row r="57" spans="2:3" ht="16.5">
      <c r="B57" s="81" t="s">
        <v>96</v>
      </c>
      <c r="C57" s="86" t="s">
        <v>167</v>
      </c>
    </row>
    <row r="58" spans="2:3" ht="16.5">
      <c r="B58" s="82" t="s">
        <v>97</v>
      </c>
      <c r="C58" s="87" t="s">
        <v>155</v>
      </c>
    </row>
    <row r="59" spans="2:3" ht="16.5">
      <c r="B59" s="81" t="s">
        <v>98</v>
      </c>
      <c r="C59" s="86" t="s">
        <v>156</v>
      </c>
    </row>
    <row r="60" spans="2:3" ht="16.5">
      <c r="B60" s="82" t="s">
        <v>99</v>
      </c>
      <c r="C60" s="87" t="s">
        <v>157</v>
      </c>
    </row>
    <row r="61" spans="2:3" ht="16.5">
      <c r="B61" s="81" t="s">
        <v>100</v>
      </c>
      <c r="C61" s="86" t="s">
        <v>158</v>
      </c>
    </row>
    <row r="62" spans="2:3" ht="16.5">
      <c r="B62" s="82" t="s">
        <v>101</v>
      </c>
      <c r="C62" s="87" t="s">
        <v>159</v>
      </c>
    </row>
    <row r="63" spans="2:3" ht="16.5">
      <c r="B63" s="81" t="s">
        <v>102</v>
      </c>
      <c r="C63" s="86" t="s">
        <v>160</v>
      </c>
    </row>
    <row r="64" spans="2:3" ht="16.5">
      <c r="B64" s="82" t="s">
        <v>103</v>
      </c>
      <c r="C64" s="87" t="s">
        <v>161</v>
      </c>
    </row>
    <row r="65" spans="2:3" ht="16.5">
      <c r="B65" s="81" t="s">
        <v>104</v>
      </c>
      <c r="C65" s="86" t="s">
        <v>162</v>
      </c>
    </row>
    <row r="66" spans="2:3" ht="16.5">
      <c r="B66" s="82" t="s">
        <v>105</v>
      </c>
      <c r="C66" s="87" t="s">
        <v>163</v>
      </c>
    </row>
    <row r="67" spans="2:3" ht="16.5">
      <c r="B67" s="84" t="s">
        <v>106</v>
      </c>
      <c r="C67" s="89" t="s">
        <v>164</v>
      </c>
    </row>
    <row r="68" spans="2:3" ht="16.5">
      <c r="B68" s="81" t="s">
        <v>107</v>
      </c>
      <c r="C68" s="86" t="s">
        <v>213</v>
      </c>
    </row>
    <row r="69" spans="2:3" ht="16.5">
      <c r="B69" s="82" t="s">
        <v>108</v>
      </c>
      <c r="C69" s="87" t="s">
        <v>214</v>
      </c>
    </row>
    <row r="70" spans="2:3" ht="16.5">
      <c r="B70" s="81" t="s">
        <v>109</v>
      </c>
      <c r="C70" s="86" t="s">
        <v>215</v>
      </c>
    </row>
    <row r="71" spans="2:3" ht="16.5">
      <c r="B71" s="82" t="s">
        <v>110</v>
      </c>
      <c r="C71" s="87" t="s">
        <v>216</v>
      </c>
    </row>
    <row r="72" spans="2:3" ht="16.5">
      <c r="B72" s="81" t="s">
        <v>111</v>
      </c>
      <c r="C72" s="86" t="s">
        <v>217</v>
      </c>
    </row>
    <row r="73" spans="2:3" ht="16.5">
      <c r="B73" s="82" t="s">
        <v>112</v>
      </c>
      <c r="C73" s="87" t="s">
        <v>218</v>
      </c>
    </row>
    <row r="74" spans="2:3" ht="16.5">
      <c r="B74" s="81" t="s">
        <v>113</v>
      </c>
      <c r="C74" s="86" t="s">
        <v>219</v>
      </c>
    </row>
    <row r="75" spans="2:3" ht="16.5">
      <c r="B75" s="82" t="s">
        <v>114</v>
      </c>
      <c r="C75" s="87" t="s">
        <v>220</v>
      </c>
    </row>
    <row r="76" spans="2:3" ht="16.5">
      <c r="B76" s="81" t="s">
        <v>115</v>
      </c>
      <c r="C76" s="86" t="s">
        <v>221</v>
      </c>
    </row>
    <row r="77" spans="2:3" ht="16.5">
      <c r="B77" s="82" t="s">
        <v>116</v>
      </c>
      <c r="C77" s="87" t="s">
        <v>222</v>
      </c>
    </row>
    <row r="78" spans="2:3" ht="16.5">
      <c r="B78" s="81" t="s">
        <v>117</v>
      </c>
      <c r="C78" s="86" t="s">
        <v>223</v>
      </c>
    </row>
    <row r="79" spans="2:3" ht="16.5">
      <c r="B79" s="82" t="s">
        <v>118</v>
      </c>
      <c r="C79" s="87" t="s">
        <v>225</v>
      </c>
    </row>
    <row r="80" spans="2:3" ht="16.5">
      <c r="B80" s="81" t="s">
        <v>119</v>
      </c>
      <c r="C80" s="86" t="s">
        <v>224</v>
      </c>
    </row>
    <row r="81" spans="2:3" ht="16.5">
      <c r="B81" s="82" t="s">
        <v>120</v>
      </c>
      <c r="C81" s="87" t="s">
        <v>226</v>
      </c>
    </row>
    <row r="82" spans="2:3" ht="16.5">
      <c r="B82" s="81" t="s">
        <v>121</v>
      </c>
      <c r="C82" s="86" t="s">
        <v>227</v>
      </c>
    </row>
    <row r="83" spans="2:3" ht="16.5">
      <c r="B83" s="82" t="s">
        <v>122</v>
      </c>
      <c r="C83" s="87" t="s">
        <v>228</v>
      </c>
    </row>
    <row r="84" spans="2:3" ht="16.5">
      <c r="B84" s="81" t="s">
        <v>123</v>
      </c>
      <c r="C84" s="86" t="s">
        <v>229</v>
      </c>
    </row>
    <row r="85" spans="2:3" ht="16.5">
      <c r="B85" s="82" t="s">
        <v>124</v>
      </c>
      <c r="C85" s="87" t="s">
        <v>230</v>
      </c>
    </row>
    <row r="86" spans="2:3" ht="16.5">
      <c r="B86" s="81" t="s">
        <v>125</v>
      </c>
      <c r="C86" s="86" t="s">
        <v>231</v>
      </c>
    </row>
    <row r="87" spans="2:3" ht="16.5">
      <c r="B87" s="82" t="s">
        <v>126</v>
      </c>
      <c r="C87" s="87" t="s">
        <v>232</v>
      </c>
    </row>
    <row r="88" spans="2:3" ht="16.5">
      <c r="B88" s="81" t="s">
        <v>127</v>
      </c>
      <c r="C88" s="86" t="s">
        <v>233</v>
      </c>
    </row>
    <row r="89" spans="2:3" ht="16.5">
      <c r="B89" s="82" t="s">
        <v>128</v>
      </c>
      <c r="C89" s="87" t="s">
        <v>234</v>
      </c>
    </row>
    <row r="90" spans="2:3" ht="16.5">
      <c r="B90" s="81" t="s">
        <v>129</v>
      </c>
      <c r="C90" s="86" t="s">
        <v>235</v>
      </c>
    </row>
    <row r="91" spans="2:3" ht="16.5">
      <c r="B91" s="82" t="s">
        <v>130</v>
      </c>
      <c r="C91" s="87" t="s">
        <v>236</v>
      </c>
    </row>
    <row r="92" spans="2:3" ht="16.5">
      <c r="B92" s="81" t="s">
        <v>131</v>
      </c>
      <c r="C92" s="86" t="s">
        <v>237</v>
      </c>
    </row>
    <row r="93" spans="2:3" ht="16.5">
      <c r="B93" s="82" t="s">
        <v>132</v>
      </c>
      <c r="C93" s="87" t="s">
        <v>238</v>
      </c>
    </row>
    <row r="94" spans="2:3" ht="16.5">
      <c r="B94" s="81" t="s">
        <v>133</v>
      </c>
      <c r="C94" s="86" t="s">
        <v>239</v>
      </c>
    </row>
    <row r="95" spans="2:3" ht="16.5">
      <c r="B95" s="82" t="s">
        <v>134</v>
      </c>
      <c r="C95" s="87" t="s">
        <v>240</v>
      </c>
    </row>
    <row r="96" spans="2:3" ht="16.5">
      <c r="B96" s="81" t="s">
        <v>135</v>
      </c>
      <c r="C96" s="86" t="s">
        <v>241</v>
      </c>
    </row>
    <row r="97" spans="2:3" ht="16.5">
      <c r="B97" s="82" t="s">
        <v>136</v>
      </c>
      <c r="C97" s="87" t="s">
        <v>242</v>
      </c>
    </row>
    <row r="98" spans="2:3" ht="16.5">
      <c r="B98" s="81" t="s">
        <v>137</v>
      </c>
      <c r="C98" s="86" t="s">
        <v>243</v>
      </c>
    </row>
    <row r="99" spans="2:3" ht="16.5">
      <c r="B99" s="83" t="s">
        <v>138</v>
      </c>
      <c r="C99" s="88" t="s">
        <v>244</v>
      </c>
    </row>
    <row r="100" spans="2:3" ht="16.5">
      <c r="B100" s="81" t="s">
        <v>139</v>
      </c>
      <c r="C100" s="86" t="s">
        <v>245</v>
      </c>
    </row>
    <row r="101" spans="2:3" ht="16.5">
      <c r="B101" s="82" t="s">
        <v>140</v>
      </c>
      <c r="C101" s="87" t="s">
        <v>246</v>
      </c>
    </row>
    <row r="102" spans="2:3" ht="16.5">
      <c r="B102" s="81" t="s">
        <v>141</v>
      </c>
      <c r="C102" s="86" t="s">
        <v>247</v>
      </c>
    </row>
    <row r="103" spans="2:3" ht="16.5">
      <c r="B103" s="82" t="s">
        <v>141</v>
      </c>
      <c r="C103" s="87" t="s">
        <v>248</v>
      </c>
    </row>
    <row r="104" spans="2:3" ht="16.5">
      <c r="B104" s="81" t="s">
        <v>142</v>
      </c>
      <c r="C104" s="86" t="s">
        <v>249</v>
      </c>
    </row>
    <row r="105" spans="2:3" ht="16.5">
      <c r="B105" s="83" t="s">
        <v>143</v>
      </c>
      <c r="C105" s="88" t="s">
        <v>250</v>
      </c>
    </row>
  </sheetData>
  <phoneticPr fontId="5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10</vt:i4>
      </vt:variant>
      <vt:variant>
        <vt:lpstr>이름 지정된 범위</vt:lpstr>
      </vt:variant>
      <vt:variant>
        <vt:i4>8</vt:i4>
      </vt:variant>
    </vt:vector>
  </HeadingPairs>
  <TitlesOfParts>
    <vt:vector size="18" baseType="lpstr">
      <vt:lpstr>서울</vt:lpstr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AREAREF</vt:lpstr>
      <vt:lpstr>금산!CategoryA_Area</vt:lpstr>
      <vt:lpstr>대전!CategoryA_Area</vt:lpstr>
      <vt:lpstr>보령!CategoryA_Area</vt:lpstr>
      <vt:lpstr>부여!CategoryA_Area</vt:lpstr>
      <vt:lpstr>서산!CategoryA_Area</vt:lpstr>
      <vt:lpstr>서울!CategoryA_Area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2024-03-10T22:24:30Z</dcterms:modified>
</cp:coreProperties>
</file>