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8_{2F2A2502-58D9-426B-A7C3-D7E9D9C6291C}" xr6:coauthVersionLast="47" xr6:coauthVersionMax="47" xr10:uidLastSave="{00000000-0000-0000-0000-000000000000}"/>
  <bookViews>
    <workbookView xWindow="11670" yWindow="1395" windowWidth="25350" windowHeight="18705" tabRatio="526" activeTab="6" xr2:uid="{00000000-000D-0000-FFFF-FFFF00000000}"/>
  </bookViews>
  <sheets>
    <sheet name="천안" sheetId="165" r:id="rId1"/>
    <sheet name="서산" sheetId="164" r:id="rId2"/>
    <sheet name="부여" sheetId="163" r:id="rId3"/>
    <sheet name="보령" sheetId="162" r:id="rId4"/>
    <sheet name="금산" sheetId="161" r:id="rId5"/>
    <sheet name="대전" sheetId="160" r:id="rId6"/>
    <sheet name="main" sheetId="103" r:id="rId7"/>
    <sheet name="AREA" sheetId="143" state="hidden" r:id="rId8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2">tblLocation[Area]</definedName>
    <definedName name="CategoryA_Area" localSheetId="1">tblLocation[Area]</definedName>
    <definedName name="CategoryA_Area" localSheetId="0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5" l="1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O7" i="161"/>
  <c r="P7" i="161" s="1"/>
  <c r="O6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N56" i="165" l="1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O56" i="165" l="1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5" l="1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<sst xmlns="http://schemas.openxmlformats.org/spreadsheetml/2006/main" count="2726" uniqueCount="265">
  <si>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</si>
  <si>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</si>
  <si>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</si>
  <si>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</si>
  <si>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</si>
  <si>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</si>
  <si>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</si>
  <si>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</si>
  <si>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</si>
  <si>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</si>
  <si>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</si>
  <si>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</si>
  <si>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</si>
  <si>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</si>
  <si>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</si>
  <si>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</si>
  <si>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</si>
  <si>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</si>
  <si>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</si>
  <si>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</si>
  <si>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</si>
  <si>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</si>
  <si>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</si>
  <si>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</si>
  <si>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</si>
  <si>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</si>
  <si>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</si>
  <si>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</si>
  <si>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</si>
  <si>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</si>
  <si>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</si>
  <si>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</si>
  <si>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</si>
  <si>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</si>
  <si>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</si>
  <si>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</si>
  <si>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</si>
  <si>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</si>
  <si>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</si>
  <si>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</si>
  <si>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</si>
  <si>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</si>
  <si>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</si>
  <si>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</si>
  <si>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</si>
  <si>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</si>
  <si>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</si>
  <si>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</si>
  <si>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</si>
  <si>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</si>
  <si>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</si>
  <si>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</si>
  <si>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</si>
  <si>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</si>
  <si>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</si>
  <si>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</si>
  <si>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</si>
  <si>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</si>
  <si>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</si>
  <si>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</si>
  <si>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</si>
  <si>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</si>
  <si>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</si>
  <si>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</si>
  <si>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</si>
  <si>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</si>
  <si>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</si>
  <si>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</si>
  <si>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</si>
  <si>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</si>
  <si>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</si>
  <si>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</si>
  <si>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</si>
  <si>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</si>
  <si>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</si>
  <si>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</si>
  <si>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</si>
  <si>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</si>
  <si>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</si>
  <si>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</si>
  <si>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</si>
  <si>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</si>
  <si>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</si>
  <si>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</si>
  <si>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</si>
  <si>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</si>
  <si>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</si>
  <si>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</si>
  <si>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</si>
  <si>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</si>
  <si>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</si>
  <si>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</si>
  <si>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</si>
  <si>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</si>
  <si>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</si>
  <si>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</si>
  <si>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</si>
  <si>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</si>
  <si>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</si>
  <si>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</si>
  <si>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</si>
  <si>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</si>
  <si>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</si>
  <si>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</si>
  <si>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</si>
  <si>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</si>
  <si>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</si>
  <si>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</si>
  <si>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</si>
  <si>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</si>
  <si>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</si>
  <si>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</si>
  <si>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</si>
  <si>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</si>
  <si>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</si>
  <si>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</si>
  <si>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</si>
  <si>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</si>
  <si>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</si>
  <si>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</si>
  <si>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</si>
  <si>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</si>
  <si>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</si>
  <si>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</si>
  <si>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</si>
  <si>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</si>
  <si>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</si>
  <si>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</si>
  <si>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</si>
  <si>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</si>
  <si>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</si>
  <si>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</si>
  <si>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</si>
  <si>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</si>
  <si>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</si>
  <si>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</si>
  <si>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</si>
  <si>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</si>
  <si>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</si>
  <si>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</si>
  <si>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</si>
  <si>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</si>
  <si>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</si>
  <si>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</si>
  <si>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</si>
  <si>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</si>
  <si>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</si>
  <si>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</si>
  <si>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</si>
  <si>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</si>
  <si>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</si>
  <si>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</si>
  <si>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</si>
  <si>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</si>
  <si>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</si>
  <si>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</si>
  <si>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</si>
  <si>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</si>
  <si>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</si>
  <si>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</si>
  <si>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</si>
  <si>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</si>
  <si>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</si>
  <si>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</si>
  <si>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</si>
  <si>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</si>
  <si>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</si>
  <si>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</si>
  <si>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</si>
  <si>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</si>
  <si>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</si>
  <si>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</si>
  <si>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</si>
  <si>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</si>
  <si>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</si>
  <si>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</si>
  <si>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</si>
  <si>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</si>
  <si>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</si>
  <si>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</si>
  <si>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</si>
  <si>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</si>
  <si>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</si>
  <si>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</si>
  <si>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</si>
  <si>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</si>
  <si>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</si>
  <si>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</si>
  <si>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</si>
  <si>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</si>
  <si>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</si>
  <si>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</si>
  <si>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</si>
  <si>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</si>
  <si>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</si>
  <si>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</si>
  <si>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</si>
  <si>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</si>
  <si>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</si>
  <si>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</si>
  <si>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</si>
  <si>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</si>
  <si>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</si>
  <si>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</si>
  <si>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</si>
  <si>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</si>
  <si>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</si>
  <si>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</si>
  <si>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</si>
  <si>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</si>
  <si>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</si>
  <si>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</si>
  <si>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</si>
  <si>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</si>
  <si>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</si>
  <si>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</si>
  <si>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</si>
  <si>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</si>
  <si>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</si>
  <si>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</si>
  <si>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</si>
  <si>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</si>
  <si>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</si>
  <si>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</si>
  <si>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</si>
  <si>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</si>
  <si>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</si>
  <si>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</si>
  <si>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</si>
  <si>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</si>
  <si>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</si>
  <si>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</si>
  <si>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</si>
  <si>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</si>
  <si>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</si>
  <si>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</si>
  <si>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</si>
  <si>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</si>
  <si>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</si>
  <si>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</si>
  <si>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</si>
  <si>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</si>
  <si>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</si>
  <si>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</si>
  <si>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</si>
  <si>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</si>
  <si>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</si>
  <si>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</si>
  <si>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</si>
  <si>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</si>
  <si>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</si>
  <si>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</si>
  <si>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</si>
  <si>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</si>
  <si>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</si>
  <si>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</si>
  <si>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</si>
  <si>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</si>
  <si>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</si>
  <si>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</si>
  <si>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</si>
  <si>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</si>
  <si>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</t>
  </si>
  <si>
    <t>30년 천안데이터, 2024-01-01 월 오전 12:51:37</t>
    <phoneticPr fontId="5" type="noConversion"/>
  </si>
  <si>
    <t>천안 Data, -- 2024-01-01 월 오전 12:52:04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</si>
</sst>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1"/>
    <tableColumn id="4" xr3:uid="{3FABA01C-AB4B-48AC-BDB1-16BF1034D0DF}" name="name" dataDxfId="30"/>
    <tableColumn id="3" xr3:uid="{A5F66352-D28A-4CF0-B250-A489700B8D54}" name="Code" dataDxfId="29"/>
    <tableColumn id="2" xr3:uid="{09B4436B-841C-4B9C-8162-E947F4575E48}" name="aCode" dataDxfId="28"/>
    <tableColumn id="5" xr3:uid="{C31DCB80-AB53-4D9B-9C64-E7F32BEF140C}" name="switch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26"/>
    <tableColumn id="4" xr3:uid="{B62D6831-87BE-4F65-B7F1-BD0B146AF49F}" name="name" dataDxfId="25"/>
    <tableColumn id="3" xr3:uid="{658D7C19-D0E8-42F4-ABCB-2387237F828A}" name="Code" dataDxfId="24"/>
    <tableColumn id="2" xr3:uid="{989EB4D9-50A5-4C55-9B67-E92A0A209FA0}" name="aCode" dataDxfId="23"/>
    <tableColumn id="5" xr3:uid="{AECDD82A-ACE1-4B11-8AC5-F6E8FEEF4153}" name="switch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1"/>
    <tableColumn id="4" xr3:uid="{017C91F5-4BF0-4180-8133-652E08E84954}" name="name" dataDxfId="20"/>
    <tableColumn id="3" xr3:uid="{EC253443-ACAA-4D84-A256-070B355AA943}" name="Code" dataDxfId="19"/>
    <tableColumn id="2" xr3:uid="{80669424-532F-4472-8AC0-B591D616F4FF}" name="aCode" dataDxfId="18"/>
    <tableColumn id="5" xr3:uid="{3E99FA54-F62F-4943-96D0-A92D6B1BF889}" name="switch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16"/>
    <tableColumn id="4" xr3:uid="{9687561B-6A34-4432-917E-5BE8286748FA}" name="name" dataDxfId="15"/>
    <tableColumn id="3" xr3:uid="{2D753499-917F-4411-A14D-2196A2F1D788}" name="Code" dataDxfId="14"/>
    <tableColumn id="2" xr3:uid="{F72F6AA5-B461-4032-B5C7-926520FCFE1E}" name="aCode" dataDxfId="13"/>
    <tableColumn id="5" xr3:uid="{2BB69875-ADCC-49C7-B005-BDD03F21A48A}" name="switch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1"/>
    <tableColumn id="4" xr3:uid="{81223094-743C-484F-BD6C-C0070968E015}" name="name" dataDxfId="10"/>
    <tableColumn id="3" xr3:uid="{02B114B2-31A2-45E0-95CB-D7B5B59158D4}" name="Code" dataDxfId="9"/>
    <tableColumn id="2" xr3:uid="{25F1EE2B-22EC-4D69-8CEF-1F35F419008D}" name="aCode" dataDxfId="8"/>
    <tableColumn id="5" xr3:uid="{98CAFCC6-1A44-428B-AD18-F0F5163D8036}" name="switch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6"/>
    <tableColumn id="4" xr3:uid="{946138E4-408B-41AA-9EFE-0179ACDBA91C}" name="name" dataDxfId="5"/>
    <tableColumn id="3" xr3:uid="{4CD67D66-5E03-4217-ADBB-EDB24CF7D896}" name="Code" dataDxfId="4"/>
    <tableColumn id="2" xr3:uid="{951E4035-1C41-41A8-8801-D5CE38818C67}" name="aCode" dataDxfId="3"/>
    <tableColumn id="5" xr3:uid="{3153C0DB-1764-4890-BEFB-6C5DD9BCE384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zoomScaleNormal="100" workbookViewId="0">
      <selection activeCell="U20" sqref="U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opLeftCell="A13" zoomScaleNormal="100" workbookViewId="0">
      <selection activeCell="W15" sqref="W1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topLeftCell="A13" zoomScaleNormal="100" workbookViewId="0">
      <selection activeCell="V19" sqref="V19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zoomScaleNormal="100" workbookViewId="0">
      <selection activeCell="U21" sqref="U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V3" sqref="V3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263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21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  <c r="R8" s="25" t="s">
        <v>148</v>
      </c>
      <c r="S8" s="26" t="s">
        <v>262</v>
      </c>
    </row>
    <row r="9" spans="2:21" ht="21.95" customHeight="1" thickBo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  <c r="R9" s="79" t="str">
        <f>VLOOKUP(R8, tblLocation[], 2, FALSE)</f>
        <v>Table3</v>
      </c>
      <c r="S9" s="27">
        <f ca="1">VLOOKUP(S8, INDIRECT($R$9), 3,0)</f>
        <v>232</v>
      </c>
    </row>
    <row r="10" spans="2:21" ht="21.95" customHeight="1" thickBo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  <c r="S10" s="28">
        <f ca="1">VLOOKUP(S8, INDIRECT($R$9), 5,0)</f>
        <v>61</v>
      </c>
    </row>
    <row r="11" spans="2:21" ht="21.95" customHeight="1" thickBo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  <c r="S11" s="78" t="str">
        <f ca="1">VLOOKUP(S8, INDIRECT($R$9), 2,0)</f>
        <v>CheonAn</v>
      </c>
    </row>
    <row r="12" spans="2:21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21" ht="21.95" customHeight="1" thickBo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21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8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8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8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  <c r="R20" s="4"/>
    </row>
    <row r="21" spans="2:18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8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8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8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8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8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8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8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8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8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8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8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J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ref="K38:P38" si="5">ROUND(AVERAGE(K6:K35),1)</f>
        <v>146.69999999999999</v>
      </c>
      <c r="L38" s="53">
        <f t="shared" si="5"/>
        <v>58.6</v>
      </c>
      <c r="M38" s="53">
        <f t="shared" si="5"/>
        <v>49.2</v>
      </c>
      <c r="N38" s="54">
        <f t="shared" si="5"/>
        <v>27.8</v>
      </c>
      <c r="O38" s="55">
        <f t="shared" si="5"/>
        <v>1236.0999999999999</v>
      </c>
      <c r="P38" s="56">
        <f t="shared" si="5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4.9000000000000004</v>
      </c>
      <c r="D44" s="62">
        <f t="shared" si="6"/>
        <v>14.7</v>
      </c>
      <c r="E44" s="62">
        <f t="shared" si="6"/>
        <v>40.9</v>
      </c>
      <c r="F44" s="62">
        <f t="shared" si="6"/>
        <v>62.1</v>
      </c>
      <c r="G44" s="62">
        <f t="shared" si="6"/>
        <v>34.6</v>
      </c>
      <c r="H44" s="62">
        <f t="shared" si="6"/>
        <v>73.900000000000006</v>
      </c>
      <c r="I44" s="62">
        <f t="shared" si="6"/>
        <v>239</v>
      </c>
      <c r="J44" s="62">
        <f t="shared" si="6"/>
        <v>218.7</v>
      </c>
      <c r="K44" s="62">
        <f t="shared" si="6"/>
        <v>144</v>
      </c>
      <c r="L44" s="62">
        <f t="shared" si="6"/>
        <v>119.5</v>
      </c>
      <c r="M44" s="62">
        <f t="shared" si="6"/>
        <v>28.9</v>
      </c>
      <c r="N44" s="63">
        <f t="shared" si="6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45" si="7">B27</f>
        <v>2015</v>
      </c>
      <c r="C45" s="62">
        <f t="shared" si="7"/>
        <v>12.7</v>
      </c>
      <c r="D45" s="62">
        <f t="shared" si="7"/>
        <v>21.5</v>
      </c>
      <c r="E45" s="62">
        <f t="shared" si="7"/>
        <v>23.3</v>
      </c>
      <c r="F45" s="62">
        <f t="shared" si="7"/>
        <v>87.6</v>
      </c>
      <c r="G45" s="62">
        <f t="shared" si="7"/>
        <v>27.5</v>
      </c>
      <c r="H45" s="62">
        <f t="shared" si="7"/>
        <v>86</v>
      </c>
      <c r="I45" s="62">
        <f t="shared" si="7"/>
        <v>136.80000000000001</v>
      </c>
      <c r="J45" s="62">
        <f t="shared" si="7"/>
        <v>64.2</v>
      </c>
      <c r="K45" s="62">
        <f t="shared" si="7"/>
        <v>29</v>
      </c>
      <c r="L45" s="62">
        <f t="shared" si="7"/>
        <v>69</v>
      </c>
      <c r="M45" s="62">
        <f t="shared" si="7"/>
        <v>128.6</v>
      </c>
      <c r="N45" s="63">
        <f t="shared" si="7"/>
        <v>41.8</v>
      </c>
      <c r="O45" s="64">
        <f t="shared" ref="O45:O53" si="8">ROUND(SUM(C45:N45),1)</f>
        <v>728</v>
      </c>
      <c r="P45" s="51">
        <f t="shared" ref="P45:P53" si="9">ROUND(O45/12,1)</f>
        <v>60.7</v>
      </c>
    </row>
    <row r="46" spans="2:16" ht="21.95" customHeight="1">
      <c r="B46" s="61">
        <f t="shared" ref="B46:N46" si="10">B28</f>
        <v>2016</v>
      </c>
      <c r="C46" s="62">
        <f t="shared" si="10"/>
        <v>8</v>
      </c>
      <c r="D46" s="62">
        <f t="shared" si="10"/>
        <v>43.6</v>
      </c>
      <c r="E46" s="62">
        <f t="shared" si="10"/>
        <v>16.5</v>
      </c>
      <c r="F46" s="62">
        <f t="shared" si="10"/>
        <v>118.3</v>
      </c>
      <c r="G46" s="62">
        <f t="shared" si="10"/>
        <v>107.2</v>
      </c>
      <c r="H46" s="62">
        <f t="shared" si="10"/>
        <v>36.200000000000003</v>
      </c>
      <c r="I46" s="62">
        <f t="shared" si="10"/>
        <v>364.3</v>
      </c>
      <c r="J46" s="62">
        <f t="shared" si="10"/>
        <v>82</v>
      </c>
      <c r="K46" s="62">
        <f t="shared" si="10"/>
        <v>55</v>
      </c>
      <c r="L46" s="62">
        <f t="shared" si="10"/>
        <v>95.9</v>
      </c>
      <c r="M46" s="62">
        <f t="shared" si="10"/>
        <v>33.5</v>
      </c>
      <c r="N46" s="63">
        <f t="shared" si="10"/>
        <v>44.3</v>
      </c>
      <c r="O46" s="64">
        <f t="shared" si="8"/>
        <v>1004.8</v>
      </c>
      <c r="P46" s="51">
        <f t="shared" si="9"/>
        <v>83.7</v>
      </c>
    </row>
    <row r="47" spans="2:16" ht="21.95" customHeight="1">
      <c r="B47" s="61">
        <f t="shared" ref="B47:N47" si="11">B29</f>
        <v>2017</v>
      </c>
      <c r="C47" s="62">
        <f t="shared" si="11"/>
        <v>13.9</v>
      </c>
      <c r="D47" s="62">
        <f t="shared" si="11"/>
        <v>32.200000000000003</v>
      </c>
      <c r="E47" s="62">
        <f t="shared" si="11"/>
        <v>6.5</v>
      </c>
      <c r="F47" s="62">
        <f t="shared" si="11"/>
        <v>42.9</v>
      </c>
      <c r="G47" s="62">
        <f t="shared" si="11"/>
        <v>14.3</v>
      </c>
      <c r="H47" s="62">
        <f t="shared" si="11"/>
        <v>15.6</v>
      </c>
      <c r="I47" s="62">
        <f t="shared" si="11"/>
        <v>788.1</v>
      </c>
      <c r="J47" s="62">
        <f t="shared" si="11"/>
        <v>291.5</v>
      </c>
      <c r="K47" s="62">
        <f t="shared" si="11"/>
        <v>43.3</v>
      </c>
      <c r="L47" s="62">
        <f t="shared" si="11"/>
        <v>14.1</v>
      </c>
      <c r="M47" s="62">
        <f t="shared" si="11"/>
        <v>23.8</v>
      </c>
      <c r="N47" s="63">
        <f t="shared" si="11"/>
        <v>18.8</v>
      </c>
      <c r="O47" s="64">
        <f>ROUND(SUM(C47:N47),1)</f>
        <v>1305</v>
      </c>
      <c r="P47" s="51">
        <f t="shared" si="9"/>
        <v>108.8</v>
      </c>
    </row>
    <row r="48" spans="2:16" ht="21.95" customHeight="1">
      <c r="B48" s="61">
        <f t="shared" ref="B48:N48" si="12">B30</f>
        <v>2018</v>
      </c>
      <c r="C48" s="62">
        <f t="shared" si="12"/>
        <v>14</v>
      </c>
      <c r="D48" s="62">
        <f t="shared" si="12"/>
        <v>31.6</v>
      </c>
      <c r="E48" s="62">
        <f t="shared" si="12"/>
        <v>62.2</v>
      </c>
      <c r="F48" s="62">
        <f t="shared" si="12"/>
        <v>117</v>
      </c>
      <c r="G48" s="62">
        <f t="shared" si="12"/>
        <v>82.7</v>
      </c>
      <c r="H48" s="62">
        <f t="shared" si="12"/>
        <v>88.9</v>
      </c>
      <c r="I48" s="62">
        <f t="shared" si="12"/>
        <v>185.8</v>
      </c>
      <c r="J48" s="62">
        <f t="shared" si="12"/>
        <v>282.7</v>
      </c>
      <c r="K48" s="62">
        <f t="shared" si="12"/>
        <v>124.6</v>
      </c>
      <c r="L48" s="62">
        <f t="shared" si="12"/>
        <v>99.8</v>
      </c>
      <c r="M48" s="62">
        <f t="shared" si="12"/>
        <v>48.3</v>
      </c>
      <c r="N48" s="63">
        <f t="shared" si="12"/>
        <v>25.8</v>
      </c>
      <c r="O48" s="64">
        <f t="shared" si="8"/>
        <v>1163.4000000000001</v>
      </c>
      <c r="P48" s="51">
        <f t="shared" si="9"/>
        <v>97</v>
      </c>
    </row>
    <row r="49" spans="2:16" ht="21.95" customHeight="1">
      <c r="B49" s="61">
        <f t="shared" ref="B49:N49" si="13">B31</f>
        <v>2019</v>
      </c>
      <c r="C49" s="62">
        <f t="shared" si="13"/>
        <v>0.6</v>
      </c>
      <c r="D49" s="62">
        <f t="shared" si="13"/>
        <v>25.5</v>
      </c>
      <c r="E49" s="62">
        <f t="shared" si="13"/>
        <v>26.9</v>
      </c>
      <c r="F49" s="62">
        <f t="shared" si="13"/>
        <v>43.9</v>
      </c>
      <c r="G49" s="62">
        <f t="shared" si="13"/>
        <v>15.1</v>
      </c>
      <c r="H49" s="62">
        <f t="shared" si="13"/>
        <v>84.9</v>
      </c>
      <c r="I49" s="62">
        <f t="shared" si="13"/>
        <v>234.7</v>
      </c>
      <c r="J49" s="62">
        <f t="shared" si="13"/>
        <v>90.7</v>
      </c>
      <c r="K49" s="62">
        <f t="shared" si="13"/>
        <v>102.8</v>
      </c>
      <c r="L49" s="62">
        <f t="shared" si="13"/>
        <v>81.900000000000006</v>
      </c>
      <c r="M49" s="62">
        <f t="shared" si="13"/>
        <v>120.6</v>
      </c>
      <c r="N49" s="63">
        <f t="shared" si="13"/>
        <v>18</v>
      </c>
      <c r="O49" s="64">
        <f t="shared" si="8"/>
        <v>845.6</v>
      </c>
      <c r="P49" s="51">
        <f t="shared" si="9"/>
        <v>70.5</v>
      </c>
    </row>
    <row r="50" spans="2:16" ht="21.95" customHeight="1">
      <c r="B50" s="61">
        <f t="shared" ref="B50:N50" si="14">B32</f>
        <v>2020</v>
      </c>
      <c r="C50" s="62">
        <f t="shared" si="14"/>
        <v>59.7</v>
      </c>
      <c r="D50" s="62">
        <f t="shared" si="14"/>
        <v>63.1</v>
      </c>
      <c r="E50" s="62">
        <f t="shared" si="14"/>
        <v>21.7</v>
      </c>
      <c r="F50" s="62">
        <f t="shared" si="14"/>
        <v>15.1</v>
      </c>
      <c r="G50" s="62">
        <f t="shared" si="14"/>
        <v>86.4</v>
      </c>
      <c r="H50" s="62">
        <f t="shared" si="14"/>
        <v>121.9</v>
      </c>
      <c r="I50" s="62">
        <f t="shared" si="14"/>
        <v>356.4</v>
      </c>
      <c r="J50" s="62">
        <f t="shared" si="14"/>
        <v>481.7</v>
      </c>
      <c r="K50" s="62">
        <f t="shared" si="14"/>
        <v>167.2</v>
      </c>
      <c r="L50" s="62">
        <f t="shared" si="14"/>
        <v>18.899999999999999</v>
      </c>
      <c r="M50" s="62">
        <f t="shared" si="14"/>
        <v>45.9</v>
      </c>
      <c r="N50" s="63">
        <f t="shared" si="14"/>
        <v>5.5</v>
      </c>
      <c r="O50" s="64">
        <f t="shared" si="8"/>
        <v>1443.5</v>
      </c>
      <c r="P50" s="51">
        <f t="shared" si="9"/>
        <v>120.3</v>
      </c>
    </row>
    <row r="51" spans="2:16" ht="21.95" customHeight="1">
      <c r="B51" s="61">
        <f t="shared" ref="B51:N51" si="15">B33</f>
        <v>2021</v>
      </c>
      <c r="C51" s="62">
        <f t="shared" si="15"/>
        <v>17.8</v>
      </c>
      <c r="D51" s="62">
        <f t="shared" si="15"/>
        <v>9.1999999999999993</v>
      </c>
      <c r="E51" s="62">
        <f t="shared" si="15"/>
        <v>75.3</v>
      </c>
      <c r="F51" s="62">
        <f t="shared" si="15"/>
        <v>54.7</v>
      </c>
      <c r="G51" s="62">
        <f t="shared" si="15"/>
        <v>135.9</v>
      </c>
      <c r="H51" s="62">
        <f t="shared" si="15"/>
        <v>44.8</v>
      </c>
      <c r="I51" s="62">
        <f t="shared" si="15"/>
        <v>117.6</v>
      </c>
      <c r="J51" s="62">
        <f t="shared" si="15"/>
        <v>230</v>
      </c>
      <c r="K51" s="62">
        <f t="shared" si="15"/>
        <v>250.8</v>
      </c>
      <c r="L51" s="62">
        <f t="shared" si="15"/>
        <v>49.5</v>
      </c>
      <c r="M51" s="62">
        <f t="shared" si="15"/>
        <v>67.900000000000006</v>
      </c>
      <c r="N51" s="63">
        <f t="shared" si="15"/>
        <v>5.4</v>
      </c>
      <c r="O51" s="64">
        <f t="shared" si="8"/>
        <v>1058.9000000000001</v>
      </c>
      <c r="P51" s="51">
        <f t="shared" si="9"/>
        <v>88.2</v>
      </c>
    </row>
    <row r="52" spans="2:16" ht="21.95" customHeight="1">
      <c r="B52" s="61">
        <f t="shared" ref="B52:N52" si="16">B34</f>
        <v>2022</v>
      </c>
      <c r="C52" s="62">
        <f t="shared" si="16"/>
        <v>3.3</v>
      </c>
      <c r="D52" s="62">
        <f t="shared" si="16"/>
        <v>3.3</v>
      </c>
      <c r="E52" s="62">
        <f t="shared" si="16"/>
        <v>57.6</v>
      </c>
      <c r="F52" s="62">
        <f t="shared" si="16"/>
        <v>51.6</v>
      </c>
      <c r="G52" s="62">
        <f t="shared" si="16"/>
        <v>9.8000000000000007</v>
      </c>
      <c r="H52" s="62">
        <f t="shared" si="16"/>
        <v>168</v>
      </c>
      <c r="I52" s="62">
        <f t="shared" si="16"/>
        <v>117</v>
      </c>
      <c r="J52" s="62">
        <f t="shared" si="16"/>
        <v>366.6</v>
      </c>
      <c r="K52" s="62">
        <f t="shared" si="16"/>
        <v>133.30000000000001</v>
      </c>
      <c r="L52" s="62">
        <f t="shared" si="16"/>
        <v>98.2</v>
      </c>
      <c r="M52" s="62">
        <f t="shared" si="16"/>
        <v>43.2</v>
      </c>
      <c r="N52" s="63">
        <f t="shared" si="16"/>
        <v>28.8</v>
      </c>
      <c r="O52" s="64">
        <f t="shared" si="8"/>
        <v>1080.7</v>
      </c>
      <c r="P52" s="51">
        <f t="shared" si="9"/>
        <v>90.1</v>
      </c>
    </row>
    <row r="53" spans="2:16" ht="21.95" customHeight="1" thickBot="1">
      <c r="B53" s="65">
        <f t="shared" ref="B53:N53" si="17">B35</f>
        <v>2023</v>
      </c>
      <c r="C53" s="66">
        <f t="shared" si="17"/>
        <v>31</v>
      </c>
      <c r="D53" s="66">
        <f t="shared" si="17"/>
        <v>3.1</v>
      </c>
      <c r="E53" s="66">
        <f t="shared" si="17"/>
        <v>16.399999999999999</v>
      </c>
      <c r="F53" s="66">
        <f t="shared" si="17"/>
        <v>29.6</v>
      </c>
      <c r="G53" s="66">
        <f t="shared" si="17"/>
        <v>116.9</v>
      </c>
      <c r="H53" s="66">
        <f t="shared" si="17"/>
        <v>178.9</v>
      </c>
      <c r="I53" s="66">
        <f t="shared" si="17"/>
        <v>574.9</v>
      </c>
      <c r="J53" s="66">
        <f t="shared" si="17"/>
        <v>196.5</v>
      </c>
      <c r="K53" s="66">
        <f t="shared" si="17"/>
        <v>180.1</v>
      </c>
      <c r="L53" s="66">
        <f t="shared" si="17"/>
        <v>28.7</v>
      </c>
      <c r="M53" s="66">
        <f t="shared" si="17"/>
        <v>56.9</v>
      </c>
      <c r="N53" s="67">
        <f t="shared" si="17"/>
        <v>86.2</v>
      </c>
      <c r="O53" s="68">
        <f t="shared" si="8"/>
        <v>1499.2</v>
      </c>
      <c r="P53" s="56">
        <f t="shared" si="9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18">MAX(D44:D53)</f>
        <v>63.1</v>
      </c>
      <c r="E54" s="70">
        <f t="shared" si="18"/>
        <v>75.3</v>
      </c>
      <c r="F54" s="70">
        <f t="shared" si="18"/>
        <v>118.3</v>
      </c>
      <c r="G54" s="70">
        <f t="shared" si="18"/>
        <v>135.9</v>
      </c>
      <c r="H54" s="70">
        <f t="shared" si="18"/>
        <v>178.9</v>
      </c>
      <c r="I54" s="70">
        <f t="shared" si="18"/>
        <v>788.1</v>
      </c>
      <c r="J54" s="70">
        <f t="shared" si="18"/>
        <v>481.7</v>
      </c>
      <c r="K54" s="70">
        <f t="shared" si="18"/>
        <v>250.8</v>
      </c>
      <c r="L54" s="70">
        <f t="shared" si="18"/>
        <v>119.5</v>
      </c>
      <c r="M54" s="70">
        <f t="shared" si="18"/>
        <v>128.6</v>
      </c>
      <c r="N54" s="71">
        <f t="shared" si="18"/>
        <v>86.2</v>
      </c>
      <c r="O54" s="72">
        <f t="shared" si="18"/>
        <v>1499.2</v>
      </c>
      <c r="P54" s="71">
        <f t="shared" si="18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9">MIN(D44:D53)</f>
        <v>3.1</v>
      </c>
      <c r="E55" s="74">
        <f t="shared" si="19"/>
        <v>6.5</v>
      </c>
      <c r="F55" s="74">
        <f t="shared" si="19"/>
        <v>15.1</v>
      </c>
      <c r="G55" s="74">
        <f t="shared" si="19"/>
        <v>9.8000000000000007</v>
      </c>
      <c r="H55" s="74">
        <f t="shared" si="19"/>
        <v>15.6</v>
      </c>
      <c r="I55" s="74">
        <f t="shared" si="19"/>
        <v>117</v>
      </c>
      <c r="J55" s="74">
        <f t="shared" si="19"/>
        <v>64.2</v>
      </c>
      <c r="K55" s="74">
        <f t="shared" si="19"/>
        <v>29</v>
      </c>
      <c r="L55" s="74">
        <f t="shared" si="19"/>
        <v>14.1</v>
      </c>
      <c r="M55" s="74">
        <f t="shared" si="19"/>
        <v>23.8</v>
      </c>
      <c r="N55" s="51">
        <f t="shared" si="19"/>
        <v>5.4</v>
      </c>
      <c r="O55" s="64">
        <f>MIN(O44:O53)</f>
        <v>728</v>
      </c>
      <c r="P55" s="51">
        <f t="shared" si="19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20">ROUND(AVERAGE(D44:D53),1)</f>
        <v>24.8</v>
      </c>
      <c r="E56" s="76">
        <f t="shared" si="20"/>
        <v>34.700000000000003</v>
      </c>
      <c r="F56" s="76">
        <f t="shared" si="20"/>
        <v>62.3</v>
      </c>
      <c r="G56" s="76">
        <f t="shared" si="20"/>
        <v>63</v>
      </c>
      <c r="H56" s="76">
        <f t="shared" si="20"/>
        <v>89.9</v>
      </c>
      <c r="I56" s="76">
        <f t="shared" si="20"/>
        <v>311.5</v>
      </c>
      <c r="J56" s="76">
        <f t="shared" si="20"/>
        <v>230.5</v>
      </c>
      <c r="K56" s="76">
        <f t="shared" si="20"/>
        <v>123</v>
      </c>
      <c r="L56" s="76">
        <f t="shared" si="20"/>
        <v>67.599999999999994</v>
      </c>
      <c r="M56" s="76">
        <f t="shared" si="20"/>
        <v>59.8</v>
      </c>
      <c r="N56" s="56">
        <f t="shared" si="20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D17" sqref="D17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149</v>
      </c>
      <c r="C1" s="1" t="s">
        <v>31</v>
      </c>
      <c r="D1" s="1" t="s">
        <v>255</v>
      </c>
      <c r="E1" s="1" t="s">
        <v>256</v>
      </c>
      <c r="G1" s="1" t="s">
        <v>30</v>
      </c>
      <c r="H1" s="1" t="s">
        <v>149</v>
      </c>
      <c r="I1" s="1" t="s">
        <v>31</v>
      </c>
      <c r="J1" s="1" t="s">
        <v>255</v>
      </c>
      <c r="K1" s="1" t="s">
        <v>256</v>
      </c>
      <c r="M1" s="1" t="s">
        <v>30</v>
      </c>
      <c r="N1" s="1" t="s">
        <v>149</v>
      </c>
      <c r="O1" s="1" t="s">
        <v>31</v>
      </c>
      <c r="P1" s="1" t="s">
        <v>255</v>
      </c>
      <c r="Q1" s="1" t="s">
        <v>256</v>
      </c>
      <c r="S1" s="1" t="s">
        <v>30</v>
      </c>
      <c r="T1" s="1" t="s">
        <v>31</v>
      </c>
    </row>
    <row r="2" spans="1:20">
      <c r="A2" s="1" t="s">
        <v>42</v>
      </c>
      <c r="B2" s="1" t="s">
        <v>205</v>
      </c>
      <c r="C2" s="1">
        <v>116</v>
      </c>
      <c r="D2" s="1">
        <v>15</v>
      </c>
      <c r="E2" s="1">
        <v>14</v>
      </c>
      <c r="G2" s="1" t="s">
        <v>52</v>
      </c>
      <c r="H2" s="1" t="s">
        <v>191</v>
      </c>
      <c r="I2" s="1">
        <v>105</v>
      </c>
      <c r="J2" s="1">
        <v>39</v>
      </c>
      <c r="K2" s="1">
        <v>38</v>
      </c>
      <c r="M2" s="1" t="s">
        <v>67</v>
      </c>
      <c r="N2" s="1" t="s">
        <v>179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151</v>
      </c>
      <c r="C3" s="1">
        <v>108</v>
      </c>
      <c r="D3" s="1">
        <v>16</v>
      </c>
      <c r="E3" s="1">
        <v>14</v>
      </c>
      <c r="G3" s="1" t="s">
        <v>53</v>
      </c>
      <c r="H3" s="1" t="s">
        <v>192</v>
      </c>
      <c r="I3" s="1">
        <v>100</v>
      </c>
      <c r="J3" s="1">
        <v>40</v>
      </c>
      <c r="K3" s="1">
        <v>38</v>
      </c>
      <c r="M3" s="1" t="s">
        <v>253</v>
      </c>
      <c r="N3" s="1" t="s">
        <v>254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206</v>
      </c>
      <c r="C4" s="1">
        <v>201</v>
      </c>
      <c r="D4" s="1">
        <v>23</v>
      </c>
      <c r="E4" s="1">
        <v>22</v>
      </c>
      <c r="G4" s="1" t="s">
        <v>54</v>
      </c>
      <c r="H4" s="1" t="s">
        <v>193</v>
      </c>
      <c r="I4" s="1">
        <v>106</v>
      </c>
      <c r="J4" s="1">
        <v>41</v>
      </c>
      <c r="K4" s="1">
        <v>38</v>
      </c>
      <c r="M4" s="1" t="s">
        <v>68</v>
      </c>
      <c r="N4" s="1" t="s">
        <v>180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207</v>
      </c>
      <c r="C5" s="1">
        <v>102</v>
      </c>
      <c r="D5" s="1">
        <v>24</v>
      </c>
      <c r="E5" s="1">
        <v>22</v>
      </c>
      <c r="G5" s="1" t="s">
        <v>55</v>
      </c>
      <c r="H5" s="1" t="s">
        <v>194</v>
      </c>
      <c r="I5" s="1">
        <v>104</v>
      </c>
      <c r="J5" s="1">
        <v>42</v>
      </c>
      <c r="K5" s="1">
        <v>38</v>
      </c>
      <c r="M5" s="1" t="s">
        <v>69</v>
      </c>
      <c r="N5" s="1" t="s">
        <v>181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208</v>
      </c>
      <c r="C6" s="1">
        <v>112</v>
      </c>
      <c r="D6" s="1">
        <v>25</v>
      </c>
      <c r="E6" s="1">
        <v>22</v>
      </c>
      <c r="G6" s="1" t="s">
        <v>56</v>
      </c>
      <c r="H6" s="1" t="s">
        <v>195</v>
      </c>
      <c r="I6" s="1">
        <v>93</v>
      </c>
      <c r="J6" s="1">
        <v>43</v>
      </c>
      <c r="K6" s="1">
        <v>38</v>
      </c>
      <c r="M6" s="1" t="s">
        <v>70</v>
      </c>
      <c r="N6" s="1" t="s">
        <v>182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209</v>
      </c>
      <c r="C7" s="1">
        <v>98</v>
      </c>
      <c r="D7" s="1">
        <v>33</v>
      </c>
      <c r="E7" s="1">
        <v>32</v>
      </c>
      <c r="G7" s="1" t="s">
        <v>57</v>
      </c>
      <c r="H7" s="1" t="s">
        <v>150</v>
      </c>
      <c r="I7" s="1">
        <v>214</v>
      </c>
      <c r="J7" s="1">
        <v>44</v>
      </c>
      <c r="K7" s="1">
        <v>38</v>
      </c>
      <c r="M7" s="1" t="s">
        <v>71</v>
      </c>
      <c r="N7" s="1" t="s">
        <v>183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210</v>
      </c>
      <c r="C8" s="1">
        <v>119</v>
      </c>
      <c r="D8" s="1">
        <v>34</v>
      </c>
      <c r="E8" s="1">
        <v>32</v>
      </c>
      <c r="G8" s="1" t="s">
        <v>58</v>
      </c>
      <c r="H8" s="1" t="s">
        <v>196</v>
      </c>
      <c r="I8" s="1">
        <v>90</v>
      </c>
      <c r="J8" s="1">
        <v>45</v>
      </c>
      <c r="K8" s="1">
        <v>38</v>
      </c>
      <c r="M8" s="1" t="s">
        <v>72</v>
      </c>
      <c r="N8" s="1" t="s">
        <v>184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211</v>
      </c>
      <c r="C9" s="1">
        <v>202</v>
      </c>
      <c r="D9" s="1">
        <v>35</v>
      </c>
      <c r="E9" s="1">
        <v>32</v>
      </c>
      <c r="G9" s="1" t="s">
        <v>59</v>
      </c>
      <c r="H9" s="1" t="s">
        <v>197</v>
      </c>
      <c r="I9" s="1">
        <v>121</v>
      </c>
      <c r="J9" s="1">
        <v>46</v>
      </c>
      <c r="K9" s="1">
        <v>38</v>
      </c>
      <c r="M9" s="1" t="s">
        <v>73</v>
      </c>
      <c r="N9" s="1" t="s">
        <v>185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212</v>
      </c>
      <c r="C10" s="1">
        <v>203</v>
      </c>
      <c r="D10" s="1">
        <v>36</v>
      </c>
      <c r="E10" s="1">
        <v>32</v>
      </c>
      <c r="G10" s="1" t="s">
        <v>60</v>
      </c>
      <c r="H10" s="1" t="s">
        <v>198</v>
      </c>
      <c r="I10" s="1">
        <v>114</v>
      </c>
      <c r="J10" s="1">
        <v>47</v>
      </c>
      <c r="K10" s="1">
        <v>38</v>
      </c>
      <c r="M10" s="1" t="s">
        <v>74</v>
      </c>
      <c r="N10" s="1" t="s">
        <v>252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213</v>
      </c>
      <c r="C11" s="1">
        <v>99</v>
      </c>
      <c r="D11" s="1">
        <v>37</v>
      </c>
      <c r="E11" s="1">
        <v>32</v>
      </c>
      <c r="G11" s="1" t="s">
        <v>61</v>
      </c>
      <c r="H11" s="1" t="s">
        <v>199</v>
      </c>
      <c r="I11" s="1">
        <v>211</v>
      </c>
      <c r="J11" s="1">
        <v>48</v>
      </c>
      <c r="K11" s="1">
        <v>38</v>
      </c>
      <c r="M11" s="1" t="s">
        <v>75</v>
      </c>
      <c r="N11" s="1" t="s">
        <v>186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200</v>
      </c>
      <c r="I12" s="1">
        <v>217</v>
      </c>
      <c r="J12" s="1">
        <v>49</v>
      </c>
      <c r="K12" s="1">
        <v>38</v>
      </c>
      <c r="M12" s="1" t="s">
        <v>76</v>
      </c>
      <c r="N12" s="1" t="s">
        <v>187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201</v>
      </c>
      <c r="I13" s="1">
        <v>95</v>
      </c>
      <c r="J13" s="1">
        <v>50</v>
      </c>
      <c r="K13" s="1">
        <v>38</v>
      </c>
      <c r="M13" s="1" t="s">
        <v>77</v>
      </c>
      <c r="N13" s="1" t="s">
        <v>188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202</v>
      </c>
      <c r="I14" s="1">
        <v>101</v>
      </c>
      <c r="J14" s="1">
        <v>51</v>
      </c>
      <c r="K14" s="1">
        <v>38</v>
      </c>
      <c r="M14" s="1" t="s">
        <v>78</v>
      </c>
      <c r="N14" s="1" t="s">
        <v>189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203</v>
      </c>
      <c r="I15" s="1">
        <v>216</v>
      </c>
      <c r="J15" s="1">
        <v>52</v>
      </c>
      <c r="K15" s="1">
        <v>38</v>
      </c>
      <c r="M15" s="1" t="s">
        <v>79</v>
      </c>
      <c r="N15" s="1" t="s">
        <v>190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204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149</v>
      </c>
      <c r="C22" s="1" t="s">
        <v>31</v>
      </c>
      <c r="D22" s="1" t="s">
        <v>255</v>
      </c>
      <c r="E22" s="1" t="s">
        <v>256</v>
      </c>
      <c r="G22" s="1" t="s">
        <v>30</v>
      </c>
      <c r="H22" s="1" t="s">
        <v>149</v>
      </c>
      <c r="I22" s="1" t="s">
        <v>31</v>
      </c>
      <c r="J22" s="1" t="s">
        <v>255</v>
      </c>
      <c r="K22" s="1" t="s">
        <v>256</v>
      </c>
    </row>
    <row r="23" spans="1:17">
      <c r="A23" s="1" t="s">
        <v>80</v>
      </c>
      <c r="B23" s="1" t="s">
        <v>178</v>
      </c>
      <c r="C23" s="1">
        <v>156</v>
      </c>
      <c r="D23" s="1">
        <v>27</v>
      </c>
      <c r="E23" s="1">
        <v>26</v>
      </c>
      <c r="G23" s="1" t="s">
        <v>107</v>
      </c>
      <c r="H23" s="1" t="s">
        <v>214</v>
      </c>
      <c r="I23" s="1">
        <v>143</v>
      </c>
      <c r="J23" s="1">
        <v>20</v>
      </c>
      <c r="K23" s="1">
        <v>19</v>
      </c>
      <c r="M23" s="1" t="s">
        <v>30</v>
      </c>
      <c r="N23" s="1" t="s">
        <v>149</v>
      </c>
      <c r="O23" s="1" t="s">
        <v>31</v>
      </c>
      <c r="P23" s="1" t="s">
        <v>255</v>
      </c>
      <c r="Q23" s="1" t="s">
        <v>256</v>
      </c>
    </row>
    <row r="24" spans="1:17">
      <c r="A24" s="1" t="s">
        <v>81</v>
      </c>
      <c r="B24" s="1" t="s">
        <v>177</v>
      </c>
      <c r="C24" s="1">
        <v>172</v>
      </c>
      <c r="D24" s="1">
        <v>69</v>
      </c>
      <c r="E24" s="1">
        <v>68</v>
      </c>
      <c r="G24" s="1" t="s">
        <v>108</v>
      </c>
      <c r="H24" s="1" t="s">
        <v>215</v>
      </c>
      <c r="I24" s="1">
        <v>176</v>
      </c>
      <c r="J24" s="1">
        <v>21</v>
      </c>
      <c r="K24" s="1">
        <v>19</v>
      </c>
      <c r="M24" s="1" t="s">
        <v>139</v>
      </c>
      <c r="N24" s="1" t="s">
        <v>246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176</v>
      </c>
      <c r="C25" s="1">
        <v>251</v>
      </c>
      <c r="D25" s="1">
        <v>70</v>
      </c>
      <c r="E25" s="1">
        <v>68</v>
      </c>
      <c r="G25" s="1" t="s">
        <v>109</v>
      </c>
      <c r="H25" s="1" t="s">
        <v>216</v>
      </c>
      <c r="I25" s="1">
        <v>152</v>
      </c>
      <c r="J25" s="1">
        <v>31</v>
      </c>
      <c r="K25" s="1">
        <v>30</v>
      </c>
      <c r="M25" s="1" t="s">
        <v>140</v>
      </c>
      <c r="N25" s="1" t="s">
        <v>247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175</v>
      </c>
      <c r="C26" s="1">
        <v>140</v>
      </c>
      <c r="D26" s="1">
        <v>71</v>
      </c>
      <c r="E26" s="1">
        <v>68</v>
      </c>
      <c r="G26" s="1" t="s">
        <v>110</v>
      </c>
      <c r="H26" s="1" t="s">
        <v>217</v>
      </c>
      <c r="I26" s="1">
        <v>159</v>
      </c>
      <c r="J26" s="1">
        <v>18</v>
      </c>
      <c r="K26" s="1">
        <v>17</v>
      </c>
      <c r="M26" s="1" t="s">
        <v>141</v>
      </c>
      <c r="N26" s="1" t="s">
        <v>248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174</v>
      </c>
      <c r="C27" s="1">
        <v>247</v>
      </c>
      <c r="D27" s="1">
        <v>72</v>
      </c>
      <c r="E27" s="1">
        <v>68</v>
      </c>
      <c r="G27" s="1" t="s">
        <v>111</v>
      </c>
      <c r="H27" s="1" t="s">
        <v>218</v>
      </c>
      <c r="I27" s="1">
        <v>283</v>
      </c>
      <c r="J27" s="1">
        <v>97</v>
      </c>
      <c r="K27" s="1">
        <v>96</v>
      </c>
      <c r="M27" s="1" t="s">
        <v>141</v>
      </c>
      <c r="N27" s="1" t="s">
        <v>249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173</v>
      </c>
      <c r="C28" s="1">
        <v>243</v>
      </c>
      <c r="D28" s="1">
        <v>73</v>
      </c>
      <c r="E28" s="1">
        <v>68</v>
      </c>
      <c r="G28" s="1" t="s">
        <v>112</v>
      </c>
      <c r="H28" s="1" t="s">
        <v>219</v>
      </c>
      <c r="I28" s="1">
        <v>279</v>
      </c>
      <c r="J28" s="1">
        <v>98</v>
      </c>
      <c r="K28" s="1">
        <v>96</v>
      </c>
      <c r="M28" s="1" t="s">
        <v>142</v>
      </c>
      <c r="N28" s="1" t="s">
        <v>250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172</v>
      </c>
      <c r="C29" s="1">
        <v>254</v>
      </c>
      <c r="D29" s="1">
        <v>74</v>
      </c>
      <c r="E29" s="1">
        <v>68</v>
      </c>
      <c r="G29" s="1" t="s">
        <v>113</v>
      </c>
      <c r="H29" s="1" t="s">
        <v>220</v>
      </c>
      <c r="I29" s="1">
        <v>273</v>
      </c>
      <c r="J29" s="1">
        <v>99</v>
      </c>
      <c r="K29" s="1">
        <v>96</v>
      </c>
      <c r="M29" s="1" t="s">
        <v>143</v>
      </c>
      <c r="N29" s="1" t="s">
        <v>251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171</v>
      </c>
      <c r="C30" s="1">
        <v>244</v>
      </c>
      <c r="D30" s="1">
        <v>75</v>
      </c>
      <c r="E30" s="1">
        <v>68</v>
      </c>
      <c r="G30" s="1" t="s">
        <v>114</v>
      </c>
      <c r="H30" s="1" t="s">
        <v>221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170</v>
      </c>
      <c r="C31" s="1">
        <v>248</v>
      </c>
      <c r="D31" s="1">
        <v>76</v>
      </c>
      <c r="E31" s="1">
        <v>68</v>
      </c>
      <c r="G31" s="1" t="s">
        <v>115</v>
      </c>
      <c r="H31" s="1" t="s">
        <v>222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169</v>
      </c>
      <c r="C32" s="1">
        <v>146</v>
      </c>
      <c r="D32" s="1">
        <v>77</v>
      </c>
      <c r="E32" s="1">
        <v>68</v>
      </c>
      <c r="G32" s="1" t="s">
        <v>116</v>
      </c>
      <c r="H32" s="1" t="s">
        <v>223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152</v>
      </c>
      <c r="C33" s="1">
        <v>245</v>
      </c>
      <c r="D33" s="1">
        <v>78</v>
      </c>
      <c r="E33" s="1">
        <v>68</v>
      </c>
      <c r="G33" s="1" t="s">
        <v>117</v>
      </c>
      <c r="H33" s="1" t="s">
        <v>224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153</v>
      </c>
      <c r="C34" s="1">
        <v>259</v>
      </c>
      <c r="D34" s="1">
        <v>80</v>
      </c>
      <c r="E34" s="1">
        <v>79</v>
      </c>
      <c r="G34" s="1" t="s">
        <v>118</v>
      </c>
      <c r="H34" s="1" t="s">
        <v>226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154</v>
      </c>
      <c r="C35" s="1">
        <v>262</v>
      </c>
      <c r="D35" s="1">
        <v>81</v>
      </c>
      <c r="E35" s="1">
        <v>79</v>
      </c>
      <c r="G35" s="1" t="s">
        <v>119</v>
      </c>
      <c r="H35" s="1" t="s">
        <v>225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155</v>
      </c>
      <c r="C36" s="1">
        <v>266</v>
      </c>
      <c r="D36" s="1">
        <v>82</v>
      </c>
      <c r="E36" s="1">
        <v>79</v>
      </c>
      <c r="G36" s="1" t="s">
        <v>120</v>
      </c>
      <c r="H36" s="1" t="s">
        <v>227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166</v>
      </c>
      <c r="C37" s="1">
        <v>165</v>
      </c>
      <c r="D37" s="1">
        <v>83</v>
      </c>
      <c r="E37" s="1">
        <v>79</v>
      </c>
      <c r="G37" s="1" t="s">
        <v>121</v>
      </c>
      <c r="H37" s="1" t="s">
        <v>228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167</v>
      </c>
      <c r="C38" s="1">
        <v>164</v>
      </c>
      <c r="D38" s="1">
        <v>84</v>
      </c>
      <c r="E38" s="1">
        <v>79</v>
      </c>
      <c r="G38" s="1" t="s">
        <v>122</v>
      </c>
      <c r="H38" s="1" t="s">
        <v>229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168</v>
      </c>
      <c r="C39" s="1">
        <v>258</v>
      </c>
      <c r="D39" s="1">
        <v>85</v>
      </c>
      <c r="E39" s="1">
        <v>79</v>
      </c>
      <c r="G39" s="1" t="s">
        <v>123</v>
      </c>
      <c r="H39" s="1" t="s">
        <v>230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156</v>
      </c>
      <c r="C40" s="1">
        <v>174</v>
      </c>
      <c r="D40" s="1">
        <v>86</v>
      </c>
      <c r="E40" s="1">
        <v>79</v>
      </c>
      <c r="G40" s="1" t="s">
        <v>124</v>
      </c>
      <c r="H40" s="1" t="s">
        <v>231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157</v>
      </c>
      <c r="C41" s="1">
        <v>168</v>
      </c>
      <c r="D41" s="1">
        <v>87</v>
      </c>
      <c r="E41" s="1">
        <v>79</v>
      </c>
      <c r="G41" s="1" t="s">
        <v>125</v>
      </c>
      <c r="H41" s="1" t="s">
        <v>232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158</v>
      </c>
      <c r="C42" s="1">
        <v>252</v>
      </c>
      <c r="D42" s="1">
        <v>88</v>
      </c>
      <c r="E42" s="1">
        <v>79</v>
      </c>
      <c r="G42" s="1" t="s">
        <v>126</v>
      </c>
      <c r="H42" s="1" t="s">
        <v>233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159</v>
      </c>
      <c r="C43" s="1">
        <v>170</v>
      </c>
      <c r="D43" s="1">
        <v>89</v>
      </c>
      <c r="E43" s="1">
        <v>79</v>
      </c>
      <c r="G43" s="1" t="s">
        <v>127</v>
      </c>
      <c r="H43" s="1" t="s">
        <v>234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160</v>
      </c>
      <c r="C44" s="1">
        <v>260</v>
      </c>
      <c r="D44" s="1">
        <v>90</v>
      </c>
      <c r="E44" s="1">
        <v>79</v>
      </c>
      <c r="G44" s="1" t="s">
        <v>128</v>
      </c>
      <c r="H44" s="1" t="s">
        <v>235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161</v>
      </c>
      <c r="C45" s="1">
        <v>256</v>
      </c>
      <c r="D45" s="1">
        <v>91</v>
      </c>
      <c r="E45" s="1">
        <v>79</v>
      </c>
      <c r="G45" s="1" t="s">
        <v>129</v>
      </c>
      <c r="H45" s="1" t="s">
        <v>236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162</v>
      </c>
      <c r="C46" s="1">
        <v>175</v>
      </c>
      <c r="D46" s="1">
        <v>92</v>
      </c>
      <c r="E46" s="1">
        <v>79</v>
      </c>
      <c r="G46" s="1" t="s">
        <v>130</v>
      </c>
      <c r="H46" s="1" t="s">
        <v>237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163</v>
      </c>
      <c r="C47" s="1">
        <v>268</v>
      </c>
      <c r="D47" s="1">
        <v>93</v>
      </c>
      <c r="E47" s="1">
        <v>79</v>
      </c>
      <c r="G47" s="1" t="s">
        <v>131</v>
      </c>
      <c r="H47" s="1" t="s">
        <v>238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164</v>
      </c>
      <c r="C48" s="1">
        <v>261</v>
      </c>
      <c r="D48" s="1">
        <v>94</v>
      </c>
      <c r="E48" s="1">
        <v>79</v>
      </c>
      <c r="G48" s="1" t="s">
        <v>132</v>
      </c>
      <c r="H48" s="1" t="s">
        <v>239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165</v>
      </c>
      <c r="C49" s="1">
        <v>169</v>
      </c>
      <c r="D49" s="1">
        <v>95</v>
      </c>
      <c r="E49" s="1">
        <v>79</v>
      </c>
      <c r="G49" s="1" t="s">
        <v>133</v>
      </c>
      <c r="H49" s="1" t="s">
        <v>240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241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242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243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244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245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2023-12-31T15:52:50Z</dcterms:modified>
</cp:coreProperties>
</file>