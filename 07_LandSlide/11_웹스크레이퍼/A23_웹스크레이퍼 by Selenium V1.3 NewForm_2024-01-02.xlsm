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126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83BFBFFA-B5CA-4199-AEA1-0E2469C2F83C}" xr6:coauthVersionLast="47" xr6:coauthVersionMax="47" xr10:uidLastSave="{00000000-0000-0000-0000-000000000000}"/>
  <bookViews>
    <workbookView xWindow="4815" yWindow="720" windowWidth="27675" windowHeight="19665" tabRatio="526" xr2:uid="{00000000-000D-0000-FFFF-FFFF00000000}"/>
  </bookViews>
  <sheets>
    <sheet name="서울" sheetId="166" r:id="rId1"/>
    <sheet name="천안" sheetId="165" r:id="rId2"/>
    <sheet name="서산" sheetId="164" r:id="rId3"/>
    <sheet name="부여" sheetId="163" r:id="rId4"/>
    <sheet name="보령" sheetId="162" r:id="rId5"/>
    <sheet name="금산" sheetId="161" r:id="rId6"/>
    <sheet name="대전" sheetId="160" r:id="rId7"/>
    <sheet name="main" sheetId="103" r:id="rId8"/>
    <sheet name="AREA" sheetId="143" state="hidden" r:id="rId9"/>
  </sheets>
  <functionGroups builtInGroupCount="19"/>
  <definedNames>
    <definedName name="CategoryA_Area" localSheetId="5">tblLocation[Area]</definedName>
    <definedName name="CategoryA_Area" localSheetId="6">tblLocation[Area]</definedName>
    <definedName name="CategoryA_Area" localSheetId="4">tblLocation[Area]</definedName>
    <definedName name="CategoryA_Area" localSheetId="3">tblLocation[Area]</definedName>
    <definedName name="CategoryA_Area" localSheetId="2">tblLocation[Area]</definedName>
    <definedName name="CategoryA_Area" localSheetId="0">tblLocation[Area]</definedName>
    <definedName name="CategoryA_Area" localSheetId="1">tblLocation[Area]</definedName>
    <definedName name="CategoryA_Area">tblLocation[Area]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N53" i="166" l="1"/>
  <c r="M53" i="166"/>
  <c r="L53" i="166"/>
  <c r="K53" i="166"/>
  <c r="J53" i="166"/>
  <c r="I53" i="166"/>
  <c r="H53" i="166"/>
  <c r="G53" i="166"/>
  <c r="F53" i="166"/>
  <c r="E53" i="166"/>
  <c r="D53" i="166"/>
  <c r="C53" i="166"/>
  <c r="B53" i="166"/>
  <c r="N52" i="166"/>
  <c r="M52" i="166"/>
  <c r="L52" i="166"/>
  <c r="K52" i="166"/>
  <c r="J52" i="166"/>
  <c r="I52" i="166"/>
  <c r="H52" i="166"/>
  <c r="G52" i="166"/>
  <c r="F52" i="166"/>
  <c r="E52" i="166"/>
  <c r="D52" i="166"/>
  <c r="C52" i="166"/>
  <c r="B52" i="166"/>
  <c r="N51" i="166"/>
  <c r="M51" i="166"/>
  <c r="L51" i="166"/>
  <c r="K51" i="166"/>
  <c r="J51" i="166"/>
  <c r="I51" i="166"/>
  <c r="H51" i="166"/>
  <c r="G51" i="166"/>
  <c r="F51" i="166"/>
  <c r="E51" i="166"/>
  <c r="D51" i="166"/>
  <c r="C51" i="166"/>
  <c r="B51" i="166"/>
  <c r="N50" i="166"/>
  <c r="M50" i="166"/>
  <c r="L50" i="166"/>
  <c r="K50" i="166"/>
  <c r="J50" i="166"/>
  <c r="I50" i="166"/>
  <c r="H50" i="166"/>
  <c r="G50" i="166"/>
  <c r="F50" i="166"/>
  <c r="E50" i="166"/>
  <c r="D50" i="166"/>
  <c r="C50" i="166"/>
  <c r="B50" i="166"/>
  <c r="N49" i="166"/>
  <c r="M49" i="166"/>
  <c r="L49" i="166"/>
  <c r="K49" i="166"/>
  <c r="J49" i="166"/>
  <c r="I49" i="166"/>
  <c r="H49" i="166"/>
  <c r="G49" i="166"/>
  <c r="F49" i="166"/>
  <c r="E49" i="166"/>
  <c r="D49" i="166"/>
  <c r="C49" i="166"/>
  <c r="B49" i="166"/>
  <c r="N48" i="166"/>
  <c r="M48" i="166"/>
  <c r="L48" i="166"/>
  <c r="K48" i="166"/>
  <c r="J48" i="166"/>
  <c r="I48" i="166"/>
  <c r="H48" i="166"/>
  <c r="G48" i="166"/>
  <c r="F48" i="166"/>
  <c r="E48" i="166"/>
  <c r="D48" i="166"/>
  <c r="C48" i="166"/>
  <c r="B48" i="166"/>
  <c r="N47" i="166"/>
  <c r="M47" i="166"/>
  <c r="L47" i="166"/>
  <c r="K47" i="166"/>
  <c r="J47" i="166"/>
  <c r="I47" i="166"/>
  <c r="H47" i="166"/>
  <c r="G47" i="166"/>
  <c r="F47" i="166"/>
  <c r="E47" i="166"/>
  <c r="D47" i="166"/>
  <c r="C47" i="166"/>
  <c r="B47" i="166"/>
  <c r="N46" i="166"/>
  <c r="M46" i="166"/>
  <c r="L46" i="166"/>
  <c r="K46" i="166"/>
  <c r="J46" i="166"/>
  <c r="I46" i="166"/>
  <c r="H46" i="166"/>
  <c r="G46" i="166"/>
  <c r="F46" i="166"/>
  <c r="E46" i="166"/>
  <c r="D46" i="166"/>
  <c r="C46" i="166"/>
  <c r="B46" i="166"/>
  <c r="N45" i="166"/>
  <c r="N56" i="166" s="1"/>
  <c r="M45" i="166"/>
  <c r="L45" i="166"/>
  <c r="K45" i="166"/>
  <c r="J45" i="166"/>
  <c r="I45" i="166"/>
  <c r="H45" i="166"/>
  <c r="G45" i="166"/>
  <c r="F45" i="166"/>
  <c r="E45" i="166"/>
  <c r="D45" i="166"/>
  <c r="C45" i="166"/>
  <c r="B45" i="166"/>
  <c r="N44" i="166"/>
  <c r="M44" i="166"/>
  <c r="L44" i="166"/>
  <c r="K44" i="166"/>
  <c r="J44" i="166"/>
  <c r="I44" i="166"/>
  <c r="H44" i="166"/>
  <c r="G44" i="166"/>
  <c r="F44" i="166"/>
  <c r="E44" i="166"/>
  <c r="D44" i="166"/>
  <c r="D56" i="166" s="1"/>
  <c r="C44" i="166"/>
  <c r="C56" i="166" s="1"/>
  <c r="B44" i="166"/>
  <c r="N38" i="166"/>
  <c r="M38" i="166"/>
  <c r="L38" i="166"/>
  <c r="K38" i="166"/>
  <c r="J38" i="166"/>
  <c r="I38" i="166"/>
  <c r="H38" i="166"/>
  <c r="G38" i="166"/>
  <c r="F38" i="166"/>
  <c r="E38" i="166"/>
  <c r="D38" i="166"/>
  <c r="C38" i="166"/>
  <c r="N37" i="166"/>
  <c r="M37" i="166"/>
  <c r="L37" i="166"/>
  <c r="K37" i="166"/>
  <c r="J37" i="166"/>
  <c r="I37" i="166"/>
  <c r="H37" i="166"/>
  <c r="G37" i="166"/>
  <c r="F37" i="166"/>
  <c r="E37" i="166"/>
  <c r="D37" i="166"/>
  <c r="C37" i="166"/>
  <c r="N36" i="166"/>
  <c r="M36" i="166"/>
  <c r="L36" i="166"/>
  <c r="K36" i="166"/>
  <c r="J36" i="166"/>
  <c r="I36" i="166"/>
  <c r="H36" i="166"/>
  <c r="G36" i="166"/>
  <c r="F36" i="166"/>
  <c r="E36" i="166"/>
  <c r="D36" i="166"/>
  <c r="C36" i="166"/>
  <c r="O35" i="166"/>
  <c r="P35" i="166" s="1"/>
  <c r="P34" i="166"/>
  <c r="O34" i="166"/>
  <c r="O33" i="166"/>
  <c r="P33" i="166" s="1"/>
  <c r="O32" i="166"/>
  <c r="P32" i="166" s="1"/>
  <c r="O31" i="166"/>
  <c r="P31" i="166" s="1"/>
  <c r="O30" i="166"/>
  <c r="P30" i="166" s="1"/>
  <c r="O29" i="166"/>
  <c r="P29" i="166" s="1"/>
  <c r="O28" i="166"/>
  <c r="P28" i="166" s="1"/>
  <c r="O27" i="166"/>
  <c r="P27" i="166" s="1"/>
  <c r="O26" i="166"/>
  <c r="P26" i="166" s="1"/>
  <c r="O25" i="166"/>
  <c r="P25" i="166" s="1"/>
  <c r="O24" i="166"/>
  <c r="P24" i="166" s="1"/>
  <c r="O23" i="166"/>
  <c r="P23" i="166" s="1"/>
  <c r="O22" i="166"/>
  <c r="P22" i="166" s="1"/>
  <c r="P21" i="166"/>
  <c r="O21" i="166"/>
  <c r="O20" i="166"/>
  <c r="P20" i="166" s="1"/>
  <c r="O19" i="166"/>
  <c r="P19" i="166" s="1"/>
  <c r="O18" i="166"/>
  <c r="P18" i="166" s="1"/>
  <c r="O17" i="166"/>
  <c r="P17" i="166" s="1"/>
  <c r="P16" i="166"/>
  <c r="O16" i="166"/>
  <c r="O15" i="166"/>
  <c r="P15" i="166" s="1"/>
  <c r="O14" i="166"/>
  <c r="P14" i="166" s="1"/>
  <c r="O13" i="166"/>
  <c r="P13" i="166" s="1"/>
  <c r="O12" i="166"/>
  <c r="P12" i="166" s="1"/>
  <c r="O11" i="166"/>
  <c r="P11" i="166" s="1"/>
  <c r="O10" i="166"/>
  <c r="P10" i="166" s="1"/>
  <c r="O9" i="166"/>
  <c r="P9" i="166" s="1"/>
  <c r="O8" i="166"/>
  <c r="O7" i="166"/>
  <c r="P7" i="166" s="1"/>
  <c r="O6" i="166"/>
  <c r="P6" i="166" s="1"/>
  <c r="O6" i="161"/>
  <c r="O7" i="161"/>
  <c r="N53" i="165"/>
  <c r="M53" i="165"/>
  <c r="L53" i="165"/>
  <c r="K53" i="165"/>
  <c r="J53" i="165"/>
  <c r="I53" i="165"/>
  <c r="H53" i="165"/>
  <c r="G53" i="165"/>
  <c r="F53" i="165"/>
  <c r="E53" i="165"/>
  <c r="D53" i="165"/>
  <c r="C53" i="165"/>
  <c r="B53" i="165"/>
  <c r="N52" i="165"/>
  <c r="M52" i="165"/>
  <c r="L52" i="165"/>
  <c r="K52" i="165"/>
  <c r="J52" i="165"/>
  <c r="I52" i="165"/>
  <c r="H52" i="165"/>
  <c r="G52" i="165"/>
  <c r="F52" i="165"/>
  <c r="E52" i="165"/>
  <c r="D52" i="165"/>
  <c r="C52" i="165"/>
  <c r="B52" i="165"/>
  <c r="N51" i="165"/>
  <c r="M51" i="165"/>
  <c r="L51" i="165"/>
  <c r="K51" i="165"/>
  <c r="J51" i="165"/>
  <c r="I51" i="165"/>
  <c r="H51" i="165"/>
  <c r="G51" i="165"/>
  <c r="F51" i="165"/>
  <c r="E51" i="165"/>
  <c r="D51" i="165"/>
  <c r="C51" i="165"/>
  <c r="B51" i="165"/>
  <c r="N50" i="165"/>
  <c r="M50" i="165"/>
  <c r="L50" i="165"/>
  <c r="K50" i="165"/>
  <c r="J50" i="165"/>
  <c r="I50" i="165"/>
  <c r="H50" i="165"/>
  <c r="G50" i="165"/>
  <c r="F50" i="165"/>
  <c r="E50" i="165"/>
  <c r="D50" i="165"/>
  <c r="C50" i="165"/>
  <c r="B50" i="165"/>
  <c r="N49" i="165"/>
  <c r="M49" i="165"/>
  <c r="L49" i="165"/>
  <c r="K49" i="165"/>
  <c r="J49" i="165"/>
  <c r="I49" i="165"/>
  <c r="H49" i="165"/>
  <c r="G49" i="165"/>
  <c r="F49" i="165"/>
  <c r="E49" i="165"/>
  <c r="D49" i="165"/>
  <c r="C49" i="165"/>
  <c r="B49" i="165"/>
  <c r="N48" i="165"/>
  <c r="M48" i="165"/>
  <c r="L48" i="165"/>
  <c r="K48" i="165"/>
  <c r="J48" i="165"/>
  <c r="I48" i="165"/>
  <c r="H48" i="165"/>
  <c r="G48" i="165"/>
  <c r="F48" i="165"/>
  <c r="E48" i="165"/>
  <c r="D48" i="165"/>
  <c r="C48" i="165"/>
  <c r="B48" i="165"/>
  <c r="N47" i="165"/>
  <c r="M47" i="165"/>
  <c r="L47" i="165"/>
  <c r="L56" i="165" s="1"/>
  <c r="K47" i="165"/>
  <c r="J47" i="165"/>
  <c r="I47" i="165"/>
  <c r="H47" i="165"/>
  <c r="G47" i="165"/>
  <c r="F47" i="165"/>
  <c r="E47" i="165"/>
  <c r="D47" i="165"/>
  <c r="C47" i="165"/>
  <c r="B47" i="165"/>
  <c r="N46" i="165"/>
  <c r="M46" i="165"/>
  <c r="L46" i="165"/>
  <c r="K46" i="165"/>
  <c r="J46" i="165"/>
  <c r="I46" i="165"/>
  <c r="H46" i="165"/>
  <c r="G46" i="165"/>
  <c r="F46" i="165"/>
  <c r="E46" i="165"/>
  <c r="D46" i="165"/>
  <c r="C46" i="165"/>
  <c r="B46" i="165"/>
  <c r="N45" i="165"/>
  <c r="M45" i="165"/>
  <c r="L45" i="165"/>
  <c r="K45" i="165"/>
  <c r="J45" i="165"/>
  <c r="I45" i="165"/>
  <c r="H45" i="165"/>
  <c r="G45" i="165"/>
  <c r="F45" i="165"/>
  <c r="E45" i="165"/>
  <c r="D45" i="165"/>
  <c r="C45" i="165"/>
  <c r="B45" i="165"/>
  <c r="N44" i="165"/>
  <c r="M44" i="165"/>
  <c r="L44" i="165"/>
  <c r="K44" i="165"/>
  <c r="J44" i="165"/>
  <c r="I44" i="165"/>
  <c r="H44" i="165"/>
  <c r="G44" i="165"/>
  <c r="F44" i="165"/>
  <c r="E44" i="165"/>
  <c r="E55" i="165" s="1"/>
  <c r="D44" i="165"/>
  <c r="D55" i="165" s="1"/>
  <c r="C44" i="165"/>
  <c r="C56" i="165" s="1"/>
  <c r="B44" i="165"/>
  <c r="N38" i="165"/>
  <c r="M38" i="165"/>
  <c r="L38" i="165"/>
  <c r="K38" i="165"/>
  <c r="J38" i="165"/>
  <c r="I38" i="165"/>
  <c r="H38" i="165"/>
  <c r="G38" i="165"/>
  <c r="F38" i="165"/>
  <c r="E38" i="165"/>
  <c r="D38" i="165"/>
  <c r="C38" i="165"/>
  <c r="N37" i="165"/>
  <c r="M37" i="165"/>
  <c r="L37" i="165"/>
  <c r="K37" i="165"/>
  <c r="J37" i="165"/>
  <c r="I37" i="165"/>
  <c r="H37" i="165"/>
  <c r="G37" i="165"/>
  <c r="F37" i="165"/>
  <c r="E37" i="165"/>
  <c r="D37" i="165"/>
  <c r="C37" i="165"/>
  <c r="N36" i="165"/>
  <c r="M36" i="165"/>
  <c r="L36" i="165"/>
  <c r="K36" i="165"/>
  <c r="J36" i="165"/>
  <c r="I36" i="165"/>
  <c r="H36" i="165"/>
  <c r="G36" i="165"/>
  <c r="F36" i="165"/>
  <c r="E36" i="165"/>
  <c r="D36" i="165"/>
  <c r="C36" i="165"/>
  <c r="O35" i="165"/>
  <c r="P35" i="165" s="1"/>
  <c r="O34" i="165"/>
  <c r="P34" i="165" s="1"/>
  <c r="O33" i="165"/>
  <c r="P33" i="165" s="1"/>
  <c r="O32" i="165"/>
  <c r="P32" i="165" s="1"/>
  <c r="O31" i="165"/>
  <c r="P31" i="165" s="1"/>
  <c r="P30" i="165"/>
  <c r="O30" i="165"/>
  <c r="O29" i="165"/>
  <c r="P29" i="165" s="1"/>
  <c r="O28" i="165"/>
  <c r="P28" i="165" s="1"/>
  <c r="O27" i="165"/>
  <c r="P27" i="165" s="1"/>
  <c r="P26" i="165"/>
  <c r="O26" i="165"/>
  <c r="O25" i="165"/>
  <c r="P25" i="165" s="1"/>
  <c r="P24" i="165"/>
  <c r="O24" i="165"/>
  <c r="O23" i="165"/>
  <c r="P23" i="165" s="1"/>
  <c r="O22" i="165"/>
  <c r="P22" i="165" s="1"/>
  <c r="O21" i="165"/>
  <c r="P21" i="165" s="1"/>
  <c r="O20" i="165"/>
  <c r="P20" i="165" s="1"/>
  <c r="O19" i="165"/>
  <c r="P19" i="165" s="1"/>
  <c r="P18" i="165"/>
  <c r="O18" i="165"/>
  <c r="O17" i="165"/>
  <c r="P17" i="165" s="1"/>
  <c r="O16" i="165"/>
  <c r="P16" i="165" s="1"/>
  <c r="O15" i="165"/>
  <c r="P15" i="165" s="1"/>
  <c r="O14" i="165"/>
  <c r="P14" i="165" s="1"/>
  <c r="O13" i="165"/>
  <c r="P13" i="165" s="1"/>
  <c r="P12" i="165"/>
  <c r="O12" i="165"/>
  <c r="O11" i="165"/>
  <c r="P11" i="165" s="1"/>
  <c r="O10" i="165"/>
  <c r="P10" i="165" s="1"/>
  <c r="O9" i="165"/>
  <c r="P9" i="165" s="1"/>
  <c r="O8" i="165"/>
  <c r="P8" i="165" s="1"/>
  <c r="O7" i="165"/>
  <c r="P7" i="165" s="1"/>
  <c r="O6" i="165"/>
  <c r="N53" i="164"/>
  <c r="M53" i="164"/>
  <c r="L53" i="164"/>
  <c r="K53" i="164"/>
  <c r="J53" i="164"/>
  <c r="I53" i="164"/>
  <c r="H53" i="164"/>
  <c r="G53" i="164"/>
  <c r="F53" i="164"/>
  <c r="E53" i="164"/>
  <c r="D53" i="164"/>
  <c r="C53" i="164"/>
  <c r="B53" i="164"/>
  <c r="N52" i="164"/>
  <c r="M52" i="164"/>
  <c r="L52" i="164"/>
  <c r="K52" i="164"/>
  <c r="J52" i="164"/>
  <c r="I52" i="164"/>
  <c r="H52" i="164"/>
  <c r="G52" i="164"/>
  <c r="F52" i="164"/>
  <c r="E52" i="164"/>
  <c r="D52" i="164"/>
  <c r="C52" i="164"/>
  <c r="B52" i="164"/>
  <c r="N51" i="164"/>
  <c r="M51" i="164"/>
  <c r="L51" i="164"/>
  <c r="K51" i="164"/>
  <c r="J51" i="164"/>
  <c r="I51" i="164"/>
  <c r="H51" i="164"/>
  <c r="G51" i="164"/>
  <c r="F51" i="164"/>
  <c r="E51" i="164"/>
  <c r="D51" i="164"/>
  <c r="C51" i="164"/>
  <c r="B51" i="164"/>
  <c r="N50" i="164"/>
  <c r="M50" i="164"/>
  <c r="L50" i="164"/>
  <c r="K50" i="164"/>
  <c r="J50" i="164"/>
  <c r="I50" i="164"/>
  <c r="H50" i="164"/>
  <c r="G50" i="164"/>
  <c r="F50" i="164"/>
  <c r="E50" i="164"/>
  <c r="D50" i="164"/>
  <c r="C50" i="164"/>
  <c r="B50" i="164"/>
  <c r="N49" i="164"/>
  <c r="M49" i="164"/>
  <c r="L49" i="164"/>
  <c r="K49" i="164"/>
  <c r="J49" i="164"/>
  <c r="I49" i="164"/>
  <c r="H49" i="164"/>
  <c r="G49" i="164"/>
  <c r="F49" i="164"/>
  <c r="E49" i="164"/>
  <c r="D49" i="164"/>
  <c r="C49" i="164"/>
  <c r="B49" i="164"/>
  <c r="N48" i="164"/>
  <c r="M48" i="164"/>
  <c r="L48" i="164"/>
  <c r="K48" i="164"/>
  <c r="J48" i="164"/>
  <c r="I48" i="164"/>
  <c r="H48" i="164"/>
  <c r="G48" i="164"/>
  <c r="F48" i="164"/>
  <c r="E48" i="164"/>
  <c r="D48" i="164"/>
  <c r="C48" i="164"/>
  <c r="O48" i="164" s="1"/>
  <c r="P48" i="164" s="1"/>
  <c r="B48" i="164"/>
  <c r="N47" i="164"/>
  <c r="N56" i="164" s="1"/>
  <c r="M47" i="164"/>
  <c r="L47" i="164"/>
  <c r="K47" i="164"/>
  <c r="J47" i="164"/>
  <c r="I47" i="164"/>
  <c r="H47" i="164"/>
  <c r="G47" i="164"/>
  <c r="F47" i="164"/>
  <c r="E47" i="164"/>
  <c r="D47" i="164"/>
  <c r="C47" i="164"/>
  <c r="B47" i="164"/>
  <c r="N46" i="164"/>
  <c r="M46" i="164"/>
  <c r="L46" i="164"/>
  <c r="K46" i="164"/>
  <c r="J46" i="164"/>
  <c r="I46" i="164"/>
  <c r="H46" i="164"/>
  <c r="G46" i="164"/>
  <c r="F46" i="164"/>
  <c r="E46" i="164"/>
  <c r="D46" i="164"/>
  <c r="C46" i="164"/>
  <c r="O46" i="164" s="1"/>
  <c r="P46" i="164" s="1"/>
  <c r="B46" i="164"/>
  <c r="N45" i="164"/>
  <c r="M45" i="164"/>
  <c r="L45" i="164"/>
  <c r="K45" i="164"/>
  <c r="J45" i="164"/>
  <c r="I45" i="164"/>
  <c r="H45" i="164"/>
  <c r="G45" i="164"/>
  <c r="F45" i="164"/>
  <c r="E45" i="164"/>
  <c r="D45" i="164"/>
  <c r="C45" i="164"/>
  <c r="B45" i="164"/>
  <c r="N44" i="164"/>
  <c r="M44" i="164"/>
  <c r="L44" i="164"/>
  <c r="K44" i="164"/>
  <c r="J44" i="164"/>
  <c r="I44" i="164"/>
  <c r="H44" i="164"/>
  <c r="G44" i="164"/>
  <c r="F44" i="164"/>
  <c r="F55" i="164" s="1"/>
  <c r="E44" i="164"/>
  <c r="E55" i="164" s="1"/>
  <c r="D44" i="164"/>
  <c r="C44" i="164"/>
  <c r="B44" i="164"/>
  <c r="N38" i="164"/>
  <c r="M38" i="164"/>
  <c r="L38" i="164"/>
  <c r="K38" i="164"/>
  <c r="J38" i="164"/>
  <c r="I38" i="164"/>
  <c r="H38" i="164"/>
  <c r="G38" i="164"/>
  <c r="F38" i="164"/>
  <c r="E38" i="164"/>
  <c r="D38" i="164"/>
  <c r="C38" i="164"/>
  <c r="N37" i="164"/>
  <c r="M37" i="164"/>
  <c r="L37" i="164"/>
  <c r="K37" i="164"/>
  <c r="J37" i="164"/>
  <c r="I37" i="164"/>
  <c r="H37" i="164"/>
  <c r="G37" i="164"/>
  <c r="F37" i="164"/>
  <c r="E37" i="164"/>
  <c r="D37" i="164"/>
  <c r="C37" i="164"/>
  <c r="N36" i="164"/>
  <c r="M36" i="164"/>
  <c r="L36" i="164"/>
  <c r="K36" i="164"/>
  <c r="J36" i="164"/>
  <c r="I36" i="164"/>
  <c r="H36" i="164"/>
  <c r="G36" i="164"/>
  <c r="F36" i="164"/>
  <c r="E36" i="164"/>
  <c r="D36" i="164"/>
  <c r="C36" i="164"/>
  <c r="O35" i="164"/>
  <c r="P35" i="164" s="1"/>
  <c r="O34" i="164"/>
  <c r="P34" i="164" s="1"/>
  <c r="O33" i="164"/>
  <c r="P33" i="164" s="1"/>
  <c r="O32" i="164"/>
  <c r="P32" i="164" s="1"/>
  <c r="O31" i="164"/>
  <c r="P31" i="164" s="1"/>
  <c r="O30" i="164"/>
  <c r="P30" i="164" s="1"/>
  <c r="O29" i="164"/>
  <c r="P29" i="164" s="1"/>
  <c r="O28" i="164"/>
  <c r="P28" i="164" s="1"/>
  <c r="O27" i="164"/>
  <c r="P27" i="164" s="1"/>
  <c r="O26" i="164"/>
  <c r="P26" i="164" s="1"/>
  <c r="O25" i="164"/>
  <c r="P25" i="164" s="1"/>
  <c r="O24" i="164"/>
  <c r="P24" i="164" s="1"/>
  <c r="O23" i="164"/>
  <c r="P23" i="164" s="1"/>
  <c r="O22" i="164"/>
  <c r="P22" i="164" s="1"/>
  <c r="O21" i="164"/>
  <c r="P21" i="164" s="1"/>
  <c r="P20" i="164"/>
  <c r="O20" i="164"/>
  <c r="O19" i="164"/>
  <c r="P19" i="164" s="1"/>
  <c r="O18" i="164"/>
  <c r="P18" i="164" s="1"/>
  <c r="O17" i="164"/>
  <c r="P17" i="164" s="1"/>
  <c r="O16" i="164"/>
  <c r="P16" i="164" s="1"/>
  <c r="O15" i="164"/>
  <c r="P15" i="164" s="1"/>
  <c r="O14" i="164"/>
  <c r="P14" i="164" s="1"/>
  <c r="O13" i="164"/>
  <c r="P13" i="164" s="1"/>
  <c r="O12" i="164"/>
  <c r="P12" i="164" s="1"/>
  <c r="P11" i="164"/>
  <c r="O11" i="164"/>
  <c r="O10" i="164"/>
  <c r="P10" i="164" s="1"/>
  <c r="O9" i="164"/>
  <c r="P9" i="164" s="1"/>
  <c r="O8" i="164"/>
  <c r="P8" i="164" s="1"/>
  <c r="O7" i="164"/>
  <c r="P7" i="164" s="1"/>
  <c r="O6" i="164"/>
  <c r="N53" i="163"/>
  <c r="M53" i="163"/>
  <c r="L53" i="163"/>
  <c r="K53" i="163"/>
  <c r="J53" i="163"/>
  <c r="I53" i="163"/>
  <c r="H53" i="163"/>
  <c r="G53" i="163"/>
  <c r="F53" i="163"/>
  <c r="E53" i="163"/>
  <c r="D53" i="163"/>
  <c r="C53" i="163"/>
  <c r="B53" i="163"/>
  <c r="N52" i="163"/>
  <c r="M52" i="163"/>
  <c r="L52" i="163"/>
  <c r="K52" i="163"/>
  <c r="J52" i="163"/>
  <c r="I52" i="163"/>
  <c r="H52" i="163"/>
  <c r="G52" i="163"/>
  <c r="F52" i="163"/>
  <c r="E52" i="163"/>
  <c r="D52" i="163"/>
  <c r="C52" i="163"/>
  <c r="B52" i="163"/>
  <c r="N51" i="163"/>
  <c r="M51" i="163"/>
  <c r="L51" i="163"/>
  <c r="K51" i="163"/>
  <c r="J51" i="163"/>
  <c r="I51" i="163"/>
  <c r="H51" i="163"/>
  <c r="G51" i="163"/>
  <c r="F51" i="163"/>
  <c r="E51" i="163"/>
  <c r="D51" i="163"/>
  <c r="C51" i="163"/>
  <c r="B51" i="163"/>
  <c r="N50" i="163"/>
  <c r="M50" i="163"/>
  <c r="L50" i="163"/>
  <c r="K50" i="163"/>
  <c r="J50" i="163"/>
  <c r="I50" i="163"/>
  <c r="H50" i="163"/>
  <c r="G50" i="163"/>
  <c r="F50" i="163"/>
  <c r="E50" i="163"/>
  <c r="D50" i="163"/>
  <c r="C50" i="163"/>
  <c r="B50" i="163"/>
  <c r="N49" i="163"/>
  <c r="M49" i="163"/>
  <c r="L49" i="163"/>
  <c r="K49" i="163"/>
  <c r="J49" i="163"/>
  <c r="I49" i="163"/>
  <c r="H49" i="163"/>
  <c r="G49" i="163"/>
  <c r="F49" i="163"/>
  <c r="E49" i="163"/>
  <c r="D49" i="163"/>
  <c r="C49" i="163"/>
  <c r="B49" i="163"/>
  <c r="N48" i="163"/>
  <c r="M48" i="163"/>
  <c r="L48" i="163"/>
  <c r="K48" i="163"/>
  <c r="J48" i="163"/>
  <c r="I48" i="163"/>
  <c r="H48" i="163"/>
  <c r="G48" i="163"/>
  <c r="F48" i="163"/>
  <c r="E48" i="163"/>
  <c r="D48" i="163"/>
  <c r="C48" i="163"/>
  <c r="B48" i="163"/>
  <c r="N47" i="163"/>
  <c r="M47" i="163"/>
  <c r="L47" i="163"/>
  <c r="K47" i="163"/>
  <c r="J47" i="163"/>
  <c r="I47" i="163"/>
  <c r="H47" i="163"/>
  <c r="G47" i="163"/>
  <c r="F47" i="163"/>
  <c r="E47" i="163"/>
  <c r="D47" i="163"/>
  <c r="C47" i="163"/>
  <c r="B47" i="163"/>
  <c r="N46" i="163"/>
  <c r="M46" i="163"/>
  <c r="L46" i="163"/>
  <c r="K46" i="163"/>
  <c r="J46" i="163"/>
  <c r="I46" i="163"/>
  <c r="H46" i="163"/>
  <c r="G46" i="163"/>
  <c r="F46" i="163"/>
  <c r="E46" i="163"/>
  <c r="D46" i="163"/>
  <c r="C46" i="163"/>
  <c r="B46" i="163"/>
  <c r="N45" i="163"/>
  <c r="M45" i="163"/>
  <c r="L45" i="163"/>
  <c r="K45" i="163"/>
  <c r="J45" i="163"/>
  <c r="I45" i="163"/>
  <c r="H45" i="163"/>
  <c r="G45" i="163"/>
  <c r="F45" i="163"/>
  <c r="E45" i="163"/>
  <c r="D45" i="163"/>
  <c r="C45" i="163"/>
  <c r="C56" i="163" s="1"/>
  <c r="B45" i="163"/>
  <c r="N44" i="163"/>
  <c r="M44" i="163"/>
  <c r="L44" i="163"/>
  <c r="K44" i="163"/>
  <c r="J44" i="163"/>
  <c r="I44" i="163"/>
  <c r="H44" i="163"/>
  <c r="G44" i="163"/>
  <c r="F44" i="163"/>
  <c r="E44" i="163"/>
  <c r="D44" i="163"/>
  <c r="D56" i="163" s="1"/>
  <c r="C44" i="163"/>
  <c r="B44" i="163"/>
  <c r="N38" i="163"/>
  <c r="M38" i="163"/>
  <c r="L38" i="163"/>
  <c r="K38" i="163"/>
  <c r="J38" i="163"/>
  <c r="I38" i="163"/>
  <c r="H38" i="163"/>
  <c r="G38" i="163"/>
  <c r="F38" i="163"/>
  <c r="E38" i="163"/>
  <c r="D38" i="163"/>
  <c r="C38" i="163"/>
  <c r="N37" i="163"/>
  <c r="M37" i="163"/>
  <c r="L37" i="163"/>
  <c r="K37" i="163"/>
  <c r="J37" i="163"/>
  <c r="I37" i="163"/>
  <c r="H37" i="163"/>
  <c r="G37" i="163"/>
  <c r="F37" i="163"/>
  <c r="E37" i="163"/>
  <c r="D37" i="163"/>
  <c r="C37" i="163"/>
  <c r="N36" i="163"/>
  <c r="M36" i="163"/>
  <c r="L36" i="163"/>
  <c r="K36" i="163"/>
  <c r="J36" i="163"/>
  <c r="I36" i="163"/>
  <c r="H36" i="163"/>
  <c r="G36" i="163"/>
  <c r="F36" i="163"/>
  <c r="E36" i="163"/>
  <c r="D36" i="163"/>
  <c r="C36" i="163"/>
  <c r="O35" i="163"/>
  <c r="P35" i="163" s="1"/>
  <c r="O34" i="163"/>
  <c r="P34" i="163" s="1"/>
  <c r="O33" i="163"/>
  <c r="P33" i="163" s="1"/>
  <c r="O32" i="163"/>
  <c r="P32" i="163" s="1"/>
  <c r="O31" i="163"/>
  <c r="P31" i="163" s="1"/>
  <c r="O30" i="163"/>
  <c r="P30" i="163" s="1"/>
  <c r="O29" i="163"/>
  <c r="P29" i="163" s="1"/>
  <c r="O28" i="163"/>
  <c r="P28" i="163" s="1"/>
  <c r="P27" i="163"/>
  <c r="O27" i="163"/>
  <c r="O26" i="163"/>
  <c r="P26" i="163" s="1"/>
  <c r="P25" i="163"/>
  <c r="O25" i="163"/>
  <c r="O24" i="163"/>
  <c r="P24" i="163" s="1"/>
  <c r="O23" i="163"/>
  <c r="P23" i="163" s="1"/>
  <c r="O22" i="163"/>
  <c r="P22" i="163" s="1"/>
  <c r="O21" i="163"/>
  <c r="P21" i="163" s="1"/>
  <c r="O20" i="163"/>
  <c r="P20" i="163" s="1"/>
  <c r="O19" i="163"/>
  <c r="P19" i="163" s="1"/>
  <c r="O18" i="163"/>
  <c r="P18" i="163" s="1"/>
  <c r="O17" i="163"/>
  <c r="P17" i="163" s="1"/>
  <c r="O16" i="163"/>
  <c r="P16" i="163" s="1"/>
  <c r="O15" i="163"/>
  <c r="P15" i="163" s="1"/>
  <c r="O14" i="163"/>
  <c r="P14" i="163" s="1"/>
  <c r="P13" i="163"/>
  <c r="O13" i="163"/>
  <c r="O12" i="163"/>
  <c r="P12" i="163" s="1"/>
  <c r="O11" i="163"/>
  <c r="P11" i="163" s="1"/>
  <c r="P10" i="163"/>
  <c r="O10" i="163"/>
  <c r="O9" i="163"/>
  <c r="P9" i="163" s="1"/>
  <c r="O8" i="163"/>
  <c r="P8" i="163" s="1"/>
  <c r="O7" i="163"/>
  <c r="P7" i="163" s="1"/>
  <c r="O6" i="163"/>
  <c r="N53" i="162"/>
  <c r="M53" i="162"/>
  <c r="L53" i="162"/>
  <c r="K53" i="162"/>
  <c r="J53" i="162"/>
  <c r="I53" i="162"/>
  <c r="H53" i="162"/>
  <c r="G53" i="162"/>
  <c r="F53" i="162"/>
  <c r="E53" i="162"/>
  <c r="D53" i="162"/>
  <c r="C53" i="162"/>
  <c r="B53" i="162"/>
  <c r="N52" i="162"/>
  <c r="M52" i="162"/>
  <c r="L52" i="162"/>
  <c r="K52" i="162"/>
  <c r="J52" i="162"/>
  <c r="I52" i="162"/>
  <c r="H52" i="162"/>
  <c r="G52" i="162"/>
  <c r="F52" i="162"/>
  <c r="E52" i="162"/>
  <c r="D52" i="162"/>
  <c r="C52" i="162"/>
  <c r="B52" i="162"/>
  <c r="N51" i="162"/>
  <c r="M51" i="162"/>
  <c r="L51" i="162"/>
  <c r="K51" i="162"/>
  <c r="J51" i="162"/>
  <c r="I51" i="162"/>
  <c r="H51" i="162"/>
  <c r="G51" i="162"/>
  <c r="F51" i="162"/>
  <c r="E51" i="162"/>
  <c r="D51" i="162"/>
  <c r="C51" i="162"/>
  <c r="B51" i="162"/>
  <c r="N50" i="162"/>
  <c r="M50" i="162"/>
  <c r="L50" i="162"/>
  <c r="K50" i="162"/>
  <c r="J50" i="162"/>
  <c r="I50" i="162"/>
  <c r="H50" i="162"/>
  <c r="G50" i="162"/>
  <c r="F50" i="162"/>
  <c r="E50" i="162"/>
  <c r="D50" i="162"/>
  <c r="C50" i="162"/>
  <c r="B50" i="162"/>
  <c r="N49" i="162"/>
  <c r="M49" i="162"/>
  <c r="L49" i="162"/>
  <c r="K49" i="162"/>
  <c r="J49" i="162"/>
  <c r="I49" i="162"/>
  <c r="H49" i="162"/>
  <c r="G49" i="162"/>
  <c r="F49" i="162"/>
  <c r="E49" i="162"/>
  <c r="D49" i="162"/>
  <c r="C49" i="162"/>
  <c r="B49" i="162"/>
  <c r="N48" i="162"/>
  <c r="M48" i="162"/>
  <c r="L48" i="162"/>
  <c r="K48" i="162"/>
  <c r="J48" i="162"/>
  <c r="I48" i="162"/>
  <c r="H48" i="162"/>
  <c r="G48" i="162"/>
  <c r="F48" i="162"/>
  <c r="E48" i="162"/>
  <c r="D48" i="162"/>
  <c r="C48" i="162"/>
  <c r="B48" i="162"/>
  <c r="N47" i="162"/>
  <c r="M47" i="162"/>
  <c r="L47" i="162"/>
  <c r="K47" i="162"/>
  <c r="J47" i="162"/>
  <c r="I47" i="162"/>
  <c r="H47" i="162"/>
  <c r="G47" i="162"/>
  <c r="F47" i="162"/>
  <c r="E47" i="162"/>
  <c r="D47" i="162"/>
  <c r="C47" i="162"/>
  <c r="O47" i="162" s="1"/>
  <c r="P47" i="162" s="1"/>
  <c r="B47" i="162"/>
  <c r="N46" i="162"/>
  <c r="M46" i="162"/>
  <c r="L46" i="162"/>
  <c r="K46" i="162"/>
  <c r="J46" i="162"/>
  <c r="I46" i="162"/>
  <c r="H46" i="162"/>
  <c r="G46" i="162"/>
  <c r="F46" i="162"/>
  <c r="E46" i="162"/>
  <c r="D46" i="162"/>
  <c r="C46" i="162"/>
  <c r="B46" i="162"/>
  <c r="N45" i="162"/>
  <c r="M45" i="162"/>
  <c r="L45" i="162"/>
  <c r="K45" i="162"/>
  <c r="J45" i="162"/>
  <c r="I45" i="162"/>
  <c r="H45" i="162"/>
  <c r="G45" i="162"/>
  <c r="F45" i="162"/>
  <c r="E45" i="162"/>
  <c r="D45" i="162"/>
  <c r="C45" i="162"/>
  <c r="B45" i="162"/>
  <c r="N44" i="162"/>
  <c r="M44" i="162"/>
  <c r="L44" i="162"/>
  <c r="K44" i="162"/>
  <c r="J44" i="162"/>
  <c r="I44" i="162"/>
  <c r="H44" i="162"/>
  <c r="G44" i="162"/>
  <c r="G54" i="162" s="1"/>
  <c r="F44" i="162"/>
  <c r="F54" i="162" s="1"/>
  <c r="E44" i="162"/>
  <c r="D44" i="162"/>
  <c r="C44" i="162"/>
  <c r="B44" i="162"/>
  <c r="N38" i="162"/>
  <c r="M38" i="162"/>
  <c r="L38" i="162"/>
  <c r="K38" i="162"/>
  <c r="J38" i="162"/>
  <c r="I38" i="162"/>
  <c r="H38" i="162"/>
  <c r="G38" i="162"/>
  <c r="F38" i="162"/>
  <c r="E38" i="162"/>
  <c r="D38" i="162"/>
  <c r="C38" i="162"/>
  <c r="N37" i="162"/>
  <c r="M37" i="162"/>
  <c r="L37" i="162"/>
  <c r="K37" i="162"/>
  <c r="J37" i="162"/>
  <c r="I37" i="162"/>
  <c r="H37" i="162"/>
  <c r="G37" i="162"/>
  <c r="F37" i="162"/>
  <c r="E37" i="162"/>
  <c r="D37" i="162"/>
  <c r="C37" i="162"/>
  <c r="N36" i="162"/>
  <c r="M36" i="162"/>
  <c r="L36" i="162"/>
  <c r="K36" i="162"/>
  <c r="J36" i="162"/>
  <c r="I36" i="162"/>
  <c r="H36" i="162"/>
  <c r="G36" i="162"/>
  <c r="F36" i="162"/>
  <c r="E36" i="162"/>
  <c r="D36" i="162"/>
  <c r="C36" i="162"/>
  <c r="O35" i="162"/>
  <c r="P35" i="162" s="1"/>
  <c r="O34" i="162"/>
  <c r="P34" i="162" s="1"/>
  <c r="O33" i="162"/>
  <c r="P33" i="162" s="1"/>
  <c r="O32" i="162"/>
  <c r="P32" i="162" s="1"/>
  <c r="O31" i="162"/>
  <c r="P31" i="162" s="1"/>
  <c r="O30" i="162"/>
  <c r="P30" i="162" s="1"/>
  <c r="P29" i="162"/>
  <c r="O29" i="162"/>
  <c r="O28" i="162"/>
  <c r="P28" i="162" s="1"/>
  <c r="O27" i="162"/>
  <c r="P27" i="162" s="1"/>
  <c r="O26" i="162"/>
  <c r="P26" i="162" s="1"/>
  <c r="O25" i="162"/>
  <c r="P25" i="162" s="1"/>
  <c r="O24" i="162"/>
  <c r="P24" i="162" s="1"/>
  <c r="O23" i="162"/>
  <c r="P23" i="162" s="1"/>
  <c r="O22" i="162"/>
  <c r="P22" i="162" s="1"/>
  <c r="O21" i="162"/>
  <c r="P21" i="162" s="1"/>
  <c r="P20" i="162"/>
  <c r="O20" i="162"/>
  <c r="O19" i="162"/>
  <c r="P19" i="162" s="1"/>
  <c r="O18" i="162"/>
  <c r="P18" i="162" s="1"/>
  <c r="O17" i="162"/>
  <c r="P17" i="162" s="1"/>
  <c r="O16" i="162"/>
  <c r="P16" i="162" s="1"/>
  <c r="O15" i="162"/>
  <c r="P15" i="162" s="1"/>
  <c r="O14" i="162"/>
  <c r="P14" i="162" s="1"/>
  <c r="O13" i="162"/>
  <c r="P13" i="162" s="1"/>
  <c r="O12" i="162"/>
  <c r="P12" i="162" s="1"/>
  <c r="P11" i="162"/>
  <c r="O11" i="162"/>
  <c r="O10" i="162"/>
  <c r="P10" i="162" s="1"/>
  <c r="O9" i="162"/>
  <c r="P9" i="162" s="1"/>
  <c r="O8" i="162"/>
  <c r="P8" i="162" s="1"/>
  <c r="O7" i="162"/>
  <c r="P7" i="162" s="1"/>
  <c r="O6" i="162"/>
  <c r="N53" i="161"/>
  <c r="M53" i="161"/>
  <c r="L53" i="161"/>
  <c r="K53" i="161"/>
  <c r="J53" i="161"/>
  <c r="I53" i="161"/>
  <c r="H53" i="161"/>
  <c r="G53" i="161"/>
  <c r="F53" i="161"/>
  <c r="E53" i="161"/>
  <c r="D53" i="161"/>
  <c r="C53" i="161"/>
  <c r="B53" i="161"/>
  <c r="N52" i="161"/>
  <c r="M52" i="161"/>
  <c r="L52" i="161"/>
  <c r="K52" i="161"/>
  <c r="J52" i="161"/>
  <c r="I52" i="161"/>
  <c r="H52" i="161"/>
  <c r="G52" i="161"/>
  <c r="F52" i="161"/>
  <c r="E52" i="161"/>
  <c r="D52" i="161"/>
  <c r="C52" i="161"/>
  <c r="B52" i="161"/>
  <c r="N51" i="161"/>
  <c r="M51" i="161"/>
  <c r="L51" i="161"/>
  <c r="K51" i="161"/>
  <c r="J51" i="161"/>
  <c r="I51" i="161"/>
  <c r="H51" i="161"/>
  <c r="G51" i="161"/>
  <c r="F51" i="161"/>
  <c r="E51" i="161"/>
  <c r="D51" i="161"/>
  <c r="C51" i="161"/>
  <c r="B51" i="161"/>
  <c r="N50" i="161"/>
  <c r="M50" i="161"/>
  <c r="L50" i="161"/>
  <c r="K50" i="161"/>
  <c r="J50" i="161"/>
  <c r="I50" i="161"/>
  <c r="H50" i="161"/>
  <c r="G50" i="161"/>
  <c r="F50" i="161"/>
  <c r="E50" i="161"/>
  <c r="D50" i="161"/>
  <c r="C50" i="161"/>
  <c r="B50" i="161"/>
  <c r="N49" i="161"/>
  <c r="M49" i="161"/>
  <c r="L49" i="161"/>
  <c r="K49" i="161"/>
  <c r="J49" i="161"/>
  <c r="I49" i="161"/>
  <c r="H49" i="161"/>
  <c r="G49" i="161"/>
  <c r="F49" i="161"/>
  <c r="E49" i="161"/>
  <c r="D49" i="161"/>
  <c r="C49" i="161"/>
  <c r="O49" i="161" s="1"/>
  <c r="P49" i="161" s="1"/>
  <c r="B49" i="161"/>
  <c r="N48" i="161"/>
  <c r="M48" i="161"/>
  <c r="L48" i="161"/>
  <c r="K48" i="161"/>
  <c r="J48" i="161"/>
  <c r="I48" i="161"/>
  <c r="H48" i="161"/>
  <c r="G48" i="161"/>
  <c r="F48" i="161"/>
  <c r="E48" i="161"/>
  <c r="D48" i="161"/>
  <c r="C48" i="161"/>
  <c r="B48" i="161"/>
  <c r="N47" i="161"/>
  <c r="M47" i="161"/>
  <c r="L47" i="161"/>
  <c r="K47" i="161"/>
  <c r="J47" i="161"/>
  <c r="I47" i="161"/>
  <c r="H47" i="161"/>
  <c r="G47" i="161"/>
  <c r="F47" i="161"/>
  <c r="E47" i="161"/>
  <c r="D47" i="161"/>
  <c r="C47" i="161"/>
  <c r="B47" i="161"/>
  <c r="N46" i="161"/>
  <c r="M46" i="161"/>
  <c r="L46" i="161"/>
  <c r="K46" i="161"/>
  <c r="J46" i="161"/>
  <c r="I46" i="161"/>
  <c r="H46" i="161"/>
  <c r="G46" i="161"/>
  <c r="F46" i="161"/>
  <c r="E46" i="161"/>
  <c r="D46" i="161"/>
  <c r="C46" i="161"/>
  <c r="B46" i="161"/>
  <c r="N45" i="161"/>
  <c r="M45" i="161"/>
  <c r="L45" i="161"/>
  <c r="K45" i="161"/>
  <c r="J45" i="161"/>
  <c r="I45" i="161"/>
  <c r="H45" i="161"/>
  <c r="G45" i="161"/>
  <c r="F45" i="161"/>
  <c r="E45" i="161"/>
  <c r="D45" i="161"/>
  <c r="C45" i="161"/>
  <c r="B45" i="161"/>
  <c r="N44" i="161"/>
  <c r="M44" i="161"/>
  <c r="L44" i="161"/>
  <c r="K44" i="161"/>
  <c r="J44" i="161"/>
  <c r="J56" i="161" s="1"/>
  <c r="I44" i="161"/>
  <c r="I56" i="161" s="1"/>
  <c r="H44" i="161"/>
  <c r="H54" i="161" s="1"/>
  <c r="G44" i="161"/>
  <c r="F44" i="161"/>
  <c r="F54" i="161" s="1"/>
  <c r="E44" i="161"/>
  <c r="D44" i="161"/>
  <c r="D54" i="161" s="1"/>
  <c r="C44" i="161"/>
  <c r="C54" i="161" s="1"/>
  <c r="B44" i="161"/>
  <c r="N38" i="161"/>
  <c r="M38" i="161"/>
  <c r="L38" i="161"/>
  <c r="K38" i="161"/>
  <c r="J38" i="161"/>
  <c r="I38" i="161"/>
  <c r="H38" i="161"/>
  <c r="G38" i="161"/>
  <c r="F38" i="161"/>
  <c r="E38" i="161"/>
  <c r="D38" i="161"/>
  <c r="C38" i="161"/>
  <c r="N37" i="161"/>
  <c r="M37" i="161"/>
  <c r="L37" i="161"/>
  <c r="K37" i="161"/>
  <c r="J37" i="161"/>
  <c r="I37" i="161"/>
  <c r="H37" i="161"/>
  <c r="G37" i="161"/>
  <c r="F37" i="161"/>
  <c r="E37" i="161"/>
  <c r="D37" i="161"/>
  <c r="C37" i="161"/>
  <c r="N36" i="161"/>
  <c r="M36" i="161"/>
  <c r="L36" i="161"/>
  <c r="K36" i="161"/>
  <c r="J36" i="161"/>
  <c r="I36" i="161"/>
  <c r="H36" i="161"/>
  <c r="G36" i="161"/>
  <c r="F36" i="161"/>
  <c r="E36" i="161"/>
  <c r="D36" i="161"/>
  <c r="C36" i="161"/>
  <c r="O35" i="161"/>
  <c r="P35" i="161" s="1"/>
  <c r="O34" i="161"/>
  <c r="P34" i="161" s="1"/>
  <c r="O33" i="161"/>
  <c r="P33" i="161" s="1"/>
  <c r="O32" i="161"/>
  <c r="P32" i="161" s="1"/>
  <c r="P31" i="161"/>
  <c r="O31" i="161"/>
  <c r="O30" i="161"/>
  <c r="P30" i="161" s="1"/>
  <c r="P29" i="161"/>
  <c r="O29" i="161"/>
  <c r="O28" i="161"/>
  <c r="P28" i="161" s="1"/>
  <c r="O27" i="161"/>
  <c r="P27" i="161" s="1"/>
  <c r="O26" i="161"/>
  <c r="P26" i="161" s="1"/>
  <c r="O25" i="161"/>
  <c r="P25" i="161" s="1"/>
  <c r="O24" i="161"/>
  <c r="P24" i="161" s="1"/>
  <c r="P23" i="161"/>
  <c r="O23" i="161"/>
  <c r="O22" i="161"/>
  <c r="P22" i="161" s="1"/>
  <c r="P21" i="161"/>
  <c r="O21" i="161"/>
  <c r="O20" i="161"/>
  <c r="P20" i="161" s="1"/>
  <c r="O19" i="161"/>
  <c r="P19" i="161" s="1"/>
  <c r="O18" i="161"/>
  <c r="P18" i="161" s="1"/>
  <c r="O17" i="161"/>
  <c r="P17" i="161" s="1"/>
  <c r="O16" i="161"/>
  <c r="P16" i="161" s="1"/>
  <c r="P15" i="161"/>
  <c r="O15" i="161"/>
  <c r="O14" i="161"/>
  <c r="P14" i="161" s="1"/>
  <c r="P13" i="161"/>
  <c r="O13" i="161"/>
  <c r="O12" i="161"/>
  <c r="P12" i="161" s="1"/>
  <c r="O11" i="161"/>
  <c r="P11" i="161" s="1"/>
  <c r="O10" i="161"/>
  <c r="P10" i="161" s="1"/>
  <c r="O9" i="161"/>
  <c r="P9" i="161" s="1"/>
  <c r="O8" i="161"/>
  <c r="P8" i="161" s="1"/>
  <c r="P7" i="161"/>
  <c r="N53" i="160"/>
  <c r="M53" i="160"/>
  <c r="L53" i="160"/>
  <c r="K53" i="160"/>
  <c r="J53" i="160"/>
  <c r="I53" i="160"/>
  <c r="H53" i="160"/>
  <c r="G53" i="160"/>
  <c r="F53" i="160"/>
  <c r="E53" i="160"/>
  <c r="D53" i="160"/>
  <c r="C53" i="160"/>
  <c r="B53" i="160"/>
  <c r="N52" i="160"/>
  <c r="M52" i="160"/>
  <c r="L52" i="160"/>
  <c r="K52" i="160"/>
  <c r="J52" i="160"/>
  <c r="I52" i="160"/>
  <c r="H52" i="160"/>
  <c r="G52" i="160"/>
  <c r="F52" i="160"/>
  <c r="E52" i="160"/>
  <c r="D52" i="160"/>
  <c r="C52" i="160"/>
  <c r="B52" i="160"/>
  <c r="N51" i="160"/>
  <c r="M51" i="160"/>
  <c r="L51" i="160"/>
  <c r="K51" i="160"/>
  <c r="J51" i="160"/>
  <c r="I51" i="160"/>
  <c r="H51" i="160"/>
  <c r="G51" i="160"/>
  <c r="F51" i="160"/>
  <c r="E51" i="160"/>
  <c r="D51" i="160"/>
  <c r="C51" i="160"/>
  <c r="B51" i="160"/>
  <c r="N50" i="160"/>
  <c r="M50" i="160"/>
  <c r="L50" i="160"/>
  <c r="K50" i="160"/>
  <c r="J50" i="160"/>
  <c r="I50" i="160"/>
  <c r="H50" i="160"/>
  <c r="G50" i="160"/>
  <c r="F50" i="160"/>
  <c r="E50" i="160"/>
  <c r="D50" i="160"/>
  <c r="C50" i="160"/>
  <c r="B50" i="160"/>
  <c r="N49" i="160"/>
  <c r="M49" i="160"/>
  <c r="L49" i="160"/>
  <c r="K49" i="160"/>
  <c r="J49" i="160"/>
  <c r="I49" i="160"/>
  <c r="H49" i="160"/>
  <c r="G49" i="160"/>
  <c r="F49" i="160"/>
  <c r="E49" i="160"/>
  <c r="D49" i="160"/>
  <c r="C49" i="160"/>
  <c r="B49" i="160"/>
  <c r="N48" i="160"/>
  <c r="M48" i="160"/>
  <c r="L48" i="160"/>
  <c r="K48" i="160"/>
  <c r="J48" i="160"/>
  <c r="I48" i="160"/>
  <c r="H48" i="160"/>
  <c r="G48" i="160"/>
  <c r="F48" i="160"/>
  <c r="E48" i="160"/>
  <c r="D48" i="160"/>
  <c r="C48" i="160"/>
  <c r="B48" i="160"/>
  <c r="N47" i="160"/>
  <c r="M47" i="160"/>
  <c r="L47" i="160"/>
  <c r="K47" i="160"/>
  <c r="J47" i="160"/>
  <c r="I47" i="160"/>
  <c r="H47" i="160"/>
  <c r="G47" i="160"/>
  <c r="F47" i="160"/>
  <c r="E47" i="160"/>
  <c r="D47" i="160"/>
  <c r="C47" i="160"/>
  <c r="O47" i="160" s="1"/>
  <c r="P47" i="160" s="1"/>
  <c r="B47" i="160"/>
  <c r="N46" i="160"/>
  <c r="M46" i="160"/>
  <c r="L46" i="160"/>
  <c r="K46" i="160"/>
  <c r="J46" i="160"/>
  <c r="I46" i="160"/>
  <c r="H46" i="160"/>
  <c r="G46" i="160"/>
  <c r="F46" i="160"/>
  <c r="E46" i="160"/>
  <c r="D46" i="160"/>
  <c r="D54" i="160" s="1"/>
  <c r="C46" i="160"/>
  <c r="B46" i="160"/>
  <c r="N45" i="160"/>
  <c r="M45" i="160"/>
  <c r="L45" i="160"/>
  <c r="K45" i="160"/>
  <c r="J45" i="160"/>
  <c r="I45" i="160"/>
  <c r="H45" i="160"/>
  <c r="G45" i="160"/>
  <c r="F45" i="160"/>
  <c r="E45" i="160"/>
  <c r="D45" i="160"/>
  <c r="C45" i="160"/>
  <c r="B45" i="160"/>
  <c r="N44" i="160"/>
  <c r="M44" i="160"/>
  <c r="L44" i="160"/>
  <c r="K44" i="160"/>
  <c r="J44" i="160"/>
  <c r="I44" i="160"/>
  <c r="H44" i="160"/>
  <c r="G44" i="160"/>
  <c r="G56" i="160" s="1"/>
  <c r="F44" i="160"/>
  <c r="F55" i="160" s="1"/>
  <c r="E44" i="160"/>
  <c r="D44" i="160"/>
  <c r="D56" i="160" s="1"/>
  <c r="C44" i="160"/>
  <c r="B44" i="160"/>
  <c r="N38" i="160"/>
  <c r="M38" i="160"/>
  <c r="L38" i="160"/>
  <c r="K38" i="160"/>
  <c r="J38" i="160"/>
  <c r="I38" i="160"/>
  <c r="H38" i="160"/>
  <c r="G38" i="160"/>
  <c r="F38" i="160"/>
  <c r="E38" i="160"/>
  <c r="D38" i="160"/>
  <c r="C38" i="160"/>
  <c r="N37" i="160"/>
  <c r="M37" i="160"/>
  <c r="L37" i="160"/>
  <c r="K37" i="160"/>
  <c r="J37" i="160"/>
  <c r="I37" i="160"/>
  <c r="H37" i="160"/>
  <c r="G37" i="160"/>
  <c r="F37" i="160"/>
  <c r="E37" i="160"/>
  <c r="D37" i="160"/>
  <c r="C37" i="160"/>
  <c r="N36" i="160"/>
  <c r="M36" i="160"/>
  <c r="L36" i="160"/>
  <c r="K36" i="160"/>
  <c r="J36" i="160"/>
  <c r="I36" i="160"/>
  <c r="H36" i="160"/>
  <c r="G36" i="160"/>
  <c r="F36" i="160"/>
  <c r="E36" i="160"/>
  <c r="D36" i="160"/>
  <c r="C36" i="160"/>
  <c r="O35" i="160"/>
  <c r="P35" i="160" s="1"/>
  <c r="O34" i="160"/>
  <c r="P34" i="160" s="1"/>
  <c r="P33" i="160"/>
  <c r="O33" i="160"/>
  <c r="O32" i="160"/>
  <c r="P32" i="160" s="1"/>
  <c r="O31" i="160"/>
  <c r="P31" i="160" s="1"/>
  <c r="P30" i="160"/>
  <c r="O30" i="160"/>
  <c r="O29" i="160"/>
  <c r="P29" i="160" s="1"/>
  <c r="P28" i="160"/>
  <c r="O28" i="160"/>
  <c r="P27" i="160"/>
  <c r="O27" i="160"/>
  <c r="O26" i="160"/>
  <c r="P26" i="160" s="1"/>
  <c r="O25" i="160"/>
  <c r="P25" i="160" s="1"/>
  <c r="O24" i="160"/>
  <c r="P24" i="160" s="1"/>
  <c r="O23" i="160"/>
  <c r="P23" i="160" s="1"/>
  <c r="P22" i="160"/>
  <c r="O22" i="160"/>
  <c r="P21" i="160"/>
  <c r="O21" i="160"/>
  <c r="O20" i="160"/>
  <c r="P20" i="160" s="1"/>
  <c r="O19" i="160"/>
  <c r="P19" i="160" s="1"/>
  <c r="O18" i="160"/>
  <c r="P18" i="160" s="1"/>
  <c r="O17" i="160"/>
  <c r="P17" i="160" s="1"/>
  <c r="O16" i="160"/>
  <c r="P16" i="160" s="1"/>
  <c r="O15" i="160"/>
  <c r="P15" i="160" s="1"/>
  <c r="O14" i="160"/>
  <c r="P14" i="160" s="1"/>
  <c r="O13" i="160"/>
  <c r="P13" i="160" s="1"/>
  <c r="P12" i="160"/>
  <c r="O12" i="160"/>
  <c r="O11" i="160"/>
  <c r="P11" i="160" s="1"/>
  <c r="O10" i="160"/>
  <c r="P10" i="160" s="1"/>
  <c r="O9" i="160"/>
  <c r="O8" i="160"/>
  <c r="P8" i="160" s="1"/>
  <c r="O7" i="160"/>
  <c r="P7" i="160" s="1"/>
  <c r="P6" i="160"/>
  <c r="O6" i="160"/>
  <c r="R9" i="103"/>
  <c r="S10" i="103"/>
  <c r="O45" i="166" l="1"/>
  <c r="P45" i="166" s="1"/>
  <c r="E56" i="166"/>
  <c r="O46" i="166"/>
  <c r="P46" i="166" s="1"/>
  <c r="F55" i="166"/>
  <c r="D55" i="166"/>
  <c r="O47" i="166"/>
  <c r="P47" i="166" s="1"/>
  <c r="O52" i="166"/>
  <c r="P52" i="166" s="1"/>
  <c r="G56" i="166"/>
  <c r="O48" i="166"/>
  <c r="P48" i="166" s="1"/>
  <c r="H54" i="166"/>
  <c r="G54" i="166"/>
  <c r="F54" i="166"/>
  <c r="O49" i="166"/>
  <c r="P49" i="166" s="1"/>
  <c r="I56" i="166"/>
  <c r="F56" i="166"/>
  <c r="O50" i="166"/>
  <c r="P50" i="166" s="1"/>
  <c r="J56" i="166"/>
  <c r="O51" i="166"/>
  <c r="P51" i="166" s="1"/>
  <c r="K56" i="166"/>
  <c r="L56" i="166"/>
  <c r="O53" i="166"/>
  <c r="P53" i="166" s="1"/>
  <c r="E54" i="166"/>
  <c r="O38" i="166"/>
  <c r="M54" i="166"/>
  <c r="L54" i="166"/>
  <c r="E55" i="166"/>
  <c r="M56" i="166"/>
  <c r="N55" i="166"/>
  <c r="H55" i="166"/>
  <c r="O37" i="166"/>
  <c r="I54" i="166"/>
  <c r="G55" i="166"/>
  <c r="O44" i="166"/>
  <c r="J54" i="166"/>
  <c r="K54" i="166"/>
  <c r="I55" i="166"/>
  <c r="H56" i="166"/>
  <c r="J55" i="166"/>
  <c r="K55" i="166"/>
  <c r="N54" i="166"/>
  <c r="L55" i="166"/>
  <c r="C54" i="166"/>
  <c r="M55" i="166"/>
  <c r="O36" i="166"/>
  <c r="P8" i="166"/>
  <c r="P38" i="166" s="1"/>
  <c r="P36" i="166"/>
  <c r="D54" i="166"/>
  <c r="C55" i="166"/>
  <c r="N56" i="165"/>
  <c r="O45" i="165"/>
  <c r="P45" i="165" s="1"/>
  <c r="O46" i="165"/>
  <c r="P46" i="165" s="1"/>
  <c r="F54" i="165"/>
  <c r="O47" i="165"/>
  <c r="P47" i="165" s="1"/>
  <c r="G54" i="165"/>
  <c r="F55" i="165"/>
  <c r="D56" i="165"/>
  <c r="O48" i="165"/>
  <c r="P48" i="165" s="1"/>
  <c r="H56" i="165"/>
  <c r="E56" i="165"/>
  <c r="O49" i="165"/>
  <c r="P49" i="165" s="1"/>
  <c r="I56" i="165"/>
  <c r="O50" i="165"/>
  <c r="P50" i="165" s="1"/>
  <c r="O38" i="165"/>
  <c r="J56" i="165"/>
  <c r="H54" i="165"/>
  <c r="O51" i="165"/>
  <c r="P51" i="165" s="1"/>
  <c r="K56" i="165"/>
  <c r="O52" i="165"/>
  <c r="P52" i="165" s="1"/>
  <c r="L55" i="165"/>
  <c r="O53" i="165"/>
  <c r="P53" i="165" s="1"/>
  <c r="I54" i="165"/>
  <c r="M56" i="165"/>
  <c r="G55" i="165"/>
  <c r="O44" i="165"/>
  <c r="J54" i="165"/>
  <c r="H55" i="165"/>
  <c r="F56" i="165"/>
  <c r="K54" i="165"/>
  <c r="I55" i="165"/>
  <c r="G56" i="165"/>
  <c r="P6" i="165"/>
  <c r="L54" i="165"/>
  <c r="J55" i="165"/>
  <c r="M54" i="165"/>
  <c r="K55" i="165"/>
  <c r="N54" i="165"/>
  <c r="O36" i="165"/>
  <c r="C54" i="165"/>
  <c r="M55" i="165"/>
  <c r="D54" i="165"/>
  <c r="N55" i="165"/>
  <c r="O37" i="165"/>
  <c r="E54" i="165"/>
  <c r="C55" i="165"/>
  <c r="D56" i="164"/>
  <c r="O45" i="164"/>
  <c r="P45" i="164" s="1"/>
  <c r="M56" i="164"/>
  <c r="D55" i="164"/>
  <c r="G54" i="164"/>
  <c r="E54" i="164"/>
  <c r="H56" i="164"/>
  <c r="G56" i="164"/>
  <c r="O47" i="164"/>
  <c r="P47" i="164" s="1"/>
  <c r="I54" i="164"/>
  <c r="H54" i="164"/>
  <c r="F54" i="164"/>
  <c r="O49" i="164"/>
  <c r="P49" i="164" s="1"/>
  <c r="J56" i="164"/>
  <c r="O50" i="164"/>
  <c r="P50" i="164" s="1"/>
  <c r="O38" i="164"/>
  <c r="K56" i="164"/>
  <c r="I56" i="164"/>
  <c r="O51" i="164"/>
  <c r="P51" i="164" s="1"/>
  <c r="L56" i="164"/>
  <c r="O52" i="164"/>
  <c r="P52" i="164" s="1"/>
  <c r="M55" i="164"/>
  <c r="O53" i="164"/>
  <c r="P53" i="164" s="1"/>
  <c r="J54" i="164"/>
  <c r="N55" i="164"/>
  <c r="H55" i="164"/>
  <c r="C56" i="164"/>
  <c r="I55" i="164"/>
  <c r="G55" i="164"/>
  <c r="E56" i="164"/>
  <c r="F56" i="164"/>
  <c r="K54" i="164"/>
  <c r="P6" i="164"/>
  <c r="L54" i="164"/>
  <c r="J55" i="164"/>
  <c r="O44" i="164"/>
  <c r="M54" i="164"/>
  <c r="K55" i="164"/>
  <c r="N54" i="164"/>
  <c r="L55" i="164"/>
  <c r="O36" i="164"/>
  <c r="C54" i="164"/>
  <c r="D54" i="164"/>
  <c r="O37" i="164"/>
  <c r="C55" i="164"/>
  <c r="C55" i="163"/>
  <c r="E54" i="163"/>
  <c r="O46" i="163"/>
  <c r="P46" i="163" s="1"/>
  <c r="N56" i="163"/>
  <c r="F55" i="163"/>
  <c r="O47" i="163"/>
  <c r="P47" i="163" s="1"/>
  <c r="G55" i="163"/>
  <c r="E55" i="163"/>
  <c r="O48" i="163"/>
  <c r="P48" i="163" s="1"/>
  <c r="H54" i="163"/>
  <c r="O49" i="163"/>
  <c r="P49" i="163" s="1"/>
  <c r="O38" i="163"/>
  <c r="I54" i="163"/>
  <c r="H55" i="163"/>
  <c r="O50" i="163"/>
  <c r="P50" i="163" s="1"/>
  <c r="J56" i="163"/>
  <c r="I56" i="163"/>
  <c r="G54" i="163"/>
  <c r="O51" i="163"/>
  <c r="P51" i="163" s="1"/>
  <c r="K54" i="163"/>
  <c r="O52" i="163"/>
  <c r="P52" i="163" s="1"/>
  <c r="L56" i="163"/>
  <c r="J54" i="163"/>
  <c r="O53" i="163"/>
  <c r="P53" i="163" s="1"/>
  <c r="F54" i="163"/>
  <c r="M56" i="163"/>
  <c r="D55" i="163"/>
  <c r="N55" i="163"/>
  <c r="M54" i="163"/>
  <c r="I55" i="163"/>
  <c r="E56" i="163"/>
  <c r="O44" i="163"/>
  <c r="F56" i="163"/>
  <c r="G56" i="163"/>
  <c r="P6" i="163"/>
  <c r="L54" i="163"/>
  <c r="J55" i="163"/>
  <c r="H56" i="163"/>
  <c r="O45" i="163"/>
  <c r="P45" i="163" s="1"/>
  <c r="K55" i="163"/>
  <c r="N54" i="163"/>
  <c r="L55" i="163"/>
  <c r="O36" i="163"/>
  <c r="C54" i="163"/>
  <c r="M55" i="163"/>
  <c r="K56" i="163"/>
  <c r="D54" i="163"/>
  <c r="O37" i="163"/>
  <c r="E55" i="162"/>
  <c r="D56" i="162"/>
  <c r="O46" i="162"/>
  <c r="P46" i="162" s="1"/>
  <c r="O48" i="162"/>
  <c r="P48" i="162" s="1"/>
  <c r="H56" i="162"/>
  <c r="E56" i="162"/>
  <c r="O49" i="162"/>
  <c r="P49" i="162" s="1"/>
  <c r="I56" i="162"/>
  <c r="O50" i="162"/>
  <c r="P50" i="162" s="1"/>
  <c r="O38" i="162"/>
  <c r="J55" i="162"/>
  <c r="H54" i="162"/>
  <c r="O51" i="162"/>
  <c r="P51" i="162" s="1"/>
  <c r="K56" i="162"/>
  <c r="J56" i="162"/>
  <c r="O52" i="162"/>
  <c r="P52" i="162" s="1"/>
  <c r="L56" i="162"/>
  <c r="K54" i="162"/>
  <c r="O53" i="162"/>
  <c r="P53" i="162" s="1"/>
  <c r="I54" i="162"/>
  <c r="M56" i="162"/>
  <c r="F55" i="162"/>
  <c r="N56" i="162"/>
  <c r="G55" i="162"/>
  <c r="C56" i="162"/>
  <c r="I55" i="162"/>
  <c r="D55" i="162"/>
  <c r="O45" i="162"/>
  <c r="P45" i="162" s="1"/>
  <c r="L55" i="162"/>
  <c r="O44" i="162"/>
  <c r="J54" i="162"/>
  <c r="H55" i="162"/>
  <c r="F56" i="162"/>
  <c r="G56" i="162"/>
  <c r="P6" i="162"/>
  <c r="L54" i="162"/>
  <c r="M54" i="162"/>
  <c r="K55" i="162"/>
  <c r="N54" i="162"/>
  <c r="O36" i="162"/>
  <c r="C54" i="162"/>
  <c r="M55" i="162"/>
  <c r="D54" i="162"/>
  <c r="N55" i="162"/>
  <c r="O37" i="162"/>
  <c r="E54" i="162"/>
  <c r="C55" i="162"/>
  <c r="G55" i="161"/>
  <c r="F55" i="161"/>
  <c r="G56" i="161"/>
  <c r="O51" i="161"/>
  <c r="P51" i="161" s="1"/>
  <c r="K56" i="161"/>
  <c r="O52" i="161"/>
  <c r="P52" i="161" s="1"/>
  <c r="L56" i="161"/>
  <c r="O48" i="161"/>
  <c r="P48" i="161" s="1"/>
  <c r="O53" i="161"/>
  <c r="P53" i="161" s="1"/>
  <c r="M56" i="161"/>
  <c r="C56" i="161"/>
  <c r="G54" i="161"/>
  <c r="O50" i="161"/>
  <c r="P50" i="161" s="1"/>
  <c r="O37" i="161"/>
  <c r="D56" i="161"/>
  <c r="O45" i="161"/>
  <c r="P45" i="161" s="1"/>
  <c r="N56" i="161"/>
  <c r="J54" i="161"/>
  <c r="E54" i="161"/>
  <c r="O46" i="161"/>
  <c r="P46" i="161" s="1"/>
  <c r="D55" i="161"/>
  <c r="E55" i="161"/>
  <c r="O47" i="161"/>
  <c r="P47" i="161" s="1"/>
  <c r="M55" i="161"/>
  <c r="O38" i="161"/>
  <c r="I54" i="161"/>
  <c r="E56" i="161"/>
  <c r="O44" i="161"/>
  <c r="K54" i="161"/>
  <c r="I55" i="161"/>
  <c r="P6" i="161"/>
  <c r="L54" i="161"/>
  <c r="J55" i="161"/>
  <c r="H56" i="161"/>
  <c r="H55" i="161"/>
  <c r="M54" i="161"/>
  <c r="K55" i="161"/>
  <c r="F56" i="161"/>
  <c r="N54" i="161"/>
  <c r="L55" i="161"/>
  <c r="O36" i="161"/>
  <c r="N55" i="161"/>
  <c r="C55" i="161"/>
  <c r="C56" i="160"/>
  <c r="O45" i="160"/>
  <c r="P45" i="160" s="1"/>
  <c r="M56" i="160"/>
  <c r="O36" i="160"/>
  <c r="E55" i="160"/>
  <c r="O46" i="160"/>
  <c r="P46" i="160" s="1"/>
  <c r="N55" i="160"/>
  <c r="O48" i="160"/>
  <c r="P48" i="160" s="1"/>
  <c r="H54" i="160"/>
  <c r="G54" i="160"/>
  <c r="O49" i="160"/>
  <c r="P49" i="160" s="1"/>
  <c r="I56" i="160"/>
  <c r="H56" i="160"/>
  <c r="O50" i="160"/>
  <c r="P50" i="160" s="1"/>
  <c r="J56" i="160"/>
  <c r="O51" i="160"/>
  <c r="P51" i="160" s="1"/>
  <c r="F56" i="160"/>
  <c r="K56" i="160"/>
  <c r="O52" i="160"/>
  <c r="P52" i="160" s="1"/>
  <c r="L56" i="160"/>
  <c r="O53" i="160"/>
  <c r="P53" i="160" s="1"/>
  <c r="E54" i="160"/>
  <c r="M55" i="160"/>
  <c r="F54" i="160"/>
  <c r="O38" i="160"/>
  <c r="N54" i="160"/>
  <c r="C55" i="160"/>
  <c r="O37" i="160"/>
  <c r="N56" i="160"/>
  <c r="I54" i="160"/>
  <c r="G55" i="160"/>
  <c r="E56" i="160"/>
  <c r="P9" i="160"/>
  <c r="P36" i="160" s="1"/>
  <c r="O44" i="160"/>
  <c r="J54" i="160"/>
  <c r="H55" i="160"/>
  <c r="K54" i="160"/>
  <c r="I55" i="160"/>
  <c r="J55" i="160"/>
  <c r="M54" i="160"/>
  <c r="K55" i="160"/>
  <c r="L55" i="160"/>
  <c r="D55" i="160"/>
  <c r="L54" i="160"/>
  <c r="C54" i="160"/>
  <c r="C38" i="103"/>
  <c r="N38" i="103"/>
  <c r="M38" i="103"/>
  <c r="L38" i="103"/>
  <c r="K38" i="103"/>
  <c r="S9" i="103"/>
  <c r="S11" i="103"/>
  <c r="P37" i="166" l="1"/>
  <c r="O56" i="166"/>
  <c r="O55" i="166"/>
  <c r="O54" i="166"/>
  <c r="P44" i="166"/>
  <c r="O56" i="165"/>
  <c r="O55" i="165"/>
  <c r="O54" i="165"/>
  <c r="P44" i="165"/>
  <c r="P38" i="165"/>
  <c r="P37" i="165"/>
  <c r="P36" i="165"/>
  <c r="O56" i="164"/>
  <c r="O55" i="164"/>
  <c r="O54" i="164"/>
  <c r="P44" i="164"/>
  <c r="P38" i="164"/>
  <c r="P37" i="164"/>
  <c r="P36" i="164"/>
  <c r="O56" i="163"/>
  <c r="O55" i="163"/>
  <c r="O54" i="163"/>
  <c r="P44" i="163"/>
  <c r="P38" i="163"/>
  <c r="P36" i="163"/>
  <c r="P37" i="163"/>
  <c r="P38" i="162"/>
  <c r="P37" i="162"/>
  <c r="P36" i="162"/>
  <c r="O56" i="162"/>
  <c r="O55" i="162"/>
  <c r="O54" i="162"/>
  <c r="P44" i="162"/>
  <c r="P38" i="161"/>
  <c r="P36" i="161"/>
  <c r="P37" i="161"/>
  <c r="O55" i="161"/>
  <c r="O54" i="161"/>
  <c r="P44" i="161"/>
  <c r="O56" i="161"/>
  <c r="P38" i="160"/>
  <c r="P37" i="160"/>
  <c r="O56" i="160"/>
  <c r="O54" i="160"/>
  <c r="O55" i="160"/>
  <c r="P44" i="160"/>
  <c r="B45" i="103"/>
  <c r="C45" i="103"/>
  <c r="D45" i="103"/>
  <c r="E45" i="103"/>
  <c r="F45" i="103"/>
  <c r="G45" i="103"/>
  <c r="H45" i="103"/>
  <c r="I45" i="103"/>
  <c r="J45" i="103"/>
  <c r="K45" i="103"/>
  <c r="L45" i="103"/>
  <c r="M45" i="103"/>
  <c r="N45" i="103"/>
  <c r="B46" i="103"/>
  <c r="C46" i="103"/>
  <c r="D46" i="103"/>
  <c r="E46" i="103"/>
  <c r="F46" i="103"/>
  <c r="G46" i="103"/>
  <c r="H46" i="103"/>
  <c r="I46" i="103"/>
  <c r="J46" i="103"/>
  <c r="K46" i="103"/>
  <c r="L46" i="103"/>
  <c r="M46" i="103"/>
  <c r="N46" i="103"/>
  <c r="B47" i="103"/>
  <c r="C47" i="103"/>
  <c r="D47" i="103"/>
  <c r="E47" i="103"/>
  <c r="F47" i="103"/>
  <c r="G47" i="103"/>
  <c r="H47" i="103"/>
  <c r="I47" i="103"/>
  <c r="J47" i="103"/>
  <c r="K47" i="103"/>
  <c r="L47" i="103"/>
  <c r="M47" i="103"/>
  <c r="N47" i="103"/>
  <c r="B48" i="103"/>
  <c r="C48" i="103"/>
  <c r="D48" i="103"/>
  <c r="E48" i="103"/>
  <c r="F48" i="103"/>
  <c r="G48" i="103"/>
  <c r="H48" i="103"/>
  <c r="I48" i="103"/>
  <c r="J48" i="103"/>
  <c r="K48" i="103"/>
  <c r="L48" i="103"/>
  <c r="M48" i="103"/>
  <c r="N48" i="103"/>
  <c r="B49" i="103"/>
  <c r="C49" i="103"/>
  <c r="D49" i="103"/>
  <c r="E49" i="103"/>
  <c r="F49" i="103"/>
  <c r="G49" i="103"/>
  <c r="H49" i="103"/>
  <c r="I49" i="103"/>
  <c r="J49" i="103"/>
  <c r="K49" i="103"/>
  <c r="L49" i="103"/>
  <c r="M49" i="103"/>
  <c r="N49" i="103"/>
  <c r="B50" i="103"/>
  <c r="C50" i="103"/>
  <c r="D50" i="103"/>
  <c r="E50" i="103"/>
  <c r="F50" i="103"/>
  <c r="G50" i="103"/>
  <c r="H50" i="103"/>
  <c r="I50" i="103"/>
  <c r="J50" i="103"/>
  <c r="K50" i="103"/>
  <c r="L50" i="103"/>
  <c r="M50" i="103"/>
  <c r="N50" i="103"/>
  <c r="B51" i="103"/>
  <c r="C51" i="103"/>
  <c r="D51" i="103"/>
  <c r="E51" i="103"/>
  <c r="F51" i="103"/>
  <c r="G51" i="103"/>
  <c r="H51" i="103"/>
  <c r="I51" i="103"/>
  <c r="J51" i="103"/>
  <c r="K51" i="103"/>
  <c r="L51" i="103"/>
  <c r="M51" i="103"/>
  <c r="N51" i="103"/>
  <c r="B52" i="103"/>
  <c r="C52" i="103"/>
  <c r="D52" i="103"/>
  <c r="E52" i="103"/>
  <c r="F52" i="103"/>
  <c r="G52" i="103"/>
  <c r="H52" i="103"/>
  <c r="I52" i="103"/>
  <c r="J52" i="103"/>
  <c r="K52" i="103"/>
  <c r="L52" i="103"/>
  <c r="M52" i="103"/>
  <c r="N52" i="103"/>
  <c r="B53" i="103"/>
  <c r="C53" i="103"/>
  <c r="D53" i="103"/>
  <c r="E53" i="103"/>
  <c r="F53" i="103"/>
  <c r="G53" i="103"/>
  <c r="H53" i="103"/>
  <c r="I53" i="103"/>
  <c r="J53" i="103"/>
  <c r="K53" i="103"/>
  <c r="L53" i="103"/>
  <c r="M53" i="103"/>
  <c r="N53" i="103"/>
  <c r="C44" i="103"/>
  <c r="D44" i="103"/>
  <c r="E44" i="103"/>
  <c r="F44" i="103"/>
  <c r="G44" i="103"/>
  <c r="H44" i="103"/>
  <c r="I44" i="103"/>
  <c r="J44" i="103"/>
  <c r="K44" i="103"/>
  <c r="L44" i="103"/>
  <c r="M44" i="103"/>
  <c r="N44" i="103"/>
  <c r="B44" i="103"/>
  <c r="O6" i="103"/>
  <c r="O7" i="103"/>
  <c r="O8" i="103"/>
  <c r="O9" i="103"/>
  <c r="O10" i="103"/>
  <c r="O11" i="103"/>
  <c r="O12" i="103"/>
  <c r="O13" i="103"/>
  <c r="O14" i="103"/>
  <c r="O15" i="103"/>
  <c r="O16" i="103"/>
  <c r="O17" i="103"/>
  <c r="O18" i="103"/>
  <c r="O19" i="103"/>
  <c r="O20" i="103"/>
  <c r="O21" i="103"/>
  <c r="O22" i="103"/>
  <c r="O23" i="103"/>
  <c r="O24" i="103"/>
  <c r="O25" i="103"/>
  <c r="O26" i="103"/>
  <c r="O27" i="103"/>
  <c r="O28" i="103"/>
  <c r="O29" i="103"/>
  <c r="O30" i="103"/>
  <c r="O31" i="103"/>
  <c r="O32" i="103"/>
  <c r="O33" i="103"/>
  <c r="O34" i="103"/>
  <c r="O35" i="103"/>
  <c r="P56" i="166" l="1"/>
  <c r="P55" i="166"/>
  <c r="P54" i="166"/>
  <c r="P56" i="165"/>
  <c r="P55" i="165"/>
  <c r="P54" i="165"/>
  <c r="P56" i="164"/>
  <c r="P55" i="164"/>
  <c r="P54" i="164"/>
  <c r="P56" i="163"/>
  <c r="P54" i="163"/>
  <c r="P55" i="163"/>
  <c r="P56" i="162"/>
  <c r="P55" i="162"/>
  <c r="P54" i="162"/>
  <c r="P56" i="161"/>
  <c r="P55" i="161"/>
  <c r="P54" i="161"/>
  <c r="P56" i="160"/>
  <c r="P55" i="160"/>
  <c r="P54" i="160"/>
  <c r="N56" i="103"/>
  <c r="M56" i="103"/>
  <c r="L56" i="103"/>
  <c r="K56" i="103"/>
  <c r="J56" i="103"/>
  <c r="I56" i="103"/>
  <c r="H56" i="103"/>
  <c r="G56" i="103"/>
  <c r="F56" i="103"/>
  <c r="E56" i="103"/>
  <c r="D56" i="103"/>
  <c r="C56" i="103"/>
  <c r="N55" i="103"/>
  <c r="M55" i="103"/>
  <c r="L55" i="103"/>
  <c r="K55" i="103"/>
  <c r="J55" i="103"/>
  <c r="I55" i="103"/>
  <c r="H55" i="103"/>
  <c r="G55" i="103"/>
  <c r="F55" i="103"/>
  <c r="E55" i="103"/>
  <c r="D55" i="103"/>
  <c r="C55" i="103"/>
  <c r="N54" i="103"/>
  <c r="M54" i="103"/>
  <c r="L54" i="103"/>
  <c r="K54" i="103"/>
  <c r="J54" i="103"/>
  <c r="I54" i="103"/>
  <c r="H54" i="103"/>
  <c r="G54" i="103"/>
  <c r="F54" i="103"/>
  <c r="E54" i="103"/>
  <c r="D54" i="103"/>
  <c r="C54" i="103"/>
  <c r="O53" i="103"/>
  <c r="P53" i="103" s="1"/>
  <c r="O52" i="103"/>
  <c r="P52" i="103" s="1"/>
  <c r="O51" i="103"/>
  <c r="P51" i="103" s="1"/>
  <c r="O50" i="103"/>
  <c r="P50" i="103" s="1"/>
  <c r="O49" i="103"/>
  <c r="P49" i="103" s="1"/>
  <c r="O48" i="103"/>
  <c r="P48" i="103" s="1"/>
  <c r="O47" i="103"/>
  <c r="P47" i="103" s="1"/>
  <c r="O46" i="103"/>
  <c r="P46" i="103" s="1"/>
  <c r="O45" i="103"/>
  <c r="P45" i="103" s="1"/>
  <c r="O44" i="103"/>
  <c r="J38" i="103"/>
  <c r="I38" i="103"/>
  <c r="H38" i="103"/>
  <c r="G38" i="103"/>
  <c r="F38" i="103"/>
  <c r="E38" i="103"/>
  <c r="D38" i="103"/>
  <c r="N37" i="103"/>
  <c r="M37" i="103"/>
  <c r="L37" i="103"/>
  <c r="K37" i="103"/>
  <c r="J37" i="103"/>
  <c r="I37" i="103"/>
  <c r="H37" i="103"/>
  <c r="G37" i="103"/>
  <c r="F37" i="103"/>
  <c r="E37" i="103"/>
  <c r="D37" i="103"/>
  <c r="C37" i="103"/>
  <c r="N36" i="103"/>
  <c r="M36" i="103"/>
  <c r="L36" i="103"/>
  <c r="K36" i="103"/>
  <c r="J36" i="103"/>
  <c r="I36" i="103"/>
  <c r="H36" i="103"/>
  <c r="G36" i="103"/>
  <c r="F36" i="103"/>
  <c r="E36" i="103"/>
  <c r="D36" i="103"/>
  <c r="C36" i="103"/>
  <c r="P35" i="103"/>
  <c r="P34" i="103"/>
  <c r="P33" i="103"/>
  <c r="P32" i="103"/>
  <c r="P31" i="103"/>
  <c r="P30" i="103"/>
  <c r="P29" i="103"/>
  <c r="P28" i="103"/>
  <c r="P27" i="103"/>
  <c r="P26" i="103"/>
  <c r="P25" i="103"/>
  <c r="P24" i="103"/>
  <c r="P23" i="103"/>
  <c r="P22" i="103"/>
  <c r="P21" i="103"/>
  <c r="P20" i="103"/>
  <c r="P19" i="103"/>
  <c r="P18" i="103"/>
  <c r="P17" i="103"/>
  <c r="P16" i="103"/>
  <c r="P15" i="103"/>
  <c r="P14" i="103"/>
  <c r="P13" i="103"/>
  <c r="P12" i="103"/>
  <c r="P11" i="103"/>
  <c r="P10" i="103"/>
  <c r="P9" i="103"/>
  <c r="P8" i="103"/>
  <c r="P7" i="103"/>
  <c r="P6" i="103"/>
  <c r="O56" i="103" l="1"/>
  <c r="P36" i="103"/>
  <c r="P37" i="103"/>
  <c r="P38" i="103"/>
  <c r="O38" i="103"/>
  <c r="O55" i="103"/>
  <c r="O37" i="103"/>
  <c r="O54" i="103"/>
  <c r="P44" i="103"/>
  <c r="O36" i="103"/>
  <c r="P56" i="103" l="1"/>
  <c r="P54" i="103"/>
  <c r="P55" i="10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9" authorId="0" shapeId="0" xr:uid="{BA112030-0A2F-45DF-BBF0-0399FE477A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행정구역에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테이블의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</t>
        </r>
      </text>
    </comment>
    <comment ref="S9" authorId="0" shapeId="0" xr:uid="{58520F50-BD8B-483A-A05A-CAEEEADF93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지역코드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기상청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지역코드</t>
        </r>
      </text>
    </comment>
    <comment ref="S10" authorId="0" shapeId="0" xr:uid="{8721988B-2910-47F0-BB70-18D4893E3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스위치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넘버</t>
        </r>
      </text>
    </comment>
  </commentList>
</comments>
</file>

<file path=xl/sharedStrings.xml><?xml version="1.0" encoding="utf-8"?>
<sst xmlns="http://schemas.openxmlformats.org/spreadsheetml/2006/main" count="3078" uniqueCount="266">
  <si>
    <t>6월</t>
  </si>
  <si>
    <t>7월</t>
  </si>
  <si>
    <t>8월</t>
  </si>
  <si>
    <t>9월</t>
  </si>
  <si>
    <t>10월</t>
  </si>
  <si>
    <t>11월</t>
  </si>
  <si>
    <t>12월</t>
  </si>
  <si>
    <t>평균</t>
  </si>
  <si>
    <t>1월</t>
  </si>
  <si>
    <t>2월</t>
  </si>
  <si>
    <t>3월</t>
  </si>
  <si>
    <t>4월</t>
  </si>
  <si>
    <t>5월</t>
  </si>
  <si>
    <t>최대</t>
    <phoneticPr fontId="5" type="noConversion"/>
  </si>
  <si>
    <t>최소</t>
    <phoneticPr fontId="5" type="noConversion"/>
  </si>
  <si>
    <t>연도</t>
  </si>
  <si>
    <t>전년</t>
  </si>
  <si>
    <t>전년</t>
    <phoneticPr fontId="5" type="noConversion"/>
  </si>
  <si>
    <t>평균</t>
    <phoneticPr fontId="5" type="noConversion"/>
  </si>
  <si>
    <t>최대</t>
  </si>
  <si>
    <t>최소</t>
  </si>
  <si>
    <t xml:space="preserve">평균미만 </t>
    <phoneticPr fontId="5" type="noConversion"/>
  </si>
  <si>
    <t>1250미리 이하</t>
    <phoneticPr fontId="5" type="noConversion"/>
  </si>
  <si>
    <t>평균강수</t>
    <phoneticPr fontId="5" type="noConversion"/>
  </si>
  <si>
    <t>1250 ~ 1450 미리</t>
    <phoneticPr fontId="5" type="noConversion"/>
  </si>
  <si>
    <t>평균초과</t>
    <phoneticPr fontId="5" type="noConversion"/>
  </si>
  <si>
    <t>1450 미리 이상</t>
    <phoneticPr fontId="5" type="noConversion"/>
  </si>
  <si>
    <t xml:space="preserve"> </t>
  </si>
  <si>
    <t>31일</t>
  </si>
  <si>
    <t>합계</t>
  </si>
  <si>
    <t>Area</t>
    <phoneticPr fontId="5" type="noConversion"/>
  </si>
  <si>
    <t>Code</t>
    <phoneticPr fontId="5" type="noConversion"/>
  </si>
  <si>
    <t>서울경기</t>
    <phoneticPr fontId="5" type="noConversion"/>
  </si>
  <si>
    <t>강원도</t>
    <phoneticPr fontId="5" type="noConversion"/>
  </si>
  <si>
    <t>제주도</t>
    <phoneticPr fontId="5" type="noConversion"/>
  </si>
  <si>
    <t>Table2</t>
  </si>
  <si>
    <t>Table3</t>
  </si>
  <si>
    <t>Table4</t>
  </si>
  <si>
    <t>Table5</t>
  </si>
  <si>
    <t>Table6</t>
  </si>
  <si>
    <t>지역구분</t>
    <phoneticPr fontId="5" type="noConversion"/>
  </si>
  <si>
    <t>행정구역</t>
    <phoneticPr fontId="5" type="noConversion"/>
  </si>
  <si>
    <t>관악산</t>
    <phoneticPr fontId="5" type="noConversion"/>
  </si>
  <si>
    <t>서울</t>
    <phoneticPr fontId="5" type="noConversion"/>
  </si>
  <si>
    <t>강화</t>
    <phoneticPr fontId="5" type="noConversion"/>
  </si>
  <si>
    <t>백령도</t>
    <phoneticPr fontId="5" type="noConversion"/>
  </si>
  <si>
    <t>인천</t>
    <phoneticPr fontId="5" type="noConversion"/>
  </si>
  <si>
    <t>동두천</t>
    <phoneticPr fontId="5" type="noConversion"/>
  </si>
  <si>
    <t>수원</t>
    <phoneticPr fontId="5" type="noConversion"/>
  </si>
  <si>
    <t>양평</t>
    <phoneticPr fontId="5" type="noConversion"/>
  </si>
  <si>
    <t>이천</t>
    <phoneticPr fontId="5" type="noConversion"/>
  </si>
  <si>
    <t>파주</t>
    <phoneticPr fontId="5" type="noConversion"/>
  </si>
  <si>
    <t>강릉</t>
    <phoneticPr fontId="5" type="noConversion"/>
  </si>
  <si>
    <t>대관령</t>
    <phoneticPr fontId="5" type="noConversion"/>
  </si>
  <si>
    <t>동해</t>
    <phoneticPr fontId="5" type="noConversion"/>
  </si>
  <si>
    <t>북강릉</t>
    <phoneticPr fontId="5" type="noConversion"/>
  </si>
  <si>
    <t>북춘천</t>
    <phoneticPr fontId="5" type="noConversion"/>
  </si>
  <si>
    <t>삼척</t>
    <phoneticPr fontId="5" type="noConversion"/>
  </si>
  <si>
    <t>속초</t>
    <phoneticPr fontId="5" type="noConversion"/>
  </si>
  <si>
    <t>영월</t>
    <phoneticPr fontId="5" type="noConversion"/>
  </si>
  <si>
    <t>원주</t>
    <phoneticPr fontId="5" type="noConversion"/>
  </si>
  <si>
    <t>인제</t>
    <phoneticPr fontId="5" type="noConversion"/>
  </si>
  <si>
    <t>정선군</t>
    <phoneticPr fontId="5" type="noConversion"/>
  </si>
  <si>
    <t>철원</t>
    <phoneticPr fontId="5" type="noConversion"/>
  </si>
  <si>
    <t>춘천</t>
    <phoneticPr fontId="5" type="noConversion"/>
  </si>
  <si>
    <t>태백</t>
    <phoneticPr fontId="5" type="noConversion"/>
  </si>
  <si>
    <t>홍천</t>
    <phoneticPr fontId="5" type="noConversion"/>
  </si>
  <si>
    <t>보은</t>
    <phoneticPr fontId="5" type="noConversion"/>
  </si>
  <si>
    <t>제천</t>
    <phoneticPr fontId="5" type="noConversion"/>
  </si>
  <si>
    <t>청주</t>
    <phoneticPr fontId="5" type="noConversion"/>
  </si>
  <si>
    <t>추풍령</t>
    <phoneticPr fontId="5" type="noConversion"/>
  </si>
  <si>
    <t>충주</t>
    <phoneticPr fontId="5" type="noConversion"/>
  </si>
  <si>
    <t>대전</t>
    <phoneticPr fontId="5" type="noConversion"/>
  </si>
  <si>
    <t>세종</t>
    <phoneticPr fontId="5" type="noConversion"/>
  </si>
  <si>
    <t>금산</t>
    <phoneticPr fontId="5" type="noConversion"/>
  </si>
  <si>
    <t>보령</t>
    <phoneticPr fontId="5" type="noConversion"/>
  </si>
  <si>
    <t>부여</t>
    <phoneticPr fontId="5" type="noConversion"/>
  </si>
  <si>
    <t>서산</t>
    <phoneticPr fontId="5" type="noConversion"/>
  </si>
  <si>
    <t>천안</t>
    <phoneticPr fontId="5" type="noConversion"/>
  </si>
  <si>
    <t>홍성</t>
    <phoneticPr fontId="5" type="noConversion"/>
  </si>
  <si>
    <t>광주</t>
    <phoneticPr fontId="5" type="noConversion"/>
  </si>
  <si>
    <t>고창</t>
    <phoneticPr fontId="5" type="noConversion"/>
  </si>
  <si>
    <t>고창군</t>
    <phoneticPr fontId="5" type="noConversion"/>
  </si>
  <si>
    <t>군산</t>
    <phoneticPr fontId="5" type="noConversion"/>
  </si>
  <si>
    <t>남원</t>
    <phoneticPr fontId="5" type="noConversion"/>
  </si>
  <si>
    <t>부안</t>
    <phoneticPr fontId="5" type="noConversion"/>
  </si>
  <si>
    <t>순창군</t>
    <phoneticPr fontId="5" type="noConversion"/>
  </si>
  <si>
    <t>임실</t>
    <phoneticPr fontId="5" type="noConversion"/>
  </si>
  <si>
    <t>장수</t>
    <phoneticPr fontId="5" type="noConversion"/>
  </si>
  <si>
    <t>전주</t>
    <phoneticPr fontId="5" type="noConversion"/>
  </si>
  <si>
    <t>정읍</t>
    <phoneticPr fontId="5" type="noConversion"/>
  </si>
  <si>
    <t>강진군</t>
    <phoneticPr fontId="5" type="noConversion"/>
  </si>
  <si>
    <t>고흥</t>
    <phoneticPr fontId="5" type="noConversion"/>
  </si>
  <si>
    <t>광양시</t>
    <phoneticPr fontId="5" type="noConversion"/>
  </si>
  <si>
    <t>목포</t>
    <phoneticPr fontId="5" type="noConversion"/>
  </si>
  <si>
    <t>무안</t>
    <phoneticPr fontId="5" type="noConversion"/>
  </si>
  <si>
    <t>보성군</t>
    <phoneticPr fontId="5" type="noConversion"/>
  </si>
  <si>
    <t>순천</t>
    <phoneticPr fontId="5" type="noConversion"/>
  </si>
  <si>
    <t>여수</t>
    <phoneticPr fontId="5" type="noConversion"/>
  </si>
  <si>
    <t>영광군</t>
    <phoneticPr fontId="5" type="noConversion"/>
  </si>
  <si>
    <t>완도</t>
    <phoneticPr fontId="5" type="noConversion"/>
  </si>
  <si>
    <t>장흥</t>
    <phoneticPr fontId="5" type="noConversion"/>
  </si>
  <si>
    <t>주암</t>
    <phoneticPr fontId="5" type="noConversion"/>
  </si>
  <si>
    <t>진도(첨철산)</t>
    <phoneticPr fontId="5" type="noConversion"/>
  </si>
  <si>
    <t>진도군</t>
    <phoneticPr fontId="5" type="noConversion"/>
  </si>
  <si>
    <t>해남</t>
    <phoneticPr fontId="5" type="noConversion"/>
  </si>
  <si>
    <t>흑산도</t>
    <phoneticPr fontId="5" type="noConversion"/>
  </si>
  <si>
    <t>대구</t>
    <phoneticPr fontId="5" type="noConversion"/>
  </si>
  <si>
    <t>대구(기)</t>
    <phoneticPr fontId="5" type="noConversion"/>
  </si>
  <si>
    <t>울산</t>
    <phoneticPr fontId="5" type="noConversion"/>
  </si>
  <si>
    <t>부산</t>
    <phoneticPr fontId="5" type="noConversion"/>
  </si>
  <si>
    <t>경주시</t>
    <phoneticPr fontId="5" type="noConversion"/>
  </si>
  <si>
    <t>구미</t>
    <phoneticPr fontId="5" type="noConversion"/>
  </si>
  <si>
    <t>문경</t>
    <phoneticPr fontId="5" type="noConversion"/>
  </si>
  <si>
    <t>봉화</t>
    <phoneticPr fontId="5" type="noConversion"/>
  </si>
  <si>
    <t>상주</t>
    <phoneticPr fontId="5" type="noConversion"/>
  </si>
  <si>
    <t>안동</t>
    <phoneticPr fontId="5" type="noConversion"/>
  </si>
  <si>
    <t>영덕</t>
    <phoneticPr fontId="5" type="noConversion"/>
  </si>
  <si>
    <t>영주</t>
    <phoneticPr fontId="5" type="noConversion"/>
  </si>
  <si>
    <t>영천</t>
    <phoneticPr fontId="5" type="noConversion"/>
  </si>
  <si>
    <t>울릉도</t>
    <phoneticPr fontId="5" type="noConversion"/>
  </si>
  <si>
    <t>울진</t>
    <phoneticPr fontId="5" type="noConversion"/>
  </si>
  <si>
    <t>의성</t>
    <phoneticPr fontId="5" type="noConversion"/>
  </si>
  <si>
    <t>청송군</t>
    <phoneticPr fontId="5" type="noConversion"/>
  </si>
  <si>
    <t>포항</t>
    <phoneticPr fontId="5" type="noConversion"/>
  </si>
  <si>
    <t>거제</t>
    <phoneticPr fontId="5" type="noConversion"/>
  </si>
  <si>
    <t>거창</t>
    <phoneticPr fontId="5" type="noConversion"/>
  </si>
  <si>
    <t>김해시</t>
    <phoneticPr fontId="5" type="noConversion"/>
  </si>
  <si>
    <t>남해</t>
    <phoneticPr fontId="5" type="noConversion"/>
  </si>
  <si>
    <t>밀양</t>
    <phoneticPr fontId="5" type="noConversion"/>
  </si>
  <si>
    <t>북창원</t>
    <phoneticPr fontId="5" type="noConversion"/>
  </si>
  <si>
    <t>산청</t>
    <phoneticPr fontId="5" type="noConversion"/>
  </si>
  <si>
    <t>양산시</t>
    <phoneticPr fontId="5" type="noConversion"/>
  </si>
  <si>
    <t>의령군</t>
    <phoneticPr fontId="5" type="noConversion"/>
  </si>
  <si>
    <t>진주</t>
    <phoneticPr fontId="5" type="noConversion"/>
  </si>
  <si>
    <t>창원</t>
    <phoneticPr fontId="5" type="noConversion"/>
  </si>
  <si>
    <t>통영</t>
    <phoneticPr fontId="5" type="noConversion"/>
  </si>
  <si>
    <t>함양군</t>
    <phoneticPr fontId="5" type="noConversion"/>
  </si>
  <si>
    <t>합천</t>
    <phoneticPr fontId="5" type="noConversion"/>
  </si>
  <si>
    <t>고산</t>
    <phoneticPr fontId="5" type="noConversion"/>
  </si>
  <si>
    <t>서귀포</t>
    <phoneticPr fontId="5" type="noConversion"/>
  </si>
  <si>
    <t>성산</t>
    <phoneticPr fontId="5" type="noConversion"/>
  </si>
  <si>
    <t>성산포</t>
    <phoneticPr fontId="5" type="noConversion"/>
  </si>
  <si>
    <t>제주</t>
    <phoneticPr fontId="5" type="noConversion"/>
  </si>
  <si>
    <t>충청도</t>
    <phoneticPr fontId="5" type="noConversion"/>
  </si>
  <si>
    <t>전라도</t>
    <phoneticPr fontId="5" type="noConversion"/>
  </si>
  <si>
    <t>경상도</t>
    <phoneticPr fontId="5" type="noConversion"/>
  </si>
  <si>
    <t>Table1</t>
    <phoneticPr fontId="5" type="noConversion"/>
  </si>
  <si>
    <t>name</t>
    <phoneticPr fontId="5" type="noConversion"/>
  </si>
  <si>
    <t>Samcheok</t>
  </si>
  <si>
    <t>Seoul</t>
    <phoneticPr fontId="5" type="noConversion"/>
  </si>
  <si>
    <t>Jungeup</t>
    <phoneticPr fontId="5" type="noConversion"/>
  </si>
  <si>
    <t>Gangjingun</t>
    <phoneticPr fontId="5" type="noConversion"/>
  </si>
  <si>
    <t>Goheung</t>
    <phoneticPr fontId="5" type="noConversion"/>
  </si>
  <si>
    <t>Gwangyang</t>
    <phoneticPr fontId="5" type="noConversion"/>
  </si>
  <si>
    <t>Suncheon</t>
    <phoneticPr fontId="5" type="noConversion"/>
  </si>
  <si>
    <t>Yeosu</t>
    <phoneticPr fontId="5" type="noConversion"/>
  </si>
  <si>
    <t>YeongGwangGun</t>
    <phoneticPr fontId="5" type="noConversion"/>
  </si>
  <si>
    <t>WanDo</t>
    <phoneticPr fontId="5" type="noConversion"/>
  </si>
  <si>
    <t>JangHeung</t>
    <phoneticPr fontId="5" type="noConversion"/>
  </si>
  <si>
    <t>JuAm</t>
    <phoneticPr fontId="5" type="noConversion"/>
  </si>
  <si>
    <t>JinDo</t>
    <phoneticPr fontId="5" type="noConversion"/>
  </si>
  <si>
    <t>JinDoGun</t>
    <phoneticPr fontId="5" type="noConversion"/>
  </si>
  <si>
    <t>HaeNam</t>
    <phoneticPr fontId="5" type="noConversion"/>
  </si>
  <si>
    <t>HeukSanDo</t>
    <phoneticPr fontId="5" type="noConversion"/>
  </si>
  <si>
    <t>MokPo</t>
    <phoneticPr fontId="5" type="noConversion"/>
  </si>
  <si>
    <t>MuAn</t>
    <phoneticPr fontId="5" type="noConversion"/>
  </si>
  <si>
    <t>BosungGun</t>
    <phoneticPr fontId="5" type="noConversion"/>
  </si>
  <si>
    <t>JeonJu</t>
    <phoneticPr fontId="5" type="noConversion"/>
  </si>
  <si>
    <t>JangSsoo</t>
    <phoneticPr fontId="5" type="noConversion"/>
  </si>
  <si>
    <t>ImSil</t>
    <phoneticPr fontId="5" type="noConversion"/>
  </si>
  <si>
    <t>SunchangGun</t>
    <phoneticPr fontId="5" type="noConversion"/>
  </si>
  <si>
    <t>BuAn</t>
    <phoneticPr fontId="5" type="noConversion"/>
  </si>
  <si>
    <t>NamWon</t>
    <phoneticPr fontId="5" type="noConversion"/>
  </si>
  <si>
    <t>GunSan</t>
    <phoneticPr fontId="5" type="noConversion"/>
  </si>
  <si>
    <t>GochangGun</t>
    <phoneticPr fontId="5" type="noConversion"/>
  </si>
  <si>
    <t>GoChang</t>
    <phoneticPr fontId="5" type="noConversion"/>
  </si>
  <si>
    <t>GwangJu</t>
    <phoneticPr fontId="5" type="noConversion"/>
  </si>
  <si>
    <t>BoEun</t>
    <phoneticPr fontId="5" type="noConversion"/>
  </si>
  <si>
    <t>JaeCheon</t>
    <phoneticPr fontId="5" type="noConversion"/>
  </si>
  <si>
    <t>CheongJu</t>
    <phoneticPr fontId="5" type="noConversion"/>
  </si>
  <si>
    <t>ChuPungNyeong</t>
    <phoneticPr fontId="5" type="noConversion"/>
  </si>
  <si>
    <t>ChungJu</t>
    <phoneticPr fontId="5" type="noConversion"/>
  </si>
  <si>
    <t>DaeJeon</t>
    <phoneticPr fontId="5" type="noConversion"/>
  </si>
  <si>
    <t>SeJong</t>
    <phoneticPr fontId="5" type="noConversion"/>
  </si>
  <si>
    <t>BoRyung</t>
    <phoneticPr fontId="5" type="noConversion"/>
  </si>
  <si>
    <t>BuYeo</t>
    <phoneticPr fontId="5" type="noConversion"/>
  </si>
  <si>
    <t>SeoSan</t>
    <phoneticPr fontId="5" type="noConversion"/>
  </si>
  <si>
    <t>CheonAn</t>
    <phoneticPr fontId="5" type="noConversion"/>
  </si>
  <si>
    <t>HongSung</t>
    <phoneticPr fontId="5" type="noConversion"/>
  </si>
  <si>
    <t>GangNeung</t>
    <phoneticPr fontId="5" type="noConversion"/>
  </si>
  <si>
    <t>DaeGwallYeong</t>
    <phoneticPr fontId="5" type="noConversion"/>
  </si>
  <si>
    <t>DongHae</t>
    <phoneticPr fontId="5" type="noConversion"/>
  </si>
  <si>
    <t xml:space="preserve">NorthGangNeung </t>
    <phoneticPr fontId="5" type="noConversion"/>
  </si>
  <si>
    <t>BukChunCheon</t>
    <phoneticPr fontId="5" type="noConversion"/>
  </si>
  <si>
    <t>SokCho</t>
    <phoneticPr fontId="5" type="noConversion"/>
  </si>
  <si>
    <t>YoungWol</t>
    <phoneticPr fontId="5" type="noConversion"/>
  </si>
  <si>
    <t>WonJu</t>
    <phoneticPr fontId="5" type="noConversion"/>
  </si>
  <si>
    <t>InJae</t>
    <phoneticPr fontId="5" type="noConversion"/>
  </si>
  <si>
    <t>JungSeonGun</t>
    <phoneticPr fontId="5" type="noConversion"/>
  </si>
  <si>
    <t>CheolWon</t>
    <phoneticPr fontId="5" type="noConversion"/>
  </si>
  <si>
    <t>ChunCheon</t>
    <phoneticPr fontId="5" type="noConversion"/>
  </si>
  <si>
    <t>TaeBaeg</t>
    <phoneticPr fontId="5" type="noConversion"/>
  </si>
  <si>
    <t>HongCheon</t>
    <phoneticPr fontId="5" type="noConversion"/>
  </si>
  <si>
    <t>GwanAkSan</t>
    <phoneticPr fontId="5" type="noConversion"/>
  </si>
  <si>
    <t>GangHwa</t>
    <phoneticPr fontId="5" type="noConversion"/>
  </si>
  <si>
    <t>BaengNyeongDo</t>
    <phoneticPr fontId="5" type="noConversion"/>
  </si>
  <si>
    <t>InCheon</t>
    <phoneticPr fontId="5" type="noConversion"/>
  </si>
  <si>
    <t>DongDuCheon</t>
    <phoneticPr fontId="5" type="noConversion"/>
  </si>
  <si>
    <t>SuWon</t>
    <phoneticPr fontId="5" type="noConversion"/>
  </si>
  <si>
    <t>YangPyung</t>
    <phoneticPr fontId="5" type="noConversion"/>
  </si>
  <si>
    <t>LeeCheon</t>
    <phoneticPr fontId="5" type="noConversion"/>
  </si>
  <si>
    <t>PaJu</t>
    <phoneticPr fontId="5" type="noConversion"/>
  </si>
  <si>
    <t>DaeGu</t>
    <phoneticPr fontId="5" type="noConversion"/>
  </si>
  <si>
    <t>DaeGuGi</t>
    <phoneticPr fontId="5" type="noConversion"/>
  </si>
  <si>
    <t>WoolSan</t>
    <phoneticPr fontId="5" type="noConversion"/>
  </si>
  <si>
    <t>BuSan</t>
    <phoneticPr fontId="5" type="noConversion"/>
  </si>
  <si>
    <t>GyungJuSi</t>
    <phoneticPr fontId="5" type="noConversion"/>
  </si>
  <si>
    <t>GuMi</t>
    <phoneticPr fontId="5" type="noConversion"/>
  </si>
  <si>
    <t>MunGyung</t>
    <phoneticPr fontId="5" type="noConversion"/>
  </si>
  <si>
    <t>BongHwa</t>
    <phoneticPr fontId="5" type="noConversion"/>
  </si>
  <si>
    <t>SangJu</t>
    <phoneticPr fontId="5" type="noConversion"/>
  </si>
  <si>
    <t>AnDong</t>
    <phoneticPr fontId="5" type="noConversion"/>
  </si>
  <si>
    <t>YeongDeok</t>
    <phoneticPr fontId="5" type="noConversion"/>
  </si>
  <si>
    <t>YeongCheon</t>
    <phoneticPr fontId="5" type="noConversion"/>
  </si>
  <si>
    <t>YeongJu</t>
    <phoneticPr fontId="5" type="noConversion"/>
  </si>
  <si>
    <t>UlLeungDo</t>
    <phoneticPr fontId="5" type="noConversion"/>
  </si>
  <si>
    <t>UlJin</t>
    <phoneticPr fontId="5" type="noConversion"/>
  </si>
  <si>
    <t>UiSeong</t>
    <phoneticPr fontId="5" type="noConversion"/>
  </si>
  <si>
    <t>CheongSongGun</t>
    <phoneticPr fontId="5" type="noConversion"/>
  </si>
  <si>
    <t>PoHang</t>
    <phoneticPr fontId="5" type="noConversion"/>
  </si>
  <si>
    <t>GeoJae</t>
    <phoneticPr fontId="5" type="noConversion"/>
  </si>
  <si>
    <t>GeoChang</t>
    <phoneticPr fontId="5" type="noConversion"/>
  </si>
  <si>
    <t>KimHaeSi</t>
    <phoneticPr fontId="5" type="noConversion"/>
  </si>
  <si>
    <t>NamHae</t>
    <phoneticPr fontId="5" type="noConversion"/>
  </si>
  <si>
    <t>MilYang</t>
    <phoneticPr fontId="5" type="noConversion"/>
  </si>
  <si>
    <t>BukChangWon</t>
    <phoneticPr fontId="5" type="noConversion"/>
  </si>
  <si>
    <t>SanCheong</t>
    <phoneticPr fontId="5" type="noConversion"/>
  </si>
  <si>
    <t>YangSan</t>
    <phoneticPr fontId="5" type="noConversion"/>
  </si>
  <si>
    <t>UiRyung</t>
    <phoneticPr fontId="5" type="noConversion"/>
  </si>
  <si>
    <t>JinJu</t>
    <phoneticPr fontId="5" type="noConversion"/>
  </si>
  <si>
    <t>ChangWon</t>
    <phoneticPr fontId="5" type="noConversion"/>
  </si>
  <si>
    <t>TongYeong</t>
    <phoneticPr fontId="5" type="noConversion"/>
  </si>
  <si>
    <t>HamYang</t>
    <phoneticPr fontId="5" type="noConversion"/>
  </si>
  <si>
    <t>HapCheon</t>
    <phoneticPr fontId="5" type="noConversion"/>
  </si>
  <si>
    <t>GoSan</t>
    <phoneticPr fontId="5" type="noConversion"/>
  </si>
  <si>
    <t>SeoGuiPo</t>
    <phoneticPr fontId="5" type="noConversion"/>
  </si>
  <si>
    <t>SungSan</t>
    <phoneticPr fontId="5" type="noConversion"/>
  </si>
  <si>
    <t>SungSan2</t>
    <phoneticPr fontId="5" type="noConversion"/>
  </si>
  <si>
    <t>SungSanPo</t>
    <phoneticPr fontId="5" type="noConversion"/>
  </si>
  <si>
    <t>JaeJu</t>
    <phoneticPr fontId="5" type="noConversion"/>
  </si>
  <si>
    <t>GeumSan</t>
    <phoneticPr fontId="5" type="noConversion"/>
  </si>
  <si>
    <t>서청주</t>
    <phoneticPr fontId="5" type="noConversion"/>
  </si>
  <si>
    <t>SeoCheongJu</t>
    <phoneticPr fontId="5" type="noConversion"/>
  </si>
  <si>
    <t>aCode</t>
    <phoneticPr fontId="5" type="noConversion"/>
  </si>
  <si>
    <t>switch</t>
    <phoneticPr fontId="5" type="noConversion"/>
  </si>
  <si>
    <t>대전 Data, -- 2024-01-01 월 오전 12:49:09</t>
    <phoneticPr fontId="5" type="noConversion"/>
  </si>
  <si>
    <t>금산 Data, -- 2024-01-01 월 오전 12:49:37</t>
    <phoneticPr fontId="5" type="noConversion"/>
  </si>
  <si>
    <t>보령 Data, -- 2024-01-01 월 오전 12:50:03</t>
    <phoneticPr fontId="5" type="noConversion"/>
  </si>
  <si>
    <t>부여 Data, -- 2024-01-01 월 오전 12:50:33</t>
    <phoneticPr fontId="5" type="noConversion"/>
  </si>
  <si>
    <t>서산 Data, -- 2024-01-01 월 오전 12:51:21</t>
    <phoneticPr fontId="5" type="noConversion"/>
  </si>
  <si>
    <t>천안 Data, -- 2024-01-01 월 오전 12:52:04</t>
    <phoneticPr fontId="5" type="noConversion"/>
  </si>
  <si>
    <t>서울경기</t>
  </si>
  <si>
    <t>서울</t>
  </si>
  <si>
    <t>30년 서울데이터, 2024-01-02 화 오후 4:58:24</t>
    <phoneticPr fontId="5" type="noConversion"/>
  </si>
  <si>
    <t>서울 Data, -- 2024-01-02 화 오후 4:58:46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</si>
</sst>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3"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_(* #,##0.0_);_(* \(#,##0.0\);_(* &quot;-&quot;??_);_(@_)"/>
    <numFmt numFmtId="185" formatCode="0_);[Red]\(0\)"/>
    <numFmt numFmtId="186" formatCode="0.0_);[Red]\(0.0\)"/>
  </numFmts>
  <fonts count="2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11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4"/>
      <name val="맑은 고딕"/>
      <family val="3"/>
      <charset val="129"/>
    </font>
    <font>
      <sz val="1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00000"/>
        <bgColor indexed="64"/>
      </patternFill>
    </fill>
  </fills>
  <borders count="4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1">
    <xf numFmtId="0" fontId="0" fillId="0" borderId="0"/>
    <xf numFmtId="24" fontId="6" fillId="0" borderId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178" fontId="4" fillId="0" borderId="0" applyNumberFormat="0" applyFont="0" applyFill="0" applyBorder="0" applyAlignment="0" applyProtection="0"/>
    <xf numFmtId="179" fontId="7" fillId="0" borderId="0" applyNumberFormat="0" applyFont="0" applyFill="0" applyBorder="0" applyAlignment="0" applyProtection="0"/>
    <xf numFmtId="0" fontId="8" fillId="0" borderId="0" applyNumberFormat="0" applyFill="0" applyBorder="0" applyAlignment="0" applyProtection="0"/>
    <xf numFmtId="180" fontId="7" fillId="0" borderId="0" applyFont="0" applyFill="0" applyBorder="0" applyAlignment="0" applyProtection="0"/>
    <xf numFmtId="183" fontId="9" fillId="0" borderId="0" applyFont="0" applyFill="0" applyBorder="0" applyAlignment="0" applyProtection="0"/>
    <xf numFmtId="182" fontId="4" fillId="0" borderId="0" applyFont="0" applyFill="0" applyBorder="0" applyAlignment="0" applyProtection="0"/>
    <xf numFmtId="49" fontId="10" fillId="0" borderId="1" applyNumberFormat="0" applyAlignment="0"/>
    <xf numFmtId="0" fontId="7" fillId="0" borderId="0"/>
    <xf numFmtId="177" fontId="7" fillId="0" borderId="0" applyFont="0" applyFill="0" applyBorder="0" applyAlignment="0" applyProtection="0"/>
    <xf numFmtId="181" fontId="7" fillId="0" borderId="0" applyFont="0" applyFill="0" applyBorder="0" applyAlignment="0" applyProtection="0"/>
    <xf numFmtId="0" fontId="11" fillId="0" borderId="2" applyNumberFormat="0" applyAlignment="0" applyProtection="0">
      <alignment horizontal="left" vertical="center"/>
    </xf>
    <xf numFmtId="0" fontId="11" fillId="0" borderId="3">
      <alignment horizontal="left" vertical="center"/>
    </xf>
    <xf numFmtId="0" fontId="3" fillId="0" borderId="0">
      <alignment vertical="center"/>
    </xf>
    <xf numFmtId="176" fontId="4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2" borderId="0" applyNumberFormat="0" applyBorder="0" applyAlignment="0" applyProtection="0">
      <alignment vertical="center"/>
    </xf>
    <xf numFmtId="0" fontId="1" fillId="0" borderId="0">
      <alignment vertical="center"/>
    </xf>
  </cellStyleXfs>
  <cellXfs count="80">
    <xf numFmtId="0" fontId="0" fillId="0" borderId="0" xfId="0"/>
    <xf numFmtId="0" fontId="12" fillId="0" borderId="0" xfId="0" applyFont="1"/>
    <xf numFmtId="0" fontId="16" fillId="0" borderId="0" xfId="0" applyFont="1" applyAlignment="1">
      <alignment horizontal="left"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3" fontId="17" fillId="0" borderId="0" xfId="0" applyNumberFormat="1" applyFont="1" applyAlignment="1">
      <alignment vertical="center"/>
    </xf>
    <xf numFmtId="0" fontId="18" fillId="3" borderId="4" xfId="0" applyFont="1" applyFill="1" applyBorder="1" applyAlignment="1">
      <alignment horizontal="center" vertical="center"/>
    </xf>
    <xf numFmtId="0" fontId="18" fillId="3" borderId="5" xfId="0" applyFont="1" applyFill="1" applyBorder="1" applyAlignment="1">
      <alignment horizontal="center" vertical="center"/>
    </xf>
    <xf numFmtId="0" fontId="18" fillId="3" borderId="6" xfId="0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20" fillId="0" borderId="0" xfId="0" applyFont="1" applyAlignment="1">
      <alignment vertical="center"/>
    </xf>
    <xf numFmtId="185" fontId="17" fillId="0" borderId="13" xfId="0" applyNumberFormat="1" applyFont="1" applyBorder="1" applyAlignment="1">
      <alignment horizontal="center" vertical="center"/>
    </xf>
    <xf numFmtId="186" fontId="17" fillId="0" borderId="12" xfId="17" applyNumberFormat="1" applyFont="1" applyBorder="1">
      <alignment vertical="center"/>
    </xf>
    <xf numFmtId="186" fontId="17" fillId="0" borderId="12" xfId="17" applyNumberFormat="1" applyFont="1" applyBorder="1" applyAlignment="1">
      <alignment vertical="center" wrapText="1"/>
    </xf>
    <xf numFmtId="186" fontId="17" fillId="0" borderId="14" xfId="17" applyNumberFormat="1" applyFont="1" applyBorder="1">
      <alignment vertical="center"/>
    </xf>
    <xf numFmtId="184" fontId="17" fillId="0" borderId="15" xfId="0" applyNumberFormat="1" applyFont="1" applyBorder="1" applyAlignment="1">
      <alignment vertical="center"/>
    </xf>
    <xf numFmtId="184" fontId="17" fillId="0" borderId="14" xfId="0" applyNumberFormat="1" applyFont="1" applyBorder="1" applyAlignment="1">
      <alignment vertical="center"/>
    </xf>
    <xf numFmtId="44" fontId="17" fillId="0" borderId="0" xfId="0" applyNumberFormat="1" applyFont="1" applyAlignment="1">
      <alignment vertical="center"/>
    </xf>
    <xf numFmtId="185" fontId="17" fillId="0" borderId="15" xfId="0" applyNumberFormat="1" applyFont="1" applyBorder="1" applyAlignment="1">
      <alignment horizontal="center" vertical="center"/>
    </xf>
    <xf numFmtId="186" fontId="17" fillId="0" borderId="7" xfId="17" applyNumberFormat="1" applyFont="1" applyBorder="1">
      <alignment vertical="center"/>
    </xf>
    <xf numFmtId="186" fontId="17" fillId="0" borderId="7" xfId="17" applyNumberFormat="1" applyFont="1" applyBorder="1" applyAlignment="1">
      <alignment vertical="center" wrapText="1"/>
    </xf>
    <xf numFmtId="186" fontId="17" fillId="0" borderId="16" xfId="17" applyNumberFormat="1" applyFont="1" applyBorder="1">
      <alignment vertical="center"/>
    </xf>
    <xf numFmtId="184" fontId="17" fillId="0" borderId="16" xfId="0" applyNumberFormat="1" applyFont="1" applyBorder="1" applyAlignment="1">
      <alignment vertical="center"/>
    </xf>
    <xf numFmtId="0" fontId="18" fillId="4" borderId="38" xfId="0" applyFont="1" applyFill="1" applyBorder="1" applyAlignment="1">
      <alignment horizontal="center" vertical="center"/>
    </xf>
    <xf numFmtId="0" fontId="18" fillId="4" borderId="41" xfId="0" applyFont="1" applyFill="1" applyBorder="1" applyAlignment="1">
      <alignment horizontal="center" vertical="center"/>
    </xf>
    <xf numFmtId="0" fontId="17" fillId="0" borderId="39" xfId="0" applyFont="1" applyBorder="1" applyAlignment="1">
      <alignment horizontal="center" vertical="center"/>
    </xf>
    <xf numFmtId="0" fontId="17" fillId="0" borderId="42" xfId="0" applyFont="1" applyBorder="1" applyAlignment="1">
      <alignment horizontal="center" vertical="center"/>
    </xf>
    <xf numFmtId="0" fontId="18" fillId="5" borderId="43" xfId="0" applyFont="1" applyFill="1" applyBorder="1" applyAlignment="1">
      <alignment horizontal="center" vertical="center"/>
    </xf>
    <xf numFmtId="0" fontId="18" fillId="6" borderId="37" xfId="0" applyFont="1" applyFill="1" applyBorder="1" applyAlignment="1">
      <alignment horizontal="center" vertical="center"/>
    </xf>
    <xf numFmtId="0" fontId="18" fillId="0" borderId="29" xfId="0" applyFont="1" applyBorder="1" applyAlignment="1">
      <alignment vertical="center"/>
    </xf>
    <xf numFmtId="0" fontId="18" fillId="0" borderId="30" xfId="0" applyFont="1" applyBorder="1" applyAlignment="1">
      <alignment vertical="center"/>
    </xf>
    <xf numFmtId="0" fontId="18" fillId="0" borderId="31" xfId="0" applyFont="1" applyBorder="1" applyAlignment="1">
      <alignment vertical="center"/>
    </xf>
    <xf numFmtId="0" fontId="18" fillId="0" borderId="32" xfId="0" applyFont="1" applyBorder="1" applyAlignment="1">
      <alignment vertical="center"/>
    </xf>
    <xf numFmtId="0" fontId="18" fillId="0" borderId="0" xfId="0" applyFont="1" applyAlignment="1">
      <alignment vertical="center"/>
    </xf>
    <xf numFmtId="0" fontId="18" fillId="0" borderId="33" xfId="0" applyFont="1" applyBorder="1" applyAlignment="1">
      <alignment vertical="center"/>
    </xf>
    <xf numFmtId="0" fontId="18" fillId="0" borderId="34" xfId="0" applyFont="1" applyBorder="1" applyAlignment="1">
      <alignment vertical="center"/>
    </xf>
    <xf numFmtId="0" fontId="18" fillId="0" borderId="35" xfId="0" applyFont="1" applyBorder="1" applyAlignment="1">
      <alignment vertical="center"/>
    </xf>
    <xf numFmtId="0" fontId="18" fillId="0" borderId="36" xfId="0" applyFont="1" applyBorder="1" applyAlignment="1">
      <alignment vertical="center"/>
    </xf>
    <xf numFmtId="185" fontId="17" fillId="0" borderId="19" xfId="0" applyNumberFormat="1" applyFont="1" applyBorder="1" applyAlignment="1">
      <alignment horizontal="center" vertical="center"/>
    </xf>
    <xf numFmtId="186" fontId="17" fillId="0" borderId="20" xfId="17" applyNumberFormat="1" applyFont="1" applyBorder="1">
      <alignment vertical="center"/>
    </xf>
    <xf numFmtId="186" fontId="17" fillId="0" borderId="21" xfId="17" applyNumberFormat="1" applyFont="1" applyBorder="1">
      <alignment vertical="center"/>
    </xf>
    <xf numFmtId="184" fontId="17" fillId="0" borderId="19" xfId="0" applyNumberFormat="1" applyFont="1" applyBorder="1" applyAlignment="1">
      <alignment vertical="center"/>
    </xf>
    <xf numFmtId="184" fontId="17" fillId="0" borderId="21" xfId="0" applyNumberFormat="1" applyFont="1" applyBorder="1" applyAlignment="1">
      <alignment vertical="center"/>
    </xf>
    <xf numFmtId="0" fontId="17" fillId="0" borderId="22" xfId="0" applyFont="1" applyBorder="1" applyAlignment="1">
      <alignment horizontal="center" vertical="center"/>
    </xf>
    <xf numFmtId="184" fontId="17" fillId="0" borderId="23" xfId="0" applyNumberFormat="1" applyFont="1" applyBorder="1" applyAlignment="1">
      <alignment vertical="center"/>
    </xf>
    <xf numFmtId="184" fontId="17" fillId="0" borderId="24" xfId="0" applyNumberFormat="1" applyFont="1" applyBorder="1" applyAlignment="1">
      <alignment vertical="center"/>
    </xf>
    <xf numFmtId="184" fontId="17" fillId="0" borderId="22" xfId="17" applyNumberFormat="1" applyFont="1" applyBorder="1">
      <alignment vertical="center"/>
    </xf>
    <xf numFmtId="184" fontId="17" fillId="0" borderId="24" xfId="17" applyNumberFormat="1" applyFont="1" applyBorder="1">
      <alignment vertical="center"/>
    </xf>
    <xf numFmtId="0" fontId="17" fillId="0" borderId="15" xfId="0" applyFont="1" applyBorder="1" applyAlignment="1">
      <alignment horizontal="center" vertical="center"/>
    </xf>
    <xf numFmtId="184" fontId="17" fillId="0" borderId="7" xfId="0" applyNumberFormat="1" applyFont="1" applyBorder="1" applyAlignment="1">
      <alignment vertical="center"/>
    </xf>
    <xf numFmtId="184" fontId="17" fillId="0" borderId="15" xfId="17" applyNumberFormat="1" applyFont="1" applyBorder="1">
      <alignment vertical="center"/>
    </xf>
    <xf numFmtId="184" fontId="17" fillId="0" borderId="16" xfId="17" applyNumberFormat="1" applyFont="1" applyBorder="1">
      <alignment vertical="center"/>
    </xf>
    <xf numFmtId="0" fontId="17" fillId="0" borderId="17" xfId="0" applyFont="1" applyBorder="1" applyAlignment="1">
      <alignment horizontal="center" vertical="center"/>
    </xf>
    <xf numFmtId="184" fontId="17" fillId="0" borderId="9" xfId="0" applyNumberFormat="1" applyFont="1" applyBorder="1" applyAlignment="1">
      <alignment vertical="center"/>
    </xf>
    <xf numFmtId="184" fontId="17" fillId="0" borderId="18" xfId="0" applyNumberFormat="1" applyFont="1" applyBorder="1" applyAlignment="1">
      <alignment vertical="center"/>
    </xf>
    <xf numFmtId="184" fontId="17" fillId="0" borderId="17" xfId="17" applyNumberFormat="1" applyFont="1" applyBorder="1">
      <alignment vertical="center"/>
    </xf>
    <xf numFmtId="184" fontId="17" fillId="0" borderId="18" xfId="17" applyNumberFormat="1" applyFont="1" applyBorder="1">
      <alignment vertical="center"/>
    </xf>
    <xf numFmtId="184" fontId="17" fillId="3" borderId="22" xfId="17" applyNumberFormat="1" applyFont="1" applyFill="1" applyBorder="1" applyAlignment="1">
      <alignment horizontal="center" vertical="center"/>
    </xf>
    <xf numFmtId="184" fontId="17" fillId="3" borderId="23" xfId="17" applyNumberFormat="1" applyFont="1" applyFill="1" applyBorder="1" applyAlignment="1">
      <alignment horizontal="center" vertical="center"/>
    </xf>
    <xf numFmtId="184" fontId="17" fillId="3" borderId="24" xfId="17" applyNumberFormat="1" applyFont="1" applyFill="1" applyBorder="1" applyAlignment="1">
      <alignment horizontal="center" vertical="center"/>
    </xf>
    <xf numFmtId="184" fontId="17" fillId="3" borderId="25" xfId="17" applyNumberFormat="1" applyFont="1" applyFill="1" applyBorder="1" applyAlignment="1">
      <alignment horizontal="center" vertical="center"/>
    </xf>
    <xf numFmtId="49" fontId="17" fillId="0" borderId="15" xfId="17" applyNumberFormat="1" applyFont="1" applyBorder="1" applyAlignment="1">
      <alignment horizontal="center" vertical="center"/>
    </xf>
    <xf numFmtId="49" fontId="17" fillId="0" borderId="7" xfId="17" applyNumberFormat="1" applyFont="1" applyBorder="1" applyAlignment="1">
      <alignment horizontal="center" vertical="center"/>
    </xf>
    <xf numFmtId="49" fontId="17" fillId="0" borderId="16" xfId="17" applyNumberFormat="1" applyFont="1" applyBorder="1" applyAlignment="1">
      <alignment horizontal="center" vertical="center"/>
    </xf>
    <xf numFmtId="184" fontId="17" fillId="0" borderId="8" xfId="17" applyNumberFormat="1" applyFont="1" applyBorder="1">
      <alignment vertical="center"/>
    </xf>
    <xf numFmtId="49" fontId="17" fillId="0" borderId="17" xfId="17" applyNumberFormat="1" applyFont="1" applyBorder="1" applyAlignment="1">
      <alignment horizontal="center" vertical="center"/>
    </xf>
    <xf numFmtId="49" fontId="17" fillId="0" borderId="9" xfId="17" applyNumberFormat="1" applyFont="1" applyBorder="1" applyAlignment="1">
      <alignment horizontal="center" vertical="center"/>
    </xf>
    <xf numFmtId="49" fontId="17" fillId="0" borderId="18" xfId="17" applyNumberFormat="1" applyFont="1" applyBorder="1" applyAlignment="1">
      <alignment horizontal="center" vertical="center"/>
    </xf>
    <xf numFmtId="184" fontId="17" fillId="0" borderId="11" xfId="17" applyNumberFormat="1" applyFont="1" applyBorder="1">
      <alignment vertical="center"/>
    </xf>
    <xf numFmtId="184" fontId="17" fillId="0" borderId="26" xfId="17" applyNumberFormat="1" applyFont="1" applyBorder="1" applyAlignment="1">
      <alignment horizontal="center" vertical="center"/>
    </xf>
    <xf numFmtId="184" fontId="17" fillId="0" borderId="10" xfId="17" applyNumberFormat="1" applyFont="1" applyBorder="1">
      <alignment vertical="center"/>
    </xf>
    <xf numFmtId="184" fontId="17" fillId="0" borderId="27" xfId="17" applyNumberFormat="1" applyFont="1" applyBorder="1">
      <alignment vertical="center"/>
    </xf>
    <xf numFmtId="184" fontId="17" fillId="0" borderId="28" xfId="17" applyNumberFormat="1" applyFont="1" applyBorder="1">
      <alignment vertical="center"/>
    </xf>
    <xf numFmtId="184" fontId="17" fillId="0" borderId="15" xfId="17" applyNumberFormat="1" applyFont="1" applyBorder="1" applyAlignment="1">
      <alignment horizontal="center" vertical="center"/>
    </xf>
    <xf numFmtId="184" fontId="17" fillId="0" borderId="7" xfId="17" applyNumberFormat="1" applyFont="1" applyBorder="1">
      <alignment vertical="center"/>
    </xf>
    <xf numFmtId="184" fontId="17" fillId="0" borderId="17" xfId="17" applyNumberFormat="1" applyFont="1" applyBorder="1" applyAlignment="1">
      <alignment horizontal="center" vertical="center"/>
    </xf>
    <xf numFmtId="184" fontId="17" fillId="0" borderId="9" xfId="17" applyNumberFormat="1" applyFont="1" applyBorder="1">
      <alignment vertical="center"/>
    </xf>
    <xf numFmtId="0" fontId="17" fillId="0" borderId="0" xfId="0" applyFont="1"/>
    <xf numFmtId="0" fontId="21" fillId="7" borderId="43" xfId="0" applyFont="1" applyFill="1" applyBorder="1" applyAlignment="1">
      <alignment horizontal="center" vertical="center"/>
    </xf>
    <xf numFmtId="0" fontId="22" fillId="0" borderId="40" xfId="0" applyFont="1" applyBorder="1" applyAlignment="1">
      <alignment horizontal="center" vertical="center"/>
    </xf>
  </cellXfs>
  <cellStyles count="21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4 2" xfId="19" xr:uid="{00000000-0005-0000-0000-000006000000}"/>
    <cellStyle name="Header1" xfId="14" xr:uid="{00000000-0005-0000-0000-000007000000}"/>
    <cellStyle name="Header2" xfId="15" xr:uid="{00000000-0005-0000-0000-000008000000}"/>
    <cellStyle name="쉼표" xfId="17" builtinId="3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0" xr:uid="{CA2A81A1-AFCB-401F-ABBC-D36D3B678B3E}"/>
  </cellStyles>
  <dxfs count="3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5</xdr:row>
          <xdr:rowOff>104775</xdr:rowOff>
        </xdr:from>
        <xdr:to>
          <xdr:col>23</xdr:col>
          <xdr:colOff>409575</xdr:colOff>
          <xdr:row>6</xdr:row>
          <xdr:rowOff>171450</xdr:rowOff>
        </xdr:to>
        <xdr:sp macro="" textlink="">
          <xdr:nvSpPr>
            <xdr:cNvPr id="59398" name="CommandButton1" hidden="1">
              <a:extLst>
                <a:ext uri="{63B3BB69-23CF-44E3-9099-C40C66FF867C}">
                  <a14:compatExt spid="_x0000_s59398"/>
                </a:ext>
                <a:ext uri="{FF2B5EF4-FFF2-40B4-BE49-F238E27FC236}">
                  <a16:creationId xmlns:a16="http://schemas.microsoft.com/office/drawing/2014/main" id="{00000000-0008-0000-0600-00000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6</xdr:row>
          <xdr:rowOff>228600</xdr:rowOff>
        </xdr:from>
        <xdr:to>
          <xdr:col>23</xdr:col>
          <xdr:colOff>409575</xdr:colOff>
          <xdr:row>8</xdr:row>
          <xdr:rowOff>0</xdr:rowOff>
        </xdr:to>
        <xdr:sp macro="" textlink="">
          <xdr:nvSpPr>
            <xdr:cNvPr id="59407" name="CommandButton3" hidden="1">
              <a:extLst>
                <a:ext uri="{63B3BB69-23CF-44E3-9099-C40C66FF867C}">
                  <a14:compatExt spid="_x0000_s59407"/>
                </a:ext>
                <a:ext uri="{FF2B5EF4-FFF2-40B4-BE49-F238E27FC236}">
                  <a16:creationId xmlns:a16="http://schemas.microsoft.com/office/drawing/2014/main" id="{00000000-0008-0000-0600-00000F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304800</xdr:colOff>
          <xdr:row>8</xdr:row>
          <xdr:rowOff>66675</xdr:rowOff>
        </xdr:from>
        <xdr:to>
          <xdr:col>23</xdr:col>
          <xdr:colOff>409575</xdr:colOff>
          <xdr:row>9</xdr:row>
          <xdr:rowOff>114300</xdr:rowOff>
        </xdr:to>
        <xdr:sp macro="" textlink="">
          <xdr:nvSpPr>
            <xdr:cNvPr id="59415" name="CommandButton2" hidden="1">
              <a:extLst>
                <a:ext uri="{63B3BB69-23CF-44E3-9099-C40C66FF867C}">
                  <a14:compatExt spid="_x0000_s59415"/>
                </a:ext>
                <a:ext uri="{FF2B5EF4-FFF2-40B4-BE49-F238E27FC236}">
                  <a16:creationId xmlns:a16="http://schemas.microsoft.com/office/drawing/2014/main" id="{00000000-0008-0000-0600-000017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323850</xdr:colOff>
          <xdr:row>10</xdr:row>
          <xdr:rowOff>114300</xdr:rowOff>
        </xdr:from>
        <xdr:to>
          <xdr:col>23</xdr:col>
          <xdr:colOff>428625</xdr:colOff>
          <xdr:row>11</xdr:row>
          <xdr:rowOff>161925</xdr:rowOff>
        </xdr:to>
        <xdr:sp macro="" textlink="">
          <xdr:nvSpPr>
            <xdr:cNvPr id="59430" name="CommandButton4" hidden="1">
              <a:extLst>
                <a:ext uri="{63B3BB69-23CF-44E3-9099-C40C66FF867C}">
                  <a14:compatExt spid="_x0000_s59430"/>
                </a:ext>
                <a:ext uri="{FF2B5EF4-FFF2-40B4-BE49-F238E27FC236}">
                  <a16:creationId xmlns:a16="http://schemas.microsoft.com/office/drawing/2014/main" id="{00000000-0008-0000-0600-000026E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A9097F2-2DC9-4022-BC12-F5F7EE7C2B68}" name="Table1" displayName="Table1" ref="A1:E11" totalsRowShown="0">
  <autoFilter ref="A1:E11" xr:uid="{38019919-CB51-4D59-96A5-0E0EAEF458EB}"/>
  <tableColumns count="5">
    <tableColumn id="1" xr3:uid="{F11A8E25-8CA4-4413-90EF-D2287FF2CE08}" name="Area" dataDxfId="31"/>
    <tableColumn id="4" xr3:uid="{3FABA01C-AB4B-48AC-BDB1-16BF1034D0DF}" name="name" dataDxfId="30"/>
    <tableColumn id="3" xr3:uid="{A5F66352-D28A-4CF0-B250-A489700B8D54}" name="Code" dataDxfId="29"/>
    <tableColumn id="2" xr3:uid="{09B4436B-841C-4B9C-8162-E947F4575E48}" name="aCode" dataDxfId="28"/>
    <tableColumn id="5" xr3:uid="{C31DCB80-AB53-4D9B-9C64-E7F32BEF140C}" name="switch" dataDxfId="27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24F1BB2-EC67-4814-9A0C-40EBF81DDB3B}" name="Table2" displayName="Table2" ref="G1:K16" totalsRowShown="0">
  <autoFilter ref="G1:K16" xr:uid="{D4550153-2CFF-4D7B-92BC-CF0B5556755F}"/>
  <tableColumns count="5">
    <tableColumn id="1" xr3:uid="{2EA1B7B3-65D6-4FC8-BEEA-4E15CBE7D4FC}" name="Area" dataDxfId="26"/>
    <tableColumn id="4" xr3:uid="{B62D6831-87BE-4F65-B7F1-BD0B146AF49F}" name="name" dataDxfId="25"/>
    <tableColumn id="3" xr3:uid="{658D7C19-D0E8-42F4-ABCB-2387237F828A}" name="Code" dataDxfId="24"/>
    <tableColumn id="2" xr3:uid="{989EB4D9-50A5-4C55-9B67-E92A0A209FA0}" name="aCode" dataDxfId="23"/>
    <tableColumn id="5" xr3:uid="{AECDD82A-ACE1-4B11-8AC5-F6E8FEEF4153}" name="switch" dataDxfId="2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74557D9-D3B5-4A74-898E-1FD0A73F0550}" name="Table3" displayName="Table3" ref="M1:Q15" totalsRowShown="0">
  <autoFilter ref="M1:Q15" xr:uid="{787F6D66-934F-478D-8043-B787BB6EAB19}"/>
  <tableColumns count="5">
    <tableColumn id="1" xr3:uid="{57C9AF4D-BF5B-4146-BED3-975146BECF26}" name="Area" dataDxfId="21"/>
    <tableColumn id="4" xr3:uid="{017C91F5-4BF0-4180-8133-652E08E84954}" name="name" dataDxfId="20"/>
    <tableColumn id="3" xr3:uid="{EC253443-ACAA-4D84-A256-070B355AA943}" name="Code" dataDxfId="19"/>
    <tableColumn id="2" xr3:uid="{80669424-532F-4472-8AC0-B591D616F4FF}" name="aCode" dataDxfId="18"/>
    <tableColumn id="5" xr3:uid="{3E99FA54-F62F-4943-96D0-A92D6B1BF889}" name="switch" dataDxfId="17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FC4A68D-7C89-4637-BA3D-03AAAA84FDCB}" name="Table4" displayName="Table4" ref="A22:E49" totalsRowShown="0">
  <autoFilter ref="A22:E49" xr:uid="{4706A22D-9274-47B0-9F9A-12CB242225EC}"/>
  <tableColumns count="5">
    <tableColumn id="1" xr3:uid="{A60EB2AB-B5F2-418D-8E79-61B3DE393EE7}" name="Area" dataDxfId="16"/>
    <tableColumn id="4" xr3:uid="{9687561B-6A34-4432-917E-5BE8286748FA}" name="name" dataDxfId="15"/>
    <tableColumn id="3" xr3:uid="{2D753499-917F-4411-A14D-2196A2F1D788}" name="Code" dataDxfId="14"/>
    <tableColumn id="2" xr3:uid="{F72F6AA5-B461-4032-B5C7-926520FCFE1E}" name="aCode" dataDxfId="13"/>
    <tableColumn id="5" xr3:uid="{2BB69875-ADCC-49C7-B005-BDD03F21A48A}" name="switch" dataDxfId="1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141CB55-7B2B-41F2-A06D-65C85F930F1B}" name="Table5" displayName="Table5" ref="G22:K54" totalsRowShown="0">
  <autoFilter ref="G22:K54" xr:uid="{61C9C907-3F61-483D-ACB1-5C46AEF050DE}"/>
  <tableColumns count="5">
    <tableColumn id="1" xr3:uid="{AA591471-E814-4FDA-B64D-E64E5AC07943}" name="Area" dataDxfId="11"/>
    <tableColumn id="4" xr3:uid="{81223094-743C-484F-BD6C-C0070968E015}" name="name" dataDxfId="10"/>
    <tableColumn id="3" xr3:uid="{02B114B2-31A2-45E0-95CB-D7B5B59158D4}" name="Code" dataDxfId="9"/>
    <tableColumn id="2" xr3:uid="{25F1EE2B-22EC-4D69-8CEF-1F35F419008D}" name="aCode" dataDxfId="8"/>
    <tableColumn id="5" xr3:uid="{98CAFCC6-1A44-428B-AD18-F0F5163D8036}" name="switch" dataDxfId="7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2C3BDCCB-DB8C-4364-80B8-B559D134359E}" name="Table6" displayName="Table6" ref="M23:Q29" totalsRowShown="0">
  <autoFilter ref="M23:Q29" xr:uid="{2DF2367D-A876-4E60-95C5-6B82E6D60CBA}"/>
  <tableColumns count="5">
    <tableColumn id="1" xr3:uid="{BF60EA61-477C-4980-9539-229D140895A8}" name="Area" dataDxfId="6"/>
    <tableColumn id="4" xr3:uid="{946138E4-408B-41AA-9EFE-0179ACDBA91C}" name="name" dataDxfId="5"/>
    <tableColumn id="3" xr3:uid="{4CD67D66-5E03-4217-ADBB-EDB24CF7D896}" name="Code" dataDxfId="4"/>
    <tableColumn id="2" xr3:uid="{951E4035-1C41-41A8-8801-D5CE38818C67}" name="aCode" dataDxfId="3"/>
    <tableColumn id="5" xr3:uid="{3153C0DB-1764-4890-BEFB-6C5DD9BCE384}" name="switch" dataDxfId="2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2910CC7-9BD2-44A2-91A4-C7B7850E53FB}" name="tblLocation" displayName="tblLocation" ref="S1:T7" totalsRowShown="0">
  <autoFilter ref="S1:T7" xr:uid="{097FB628-A468-4790-BE49-C390973AF997}"/>
  <tableColumns count="2">
    <tableColumn id="1" xr3:uid="{0575700F-3FE0-4DCD-8453-4F22777BC083}" name="Area" dataDxfId="1"/>
    <tableColumn id="3" xr3:uid="{4DB9070B-5067-4035-BDC5-48A6AFBB7D85}" name="Code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8BF8C8-6B0C-42D4-AFFB-71217818938A}">
  <sheetPr codeName="Sheet20">
    <tabColor rgb="FF00B050"/>
  </sheetPr>
  <dimension ref="A2:Q983"/>
  <sheetViews>
    <sheetView tabSelected="1" topLeftCell="A4" zoomScaleNormal="100" workbookViewId="0">
      <selection activeCell="V10" sqref="V1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265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6.5</v>
      </c>
      <c r="D6" s="12">
        <v>14.8</v>
      </c>
      <c r="E6" s="12">
        <v>31.7</v>
      </c>
      <c r="F6" s="12">
        <v>44.9</v>
      </c>
      <c r="G6" s="12">
        <v>152.4</v>
      </c>
      <c r="H6" s="12">
        <v>85</v>
      </c>
      <c r="I6" s="12">
        <v>139.5</v>
      </c>
      <c r="J6" s="13">
        <v>232.7</v>
      </c>
      <c r="K6" s="12">
        <v>60.7</v>
      </c>
      <c r="L6" s="12">
        <v>214.5</v>
      </c>
      <c r="M6" s="12">
        <v>49.6</v>
      </c>
      <c r="N6" s="14">
        <v>23.5</v>
      </c>
      <c r="O6" s="15">
        <f t="shared" ref="O6:O35" si="0">ROUND(SUM(C6:N6),1)</f>
        <v>1055.8</v>
      </c>
      <c r="P6" s="16">
        <f>ROUND(O6/12,1)</f>
        <v>88</v>
      </c>
      <c r="Q6" s="17"/>
    </row>
    <row r="7" spans="2:17" ht="21.95" customHeight="1">
      <c r="B7" s="18">
        <v>1995</v>
      </c>
      <c r="C7" s="19">
        <v>11.6</v>
      </c>
      <c r="D7" s="19">
        <v>5.2</v>
      </c>
      <c r="E7" s="19">
        <v>60.6</v>
      </c>
      <c r="F7" s="19">
        <v>44.4</v>
      </c>
      <c r="G7" s="19">
        <v>60.6</v>
      </c>
      <c r="H7" s="19">
        <v>70.7</v>
      </c>
      <c r="I7" s="19">
        <v>436.1</v>
      </c>
      <c r="J7" s="20">
        <v>786.6</v>
      </c>
      <c r="K7" s="19">
        <v>47.2</v>
      </c>
      <c r="L7" s="19">
        <v>39.299999999999997</v>
      </c>
      <c r="M7" s="19">
        <v>32.9</v>
      </c>
      <c r="N7" s="21">
        <v>3.4</v>
      </c>
      <c r="O7" s="15">
        <f t="shared" si="0"/>
        <v>1598.6</v>
      </c>
      <c r="P7" s="22">
        <f t="shared" ref="P7:P35" si="1">ROUND(O7/12,1)</f>
        <v>133.19999999999999</v>
      </c>
      <c r="Q7" s="17"/>
    </row>
    <row r="8" spans="2:17" ht="21.95" customHeight="1">
      <c r="B8" s="18">
        <v>1996</v>
      </c>
      <c r="C8" s="19">
        <v>16.3</v>
      </c>
      <c r="D8" s="19">
        <v>1</v>
      </c>
      <c r="E8" s="19">
        <v>77.900000000000006</v>
      </c>
      <c r="F8" s="19">
        <v>62</v>
      </c>
      <c r="G8" s="19">
        <v>29.3</v>
      </c>
      <c r="H8" s="19">
        <v>249.7</v>
      </c>
      <c r="I8" s="19">
        <v>512.79999999999995</v>
      </c>
      <c r="J8" s="19">
        <v>132.4</v>
      </c>
      <c r="K8" s="19">
        <v>11</v>
      </c>
      <c r="L8" s="19">
        <v>90.3</v>
      </c>
      <c r="M8" s="19">
        <v>62.9</v>
      </c>
      <c r="N8" s="21">
        <v>11</v>
      </c>
      <c r="O8" s="15">
        <f t="shared" si="0"/>
        <v>1256.5999999999999</v>
      </c>
      <c r="P8" s="22">
        <f t="shared" si="1"/>
        <v>104.7</v>
      </c>
      <c r="Q8" s="17"/>
    </row>
    <row r="9" spans="2:17" ht="21.95" customHeight="1">
      <c r="B9" s="18">
        <v>1997</v>
      </c>
      <c r="C9" s="19">
        <v>16.8</v>
      </c>
      <c r="D9" s="19">
        <v>39.6</v>
      </c>
      <c r="E9" s="19">
        <v>25.3</v>
      </c>
      <c r="F9" s="19">
        <v>56.1</v>
      </c>
      <c r="G9" s="19">
        <v>291.3</v>
      </c>
      <c r="H9" s="19">
        <v>110</v>
      </c>
      <c r="I9" s="19">
        <v>299.60000000000002</v>
      </c>
      <c r="J9" s="19">
        <v>117.2</v>
      </c>
      <c r="K9" s="19">
        <v>76.900000000000006</v>
      </c>
      <c r="L9" s="19">
        <v>45.5</v>
      </c>
      <c r="M9" s="19">
        <v>93.8</v>
      </c>
      <c r="N9" s="21">
        <v>38.1</v>
      </c>
      <c r="O9" s="15">
        <f t="shared" si="0"/>
        <v>1210.2</v>
      </c>
      <c r="P9" s="22">
        <f t="shared" si="1"/>
        <v>100.9</v>
      </c>
      <c r="Q9" s="17"/>
    </row>
    <row r="10" spans="2:17" ht="21.95" customHeight="1">
      <c r="B10" s="18">
        <v>1998</v>
      </c>
      <c r="C10" s="19">
        <v>10.4</v>
      </c>
      <c r="D10" s="19">
        <v>32.299999999999997</v>
      </c>
      <c r="E10" s="19">
        <v>45.1</v>
      </c>
      <c r="F10" s="19">
        <v>120.2</v>
      </c>
      <c r="G10" s="19">
        <v>121.5</v>
      </c>
      <c r="H10" s="19">
        <v>234.1</v>
      </c>
      <c r="I10" s="19">
        <v>311.8</v>
      </c>
      <c r="J10" s="19">
        <v>1237.8</v>
      </c>
      <c r="K10" s="19">
        <v>177.9</v>
      </c>
      <c r="L10" s="19">
        <v>27.4</v>
      </c>
      <c r="M10" s="19">
        <v>26.9</v>
      </c>
      <c r="N10" s="21">
        <v>3.7</v>
      </c>
      <c r="O10" s="15">
        <f t="shared" si="0"/>
        <v>2349.1</v>
      </c>
      <c r="P10" s="22">
        <f t="shared" si="1"/>
        <v>195.8</v>
      </c>
      <c r="Q10" s="17"/>
    </row>
    <row r="11" spans="2:17" ht="21.95" customHeight="1">
      <c r="B11" s="18">
        <v>1999</v>
      </c>
      <c r="C11" s="19">
        <v>10.199999999999999</v>
      </c>
      <c r="D11" s="19">
        <v>2.9</v>
      </c>
      <c r="E11" s="19">
        <v>55</v>
      </c>
      <c r="F11" s="19">
        <v>97.2</v>
      </c>
      <c r="G11" s="19">
        <v>109.7</v>
      </c>
      <c r="H11" s="19">
        <v>131.80000000000001</v>
      </c>
      <c r="I11" s="19">
        <v>230.4</v>
      </c>
      <c r="J11" s="19">
        <v>600.5</v>
      </c>
      <c r="K11" s="19">
        <v>377.3</v>
      </c>
      <c r="L11" s="19">
        <v>81.599999999999994</v>
      </c>
      <c r="M11" s="19">
        <v>19.5</v>
      </c>
      <c r="N11" s="21">
        <v>17</v>
      </c>
      <c r="O11" s="15">
        <f t="shared" si="0"/>
        <v>1733.1</v>
      </c>
      <c r="P11" s="22">
        <f t="shared" si="1"/>
        <v>144.4</v>
      </c>
      <c r="Q11" s="17"/>
    </row>
    <row r="12" spans="2:17" ht="21.95" customHeight="1">
      <c r="B12" s="18">
        <v>2000</v>
      </c>
      <c r="C12" s="19">
        <v>42.8</v>
      </c>
      <c r="D12" s="19">
        <v>2.1</v>
      </c>
      <c r="E12" s="19">
        <v>3.1</v>
      </c>
      <c r="F12" s="19">
        <v>30.7</v>
      </c>
      <c r="G12" s="19">
        <v>75.2</v>
      </c>
      <c r="H12" s="19">
        <v>68.099999999999994</v>
      </c>
      <c r="I12" s="19">
        <v>114.7</v>
      </c>
      <c r="J12" s="19">
        <v>599.4</v>
      </c>
      <c r="K12" s="19">
        <v>178.5</v>
      </c>
      <c r="L12" s="19">
        <v>18.100000000000001</v>
      </c>
      <c r="M12" s="19">
        <v>27.1</v>
      </c>
      <c r="N12" s="21">
        <v>27</v>
      </c>
      <c r="O12" s="15">
        <f t="shared" si="0"/>
        <v>1186.8</v>
      </c>
      <c r="P12" s="22">
        <f t="shared" si="1"/>
        <v>98.9</v>
      </c>
    </row>
    <row r="13" spans="2:17" ht="21.95" customHeight="1">
      <c r="B13" s="18">
        <v>2001</v>
      </c>
      <c r="C13" s="19">
        <v>39.4</v>
      </c>
      <c r="D13" s="19">
        <v>45.7</v>
      </c>
      <c r="E13" s="19">
        <v>18.100000000000001</v>
      </c>
      <c r="F13" s="19">
        <v>12.3</v>
      </c>
      <c r="G13" s="19">
        <v>16.5</v>
      </c>
      <c r="H13" s="19">
        <v>157.4</v>
      </c>
      <c r="I13" s="19">
        <v>698.4</v>
      </c>
      <c r="J13" s="19">
        <v>252</v>
      </c>
      <c r="K13" s="19">
        <v>49.3</v>
      </c>
      <c r="L13" s="19">
        <v>68.2</v>
      </c>
      <c r="M13" s="19">
        <v>13</v>
      </c>
      <c r="N13" s="21">
        <v>15.7</v>
      </c>
      <c r="O13" s="15">
        <f t="shared" si="0"/>
        <v>1386</v>
      </c>
      <c r="P13" s="22">
        <f t="shared" si="1"/>
        <v>115.5</v>
      </c>
    </row>
    <row r="14" spans="2:17" ht="21.95" customHeight="1">
      <c r="B14" s="18">
        <v>2002</v>
      </c>
      <c r="C14" s="19">
        <v>37.4</v>
      </c>
      <c r="D14" s="19">
        <v>2.4</v>
      </c>
      <c r="E14" s="19">
        <v>31.5</v>
      </c>
      <c r="F14" s="19">
        <v>155.1</v>
      </c>
      <c r="G14" s="19">
        <v>58</v>
      </c>
      <c r="H14" s="19">
        <v>61.4</v>
      </c>
      <c r="I14" s="19">
        <v>220.6</v>
      </c>
      <c r="J14" s="19">
        <v>688</v>
      </c>
      <c r="K14" s="19">
        <v>61.1</v>
      </c>
      <c r="L14" s="19">
        <v>45</v>
      </c>
      <c r="M14" s="19">
        <v>12.5</v>
      </c>
      <c r="N14" s="21">
        <v>15</v>
      </c>
      <c r="O14" s="15">
        <f t="shared" si="0"/>
        <v>1388</v>
      </c>
      <c r="P14" s="22">
        <f t="shared" si="1"/>
        <v>115.7</v>
      </c>
    </row>
    <row r="15" spans="2:17" ht="21.95" customHeight="1">
      <c r="B15" s="18">
        <v>2003</v>
      </c>
      <c r="C15" s="19">
        <v>14.1</v>
      </c>
      <c r="D15" s="19">
        <v>39.6</v>
      </c>
      <c r="E15" s="19">
        <v>26.8</v>
      </c>
      <c r="F15" s="19">
        <v>139.6</v>
      </c>
      <c r="G15" s="19">
        <v>106</v>
      </c>
      <c r="H15" s="19">
        <v>156</v>
      </c>
      <c r="I15" s="19">
        <v>469.8</v>
      </c>
      <c r="J15" s="19">
        <v>684.2</v>
      </c>
      <c r="K15" s="19">
        <v>258.2</v>
      </c>
      <c r="L15" s="19">
        <v>41.5</v>
      </c>
      <c r="M15" s="19">
        <v>69.3</v>
      </c>
      <c r="N15" s="21">
        <v>6.9</v>
      </c>
      <c r="O15" s="15">
        <f t="shared" si="0"/>
        <v>2012</v>
      </c>
      <c r="P15" s="22">
        <f t="shared" si="1"/>
        <v>167.7</v>
      </c>
    </row>
    <row r="16" spans="2:17" ht="21.95" customHeight="1">
      <c r="B16" s="18">
        <v>2004</v>
      </c>
      <c r="C16" s="19">
        <v>19.8</v>
      </c>
      <c r="D16" s="19">
        <v>54.6</v>
      </c>
      <c r="E16" s="19">
        <v>27.6</v>
      </c>
      <c r="F16" s="19">
        <v>74.099999999999994</v>
      </c>
      <c r="G16" s="19">
        <v>168.5</v>
      </c>
      <c r="H16" s="19">
        <v>138.1</v>
      </c>
      <c r="I16" s="19">
        <v>510.7</v>
      </c>
      <c r="J16" s="19">
        <v>193.3</v>
      </c>
      <c r="K16" s="19">
        <v>198.7</v>
      </c>
      <c r="L16" s="19">
        <v>6.5</v>
      </c>
      <c r="M16" s="19">
        <v>80</v>
      </c>
      <c r="N16" s="21">
        <v>27.2</v>
      </c>
      <c r="O16" s="15">
        <f t="shared" si="0"/>
        <v>1499.1</v>
      </c>
      <c r="P16" s="22">
        <f t="shared" si="1"/>
        <v>124.9</v>
      </c>
    </row>
    <row r="17" spans="2:16" ht="21.95" customHeight="1">
      <c r="B17" s="18">
        <v>2005</v>
      </c>
      <c r="C17" s="19">
        <v>4.5</v>
      </c>
      <c r="D17" s="19">
        <v>17.2</v>
      </c>
      <c r="E17" s="19">
        <v>12.5</v>
      </c>
      <c r="F17" s="19">
        <v>94.7</v>
      </c>
      <c r="G17" s="19">
        <v>85.8</v>
      </c>
      <c r="H17" s="19">
        <v>168.5</v>
      </c>
      <c r="I17" s="19">
        <v>269.39999999999998</v>
      </c>
      <c r="J17" s="19">
        <v>285</v>
      </c>
      <c r="K17" s="19">
        <v>313.3</v>
      </c>
      <c r="L17" s="19">
        <v>52.6</v>
      </c>
      <c r="M17" s="19">
        <v>44.6</v>
      </c>
      <c r="N17" s="21">
        <v>10.3</v>
      </c>
      <c r="O17" s="15">
        <f t="shared" si="0"/>
        <v>1358.4</v>
      </c>
      <c r="P17" s="22">
        <f t="shared" si="1"/>
        <v>113.2</v>
      </c>
    </row>
    <row r="18" spans="2:16" ht="21.95" customHeight="1">
      <c r="B18" s="18">
        <v>2006</v>
      </c>
      <c r="C18" s="19">
        <v>34.299999999999997</v>
      </c>
      <c r="D18" s="19">
        <v>15.7</v>
      </c>
      <c r="E18" s="19">
        <v>14</v>
      </c>
      <c r="F18" s="19">
        <v>51.8</v>
      </c>
      <c r="G18" s="19">
        <v>156.19999999999999</v>
      </c>
      <c r="H18" s="19">
        <v>168.5</v>
      </c>
      <c r="I18" s="19">
        <v>1014</v>
      </c>
      <c r="J18" s="19">
        <v>121.2</v>
      </c>
      <c r="K18" s="19">
        <v>11.1</v>
      </c>
      <c r="L18" s="19">
        <v>30.2</v>
      </c>
      <c r="M18" s="19">
        <v>47.6</v>
      </c>
      <c r="N18" s="21">
        <v>17.3</v>
      </c>
      <c r="O18" s="15">
        <f t="shared" si="0"/>
        <v>1681.9</v>
      </c>
      <c r="P18" s="22">
        <f t="shared" si="1"/>
        <v>140.19999999999999</v>
      </c>
    </row>
    <row r="19" spans="2:16" ht="21.95" customHeight="1">
      <c r="B19" s="18">
        <v>2007</v>
      </c>
      <c r="C19" s="19">
        <v>10.8</v>
      </c>
      <c r="D19" s="19">
        <v>12.6</v>
      </c>
      <c r="E19" s="19">
        <v>123.5</v>
      </c>
      <c r="F19" s="19">
        <v>41.1</v>
      </c>
      <c r="G19" s="19">
        <v>137.6</v>
      </c>
      <c r="H19" s="19">
        <v>54.5</v>
      </c>
      <c r="I19" s="19">
        <v>274.10000000000002</v>
      </c>
      <c r="J19" s="19">
        <v>237.6</v>
      </c>
      <c r="K19" s="19">
        <v>241.9</v>
      </c>
      <c r="L19" s="19">
        <v>39.5</v>
      </c>
      <c r="M19" s="19">
        <v>26.4</v>
      </c>
      <c r="N19" s="21">
        <v>12.7</v>
      </c>
      <c r="O19" s="15">
        <f t="shared" si="0"/>
        <v>1212.3</v>
      </c>
      <c r="P19" s="22">
        <f t="shared" si="1"/>
        <v>101</v>
      </c>
    </row>
    <row r="20" spans="2:16" ht="21.95" customHeight="1">
      <c r="B20" s="18">
        <v>2008</v>
      </c>
      <c r="C20" s="19">
        <v>17.7</v>
      </c>
      <c r="D20" s="19">
        <v>15</v>
      </c>
      <c r="E20" s="19">
        <v>53.9</v>
      </c>
      <c r="F20" s="19">
        <v>38.5</v>
      </c>
      <c r="G20" s="19">
        <v>97.7</v>
      </c>
      <c r="H20" s="19">
        <v>165</v>
      </c>
      <c r="I20" s="19">
        <v>530.79999999999995</v>
      </c>
      <c r="J20" s="19">
        <v>251.2</v>
      </c>
      <c r="K20" s="19">
        <v>99.2</v>
      </c>
      <c r="L20" s="19">
        <v>41.8</v>
      </c>
      <c r="M20" s="19">
        <v>19.600000000000001</v>
      </c>
      <c r="N20" s="21">
        <v>25.9</v>
      </c>
      <c r="O20" s="15">
        <f t="shared" si="0"/>
        <v>1356.3</v>
      </c>
      <c r="P20" s="22">
        <f t="shared" si="1"/>
        <v>113</v>
      </c>
    </row>
    <row r="21" spans="2:16" ht="21.95" customHeight="1">
      <c r="B21" s="18">
        <v>2009</v>
      </c>
      <c r="C21" s="19">
        <v>5.7</v>
      </c>
      <c r="D21" s="19">
        <v>36.9</v>
      </c>
      <c r="E21" s="19">
        <v>63.9</v>
      </c>
      <c r="F21" s="19">
        <v>66.5</v>
      </c>
      <c r="G21" s="19">
        <v>109</v>
      </c>
      <c r="H21" s="19">
        <v>132</v>
      </c>
      <c r="I21" s="19">
        <v>659.4</v>
      </c>
      <c r="J21" s="19">
        <v>285.3</v>
      </c>
      <c r="K21" s="19">
        <v>64.5</v>
      </c>
      <c r="L21" s="19">
        <v>66.900000000000006</v>
      </c>
      <c r="M21" s="19">
        <v>52.4</v>
      </c>
      <c r="N21" s="21">
        <v>21.5</v>
      </c>
      <c r="O21" s="15">
        <f t="shared" si="0"/>
        <v>1564</v>
      </c>
      <c r="P21" s="22">
        <f t="shared" si="1"/>
        <v>130.30000000000001</v>
      </c>
    </row>
    <row r="22" spans="2:16" ht="21.95" customHeight="1">
      <c r="B22" s="18">
        <v>2010</v>
      </c>
      <c r="C22" s="19">
        <v>29.3</v>
      </c>
      <c r="D22" s="19">
        <v>55.3</v>
      </c>
      <c r="E22" s="19">
        <v>82.5</v>
      </c>
      <c r="F22" s="19">
        <v>62.8</v>
      </c>
      <c r="G22" s="19">
        <v>124</v>
      </c>
      <c r="H22" s="19">
        <v>127.6</v>
      </c>
      <c r="I22" s="19">
        <v>239.2</v>
      </c>
      <c r="J22" s="19">
        <v>598.70000000000005</v>
      </c>
      <c r="K22" s="19">
        <v>671.5</v>
      </c>
      <c r="L22" s="19">
        <v>25.6</v>
      </c>
      <c r="M22" s="19">
        <v>10.9</v>
      </c>
      <c r="N22" s="21">
        <v>16.100000000000001</v>
      </c>
      <c r="O22" s="15">
        <f t="shared" si="0"/>
        <v>2043.5</v>
      </c>
      <c r="P22" s="22">
        <f t="shared" si="1"/>
        <v>170.3</v>
      </c>
    </row>
    <row r="23" spans="2:16" ht="21.95" customHeight="1">
      <c r="B23" s="18">
        <v>2011</v>
      </c>
      <c r="C23" s="19">
        <v>8.9</v>
      </c>
      <c r="D23" s="19">
        <v>29.1</v>
      </c>
      <c r="E23" s="19">
        <v>14.6</v>
      </c>
      <c r="F23" s="19">
        <v>110.1</v>
      </c>
      <c r="G23" s="19">
        <v>53.4</v>
      </c>
      <c r="H23" s="19">
        <v>404.5</v>
      </c>
      <c r="I23" s="19">
        <v>1131</v>
      </c>
      <c r="J23" s="19">
        <v>166.8</v>
      </c>
      <c r="K23" s="19">
        <v>25.6</v>
      </c>
      <c r="L23" s="19">
        <v>32</v>
      </c>
      <c r="M23" s="19">
        <v>56.2</v>
      </c>
      <c r="N23" s="21">
        <v>7.1</v>
      </c>
      <c r="O23" s="15">
        <f t="shared" si="0"/>
        <v>2039.3</v>
      </c>
      <c r="P23" s="22">
        <f t="shared" si="1"/>
        <v>169.9</v>
      </c>
    </row>
    <row r="24" spans="2:16" ht="21.95" customHeight="1">
      <c r="B24" s="18">
        <v>2012</v>
      </c>
      <c r="C24" s="19">
        <v>6.7</v>
      </c>
      <c r="D24" s="19">
        <v>0.8</v>
      </c>
      <c r="E24" s="19">
        <v>47.4</v>
      </c>
      <c r="F24" s="19">
        <v>157</v>
      </c>
      <c r="G24" s="19">
        <v>8.1999999999999993</v>
      </c>
      <c r="H24" s="19">
        <v>91.9</v>
      </c>
      <c r="I24" s="19">
        <v>448.9</v>
      </c>
      <c r="J24" s="19">
        <v>464.9</v>
      </c>
      <c r="K24" s="19">
        <v>212</v>
      </c>
      <c r="L24" s="19">
        <v>99.3</v>
      </c>
      <c r="M24" s="19">
        <v>67.8</v>
      </c>
      <c r="N24" s="21">
        <v>41.4</v>
      </c>
      <c r="O24" s="15">
        <f t="shared" si="0"/>
        <v>1646.3</v>
      </c>
      <c r="P24" s="22">
        <f t="shared" si="1"/>
        <v>137.19999999999999</v>
      </c>
    </row>
    <row r="25" spans="2:16" ht="21.95" customHeight="1">
      <c r="B25" s="18">
        <v>2013</v>
      </c>
      <c r="C25" s="19">
        <v>22.1</v>
      </c>
      <c r="D25" s="19">
        <v>74.099999999999994</v>
      </c>
      <c r="E25" s="19">
        <v>27.3</v>
      </c>
      <c r="F25" s="19">
        <v>71.7</v>
      </c>
      <c r="G25" s="19">
        <v>132</v>
      </c>
      <c r="H25" s="19">
        <v>28.3</v>
      </c>
      <c r="I25" s="19">
        <v>676.2</v>
      </c>
      <c r="J25" s="19">
        <v>148.6</v>
      </c>
      <c r="K25" s="19">
        <v>138.5</v>
      </c>
      <c r="L25" s="19">
        <v>13.5</v>
      </c>
      <c r="M25" s="19">
        <v>46.8</v>
      </c>
      <c r="N25" s="21">
        <v>24.7</v>
      </c>
      <c r="O25" s="15">
        <f t="shared" si="0"/>
        <v>1403.8</v>
      </c>
      <c r="P25" s="22">
        <f t="shared" si="1"/>
        <v>117</v>
      </c>
    </row>
    <row r="26" spans="2:16" ht="21.95" customHeight="1">
      <c r="B26" s="18">
        <v>2014</v>
      </c>
      <c r="C26" s="19">
        <v>13</v>
      </c>
      <c r="D26" s="19">
        <v>16.2</v>
      </c>
      <c r="E26" s="19">
        <v>7.2</v>
      </c>
      <c r="F26" s="19">
        <v>31</v>
      </c>
      <c r="G26" s="19">
        <v>63</v>
      </c>
      <c r="H26" s="19">
        <v>98.1</v>
      </c>
      <c r="I26" s="19">
        <v>207.9</v>
      </c>
      <c r="J26" s="19">
        <v>172.8</v>
      </c>
      <c r="K26" s="19">
        <v>88.1</v>
      </c>
      <c r="L26" s="19">
        <v>52.2</v>
      </c>
      <c r="M26" s="19">
        <v>41.5</v>
      </c>
      <c r="N26" s="21">
        <v>17.899999999999999</v>
      </c>
      <c r="O26" s="15">
        <f t="shared" si="0"/>
        <v>808.9</v>
      </c>
      <c r="P26" s="22">
        <f t="shared" si="1"/>
        <v>67.400000000000006</v>
      </c>
    </row>
    <row r="27" spans="2:16" ht="21.95" customHeight="1">
      <c r="B27" s="18">
        <v>2015</v>
      </c>
      <c r="C27" s="19">
        <v>11.3</v>
      </c>
      <c r="D27" s="19">
        <v>22.7</v>
      </c>
      <c r="E27" s="19">
        <v>9.6</v>
      </c>
      <c r="F27" s="19">
        <v>80.5</v>
      </c>
      <c r="G27" s="19">
        <v>28.9</v>
      </c>
      <c r="H27" s="19">
        <v>99</v>
      </c>
      <c r="I27" s="19">
        <v>226</v>
      </c>
      <c r="J27" s="19">
        <v>72.900000000000006</v>
      </c>
      <c r="K27" s="19">
        <v>26</v>
      </c>
      <c r="L27" s="19">
        <v>81.5</v>
      </c>
      <c r="M27" s="19">
        <v>104.6</v>
      </c>
      <c r="N27" s="21">
        <v>29.1</v>
      </c>
      <c r="O27" s="15">
        <f t="shared" si="0"/>
        <v>792.1</v>
      </c>
      <c r="P27" s="22">
        <f t="shared" si="1"/>
        <v>66</v>
      </c>
    </row>
    <row r="28" spans="2:16" ht="21.95" customHeight="1">
      <c r="B28" s="18">
        <v>2016</v>
      </c>
      <c r="C28" s="19">
        <v>1</v>
      </c>
      <c r="D28" s="19">
        <v>47.6</v>
      </c>
      <c r="E28" s="19">
        <v>40.5</v>
      </c>
      <c r="F28" s="19">
        <v>76.8</v>
      </c>
      <c r="G28" s="19">
        <v>160.5</v>
      </c>
      <c r="H28" s="19">
        <v>54.4</v>
      </c>
      <c r="I28" s="19">
        <v>358.2</v>
      </c>
      <c r="J28" s="19">
        <v>67.099999999999994</v>
      </c>
      <c r="K28" s="19">
        <v>33</v>
      </c>
      <c r="L28" s="19">
        <v>74.8</v>
      </c>
      <c r="M28" s="19">
        <v>16.7</v>
      </c>
      <c r="N28" s="21">
        <v>61.1</v>
      </c>
      <c r="O28" s="15">
        <f t="shared" si="0"/>
        <v>991.7</v>
      </c>
      <c r="P28" s="22">
        <f t="shared" si="1"/>
        <v>82.6</v>
      </c>
    </row>
    <row r="29" spans="2:16" ht="21.95" customHeight="1">
      <c r="B29" s="18">
        <v>2017</v>
      </c>
      <c r="C29" s="19">
        <v>14.9</v>
      </c>
      <c r="D29" s="19">
        <v>11.1</v>
      </c>
      <c r="E29" s="19">
        <v>7.9</v>
      </c>
      <c r="F29" s="19">
        <v>61.6</v>
      </c>
      <c r="G29" s="19">
        <v>16.100000000000001</v>
      </c>
      <c r="H29" s="19">
        <v>66.599999999999994</v>
      </c>
      <c r="I29" s="19">
        <v>621</v>
      </c>
      <c r="J29" s="19">
        <v>297</v>
      </c>
      <c r="K29" s="19">
        <v>35</v>
      </c>
      <c r="L29" s="19">
        <v>26.5</v>
      </c>
      <c r="M29" s="19">
        <v>40.700000000000003</v>
      </c>
      <c r="N29" s="21">
        <v>34.799999999999997</v>
      </c>
      <c r="O29" s="15">
        <f t="shared" si="0"/>
        <v>1233.2</v>
      </c>
      <c r="P29" s="22">
        <f t="shared" si="1"/>
        <v>102.8</v>
      </c>
    </row>
    <row r="30" spans="2:16" ht="21.95" customHeight="1">
      <c r="B30" s="18">
        <v>2018</v>
      </c>
      <c r="C30" s="19">
        <v>8.5</v>
      </c>
      <c r="D30" s="19">
        <v>29.6</v>
      </c>
      <c r="E30" s="19">
        <v>49.5</v>
      </c>
      <c r="F30" s="19">
        <v>130.30000000000001</v>
      </c>
      <c r="G30" s="19">
        <v>222</v>
      </c>
      <c r="H30" s="19">
        <v>171.5</v>
      </c>
      <c r="I30" s="19">
        <v>185.6</v>
      </c>
      <c r="J30" s="19">
        <v>202.6</v>
      </c>
      <c r="K30" s="19">
        <v>68.5</v>
      </c>
      <c r="L30" s="19">
        <v>120.5</v>
      </c>
      <c r="M30" s="19">
        <v>79.099999999999994</v>
      </c>
      <c r="N30" s="21">
        <v>16.399999999999999</v>
      </c>
      <c r="O30" s="15">
        <f t="shared" si="0"/>
        <v>1284.0999999999999</v>
      </c>
      <c r="P30" s="22">
        <f t="shared" si="1"/>
        <v>107</v>
      </c>
    </row>
    <row r="31" spans="2:16" ht="21.95" customHeight="1">
      <c r="B31" s="18">
        <v>2019</v>
      </c>
      <c r="C31" s="19">
        <v>0</v>
      </c>
      <c r="D31" s="19">
        <v>23.8</v>
      </c>
      <c r="E31" s="19">
        <v>26.8</v>
      </c>
      <c r="F31" s="19">
        <v>47.3</v>
      </c>
      <c r="G31" s="19">
        <v>37.799999999999997</v>
      </c>
      <c r="H31" s="19">
        <v>74</v>
      </c>
      <c r="I31" s="19">
        <v>194.4</v>
      </c>
      <c r="J31" s="19">
        <v>190.5</v>
      </c>
      <c r="K31" s="19">
        <v>139.80000000000001</v>
      </c>
      <c r="L31" s="19">
        <v>55.5</v>
      </c>
      <c r="M31" s="19">
        <v>78.8</v>
      </c>
      <c r="N31" s="21">
        <v>22.6</v>
      </c>
      <c r="O31" s="15">
        <f t="shared" si="0"/>
        <v>891.3</v>
      </c>
      <c r="P31" s="22">
        <f t="shared" si="1"/>
        <v>74.3</v>
      </c>
    </row>
    <row r="32" spans="2:16" ht="21.95" customHeight="1">
      <c r="B32" s="18">
        <v>2020</v>
      </c>
      <c r="C32" s="19">
        <v>60.5</v>
      </c>
      <c r="D32" s="19">
        <v>53.1</v>
      </c>
      <c r="E32" s="19">
        <v>16.3</v>
      </c>
      <c r="F32" s="19">
        <v>16.899999999999999</v>
      </c>
      <c r="G32" s="19">
        <v>112.4</v>
      </c>
      <c r="H32" s="19">
        <v>139.6</v>
      </c>
      <c r="I32" s="19">
        <v>270.39999999999998</v>
      </c>
      <c r="J32" s="19">
        <v>675.7</v>
      </c>
      <c r="K32" s="19">
        <v>181.5</v>
      </c>
      <c r="L32" s="19">
        <v>0</v>
      </c>
      <c r="M32" s="19">
        <v>120.1</v>
      </c>
      <c r="N32" s="21">
        <v>4.5999999999999996</v>
      </c>
      <c r="O32" s="15">
        <f t="shared" si="0"/>
        <v>1651.1</v>
      </c>
      <c r="P32" s="22">
        <f t="shared" si="1"/>
        <v>137.6</v>
      </c>
    </row>
    <row r="33" spans="2:16" ht="21.95" customHeight="1">
      <c r="B33" s="18">
        <v>2021</v>
      </c>
      <c r="C33" s="19">
        <v>18.899999999999999</v>
      </c>
      <c r="D33" s="19">
        <v>7.1</v>
      </c>
      <c r="E33" s="19">
        <v>110.9</v>
      </c>
      <c r="F33" s="19">
        <v>124.1</v>
      </c>
      <c r="G33" s="19">
        <v>183.1</v>
      </c>
      <c r="H33" s="19">
        <v>104.6</v>
      </c>
      <c r="I33" s="19">
        <v>168.3</v>
      </c>
      <c r="J33" s="19">
        <v>211.2</v>
      </c>
      <c r="K33" s="19">
        <v>131</v>
      </c>
      <c r="L33" s="19">
        <v>57</v>
      </c>
      <c r="M33" s="19">
        <v>62.4</v>
      </c>
      <c r="N33" s="21">
        <v>7.9</v>
      </c>
      <c r="O33" s="15">
        <f t="shared" si="0"/>
        <v>1186.5</v>
      </c>
      <c r="P33" s="22">
        <f t="shared" si="1"/>
        <v>98.9</v>
      </c>
    </row>
    <row r="34" spans="2:16" ht="21.95" customHeight="1">
      <c r="B34" s="18">
        <v>2022</v>
      </c>
      <c r="C34" s="19">
        <v>5.5</v>
      </c>
      <c r="D34" s="19">
        <v>4.7</v>
      </c>
      <c r="E34" s="19">
        <v>102.6</v>
      </c>
      <c r="F34" s="19">
        <v>20.399999999999999</v>
      </c>
      <c r="G34" s="19">
        <v>7.5</v>
      </c>
      <c r="H34" s="19">
        <v>393.8</v>
      </c>
      <c r="I34" s="19">
        <v>252.3</v>
      </c>
      <c r="J34" s="19">
        <v>564.79999999999995</v>
      </c>
      <c r="K34" s="19">
        <v>201.5</v>
      </c>
      <c r="L34" s="19">
        <v>124.1</v>
      </c>
      <c r="M34" s="19">
        <v>84.5</v>
      </c>
      <c r="N34" s="21">
        <v>13.6</v>
      </c>
      <c r="O34" s="15">
        <f t="shared" si="0"/>
        <v>1775.3</v>
      </c>
      <c r="P34" s="22">
        <f t="shared" si="1"/>
        <v>147.9</v>
      </c>
    </row>
    <row r="35" spans="2:16" ht="21.95" customHeight="1" thickBot="1">
      <c r="B35" s="38">
        <v>2023</v>
      </c>
      <c r="C35" s="39">
        <v>47.9</v>
      </c>
      <c r="D35" s="39">
        <v>1</v>
      </c>
      <c r="E35" s="39">
        <v>10.5</v>
      </c>
      <c r="F35" s="39">
        <v>96.9</v>
      </c>
      <c r="G35" s="39">
        <v>155.6</v>
      </c>
      <c r="H35" s="39">
        <v>195.6</v>
      </c>
      <c r="I35" s="39">
        <v>459.9</v>
      </c>
      <c r="J35" s="39">
        <v>298.10000000000002</v>
      </c>
      <c r="K35" s="39">
        <v>134.5</v>
      </c>
      <c r="L35" s="39">
        <v>31</v>
      </c>
      <c r="M35" s="39">
        <v>81.900000000000006</v>
      </c>
      <c r="N35" s="40">
        <v>85.9</v>
      </c>
      <c r="O35" s="41">
        <f t="shared" si="0"/>
        <v>1598.8</v>
      </c>
      <c r="P35" s="42">
        <f t="shared" si="1"/>
        <v>133.19999999999999</v>
      </c>
    </row>
    <row r="36" spans="2:16" ht="21.95" customHeight="1">
      <c r="B36" s="43" t="s">
        <v>13</v>
      </c>
      <c r="C36" s="44">
        <f>ROUND(MAX(C6:C35),1)</f>
        <v>60.5</v>
      </c>
      <c r="D36" s="44">
        <f t="shared" ref="D36:N36" si="2">ROUND(MAX(D6:D35),1)</f>
        <v>74.099999999999994</v>
      </c>
      <c r="E36" s="44">
        <f t="shared" si="2"/>
        <v>123.5</v>
      </c>
      <c r="F36" s="44">
        <f t="shared" si="2"/>
        <v>157</v>
      </c>
      <c r="G36" s="44">
        <f t="shared" si="2"/>
        <v>291.3</v>
      </c>
      <c r="H36" s="44">
        <f t="shared" si="2"/>
        <v>404.5</v>
      </c>
      <c r="I36" s="44">
        <f t="shared" si="2"/>
        <v>1131</v>
      </c>
      <c r="J36" s="44">
        <f t="shared" si="2"/>
        <v>1237.8</v>
      </c>
      <c r="K36" s="44">
        <f t="shared" si="2"/>
        <v>671.5</v>
      </c>
      <c r="L36" s="44">
        <f t="shared" si="2"/>
        <v>214.5</v>
      </c>
      <c r="M36" s="44">
        <f t="shared" si="2"/>
        <v>120.1</v>
      </c>
      <c r="N36" s="45">
        <f t="shared" si="2"/>
        <v>85.9</v>
      </c>
      <c r="O36" s="46">
        <f>ROUND(MAX(O6:O35),1)</f>
        <v>2349.1</v>
      </c>
      <c r="P36" s="47">
        <f>ROUND(MAX(P6:P35),1)</f>
        <v>195.8</v>
      </c>
    </row>
    <row r="37" spans="2:16" ht="21.95" customHeight="1">
      <c r="B37" s="48" t="s">
        <v>14</v>
      </c>
      <c r="C37" s="49">
        <f>ROUND(MIN(C6:C35),1)</f>
        <v>0</v>
      </c>
      <c r="D37" s="49">
        <f t="shared" ref="D37:N37" si="3">ROUND(MIN(D6:D35),1)</f>
        <v>0.8</v>
      </c>
      <c r="E37" s="49">
        <f t="shared" si="3"/>
        <v>3.1</v>
      </c>
      <c r="F37" s="49">
        <f t="shared" si="3"/>
        <v>12.3</v>
      </c>
      <c r="G37" s="49">
        <f t="shared" si="3"/>
        <v>7.5</v>
      </c>
      <c r="H37" s="49">
        <f t="shared" si="3"/>
        <v>28.3</v>
      </c>
      <c r="I37" s="49">
        <f t="shared" si="3"/>
        <v>114.7</v>
      </c>
      <c r="J37" s="49">
        <f t="shared" si="3"/>
        <v>67.099999999999994</v>
      </c>
      <c r="K37" s="49">
        <f t="shared" si="3"/>
        <v>11</v>
      </c>
      <c r="L37" s="49">
        <f t="shared" si="3"/>
        <v>0</v>
      </c>
      <c r="M37" s="49">
        <f t="shared" si="3"/>
        <v>10.9</v>
      </c>
      <c r="N37" s="22">
        <f t="shared" si="3"/>
        <v>3.4</v>
      </c>
      <c r="O37" s="50">
        <f>ROUND(MIN(O6:O35),1)</f>
        <v>792.1</v>
      </c>
      <c r="P37" s="51">
        <f>ROUND(MIN(P6:P35),1)</f>
        <v>66</v>
      </c>
    </row>
    <row r="38" spans="2:16" ht="21.95" customHeight="1" thickBot="1">
      <c r="B38" s="52" t="s">
        <v>18</v>
      </c>
      <c r="C38" s="53">
        <f>ROUND(AVERAGE(C6:C35),1)</f>
        <v>18.2</v>
      </c>
      <c r="D38" s="53">
        <f t="shared" ref="D38:P38" si="4">ROUND(AVERAGE(D6:D35),1)</f>
        <v>23.8</v>
      </c>
      <c r="E38" s="53">
        <f t="shared" si="4"/>
        <v>40.799999999999997</v>
      </c>
      <c r="F38" s="53">
        <f t="shared" si="4"/>
        <v>73.900000000000006</v>
      </c>
      <c r="G38" s="53">
        <f t="shared" si="4"/>
        <v>102.7</v>
      </c>
      <c r="H38" s="53">
        <f t="shared" si="4"/>
        <v>140</v>
      </c>
      <c r="I38" s="53">
        <f t="shared" si="4"/>
        <v>404.4</v>
      </c>
      <c r="J38" s="53">
        <f t="shared" si="4"/>
        <v>361.2</v>
      </c>
      <c r="K38" s="53">
        <f t="shared" si="4"/>
        <v>143.80000000000001</v>
      </c>
      <c r="L38" s="53">
        <f t="shared" si="4"/>
        <v>56.7</v>
      </c>
      <c r="M38" s="53">
        <f t="shared" si="4"/>
        <v>52.3</v>
      </c>
      <c r="N38" s="54">
        <f t="shared" si="4"/>
        <v>22</v>
      </c>
      <c r="O38" s="55">
        <f t="shared" si="4"/>
        <v>1439.8</v>
      </c>
      <c r="P38" s="56">
        <f t="shared" si="4"/>
        <v>120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13</v>
      </c>
      <c r="D44" s="62">
        <f t="shared" si="5"/>
        <v>16.2</v>
      </c>
      <c r="E44" s="62">
        <f t="shared" si="5"/>
        <v>7.2</v>
      </c>
      <c r="F44" s="62">
        <f t="shared" si="5"/>
        <v>31</v>
      </c>
      <c r="G44" s="62">
        <f t="shared" si="5"/>
        <v>63</v>
      </c>
      <c r="H44" s="62">
        <f t="shared" si="5"/>
        <v>98.1</v>
      </c>
      <c r="I44" s="62">
        <f t="shared" si="5"/>
        <v>207.9</v>
      </c>
      <c r="J44" s="62">
        <f t="shared" si="5"/>
        <v>172.8</v>
      </c>
      <c r="K44" s="62">
        <f t="shared" si="5"/>
        <v>88.1</v>
      </c>
      <c r="L44" s="62">
        <f t="shared" si="5"/>
        <v>52.2</v>
      </c>
      <c r="M44" s="62">
        <f t="shared" si="5"/>
        <v>41.5</v>
      </c>
      <c r="N44" s="63">
        <f t="shared" si="5"/>
        <v>17.899999999999999</v>
      </c>
      <c r="O44" s="64">
        <f>ROUND(SUM(C44:N44),1)</f>
        <v>808.9</v>
      </c>
      <c r="P44" s="51">
        <f>ROUND(O44/12,1)</f>
        <v>67.400000000000006</v>
      </c>
    </row>
    <row r="45" spans="2:16" ht="21.95" customHeight="1">
      <c r="B45" s="61">
        <f t="shared" ref="B45:N53" si="6">B27</f>
        <v>2015</v>
      </c>
      <c r="C45" s="62">
        <f t="shared" si="6"/>
        <v>11.3</v>
      </c>
      <c r="D45" s="62">
        <f t="shared" si="6"/>
        <v>22.7</v>
      </c>
      <c r="E45" s="62">
        <f t="shared" si="6"/>
        <v>9.6</v>
      </c>
      <c r="F45" s="62">
        <f t="shared" si="6"/>
        <v>80.5</v>
      </c>
      <c r="G45" s="62">
        <f t="shared" si="6"/>
        <v>28.9</v>
      </c>
      <c r="H45" s="62">
        <f t="shared" si="6"/>
        <v>99</v>
      </c>
      <c r="I45" s="62">
        <f t="shared" si="6"/>
        <v>226</v>
      </c>
      <c r="J45" s="62">
        <f t="shared" si="6"/>
        <v>72.900000000000006</v>
      </c>
      <c r="K45" s="62">
        <f t="shared" si="6"/>
        <v>26</v>
      </c>
      <c r="L45" s="62">
        <f t="shared" si="6"/>
        <v>81.5</v>
      </c>
      <c r="M45" s="62">
        <f t="shared" si="6"/>
        <v>104.6</v>
      </c>
      <c r="N45" s="63">
        <f t="shared" si="6"/>
        <v>29.1</v>
      </c>
      <c r="O45" s="64">
        <f t="shared" ref="O45:O53" si="7">ROUND(SUM(C45:N45),1)</f>
        <v>792.1</v>
      </c>
      <c r="P45" s="51">
        <f t="shared" ref="P45:P53" si="8">ROUND(O45/12,1)</f>
        <v>66</v>
      </c>
    </row>
    <row r="46" spans="2:16" ht="21.95" customHeight="1">
      <c r="B46" s="61">
        <f t="shared" si="6"/>
        <v>2016</v>
      </c>
      <c r="C46" s="62">
        <f t="shared" si="6"/>
        <v>1</v>
      </c>
      <c r="D46" s="62">
        <f t="shared" si="6"/>
        <v>47.6</v>
      </c>
      <c r="E46" s="62">
        <f t="shared" si="6"/>
        <v>40.5</v>
      </c>
      <c r="F46" s="62">
        <f t="shared" si="6"/>
        <v>76.8</v>
      </c>
      <c r="G46" s="62">
        <f t="shared" si="6"/>
        <v>160.5</v>
      </c>
      <c r="H46" s="62">
        <f t="shared" si="6"/>
        <v>54.4</v>
      </c>
      <c r="I46" s="62">
        <f t="shared" si="6"/>
        <v>358.2</v>
      </c>
      <c r="J46" s="62">
        <f t="shared" si="6"/>
        <v>67.099999999999994</v>
      </c>
      <c r="K46" s="62">
        <f t="shared" si="6"/>
        <v>33</v>
      </c>
      <c r="L46" s="62">
        <f t="shared" si="6"/>
        <v>74.8</v>
      </c>
      <c r="M46" s="62">
        <f t="shared" si="6"/>
        <v>16.7</v>
      </c>
      <c r="N46" s="63">
        <f t="shared" si="6"/>
        <v>61.1</v>
      </c>
      <c r="O46" s="64">
        <f t="shared" si="7"/>
        <v>991.7</v>
      </c>
      <c r="P46" s="51">
        <f t="shared" si="8"/>
        <v>82.6</v>
      </c>
    </row>
    <row r="47" spans="2:16" ht="21.95" customHeight="1">
      <c r="B47" s="61">
        <f t="shared" si="6"/>
        <v>2017</v>
      </c>
      <c r="C47" s="62">
        <f t="shared" si="6"/>
        <v>14.9</v>
      </c>
      <c r="D47" s="62">
        <f t="shared" si="6"/>
        <v>11.1</v>
      </c>
      <c r="E47" s="62">
        <f t="shared" si="6"/>
        <v>7.9</v>
      </c>
      <c r="F47" s="62">
        <f t="shared" si="6"/>
        <v>61.6</v>
      </c>
      <c r="G47" s="62">
        <f t="shared" si="6"/>
        <v>16.100000000000001</v>
      </c>
      <c r="H47" s="62">
        <f t="shared" si="6"/>
        <v>66.599999999999994</v>
      </c>
      <c r="I47" s="62">
        <f t="shared" si="6"/>
        <v>621</v>
      </c>
      <c r="J47" s="62">
        <f t="shared" si="6"/>
        <v>297</v>
      </c>
      <c r="K47" s="62">
        <f t="shared" si="6"/>
        <v>35</v>
      </c>
      <c r="L47" s="62">
        <f t="shared" si="6"/>
        <v>26.5</v>
      </c>
      <c r="M47" s="62">
        <f t="shared" si="6"/>
        <v>40.700000000000003</v>
      </c>
      <c r="N47" s="63">
        <f t="shared" si="6"/>
        <v>34.799999999999997</v>
      </c>
      <c r="O47" s="64">
        <f>ROUND(SUM(C47:N47),1)</f>
        <v>1233.2</v>
      </c>
      <c r="P47" s="51">
        <f t="shared" si="8"/>
        <v>102.8</v>
      </c>
    </row>
    <row r="48" spans="2:16" ht="21.95" customHeight="1">
      <c r="B48" s="61">
        <f t="shared" si="6"/>
        <v>2018</v>
      </c>
      <c r="C48" s="62">
        <f t="shared" si="6"/>
        <v>8.5</v>
      </c>
      <c r="D48" s="62">
        <f t="shared" si="6"/>
        <v>29.6</v>
      </c>
      <c r="E48" s="62">
        <f t="shared" si="6"/>
        <v>49.5</v>
      </c>
      <c r="F48" s="62">
        <f t="shared" si="6"/>
        <v>130.30000000000001</v>
      </c>
      <c r="G48" s="62">
        <f t="shared" si="6"/>
        <v>222</v>
      </c>
      <c r="H48" s="62">
        <f t="shared" si="6"/>
        <v>171.5</v>
      </c>
      <c r="I48" s="62">
        <f t="shared" si="6"/>
        <v>185.6</v>
      </c>
      <c r="J48" s="62">
        <f t="shared" si="6"/>
        <v>202.6</v>
      </c>
      <c r="K48" s="62">
        <f t="shared" si="6"/>
        <v>68.5</v>
      </c>
      <c r="L48" s="62">
        <f t="shared" si="6"/>
        <v>120.5</v>
      </c>
      <c r="M48" s="62">
        <f t="shared" si="6"/>
        <v>79.099999999999994</v>
      </c>
      <c r="N48" s="63">
        <f t="shared" si="6"/>
        <v>16.399999999999999</v>
      </c>
      <c r="O48" s="64">
        <f t="shared" si="7"/>
        <v>1284.0999999999999</v>
      </c>
      <c r="P48" s="51">
        <f t="shared" si="8"/>
        <v>107</v>
      </c>
    </row>
    <row r="49" spans="2:16" ht="21.95" customHeight="1">
      <c r="B49" s="61">
        <f t="shared" si="6"/>
        <v>2019</v>
      </c>
      <c r="C49" s="62">
        <f t="shared" si="6"/>
        <v>0</v>
      </c>
      <c r="D49" s="62">
        <f t="shared" si="6"/>
        <v>23.8</v>
      </c>
      <c r="E49" s="62">
        <f t="shared" si="6"/>
        <v>26.8</v>
      </c>
      <c r="F49" s="62">
        <f t="shared" si="6"/>
        <v>47.3</v>
      </c>
      <c r="G49" s="62">
        <f t="shared" si="6"/>
        <v>37.799999999999997</v>
      </c>
      <c r="H49" s="62">
        <f t="shared" si="6"/>
        <v>74</v>
      </c>
      <c r="I49" s="62">
        <f t="shared" si="6"/>
        <v>194.4</v>
      </c>
      <c r="J49" s="62">
        <f t="shared" si="6"/>
        <v>190.5</v>
      </c>
      <c r="K49" s="62">
        <f t="shared" si="6"/>
        <v>139.80000000000001</v>
      </c>
      <c r="L49" s="62">
        <f t="shared" si="6"/>
        <v>55.5</v>
      </c>
      <c r="M49" s="62">
        <f t="shared" si="6"/>
        <v>78.8</v>
      </c>
      <c r="N49" s="63">
        <f t="shared" si="6"/>
        <v>22.6</v>
      </c>
      <c r="O49" s="64">
        <f t="shared" si="7"/>
        <v>891.3</v>
      </c>
      <c r="P49" s="51">
        <f t="shared" si="8"/>
        <v>74.3</v>
      </c>
    </row>
    <row r="50" spans="2:16" ht="21.95" customHeight="1">
      <c r="B50" s="61">
        <f t="shared" si="6"/>
        <v>2020</v>
      </c>
      <c r="C50" s="62">
        <f t="shared" si="6"/>
        <v>60.5</v>
      </c>
      <c r="D50" s="62">
        <f t="shared" si="6"/>
        <v>53.1</v>
      </c>
      <c r="E50" s="62">
        <f t="shared" si="6"/>
        <v>16.3</v>
      </c>
      <c r="F50" s="62">
        <f t="shared" si="6"/>
        <v>16.899999999999999</v>
      </c>
      <c r="G50" s="62">
        <f t="shared" si="6"/>
        <v>112.4</v>
      </c>
      <c r="H50" s="62">
        <f t="shared" si="6"/>
        <v>139.6</v>
      </c>
      <c r="I50" s="62">
        <f t="shared" si="6"/>
        <v>270.39999999999998</v>
      </c>
      <c r="J50" s="62">
        <f t="shared" si="6"/>
        <v>675.7</v>
      </c>
      <c r="K50" s="62">
        <f t="shared" si="6"/>
        <v>181.5</v>
      </c>
      <c r="L50" s="62">
        <f t="shared" si="6"/>
        <v>0</v>
      </c>
      <c r="M50" s="62">
        <f t="shared" si="6"/>
        <v>120.1</v>
      </c>
      <c r="N50" s="63">
        <f t="shared" si="6"/>
        <v>4.5999999999999996</v>
      </c>
      <c r="O50" s="64">
        <f t="shared" si="7"/>
        <v>1651.1</v>
      </c>
      <c r="P50" s="51">
        <f t="shared" si="8"/>
        <v>137.6</v>
      </c>
    </row>
    <row r="51" spans="2:16" ht="21.95" customHeight="1">
      <c r="B51" s="61">
        <f t="shared" si="6"/>
        <v>2021</v>
      </c>
      <c r="C51" s="62">
        <f t="shared" si="6"/>
        <v>18.899999999999999</v>
      </c>
      <c r="D51" s="62">
        <f t="shared" si="6"/>
        <v>7.1</v>
      </c>
      <c r="E51" s="62">
        <f t="shared" si="6"/>
        <v>110.9</v>
      </c>
      <c r="F51" s="62">
        <f t="shared" si="6"/>
        <v>124.1</v>
      </c>
      <c r="G51" s="62">
        <f t="shared" si="6"/>
        <v>183.1</v>
      </c>
      <c r="H51" s="62">
        <f t="shared" si="6"/>
        <v>104.6</v>
      </c>
      <c r="I51" s="62">
        <f t="shared" si="6"/>
        <v>168.3</v>
      </c>
      <c r="J51" s="62">
        <f t="shared" si="6"/>
        <v>211.2</v>
      </c>
      <c r="K51" s="62">
        <f t="shared" si="6"/>
        <v>131</v>
      </c>
      <c r="L51" s="62">
        <f t="shared" si="6"/>
        <v>57</v>
      </c>
      <c r="M51" s="62">
        <f t="shared" si="6"/>
        <v>62.4</v>
      </c>
      <c r="N51" s="63">
        <f t="shared" si="6"/>
        <v>7.9</v>
      </c>
      <c r="O51" s="64">
        <f t="shared" si="7"/>
        <v>1186.5</v>
      </c>
      <c r="P51" s="51">
        <f t="shared" si="8"/>
        <v>98.9</v>
      </c>
    </row>
    <row r="52" spans="2:16" ht="21.95" customHeight="1">
      <c r="B52" s="61">
        <f t="shared" si="6"/>
        <v>2022</v>
      </c>
      <c r="C52" s="62">
        <f t="shared" si="6"/>
        <v>5.5</v>
      </c>
      <c r="D52" s="62">
        <f t="shared" si="6"/>
        <v>4.7</v>
      </c>
      <c r="E52" s="62">
        <f t="shared" si="6"/>
        <v>102.6</v>
      </c>
      <c r="F52" s="62">
        <f t="shared" si="6"/>
        <v>20.399999999999999</v>
      </c>
      <c r="G52" s="62">
        <f t="shared" si="6"/>
        <v>7.5</v>
      </c>
      <c r="H52" s="62">
        <f t="shared" si="6"/>
        <v>393.8</v>
      </c>
      <c r="I52" s="62">
        <f t="shared" si="6"/>
        <v>252.3</v>
      </c>
      <c r="J52" s="62">
        <f t="shared" si="6"/>
        <v>564.79999999999995</v>
      </c>
      <c r="K52" s="62">
        <f t="shared" si="6"/>
        <v>201.5</v>
      </c>
      <c r="L52" s="62">
        <f t="shared" si="6"/>
        <v>124.1</v>
      </c>
      <c r="M52" s="62">
        <f t="shared" si="6"/>
        <v>84.5</v>
      </c>
      <c r="N52" s="63">
        <f t="shared" si="6"/>
        <v>13.6</v>
      </c>
      <c r="O52" s="64">
        <f t="shared" si="7"/>
        <v>1775.3</v>
      </c>
      <c r="P52" s="51">
        <f t="shared" si="8"/>
        <v>147.9</v>
      </c>
    </row>
    <row r="53" spans="2:16" ht="21.95" customHeight="1" thickBot="1">
      <c r="B53" s="65">
        <f t="shared" si="6"/>
        <v>2023</v>
      </c>
      <c r="C53" s="66">
        <f t="shared" si="6"/>
        <v>47.9</v>
      </c>
      <c r="D53" s="66">
        <f t="shared" si="6"/>
        <v>1</v>
      </c>
      <c r="E53" s="66">
        <f t="shared" si="6"/>
        <v>10.5</v>
      </c>
      <c r="F53" s="66">
        <f t="shared" si="6"/>
        <v>96.9</v>
      </c>
      <c r="G53" s="66">
        <f t="shared" si="6"/>
        <v>155.6</v>
      </c>
      <c r="H53" s="66">
        <f t="shared" si="6"/>
        <v>195.6</v>
      </c>
      <c r="I53" s="66">
        <f t="shared" si="6"/>
        <v>459.9</v>
      </c>
      <c r="J53" s="66">
        <f t="shared" si="6"/>
        <v>298.10000000000002</v>
      </c>
      <c r="K53" s="66">
        <f t="shared" si="6"/>
        <v>134.5</v>
      </c>
      <c r="L53" s="66">
        <f t="shared" si="6"/>
        <v>31</v>
      </c>
      <c r="M53" s="66">
        <f t="shared" si="6"/>
        <v>81.900000000000006</v>
      </c>
      <c r="N53" s="67">
        <f t="shared" si="6"/>
        <v>85.9</v>
      </c>
      <c r="O53" s="68">
        <f t="shared" si="7"/>
        <v>1598.8</v>
      </c>
      <c r="P53" s="56">
        <f t="shared" si="8"/>
        <v>133.19999999999999</v>
      </c>
    </row>
    <row r="54" spans="2:16" ht="21.95" customHeight="1">
      <c r="B54" s="69" t="s">
        <v>19</v>
      </c>
      <c r="C54" s="70">
        <f>MAX(C44:C53)</f>
        <v>60.5</v>
      </c>
      <c r="D54" s="70">
        <f t="shared" ref="D54:P54" si="9">MAX(D44:D53)</f>
        <v>53.1</v>
      </c>
      <c r="E54" s="70">
        <f t="shared" si="9"/>
        <v>110.9</v>
      </c>
      <c r="F54" s="70">
        <f t="shared" si="9"/>
        <v>130.30000000000001</v>
      </c>
      <c r="G54" s="70">
        <f t="shared" si="9"/>
        <v>222</v>
      </c>
      <c r="H54" s="70">
        <f t="shared" si="9"/>
        <v>393.8</v>
      </c>
      <c r="I54" s="70">
        <f t="shared" si="9"/>
        <v>621</v>
      </c>
      <c r="J54" s="70">
        <f t="shared" si="9"/>
        <v>675.7</v>
      </c>
      <c r="K54" s="70">
        <f t="shared" si="9"/>
        <v>201.5</v>
      </c>
      <c r="L54" s="70">
        <f t="shared" si="9"/>
        <v>124.1</v>
      </c>
      <c r="M54" s="70">
        <f t="shared" si="9"/>
        <v>120.1</v>
      </c>
      <c r="N54" s="71">
        <f t="shared" si="9"/>
        <v>85.9</v>
      </c>
      <c r="O54" s="72">
        <f t="shared" si="9"/>
        <v>1775.3</v>
      </c>
      <c r="P54" s="71">
        <f t="shared" si="9"/>
        <v>147.9</v>
      </c>
    </row>
    <row r="55" spans="2:16" ht="21.95" customHeight="1">
      <c r="B55" s="73" t="s">
        <v>20</v>
      </c>
      <c r="C55" s="74">
        <f>MIN(C44:C53)</f>
        <v>0</v>
      </c>
      <c r="D55" s="74">
        <f t="shared" ref="D55:P55" si="10">MIN(D44:D53)</f>
        <v>1</v>
      </c>
      <c r="E55" s="74">
        <f t="shared" si="10"/>
        <v>7.2</v>
      </c>
      <c r="F55" s="74">
        <f t="shared" si="10"/>
        <v>16.899999999999999</v>
      </c>
      <c r="G55" s="74">
        <f t="shared" si="10"/>
        <v>7.5</v>
      </c>
      <c r="H55" s="74">
        <f t="shared" si="10"/>
        <v>54.4</v>
      </c>
      <c r="I55" s="74">
        <f t="shared" si="10"/>
        <v>168.3</v>
      </c>
      <c r="J55" s="74">
        <f t="shared" si="10"/>
        <v>67.099999999999994</v>
      </c>
      <c r="K55" s="74">
        <f t="shared" si="10"/>
        <v>26</v>
      </c>
      <c r="L55" s="74">
        <f t="shared" si="10"/>
        <v>0</v>
      </c>
      <c r="M55" s="74">
        <f t="shared" si="10"/>
        <v>16.7</v>
      </c>
      <c r="N55" s="51">
        <f t="shared" si="10"/>
        <v>4.5999999999999996</v>
      </c>
      <c r="O55" s="64">
        <f>MIN(O44:O53)</f>
        <v>792.1</v>
      </c>
      <c r="P55" s="51">
        <f t="shared" si="10"/>
        <v>66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11">ROUND(AVERAGE(D44:D53),1)</f>
        <v>21.7</v>
      </c>
      <c r="E56" s="76">
        <f t="shared" si="11"/>
        <v>38.200000000000003</v>
      </c>
      <c r="F56" s="76">
        <f t="shared" si="11"/>
        <v>68.599999999999994</v>
      </c>
      <c r="G56" s="76">
        <f t="shared" si="11"/>
        <v>98.7</v>
      </c>
      <c r="H56" s="76">
        <f t="shared" si="11"/>
        <v>139.69999999999999</v>
      </c>
      <c r="I56" s="76">
        <f t="shared" si="11"/>
        <v>294.39999999999998</v>
      </c>
      <c r="J56" s="76">
        <f t="shared" si="11"/>
        <v>275.3</v>
      </c>
      <c r="K56" s="76">
        <f t="shared" si="11"/>
        <v>103.9</v>
      </c>
      <c r="L56" s="76">
        <f t="shared" si="11"/>
        <v>62.3</v>
      </c>
      <c r="M56" s="76">
        <f t="shared" si="11"/>
        <v>71</v>
      </c>
      <c r="N56" s="56">
        <f t="shared" si="11"/>
        <v>29.4</v>
      </c>
      <c r="O56" s="68">
        <f>ROUND(AVERAGE(O44:O53),1)</f>
        <v>1221.3</v>
      </c>
      <c r="P56" s="56">
        <f>ROUND(AVERAGE(P44:P53),1)</f>
        <v>101.8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960FAA-D079-4FA3-B024-A6D6BF5FB3C1}">
  <sheetPr codeName="Sheet19">
    <tabColor rgb="FFFFFF00"/>
  </sheetPr>
  <dimension ref="A2:Q983"/>
  <sheetViews>
    <sheetView zoomScaleNormal="100" workbookViewId="0">
      <selection activeCell="S4" sqref="S4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261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9.1</v>
      </c>
      <c r="D6" s="12">
        <v>10.1</v>
      </c>
      <c r="E6" s="12">
        <v>39.5</v>
      </c>
      <c r="F6" s="12">
        <v>13.5</v>
      </c>
      <c r="G6" s="12">
        <v>106.5</v>
      </c>
      <c r="H6" s="12">
        <v>160.5</v>
      </c>
      <c r="I6" s="12">
        <v>98</v>
      </c>
      <c r="J6" s="13">
        <v>418</v>
      </c>
      <c r="K6" s="12">
        <v>52</v>
      </c>
      <c r="L6" s="12">
        <v>220</v>
      </c>
      <c r="M6" s="12">
        <v>22</v>
      </c>
      <c r="N6" s="14">
        <v>21</v>
      </c>
      <c r="O6" s="15">
        <f t="shared" ref="O6:O35" si="0">ROUND(SUM(C6:N6),1)</f>
        <v>1170.2</v>
      </c>
      <c r="P6" s="16">
        <f>ROUND(O6/12,1)</f>
        <v>97.5</v>
      </c>
      <c r="Q6" s="17"/>
    </row>
    <row r="7" spans="2:17" ht="21.95" customHeight="1">
      <c r="B7" s="18">
        <v>1995</v>
      </c>
      <c r="C7" s="19">
        <v>19</v>
      </c>
      <c r="D7" s="19">
        <v>8.1999999999999993</v>
      </c>
      <c r="E7" s="19">
        <v>25.3</v>
      </c>
      <c r="F7" s="19">
        <v>47</v>
      </c>
      <c r="G7" s="19">
        <v>48</v>
      </c>
      <c r="H7" s="19">
        <v>14.5</v>
      </c>
      <c r="I7" s="19">
        <v>239.9</v>
      </c>
      <c r="J7" s="20">
        <v>1082.5</v>
      </c>
      <c r="K7" s="19">
        <v>29</v>
      </c>
      <c r="L7" s="19">
        <v>23.5</v>
      </c>
      <c r="M7" s="19">
        <v>40.200000000000003</v>
      </c>
      <c r="N7" s="21">
        <v>8.9</v>
      </c>
      <c r="O7" s="15">
        <f t="shared" si="0"/>
        <v>1586</v>
      </c>
      <c r="P7" s="22">
        <f t="shared" ref="P7:P35" si="1">ROUND(O7/12,1)</f>
        <v>132.19999999999999</v>
      </c>
      <c r="Q7" s="17"/>
    </row>
    <row r="8" spans="2:17" ht="21.95" customHeight="1">
      <c r="B8" s="18">
        <v>1996</v>
      </c>
      <c r="C8" s="19">
        <v>29.5</v>
      </c>
      <c r="D8" s="19">
        <v>10.199999999999999</v>
      </c>
      <c r="E8" s="19">
        <v>115</v>
      </c>
      <c r="F8" s="19">
        <v>54.5</v>
      </c>
      <c r="G8" s="19">
        <v>19</v>
      </c>
      <c r="H8" s="19">
        <v>237</v>
      </c>
      <c r="I8" s="19">
        <v>177.5</v>
      </c>
      <c r="J8" s="19">
        <v>116.5</v>
      </c>
      <c r="K8" s="19">
        <v>8</v>
      </c>
      <c r="L8" s="19">
        <v>102.5</v>
      </c>
      <c r="M8" s="19">
        <v>71.599999999999994</v>
      </c>
      <c r="N8" s="21">
        <v>26.2</v>
      </c>
      <c r="O8" s="15">
        <f t="shared" si="0"/>
        <v>967.5</v>
      </c>
      <c r="P8" s="22">
        <f t="shared" si="1"/>
        <v>80.599999999999994</v>
      </c>
      <c r="Q8" s="17"/>
    </row>
    <row r="9" spans="2:17" ht="21.95" customHeight="1">
      <c r="B9" s="18">
        <v>1997</v>
      </c>
      <c r="C9" s="19">
        <v>10.7</v>
      </c>
      <c r="D9" s="19">
        <v>44.1</v>
      </c>
      <c r="E9" s="19">
        <v>30</v>
      </c>
      <c r="F9" s="19">
        <v>66.5</v>
      </c>
      <c r="G9" s="19">
        <v>211</v>
      </c>
      <c r="H9" s="19">
        <v>191.5</v>
      </c>
      <c r="I9" s="19">
        <v>305</v>
      </c>
      <c r="J9" s="19">
        <v>175.5</v>
      </c>
      <c r="K9" s="19">
        <v>14.5</v>
      </c>
      <c r="L9" s="19">
        <v>23</v>
      </c>
      <c r="M9" s="19">
        <v>153.5</v>
      </c>
      <c r="N9" s="21">
        <v>43.5</v>
      </c>
      <c r="O9" s="15">
        <f t="shared" si="0"/>
        <v>1268.8</v>
      </c>
      <c r="P9" s="22">
        <f t="shared" si="1"/>
        <v>105.7</v>
      </c>
      <c r="Q9" s="17"/>
    </row>
    <row r="10" spans="2:17" ht="21.95" customHeight="1">
      <c r="B10" s="18">
        <v>1998</v>
      </c>
      <c r="C10" s="19">
        <v>20.399999999999999</v>
      </c>
      <c r="D10" s="19">
        <v>27.9</v>
      </c>
      <c r="E10" s="19">
        <v>29.5</v>
      </c>
      <c r="F10" s="19">
        <v>120.5</v>
      </c>
      <c r="G10" s="19">
        <v>85</v>
      </c>
      <c r="H10" s="19">
        <v>219.5</v>
      </c>
      <c r="I10" s="19">
        <v>277</v>
      </c>
      <c r="J10" s="19">
        <v>408.1</v>
      </c>
      <c r="K10" s="19">
        <v>283</v>
      </c>
      <c r="L10" s="19">
        <v>51.5</v>
      </c>
      <c r="M10" s="19">
        <v>52.8</v>
      </c>
      <c r="N10" s="21">
        <v>8.5</v>
      </c>
      <c r="O10" s="15">
        <f t="shared" si="0"/>
        <v>1583.7</v>
      </c>
      <c r="P10" s="22">
        <f t="shared" si="1"/>
        <v>132</v>
      </c>
      <c r="Q10" s="17"/>
    </row>
    <row r="11" spans="2:17" ht="21.95" customHeight="1">
      <c r="B11" s="18">
        <v>1999</v>
      </c>
      <c r="C11" s="19">
        <v>2.7</v>
      </c>
      <c r="D11" s="19">
        <v>2.8</v>
      </c>
      <c r="E11" s="19">
        <v>46.5</v>
      </c>
      <c r="F11" s="19">
        <v>88.5</v>
      </c>
      <c r="G11" s="19">
        <v>121.5</v>
      </c>
      <c r="H11" s="19">
        <v>163.69999999999999</v>
      </c>
      <c r="I11" s="19">
        <v>138.5</v>
      </c>
      <c r="J11" s="19">
        <v>313.5</v>
      </c>
      <c r="K11" s="19">
        <v>324.5</v>
      </c>
      <c r="L11" s="19">
        <v>134.5</v>
      </c>
      <c r="M11" s="19">
        <v>16.5</v>
      </c>
      <c r="N11" s="21">
        <v>11.9</v>
      </c>
      <c r="O11" s="15">
        <f t="shared" si="0"/>
        <v>1365.1</v>
      </c>
      <c r="P11" s="22">
        <f t="shared" si="1"/>
        <v>113.8</v>
      </c>
      <c r="Q11" s="17"/>
    </row>
    <row r="12" spans="2:17" ht="21.95" customHeight="1">
      <c r="B12" s="18">
        <v>2000</v>
      </c>
      <c r="C12" s="19">
        <v>52.3</v>
      </c>
      <c r="D12" s="19">
        <v>2.7</v>
      </c>
      <c r="E12" s="19">
        <v>7.1</v>
      </c>
      <c r="F12" s="19">
        <v>36</v>
      </c>
      <c r="G12" s="19">
        <v>36</v>
      </c>
      <c r="H12" s="19">
        <v>181</v>
      </c>
      <c r="I12" s="19">
        <v>83</v>
      </c>
      <c r="J12" s="19">
        <v>636</v>
      </c>
      <c r="K12" s="19">
        <v>287.5</v>
      </c>
      <c r="L12" s="19">
        <v>32</v>
      </c>
      <c r="M12" s="19">
        <v>32</v>
      </c>
      <c r="N12" s="21">
        <v>22.5</v>
      </c>
      <c r="O12" s="15">
        <f t="shared" si="0"/>
        <v>1408.1</v>
      </c>
      <c r="P12" s="22">
        <f t="shared" si="1"/>
        <v>117.3</v>
      </c>
    </row>
    <row r="13" spans="2:17" ht="21.95" customHeight="1">
      <c r="B13" s="18">
        <v>2001</v>
      </c>
      <c r="C13" s="19">
        <v>43.5</v>
      </c>
      <c r="D13" s="19">
        <v>44</v>
      </c>
      <c r="E13" s="19">
        <v>16.5</v>
      </c>
      <c r="F13" s="19">
        <v>19</v>
      </c>
      <c r="G13" s="19">
        <v>15</v>
      </c>
      <c r="H13" s="19">
        <v>227.5</v>
      </c>
      <c r="I13" s="19">
        <v>178</v>
      </c>
      <c r="J13" s="19">
        <v>194.5</v>
      </c>
      <c r="K13" s="19">
        <v>12</v>
      </c>
      <c r="L13" s="19">
        <v>63.5</v>
      </c>
      <c r="M13" s="19">
        <v>6.3</v>
      </c>
      <c r="N13" s="21">
        <v>18.399999999999999</v>
      </c>
      <c r="O13" s="15">
        <f t="shared" si="0"/>
        <v>838.2</v>
      </c>
      <c r="P13" s="22">
        <f t="shared" si="1"/>
        <v>69.900000000000006</v>
      </c>
    </row>
    <row r="14" spans="2:17" ht="21.95" customHeight="1">
      <c r="B14" s="18">
        <v>2002</v>
      </c>
      <c r="C14" s="19">
        <v>45.3</v>
      </c>
      <c r="D14" s="19">
        <v>6</v>
      </c>
      <c r="E14" s="19">
        <v>25.5</v>
      </c>
      <c r="F14" s="19">
        <v>128</v>
      </c>
      <c r="G14" s="19">
        <v>104</v>
      </c>
      <c r="H14" s="19">
        <v>54</v>
      </c>
      <c r="I14" s="19">
        <v>229.5</v>
      </c>
      <c r="J14" s="19">
        <v>481.5</v>
      </c>
      <c r="K14" s="19">
        <v>57</v>
      </c>
      <c r="L14" s="19">
        <v>91.5</v>
      </c>
      <c r="M14" s="19">
        <v>42.1</v>
      </c>
      <c r="N14" s="21">
        <v>48.1</v>
      </c>
      <c r="O14" s="15">
        <f t="shared" si="0"/>
        <v>1312.5</v>
      </c>
      <c r="P14" s="22">
        <f t="shared" si="1"/>
        <v>109.4</v>
      </c>
    </row>
    <row r="15" spans="2:17" ht="21.95" customHeight="1">
      <c r="B15" s="18">
        <v>2003</v>
      </c>
      <c r="C15" s="19">
        <v>18.600000000000001</v>
      </c>
      <c r="D15" s="19">
        <v>44</v>
      </c>
      <c r="E15" s="19">
        <v>38.1</v>
      </c>
      <c r="F15" s="19">
        <v>172.3</v>
      </c>
      <c r="G15" s="19">
        <v>106</v>
      </c>
      <c r="H15" s="19">
        <v>178.6</v>
      </c>
      <c r="I15" s="19">
        <v>381.2</v>
      </c>
      <c r="J15" s="19">
        <v>334.6</v>
      </c>
      <c r="K15" s="19">
        <v>264.2</v>
      </c>
      <c r="L15" s="19">
        <v>27</v>
      </c>
      <c r="M15" s="19">
        <v>46.7</v>
      </c>
      <c r="N15" s="21">
        <v>17</v>
      </c>
      <c r="O15" s="15">
        <f t="shared" si="0"/>
        <v>1628.3</v>
      </c>
      <c r="P15" s="22">
        <f t="shared" si="1"/>
        <v>135.69999999999999</v>
      </c>
    </row>
    <row r="16" spans="2:17" ht="21.95" customHeight="1">
      <c r="B16" s="18">
        <v>2004</v>
      </c>
      <c r="C16" s="19">
        <v>16.399999999999999</v>
      </c>
      <c r="D16" s="19">
        <v>21.3</v>
      </c>
      <c r="E16" s="19">
        <v>21.5</v>
      </c>
      <c r="F16" s="19">
        <v>67.5</v>
      </c>
      <c r="G16" s="19">
        <v>127.6</v>
      </c>
      <c r="H16" s="19">
        <v>235</v>
      </c>
      <c r="I16" s="19">
        <v>365.2</v>
      </c>
      <c r="J16" s="19">
        <v>229.3</v>
      </c>
      <c r="K16" s="19">
        <v>189</v>
      </c>
      <c r="L16" s="19">
        <v>4.5</v>
      </c>
      <c r="M16" s="19">
        <v>53</v>
      </c>
      <c r="N16" s="21">
        <v>33</v>
      </c>
      <c r="O16" s="15">
        <f t="shared" si="0"/>
        <v>1363.3</v>
      </c>
      <c r="P16" s="22">
        <f t="shared" si="1"/>
        <v>113.6</v>
      </c>
    </row>
    <row r="17" spans="2:16" ht="21.95" customHeight="1">
      <c r="B17" s="18">
        <v>2005</v>
      </c>
      <c r="C17" s="19">
        <v>3</v>
      </c>
      <c r="D17" s="19">
        <v>29.8</v>
      </c>
      <c r="E17" s="19">
        <v>37</v>
      </c>
      <c r="F17" s="19">
        <v>53.7</v>
      </c>
      <c r="G17" s="19">
        <v>48</v>
      </c>
      <c r="H17" s="19">
        <v>183</v>
      </c>
      <c r="I17" s="19">
        <v>313.8</v>
      </c>
      <c r="J17" s="19">
        <v>202</v>
      </c>
      <c r="K17" s="19">
        <v>377.5</v>
      </c>
      <c r="L17" s="19">
        <v>26.7</v>
      </c>
      <c r="M17" s="19">
        <v>23.5</v>
      </c>
      <c r="N17" s="21">
        <v>11.3</v>
      </c>
      <c r="O17" s="15">
        <f t="shared" si="0"/>
        <v>1309.3</v>
      </c>
      <c r="P17" s="22">
        <f t="shared" si="1"/>
        <v>109.1</v>
      </c>
    </row>
    <row r="18" spans="2:16" ht="21.95" customHeight="1">
      <c r="B18" s="18">
        <v>2006</v>
      </c>
      <c r="C18" s="19">
        <v>25.2</v>
      </c>
      <c r="D18" s="19">
        <v>18.5</v>
      </c>
      <c r="E18" s="19">
        <v>6.1</v>
      </c>
      <c r="F18" s="19">
        <v>78.599999999999994</v>
      </c>
      <c r="G18" s="19">
        <v>79</v>
      </c>
      <c r="H18" s="19">
        <v>120</v>
      </c>
      <c r="I18" s="19">
        <v>535.1</v>
      </c>
      <c r="J18" s="19">
        <v>63.5</v>
      </c>
      <c r="K18" s="19">
        <v>22.2</v>
      </c>
      <c r="L18" s="19">
        <v>21.6</v>
      </c>
      <c r="M18" s="19">
        <v>56.3</v>
      </c>
      <c r="N18" s="21">
        <v>17.2</v>
      </c>
      <c r="O18" s="15">
        <f t="shared" si="0"/>
        <v>1043.3</v>
      </c>
      <c r="P18" s="22">
        <f t="shared" si="1"/>
        <v>86.9</v>
      </c>
    </row>
    <row r="19" spans="2:16" ht="21.95" customHeight="1">
      <c r="B19" s="18">
        <v>2007</v>
      </c>
      <c r="C19" s="19">
        <v>9.4</v>
      </c>
      <c r="D19" s="19">
        <v>34.1</v>
      </c>
      <c r="E19" s="19">
        <v>108.3</v>
      </c>
      <c r="F19" s="19">
        <v>35.299999999999997</v>
      </c>
      <c r="G19" s="19">
        <v>126.2</v>
      </c>
      <c r="H19" s="19">
        <v>106.7</v>
      </c>
      <c r="I19" s="19">
        <v>215.6</v>
      </c>
      <c r="J19" s="19">
        <v>470.6</v>
      </c>
      <c r="K19" s="19">
        <v>353.3</v>
      </c>
      <c r="L19" s="19">
        <v>43.4</v>
      </c>
      <c r="M19" s="19">
        <v>15.6</v>
      </c>
      <c r="N19" s="21">
        <v>43.9</v>
      </c>
      <c r="O19" s="15">
        <f t="shared" si="0"/>
        <v>1562.4</v>
      </c>
      <c r="P19" s="22">
        <f t="shared" si="1"/>
        <v>130.19999999999999</v>
      </c>
    </row>
    <row r="20" spans="2:16" ht="21.95" customHeight="1">
      <c r="B20" s="18">
        <v>2008</v>
      </c>
      <c r="C20" s="19">
        <v>17.5</v>
      </c>
      <c r="D20" s="19">
        <v>11.1</v>
      </c>
      <c r="E20" s="19">
        <v>40.1</v>
      </c>
      <c r="F20" s="19">
        <v>34</v>
      </c>
      <c r="G20" s="19">
        <v>62.6</v>
      </c>
      <c r="H20" s="19">
        <v>126.7</v>
      </c>
      <c r="I20" s="19">
        <v>287.2</v>
      </c>
      <c r="J20" s="19">
        <v>138.80000000000001</v>
      </c>
      <c r="K20" s="19">
        <v>89.3</v>
      </c>
      <c r="L20" s="19">
        <v>30.4</v>
      </c>
      <c r="M20" s="19">
        <v>16.600000000000001</v>
      </c>
      <c r="N20" s="21">
        <v>15.8</v>
      </c>
      <c r="O20" s="15">
        <f t="shared" si="0"/>
        <v>870.1</v>
      </c>
      <c r="P20" s="22">
        <f t="shared" si="1"/>
        <v>72.5</v>
      </c>
    </row>
    <row r="21" spans="2:16" ht="21.95" customHeight="1">
      <c r="B21" s="18">
        <v>2009</v>
      </c>
      <c r="C21" s="19">
        <v>13.3</v>
      </c>
      <c r="D21" s="19">
        <v>16</v>
      </c>
      <c r="E21" s="19">
        <v>51.6</v>
      </c>
      <c r="F21" s="19">
        <v>30.6</v>
      </c>
      <c r="G21" s="19">
        <v>112.6</v>
      </c>
      <c r="H21" s="19">
        <v>55.6</v>
      </c>
      <c r="I21" s="19">
        <v>335.8</v>
      </c>
      <c r="J21" s="19">
        <v>212.3</v>
      </c>
      <c r="K21" s="19">
        <v>30.8</v>
      </c>
      <c r="L21" s="19">
        <v>61.1</v>
      </c>
      <c r="M21" s="19">
        <v>39.700000000000003</v>
      </c>
      <c r="N21" s="21">
        <v>40.5</v>
      </c>
      <c r="O21" s="15">
        <f t="shared" si="0"/>
        <v>999.9</v>
      </c>
      <c r="P21" s="22">
        <f t="shared" si="1"/>
        <v>83.3</v>
      </c>
    </row>
    <row r="22" spans="2:16" ht="21.95" customHeight="1">
      <c r="B22" s="18">
        <v>2010</v>
      </c>
      <c r="C22" s="19">
        <v>40.700000000000003</v>
      </c>
      <c r="D22" s="19">
        <v>50.4</v>
      </c>
      <c r="E22" s="19">
        <v>73.8</v>
      </c>
      <c r="F22" s="19">
        <v>61</v>
      </c>
      <c r="G22" s="19">
        <v>84</v>
      </c>
      <c r="H22" s="19">
        <v>37</v>
      </c>
      <c r="I22" s="19">
        <v>171</v>
      </c>
      <c r="J22" s="19">
        <v>486.1</v>
      </c>
      <c r="K22" s="19">
        <v>316.89999999999998</v>
      </c>
      <c r="L22" s="19">
        <v>19.399999999999999</v>
      </c>
      <c r="M22" s="19">
        <v>13.5</v>
      </c>
      <c r="N22" s="21">
        <v>24.5</v>
      </c>
      <c r="O22" s="15">
        <f t="shared" si="0"/>
        <v>1378.3</v>
      </c>
      <c r="P22" s="22">
        <f t="shared" si="1"/>
        <v>114.9</v>
      </c>
    </row>
    <row r="23" spans="2:16" ht="21.95" customHeight="1">
      <c r="B23" s="18">
        <v>2011</v>
      </c>
      <c r="C23" s="19">
        <v>7.9</v>
      </c>
      <c r="D23" s="19">
        <v>31</v>
      </c>
      <c r="E23" s="19">
        <v>26.5</v>
      </c>
      <c r="F23" s="19">
        <v>133.19999999999999</v>
      </c>
      <c r="G23" s="19">
        <v>103.3</v>
      </c>
      <c r="H23" s="19">
        <v>374.6</v>
      </c>
      <c r="I23" s="19">
        <v>645.1</v>
      </c>
      <c r="J23" s="19">
        <v>268.2</v>
      </c>
      <c r="K23" s="19">
        <v>153.19999999999999</v>
      </c>
      <c r="L23" s="19">
        <v>26.5</v>
      </c>
      <c r="M23" s="19">
        <v>65.8</v>
      </c>
      <c r="N23" s="21">
        <v>10.5</v>
      </c>
      <c r="O23" s="15">
        <f t="shared" si="0"/>
        <v>1845.8</v>
      </c>
      <c r="P23" s="22">
        <f t="shared" si="1"/>
        <v>153.80000000000001</v>
      </c>
    </row>
    <row r="24" spans="2:16" ht="21.95" customHeight="1">
      <c r="B24" s="18">
        <v>2012</v>
      </c>
      <c r="C24" s="19">
        <v>14.5</v>
      </c>
      <c r="D24" s="19">
        <v>2.2999999999999998</v>
      </c>
      <c r="E24" s="19">
        <v>44.9</v>
      </c>
      <c r="F24" s="19">
        <v>81.599999999999994</v>
      </c>
      <c r="G24" s="19">
        <v>16.8</v>
      </c>
      <c r="H24" s="19">
        <v>75.099999999999994</v>
      </c>
      <c r="I24" s="19">
        <v>252.5</v>
      </c>
      <c r="J24" s="19">
        <v>483.7</v>
      </c>
      <c r="K24" s="19">
        <v>190.1</v>
      </c>
      <c r="L24" s="19">
        <v>66.599999999999994</v>
      </c>
      <c r="M24" s="19">
        <v>52.6</v>
      </c>
      <c r="N24" s="21">
        <v>56</v>
      </c>
      <c r="O24" s="15">
        <f t="shared" si="0"/>
        <v>1336.7</v>
      </c>
      <c r="P24" s="22">
        <f t="shared" si="1"/>
        <v>111.4</v>
      </c>
    </row>
    <row r="25" spans="2:16" ht="21.95" customHeight="1">
      <c r="B25" s="18">
        <v>2013</v>
      </c>
      <c r="C25" s="19">
        <v>28.5</v>
      </c>
      <c r="D25" s="19">
        <v>35.200000000000003</v>
      </c>
      <c r="E25" s="19">
        <v>40</v>
      </c>
      <c r="F25" s="19">
        <v>56.3</v>
      </c>
      <c r="G25" s="19">
        <v>123.5</v>
      </c>
      <c r="H25" s="19">
        <v>102.1</v>
      </c>
      <c r="I25" s="19">
        <v>308.2</v>
      </c>
      <c r="J25" s="19">
        <v>173.6</v>
      </c>
      <c r="K25" s="19">
        <v>117.5</v>
      </c>
      <c r="L25" s="19">
        <v>12.2</v>
      </c>
      <c r="M25" s="19">
        <v>58.2</v>
      </c>
      <c r="N25" s="21">
        <v>40.299999999999997</v>
      </c>
      <c r="O25" s="15">
        <f t="shared" si="0"/>
        <v>1095.5999999999999</v>
      </c>
      <c r="P25" s="22">
        <f t="shared" si="1"/>
        <v>91.3</v>
      </c>
    </row>
    <row r="26" spans="2:16" ht="21.95" customHeight="1">
      <c r="B26" s="18">
        <v>2014</v>
      </c>
      <c r="C26" s="19">
        <v>4.9000000000000004</v>
      </c>
      <c r="D26" s="19">
        <v>14.7</v>
      </c>
      <c r="E26" s="19">
        <v>40.9</v>
      </c>
      <c r="F26" s="19">
        <v>62.1</v>
      </c>
      <c r="G26" s="19">
        <v>34.6</v>
      </c>
      <c r="H26" s="19">
        <v>73.900000000000006</v>
      </c>
      <c r="I26" s="19">
        <v>239</v>
      </c>
      <c r="J26" s="19">
        <v>218.7</v>
      </c>
      <c r="K26" s="19">
        <v>144</v>
      </c>
      <c r="L26" s="19">
        <v>119.5</v>
      </c>
      <c r="M26" s="19">
        <v>28.9</v>
      </c>
      <c r="N26" s="21">
        <v>38.9</v>
      </c>
      <c r="O26" s="15">
        <f t="shared" si="0"/>
        <v>1020.1</v>
      </c>
      <c r="P26" s="22">
        <f t="shared" si="1"/>
        <v>85</v>
      </c>
    </row>
    <row r="27" spans="2:16" ht="21.95" customHeight="1">
      <c r="B27" s="18">
        <v>2015</v>
      </c>
      <c r="C27" s="19">
        <v>12.7</v>
      </c>
      <c r="D27" s="19">
        <v>21.5</v>
      </c>
      <c r="E27" s="19">
        <v>23.3</v>
      </c>
      <c r="F27" s="19">
        <v>87.6</v>
      </c>
      <c r="G27" s="19">
        <v>27.5</v>
      </c>
      <c r="H27" s="19">
        <v>86</v>
      </c>
      <c r="I27" s="19">
        <v>136.80000000000001</v>
      </c>
      <c r="J27" s="19">
        <v>64.2</v>
      </c>
      <c r="K27" s="19">
        <v>29</v>
      </c>
      <c r="L27" s="19">
        <v>69</v>
      </c>
      <c r="M27" s="19">
        <v>128.6</v>
      </c>
      <c r="N27" s="21">
        <v>41.8</v>
      </c>
      <c r="O27" s="15">
        <f t="shared" si="0"/>
        <v>728</v>
      </c>
      <c r="P27" s="22">
        <f t="shared" si="1"/>
        <v>60.7</v>
      </c>
    </row>
    <row r="28" spans="2:16" ht="21.95" customHeight="1">
      <c r="B28" s="18">
        <v>2016</v>
      </c>
      <c r="C28" s="19">
        <v>8</v>
      </c>
      <c r="D28" s="19">
        <v>43.6</v>
      </c>
      <c r="E28" s="19">
        <v>16.5</v>
      </c>
      <c r="F28" s="19">
        <v>118.3</v>
      </c>
      <c r="G28" s="19">
        <v>107.2</v>
      </c>
      <c r="H28" s="19">
        <v>36.200000000000003</v>
      </c>
      <c r="I28" s="19">
        <v>364.3</v>
      </c>
      <c r="J28" s="19">
        <v>82</v>
      </c>
      <c r="K28" s="19">
        <v>55</v>
      </c>
      <c r="L28" s="19">
        <v>95.9</v>
      </c>
      <c r="M28" s="19">
        <v>33.5</v>
      </c>
      <c r="N28" s="21">
        <v>44.3</v>
      </c>
      <c r="O28" s="15">
        <f t="shared" si="0"/>
        <v>1004.8</v>
      </c>
      <c r="P28" s="22">
        <f t="shared" si="1"/>
        <v>83.7</v>
      </c>
    </row>
    <row r="29" spans="2:16" ht="21.95" customHeight="1">
      <c r="B29" s="18">
        <v>2017</v>
      </c>
      <c r="C29" s="19">
        <v>13.9</v>
      </c>
      <c r="D29" s="19">
        <v>32.200000000000003</v>
      </c>
      <c r="E29" s="19">
        <v>6.5</v>
      </c>
      <c r="F29" s="19">
        <v>42.9</v>
      </c>
      <c r="G29" s="19">
        <v>14.3</v>
      </c>
      <c r="H29" s="19">
        <v>15.6</v>
      </c>
      <c r="I29" s="19">
        <v>788.1</v>
      </c>
      <c r="J29" s="19">
        <v>291.5</v>
      </c>
      <c r="K29" s="19">
        <v>43.3</v>
      </c>
      <c r="L29" s="19">
        <v>14.1</v>
      </c>
      <c r="M29" s="19">
        <v>23.8</v>
      </c>
      <c r="N29" s="21">
        <v>18.8</v>
      </c>
      <c r="O29" s="15">
        <f t="shared" si="0"/>
        <v>1305</v>
      </c>
      <c r="P29" s="22">
        <f t="shared" si="1"/>
        <v>108.8</v>
      </c>
    </row>
    <row r="30" spans="2:16" ht="21.95" customHeight="1">
      <c r="B30" s="18">
        <v>2018</v>
      </c>
      <c r="C30" s="19">
        <v>14</v>
      </c>
      <c r="D30" s="19">
        <v>31.6</v>
      </c>
      <c r="E30" s="19">
        <v>62.2</v>
      </c>
      <c r="F30" s="19">
        <v>117</v>
      </c>
      <c r="G30" s="19">
        <v>82.7</v>
      </c>
      <c r="H30" s="19">
        <v>88.9</v>
      </c>
      <c r="I30" s="19">
        <v>185.8</v>
      </c>
      <c r="J30" s="19">
        <v>282.7</v>
      </c>
      <c r="K30" s="19">
        <v>124.6</v>
      </c>
      <c r="L30" s="19">
        <v>99.8</v>
      </c>
      <c r="M30" s="19">
        <v>48.3</v>
      </c>
      <c r="N30" s="21">
        <v>25.8</v>
      </c>
      <c r="O30" s="15">
        <f t="shared" si="0"/>
        <v>1163.4000000000001</v>
      </c>
      <c r="P30" s="22">
        <f t="shared" si="1"/>
        <v>97</v>
      </c>
    </row>
    <row r="31" spans="2:16" ht="21.95" customHeight="1">
      <c r="B31" s="18">
        <v>2019</v>
      </c>
      <c r="C31" s="19">
        <v>0.6</v>
      </c>
      <c r="D31" s="19">
        <v>25.5</v>
      </c>
      <c r="E31" s="19">
        <v>26.9</v>
      </c>
      <c r="F31" s="19">
        <v>43.9</v>
      </c>
      <c r="G31" s="19">
        <v>15.1</v>
      </c>
      <c r="H31" s="19">
        <v>84.9</v>
      </c>
      <c r="I31" s="19">
        <v>234.7</v>
      </c>
      <c r="J31" s="19">
        <v>90.7</v>
      </c>
      <c r="K31" s="19">
        <v>102.8</v>
      </c>
      <c r="L31" s="19">
        <v>81.900000000000006</v>
      </c>
      <c r="M31" s="19">
        <v>120.6</v>
      </c>
      <c r="N31" s="21">
        <v>18</v>
      </c>
      <c r="O31" s="15">
        <f t="shared" si="0"/>
        <v>845.6</v>
      </c>
      <c r="P31" s="22">
        <f t="shared" si="1"/>
        <v>70.5</v>
      </c>
    </row>
    <row r="32" spans="2:16" ht="21.95" customHeight="1">
      <c r="B32" s="18">
        <v>2020</v>
      </c>
      <c r="C32" s="19">
        <v>59.7</v>
      </c>
      <c r="D32" s="19">
        <v>63.1</v>
      </c>
      <c r="E32" s="19">
        <v>21.7</v>
      </c>
      <c r="F32" s="19">
        <v>15.1</v>
      </c>
      <c r="G32" s="19">
        <v>86.4</v>
      </c>
      <c r="H32" s="19">
        <v>121.9</v>
      </c>
      <c r="I32" s="19">
        <v>356.4</v>
      </c>
      <c r="J32" s="19">
        <v>481.7</v>
      </c>
      <c r="K32" s="19">
        <v>167.2</v>
      </c>
      <c r="L32" s="19">
        <v>18.899999999999999</v>
      </c>
      <c r="M32" s="19">
        <v>45.9</v>
      </c>
      <c r="N32" s="21">
        <v>5.5</v>
      </c>
      <c r="O32" s="15">
        <f t="shared" si="0"/>
        <v>1443.5</v>
      </c>
      <c r="P32" s="22">
        <f t="shared" si="1"/>
        <v>120.3</v>
      </c>
    </row>
    <row r="33" spans="2:16" ht="21.95" customHeight="1">
      <c r="B33" s="18">
        <v>2021</v>
      </c>
      <c r="C33" s="19">
        <v>17.8</v>
      </c>
      <c r="D33" s="19">
        <v>9.1999999999999993</v>
      </c>
      <c r="E33" s="19">
        <v>75.3</v>
      </c>
      <c r="F33" s="19">
        <v>54.7</v>
      </c>
      <c r="G33" s="19">
        <v>135.9</v>
      </c>
      <c r="H33" s="19">
        <v>44.8</v>
      </c>
      <c r="I33" s="19">
        <v>117.6</v>
      </c>
      <c r="J33" s="19">
        <v>230</v>
      </c>
      <c r="K33" s="19">
        <v>250.8</v>
      </c>
      <c r="L33" s="19">
        <v>49.5</v>
      </c>
      <c r="M33" s="19">
        <v>67.900000000000006</v>
      </c>
      <c r="N33" s="21">
        <v>5.4</v>
      </c>
      <c r="O33" s="15">
        <f t="shared" si="0"/>
        <v>1058.9000000000001</v>
      </c>
      <c r="P33" s="22">
        <f t="shared" si="1"/>
        <v>88.2</v>
      </c>
    </row>
    <row r="34" spans="2:16" ht="21.95" customHeight="1">
      <c r="B34" s="18">
        <v>2022</v>
      </c>
      <c r="C34" s="19">
        <v>3.3</v>
      </c>
      <c r="D34" s="19">
        <v>3.3</v>
      </c>
      <c r="E34" s="19">
        <v>57.6</v>
      </c>
      <c r="F34" s="19">
        <v>51.6</v>
      </c>
      <c r="G34" s="19">
        <v>9.8000000000000007</v>
      </c>
      <c r="H34" s="19">
        <v>168</v>
      </c>
      <c r="I34" s="19">
        <v>117</v>
      </c>
      <c r="J34" s="19">
        <v>366.6</v>
      </c>
      <c r="K34" s="19">
        <v>133.30000000000001</v>
      </c>
      <c r="L34" s="19">
        <v>98.2</v>
      </c>
      <c r="M34" s="19">
        <v>43.2</v>
      </c>
      <c r="N34" s="21">
        <v>28.8</v>
      </c>
      <c r="O34" s="15">
        <f t="shared" si="0"/>
        <v>1080.7</v>
      </c>
      <c r="P34" s="22">
        <f t="shared" si="1"/>
        <v>90.1</v>
      </c>
    </row>
    <row r="35" spans="2:16" ht="21.95" customHeight="1" thickBot="1">
      <c r="B35" s="38">
        <v>2023</v>
      </c>
      <c r="C35" s="39">
        <v>31</v>
      </c>
      <c r="D35" s="39">
        <v>3.1</v>
      </c>
      <c r="E35" s="39">
        <v>16.399999999999999</v>
      </c>
      <c r="F35" s="39">
        <v>29.6</v>
      </c>
      <c r="G35" s="39">
        <v>116.9</v>
      </c>
      <c r="H35" s="39">
        <v>178.9</v>
      </c>
      <c r="I35" s="39">
        <v>574.9</v>
      </c>
      <c r="J35" s="39">
        <v>196.5</v>
      </c>
      <c r="K35" s="39">
        <v>180.1</v>
      </c>
      <c r="L35" s="39">
        <v>28.7</v>
      </c>
      <c r="M35" s="39">
        <v>56.9</v>
      </c>
      <c r="N35" s="40">
        <v>86.2</v>
      </c>
      <c r="O35" s="41">
        <f t="shared" si="0"/>
        <v>1499.2</v>
      </c>
      <c r="P35" s="42">
        <f t="shared" si="1"/>
        <v>124.9</v>
      </c>
    </row>
    <row r="36" spans="2:16" ht="21.95" customHeight="1">
      <c r="B36" s="43" t="s">
        <v>13</v>
      </c>
      <c r="C36" s="44">
        <f>ROUND(MAX(C6:C35),1)</f>
        <v>59.7</v>
      </c>
      <c r="D36" s="44">
        <f t="shared" ref="D36:N36" si="2">ROUND(MAX(D6:D35),1)</f>
        <v>63.1</v>
      </c>
      <c r="E36" s="44">
        <f t="shared" si="2"/>
        <v>115</v>
      </c>
      <c r="F36" s="44">
        <f t="shared" si="2"/>
        <v>172.3</v>
      </c>
      <c r="G36" s="44">
        <f t="shared" si="2"/>
        <v>211</v>
      </c>
      <c r="H36" s="44">
        <f t="shared" si="2"/>
        <v>374.6</v>
      </c>
      <c r="I36" s="44">
        <f t="shared" si="2"/>
        <v>788.1</v>
      </c>
      <c r="J36" s="44">
        <f t="shared" si="2"/>
        <v>1082.5</v>
      </c>
      <c r="K36" s="44">
        <f t="shared" si="2"/>
        <v>377.5</v>
      </c>
      <c r="L36" s="44">
        <f t="shared" si="2"/>
        <v>220</v>
      </c>
      <c r="M36" s="44">
        <f t="shared" si="2"/>
        <v>153.5</v>
      </c>
      <c r="N36" s="45">
        <f t="shared" si="2"/>
        <v>86.2</v>
      </c>
      <c r="O36" s="46">
        <f>ROUND(MAX(O6:O35),1)</f>
        <v>1845.8</v>
      </c>
      <c r="P36" s="47">
        <f>ROUND(MAX(P6:P35),1)</f>
        <v>153.80000000000001</v>
      </c>
    </row>
    <row r="37" spans="2:16" ht="21.95" customHeight="1">
      <c r="B37" s="48" t="s">
        <v>14</v>
      </c>
      <c r="C37" s="49">
        <f>ROUND(MIN(C6:C35),1)</f>
        <v>0.6</v>
      </c>
      <c r="D37" s="49">
        <f t="shared" ref="D37:N37" si="3">ROUND(MIN(D6:D35),1)</f>
        <v>2.2999999999999998</v>
      </c>
      <c r="E37" s="49">
        <f t="shared" si="3"/>
        <v>6.1</v>
      </c>
      <c r="F37" s="49">
        <f t="shared" si="3"/>
        <v>13.5</v>
      </c>
      <c r="G37" s="49">
        <f t="shared" si="3"/>
        <v>9.8000000000000007</v>
      </c>
      <c r="H37" s="49">
        <f t="shared" si="3"/>
        <v>14.5</v>
      </c>
      <c r="I37" s="49">
        <f t="shared" si="3"/>
        <v>83</v>
      </c>
      <c r="J37" s="49">
        <f t="shared" si="3"/>
        <v>63.5</v>
      </c>
      <c r="K37" s="49">
        <f t="shared" si="3"/>
        <v>8</v>
      </c>
      <c r="L37" s="49">
        <f t="shared" si="3"/>
        <v>4.5</v>
      </c>
      <c r="M37" s="49">
        <f t="shared" si="3"/>
        <v>6.3</v>
      </c>
      <c r="N37" s="22">
        <f t="shared" si="3"/>
        <v>5.4</v>
      </c>
      <c r="O37" s="50">
        <f>ROUND(MIN(O6:O35),1)</f>
        <v>728</v>
      </c>
      <c r="P37" s="51">
        <f>ROUND(MIN(P6:P35),1)</f>
        <v>60.7</v>
      </c>
    </row>
    <row r="38" spans="2:16" ht="21.95" customHeight="1" thickBot="1">
      <c r="B38" s="52" t="s">
        <v>18</v>
      </c>
      <c r="C38" s="53">
        <f>ROUND(AVERAGE(C6:C35),1)</f>
        <v>19.8</v>
      </c>
      <c r="D38" s="53">
        <f t="shared" ref="D38:P38" si="4">ROUND(AVERAGE(D6:D35),1)</f>
        <v>23.3</v>
      </c>
      <c r="E38" s="53">
        <f t="shared" si="4"/>
        <v>39</v>
      </c>
      <c r="F38" s="53">
        <f t="shared" si="4"/>
        <v>66.7</v>
      </c>
      <c r="G38" s="53">
        <f t="shared" si="4"/>
        <v>78.900000000000006</v>
      </c>
      <c r="H38" s="53">
        <f t="shared" si="4"/>
        <v>131.4</v>
      </c>
      <c r="I38" s="53">
        <f t="shared" si="4"/>
        <v>288.39999999999998</v>
      </c>
      <c r="J38" s="53">
        <f t="shared" si="4"/>
        <v>306.39999999999998</v>
      </c>
      <c r="K38" s="53">
        <f t="shared" si="4"/>
        <v>146.69999999999999</v>
      </c>
      <c r="L38" s="53">
        <f t="shared" si="4"/>
        <v>58.6</v>
      </c>
      <c r="M38" s="53">
        <f t="shared" si="4"/>
        <v>49.2</v>
      </c>
      <c r="N38" s="54">
        <f t="shared" si="4"/>
        <v>27.8</v>
      </c>
      <c r="O38" s="55">
        <f t="shared" si="4"/>
        <v>1236.0999999999999</v>
      </c>
      <c r="P38" s="56">
        <f t="shared" si="4"/>
        <v>103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4.9000000000000004</v>
      </c>
      <c r="D44" s="62">
        <f t="shared" si="5"/>
        <v>14.7</v>
      </c>
      <c r="E44" s="62">
        <f t="shared" si="5"/>
        <v>40.9</v>
      </c>
      <c r="F44" s="62">
        <f t="shared" si="5"/>
        <v>62.1</v>
      </c>
      <c r="G44" s="62">
        <f t="shared" si="5"/>
        <v>34.6</v>
      </c>
      <c r="H44" s="62">
        <f t="shared" si="5"/>
        <v>73.900000000000006</v>
      </c>
      <c r="I44" s="62">
        <f t="shared" si="5"/>
        <v>239</v>
      </c>
      <c r="J44" s="62">
        <f t="shared" si="5"/>
        <v>218.7</v>
      </c>
      <c r="K44" s="62">
        <f t="shared" si="5"/>
        <v>144</v>
      </c>
      <c r="L44" s="62">
        <f t="shared" si="5"/>
        <v>119.5</v>
      </c>
      <c r="M44" s="62">
        <f t="shared" si="5"/>
        <v>28.9</v>
      </c>
      <c r="N44" s="63">
        <f t="shared" si="5"/>
        <v>38.9</v>
      </c>
      <c r="O44" s="64">
        <f>ROUND(SUM(C44:N44),1)</f>
        <v>1020.1</v>
      </c>
      <c r="P44" s="51">
        <f>ROUND(O44/12,1)</f>
        <v>85</v>
      </c>
    </row>
    <row r="45" spans="2:16" ht="21.95" customHeight="1">
      <c r="B45" s="61">
        <f t="shared" ref="B45:N53" si="6">B27</f>
        <v>2015</v>
      </c>
      <c r="C45" s="62">
        <f t="shared" si="6"/>
        <v>12.7</v>
      </c>
      <c r="D45" s="62">
        <f t="shared" si="6"/>
        <v>21.5</v>
      </c>
      <c r="E45" s="62">
        <f t="shared" si="6"/>
        <v>23.3</v>
      </c>
      <c r="F45" s="62">
        <f t="shared" si="6"/>
        <v>87.6</v>
      </c>
      <c r="G45" s="62">
        <f t="shared" si="6"/>
        <v>27.5</v>
      </c>
      <c r="H45" s="62">
        <f t="shared" si="6"/>
        <v>86</v>
      </c>
      <c r="I45" s="62">
        <f t="shared" si="6"/>
        <v>136.80000000000001</v>
      </c>
      <c r="J45" s="62">
        <f t="shared" si="6"/>
        <v>64.2</v>
      </c>
      <c r="K45" s="62">
        <f t="shared" si="6"/>
        <v>29</v>
      </c>
      <c r="L45" s="62">
        <f t="shared" si="6"/>
        <v>69</v>
      </c>
      <c r="M45" s="62">
        <f t="shared" si="6"/>
        <v>128.6</v>
      </c>
      <c r="N45" s="63">
        <f t="shared" si="6"/>
        <v>41.8</v>
      </c>
      <c r="O45" s="64">
        <f t="shared" ref="O45:O53" si="7">ROUND(SUM(C45:N45),1)</f>
        <v>728</v>
      </c>
      <c r="P45" s="51">
        <f t="shared" ref="P45:P53" si="8">ROUND(O45/12,1)</f>
        <v>60.7</v>
      </c>
    </row>
    <row r="46" spans="2:16" ht="21.95" customHeight="1">
      <c r="B46" s="61">
        <f t="shared" si="6"/>
        <v>2016</v>
      </c>
      <c r="C46" s="62">
        <f t="shared" si="6"/>
        <v>8</v>
      </c>
      <c r="D46" s="62">
        <f t="shared" si="6"/>
        <v>43.6</v>
      </c>
      <c r="E46" s="62">
        <f t="shared" si="6"/>
        <v>16.5</v>
      </c>
      <c r="F46" s="62">
        <f t="shared" si="6"/>
        <v>118.3</v>
      </c>
      <c r="G46" s="62">
        <f t="shared" si="6"/>
        <v>107.2</v>
      </c>
      <c r="H46" s="62">
        <f t="shared" si="6"/>
        <v>36.200000000000003</v>
      </c>
      <c r="I46" s="62">
        <f t="shared" si="6"/>
        <v>364.3</v>
      </c>
      <c r="J46" s="62">
        <f t="shared" si="6"/>
        <v>82</v>
      </c>
      <c r="K46" s="62">
        <f t="shared" si="6"/>
        <v>55</v>
      </c>
      <c r="L46" s="62">
        <f t="shared" si="6"/>
        <v>95.9</v>
      </c>
      <c r="M46" s="62">
        <f t="shared" si="6"/>
        <v>33.5</v>
      </c>
      <c r="N46" s="63">
        <f t="shared" si="6"/>
        <v>44.3</v>
      </c>
      <c r="O46" s="64">
        <f t="shared" si="7"/>
        <v>1004.8</v>
      </c>
      <c r="P46" s="51">
        <f t="shared" si="8"/>
        <v>83.7</v>
      </c>
    </row>
    <row r="47" spans="2:16" ht="21.95" customHeight="1">
      <c r="B47" s="61">
        <f t="shared" si="6"/>
        <v>2017</v>
      </c>
      <c r="C47" s="62">
        <f t="shared" si="6"/>
        <v>13.9</v>
      </c>
      <c r="D47" s="62">
        <f t="shared" si="6"/>
        <v>32.200000000000003</v>
      </c>
      <c r="E47" s="62">
        <f t="shared" si="6"/>
        <v>6.5</v>
      </c>
      <c r="F47" s="62">
        <f t="shared" si="6"/>
        <v>42.9</v>
      </c>
      <c r="G47" s="62">
        <f t="shared" si="6"/>
        <v>14.3</v>
      </c>
      <c r="H47" s="62">
        <f t="shared" si="6"/>
        <v>15.6</v>
      </c>
      <c r="I47" s="62">
        <f t="shared" si="6"/>
        <v>788.1</v>
      </c>
      <c r="J47" s="62">
        <f t="shared" si="6"/>
        <v>291.5</v>
      </c>
      <c r="K47" s="62">
        <f t="shared" si="6"/>
        <v>43.3</v>
      </c>
      <c r="L47" s="62">
        <f t="shared" si="6"/>
        <v>14.1</v>
      </c>
      <c r="M47" s="62">
        <f t="shared" si="6"/>
        <v>23.8</v>
      </c>
      <c r="N47" s="63">
        <f t="shared" si="6"/>
        <v>18.8</v>
      </c>
      <c r="O47" s="64">
        <f>ROUND(SUM(C47:N47),1)</f>
        <v>1305</v>
      </c>
      <c r="P47" s="51">
        <f t="shared" si="8"/>
        <v>108.8</v>
      </c>
    </row>
    <row r="48" spans="2:16" ht="21.95" customHeight="1">
      <c r="B48" s="61">
        <f t="shared" si="6"/>
        <v>2018</v>
      </c>
      <c r="C48" s="62">
        <f t="shared" si="6"/>
        <v>14</v>
      </c>
      <c r="D48" s="62">
        <f t="shared" si="6"/>
        <v>31.6</v>
      </c>
      <c r="E48" s="62">
        <f t="shared" si="6"/>
        <v>62.2</v>
      </c>
      <c r="F48" s="62">
        <f t="shared" si="6"/>
        <v>117</v>
      </c>
      <c r="G48" s="62">
        <f t="shared" si="6"/>
        <v>82.7</v>
      </c>
      <c r="H48" s="62">
        <f t="shared" si="6"/>
        <v>88.9</v>
      </c>
      <c r="I48" s="62">
        <f t="shared" si="6"/>
        <v>185.8</v>
      </c>
      <c r="J48" s="62">
        <f t="shared" si="6"/>
        <v>282.7</v>
      </c>
      <c r="K48" s="62">
        <f t="shared" si="6"/>
        <v>124.6</v>
      </c>
      <c r="L48" s="62">
        <f t="shared" si="6"/>
        <v>99.8</v>
      </c>
      <c r="M48" s="62">
        <f t="shared" si="6"/>
        <v>48.3</v>
      </c>
      <c r="N48" s="63">
        <f t="shared" si="6"/>
        <v>25.8</v>
      </c>
      <c r="O48" s="64">
        <f t="shared" si="7"/>
        <v>1163.4000000000001</v>
      </c>
      <c r="P48" s="51">
        <f t="shared" si="8"/>
        <v>97</v>
      </c>
    </row>
    <row r="49" spans="2:16" ht="21.95" customHeight="1">
      <c r="B49" s="61">
        <f t="shared" si="6"/>
        <v>2019</v>
      </c>
      <c r="C49" s="62">
        <f t="shared" si="6"/>
        <v>0.6</v>
      </c>
      <c r="D49" s="62">
        <f t="shared" si="6"/>
        <v>25.5</v>
      </c>
      <c r="E49" s="62">
        <f t="shared" si="6"/>
        <v>26.9</v>
      </c>
      <c r="F49" s="62">
        <f t="shared" si="6"/>
        <v>43.9</v>
      </c>
      <c r="G49" s="62">
        <f t="shared" si="6"/>
        <v>15.1</v>
      </c>
      <c r="H49" s="62">
        <f t="shared" si="6"/>
        <v>84.9</v>
      </c>
      <c r="I49" s="62">
        <f t="shared" si="6"/>
        <v>234.7</v>
      </c>
      <c r="J49" s="62">
        <f t="shared" si="6"/>
        <v>90.7</v>
      </c>
      <c r="K49" s="62">
        <f t="shared" si="6"/>
        <v>102.8</v>
      </c>
      <c r="L49" s="62">
        <f t="shared" si="6"/>
        <v>81.900000000000006</v>
      </c>
      <c r="M49" s="62">
        <f t="shared" si="6"/>
        <v>120.6</v>
      </c>
      <c r="N49" s="63">
        <f t="shared" si="6"/>
        <v>18</v>
      </c>
      <c r="O49" s="64">
        <f t="shared" si="7"/>
        <v>845.6</v>
      </c>
      <c r="P49" s="51">
        <f t="shared" si="8"/>
        <v>70.5</v>
      </c>
    </row>
    <row r="50" spans="2:16" ht="21.95" customHeight="1">
      <c r="B50" s="61">
        <f t="shared" si="6"/>
        <v>2020</v>
      </c>
      <c r="C50" s="62">
        <f t="shared" si="6"/>
        <v>59.7</v>
      </c>
      <c r="D50" s="62">
        <f t="shared" si="6"/>
        <v>63.1</v>
      </c>
      <c r="E50" s="62">
        <f t="shared" si="6"/>
        <v>21.7</v>
      </c>
      <c r="F50" s="62">
        <f t="shared" si="6"/>
        <v>15.1</v>
      </c>
      <c r="G50" s="62">
        <f t="shared" si="6"/>
        <v>86.4</v>
      </c>
      <c r="H50" s="62">
        <f t="shared" si="6"/>
        <v>121.9</v>
      </c>
      <c r="I50" s="62">
        <f t="shared" si="6"/>
        <v>356.4</v>
      </c>
      <c r="J50" s="62">
        <f t="shared" si="6"/>
        <v>481.7</v>
      </c>
      <c r="K50" s="62">
        <f t="shared" si="6"/>
        <v>167.2</v>
      </c>
      <c r="L50" s="62">
        <f t="shared" si="6"/>
        <v>18.899999999999999</v>
      </c>
      <c r="M50" s="62">
        <f t="shared" si="6"/>
        <v>45.9</v>
      </c>
      <c r="N50" s="63">
        <f t="shared" si="6"/>
        <v>5.5</v>
      </c>
      <c r="O50" s="64">
        <f t="shared" si="7"/>
        <v>1443.5</v>
      </c>
      <c r="P50" s="51">
        <f t="shared" si="8"/>
        <v>120.3</v>
      </c>
    </row>
    <row r="51" spans="2:16" ht="21.95" customHeight="1">
      <c r="B51" s="61">
        <f t="shared" si="6"/>
        <v>2021</v>
      </c>
      <c r="C51" s="62">
        <f t="shared" si="6"/>
        <v>17.8</v>
      </c>
      <c r="D51" s="62">
        <f t="shared" si="6"/>
        <v>9.1999999999999993</v>
      </c>
      <c r="E51" s="62">
        <f t="shared" si="6"/>
        <v>75.3</v>
      </c>
      <c r="F51" s="62">
        <f t="shared" si="6"/>
        <v>54.7</v>
      </c>
      <c r="G51" s="62">
        <f t="shared" si="6"/>
        <v>135.9</v>
      </c>
      <c r="H51" s="62">
        <f t="shared" si="6"/>
        <v>44.8</v>
      </c>
      <c r="I51" s="62">
        <f t="shared" si="6"/>
        <v>117.6</v>
      </c>
      <c r="J51" s="62">
        <f t="shared" si="6"/>
        <v>230</v>
      </c>
      <c r="K51" s="62">
        <f t="shared" si="6"/>
        <v>250.8</v>
      </c>
      <c r="L51" s="62">
        <f t="shared" si="6"/>
        <v>49.5</v>
      </c>
      <c r="M51" s="62">
        <f t="shared" si="6"/>
        <v>67.900000000000006</v>
      </c>
      <c r="N51" s="63">
        <f t="shared" si="6"/>
        <v>5.4</v>
      </c>
      <c r="O51" s="64">
        <f t="shared" si="7"/>
        <v>1058.9000000000001</v>
      </c>
      <c r="P51" s="51">
        <f t="shared" si="8"/>
        <v>88.2</v>
      </c>
    </row>
    <row r="52" spans="2:16" ht="21.95" customHeight="1">
      <c r="B52" s="61">
        <f t="shared" si="6"/>
        <v>2022</v>
      </c>
      <c r="C52" s="62">
        <f t="shared" si="6"/>
        <v>3.3</v>
      </c>
      <c r="D52" s="62">
        <f t="shared" si="6"/>
        <v>3.3</v>
      </c>
      <c r="E52" s="62">
        <f t="shared" si="6"/>
        <v>57.6</v>
      </c>
      <c r="F52" s="62">
        <f t="shared" si="6"/>
        <v>51.6</v>
      </c>
      <c r="G52" s="62">
        <f t="shared" si="6"/>
        <v>9.8000000000000007</v>
      </c>
      <c r="H52" s="62">
        <f t="shared" si="6"/>
        <v>168</v>
      </c>
      <c r="I52" s="62">
        <f t="shared" si="6"/>
        <v>117</v>
      </c>
      <c r="J52" s="62">
        <f t="shared" si="6"/>
        <v>366.6</v>
      </c>
      <c r="K52" s="62">
        <f t="shared" si="6"/>
        <v>133.30000000000001</v>
      </c>
      <c r="L52" s="62">
        <f t="shared" si="6"/>
        <v>98.2</v>
      </c>
      <c r="M52" s="62">
        <f t="shared" si="6"/>
        <v>43.2</v>
      </c>
      <c r="N52" s="63">
        <f t="shared" si="6"/>
        <v>28.8</v>
      </c>
      <c r="O52" s="64">
        <f t="shared" si="7"/>
        <v>1080.7</v>
      </c>
      <c r="P52" s="51">
        <f t="shared" si="8"/>
        <v>90.1</v>
      </c>
    </row>
    <row r="53" spans="2:16" ht="21.95" customHeight="1" thickBot="1">
      <c r="B53" s="65">
        <f t="shared" si="6"/>
        <v>2023</v>
      </c>
      <c r="C53" s="66">
        <f t="shared" si="6"/>
        <v>31</v>
      </c>
      <c r="D53" s="66">
        <f t="shared" si="6"/>
        <v>3.1</v>
      </c>
      <c r="E53" s="66">
        <f t="shared" si="6"/>
        <v>16.399999999999999</v>
      </c>
      <c r="F53" s="66">
        <f t="shared" si="6"/>
        <v>29.6</v>
      </c>
      <c r="G53" s="66">
        <f t="shared" si="6"/>
        <v>116.9</v>
      </c>
      <c r="H53" s="66">
        <f t="shared" si="6"/>
        <v>178.9</v>
      </c>
      <c r="I53" s="66">
        <f t="shared" si="6"/>
        <v>574.9</v>
      </c>
      <c r="J53" s="66">
        <f t="shared" si="6"/>
        <v>196.5</v>
      </c>
      <c r="K53" s="66">
        <f t="shared" si="6"/>
        <v>180.1</v>
      </c>
      <c r="L53" s="66">
        <f t="shared" si="6"/>
        <v>28.7</v>
      </c>
      <c r="M53" s="66">
        <f t="shared" si="6"/>
        <v>56.9</v>
      </c>
      <c r="N53" s="67">
        <f t="shared" si="6"/>
        <v>86.2</v>
      </c>
      <c r="O53" s="68">
        <f t="shared" si="7"/>
        <v>1499.2</v>
      </c>
      <c r="P53" s="56">
        <f t="shared" si="8"/>
        <v>124.9</v>
      </c>
    </row>
    <row r="54" spans="2:16" ht="21.95" customHeight="1">
      <c r="B54" s="69" t="s">
        <v>19</v>
      </c>
      <c r="C54" s="70">
        <f>MAX(C44:C53)</f>
        <v>59.7</v>
      </c>
      <c r="D54" s="70">
        <f t="shared" ref="D54:P54" si="9">MAX(D44:D53)</f>
        <v>63.1</v>
      </c>
      <c r="E54" s="70">
        <f t="shared" si="9"/>
        <v>75.3</v>
      </c>
      <c r="F54" s="70">
        <f t="shared" si="9"/>
        <v>118.3</v>
      </c>
      <c r="G54" s="70">
        <f t="shared" si="9"/>
        <v>135.9</v>
      </c>
      <c r="H54" s="70">
        <f t="shared" si="9"/>
        <v>178.9</v>
      </c>
      <c r="I54" s="70">
        <f t="shared" si="9"/>
        <v>788.1</v>
      </c>
      <c r="J54" s="70">
        <f t="shared" si="9"/>
        <v>481.7</v>
      </c>
      <c r="K54" s="70">
        <f t="shared" si="9"/>
        <v>250.8</v>
      </c>
      <c r="L54" s="70">
        <f t="shared" si="9"/>
        <v>119.5</v>
      </c>
      <c r="M54" s="70">
        <f t="shared" si="9"/>
        <v>128.6</v>
      </c>
      <c r="N54" s="71">
        <f t="shared" si="9"/>
        <v>86.2</v>
      </c>
      <c r="O54" s="72">
        <f t="shared" si="9"/>
        <v>1499.2</v>
      </c>
      <c r="P54" s="71">
        <f t="shared" si="9"/>
        <v>124.9</v>
      </c>
    </row>
    <row r="55" spans="2:16" ht="21.95" customHeight="1">
      <c r="B55" s="73" t="s">
        <v>20</v>
      </c>
      <c r="C55" s="74">
        <f>MIN(C44:C53)</f>
        <v>0.6</v>
      </c>
      <c r="D55" s="74">
        <f t="shared" ref="D55:P55" si="10">MIN(D44:D53)</f>
        <v>3.1</v>
      </c>
      <c r="E55" s="74">
        <f t="shared" si="10"/>
        <v>6.5</v>
      </c>
      <c r="F55" s="74">
        <f t="shared" si="10"/>
        <v>15.1</v>
      </c>
      <c r="G55" s="74">
        <f t="shared" si="10"/>
        <v>9.8000000000000007</v>
      </c>
      <c r="H55" s="74">
        <f t="shared" si="10"/>
        <v>15.6</v>
      </c>
      <c r="I55" s="74">
        <f t="shared" si="10"/>
        <v>117</v>
      </c>
      <c r="J55" s="74">
        <f t="shared" si="10"/>
        <v>64.2</v>
      </c>
      <c r="K55" s="74">
        <f t="shared" si="10"/>
        <v>29</v>
      </c>
      <c r="L55" s="74">
        <f t="shared" si="10"/>
        <v>14.1</v>
      </c>
      <c r="M55" s="74">
        <f t="shared" si="10"/>
        <v>23.8</v>
      </c>
      <c r="N55" s="51">
        <f t="shared" si="10"/>
        <v>5.4</v>
      </c>
      <c r="O55" s="64">
        <f>MIN(O44:O53)</f>
        <v>728</v>
      </c>
      <c r="P55" s="51">
        <f t="shared" si="10"/>
        <v>60.7</v>
      </c>
    </row>
    <row r="56" spans="2:16" ht="21.95" customHeight="1" thickBot="1">
      <c r="B56" s="75" t="s">
        <v>7</v>
      </c>
      <c r="C56" s="76">
        <f>ROUND(AVERAGE(C44:C53),1)</f>
        <v>16.600000000000001</v>
      </c>
      <c r="D56" s="76">
        <f t="shared" ref="D56:N56" si="11">ROUND(AVERAGE(D44:D53),1)</f>
        <v>24.8</v>
      </c>
      <c r="E56" s="76">
        <f t="shared" si="11"/>
        <v>34.700000000000003</v>
      </c>
      <c r="F56" s="76">
        <f t="shared" si="11"/>
        <v>62.3</v>
      </c>
      <c r="G56" s="76">
        <f t="shared" si="11"/>
        <v>63</v>
      </c>
      <c r="H56" s="76">
        <f t="shared" si="11"/>
        <v>89.9</v>
      </c>
      <c r="I56" s="76">
        <f t="shared" si="11"/>
        <v>311.5</v>
      </c>
      <c r="J56" s="76">
        <f t="shared" si="11"/>
        <v>230.5</v>
      </c>
      <c r="K56" s="76">
        <f t="shared" si="11"/>
        <v>123</v>
      </c>
      <c r="L56" s="76">
        <f t="shared" si="11"/>
        <v>67.599999999999994</v>
      </c>
      <c r="M56" s="76">
        <f t="shared" si="11"/>
        <v>59.8</v>
      </c>
      <c r="N56" s="56">
        <f t="shared" si="11"/>
        <v>31.4</v>
      </c>
      <c r="O56" s="68">
        <f>ROUND(AVERAGE(O44:O53),1)</f>
        <v>1114.9000000000001</v>
      </c>
      <c r="P56" s="56">
        <f>ROUND(AVERAGE(P44:P53),1)</f>
        <v>92.9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60C22D-45A5-4343-965D-2D33AB57EFD5}">
  <sheetPr codeName="Sheet18">
    <tabColor rgb="FFFFFF00"/>
  </sheetPr>
  <dimension ref="A2:Q983"/>
  <sheetViews>
    <sheetView zoomScaleNormal="100" workbookViewId="0">
      <selection activeCell="V21" sqref="V2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260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14.6</v>
      </c>
      <c r="D6" s="12">
        <v>5.9</v>
      </c>
      <c r="E6" s="12">
        <v>65.599999999999994</v>
      </c>
      <c r="F6" s="12">
        <v>32.4</v>
      </c>
      <c r="G6" s="12">
        <v>156</v>
      </c>
      <c r="H6" s="12">
        <v>167.8</v>
      </c>
      <c r="I6" s="12">
        <v>107.1</v>
      </c>
      <c r="J6" s="13">
        <v>309.7</v>
      </c>
      <c r="K6" s="12">
        <v>99.2</v>
      </c>
      <c r="L6" s="12">
        <v>216.3</v>
      </c>
      <c r="M6" s="12">
        <v>23.3</v>
      </c>
      <c r="N6" s="14">
        <v>36.6</v>
      </c>
      <c r="O6" s="15">
        <f t="shared" ref="O6:O35" si="0">ROUND(SUM(C6:N6),1)</f>
        <v>1234.5</v>
      </c>
      <c r="P6" s="16">
        <f>ROUND(O6/12,1)</f>
        <v>102.9</v>
      </c>
      <c r="Q6" s="17"/>
    </row>
    <row r="7" spans="2:17" ht="21.95" customHeight="1">
      <c r="B7" s="18">
        <v>1995</v>
      </c>
      <c r="C7" s="19">
        <v>22.7</v>
      </c>
      <c r="D7" s="19">
        <v>7.2</v>
      </c>
      <c r="E7" s="19">
        <v>37.299999999999997</v>
      </c>
      <c r="F7" s="19">
        <v>48.2</v>
      </c>
      <c r="G7" s="19">
        <v>67.099999999999994</v>
      </c>
      <c r="H7" s="19">
        <v>24.5</v>
      </c>
      <c r="I7" s="19">
        <v>144.1</v>
      </c>
      <c r="J7" s="20">
        <v>992.7</v>
      </c>
      <c r="K7" s="19">
        <v>20.2</v>
      </c>
      <c r="L7" s="19">
        <v>19.3</v>
      </c>
      <c r="M7" s="19">
        <v>49.9</v>
      </c>
      <c r="N7" s="21">
        <v>15.1</v>
      </c>
      <c r="O7" s="15">
        <f t="shared" si="0"/>
        <v>1448.3</v>
      </c>
      <c r="P7" s="22">
        <f t="shared" ref="P7:P35" si="1">ROUND(O7/12,1)</f>
        <v>120.7</v>
      </c>
      <c r="Q7" s="17"/>
    </row>
    <row r="8" spans="2:17" ht="21.95" customHeight="1">
      <c r="B8" s="18">
        <v>1996</v>
      </c>
      <c r="C8" s="19">
        <v>29.1</v>
      </c>
      <c r="D8" s="19">
        <v>5.7</v>
      </c>
      <c r="E8" s="19">
        <v>115.1</v>
      </c>
      <c r="F8" s="19">
        <v>48.1</v>
      </c>
      <c r="G8" s="19">
        <v>20</v>
      </c>
      <c r="H8" s="19">
        <v>179.2</v>
      </c>
      <c r="I8" s="19">
        <v>152.80000000000001</v>
      </c>
      <c r="J8" s="19">
        <v>74.099999999999994</v>
      </c>
      <c r="K8" s="19">
        <v>6.4</v>
      </c>
      <c r="L8" s="19">
        <v>92.2</v>
      </c>
      <c r="M8" s="19">
        <v>72.099999999999994</v>
      </c>
      <c r="N8" s="21">
        <v>35.299999999999997</v>
      </c>
      <c r="O8" s="15">
        <f t="shared" si="0"/>
        <v>830.1</v>
      </c>
      <c r="P8" s="22">
        <f t="shared" si="1"/>
        <v>69.2</v>
      </c>
      <c r="Q8" s="17"/>
    </row>
    <row r="9" spans="2:17" ht="21.95" customHeight="1">
      <c r="B9" s="18">
        <v>1997</v>
      </c>
      <c r="C9" s="19">
        <v>20.5</v>
      </c>
      <c r="D9" s="19">
        <v>32.5</v>
      </c>
      <c r="E9" s="19">
        <v>29.6</v>
      </c>
      <c r="F9" s="19">
        <v>69.5</v>
      </c>
      <c r="G9" s="19">
        <v>232.8</v>
      </c>
      <c r="H9" s="19">
        <v>204.4</v>
      </c>
      <c r="I9" s="19">
        <v>298.7</v>
      </c>
      <c r="J9" s="19">
        <v>87.2</v>
      </c>
      <c r="K9" s="19">
        <v>16.100000000000001</v>
      </c>
      <c r="L9" s="19">
        <v>8.6999999999999993</v>
      </c>
      <c r="M9" s="19">
        <v>116.7</v>
      </c>
      <c r="N9" s="21">
        <v>40.200000000000003</v>
      </c>
      <c r="O9" s="15">
        <f t="shared" si="0"/>
        <v>1156.9000000000001</v>
      </c>
      <c r="P9" s="22">
        <f t="shared" si="1"/>
        <v>96.4</v>
      </c>
      <c r="Q9" s="17"/>
    </row>
    <row r="10" spans="2:17" ht="21.95" customHeight="1">
      <c r="B10" s="18">
        <v>1998</v>
      </c>
      <c r="C10" s="19">
        <v>40.1</v>
      </c>
      <c r="D10" s="19">
        <v>54.2</v>
      </c>
      <c r="E10" s="19">
        <v>35</v>
      </c>
      <c r="F10" s="19">
        <v>160.6</v>
      </c>
      <c r="G10" s="19">
        <v>95.5</v>
      </c>
      <c r="H10" s="19">
        <v>281.7</v>
      </c>
      <c r="I10" s="19">
        <v>295.60000000000002</v>
      </c>
      <c r="J10" s="19">
        <v>491.8</v>
      </c>
      <c r="K10" s="19">
        <v>168</v>
      </c>
      <c r="L10" s="19">
        <v>24.3</v>
      </c>
      <c r="M10" s="19">
        <v>55.6</v>
      </c>
      <c r="N10" s="21">
        <v>9.1999999999999993</v>
      </c>
      <c r="O10" s="15">
        <f t="shared" si="0"/>
        <v>1711.6</v>
      </c>
      <c r="P10" s="22">
        <f t="shared" si="1"/>
        <v>142.6</v>
      </c>
      <c r="Q10" s="17"/>
    </row>
    <row r="11" spans="2:17" ht="21.95" customHeight="1">
      <c r="B11" s="18">
        <v>1999</v>
      </c>
      <c r="C11" s="19">
        <v>8</v>
      </c>
      <c r="D11" s="19">
        <v>7.8</v>
      </c>
      <c r="E11" s="19">
        <v>59.9</v>
      </c>
      <c r="F11" s="19">
        <v>90.1</v>
      </c>
      <c r="G11" s="19">
        <v>178.8</v>
      </c>
      <c r="H11" s="19">
        <v>105.1</v>
      </c>
      <c r="I11" s="19">
        <v>175.6</v>
      </c>
      <c r="J11" s="19">
        <v>497.4</v>
      </c>
      <c r="K11" s="19">
        <v>532.6</v>
      </c>
      <c r="L11" s="19">
        <v>111.3</v>
      </c>
      <c r="M11" s="19">
        <v>36.6</v>
      </c>
      <c r="N11" s="21">
        <v>23.4</v>
      </c>
      <c r="O11" s="15">
        <f t="shared" si="0"/>
        <v>1826.6</v>
      </c>
      <c r="P11" s="22">
        <f t="shared" si="1"/>
        <v>152.19999999999999</v>
      </c>
      <c r="Q11" s="17"/>
    </row>
    <row r="12" spans="2:17" ht="21.95" customHeight="1">
      <c r="B12" s="18">
        <v>2000</v>
      </c>
      <c r="C12" s="19">
        <v>63</v>
      </c>
      <c r="D12" s="19">
        <v>2.9</v>
      </c>
      <c r="E12" s="19">
        <v>3.7</v>
      </c>
      <c r="F12" s="19">
        <v>38.1</v>
      </c>
      <c r="G12" s="19">
        <v>62.1</v>
      </c>
      <c r="H12" s="19">
        <v>204.4</v>
      </c>
      <c r="I12" s="19">
        <v>60.8</v>
      </c>
      <c r="J12" s="19">
        <v>608.1</v>
      </c>
      <c r="K12" s="19">
        <v>298.10000000000002</v>
      </c>
      <c r="L12" s="19">
        <v>34.4</v>
      </c>
      <c r="M12" s="19">
        <v>24.8</v>
      </c>
      <c r="N12" s="21">
        <v>24.4</v>
      </c>
      <c r="O12" s="15">
        <f t="shared" si="0"/>
        <v>1424.8</v>
      </c>
      <c r="P12" s="22">
        <f t="shared" si="1"/>
        <v>118.7</v>
      </c>
    </row>
    <row r="13" spans="2:17" ht="21.95" customHeight="1">
      <c r="B13" s="18">
        <v>2001</v>
      </c>
      <c r="C13" s="19">
        <v>66.900000000000006</v>
      </c>
      <c r="D13" s="19">
        <v>40.4</v>
      </c>
      <c r="E13" s="19">
        <v>12.7</v>
      </c>
      <c r="F13" s="19">
        <v>18.7</v>
      </c>
      <c r="G13" s="19">
        <v>17.8</v>
      </c>
      <c r="H13" s="19">
        <v>200.2</v>
      </c>
      <c r="I13" s="19">
        <v>402</v>
      </c>
      <c r="J13" s="19">
        <v>136.6</v>
      </c>
      <c r="K13" s="19">
        <v>15</v>
      </c>
      <c r="L13" s="19">
        <v>47.5</v>
      </c>
      <c r="M13" s="19">
        <v>8.1999999999999993</v>
      </c>
      <c r="N13" s="21">
        <v>20.8</v>
      </c>
      <c r="O13" s="15">
        <f t="shared" si="0"/>
        <v>986.8</v>
      </c>
      <c r="P13" s="22">
        <f t="shared" si="1"/>
        <v>82.2</v>
      </c>
    </row>
    <row r="14" spans="2:17" ht="21.95" customHeight="1">
      <c r="B14" s="18">
        <v>2002</v>
      </c>
      <c r="C14" s="19">
        <v>22.5</v>
      </c>
      <c r="D14" s="19">
        <v>7</v>
      </c>
      <c r="E14" s="19">
        <v>29.3</v>
      </c>
      <c r="F14" s="19">
        <v>179.5</v>
      </c>
      <c r="G14" s="19">
        <v>177.3</v>
      </c>
      <c r="H14" s="19">
        <v>60.8</v>
      </c>
      <c r="I14" s="19">
        <v>296.10000000000002</v>
      </c>
      <c r="J14" s="19">
        <v>428.2</v>
      </c>
      <c r="K14" s="19">
        <v>57.5</v>
      </c>
      <c r="L14" s="19">
        <v>78.3</v>
      </c>
      <c r="M14" s="19">
        <v>36.299999999999997</v>
      </c>
      <c r="N14" s="21">
        <v>14.8</v>
      </c>
      <c r="O14" s="15">
        <f t="shared" si="0"/>
        <v>1387.6</v>
      </c>
      <c r="P14" s="22">
        <f t="shared" si="1"/>
        <v>115.6</v>
      </c>
    </row>
    <row r="15" spans="2:17" ht="21.95" customHeight="1">
      <c r="B15" s="18">
        <v>2003</v>
      </c>
      <c r="C15" s="19">
        <v>20.9</v>
      </c>
      <c r="D15" s="19">
        <v>39</v>
      </c>
      <c r="E15" s="19">
        <v>22.5</v>
      </c>
      <c r="F15" s="19">
        <v>180</v>
      </c>
      <c r="G15" s="19">
        <v>105.5</v>
      </c>
      <c r="H15" s="19">
        <v>221.8</v>
      </c>
      <c r="I15" s="19">
        <v>290.2</v>
      </c>
      <c r="J15" s="19">
        <v>257.89999999999998</v>
      </c>
      <c r="K15" s="19">
        <v>201.9</v>
      </c>
      <c r="L15" s="19">
        <v>23</v>
      </c>
      <c r="M15" s="19">
        <v>53.6</v>
      </c>
      <c r="N15" s="21">
        <v>17.100000000000001</v>
      </c>
      <c r="O15" s="15">
        <f t="shared" si="0"/>
        <v>1433.4</v>
      </c>
      <c r="P15" s="22">
        <f t="shared" si="1"/>
        <v>119.5</v>
      </c>
    </row>
    <row r="16" spans="2:17" ht="21.95" customHeight="1">
      <c r="B16" s="18">
        <v>2004</v>
      </c>
      <c r="C16" s="19">
        <v>27.3</v>
      </c>
      <c r="D16" s="19">
        <v>26.3</v>
      </c>
      <c r="E16" s="19">
        <v>15.7</v>
      </c>
      <c r="F16" s="19">
        <v>80.2</v>
      </c>
      <c r="G16" s="19">
        <v>140.30000000000001</v>
      </c>
      <c r="H16" s="19">
        <v>211.1</v>
      </c>
      <c r="I16" s="19">
        <v>321.89999999999998</v>
      </c>
      <c r="J16" s="19">
        <v>131.19999999999999</v>
      </c>
      <c r="K16" s="19">
        <v>282.60000000000002</v>
      </c>
      <c r="L16" s="19">
        <v>1.8</v>
      </c>
      <c r="M16" s="19">
        <v>70.5</v>
      </c>
      <c r="N16" s="21">
        <v>32</v>
      </c>
      <c r="O16" s="15">
        <f t="shared" si="0"/>
        <v>1340.9</v>
      </c>
      <c r="P16" s="22">
        <f t="shared" si="1"/>
        <v>111.7</v>
      </c>
    </row>
    <row r="17" spans="2:16" ht="21.95" customHeight="1">
      <c r="B17" s="18">
        <v>2005</v>
      </c>
      <c r="C17" s="19">
        <v>10.4</v>
      </c>
      <c r="D17" s="19">
        <v>34</v>
      </c>
      <c r="E17" s="19">
        <v>36.1</v>
      </c>
      <c r="F17" s="19">
        <v>77.2</v>
      </c>
      <c r="G17" s="19">
        <v>56.1</v>
      </c>
      <c r="H17" s="19">
        <v>147</v>
      </c>
      <c r="I17" s="19">
        <v>386.1</v>
      </c>
      <c r="J17" s="19">
        <v>270.5</v>
      </c>
      <c r="K17" s="19">
        <v>228.7</v>
      </c>
      <c r="L17" s="19">
        <v>30.9</v>
      </c>
      <c r="M17" s="19">
        <v>19.600000000000001</v>
      </c>
      <c r="N17" s="21">
        <v>37.6</v>
      </c>
      <c r="O17" s="15">
        <f t="shared" si="0"/>
        <v>1334.2</v>
      </c>
      <c r="P17" s="22">
        <f t="shared" si="1"/>
        <v>111.2</v>
      </c>
    </row>
    <row r="18" spans="2:16" ht="21.95" customHeight="1">
      <c r="B18" s="18">
        <v>2006</v>
      </c>
      <c r="C18" s="19">
        <v>29.7</v>
      </c>
      <c r="D18" s="19">
        <v>18.899999999999999</v>
      </c>
      <c r="E18" s="19">
        <v>5</v>
      </c>
      <c r="F18" s="19">
        <v>77.3</v>
      </c>
      <c r="G18" s="19">
        <v>133.5</v>
      </c>
      <c r="H18" s="19">
        <v>226.8</v>
      </c>
      <c r="I18" s="19">
        <v>494.5</v>
      </c>
      <c r="J18" s="19">
        <v>58.2</v>
      </c>
      <c r="K18" s="19">
        <v>10.1</v>
      </c>
      <c r="L18" s="19">
        <v>10.5</v>
      </c>
      <c r="M18" s="19">
        <v>55</v>
      </c>
      <c r="N18" s="21">
        <v>19.7</v>
      </c>
      <c r="O18" s="15">
        <f t="shared" si="0"/>
        <v>1139.2</v>
      </c>
      <c r="P18" s="22">
        <f t="shared" si="1"/>
        <v>94.9</v>
      </c>
    </row>
    <row r="19" spans="2:16" ht="21.95" customHeight="1">
      <c r="B19" s="18">
        <v>2007</v>
      </c>
      <c r="C19" s="19">
        <v>13</v>
      </c>
      <c r="D19" s="19">
        <v>25.5</v>
      </c>
      <c r="E19" s="19">
        <v>127.2</v>
      </c>
      <c r="F19" s="19">
        <v>28.1</v>
      </c>
      <c r="G19" s="19">
        <v>108.5</v>
      </c>
      <c r="H19" s="19">
        <v>123.5</v>
      </c>
      <c r="I19" s="19">
        <v>257</v>
      </c>
      <c r="J19" s="19">
        <v>414.6</v>
      </c>
      <c r="K19" s="19">
        <v>305.8</v>
      </c>
      <c r="L19" s="19">
        <v>30.7</v>
      </c>
      <c r="M19" s="19">
        <v>14.4</v>
      </c>
      <c r="N19" s="21">
        <v>22.8</v>
      </c>
      <c r="O19" s="15">
        <f t="shared" si="0"/>
        <v>1471.1</v>
      </c>
      <c r="P19" s="22">
        <f t="shared" si="1"/>
        <v>122.6</v>
      </c>
    </row>
    <row r="20" spans="2:16" ht="21.95" customHeight="1">
      <c r="B20" s="18">
        <v>2008</v>
      </c>
      <c r="C20" s="19">
        <v>15</v>
      </c>
      <c r="D20" s="19">
        <v>7</v>
      </c>
      <c r="E20" s="19">
        <v>26</v>
      </c>
      <c r="F20" s="19">
        <v>46.1</v>
      </c>
      <c r="G20" s="19">
        <v>88.5</v>
      </c>
      <c r="H20" s="19">
        <v>118.1</v>
      </c>
      <c r="I20" s="19">
        <v>335.5</v>
      </c>
      <c r="J20" s="19">
        <v>114.2</v>
      </c>
      <c r="K20" s="19">
        <v>62.7</v>
      </c>
      <c r="L20" s="19">
        <v>34</v>
      </c>
      <c r="M20" s="19">
        <v>34.6</v>
      </c>
      <c r="N20" s="21">
        <v>27.9</v>
      </c>
      <c r="O20" s="15">
        <f t="shared" si="0"/>
        <v>909.6</v>
      </c>
      <c r="P20" s="22">
        <f t="shared" si="1"/>
        <v>75.8</v>
      </c>
    </row>
    <row r="21" spans="2:16" ht="21.95" customHeight="1">
      <c r="B21" s="18">
        <v>2009</v>
      </c>
      <c r="C21" s="19">
        <v>15.2</v>
      </c>
      <c r="D21" s="19">
        <v>26.5</v>
      </c>
      <c r="E21" s="19">
        <v>67</v>
      </c>
      <c r="F21" s="19">
        <v>43</v>
      </c>
      <c r="G21" s="19">
        <v>117.9</v>
      </c>
      <c r="H21" s="19">
        <v>74.900000000000006</v>
      </c>
      <c r="I21" s="19">
        <v>364.9</v>
      </c>
      <c r="J21" s="19">
        <v>196.3</v>
      </c>
      <c r="K21" s="19">
        <v>16</v>
      </c>
      <c r="L21" s="19">
        <v>49.2</v>
      </c>
      <c r="M21" s="19">
        <v>59.1</v>
      </c>
      <c r="N21" s="21">
        <v>44.3</v>
      </c>
      <c r="O21" s="15">
        <f t="shared" si="0"/>
        <v>1074.3</v>
      </c>
      <c r="P21" s="22">
        <f t="shared" si="1"/>
        <v>89.5</v>
      </c>
    </row>
    <row r="22" spans="2:16" ht="21.95" customHeight="1">
      <c r="B22" s="18">
        <v>2010</v>
      </c>
      <c r="C22" s="19">
        <v>55.5</v>
      </c>
      <c r="D22" s="19">
        <v>58.4</v>
      </c>
      <c r="E22" s="19">
        <v>79.2</v>
      </c>
      <c r="F22" s="19">
        <v>52.2</v>
      </c>
      <c r="G22" s="19">
        <v>168</v>
      </c>
      <c r="H22" s="19">
        <v>94.9</v>
      </c>
      <c r="I22" s="19">
        <v>447.1</v>
      </c>
      <c r="J22" s="19">
        <v>707</v>
      </c>
      <c r="K22" s="19">
        <v>402</v>
      </c>
      <c r="L22" s="19">
        <v>29.1</v>
      </c>
      <c r="M22" s="19">
        <v>12</v>
      </c>
      <c r="N22" s="21">
        <v>36.4</v>
      </c>
      <c r="O22" s="15">
        <f t="shared" si="0"/>
        <v>2141.8000000000002</v>
      </c>
      <c r="P22" s="22">
        <f t="shared" si="1"/>
        <v>178.5</v>
      </c>
    </row>
    <row r="23" spans="2:16" ht="21.95" customHeight="1">
      <c r="B23" s="18">
        <v>2011</v>
      </c>
      <c r="C23" s="19">
        <v>8.8000000000000007</v>
      </c>
      <c r="D23" s="19">
        <v>55.8</v>
      </c>
      <c r="E23" s="19">
        <v>34.5</v>
      </c>
      <c r="F23" s="19">
        <v>96.2</v>
      </c>
      <c r="G23" s="19">
        <v>107.9</v>
      </c>
      <c r="H23" s="19">
        <v>462.6</v>
      </c>
      <c r="I23" s="19">
        <v>656.5</v>
      </c>
      <c r="J23" s="19">
        <v>151.19999999999999</v>
      </c>
      <c r="K23" s="19">
        <v>50.3</v>
      </c>
      <c r="L23" s="19">
        <v>18.100000000000001</v>
      </c>
      <c r="M23" s="19">
        <v>48.9</v>
      </c>
      <c r="N23" s="21">
        <v>13.6</v>
      </c>
      <c r="O23" s="15">
        <f t="shared" si="0"/>
        <v>1704.4</v>
      </c>
      <c r="P23" s="22">
        <f t="shared" si="1"/>
        <v>142</v>
      </c>
    </row>
    <row r="24" spans="2:16" ht="21.95" customHeight="1">
      <c r="B24" s="18">
        <v>2012</v>
      </c>
      <c r="C24" s="19">
        <v>15.1</v>
      </c>
      <c r="D24" s="19">
        <v>2.4</v>
      </c>
      <c r="E24" s="19">
        <v>41.6</v>
      </c>
      <c r="F24" s="19">
        <v>113.5</v>
      </c>
      <c r="G24" s="19">
        <v>14.5</v>
      </c>
      <c r="H24" s="19">
        <v>91.1</v>
      </c>
      <c r="I24" s="19">
        <v>266.8</v>
      </c>
      <c r="J24" s="19">
        <v>647.9</v>
      </c>
      <c r="K24" s="19">
        <v>201.5</v>
      </c>
      <c r="L24" s="19">
        <v>100.7</v>
      </c>
      <c r="M24" s="19">
        <v>82.1</v>
      </c>
      <c r="N24" s="21">
        <v>65.400000000000006</v>
      </c>
      <c r="O24" s="15">
        <f t="shared" si="0"/>
        <v>1642.6</v>
      </c>
      <c r="P24" s="22">
        <f t="shared" si="1"/>
        <v>136.9</v>
      </c>
    </row>
    <row r="25" spans="2:16" ht="21.95" customHeight="1">
      <c r="B25" s="18">
        <v>2013</v>
      </c>
      <c r="C25" s="19">
        <v>36.799999999999997</v>
      </c>
      <c r="D25" s="19">
        <v>64.8</v>
      </c>
      <c r="E25" s="19">
        <v>60.8</v>
      </c>
      <c r="F25" s="19">
        <v>61.8</v>
      </c>
      <c r="G25" s="19">
        <v>114.9</v>
      </c>
      <c r="H25" s="19">
        <v>94.4</v>
      </c>
      <c r="I25" s="19">
        <v>213.8</v>
      </c>
      <c r="J25" s="19">
        <v>120.6</v>
      </c>
      <c r="K25" s="19">
        <v>147.4</v>
      </c>
      <c r="L25" s="19">
        <v>5.7</v>
      </c>
      <c r="M25" s="19">
        <v>64.900000000000006</v>
      </c>
      <c r="N25" s="21">
        <v>32.799999999999997</v>
      </c>
      <c r="O25" s="15">
        <f t="shared" si="0"/>
        <v>1018.7</v>
      </c>
      <c r="P25" s="22">
        <f t="shared" si="1"/>
        <v>84.9</v>
      </c>
    </row>
    <row r="26" spans="2:16" ht="21.95" customHeight="1">
      <c r="B26" s="18">
        <v>2014</v>
      </c>
      <c r="C26" s="19">
        <v>7</v>
      </c>
      <c r="D26" s="19">
        <v>17</v>
      </c>
      <c r="E26" s="19">
        <v>31.2</v>
      </c>
      <c r="F26" s="19">
        <v>85.6</v>
      </c>
      <c r="G26" s="19">
        <v>52.7</v>
      </c>
      <c r="H26" s="19">
        <v>69.3</v>
      </c>
      <c r="I26" s="19">
        <v>151.69999999999999</v>
      </c>
      <c r="J26" s="19">
        <v>242.3</v>
      </c>
      <c r="K26" s="19">
        <v>106.7</v>
      </c>
      <c r="L26" s="19">
        <v>117.2</v>
      </c>
      <c r="M26" s="19">
        <v>37.799999999999997</v>
      </c>
      <c r="N26" s="21">
        <v>81.599999999999994</v>
      </c>
      <c r="O26" s="15">
        <f t="shared" si="0"/>
        <v>1000.1</v>
      </c>
      <c r="P26" s="22">
        <f t="shared" si="1"/>
        <v>83.3</v>
      </c>
    </row>
    <row r="27" spans="2:16" ht="21.95" customHeight="1">
      <c r="B27" s="18">
        <v>2015</v>
      </c>
      <c r="C27" s="19">
        <v>20.7</v>
      </c>
      <c r="D27" s="19">
        <v>23.1</v>
      </c>
      <c r="E27" s="19">
        <v>20.6</v>
      </c>
      <c r="F27" s="19">
        <v>116.8</v>
      </c>
      <c r="G27" s="19">
        <v>40.6</v>
      </c>
      <c r="H27" s="19">
        <v>64.099999999999994</v>
      </c>
      <c r="I27" s="19">
        <v>158.5</v>
      </c>
      <c r="J27" s="19">
        <v>63.1</v>
      </c>
      <c r="K27" s="19">
        <v>15.1</v>
      </c>
      <c r="L27" s="19">
        <v>73.099999999999994</v>
      </c>
      <c r="M27" s="19">
        <v>156.6</v>
      </c>
      <c r="N27" s="21">
        <v>63.6</v>
      </c>
      <c r="O27" s="15">
        <f t="shared" si="0"/>
        <v>815.9</v>
      </c>
      <c r="P27" s="22">
        <f t="shared" si="1"/>
        <v>68</v>
      </c>
    </row>
    <row r="28" spans="2:16" ht="21.95" customHeight="1">
      <c r="B28" s="18">
        <v>2016</v>
      </c>
      <c r="C28" s="19">
        <v>21.9</v>
      </c>
      <c r="D28" s="19">
        <v>61.7</v>
      </c>
      <c r="E28" s="19">
        <v>24.3</v>
      </c>
      <c r="F28" s="19">
        <v>87</v>
      </c>
      <c r="G28" s="19">
        <v>153.69999999999999</v>
      </c>
      <c r="H28" s="19">
        <v>36.799999999999997</v>
      </c>
      <c r="I28" s="19">
        <v>295.60000000000002</v>
      </c>
      <c r="J28" s="19">
        <v>34</v>
      </c>
      <c r="K28" s="19">
        <v>53.1</v>
      </c>
      <c r="L28" s="19">
        <v>73.8</v>
      </c>
      <c r="M28" s="19">
        <v>17.5</v>
      </c>
      <c r="N28" s="21">
        <v>62.7</v>
      </c>
      <c r="O28" s="15">
        <f t="shared" si="0"/>
        <v>922.1</v>
      </c>
      <c r="P28" s="22">
        <f t="shared" si="1"/>
        <v>76.8</v>
      </c>
    </row>
    <row r="29" spans="2:16" ht="21.95" customHeight="1">
      <c r="B29" s="18">
        <v>2017</v>
      </c>
      <c r="C29" s="19">
        <v>21.3</v>
      </c>
      <c r="D29" s="19">
        <v>31.4</v>
      </c>
      <c r="E29" s="19">
        <v>4.8</v>
      </c>
      <c r="F29" s="19">
        <v>38.9</v>
      </c>
      <c r="G29" s="19">
        <v>27.9</v>
      </c>
      <c r="H29" s="19">
        <v>23.3</v>
      </c>
      <c r="I29" s="19">
        <v>327.8</v>
      </c>
      <c r="J29" s="19">
        <v>231.3</v>
      </c>
      <c r="K29" s="19">
        <v>37.6</v>
      </c>
      <c r="L29" s="19">
        <v>25.5</v>
      </c>
      <c r="M29" s="19">
        <v>24.7</v>
      </c>
      <c r="N29" s="21">
        <v>35.9</v>
      </c>
      <c r="O29" s="15">
        <f t="shared" si="0"/>
        <v>830.4</v>
      </c>
      <c r="P29" s="22">
        <f t="shared" si="1"/>
        <v>69.2</v>
      </c>
    </row>
    <row r="30" spans="2:16" ht="21.95" customHeight="1">
      <c r="B30" s="18">
        <v>2018</v>
      </c>
      <c r="C30" s="19">
        <v>21</v>
      </c>
      <c r="D30" s="19">
        <v>40.5</v>
      </c>
      <c r="E30" s="19">
        <v>76.599999999999994</v>
      </c>
      <c r="F30" s="19">
        <v>132.80000000000001</v>
      </c>
      <c r="G30" s="19">
        <v>147.69999999999999</v>
      </c>
      <c r="H30" s="19">
        <v>162.30000000000001</v>
      </c>
      <c r="I30" s="19">
        <v>152.9</v>
      </c>
      <c r="J30" s="19">
        <v>156.80000000000001</v>
      </c>
      <c r="K30" s="19">
        <v>82.7</v>
      </c>
      <c r="L30" s="19">
        <v>153.19999999999999</v>
      </c>
      <c r="M30" s="19">
        <v>73.900000000000006</v>
      </c>
      <c r="N30" s="21">
        <v>26.8</v>
      </c>
      <c r="O30" s="15">
        <f t="shared" si="0"/>
        <v>1227.2</v>
      </c>
      <c r="P30" s="22">
        <f t="shared" si="1"/>
        <v>102.3</v>
      </c>
    </row>
    <row r="31" spans="2:16" ht="21.95" customHeight="1">
      <c r="B31" s="18">
        <v>2019</v>
      </c>
      <c r="C31" s="19">
        <v>1.1000000000000001</v>
      </c>
      <c r="D31" s="19">
        <v>30.2</v>
      </c>
      <c r="E31" s="19">
        <v>43.7</v>
      </c>
      <c r="F31" s="19">
        <v>43.9</v>
      </c>
      <c r="G31" s="19">
        <v>20.100000000000001</v>
      </c>
      <c r="H31" s="19">
        <v>56.3</v>
      </c>
      <c r="I31" s="19">
        <v>174.5</v>
      </c>
      <c r="J31" s="19">
        <v>121.1</v>
      </c>
      <c r="K31" s="19">
        <v>181.1</v>
      </c>
      <c r="L31" s="19">
        <v>81</v>
      </c>
      <c r="M31" s="19">
        <v>124.6</v>
      </c>
      <c r="N31" s="21">
        <v>37.4</v>
      </c>
      <c r="O31" s="15">
        <f t="shared" si="0"/>
        <v>915</v>
      </c>
      <c r="P31" s="22">
        <f t="shared" si="1"/>
        <v>76.3</v>
      </c>
    </row>
    <row r="32" spans="2:16" ht="21.95" customHeight="1">
      <c r="B32" s="18">
        <v>2020</v>
      </c>
      <c r="C32" s="19">
        <v>46</v>
      </c>
      <c r="D32" s="19">
        <v>72.3</v>
      </c>
      <c r="E32" s="19">
        <v>23</v>
      </c>
      <c r="F32" s="19">
        <v>20.7</v>
      </c>
      <c r="G32" s="19">
        <v>101.3</v>
      </c>
      <c r="H32" s="19">
        <v>144</v>
      </c>
      <c r="I32" s="19">
        <v>329.4</v>
      </c>
      <c r="J32" s="19">
        <v>400</v>
      </c>
      <c r="K32" s="19">
        <v>257.7</v>
      </c>
      <c r="L32" s="19">
        <v>12.6</v>
      </c>
      <c r="M32" s="19">
        <v>72</v>
      </c>
      <c r="N32" s="21">
        <v>9.6999999999999993</v>
      </c>
      <c r="O32" s="15">
        <f t="shared" si="0"/>
        <v>1488.7</v>
      </c>
      <c r="P32" s="22">
        <f t="shared" si="1"/>
        <v>124.1</v>
      </c>
    </row>
    <row r="33" spans="2:16" ht="21.95" customHeight="1">
      <c r="B33" s="18">
        <v>2021</v>
      </c>
      <c r="C33" s="19">
        <v>25.3</v>
      </c>
      <c r="D33" s="19">
        <v>9.6</v>
      </c>
      <c r="E33" s="19">
        <v>112.8</v>
      </c>
      <c r="F33" s="19">
        <v>110.6</v>
      </c>
      <c r="G33" s="19">
        <v>132.30000000000001</v>
      </c>
      <c r="H33" s="19">
        <v>70.900000000000006</v>
      </c>
      <c r="I33" s="19">
        <v>121.6</v>
      </c>
      <c r="J33" s="19">
        <v>217.8</v>
      </c>
      <c r="K33" s="19">
        <v>206</v>
      </c>
      <c r="L33" s="19">
        <v>55.9</v>
      </c>
      <c r="M33" s="19">
        <v>126.2</v>
      </c>
      <c r="N33" s="21">
        <v>18.3</v>
      </c>
      <c r="O33" s="15">
        <f t="shared" si="0"/>
        <v>1207.3</v>
      </c>
      <c r="P33" s="22">
        <f t="shared" si="1"/>
        <v>100.6</v>
      </c>
    </row>
    <row r="34" spans="2:16" ht="21.95" customHeight="1">
      <c r="B34" s="18">
        <v>2022</v>
      </c>
      <c r="C34" s="19">
        <v>8.6</v>
      </c>
      <c r="D34" s="19">
        <v>4.7</v>
      </c>
      <c r="E34" s="19">
        <v>72.099999999999994</v>
      </c>
      <c r="F34" s="19">
        <v>52.2</v>
      </c>
      <c r="G34" s="19">
        <v>2.9</v>
      </c>
      <c r="H34" s="19">
        <v>352.4</v>
      </c>
      <c r="I34" s="19">
        <v>178.4</v>
      </c>
      <c r="J34" s="19">
        <v>468.7</v>
      </c>
      <c r="K34" s="19">
        <v>165.9</v>
      </c>
      <c r="L34" s="19">
        <v>160</v>
      </c>
      <c r="M34" s="19">
        <v>72.900000000000006</v>
      </c>
      <c r="N34" s="21">
        <v>31.9</v>
      </c>
      <c r="O34" s="15">
        <f t="shared" si="0"/>
        <v>1570.7</v>
      </c>
      <c r="P34" s="22">
        <f t="shared" si="1"/>
        <v>130.9</v>
      </c>
    </row>
    <row r="35" spans="2:16" ht="21.95" customHeight="1" thickBot="1">
      <c r="B35" s="38">
        <v>2023</v>
      </c>
      <c r="C35" s="39">
        <v>30.5</v>
      </c>
      <c r="D35" s="39">
        <v>0.1</v>
      </c>
      <c r="E35" s="39">
        <v>6.4</v>
      </c>
      <c r="F35" s="39">
        <v>54.6</v>
      </c>
      <c r="G35" s="39">
        <v>132.9</v>
      </c>
      <c r="H35" s="39">
        <v>138.1</v>
      </c>
      <c r="I35" s="39">
        <v>507</v>
      </c>
      <c r="J35" s="39">
        <v>225</v>
      </c>
      <c r="K35" s="39">
        <v>166.1</v>
      </c>
      <c r="L35" s="39">
        <v>39.6</v>
      </c>
      <c r="M35" s="39">
        <v>122.9</v>
      </c>
      <c r="N35" s="40">
        <v>103.5</v>
      </c>
      <c r="O35" s="41">
        <f t="shared" si="0"/>
        <v>1526.7</v>
      </c>
      <c r="P35" s="42">
        <f t="shared" si="1"/>
        <v>127.2</v>
      </c>
    </row>
    <row r="36" spans="2:16" ht="21.95" customHeight="1">
      <c r="B36" s="43" t="s">
        <v>13</v>
      </c>
      <c r="C36" s="44">
        <f>ROUND(MAX(C6:C35),1)</f>
        <v>66.900000000000006</v>
      </c>
      <c r="D36" s="44">
        <f t="shared" ref="D36:N36" si="2">ROUND(MAX(D6:D35),1)</f>
        <v>72.3</v>
      </c>
      <c r="E36" s="44">
        <f t="shared" si="2"/>
        <v>127.2</v>
      </c>
      <c r="F36" s="44">
        <f t="shared" si="2"/>
        <v>180</v>
      </c>
      <c r="G36" s="44">
        <f t="shared" si="2"/>
        <v>232.8</v>
      </c>
      <c r="H36" s="44">
        <f t="shared" si="2"/>
        <v>462.6</v>
      </c>
      <c r="I36" s="44">
        <f t="shared" si="2"/>
        <v>656.5</v>
      </c>
      <c r="J36" s="44">
        <f t="shared" si="2"/>
        <v>992.7</v>
      </c>
      <c r="K36" s="44">
        <f t="shared" si="2"/>
        <v>532.6</v>
      </c>
      <c r="L36" s="44">
        <f t="shared" si="2"/>
        <v>216.3</v>
      </c>
      <c r="M36" s="44">
        <f t="shared" si="2"/>
        <v>156.6</v>
      </c>
      <c r="N36" s="45">
        <f t="shared" si="2"/>
        <v>103.5</v>
      </c>
      <c r="O36" s="46">
        <f>ROUND(MAX(O6:O35),1)</f>
        <v>2141.8000000000002</v>
      </c>
      <c r="P36" s="47">
        <f>ROUND(MAX(P6:P35),1)</f>
        <v>178.5</v>
      </c>
    </row>
    <row r="37" spans="2:16" ht="21.95" customHeight="1">
      <c r="B37" s="48" t="s">
        <v>14</v>
      </c>
      <c r="C37" s="49">
        <f>ROUND(MIN(C6:C35),1)</f>
        <v>1.1000000000000001</v>
      </c>
      <c r="D37" s="49">
        <f t="shared" ref="D37:N37" si="3">ROUND(MIN(D6:D35),1)</f>
        <v>0.1</v>
      </c>
      <c r="E37" s="49">
        <f t="shared" si="3"/>
        <v>3.7</v>
      </c>
      <c r="F37" s="49">
        <f t="shared" si="3"/>
        <v>18.7</v>
      </c>
      <c r="G37" s="49">
        <f t="shared" si="3"/>
        <v>2.9</v>
      </c>
      <c r="H37" s="49">
        <f t="shared" si="3"/>
        <v>23.3</v>
      </c>
      <c r="I37" s="49">
        <f t="shared" si="3"/>
        <v>60.8</v>
      </c>
      <c r="J37" s="49">
        <f t="shared" si="3"/>
        <v>34</v>
      </c>
      <c r="K37" s="49">
        <f t="shared" si="3"/>
        <v>6.4</v>
      </c>
      <c r="L37" s="49">
        <f t="shared" si="3"/>
        <v>1.8</v>
      </c>
      <c r="M37" s="49">
        <f t="shared" si="3"/>
        <v>8.1999999999999993</v>
      </c>
      <c r="N37" s="22">
        <f t="shared" si="3"/>
        <v>9.1999999999999993</v>
      </c>
      <c r="O37" s="50">
        <f>ROUND(MIN(O6:O35),1)</f>
        <v>815.9</v>
      </c>
      <c r="P37" s="51">
        <f>ROUND(MIN(P6:P35),1)</f>
        <v>68</v>
      </c>
    </row>
    <row r="38" spans="2:16" ht="21.95" customHeight="1" thickBot="1">
      <c r="B38" s="52" t="s">
        <v>18</v>
      </c>
      <c r="C38" s="53">
        <f>ROUND(AVERAGE(C6:C35),1)</f>
        <v>24.6</v>
      </c>
      <c r="D38" s="53">
        <f t="shared" ref="D38:P38" si="4">ROUND(AVERAGE(D6:D35),1)</f>
        <v>27.1</v>
      </c>
      <c r="E38" s="53">
        <f t="shared" si="4"/>
        <v>44</v>
      </c>
      <c r="F38" s="53">
        <f t="shared" si="4"/>
        <v>76.099999999999994</v>
      </c>
      <c r="G38" s="53">
        <f t="shared" si="4"/>
        <v>99.2</v>
      </c>
      <c r="H38" s="53">
        <f t="shared" si="4"/>
        <v>147.1</v>
      </c>
      <c r="I38" s="53">
        <f t="shared" si="4"/>
        <v>278.8</v>
      </c>
      <c r="J38" s="53">
        <f t="shared" si="4"/>
        <v>295.2</v>
      </c>
      <c r="K38" s="53">
        <f t="shared" si="4"/>
        <v>146.5</v>
      </c>
      <c r="L38" s="53">
        <f t="shared" si="4"/>
        <v>58.6</v>
      </c>
      <c r="M38" s="53">
        <f t="shared" si="4"/>
        <v>58.9</v>
      </c>
      <c r="N38" s="54">
        <f t="shared" si="4"/>
        <v>34.700000000000003</v>
      </c>
      <c r="O38" s="55">
        <f t="shared" si="4"/>
        <v>1290.7</v>
      </c>
      <c r="P38" s="56">
        <f t="shared" si="4"/>
        <v>107.6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7</v>
      </c>
      <c r="D44" s="62">
        <f t="shared" si="5"/>
        <v>17</v>
      </c>
      <c r="E44" s="62">
        <f t="shared" si="5"/>
        <v>31.2</v>
      </c>
      <c r="F44" s="62">
        <f t="shared" si="5"/>
        <v>85.6</v>
      </c>
      <c r="G44" s="62">
        <f t="shared" si="5"/>
        <v>52.7</v>
      </c>
      <c r="H44" s="62">
        <f t="shared" si="5"/>
        <v>69.3</v>
      </c>
      <c r="I44" s="62">
        <f t="shared" si="5"/>
        <v>151.69999999999999</v>
      </c>
      <c r="J44" s="62">
        <f t="shared" si="5"/>
        <v>242.3</v>
      </c>
      <c r="K44" s="62">
        <f t="shared" si="5"/>
        <v>106.7</v>
      </c>
      <c r="L44" s="62">
        <f t="shared" si="5"/>
        <v>117.2</v>
      </c>
      <c r="M44" s="62">
        <f t="shared" si="5"/>
        <v>37.799999999999997</v>
      </c>
      <c r="N44" s="63">
        <f t="shared" si="5"/>
        <v>81.599999999999994</v>
      </c>
      <c r="O44" s="64">
        <f>ROUND(SUM(C44:N44),1)</f>
        <v>1000.1</v>
      </c>
      <c r="P44" s="51">
        <f>ROUND(O44/12,1)</f>
        <v>83.3</v>
      </c>
    </row>
    <row r="45" spans="2:16" ht="21.95" customHeight="1">
      <c r="B45" s="61">
        <f t="shared" ref="B45:N53" si="6">B27</f>
        <v>2015</v>
      </c>
      <c r="C45" s="62">
        <f t="shared" si="6"/>
        <v>20.7</v>
      </c>
      <c r="D45" s="62">
        <f t="shared" si="6"/>
        <v>23.1</v>
      </c>
      <c r="E45" s="62">
        <f t="shared" si="6"/>
        <v>20.6</v>
      </c>
      <c r="F45" s="62">
        <f t="shared" si="6"/>
        <v>116.8</v>
      </c>
      <c r="G45" s="62">
        <f t="shared" si="6"/>
        <v>40.6</v>
      </c>
      <c r="H45" s="62">
        <f t="shared" si="6"/>
        <v>64.099999999999994</v>
      </c>
      <c r="I45" s="62">
        <f t="shared" si="6"/>
        <v>158.5</v>
      </c>
      <c r="J45" s="62">
        <f t="shared" si="6"/>
        <v>63.1</v>
      </c>
      <c r="K45" s="62">
        <f t="shared" si="6"/>
        <v>15.1</v>
      </c>
      <c r="L45" s="62">
        <f t="shared" si="6"/>
        <v>73.099999999999994</v>
      </c>
      <c r="M45" s="62">
        <f t="shared" si="6"/>
        <v>156.6</v>
      </c>
      <c r="N45" s="63">
        <f t="shared" si="6"/>
        <v>63.6</v>
      </c>
      <c r="O45" s="64">
        <f t="shared" ref="O45:O53" si="7">ROUND(SUM(C45:N45),1)</f>
        <v>815.9</v>
      </c>
      <c r="P45" s="51">
        <f t="shared" ref="P45:P53" si="8">ROUND(O45/12,1)</f>
        <v>68</v>
      </c>
    </row>
    <row r="46" spans="2:16" ht="21.95" customHeight="1">
      <c r="B46" s="61">
        <f t="shared" si="6"/>
        <v>2016</v>
      </c>
      <c r="C46" s="62">
        <f t="shared" si="6"/>
        <v>21.9</v>
      </c>
      <c r="D46" s="62">
        <f t="shared" si="6"/>
        <v>61.7</v>
      </c>
      <c r="E46" s="62">
        <f t="shared" si="6"/>
        <v>24.3</v>
      </c>
      <c r="F46" s="62">
        <f t="shared" si="6"/>
        <v>87</v>
      </c>
      <c r="G46" s="62">
        <f t="shared" si="6"/>
        <v>153.69999999999999</v>
      </c>
      <c r="H46" s="62">
        <f t="shared" si="6"/>
        <v>36.799999999999997</v>
      </c>
      <c r="I46" s="62">
        <f t="shared" si="6"/>
        <v>295.60000000000002</v>
      </c>
      <c r="J46" s="62">
        <f t="shared" si="6"/>
        <v>34</v>
      </c>
      <c r="K46" s="62">
        <f t="shared" si="6"/>
        <v>53.1</v>
      </c>
      <c r="L46" s="62">
        <f t="shared" si="6"/>
        <v>73.8</v>
      </c>
      <c r="M46" s="62">
        <f t="shared" si="6"/>
        <v>17.5</v>
      </c>
      <c r="N46" s="63">
        <f t="shared" si="6"/>
        <v>62.7</v>
      </c>
      <c r="O46" s="64">
        <f t="shared" si="7"/>
        <v>922.1</v>
      </c>
      <c r="P46" s="51">
        <f t="shared" si="8"/>
        <v>76.8</v>
      </c>
    </row>
    <row r="47" spans="2:16" ht="21.95" customHeight="1">
      <c r="B47" s="61">
        <f t="shared" si="6"/>
        <v>2017</v>
      </c>
      <c r="C47" s="62">
        <f t="shared" si="6"/>
        <v>21.3</v>
      </c>
      <c r="D47" s="62">
        <f t="shared" si="6"/>
        <v>31.4</v>
      </c>
      <c r="E47" s="62">
        <f t="shared" si="6"/>
        <v>4.8</v>
      </c>
      <c r="F47" s="62">
        <f t="shared" si="6"/>
        <v>38.9</v>
      </c>
      <c r="G47" s="62">
        <f t="shared" si="6"/>
        <v>27.9</v>
      </c>
      <c r="H47" s="62">
        <f t="shared" si="6"/>
        <v>23.3</v>
      </c>
      <c r="I47" s="62">
        <f t="shared" si="6"/>
        <v>327.8</v>
      </c>
      <c r="J47" s="62">
        <f t="shared" si="6"/>
        <v>231.3</v>
      </c>
      <c r="K47" s="62">
        <f t="shared" si="6"/>
        <v>37.6</v>
      </c>
      <c r="L47" s="62">
        <f t="shared" si="6"/>
        <v>25.5</v>
      </c>
      <c r="M47" s="62">
        <f t="shared" si="6"/>
        <v>24.7</v>
      </c>
      <c r="N47" s="63">
        <f t="shared" si="6"/>
        <v>35.9</v>
      </c>
      <c r="O47" s="64">
        <f>ROUND(SUM(C47:N47),1)</f>
        <v>830.4</v>
      </c>
      <c r="P47" s="51">
        <f t="shared" si="8"/>
        <v>69.2</v>
      </c>
    </row>
    <row r="48" spans="2:16" ht="21.95" customHeight="1">
      <c r="B48" s="61">
        <f t="shared" si="6"/>
        <v>2018</v>
      </c>
      <c r="C48" s="62">
        <f t="shared" si="6"/>
        <v>21</v>
      </c>
      <c r="D48" s="62">
        <f t="shared" si="6"/>
        <v>40.5</v>
      </c>
      <c r="E48" s="62">
        <f t="shared" si="6"/>
        <v>76.599999999999994</v>
      </c>
      <c r="F48" s="62">
        <f t="shared" si="6"/>
        <v>132.80000000000001</v>
      </c>
      <c r="G48" s="62">
        <f t="shared" si="6"/>
        <v>147.69999999999999</v>
      </c>
      <c r="H48" s="62">
        <f t="shared" si="6"/>
        <v>162.30000000000001</v>
      </c>
      <c r="I48" s="62">
        <f t="shared" si="6"/>
        <v>152.9</v>
      </c>
      <c r="J48" s="62">
        <f t="shared" si="6"/>
        <v>156.80000000000001</v>
      </c>
      <c r="K48" s="62">
        <f t="shared" si="6"/>
        <v>82.7</v>
      </c>
      <c r="L48" s="62">
        <f t="shared" si="6"/>
        <v>153.19999999999999</v>
      </c>
      <c r="M48" s="62">
        <f t="shared" si="6"/>
        <v>73.900000000000006</v>
      </c>
      <c r="N48" s="63">
        <f t="shared" si="6"/>
        <v>26.8</v>
      </c>
      <c r="O48" s="64">
        <f t="shared" si="7"/>
        <v>1227.2</v>
      </c>
      <c r="P48" s="51">
        <f t="shared" si="8"/>
        <v>102.3</v>
      </c>
    </row>
    <row r="49" spans="2:16" ht="21.95" customHeight="1">
      <c r="B49" s="61">
        <f t="shared" si="6"/>
        <v>2019</v>
      </c>
      <c r="C49" s="62">
        <f t="shared" si="6"/>
        <v>1.1000000000000001</v>
      </c>
      <c r="D49" s="62">
        <f t="shared" si="6"/>
        <v>30.2</v>
      </c>
      <c r="E49" s="62">
        <f t="shared" si="6"/>
        <v>43.7</v>
      </c>
      <c r="F49" s="62">
        <f t="shared" si="6"/>
        <v>43.9</v>
      </c>
      <c r="G49" s="62">
        <f t="shared" si="6"/>
        <v>20.100000000000001</v>
      </c>
      <c r="H49" s="62">
        <f t="shared" si="6"/>
        <v>56.3</v>
      </c>
      <c r="I49" s="62">
        <f t="shared" si="6"/>
        <v>174.5</v>
      </c>
      <c r="J49" s="62">
        <f t="shared" si="6"/>
        <v>121.1</v>
      </c>
      <c r="K49" s="62">
        <f t="shared" si="6"/>
        <v>181.1</v>
      </c>
      <c r="L49" s="62">
        <f t="shared" si="6"/>
        <v>81</v>
      </c>
      <c r="M49" s="62">
        <f t="shared" si="6"/>
        <v>124.6</v>
      </c>
      <c r="N49" s="63">
        <f t="shared" si="6"/>
        <v>37.4</v>
      </c>
      <c r="O49" s="64">
        <f t="shared" si="7"/>
        <v>915</v>
      </c>
      <c r="P49" s="51">
        <f t="shared" si="8"/>
        <v>76.3</v>
      </c>
    </row>
    <row r="50" spans="2:16" ht="21.95" customHeight="1">
      <c r="B50" s="61">
        <f t="shared" si="6"/>
        <v>2020</v>
      </c>
      <c r="C50" s="62">
        <f t="shared" si="6"/>
        <v>46</v>
      </c>
      <c r="D50" s="62">
        <f t="shared" si="6"/>
        <v>72.3</v>
      </c>
      <c r="E50" s="62">
        <f t="shared" si="6"/>
        <v>23</v>
      </c>
      <c r="F50" s="62">
        <f t="shared" si="6"/>
        <v>20.7</v>
      </c>
      <c r="G50" s="62">
        <f t="shared" si="6"/>
        <v>101.3</v>
      </c>
      <c r="H50" s="62">
        <f t="shared" si="6"/>
        <v>144</v>
      </c>
      <c r="I50" s="62">
        <f t="shared" si="6"/>
        <v>329.4</v>
      </c>
      <c r="J50" s="62">
        <f t="shared" si="6"/>
        <v>400</v>
      </c>
      <c r="K50" s="62">
        <f t="shared" si="6"/>
        <v>257.7</v>
      </c>
      <c r="L50" s="62">
        <f t="shared" si="6"/>
        <v>12.6</v>
      </c>
      <c r="M50" s="62">
        <f t="shared" si="6"/>
        <v>72</v>
      </c>
      <c r="N50" s="63">
        <f t="shared" si="6"/>
        <v>9.6999999999999993</v>
      </c>
      <c r="O50" s="64">
        <f t="shared" si="7"/>
        <v>1488.7</v>
      </c>
      <c r="P50" s="51">
        <f t="shared" si="8"/>
        <v>124.1</v>
      </c>
    </row>
    <row r="51" spans="2:16" ht="21.95" customHeight="1">
      <c r="B51" s="61">
        <f t="shared" si="6"/>
        <v>2021</v>
      </c>
      <c r="C51" s="62">
        <f t="shared" si="6"/>
        <v>25.3</v>
      </c>
      <c r="D51" s="62">
        <f t="shared" si="6"/>
        <v>9.6</v>
      </c>
      <c r="E51" s="62">
        <f t="shared" si="6"/>
        <v>112.8</v>
      </c>
      <c r="F51" s="62">
        <f t="shared" si="6"/>
        <v>110.6</v>
      </c>
      <c r="G51" s="62">
        <f t="shared" si="6"/>
        <v>132.30000000000001</v>
      </c>
      <c r="H51" s="62">
        <f t="shared" si="6"/>
        <v>70.900000000000006</v>
      </c>
      <c r="I51" s="62">
        <f t="shared" si="6"/>
        <v>121.6</v>
      </c>
      <c r="J51" s="62">
        <f t="shared" si="6"/>
        <v>217.8</v>
      </c>
      <c r="K51" s="62">
        <f t="shared" si="6"/>
        <v>206</v>
      </c>
      <c r="L51" s="62">
        <f t="shared" si="6"/>
        <v>55.9</v>
      </c>
      <c r="M51" s="62">
        <f t="shared" si="6"/>
        <v>126.2</v>
      </c>
      <c r="N51" s="63">
        <f t="shared" si="6"/>
        <v>18.3</v>
      </c>
      <c r="O51" s="64">
        <f t="shared" si="7"/>
        <v>1207.3</v>
      </c>
      <c r="P51" s="51">
        <f t="shared" si="8"/>
        <v>100.6</v>
      </c>
    </row>
    <row r="52" spans="2:16" ht="21.95" customHeight="1">
      <c r="B52" s="61">
        <f t="shared" si="6"/>
        <v>2022</v>
      </c>
      <c r="C52" s="62">
        <f t="shared" si="6"/>
        <v>8.6</v>
      </c>
      <c r="D52" s="62">
        <f t="shared" si="6"/>
        <v>4.7</v>
      </c>
      <c r="E52" s="62">
        <f t="shared" si="6"/>
        <v>72.099999999999994</v>
      </c>
      <c r="F52" s="62">
        <f t="shared" si="6"/>
        <v>52.2</v>
      </c>
      <c r="G52" s="62">
        <f t="shared" si="6"/>
        <v>2.9</v>
      </c>
      <c r="H52" s="62">
        <f t="shared" si="6"/>
        <v>352.4</v>
      </c>
      <c r="I52" s="62">
        <f t="shared" si="6"/>
        <v>178.4</v>
      </c>
      <c r="J52" s="62">
        <f t="shared" si="6"/>
        <v>468.7</v>
      </c>
      <c r="K52" s="62">
        <f t="shared" si="6"/>
        <v>165.9</v>
      </c>
      <c r="L52" s="62">
        <f t="shared" si="6"/>
        <v>160</v>
      </c>
      <c r="M52" s="62">
        <f t="shared" si="6"/>
        <v>72.900000000000006</v>
      </c>
      <c r="N52" s="63">
        <f t="shared" si="6"/>
        <v>31.9</v>
      </c>
      <c r="O52" s="64">
        <f t="shared" si="7"/>
        <v>1570.7</v>
      </c>
      <c r="P52" s="51">
        <f t="shared" si="8"/>
        <v>130.9</v>
      </c>
    </row>
    <row r="53" spans="2:16" ht="21.95" customHeight="1" thickBot="1">
      <c r="B53" s="65">
        <f t="shared" si="6"/>
        <v>2023</v>
      </c>
      <c r="C53" s="66">
        <f t="shared" si="6"/>
        <v>30.5</v>
      </c>
      <c r="D53" s="66">
        <f t="shared" si="6"/>
        <v>0.1</v>
      </c>
      <c r="E53" s="66">
        <f t="shared" si="6"/>
        <v>6.4</v>
      </c>
      <c r="F53" s="66">
        <f t="shared" si="6"/>
        <v>54.6</v>
      </c>
      <c r="G53" s="66">
        <f t="shared" si="6"/>
        <v>132.9</v>
      </c>
      <c r="H53" s="66">
        <f t="shared" si="6"/>
        <v>138.1</v>
      </c>
      <c r="I53" s="66">
        <f t="shared" si="6"/>
        <v>507</v>
      </c>
      <c r="J53" s="66">
        <f t="shared" si="6"/>
        <v>225</v>
      </c>
      <c r="K53" s="66">
        <f t="shared" si="6"/>
        <v>166.1</v>
      </c>
      <c r="L53" s="66">
        <f t="shared" si="6"/>
        <v>39.6</v>
      </c>
      <c r="M53" s="66">
        <f t="shared" si="6"/>
        <v>122.9</v>
      </c>
      <c r="N53" s="67">
        <f t="shared" si="6"/>
        <v>103.5</v>
      </c>
      <c r="O53" s="68">
        <f t="shared" si="7"/>
        <v>1526.7</v>
      </c>
      <c r="P53" s="56">
        <f t="shared" si="8"/>
        <v>127.2</v>
      </c>
    </row>
    <row r="54" spans="2:16" ht="21.95" customHeight="1">
      <c r="B54" s="69" t="s">
        <v>19</v>
      </c>
      <c r="C54" s="70">
        <f>MAX(C44:C53)</f>
        <v>46</v>
      </c>
      <c r="D54" s="70">
        <f t="shared" ref="D54:P54" si="9">MAX(D44:D53)</f>
        <v>72.3</v>
      </c>
      <c r="E54" s="70">
        <f t="shared" si="9"/>
        <v>112.8</v>
      </c>
      <c r="F54" s="70">
        <f t="shared" si="9"/>
        <v>132.80000000000001</v>
      </c>
      <c r="G54" s="70">
        <f t="shared" si="9"/>
        <v>153.69999999999999</v>
      </c>
      <c r="H54" s="70">
        <f t="shared" si="9"/>
        <v>352.4</v>
      </c>
      <c r="I54" s="70">
        <f t="shared" si="9"/>
        <v>507</v>
      </c>
      <c r="J54" s="70">
        <f t="shared" si="9"/>
        <v>468.7</v>
      </c>
      <c r="K54" s="70">
        <f t="shared" si="9"/>
        <v>257.7</v>
      </c>
      <c r="L54" s="70">
        <f t="shared" si="9"/>
        <v>160</v>
      </c>
      <c r="M54" s="70">
        <f t="shared" si="9"/>
        <v>156.6</v>
      </c>
      <c r="N54" s="71">
        <f t="shared" si="9"/>
        <v>103.5</v>
      </c>
      <c r="O54" s="72">
        <f t="shared" si="9"/>
        <v>1570.7</v>
      </c>
      <c r="P54" s="71">
        <f t="shared" si="9"/>
        <v>130.9</v>
      </c>
    </row>
    <row r="55" spans="2:16" ht="21.95" customHeight="1">
      <c r="B55" s="73" t="s">
        <v>20</v>
      </c>
      <c r="C55" s="74">
        <f>MIN(C44:C53)</f>
        <v>1.1000000000000001</v>
      </c>
      <c r="D55" s="74">
        <f t="shared" ref="D55:P55" si="10">MIN(D44:D53)</f>
        <v>0.1</v>
      </c>
      <c r="E55" s="74">
        <f t="shared" si="10"/>
        <v>4.8</v>
      </c>
      <c r="F55" s="74">
        <f t="shared" si="10"/>
        <v>20.7</v>
      </c>
      <c r="G55" s="74">
        <f t="shared" si="10"/>
        <v>2.9</v>
      </c>
      <c r="H55" s="74">
        <f t="shared" si="10"/>
        <v>23.3</v>
      </c>
      <c r="I55" s="74">
        <f t="shared" si="10"/>
        <v>121.6</v>
      </c>
      <c r="J55" s="74">
        <f t="shared" si="10"/>
        <v>34</v>
      </c>
      <c r="K55" s="74">
        <f t="shared" si="10"/>
        <v>15.1</v>
      </c>
      <c r="L55" s="74">
        <f t="shared" si="10"/>
        <v>12.6</v>
      </c>
      <c r="M55" s="74">
        <f t="shared" si="10"/>
        <v>17.5</v>
      </c>
      <c r="N55" s="51">
        <f t="shared" si="10"/>
        <v>9.6999999999999993</v>
      </c>
      <c r="O55" s="64">
        <f>MIN(O44:O53)</f>
        <v>815.9</v>
      </c>
      <c r="P55" s="51">
        <f t="shared" si="10"/>
        <v>68</v>
      </c>
    </row>
    <row r="56" spans="2:16" ht="21.95" customHeight="1" thickBot="1">
      <c r="B56" s="75" t="s">
        <v>7</v>
      </c>
      <c r="C56" s="76">
        <f>ROUND(AVERAGE(C44:C53),1)</f>
        <v>20.3</v>
      </c>
      <c r="D56" s="76">
        <f t="shared" ref="D56:N56" si="11">ROUND(AVERAGE(D44:D53),1)</f>
        <v>29.1</v>
      </c>
      <c r="E56" s="76">
        <f t="shared" si="11"/>
        <v>41.6</v>
      </c>
      <c r="F56" s="76">
        <f t="shared" si="11"/>
        <v>74.3</v>
      </c>
      <c r="G56" s="76">
        <f t="shared" si="11"/>
        <v>81.2</v>
      </c>
      <c r="H56" s="76">
        <f t="shared" si="11"/>
        <v>111.8</v>
      </c>
      <c r="I56" s="76">
        <f t="shared" si="11"/>
        <v>239.7</v>
      </c>
      <c r="J56" s="76">
        <f t="shared" si="11"/>
        <v>216</v>
      </c>
      <c r="K56" s="76">
        <f t="shared" si="11"/>
        <v>127.2</v>
      </c>
      <c r="L56" s="76">
        <f t="shared" si="11"/>
        <v>79.2</v>
      </c>
      <c r="M56" s="76">
        <f t="shared" si="11"/>
        <v>82.9</v>
      </c>
      <c r="N56" s="56">
        <f t="shared" si="11"/>
        <v>47.1</v>
      </c>
      <c r="O56" s="68">
        <f>ROUND(AVERAGE(O44:O53),1)</f>
        <v>1150.4000000000001</v>
      </c>
      <c r="P56" s="56">
        <f>ROUND(AVERAGE(P44:P53),1)</f>
        <v>95.9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87C8C2-ED47-4BBE-8CF2-C5B095828FC9}">
  <sheetPr codeName="Sheet17">
    <tabColor rgb="FF7030A0"/>
  </sheetPr>
  <dimension ref="A2:Q983"/>
  <sheetViews>
    <sheetView topLeftCell="A13" zoomScaleNormal="100" workbookViewId="0">
      <selection activeCell="Q10" sqref="Q10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259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18.5</v>
      </c>
      <c r="D6" s="12">
        <v>14.4</v>
      </c>
      <c r="E6" s="12">
        <v>54.4</v>
      </c>
      <c r="F6" s="12">
        <v>41</v>
      </c>
      <c r="G6" s="12">
        <v>137</v>
      </c>
      <c r="H6" s="12">
        <v>137.5</v>
      </c>
      <c r="I6" s="12">
        <v>96.5</v>
      </c>
      <c r="J6" s="13">
        <v>286.5</v>
      </c>
      <c r="K6" s="12">
        <v>34</v>
      </c>
      <c r="L6" s="12">
        <v>162</v>
      </c>
      <c r="M6" s="12">
        <v>23</v>
      </c>
      <c r="N6" s="14">
        <v>25</v>
      </c>
      <c r="O6" s="15">
        <f t="shared" ref="O6:O35" si="0">ROUND(SUM(C6:N6),1)</f>
        <v>1029.8</v>
      </c>
      <c r="P6" s="16">
        <f>ROUND(O6/12,1)</f>
        <v>85.8</v>
      </c>
      <c r="Q6" s="17"/>
    </row>
    <row r="7" spans="2:17" ht="21.95" customHeight="1">
      <c r="B7" s="18">
        <v>1995</v>
      </c>
      <c r="C7" s="19">
        <v>22.6</v>
      </c>
      <c r="D7" s="19">
        <v>23.5</v>
      </c>
      <c r="E7" s="19">
        <v>24.4</v>
      </c>
      <c r="F7" s="19">
        <v>62</v>
      </c>
      <c r="G7" s="19">
        <v>59.5</v>
      </c>
      <c r="H7" s="19">
        <v>34.5</v>
      </c>
      <c r="I7" s="19">
        <v>171.5</v>
      </c>
      <c r="J7" s="20">
        <v>839</v>
      </c>
      <c r="K7" s="19">
        <v>46.5</v>
      </c>
      <c r="L7" s="19">
        <v>22</v>
      </c>
      <c r="M7" s="19">
        <v>15</v>
      </c>
      <c r="N7" s="21">
        <v>5.7</v>
      </c>
      <c r="O7" s="15">
        <f t="shared" si="0"/>
        <v>1326.2</v>
      </c>
      <c r="P7" s="22">
        <f t="shared" ref="P7:P35" si="1">ROUND(O7/12,1)</f>
        <v>110.5</v>
      </c>
      <c r="Q7" s="17"/>
    </row>
    <row r="8" spans="2:17" ht="21.95" customHeight="1">
      <c r="B8" s="18">
        <v>1996</v>
      </c>
      <c r="C8" s="19">
        <v>26.4</v>
      </c>
      <c r="D8" s="19">
        <v>2.8</v>
      </c>
      <c r="E8" s="19">
        <v>131</v>
      </c>
      <c r="F8" s="19">
        <v>45</v>
      </c>
      <c r="G8" s="19">
        <v>33</v>
      </c>
      <c r="H8" s="19">
        <v>289</v>
      </c>
      <c r="I8" s="19">
        <v>235</v>
      </c>
      <c r="J8" s="19">
        <v>67</v>
      </c>
      <c r="K8" s="19">
        <v>16</v>
      </c>
      <c r="L8" s="19">
        <v>90.5</v>
      </c>
      <c r="M8" s="19">
        <v>76</v>
      </c>
      <c r="N8" s="21">
        <v>35</v>
      </c>
      <c r="O8" s="15">
        <f t="shared" si="0"/>
        <v>1046.7</v>
      </c>
      <c r="P8" s="22">
        <f t="shared" si="1"/>
        <v>87.2</v>
      </c>
      <c r="Q8" s="17"/>
    </row>
    <row r="9" spans="2:17" ht="21.95" customHeight="1">
      <c r="B9" s="18">
        <v>1997</v>
      </c>
      <c r="C9" s="19">
        <v>9</v>
      </c>
      <c r="D9" s="19">
        <v>54.9</v>
      </c>
      <c r="E9" s="19">
        <v>44</v>
      </c>
      <c r="F9" s="19">
        <v>70</v>
      </c>
      <c r="G9" s="19">
        <v>229.5</v>
      </c>
      <c r="H9" s="19">
        <v>236.5</v>
      </c>
      <c r="I9" s="19">
        <v>404.5</v>
      </c>
      <c r="J9" s="19">
        <v>263</v>
      </c>
      <c r="K9" s="19">
        <v>24.5</v>
      </c>
      <c r="L9" s="19">
        <v>8</v>
      </c>
      <c r="M9" s="19">
        <v>219.5</v>
      </c>
      <c r="N9" s="21">
        <v>39.5</v>
      </c>
      <c r="O9" s="15">
        <f t="shared" si="0"/>
        <v>1602.9</v>
      </c>
      <c r="P9" s="22">
        <f t="shared" si="1"/>
        <v>133.6</v>
      </c>
      <c r="Q9" s="17"/>
    </row>
    <row r="10" spans="2:17" ht="21.95" customHeight="1">
      <c r="B10" s="18">
        <v>1998</v>
      </c>
      <c r="C10" s="19">
        <v>40.6</v>
      </c>
      <c r="D10" s="19">
        <v>47</v>
      </c>
      <c r="E10" s="19">
        <v>45</v>
      </c>
      <c r="F10" s="19">
        <v>200.5</v>
      </c>
      <c r="G10" s="19">
        <v>130.5</v>
      </c>
      <c r="H10" s="19">
        <v>324</v>
      </c>
      <c r="I10" s="19">
        <v>323</v>
      </c>
      <c r="J10" s="19">
        <v>451.3</v>
      </c>
      <c r="K10" s="19">
        <v>313.10000000000002</v>
      </c>
      <c r="L10" s="19">
        <v>75.5</v>
      </c>
      <c r="M10" s="19">
        <v>46.3</v>
      </c>
      <c r="N10" s="21">
        <v>3.5</v>
      </c>
      <c r="O10" s="15">
        <f t="shared" si="0"/>
        <v>2000.3</v>
      </c>
      <c r="P10" s="22">
        <f t="shared" si="1"/>
        <v>166.7</v>
      </c>
      <c r="Q10" s="17"/>
    </row>
    <row r="11" spans="2:17" ht="21.95" customHeight="1">
      <c r="B11" s="18">
        <v>1999</v>
      </c>
      <c r="C11" s="19">
        <v>3.5</v>
      </c>
      <c r="D11" s="19">
        <v>10</v>
      </c>
      <c r="E11" s="19">
        <v>75.7</v>
      </c>
      <c r="F11" s="19">
        <v>92.5</v>
      </c>
      <c r="G11" s="19">
        <v>127.5</v>
      </c>
      <c r="H11" s="19">
        <v>203</v>
      </c>
      <c r="I11" s="19">
        <v>149</v>
      </c>
      <c r="J11" s="19">
        <v>119.5</v>
      </c>
      <c r="K11" s="19">
        <v>426</v>
      </c>
      <c r="L11" s="19">
        <v>290</v>
      </c>
      <c r="M11" s="19">
        <v>15.5</v>
      </c>
      <c r="N11" s="21">
        <v>17.399999999999999</v>
      </c>
      <c r="O11" s="15">
        <f t="shared" si="0"/>
        <v>1529.6</v>
      </c>
      <c r="P11" s="22">
        <f t="shared" si="1"/>
        <v>127.5</v>
      </c>
      <c r="Q11" s="17"/>
    </row>
    <row r="12" spans="2:17" ht="21.95" customHeight="1">
      <c r="B12" s="18">
        <v>2000</v>
      </c>
      <c r="C12" s="19">
        <v>41.4</v>
      </c>
      <c r="D12" s="19">
        <v>2.2999999999999998</v>
      </c>
      <c r="E12" s="19">
        <v>14.1</v>
      </c>
      <c r="F12" s="19">
        <v>62</v>
      </c>
      <c r="G12" s="19">
        <v>40</v>
      </c>
      <c r="H12" s="19">
        <v>248.5</v>
      </c>
      <c r="I12" s="19">
        <v>248.5</v>
      </c>
      <c r="J12" s="19">
        <v>543</v>
      </c>
      <c r="K12" s="19">
        <v>238.5</v>
      </c>
      <c r="L12" s="19">
        <v>39</v>
      </c>
      <c r="M12" s="19">
        <v>29.5</v>
      </c>
      <c r="N12" s="21">
        <v>13.8</v>
      </c>
      <c r="O12" s="15">
        <f t="shared" si="0"/>
        <v>1520.6</v>
      </c>
      <c r="P12" s="22">
        <f t="shared" si="1"/>
        <v>126.7</v>
      </c>
    </row>
    <row r="13" spans="2:17" ht="21.95" customHeight="1">
      <c r="B13" s="18">
        <v>2001</v>
      </c>
      <c r="C13" s="19">
        <v>65</v>
      </c>
      <c r="D13" s="19">
        <v>69.5</v>
      </c>
      <c r="E13" s="19">
        <v>9.8000000000000007</v>
      </c>
      <c r="F13" s="19">
        <v>25</v>
      </c>
      <c r="G13" s="19">
        <v>23.5</v>
      </c>
      <c r="H13" s="19">
        <v>132</v>
      </c>
      <c r="I13" s="19">
        <v>216</v>
      </c>
      <c r="J13" s="19">
        <v>98</v>
      </c>
      <c r="K13" s="19">
        <v>10.5</v>
      </c>
      <c r="L13" s="19">
        <v>76.5</v>
      </c>
      <c r="M13" s="19">
        <v>10.5</v>
      </c>
      <c r="N13" s="21">
        <v>16.3</v>
      </c>
      <c r="O13" s="15">
        <f t="shared" si="0"/>
        <v>752.6</v>
      </c>
      <c r="P13" s="22">
        <f t="shared" si="1"/>
        <v>62.7</v>
      </c>
    </row>
    <row r="14" spans="2:17" ht="21.95" customHeight="1">
      <c r="B14" s="18">
        <v>2002</v>
      </c>
      <c r="C14" s="19">
        <v>72.3</v>
      </c>
      <c r="D14" s="19">
        <v>6</v>
      </c>
      <c r="E14" s="19">
        <v>32.5</v>
      </c>
      <c r="F14" s="19">
        <v>142.5</v>
      </c>
      <c r="G14" s="19">
        <v>159</v>
      </c>
      <c r="H14" s="19">
        <v>70.5</v>
      </c>
      <c r="I14" s="19">
        <v>208</v>
      </c>
      <c r="J14" s="19">
        <v>358.5</v>
      </c>
      <c r="K14" s="19">
        <v>57.5</v>
      </c>
      <c r="L14" s="19">
        <v>78.5</v>
      </c>
      <c r="M14" s="19">
        <v>31.5</v>
      </c>
      <c r="N14" s="21">
        <v>57.2</v>
      </c>
      <c r="O14" s="15">
        <f t="shared" si="0"/>
        <v>1274</v>
      </c>
      <c r="P14" s="22">
        <f t="shared" si="1"/>
        <v>106.2</v>
      </c>
    </row>
    <row r="15" spans="2:17" ht="21.95" customHeight="1">
      <c r="B15" s="18">
        <v>2003</v>
      </c>
      <c r="C15" s="19">
        <v>24.2</v>
      </c>
      <c r="D15" s="19">
        <v>59</v>
      </c>
      <c r="E15" s="19">
        <v>52</v>
      </c>
      <c r="F15" s="19">
        <v>208.5</v>
      </c>
      <c r="G15" s="19">
        <v>144.5</v>
      </c>
      <c r="H15" s="19">
        <v>228</v>
      </c>
      <c r="I15" s="19">
        <v>626.5</v>
      </c>
      <c r="J15" s="19">
        <v>202</v>
      </c>
      <c r="K15" s="19">
        <v>167.5</v>
      </c>
      <c r="L15" s="19">
        <v>24.5</v>
      </c>
      <c r="M15" s="19">
        <v>29.5</v>
      </c>
      <c r="N15" s="21">
        <v>13.8</v>
      </c>
      <c r="O15" s="15">
        <f t="shared" si="0"/>
        <v>1780</v>
      </c>
      <c r="P15" s="22">
        <f t="shared" si="1"/>
        <v>148.30000000000001</v>
      </c>
    </row>
    <row r="16" spans="2:17" ht="21.95" customHeight="1">
      <c r="B16" s="18">
        <v>2004</v>
      </c>
      <c r="C16" s="19">
        <v>18.100000000000001</v>
      </c>
      <c r="D16" s="19">
        <v>26.2</v>
      </c>
      <c r="E16" s="19">
        <v>63.1</v>
      </c>
      <c r="F16" s="19">
        <v>73.5</v>
      </c>
      <c r="G16" s="19">
        <v>109</v>
      </c>
      <c r="H16" s="19">
        <v>388</v>
      </c>
      <c r="I16" s="19">
        <v>296</v>
      </c>
      <c r="J16" s="19">
        <v>249</v>
      </c>
      <c r="K16" s="19">
        <v>176.5</v>
      </c>
      <c r="L16" s="19">
        <v>1</v>
      </c>
      <c r="M16" s="19">
        <v>50.5</v>
      </c>
      <c r="N16" s="21">
        <v>43</v>
      </c>
      <c r="O16" s="15">
        <f t="shared" si="0"/>
        <v>1493.9</v>
      </c>
      <c r="P16" s="22">
        <f t="shared" si="1"/>
        <v>124.5</v>
      </c>
    </row>
    <row r="17" spans="2:16" ht="21.95" customHeight="1">
      <c r="B17" s="18">
        <v>2005</v>
      </c>
      <c r="C17" s="19">
        <v>6</v>
      </c>
      <c r="D17" s="19">
        <v>39</v>
      </c>
      <c r="E17" s="19">
        <v>26.5</v>
      </c>
      <c r="F17" s="19">
        <v>75</v>
      </c>
      <c r="G17" s="19">
        <v>65.5</v>
      </c>
      <c r="H17" s="19">
        <v>186</v>
      </c>
      <c r="I17" s="19">
        <v>448.5</v>
      </c>
      <c r="J17" s="19">
        <v>381.5</v>
      </c>
      <c r="K17" s="19">
        <v>225.5</v>
      </c>
      <c r="L17" s="19">
        <v>30.5</v>
      </c>
      <c r="M17" s="19">
        <v>21</v>
      </c>
      <c r="N17" s="21">
        <v>22</v>
      </c>
      <c r="O17" s="15">
        <f t="shared" si="0"/>
        <v>1527</v>
      </c>
      <c r="P17" s="22">
        <f t="shared" si="1"/>
        <v>127.3</v>
      </c>
    </row>
    <row r="18" spans="2:16" ht="21.95" customHeight="1">
      <c r="B18" s="18">
        <v>2006</v>
      </c>
      <c r="C18" s="19">
        <v>30.2</v>
      </c>
      <c r="D18" s="19">
        <v>29.5</v>
      </c>
      <c r="E18" s="19">
        <v>7.8</v>
      </c>
      <c r="F18" s="19">
        <v>99</v>
      </c>
      <c r="G18" s="19">
        <v>81.5</v>
      </c>
      <c r="H18" s="19">
        <v>111</v>
      </c>
      <c r="I18" s="19">
        <v>503</v>
      </c>
      <c r="J18" s="19">
        <v>83.5</v>
      </c>
      <c r="K18" s="19">
        <v>37.5</v>
      </c>
      <c r="L18" s="19">
        <v>15</v>
      </c>
      <c r="M18" s="19">
        <v>51</v>
      </c>
      <c r="N18" s="21">
        <v>27.5</v>
      </c>
      <c r="O18" s="15">
        <f t="shared" si="0"/>
        <v>1076.5</v>
      </c>
      <c r="P18" s="22">
        <f t="shared" si="1"/>
        <v>89.7</v>
      </c>
    </row>
    <row r="19" spans="2:16" ht="21.95" customHeight="1">
      <c r="B19" s="18">
        <v>2007</v>
      </c>
      <c r="C19" s="19">
        <v>21.8</v>
      </c>
      <c r="D19" s="19">
        <v>47.8</v>
      </c>
      <c r="E19" s="19">
        <v>159</v>
      </c>
      <c r="F19" s="19">
        <v>28</v>
      </c>
      <c r="G19" s="19">
        <v>104</v>
      </c>
      <c r="H19" s="19">
        <v>101</v>
      </c>
      <c r="I19" s="19">
        <v>286</v>
      </c>
      <c r="J19" s="19">
        <v>319.5</v>
      </c>
      <c r="K19" s="19">
        <v>502.5</v>
      </c>
      <c r="L19" s="19">
        <v>37</v>
      </c>
      <c r="M19" s="19">
        <v>13</v>
      </c>
      <c r="N19" s="21">
        <v>31.7</v>
      </c>
      <c r="O19" s="15">
        <f t="shared" si="0"/>
        <v>1651.3</v>
      </c>
      <c r="P19" s="22">
        <f t="shared" si="1"/>
        <v>137.6</v>
      </c>
    </row>
    <row r="20" spans="2:16" ht="21.95" customHeight="1">
      <c r="B20" s="18">
        <v>2008</v>
      </c>
      <c r="C20" s="19">
        <v>39.6</v>
      </c>
      <c r="D20" s="19">
        <v>11.2</v>
      </c>
      <c r="E20" s="19">
        <v>42.2</v>
      </c>
      <c r="F20" s="19">
        <v>38.799999999999997</v>
      </c>
      <c r="G20" s="19">
        <v>51.6</v>
      </c>
      <c r="H20" s="19">
        <v>260</v>
      </c>
      <c r="I20" s="19">
        <v>194.3</v>
      </c>
      <c r="J20" s="19">
        <v>154</v>
      </c>
      <c r="K20" s="19">
        <v>48.8</v>
      </c>
      <c r="L20" s="19">
        <v>24.1</v>
      </c>
      <c r="M20" s="19">
        <v>14.1</v>
      </c>
      <c r="N20" s="21">
        <v>23.4</v>
      </c>
      <c r="O20" s="15">
        <f t="shared" si="0"/>
        <v>902.1</v>
      </c>
      <c r="P20" s="22">
        <f t="shared" si="1"/>
        <v>75.2</v>
      </c>
    </row>
    <row r="21" spans="2:16" ht="21.95" customHeight="1">
      <c r="B21" s="18">
        <v>2009</v>
      </c>
      <c r="C21" s="19">
        <v>10.6</v>
      </c>
      <c r="D21" s="19">
        <v>23.6</v>
      </c>
      <c r="E21" s="19">
        <v>63.9</v>
      </c>
      <c r="F21" s="19">
        <v>51</v>
      </c>
      <c r="G21" s="19">
        <v>135.5</v>
      </c>
      <c r="H21" s="19">
        <v>113.2</v>
      </c>
      <c r="I21" s="19">
        <v>408</v>
      </c>
      <c r="J21" s="19">
        <v>140.19999999999999</v>
      </c>
      <c r="K21" s="19">
        <v>30.5</v>
      </c>
      <c r="L21" s="19">
        <v>23.7</v>
      </c>
      <c r="M21" s="19">
        <v>54.5</v>
      </c>
      <c r="N21" s="21">
        <v>34.9</v>
      </c>
      <c r="O21" s="15">
        <f t="shared" si="0"/>
        <v>1089.5999999999999</v>
      </c>
      <c r="P21" s="22">
        <f t="shared" si="1"/>
        <v>90.8</v>
      </c>
    </row>
    <row r="22" spans="2:16" ht="21.95" customHeight="1">
      <c r="B22" s="18">
        <v>2010</v>
      </c>
      <c r="C22" s="19">
        <v>37.1</v>
      </c>
      <c r="D22" s="19">
        <v>89.5</v>
      </c>
      <c r="E22" s="19">
        <v>94.9</v>
      </c>
      <c r="F22" s="19">
        <v>69.599999999999994</v>
      </c>
      <c r="G22" s="19">
        <v>140.69999999999999</v>
      </c>
      <c r="H22" s="19">
        <v>36.1</v>
      </c>
      <c r="I22" s="19">
        <v>262.10000000000002</v>
      </c>
      <c r="J22" s="19">
        <v>431.1</v>
      </c>
      <c r="K22" s="19">
        <v>149.80000000000001</v>
      </c>
      <c r="L22" s="19">
        <v>17.8</v>
      </c>
      <c r="M22" s="19">
        <v>18.600000000000001</v>
      </c>
      <c r="N22" s="21">
        <v>31</v>
      </c>
      <c r="O22" s="15">
        <f t="shared" si="0"/>
        <v>1378.3</v>
      </c>
      <c r="P22" s="22">
        <f t="shared" si="1"/>
        <v>114.9</v>
      </c>
    </row>
    <row r="23" spans="2:16" ht="21.95" customHeight="1">
      <c r="B23" s="18">
        <v>2011</v>
      </c>
      <c r="C23" s="19">
        <v>3.7</v>
      </c>
      <c r="D23" s="19">
        <v>60.7</v>
      </c>
      <c r="E23" s="19">
        <v>16</v>
      </c>
      <c r="F23" s="19">
        <v>70</v>
      </c>
      <c r="G23" s="19">
        <v>111.2</v>
      </c>
      <c r="H23" s="19">
        <v>316</v>
      </c>
      <c r="I23" s="19">
        <v>599.6</v>
      </c>
      <c r="J23" s="19">
        <v>618.1</v>
      </c>
      <c r="K23" s="19">
        <v>104.2</v>
      </c>
      <c r="L23" s="19">
        <v>26.6</v>
      </c>
      <c r="M23" s="19">
        <v>81.599999999999994</v>
      </c>
      <c r="N23" s="21">
        <v>7</v>
      </c>
      <c r="O23" s="15">
        <f t="shared" si="0"/>
        <v>2014.7</v>
      </c>
      <c r="P23" s="22">
        <f t="shared" si="1"/>
        <v>167.9</v>
      </c>
    </row>
    <row r="24" spans="2:16" ht="21.95" customHeight="1">
      <c r="B24" s="18">
        <v>2012</v>
      </c>
      <c r="C24" s="19">
        <v>16</v>
      </c>
      <c r="D24" s="19">
        <v>3.2</v>
      </c>
      <c r="E24" s="19">
        <v>60.2</v>
      </c>
      <c r="F24" s="19">
        <v>109.3</v>
      </c>
      <c r="G24" s="19">
        <v>19.5</v>
      </c>
      <c r="H24" s="19">
        <v>71.3</v>
      </c>
      <c r="I24" s="19">
        <v>302.89999999999998</v>
      </c>
      <c r="J24" s="19">
        <v>573.29999999999995</v>
      </c>
      <c r="K24" s="19">
        <v>186.2</v>
      </c>
      <c r="L24" s="19">
        <v>83</v>
      </c>
      <c r="M24" s="19">
        <v>60.7</v>
      </c>
      <c r="N24" s="21">
        <v>60.2</v>
      </c>
      <c r="O24" s="15">
        <f t="shared" si="0"/>
        <v>1545.8</v>
      </c>
      <c r="P24" s="22">
        <f t="shared" si="1"/>
        <v>128.80000000000001</v>
      </c>
    </row>
    <row r="25" spans="2:16" ht="21.95" customHeight="1">
      <c r="B25" s="18">
        <v>2013</v>
      </c>
      <c r="C25" s="19">
        <v>45.4</v>
      </c>
      <c r="D25" s="19">
        <v>58.7</v>
      </c>
      <c r="E25" s="19">
        <v>50.3</v>
      </c>
      <c r="F25" s="19">
        <v>93.7</v>
      </c>
      <c r="G25" s="19">
        <v>159</v>
      </c>
      <c r="H25" s="19">
        <v>151.69999999999999</v>
      </c>
      <c r="I25" s="19">
        <v>240.4</v>
      </c>
      <c r="J25" s="19">
        <v>119.5</v>
      </c>
      <c r="K25" s="19">
        <v>184.8</v>
      </c>
      <c r="L25" s="19">
        <v>17.5</v>
      </c>
      <c r="M25" s="19">
        <v>79.400000000000006</v>
      </c>
      <c r="N25" s="21">
        <v>35.9</v>
      </c>
      <c r="O25" s="15">
        <f t="shared" si="0"/>
        <v>1236.3</v>
      </c>
      <c r="P25" s="22">
        <f t="shared" si="1"/>
        <v>103</v>
      </c>
    </row>
    <row r="26" spans="2:16" ht="21.95" customHeight="1">
      <c r="B26" s="18">
        <v>2014</v>
      </c>
      <c r="C26" s="19">
        <v>2.2000000000000002</v>
      </c>
      <c r="D26" s="19">
        <v>15.3</v>
      </c>
      <c r="E26" s="19">
        <v>69.3</v>
      </c>
      <c r="F26" s="19">
        <v>94.1</v>
      </c>
      <c r="G26" s="19">
        <v>61.5</v>
      </c>
      <c r="H26" s="19">
        <v>77.8</v>
      </c>
      <c r="I26" s="19">
        <v>174.7</v>
      </c>
      <c r="J26" s="19">
        <v>225.1</v>
      </c>
      <c r="K26" s="19">
        <v>157.5</v>
      </c>
      <c r="L26" s="19">
        <v>170.5</v>
      </c>
      <c r="M26" s="19">
        <v>42.4</v>
      </c>
      <c r="N26" s="21">
        <v>51.7</v>
      </c>
      <c r="O26" s="15">
        <f t="shared" si="0"/>
        <v>1142.0999999999999</v>
      </c>
      <c r="P26" s="22">
        <f t="shared" si="1"/>
        <v>95.2</v>
      </c>
    </row>
    <row r="27" spans="2:16" ht="21.95" customHeight="1">
      <c r="B27" s="18">
        <v>2015</v>
      </c>
      <c r="C27" s="19">
        <v>35.4</v>
      </c>
      <c r="D27" s="19">
        <v>35.6</v>
      </c>
      <c r="E27" s="19">
        <v>42.4</v>
      </c>
      <c r="F27" s="19">
        <v>99.5</v>
      </c>
      <c r="G27" s="19">
        <v>53.5</v>
      </c>
      <c r="H27" s="19">
        <v>92.7</v>
      </c>
      <c r="I27" s="19">
        <v>119.9</v>
      </c>
      <c r="J27" s="19">
        <v>56.9</v>
      </c>
      <c r="K27" s="19">
        <v>22</v>
      </c>
      <c r="L27" s="19">
        <v>104</v>
      </c>
      <c r="M27" s="19">
        <v>130</v>
      </c>
      <c r="N27" s="21">
        <v>56.9</v>
      </c>
      <c r="O27" s="15">
        <f t="shared" si="0"/>
        <v>848.8</v>
      </c>
      <c r="P27" s="22">
        <f t="shared" si="1"/>
        <v>70.7</v>
      </c>
    </row>
    <row r="28" spans="2:16" ht="21.95" customHeight="1">
      <c r="B28" s="18">
        <v>2016</v>
      </c>
      <c r="C28" s="19">
        <v>6.6</v>
      </c>
      <c r="D28" s="19">
        <v>59.6</v>
      </c>
      <c r="E28" s="19">
        <v>19</v>
      </c>
      <c r="F28" s="19">
        <v>164.6</v>
      </c>
      <c r="G28" s="19">
        <v>121.6</v>
      </c>
      <c r="H28" s="19">
        <v>49.4</v>
      </c>
      <c r="I28" s="19">
        <v>341.1</v>
      </c>
      <c r="J28" s="19">
        <v>33.4</v>
      </c>
      <c r="K28" s="19">
        <v>133.69999999999999</v>
      </c>
      <c r="L28" s="19">
        <v>120.1</v>
      </c>
      <c r="M28" s="19">
        <v>17.100000000000001</v>
      </c>
      <c r="N28" s="21">
        <v>63.1</v>
      </c>
      <c r="O28" s="15">
        <f t="shared" si="0"/>
        <v>1129.3</v>
      </c>
      <c r="P28" s="22">
        <f t="shared" si="1"/>
        <v>94.1</v>
      </c>
    </row>
    <row r="29" spans="2:16" ht="21.95" customHeight="1">
      <c r="B29" s="18">
        <v>2017</v>
      </c>
      <c r="C29" s="19">
        <v>16</v>
      </c>
      <c r="D29" s="19">
        <v>28.5</v>
      </c>
      <c r="E29" s="19">
        <v>8.8000000000000007</v>
      </c>
      <c r="F29" s="19">
        <v>78.400000000000006</v>
      </c>
      <c r="G29" s="19">
        <v>35.799999999999997</v>
      </c>
      <c r="H29" s="19">
        <v>51.4</v>
      </c>
      <c r="I29" s="19">
        <v>326.7</v>
      </c>
      <c r="J29" s="19">
        <v>358.5</v>
      </c>
      <c r="K29" s="19">
        <v>97.1</v>
      </c>
      <c r="L29" s="19">
        <v>51.9</v>
      </c>
      <c r="M29" s="19">
        <v>22.8</v>
      </c>
      <c r="N29" s="21">
        <v>36.1</v>
      </c>
      <c r="O29" s="15">
        <f t="shared" si="0"/>
        <v>1112</v>
      </c>
      <c r="P29" s="22">
        <f t="shared" si="1"/>
        <v>92.7</v>
      </c>
    </row>
    <row r="30" spans="2:16" ht="21.95" customHeight="1">
      <c r="B30" s="18">
        <v>2018</v>
      </c>
      <c r="C30" s="19">
        <v>25</v>
      </c>
      <c r="D30" s="19">
        <v>43.1</v>
      </c>
      <c r="E30" s="19">
        <v>99.3</v>
      </c>
      <c r="F30" s="19">
        <v>156.5</v>
      </c>
      <c r="G30" s="19">
        <v>116.1</v>
      </c>
      <c r="H30" s="19">
        <v>107.1</v>
      </c>
      <c r="I30" s="19">
        <v>278.8</v>
      </c>
      <c r="J30" s="19">
        <v>277</v>
      </c>
      <c r="K30" s="19">
        <v>98.3</v>
      </c>
      <c r="L30" s="19">
        <v>159.19999999999999</v>
      </c>
      <c r="M30" s="19">
        <v>66</v>
      </c>
      <c r="N30" s="21">
        <v>31.5</v>
      </c>
      <c r="O30" s="15">
        <f t="shared" si="0"/>
        <v>1457.9</v>
      </c>
      <c r="P30" s="22">
        <f t="shared" si="1"/>
        <v>121.5</v>
      </c>
    </row>
    <row r="31" spans="2:16" ht="21.95" customHeight="1">
      <c r="B31" s="18">
        <v>2019</v>
      </c>
      <c r="C31" s="19">
        <v>0.5</v>
      </c>
      <c r="D31" s="19">
        <v>37.6</v>
      </c>
      <c r="E31" s="19">
        <v>35</v>
      </c>
      <c r="F31" s="19">
        <v>73.7</v>
      </c>
      <c r="G31" s="19">
        <v>44.3</v>
      </c>
      <c r="H31" s="19">
        <v>59.9</v>
      </c>
      <c r="I31" s="19">
        <v>216.7</v>
      </c>
      <c r="J31" s="19">
        <v>102.1</v>
      </c>
      <c r="K31" s="19">
        <v>191.9</v>
      </c>
      <c r="L31" s="19">
        <v>85.6</v>
      </c>
      <c r="M31" s="19">
        <v>113.5</v>
      </c>
      <c r="N31" s="21">
        <v>31.2</v>
      </c>
      <c r="O31" s="15">
        <f t="shared" si="0"/>
        <v>992</v>
      </c>
      <c r="P31" s="22">
        <f t="shared" si="1"/>
        <v>82.7</v>
      </c>
    </row>
    <row r="32" spans="2:16" ht="21.95" customHeight="1">
      <c r="B32" s="18">
        <v>2020</v>
      </c>
      <c r="C32" s="19">
        <v>79.599999999999994</v>
      </c>
      <c r="D32" s="19">
        <v>92.4</v>
      </c>
      <c r="E32" s="19">
        <v>19.3</v>
      </c>
      <c r="F32" s="19">
        <v>17.7</v>
      </c>
      <c r="G32" s="19">
        <v>108.5</v>
      </c>
      <c r="H32" s="19">
        <v>188.4</v>
      </c>
      <c r="I32" s="19">
        <v>492.6</v>
      </c>
      <c r="J32" s="19">
        <v>367.8</v>
      </c>
      <c r="K32" s="19">
        <v>208.9</v>
      </c>
      <c r="L32" s="19">
        <v>4.4000000000000004</v>
      </c>
      <c r="M32" s="19">
        <v>41.8</v>
      </c>
      <c r="N32" s="21">
        <v>3.4</v>
      </c>
      <c r="O32" s="15">
        <f t="shared" si="0"/>
        <v>1624.8</v>
      </c>
      <c r="P32" s="22">
        <f t="shared" si="1"/>
        <v>135.4</v>
      </c>
    </row>
    <row r="33" spans="2:16" ht="21.95" customHeight="1">
      <c r="B33" s="18">
        <v>2021</v>
      </c>
      <c r="C33" s="19">
        <v>32.1</v>
      </c>
      <c r="D33" s="19">
        <v>18.100000000000001</v>
      </c>
      <c r="E33" s="19">
        <v>95.7</v>
      </c>
      <c r="F33" s="19">
        <v>42.3</v>
      </c>
      <c r="G33" s="19">
        <v>136.9</v>
      </c>
      <c r="H33" s="19">
        <v>76.900000000000006</v>
      </c>
      <c r="I33" s="19">
        <v>187.7</v>
      </c>
      <c r="J33" s="19">
        <v>227.6</v>
      </c>
      <c r="K33" s="19">
        <v>187.1</v>
      </c>
      <c r="L33" s="19">
        <v>36.9</v>
      </c>
      <c r="M33" s="19">
        <v>73.400000000000006</v>
      </c>
      <c r="N33" s="21">
        <v>8.6999999999999993</v>
      </c>
      <c r="O33" s="15">
        <f t="shared" si="0"/>
        <v>1123.4000000000001</v>
      </c>
      <c r="P33" s="22">
        <f t="shared" si="1"/>
        <v>93.6</v>
      </c>
    </row>
    <row r="34" spans="2:16" ht="21.95" customHeight="1">
      <c r="B34" s="18">
        <v>2022</v>
      </c>
      <c r="C34" s="19">
        <v>3.5</v>
      </c>
      <c r="D34" s="19">
        <v>2.5</v>
      </c>
      <c r="E34" s="19">
        <v>76.099999999999994</v>
      </c>
      <c r="F34" s="19">
        <v>62.6</v>
      </c>
      <c r="G34" s="19">
        <v>4</v>
      </c>
      <c r="H34" s="19">
        <v>123.4</v>
      </c>
      <c r="I34" s="19">
        <v>168.5</v>
      </c>
      <c r="J34" s="19">
        <v>615.6</v>
      </c>
      <c r="K34" s="19">
        <v>87</v>
      </c>
      <c r="L34" s="19">
        <v>103.7</v>
      </c>
      <c r="M34" s="19">
        <v>36.4</v>
      </c>
      <c r="N34" s="21">
        <v>17.8</v>
      </c>
      <c r="O34" s="15">
        <f t="shared" si="0"/>
        <v>1301.0999999999999</v>
      </c>
      <c r="P34" s="22">
        <f t="shared" si="1"/>
        <v>108.4</v>
      </c>
    </row>
    <row r="35" spans="2:16" ht="21.95" customHeight="1" thickBot="1">
      <c r="B35" s="38">
        <v>2023</v>
      </c>
      <c r="C35" s="39">
        <v>35.700000000000003</v>
      </c>
      <c r="D35" s="39">
        <v>4.3</v>
      </c>
      <c r="E35" s="39">
        <v>13.2</v>
      </c>
      <c r="F35" s="39">
        <v>60.6</v>
      </c>
      <c r="G35" s="39">
        <v>248.1</v>
      </c>
      <c r="H35" s="39">
        <v>122.2</v>
      </c>
      <c r="I35" s="39">
        <v>880.3</v>
      </c>
      <c r="J35" s="39">
        <v>300.60000000000002</v>
      </c>
      <c r="K35" s="39">
        <v>303</v>
      </c>
      <c r="L35" s="39">
        <v>16.7</v>
      </c>
      <c r="M35" s="39">
        <v>58.1</v>
      </c>
      <c r="N35" s="40">
        <v>120.3</v>
      </c>
      <c r="O35" s="41">
        <f t="shared" si="0"/>
        <v>2163.1</v>
      </c>
      <c r="P35" s="42">
        <f t="shared" si="1"/>
        <v>180.3</v>
      </c>
    </row>
    <row r="36" spans="2:16" ht="21.95" customHeight="1">
      <c r="B36" s="43" t="s">
        <v>13</v>
      </c>
      <c r="C36" s="44">
        <f>ROUND(MAX(C6:C35),1)</f>
        <v>79.599999999999994</v>
      </c>
      <c r="D36" s="44">
        <f t="shared" ref="D36:N36" si="2">ROUND(MAX(D6:D35),1)</f>
        <v>92.4</v>
      </c>
      <c r="E36" s="44">
        <f t="shared" si="2"/>
        <v>159</v>
      </c>
      <c r="F36" s="44">
        <f t="shared" si="2"/>
        <v>208.5</v>
      </c>
      <c r="G36" s="44">
        <f t="shared" si="2"/>
        <v>248.1</v>
      </c>
      <c r="H36" s="44">
        <f t="shared" si="2"/>
        <v>388</v>
      </c>
      <c r="I36" s="44">
        <f t="shared" si="2"/>
        <v>880.3</v>
      </c>
      <c r="J36" s="44">
        <f t="shared" si="2"/>
        <v>839</v>
      </c>
      <c r="K36" s="44">
        <f t="shared" si="2"/>
        <v>502.5</v>
      </c>
      <c r="L36" s="44">
        <f t="shared" si="2"/>
        <v>290</v>
      </c>
      <c r="M36" s="44">
        <f t="shared" si="2"/>
        <v>219.5</v>
      </c>
      <c r="N36" s="45">
        <f t="shared" si="2"/>
        <v>120.3</v>
      </c>
      <c r="O36" s="46">
        <f>ROUND(MAX(O6:O35),1)</f>
        <v>2163.1</v>
      </c>
      <c r="P36" s="47">
        <f>ROUND(MAX(P6:P35),1)</f>
        <v>180.3</v>
      </c>
    </row>
    <row r="37" spans="2:16" ht="21.95" customHeight="1">
      <c r="B37" s="48" t="s">
        <v>14</v>
      </c>
      <c r="C37" s="49">
        <f>ROUND(MIN(C6:C35),1)</f>
        <v>0.5</v>
      </c>
      <c r="D37" s="49">
        <f t="shared" ref="D37:N37" si="3">ROUND(MIN(D6:D35),1)</f>
        <v>2.2999999999999998</v>
      </c>
      <c r="E37" s="49">
        <f t="shared" si="3"/>
        <v>7.8</v>
      </c>
      <c r="F37" s="49">
        <f t="shared" si="3"/>
        <v>17.7</v>
      </c>
      <c r="G37" s="49">
        <f t="shared" si="3"/>
        <v>4</v>
      </c>
      <c r="H37" s="49">
        <f t="shared" si="3"/>
        <v>34.5</v>
      </c>
      <c r="I37" s="49">
        <f t="shared" si="3"/>
        <v>96.5</v>
      </c>
      <c r="J37" s="49">
        <f t="shared" si="3"/>
        <v>33.4</v>
      </c>
      <c r="K37" s="49">
        <f t="shared" si="3"/>
        <v>10.5</v>
      </c>
      <c r="L37" s="49">
        <f t="shared" si="3"/>
        <v>1</v>
      </c>
      <c r="M37" s="49">
        <f t="shared" si="3"/>
        <v>10.5</v>
      </c>
      <c r="N37" s="22">
        <f t="shared" si="3"/>
        <v>3.4</v>
      </c>
      <c r="O37" s="50">
        <f>ROUND(MIN(O6:O35),1)</f>
        <v>752.6</v>
      </c>
      <c r="P37" s="51">
        <f>ROUND(MIN(P6:P35),1)</f>
        <v>62.7</v>
      </c>
    </row>
    <row r="38" spans="2:16" ht="21.95" customHeight="1" thickBot="1">
      <c r="B38" s="52" t="s">
        <v>18</v>
      </c>
      <c r="C38" s="53">
        <f>ROUND(AVERAGE(C6:C35),1)</f>
        <v>26.3</v>
      </c>
      <c r="D38" s="53">
        <f t="shared" ref="D38:P38" si="4">ROUND(AVERAGE(D6:D35),1)</f>
        <v>33.9</v>
      </c>
      <c r="E38" s="53">
        <f t="shared" si="4"/>
        <v>51.5</v>
      </c>
      <c r="F38" s="53">
        <f t="shared" si="4"/>
        <v>83.6</v>
      </c>
      <c r="G38" s="53">
        <f t="shared" si="4"/>
        <v>99.7</v>
      </c>
      <c r="H38" s="53">
        <f t="shared" si="4"/>
        <v>152.9</v>
      </c>
      <c r="I38" s="53">
        <f t="shared" si="4"/>
        <v>313.5</v>
      </c>
      <c r="J38" s="53">
        <f t="shared" si="4"/>
        <v>295.39999999999998</v>
      </c>
      <c r="K38" s="53">
        <f t="shared" si="4"/>
        <v>148.9</v>
      </c>
      <c r="L38" s="53">
        <f t="shared" si="4"/>
        <v>66.5</v>
      </c>
      <c r="M38" s="53">
        <f t="shared" si="4"/>
        <v>51.4</v>
      </c>
      <c r="N38" s="54">
        <f t="shared" si="4"/>
        <v>32.200000000000003</v>
      </c>
      <c r="O38" s="55">
        <f t="shared" si="4"/>
        <v>1355.8</v>
      </c>
      <c r="P38" s="56">
        <f t="shared" si="4"/>
        <v>113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2.2000000000000002</v>
      </c>
      <c r="D44" s="62">
        <f t="shared" si="5"/>
        <v>15.3</v>
      </c>
      <c r="E44" s="62">
        <f t="shared" si="5"/>
        <v>69.3</v>
      </c>
      <c r="F44" s="62">
        <f t="shared" si="5"/>
        <v>94.1</v>
      </c>
      <c r="G44" s="62">
        <f t="shared" si="5"/>
        <v>61.5</v>
      </c>
      <c r="H44" s="62">
        <f t="shared" si="5"/>
        <v>77.8</v>
      </c>
      <c r="I44" s="62">
        <f t="shared" si="5"/>
        <v>174.7</v>
      </c>
      <c r="J44" s="62">
        <f t="shared" si="5"/>
        <v>225.1</v>
      </c>
      <c r="K44" s="62">
        <f t="shared" si="5"/>
        <v>157.5</v>
      </c>
      <c r="L44" s="62">
        <f t="shared" si="5"/>
        <v>170.5</v>
      </c>
      <c r="M44" s="62">
        <f t="shared" si="5"/>
        <v>42.4</v>
      </c>
      <c r="N44" s="63">
        <f t="shared" si="5"/>
        <v>51.7</v>
      </c>
      <c r="O44" s="64">
        <f>ROUND(SUM(C44:N44),1)</f>
        <v>1142.0999999999999</v>
      </c>
      <c r="P44" s="51">
        <f>ROUND(O44/12,1)</f>
        <v>95.2</v>
      </c>
    </row>
    <row r="45" spans="2:16" ht="21.95" customHeight="1">
      <c r="B45" s="61">
        <f t="shared" ref="B45:N53" si="6">B27</f>
        <v>2015</v>
      </c>
      <c r="C45" s="62">
        <f t="shared" si="6"/>
        <v>35.4</v>
      </c>
      <c r="D45" s="62">
        <f t="shared" si="6"/>
        <v>35.6</v>
      </c>
      <c r="E45" s="62">
        <f t="shared" si="6"/>
        <v>42.4</v>
      </c>
      <c r="F45" s="62">
        <f t="shared" si="6"/>
        <v>99.5</v>
      </c>
      <c r="G45" s="62">
        <f t="shared" si="6"/>
        <v>53.5</v>
      </c>
      <c r="H45" s="62">
        <f t="shared" si="6"/>
        <v>92.7</v>
      </c>
      <c r="I45" s="62">
        <f t="shared" si="6"/>
        <v>119.9</v>
      </c>
      <c r="J45" s="62">
        <f t="shared" si="6"/>
        <v>56.9</v>
      </c>
      <c r="K45" s="62">
        <f t="shared" si="6"/>
        <v>22</v>
      </c>
      <c r="L45" s="62">
        <f t="shared" si="6"/>
        <v>104</v>
      </c>
      <c r="M45" s="62">
        <f t="shared" si="6"/>
        <v>130</v>
      </c>
      <c r="N45" s="63">
        <f t="shared" si="6"/>
        <v>56.9</v>
      </c>
      <c r="O45" s="64">
        <f t="shared" ref="O45:O53" si="7">ROUND(SUM(C45:N45),1)</f>
        <v>848.8</v>
      </c>
      <c r="P45" s="51">
        <f t="shared" ref="P45:P53" si="8">ROUND(O45/12,1)</f>
        <v>70.7</v>
      </c>
    </row>
    <row r="46" spans="2:16" ht="21.95" customHeight="1">
      <c r="B46" s="61">
        <f t="shared" si="6"/>
        <v>2016</v>
      </c>
      <c r="C46" s="62">
        <f t="shared" si="6"/>
        <v>6.6</v>
      </c>
      <c r="D46" s="62">
        <f t="shared" si="6"/>
        <v>59.6</v>
      </c>
      <c r="E46" s="62">
        <f t="shared" si="6"/>
        <v>19</v>
      </c>
      <c r="F46" s="62">
        <f t="shared" si="6"/>
        <v>164.6</v>
      </c>
      <c r="G46" s="62">
        <f t="shared" si="6"/>
        <v>121.6</v>
      </c>
      <c r="H46" s="62">
        <f t="shared" si="6"/>
        <v>49.4</v>
      </c>
      <c r="I46" s="62">
        <f t="shared" si="6"/>
        <v>341.1</v>
      </c>
      <c r="J46" s="62">
        <f t="shared" si="6"/>
        <v>33.4</v>
      </c>
      <c r="K46" s="62">
        <f t="shared" si="6"/>
        <v>133.69999999999999</v>
      </c>
      <c r="L46" s="62">
        <f t="shared" si="6"/>
        <v>120.1</v>
      </c>
      <c r="M46" s="62">
        <f t="shared" si="6"/>
        <v>17.100000000000001</v>
      </c>
      <c r="N46" s="63">
        <f t="shared" si="6"/>
        <v>63.1</v>
      </c>
      <c r="O46" s="64">
        <f t="shared" si="7"/>
        <v>1129.3</v>
      </c>
      <c r="P46" s="51">
        <f t="shared" si="8"/>
        <v>94.1</v>
      </c>
    </row>
    <row r="47" spans="2:16" ht="21.95" customHeight="1">
      <c r="B47" s="61">
        <f t="shared" si="6"/>
        <v>2017</v>
      </c>
      <c r="C47" s="62">
        <f t="shared" si="6"/>
        <v>16</v>
      </c>
      <c r="D47" s="62">
        <f t="shared" si="6"/>
        <v>28.5</v>
      </c>
      <c r="E47" s="62">
        <f t="shared" si="6"/>
        <v>8.8000000000000007</v>
      </c>
      <c r="F47" s="62">
        <f t="shared" si="6"/>
        <v>78.400000000000006</v>
      </c>
      <c r="G47" s="62">
        <f t="shared" si="6"/>
        <v>35.799999999999997</v>
      </c>
      <c r="H47" s="62">
        <f t="shared" si="6"/>
        <v>51.4</v>
      </c>
      <c r="I47" s="62">
        <f t="shared" si="6"/>
        <v>326.7</v>
      </c>
      <c r="J47" s="62">
        <f t="shared" si="6"/>
        <v>358.5</v>
      </c>
      <c r="K47" s="62">
        <f t="shared" si="6"/>
        <v>97.1</v>
      </c>
      <c r="L47" s="62">
        <f t="shared" si="6"/>
        <v>51.9</v>
      </c>
      <c r="M47" s="62">
        <f t="shared" si="6"/>
        <v>22.8</v>
      </c>
      <c r="N47" s="63">
        <f t="shared" si="6"/>
        <v>36.1</v>
      </c>
      <c r="O47" s="64">
        <f>ROUND(SUM(C47:N47),1)</f>
        <v>1112</v>
      </c>
      <c r="P47" s="51">
        <f t="shared" si="8"/>
        <v>92.7</v>
      </c>
    </row>
    <row r="48" spans="2:16" ht="21.95" customHeight="1">
      <c r="B48" s="61">
        <f t="shared" si="6"/>
        <v>2018</v>
      </c>
      <c r="C48" s="62">
        <f t="shared" si="6"/>
        <v>25</v>
      </c>
      <c r="D48" s="62">
        <f t="shared" si="6"/>
        <v>43.1</v>
      </c>
      <c r="E48" s="62">
        <f t="shared" si="6"/>
        <v>99.3</v>
      </c>
      <c r="F48" s="62">
        <f t="shared" si="6"/>
        <v>156.5</v>
      </c>
      <c r="G48" s="62">
        <f t="shared" si="6"/>
        <v>116.1</v>
      </c>
      <c r="H48" s="62">
        <f t="shared" si="6"/>
        <v>107.1</v>
      </c>
      <c r="I48" s="62">
        <f t="shared" si="6"/>
        <v>278.8</v>
      </c>
      <c r="J48" s="62">
        <f t="shared" si="6"/>
        <v>277</v>
      </c>
      <c r="K48" s="62">
        <f t="shared" si="6"/>
        <v>98.3</v>
      </c>
      <c r="L48" s="62">
        <f t="shared" si="6"/>
        <v>159.19999999999999</v>
      </c>
      <c r="M48" s="62">
        <f t="shared" si="6"/>
        <v>66</v>
      </c>
      <c r="N48" s="63">
        <f t="shared" si="6"/>
        <v>31.5</v>
      </c>
      <c r="O48" s="64">
        <f t="shared" si="7"/>
        <v>1457.9</v>
      </c>
      <c r="P48" s="51">
        <f t="shared" si="8"/>
        <v>121.5</v>
      </c>
    </row>
    <row r="49" spans="2:16" ht="21.95" customHeight="1">
      <c r="B49" s="61">
        <f t="shared" si="6"/>
        <v>2019</v>
      </c>
      <c r="C49" s="62">
        <f t="shared" si="6"/>
        <v>0.5</v>
      </c>
      <c r="D49" s="62">
        <f t="shared" si="6"/>
        <v>37.6</v>
      </c>
      <c r="E49" s="62">
        <f t="shared" si="6"/>
        <v>35</v>
      </c>
      <c r="F49" s="62">
        <f t="shared" si="6"/>
        <v>73.7</v>
      </c>
      <c r="G49" s="62">
        <f t="shared" si="6"/>
        <v>44.3</v>
      </c>
      <c r="H49" s="62">
        <f t="shared" si="6"/>
        <v>59.9</v>
      </c>
      <c r="I49" s="62">
        <f t="shared" si="6"/>
        <v>216.7</v>
      </c>
      <c r="J49" s="62">
        <f t="shared" si="6"/>
        <v>102.1</v>
      </c>
      <c r="K49" s="62">
        <f t="shared" si="6"/>
        <v>191.9</v>
      </c>
      <c r="L49" s="62">
        <f t="shared" si="6"/>
        <v>85.6</v>
      </c>
      <c r="M49" s="62">
        <f t="shared" si="6"/>
        <v>113.5</v>
      </c>
      <c r="N49" s="63">
        <f t="shared" si="6"/>
        <v>31.2</v>
      </c>
      <c r="O49" s="64">
        <f t="shared" si="7"/>
        <v>992</v>
      </c>
      <c r="P49" s="51">
        <f t="shared" si="8"/>
        <v>82.7</v>
      </c>
    </row>
    <row r="50" spans="2:16" ht="21.95" customHeight="1">
      <c r="B50" s="61">
        <f t="shared" si="6"/>
        <v>2020</v>
      </c>
      <c r="C50" s="62">
        <f t="shared" si="6"/>
        <v>79.599999999999994</v>
      </c>
      <c r="D50" s="62">
        <f t="shared" si="6"/>
        <v>92.4</v>
      </c>
      <c r="E50" s="62">
        <f t="shared" si="6"/>
        <v>19.3</v>
      </c>
      <c r="F50" s="62">
        <f t="shared" si="6"/>
        <v>17.7</v>
      </c>
      <c r="G50" s="62">
        <f t="shared" si="6"/>
        <v>108.5</v>
      </c>
      <c r="H50" s="62">
        <f t="shared" si="6"/>
        <v>188.4</v>
      </c>
      <c r="I50" s="62">
        <f t="shared" si="6"/>
        <v>492.6</v>
      </c>
      <c r="J50" s="62">
        <f t="shared" si="6"/>
        <v>367.8</v>
      </c>
      <c r="K50" s="62">
        <f t="shared" si="6"/>
        <v>208.9</v>
      </c>
      <c r="L50" s="62">
        <f t="shared" si="6"/>
        <v>4.4000000000000004</v>
      </c>
      <c r="M50" s="62">
        <f t="shared" si="6"/>
        <v>41.8</v>
      </c>
      <c r="N50" s="63">
        <f t="shared" si="6"/>
        <v>3.4</v>
      </c>
      <c r="O50" s="64">
        <f t="shared" si="7"/>
        <v>1624.8</v>
      </c>
      <c r="P50" s="51">
        <f t="shared" si="8"/>
        <v>135.4</v>
      </c>
    </row>
    <row r="51" spans="2:16" ht="21.95" customHeight="1">
      <c r="B51" s="61">
        <f t="shared" si="6"/>
        <v>2021</v>
      </c>
      <c r="C51" s="62">
        <f t="shared" si="6"/>
        <v>32.1</v>
      </c>
      <c r="D51" s="62">
        <f t="shared" si="6"/>
        <v>18.100000000000001</v>
      </c>
      <c r="E51" s="62">
        <f t="shared" si="6"/>
        <v>95.7</v>
      </c>
      <c r="F51" s="62">
        <f t="shared" si="6"/>
        <v>42.3</v>
      </c>
      <c r="G51" s="62">
        <f t="shared" si="6"/>
        <v>136.9</v>
      </c>
      <c r="H51" s="62">
        <f t="shared" si="6"/>
        <v>76.900000000000006</v>
      </c>
      <c r="I51" s="62">
        <f t="shared" si="6"/>
        <v>187.7</v>
      </c>
      <c r="J51" s="62">
        <f t="shared" si="6"/>
        <v>227.6</v>
      </c>
      <c r="K51" s="62">
        <f t="shared" si="6"/>
        <v>187.1</v>
      </c>
      <c r="L51" s="62">
        <f t="shared" si="6"/>
        <v>36.9</v>
      </c>
      <c r="M51" s="62">
        <f t="shared" si="6"/>
        <v>73.400000000000006</v>
      </c>
      <c r="N51" s="63">
        <f t="shared" si="6"/>
        <v>8.6999999999999993</v>
      </c>
      <c r="O51" s="64">
        <f t="shared" si="7"/>
        <v>1123.4000000000001</v>
      </c>
      <c r="P51" s="51">
        <f t="shared" si="8"/>
        <v>93.6</v>
      </c>
    </row>
    <row r="52" spans="2:16" ht="21.95" customHeight="1">
      <c r="B52" s="61">
        <f t="shared" si="6"/>
        <v>2022</v>
      </c>
      <c r="C52" s="62">
        <f t="shared" si="6"/>
        <v>3.5</v>
      </c>
      <c r="D52" s="62">
        <f t="shared" si="6"/>
        <v>2.5</v>
      </c>
      <c r="E52" s="62">
        <f t="shared" si="6"/>
        <v>76.099999999999994</v>
      </c>
      <c r="F52" s="62">
        <f t="shared" si="6"/>
        <v>62.6</v>
      </c>
      <c r="G52" s="62">
        <f t="shared" si="6"/>
        <v>4</v>
      </c>
      <c r="H52" s="62">
        <f t="shared" si="6"/>
        <v>123.4</v>
      </c>
      <c r="I52" s="62">
        <f t="shared" si="6"/>
        <v>168.5</v>
      </c>
      <c r="J52" s="62">
        <f t="shared" si="6"/>
        <v>615.6</v>
      </c>
      <c r="K52" s="62">
        <f t="shared" si="6"/>
        <v>87</v>
      </c>
      <c r="L52" s="62">
        <f t="shared" si="6"/>
        <v>103.7</v>
      </c>
      <c r="M52" s="62">
        <f t="shared" si="6"/>
        <v>36.4</v>
      </c>
      <c r="N52" s="63">
        <f t="shared" si="6"/>
        <v>17.8</v>
      </c>
      <c r="O52" s="64">
        <f t="shared" si="7"/>
        <v>1301.0999999999999</v>
      </c>
      <c r="P52" s="51">
        <f t="shared" si="8"/>
        <v>108.4</v>
      </c>
    </row>
    <row r="53" spans="2:16" ht="21.95" customHeight="1" thickBot="1">
      <c r="B53" s="65">
        <f t="shared" si="6"/>
        <v>2023</v>
      </c>
      <c r="C53" s="66">
        <f t="shared" si="6"/>
        <v>35.700000000000003</v>
      </c>
      <c r="D53" s="66">
        <f t="shared" si="6"/>
        <v>4.3</v>
      </c>
      <c r="E53" s="66">
        <f t="shared" si="6"/>
        <v>13.2</v>
      </c>
      <c r="F53" s="66">
        <f t="shared" si="6"/>
        <v>60.6</v>
      </c>
      <c r="G53" s="66">
        <f t="shared" si="6"/>
        <v>248.1</v>
      </c>
      <c r="H53" s="66">
        <f t="shared" si="6"/>
        <v>122.2</v>
      </c>
      <c r="I53" s="66">
        <f t="shared" si="6"/>
        <v>880.3</v>
      </c>
      <c r="J53" s="66">
        <f t="shared" si="6"/>
        <v>300.60000000000002</v>
      </c>
      <c r="K53" s="66">
        <f t="shared" si="6"/>
        <v>303</v>
      </c>
      <c r="L53" s="66">
        <f t="shared" si="6"/>
        <v>16.7</v>
      </c>
      <c r="M53" s="66">
        <f t="shared" si="6"/>
        <v>58.1</v>
      </c>
      <c r="N53" s="67">
        <f t="shared" si="6"/>
        <v>120.3</v>
      </c>
      <c r="O53" s="68">
        <f t="shared" si="7"/>
        <v>2163.1</v>
      </c>
      <c r="P53" s="56">
        <f t="shared" si="8"/>
        <v>180.3</v>
      </c>
    </row>
    <row r="54" spans="2:16" ht="21.95" customHeight="1">
      <c r="B54" s="69" t="s">
        <v>19</v>
      </c>
      <c r="C54" s="70">
        <f>MAX(C44:C53)</f>
        <v>79.599999999999994</v>
      </c>
      <c r="D54" s="70">
        <f t="shared" ref="D54:P54" si="9">MAX(D44:D53)</f>
        <v>92.4</v>
      </c>
      <c r="E54" s="70">
        <f t="shared" si="9"/>
        <v>99.3</v>
      </c>
      <c r="F54" s="70">
        <f t="shared" si="9"/>
        <v>164.6</v>
      </c>
      <c r="G54" s="70">
        <f t="shared" si="9"/>
        <v>248.1</v>
      </c>
      <c r="H54" s="70">
        <f t="shared" si="9"/>
        <v>188.4</v>
      </c>
      <c r="I54" s="70">
        <f t="shared" si="9"/>
        <v>880.3</v>
      </c>
      <c r="J54" s="70">
        <f t="shared" si="9"/>
        <v>615.6</v>
      </c>
      <c r="K54" s="70">
        <f t="shared" si="9"/>
        <v>303</v>
      </c>
      <c r="L54" s="70">
        <f t="shared" si="9"/>
        <v>170.5</v>
      </c>
      <c r="M54" s="70">
        <f t="shared" si="9"/>
        <v>130</v>
      </c>
      <c r="N54" s="71">
        <f t="shared" si="9"/>
        <v>120.3</v>
      </c>
      <c r="O54" s="72">
        <f t="shared" si="9"/>
        <v>2163.1</v>
      </c>
      <c r="P54" s="71">
        <f t="shared" si="9"/>
        <v>180.3</v>
      </c>
    </row>
    <row r="55" spans="2:16" ht="21.95" customHeight="1">
      <c r="B55" s="73" t="s">
        <v>20</v>
      </c>
      <c r="C55" s="74">
        <f>MIN(C44:C53)</f>
        <v>0.5</v>
      </c>
      <c r="D55" s="74">
        <f t="shared" ref="D55:P55" si="10">MIN(D44:D53)</f>
        <v>2.5</v>
      </c>
      <c r="E55" s="74">
        <f t="shared" si="10"/>
        <v>8.8000000000000007</v>
      </c>
      <c r="F55" s="74">
        <f t="shared" si="10"/>
        <v>17.7</v>
      </c>
      <c r="G55" s="74">
        <f t="shared" si="10"/>
        <v>4</v>
      </c>
      <c r="H55" s="74">
        <f t="shared" si="10"/>
        <v>49.4</v>
      </c>
      <c r="I55" s="74">
        <f t="shared" si="10"/>
        <v>119.9</v>
      </c>
      <c r="J55" s="74">
        <f t="shared" si="10"/>
        <v>33.4</v>
      </c>
      <c r="K55" s="74">
        <f t="shared" si="10"/>
        <v>22</v>
      </c>
      <c r="L55" s="74">
        <f t="shared" si="10"/>
        <v>4.4000000000000004</v>
      </c>
      <c r="M55" s="74">
        <f t="shared" si="10"/>
        <v>17.100000000000001</v>
      </c>
      <c r="N55" s="51">
        <f t="shared" si="10"/>
        <v>3.4</v>
      </c>
      <c r="O55" s="64">
        <f>MIN(O44:O53)</f>
        <v>848.8</v>
      </c>
      <c r="P55" s="51">
        <f t="shared" si="10"/>
        <v>70.7</v>
      </c>
    </row>
    <row r="56" spans="2:16" ht="21.95" customHeight="1" thickBot="1">
      <c r="B56" s="75" t="s">
        <v>7</v>
      </c>
      <c r="C56" s="76">
        <f>ROUND(AVERAGE(C44:C53),1)</f>
        <v>23.7</v>
      </c>
      <c r="D56" s="76">
        <f t="shared" ref="D56:N56" si="11">ROUND(AVERAGE(D44:D53),1)</f>
        <v>33.700000000000003</v>
      </c>
      <c r="E56" s="76">
        <f t="shared" si="11"/>
        <v>47.8</v>
      </c>
      <c r="F56" s="76">
        <f t="shared" si="11"/>
        <v>85</v>
      </c>
      <c r="G56" s="76">
        <f t="shared" si="11"/>
        <v>93</v>
      </c>
      <c r="H56" s="76">
        <f t="shared" si="11"/>
        <v>94.9</v>
      </c>
      <c r="I56" s="76">
        <f t="shared" si="11"/>
        <v>318.7</v>
      </c>
      <c r="J56" s="76">
        <f t="shared" si="11"/>
        <v>256.5</v>
      </c>
      <c r="K56" s="76">
        <f t="shared" si="11"/>
        <v>148.69999999999999</v>
      </c>
      <c r="L56" s="76">
        <f t="shared" si="11"/>
        <v>85.3</v>
      </c>
      <c r="M56" s="76">
        <f t="shared" si="11"/>
        <v>60.2</v>
      </c>
      <c r="N56" s="56">
        <f t="shared" si="11"/>
        <v>42.1</v>
      </c>
      <c r="O56" s="68">
        <f>ROUND(AVERAGE(O44:O53),1)</f>
        <v>1289.5</v>
      </c>
      <c r="P56" s="56">
        <f>ROUND(AVERAGE(P44:P53),1)</f>
        <v>107.5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A3521-6F6F-4E7C-85DA-58481292675E}">
  <sheetPr codeName="Sheet16">
    <tabColor rgb="FF808080"/>
  </sheetPr>
  <dimension ref="A2:Q983"/>
  <sheetViews>
    <sheetView topLeftCell="A13" zoomScaleNormal="100" workbookViewId="0">
      <selection activeCell="W15" sqref="W1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258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17.899999999999999</v>
      </c>
      <c r="D6" s="12">
        <v>6</v>
      </c>
      <c r="E6" s="12">
        <v>58.2</v>
      </c>
      <c r="F6" s="12">
        <v>51.5</v>
      </c>
      <c r="G6" s="12">
        <v>135.5</v>
      </c>
      <c r="H6" s="12">
        <v>207</v>
      </c>
      <c r="I6" s="12">
        <v>137</v>
      </c>
      <c r="J6" s="13">
        <v>443.5</v>
      </c>
      <c r="K6" s="12">
        <v>21</v>
      </c>
      <c r="L6" s="12">
        <v>155</v>
      </c>
      <c r="M6" s="12">
        <v>17.5</v>
      </c>
      <c r="N6" s="14">
        <v>18.899999999999999</v>
      </c>
      <c r="O6" s="15">
        <f t="shared" ref="O6:O35" si="0">ROUND(SUM(C6:N6),1)</f>
        <v>1269</v>
      </c>
      <c r="P6" s="16">
        <f>ROUND(O6/12,1)</f>
        <v>105.8</v>
      </c>
      <c r="Q6" s="17"/>
    </row>
    <row r="7" spans="2:17" ht="21.95" customHeight="1">
      <c r="B7" s="18">
        <v>1995</v>
      </c>
      <c r="C7" s="19">
        <v>15.7</v>
      </c>
      <c r="D7" s="19">
        <v>11</v>
      </c>
      <c r="E7" s="19">
        <v>19.600000000000001</v>
      </c>
      <c r="F7" s="19">
        <v>65.5</v>
      </c>
      <c r="G7" s="19">
        <v>49.5</v>
      </c>
      <c r="H7" s="19">
        <v>26.5</v>
      </c>
      <c r="I7" s="19">
        <v>144.5</v>
      </c>
      <c r="J7" s="20">
        <v>996.5</v>
      </c>
      <c r="K7" s="19">
        <v>70.5</v>
      </c>
      <c r="L7" s="19">
        <v>24.5</v>
      </c>
      <c r="M7" s="19">
        <v>23</v>
      </c>
      <c r="N7" s="21">
        <v>12.7</v>
      </c>
      <c r="O7" s="15">
        <f t="shared" si="0"/>
        <v>1459.5</v>
      </c>
      <c r="P7" s="22">
        <f t="shared" ref="P7:P35" si="1">ROUND(O7/12,1)</f>
        <v>121.6</v>
      </c>
      <c r="Q7" s="17"/>
    </row>
    <row r="8" spans="2:17" ht="21.95" customHeight="1">
      <c r="B8" s="18">
        <v>1996</v>
      </c>
      <c r="C8" s="19">
        <v>33.4</v>
      </c>
      <c r="D8" s="19">
        <v>6.8</v>
      </c>
      <c r="E8" s="19">
        <v>104.5</v>
      </c>
      <c r="F8" s="19">
        <v>34</v>
      </c>
      <c r="G8" s="19">
        <v>22.5</v>
      </c>
      <c r="H8" s="19">
        <v>235</v>
      </c>
      <c r="I8" s="19">
        <v>192.5</v>
      </c>
      <c r="J8" s="19">
        <v>44.5</v>
      </c>
      <c r="K8" s="19">
        <v>14</v>
      </c>
      <c r="L8" s="19">
        <v>106.5</v>
      </c>
      <c r="M8" s="19">
        <v>74.2</v>
      </c>
      <c r="N8" s="21">
        <v>31.7</v>
      </c>
      <c r="O8" s="15">
        <f t="shared" si="0"/>
        <v>899.6</v>
      </c>
      <c r="P8" s="22">
        <f t="shared" si="1"/>
        <v>75</v>
      </c>
      <c r="Q8" s="17"/>
    </row>
    <row r="9" spans="2:17" ht="21.95" customHeight="1">
      <c r="B9" s="18">
        <v>1997</v>
      </c>
      <c r="C9" s="19">
        <v>15.1</v>
      </c>
      <c r="D9" s="19">
        <v>38.4</v>
      </c>
      <c r="E9" s="19">
        <v>30.5</v>
      </c>
      <c r="F9" s="19">
        <v>57.5</v>
      </c>
      <c r="G9" s="19">
        <v>203</v>
      </c>
      <c r="H9" s="19">
        <v>272</v>
      </c>
      <c r="I9" s="19">
        <v>353.5</v>
      </c>
      <c r="J9" s="19">
        <v>211.5</v>
      </c>
      <c r="K9" s="19">
        <v>23</v>
      </c>
      <c r="L9" s="19">
        <v>10</v>
      </c>
      <c r="M9" s="19">
        <v>193.5</v>
      </c>
      <c r="N9" s="21">
        <v>34.299999999999997</v>
      </c>
      <c r="O9" s="15">
        <f t="shared" si="0"/>
        <v>1442.3</v>
      </c>
      <c r="P9" s="22">
        <f t="shared" si="1"/>
        <v>120.2</v>
      </c>
      <c r="Q9" s="17"/>
    </row>
    <row r="10" spans="2:17" ht="21.95" customHeight="1">
      <c r="B10" s="18">
        <v>1998</v>
      </c>
      <c r="C10" s="19">
        <v>29.9</v>
      </c>
      <c r="D10" s="19">
        <v>40.200000000000003</v>
      </c>
      <c r="E10" s="19">
        <v>30.5</v>
      </c>
      <c r="F10" s="19">
        <v>138</v>
      </c>
      <c r="G10" s="19">
        <v>100</v>
      </c>
      <c r="H10" s="19">
        <v>209.5</v>
      </c>
      <c r="I10" s="19">
        <v>263</v>
      </c>
      <c r="J10" s="19">
        <v>341.7</v>
      </c>
      <c r="K10" s="19">
        <v>150.30000000000001</v>
      </c>
      <c r="L10" s="19">
        <v>61</v>
      </c>
      <c r="M10" s="19">
        <v>29.3</v>
      </c>
      <c r="N10" s="21">
        <v>3.8</v>
      </c>
      <c r="O10" s="15">
        <f t="shared" si="0"/>
        <v>1397.2</v>
      </c>
      <c r="P10" s="22">
        <f t="shared" si="1"/>
        <v>116.4</v>
      </c>
      <c r="Q10" s="17"/>
    </row>
    <row r="11" spans="2:17" ht="21.95" customHeight="1">
      <c r="B11" s="18">
        <v>1999</v>
      </c>
      <c r="C11" s="19">
        <v>7.9</v>
      </c>
      <c r="D11" s="19">
        <v>9.5</v>
      </c>
      <c r="E11" s="19">
        <v>71</v>
      </c>
      <c r="F11" s="19">
        <v>88.5</v>
      </c>
      <c r="G11" s="19">
        <v>124.5</v>
      </c>
      <c r="H11" s="19">
        <v>192.5</v>
      </c>
      <c r="I11" s="19">
        <v>98</v>
      </c>
      <c r="J11" s="19">
        <v>180</v>
      </c>
      <c r="K11" s="19">
        <v>292.5</v>
      </c>
      <c r="L11" s="19">
        <v>169</v>
      </c>
      <c r="M11" s="19">
        <v>24.9</v>
      </c>
      <c r="N11" s="21">
        <v>25.8</v>
      </c>
      <c r="O11" s="15">
        <f t="shared" si="0"/>
        <v>1284.0999999999999</v>
      </c>
      <c r="P11" s="22">
        <f t="shared" si="1"/>
        <v>107</v>
      </c>
      <c r="Q11" s="17"/>
    </row>
    <row r="12" spans="2:17" ht="21.95" customHeight="1">
      <c r="B12" s="18">
        <v>2000</v>
      </c>
      <c r="C12" s="19">
        <v>42.1</v>
      </c>
      <c r="D12" s="19">
        <v>3.2</v>
      </c>
      <c r="E12" s="19">
        <v>7</v>
      </c>
      <c r="F12" s="19">
        <v>35</v>
      </c>
      <c r="G12" s="19">
        <v>53.5</v>
      </c>
      <c r="H12" s="19">
        <v>159.5</v>
      </c>
      <c r="I12" s="19">
        <v>155</v>
      </c>
      <c r="J12" s="19">
        <v>701.5</v>
      </c>
      <c r="K12" s="19">
        <v>241</v>
      </c>
      <c r="L12" s="19">
        <v>46</v>
      </c>
      <c r="M12" s="19">
        <v>39.5</v>
      </c>
      <c r="N12" s="21">
        <v>32.1</v>
      </c>
      <c r="O12" s="15">
        <f t="shared" si="0"/>
        <v>1515.4</v>
      </c>
      <c r="P12" s="22">
        <f t="shared" si="1"/>
        <v>126.3</v>
      </c>
    </row>
    <row r="13" spans="2:17" ht="21.95" customHeight="1">
      <c r="B13" s="18">
        <v>2001</v>
      </c>
      <c r="C13" s="19">
        <v>73.3</v>
      </c>
      <c r="D13" s="19">
        <v>46</v>
      </c>
      <c r="E13" s="19">
        <v>15.9</v>
      </c>
      <c r="F13" s="19">
        <v>26</v>
      </c>
      <c r="G13" s="19">
        <v>17</v>
      </c>
      <c r="H13" s="19">
        <v>129</v>
      </c>
      <c r="I13" s="19">
        <v>286.5</v>
      </c>
      <c r="J13" s="19">
        <v>170</v>
      </c>
      <c r="K13" s="19">
        <v>10</v>
      </c>
      <c r="L13" s="19">
        <v>85</v>
      </c>
      <c r="M13" s="19">
        <v>13</v>
      </c>
      <c r="N13" s="21">
        <v>32</v>
      </c>
      <c r="O13" s="15">
        <f t="shared" si="0"/>
        <v>903.7</v>
      </c>
      <c r="P13" s="22">
        <f t="shared" si="1"/>
        <v>75.3</v>
      </c>
    </row>
    <row r="14" spans="2:17" ht="21.95" customHeight="1">
      <c r="B14" s="18">
        <v>2002</v>
      </c>
      <c r="C14" s="19">
        <v>50.8</v>
      </c>
      <c r="D14" s="19">
        <v>5.5</v>
      </c>
      <c r="E14" s="19">
        <v>32</v>
      </c>
      <c r="F14" s="19">
        <v>169</v>
      </c>
      <c r="G14" s="19">
        <v>155.5</v>
      </c>
      <c r="H14" s="19">
        <v>72</v>
      </c>
      <c r="I14" s="19">
        <v>217.5</v>
      </c>
      <c r="J14" s="19">
        <v>477</v>
      </c>
      <c r="K14" s="19">
        <v>27</v>
      </c>
      <c r="L14" s="19">
        <v>134</v>
      </c>
      <c r="M14" s="19">
        <v>61.1</v>
      </c>
      <c r="N14" s="21">
        <v>51.8</v>
      </c>
      <c r="O14" s="15">
        <f t="shared" si="0"/>
        <v>1453.2</v>
      </c>
      <c r="P14" s="22">
        <f t="shared" si="1"/>
        <v>121.1</v>
      </c>
    </row>
    <row r="15" spans="2:17" ht="21.95" customHeight="1">
      <c r="B15" s="18">
        <v>2003</v>
      </c>
      <c r="C15" s="19">
        <v>30.7</v>
      </c>
      <c r="D15" s="19">
        <v>44.5</v>
      </c>
      <c r="E15" s="19">
        <v>39.5</v>
      </c>
      <c r="F15" s="19">
        <v>168.5</v>
      </c>
      <c r="G15" s="19">
        <v>78.5</v>
      </c>
      <c r="H15" s="19">
        <v>153</v>
      </c>
      <c r="I15" s="19">
        <v>309.5</v>
      </c>
      <c r="J15" s="19">
        <v>310</v>
      </c>
      <c r="K15" s="19">
        <v>128</v>
      </c>
      <c r="L15" s="19">
        <v>23</v>
      </c>
      <c r="M15" s="19">
        <v>45.5</v>
      </c>
      <c r="N15" s="21">
        <v>13</v>
      </c>
      <c r="O15" s="15">
        <f t="shared" si="0"/>
        <v>1343.7</v>
      </c>
      <c r="P15" s="22">
        <f t="shared" si="1"/>
        <v>112</v>
      </c>
    </row>
    <row r="16" spans="2:17" ht="21.95" customHeight="1">
      <c r="B16" s="18">
        <v>2004</v>
      </c>
      <c r="C16" s="19">
        <v>22.1</v>
      </c>
      <c r="D16" s="19">
        <v>28.5</v>
      </c>
      <c r="E16" s="19">
        <v>45.7</v>
      </c>
      <c r="F16" s="19">
        <v>58</v>
      </c>
      <c r="G16" s="19">
        <v>105.5</v>
      </c>
      <c r="H16" s="19">
        <v>234.5</v>
      </c>
      <c r="I16" s="19">
        <v>263.5</v>
      </c>
      <c r="J16" s="19">
        <v>164</v>
      </c>
      <c r="K16" s="19">
        <v>195</v>
      </c>
      <c r="L16" s="19">
        <v>4</v>
      </c>
      <c r="M16" s="19">
        <v>56.5</v>
      </c>
      <c r="N16" s="21">
        <v>38.9</v>
      </c>
      <c r="O16" s="15">
        <f t="shared" si="0"/>
        <v>1216.2</v>
      </c>
      <c r="P16" s="22">
        <f t="shared" si="1"/>
        <v>101.4</v>
      </c>
    </row>
    <row r="17" spans="2:16" ht="21.95" customHeight="1">
      <c r="B17" s="18">
        <v>2005</v>
      </c>
      <c r="C17" s="19">
        <v>5.8</v>
      </c>
      <c r="D17" s="19">
        <v>35.799999999999997</v>
      </c>
      <c r="E17" s="19">
        <v>30</v>
      </c>
      <c r="F17" s="19">
        <v>73.5</v>
      </c>
      <c r="G17" s="19">
        <v>48.5</v>
      </c>
      <c r="H17" s="19">
        <v>156</v>
      </c>
      <c r="I17" s="19">
        <v>260.5</v>
      </c>
      <c r="J17" s="19">
        <v>291.5</v>
      </c>
      <c r="K17" s="19">
        <v>282.5</v>
      </c>
      <c r="L17" s="19">
        <v>21</v>
      </c>
      <c r="M17" s="19">
        <v>18</v>
      </c>
      <c r="N17" s="21">
        <v>43.4</v>
      </c>
      <c r="O17" s="15">
        <f t="shared" si="0"/>
        <v>1266.5</v>
      </c>
      <c r="P17" s="22">
        <f t="shared" si="1"/>
        <v>105.5</v>
      </c>
    </row>
    <row r="18" spans="2:16" ht="21.95" customHeight="1">
      <c r="B18" s="18">
        <v>2006</v>
      </c>
      <c r="C18" s="19">
        <v>27</v>
      </c>
      <c r="D18" s="19">
        <v>25.9</v>
      </c>
      <c r="E18" s="19">
        <v>10.6</v>
      </c>
      <c r="F18" s="19">
        <v>81.5</v>
      </c>
      <c r="G18" s="19">
        <v>94.5</v>
      </c>
      <c r="H18" s="19">
        <v>114.5</v>
      </c>
      <c r="I18" s="19">
        <v>321</v>
      </c>
      <c r="J18" s="19">
        <v>21.5</v>
      </c>
      <c r="K18" s="19">
        <v>23.5</v>
      </c>
      <c r="L18" s="19">
        <v>24.5</v>
      </c>
      <c r="M18" s="19">
        <v>61.5</v>
      </c>
      <c r="N18" s="21">
        <v>25.4</v>
      </c>
      <c r="O18" s="15">
        <f t="shared" si="0"/>
        <v>831.4</v>
      </c>
      <c r="P18" s="22">
        <f t="shared" si="1"/>
        <v>69.3</v>
      </c>
    </row>
    <row r="19" spans="2:16" ht="21.95" customHeight="1">
      <c r="B19" s="18">
        <v>2007</v>
      </c>
      <c r="C19" s="19">
        <v>23.4</v>
      </c>
      <c r="D19" s="19">
        <v>29.8</v>
      </c>
      <c r="E19" s="19">
        <v>102</v>
      </c>
      <c r="F19" s="19">
        <v>29.5</v>
      </c>
      <c r="G19" s="19">
        <v>79</v>
      </c>
      <c r="H19" s="19">
        <v>85</v>
      </c>
      <c r="I19" s="19">
        <v>214</v>
      </c>
      <c r="J19" s="19">
        <v>239.5</v>
      </c>
      <c r="K19" s="19">
        <v>384</v>
      </c>
      <c r="L19" s="19">
        <v>59</v>
      </c>
      <c r="M19" s="19">
        <v>17.5</v>
      </c>
      <c r="N19" s="21">
        <v>33.1</v>
      </c>
      <c r="O19" s="15">
        <f t="shared" si="0"/>
        <v>1295.8</v>
      </c>
      <c r="P19" s="22">
        <f t="shared" si="1"/>
        <v>108</v>
      </c>
    </row>
    <row r="20" spans="2:16" ht="21.95" customHeight="1">
      <c r="B20" s="18">
        <v>2008</v>
      </c>
      <c r="C20" s="19">
        <v>20.9</v>
      </c>
      <c r="D20" s="19">
        <v>10.8</v>
      </c>
      <c r="E20" s="19">
        <v>48.2</v>
      </c>
      <c r="F20" s="19">
        <v>40.5</v>
      </c>
      <c r="G20" s="19">
        <v>78.900000000000006</v>
      </c>
      <c r="H20" s="19">
        <v>101.3</v>
      </c>
      <c r="I20" s="19">
        <v>257.2</v>
      </c>
      <c r="J20" s="19">
        <v>119.5</v>
      </c>
      <c r="K20" s="19">
        <v>46.9</v>
      </c>
      <c r="L20" s="19">
        <v>26.7</v>
      </c>
      <c r="M20" s="19">
        <v>37.6</v>
      </c>
      <c r="N20" s="21">
        <v>25</v>
      </c>
      <c r="O20" s="15">
        <f t="shared" si="0"/>
        <v>813.5</v>
      </c>
      <c r="P20" s="22">
        <f t="shared" si="1"/>
        <v>67.8</v>
      </c>
    </row>
    <row r="21" spans="2:16" ht="21.95" customHeight="1">
      <c r="B21" s="18">
        <v>2009</v>
      </c>
      <c r="C21" s="19">
        <v>18.5</v>
      </c>
      <c r="D21" s="19">
        <v>23.3</v>
      </c>
      <c r="E21" s="19">
        <v>55.1</v>
      </c>
      <c r="F21" s="19">
        <v>41.5</v>
      </c>
      <c r="G21" s="19">
        <v>154.5</v>
      </c>
      <c r="H21" s="19">
        <v>115.1</v>
      </c>
      <c r="I21" s="19">
        <v>320.89999999999998</v>
      </c>
      <c r="J21" s="19">
        <v>176.6</v>
      </c>
      <c r="K21" s="19">
        <v>25.5</v>
      </c>
      <c r="L21" s="19">
        <v>39.5</v>
      </c>
      <c r="M21" s="19">
        <v>52.9</v>
      </c>
      <c r="N21" s="21">
        <v>58</v>
      </c>
      <c r="O21" s="15">
        <f t="shared" si="0"/>
        <v>1081.4000000000001</v>
      </c>
      <c r="P21" s="22">
        <f t="shared" si="1"/>
        <v>90.1</v>
      </c>
    </row>
    <row r="22" spans="2:16" ht="21.95" customHeight="1">
      <c r="B22" s="18">
        <v>2010</v>
      </c>
      <c r="C22" s="19">
        <v>30.1</v>
      </c>
      <c r="D22" s="19">
        <v>73.5</v>
      </c>
      <c r="E22" s="19">
        <v>75.900000000000006</v>
      </c>
      <c r="F22" s="19">
        <v>58.5</v>
      </c>
      <c r="G22" s="19">
        <v>122.8</v>
      </c>
      <c r="H22" s="19">
        <v>60.8</v>
      </c>
      <c r="I22" s="19">
        <v>396.5</v>
      </c>
      <c r="J22" s="19">
        <v>402.7</v>
      </c>
      <c r="K22" s="19">
        <v>213.1</v>
      </c>
      <c r="L22" s="19">
        <v>19.2</v>
      </c>
      <c r="M22" s="19">
        <v>16.3</v>
      </c>
      <c r="N22" s="21">
        <v>32.9</v>
      </c>
      <c r="O22" s="15">
        <f t="shared" si="0"/>
        <v>1502.3</v>
      </c>
      <c r="P22" s="22">
        <f t="shared" si="1"/>
        <v>125.2</v>
      </c>
    </row>
    <row r="23" spans="2:16" ht="21.95" customHeight="1">
      <c r="B23" s="18">
        <v>2011</v>
      </c>
      <c r="C23" s="19">
        <v>11.1</v>
      </c>
      <c r="D23" s="19">
        <v>37.5</v>
      </c>
      <c r="E23" s="19">
        <v>18</v>
      </c>
      <c r="F23" s="19">
        <v>72.099999999999994</v>
      </c>
      <c r="G23" s="19">
        <v>115.3</v>
      </c>
      <c r="H23" s="19">
        <v>318</v>
      </c>
      <c r="I23" s="19">
        <v>723.1</v>
      </c>
      <c r="J23" s="19">
        <v>289.39999999999998</v>
      </c>
      <c r="K23" s="19">
        <v>70.8</v>
      </c>
      <c r="L23" s="19">
        <v>13.9</v>
      </c>
      <c r="M23" s="19">
        <v>61.3</v>
      </c>
      <c r="N23" s="21">
        <v>12.5</v>
      </c>
      <c r="O23" s="15">
        <f t="shared" si="0"/>
        <v>1743</v>
      </c>
      <c r="P23" s="22">
        <f t="shared" si="1"/>
        <v>145.30000000000001</v>
      </c>
    </row>
    <row r="24" spans="2:16" ht="21.95" customHeight="1">
      <c r="B24" s="18">
        <v>2012</v>
      </c>
      <c r="C24" s="19">
        <v>24.2</v>
      </c>
      <c r="D24" s="19">
        <v>9.1999999999999993</v>
      </c>
      <c r="E24" s="19">
        <v>45</v>
      </c>
      <c r="F24" s="19">
        <v>68.900000000000006</v>
      </c>
      <c r="G24" s="19">
        <v>14.6</v>
      </c>
      <c r="H24" s="19">
        <v>76.8</v>
      </c>
      <c r="I24" s="19">
        <v>231.1</v>
      </c>
      <c r="J24" s="19">
        <v>450.2</v>
      </c>
      <c r="K24" s="19">
        <v>207.7</v>
      </c>
      <c r="L24" s="19">
        <v>65</v>
      </c>
      <c r="M24" s="19">
        <v>61.1</v>
      </c>
      <c r="N24" s="21">
        <v>65.2</v>
      </c>
      <c r="O24" s="15">
        <f t="shared" si="0"/>
        <v>1319</v>
      </c>
      <c r="P24" s="22">
        <f t="shared" si="1"/>
        <v>109.9</v>
      </c>
    </row>
    <row r="25" spans="2:16" ht="21.95" customHeight="1">
      <c r="B25" s="18">
        <v>2013</v>
      </c>
      <c r="C25" s="19">
        <v>28.4</v>
      </c>
      <c r="D25" s="19">
        <v>40.700000000000003</v>
      </c>
      <c r="E25" s="19">
        <v>53.4</v>
      </c>
      <c r="F25" s="19">
        <v>68.2</v>
      </c>
      <c r="G25" s="19">
        <v>116.6</v>
      </c>
      <c r="H25" s="19">
        <v>159.9</v>
      </c>
      <c r="I25" s="19">
        <v>267.5</v>
      </c>
      <c r="J25" s="19">
        <v>214.6</v>
      </c>
      <c r="K25" s="19">
        <v>320</v>
      </c>
      <c r="L25" s="19">
        <v>10.9</v>
      </c>
      <c r="M25" s="19">
        <v>81.099999999999994</v>
      </c>
      <c r="N25" s="21">
        <v>26.4</v>
      </c>
      <c r="O25" s="15">
        <f t="shared" si="0"/>
        <v>1387.7</v>
      </c>
      <c r="P25" s="22">
        <f t="shared" si="1"/>
        <v>115.6</v>
      </c>
    </row>
    <row r="26" spans="2:16" ht="21.95" customHeight="1">
      <c r="B26" s="18">
        <v>2014</v>
      </c>
      <c r="C26" s="19">
        <v>3.4</v>
      </c>
      <c r="D26" s="19">
        <v>20.5</v>
      </c>
      <c r="E26" s="19">
        <v>56.3</v>
      </c>
      <c r="F26" s="19">
        <v>70</v>
      </c>
      <c r="G26" s="19">
        <v>47.1</v>
      </c>
      <c r="H26" s="19">
        <v>125.8</v>
      </c>
      <c r="I26" s="19">
        <v>104</v>
      </c>
      <c r="J26" s="19">
        <v>168.5</v>
      </c>
      <c r="K26" s="19">
        <v>152</v>
      </c>
      <c r="L26" s="19">
        <v>156</v>
      </c>
      <c r="M26" s="19">
        <v>39.9</v>
      </c>
      <c r="N26" s="21">
        <v>66.599999999999994</v>
      </c>
      <c r="O26" s="15">
        <f t="shared" si="0"/>
        <v>1010.1</v>
      </c>
      <c r="P26" s="22">
        <f t="shared" si="1"/>
        <v>84.2</v>
      </c>
    </row>
    <row r="27" spans="2:16" ht="21.95" customHeight="1">
      <c r="B27" s="18">
        <v>2015</v>
      </c>
      <c r="C27" s="19">
        <v>29.9</v>
      </c>
      <c r="D27" s="19">
        <v>23.4</v>
      </c>
      <c r="E27" s="19">
        <v>30.9</v>
      </c>
      <c r="F27" s="19">
        <v>129.69999999999999</v>
      </c>
      <c r="G27" s="19">
        <v>38.799999999999997</v>
      </c>
      <c r="H27" s="19">
        <v>83.9</v>
      </c>
      <c r="I27" s="19">
        <v>94.7</v>
      </c>
      <c r="J27" s="19">
        <v>30.2</v>
      </c>
      <c r="K27" s="19">
        <v>13.3</v>
      </c>
      <c r="L27" s="19">
        <v>90</v>
      </c>
      <c r="M27" s="19">
        <v>155.6</v>
      </c>
      <c r="N27" s="21">
        <v>65</v>
      </c>
      <c r="O27" s="15">
        <f t="shared" si="0"/>
        <v>785.4</v>
      </c>
      <c r="P27" s="22">
        <f t="shared" si="1"/>
        <v>65.5</v>
      </c>
    </row>
    <row r="28" spans="2:16" ht="21.95" customHeight="1">
      <c r="B28" s="18">
        <v>2016</v>
      </c>
      <c r="C28" s="19">
        <v>7.8</v>
      </c>
      <c r="D28" s="19">
        <v>54.2</v>
      </c>
      <c r="E28" s="19">
        <v>18.7</v>
      </c>
      <c r="F28" s="19">
        <v>105.1</v>
      </c>
      <c r="G28" s="19">
        <v>146.5</v>
      </c>
      <c r="H28" s="19">
        <v>23.7</v>
      </c>
      <c r="I28" s="19">
        <v>200.2</v>
      </c>
      <c r="J28" s="19">
        <v>5.0999999999999996</v>
      </c>
      <c r="K28" s="19">
        <v>73.400000000000006</v>
      </c>
      <c r="L28" s="19">
        <v>108</v>
      </c>
      <c r="M28" s="19">
        <v>5.6</v>
      </c>
      <c r="N28" s="21">
        <v>44.5</v>
      </c>
      <c r="O28" s="15">
        <f t="shared" si="0"/>
        <v>792.8</v>
      </c>
      <c r="P28" s="22">
        <f t="shared" si="1"/>
        <v>66.099999999999994</v>
      </c>
    </row>
    <row r="29" spans="2:16" ht="21.95" customHeight="1">
      <c r="B29" s="18">
        <v>2017</v>
      </c>
      <c r="C29" s="19">
        <v>14.8</v>
      </c>
      <c r="D29" s="19">
        <v>30.2</v>
      </c>
      <c r="E29" s="19">
        <v>14.4</v>
      </c>
      <c r="F29" s="19">
        <v>57.6</v>
      </c>
      <c r="G29" s="19">
        <v>58.9</v>
      </c>
      <c r="H29" s="19">
        <v>21.1</v>
      </c>
      <c r="I29" s="19">
        <v>278.10000000000002</v>
      </c>
      <c r="J29" s="19">
        <v>210</v>
      </c>
      <c r="K29" s="19">
        <v>90</v>
      </c>
      <c r="L29" s="19">
        <v>26.6</v>
      </c>
      <c r="M29" s="19">
        <v>15.9</v>
      </c>
      <c r="N29" s="21">
        <v>38.6</v>
      </c>
      <c r="O29" s="15">
        <f t="shared" si="0"/>
        <v>856.2</v>
      </c>
      <c r="P29" s="22">
        <f t="shared" si="1"/>
        <v>71.400000000000006</v>
      </c>
    </row>
    <row r="30" spans="2:16" ht="21.95" customHeight="1">
      <c r="B30" s="18">
        <v>2018</v>
      </c>
      <c r="C30" s="19">
        <v>15</v>
      </c>
      <c r="D30" s="19">
        <v>33.6</v>
      </c>
      <c r="E30" s="19">
        <v>92</v>
      </c>
      <c r="F30" s="19">
        <v>128.1</v>
      </c>
      <c r="G30" s="19">
        <v>104.5</v>
      </c>
      <c r="H30" s="19">
        <v>71</v>
      </c>
      <c r="I30" s="19">
        <v>262.7</v>
      </c>
      <c r="J30" s="19">
        <v>239.6</v>
      </c>
      <c r="K30" s="19">
        <v>158.19999999999999</v>
      </c>
      <c r="L30" s="19">
        <v>154.69999999999999</v>
      </c>
      <c r="M30" s="19">
        <v>46.7</v>
      </c>
      <c r="N30" s="21">
        <v>31.1</v>
      </c>
      <c r="O30" s="15">
        <f t="shared" si="0"/>
        <v>1337.2</v>
      </c>
      <c r="P30" s="22">
        <f t="shared" si="1"/>
        <v>111.4</v>
      </c>
    </row>
    <row r="31" spans="2:16" ht="21.95" customHeight="1">
      <c r="B31" s="18">
        <v>2019</v>
      </c>
      <c r="C31" s="19">
        <v>1.9</v>
      </c>
      <c r="D31" s="19">
        <v>17.8</v>
      </c>
      <c r="E31" s="19">
        <v>18.2</v>
      </c>
      <c r="F31" s="19">
        <v>71.900000000000006</v>
      </c>
      <c r="G31" s="19">
        <v>31.3</v>
      </c>
      <c r="H31" s="19">
        <v>56</v>
      </c>
      <c r="I31" s="19">
        <v>149</v>
      </c>
      <c r="J31" s="19">
        <v>131.30000000000001</v>
      </c>
      <c r="K31" s="19">
        <v>118.7</v>
      </c>
      <c r="L31" s="19">
        <v>63.9</v>
      </c>
      <c r="M31" s="19">
        <v>130.6</v>
      </c>
      <c r="N31" s="21">
        <v>31.3</v>
      </c>
      <c r="O31" s="15">
        <f t="shared" si="0"/>
        <v>821.9</v>
      </c>
      <c r="P31" s="22">
        <f t="shared" si="1"/>
        <v>68.5</v>
      </c>
    </row>
    <row r="32" spans="2:16" ht="21.95" customHeight="1">
      <c r="B32" s="18">
        <v>2020</v>
      </c>
      <c r="C32" s="19">
        <v>49.4</v>
      </c>
      <c r="D32" s="19">
        <v>75.3</v>
      </c>
      <c r="E32" s="19">
        <v>22.8</v>
      </c>
      <c r="F32" s="19">
        <v>16.5</v>
      </c>
      <c r="G32" s="19">
        <v>92.4</v>
      </c>
      <c r="H32" s="19">
        <v>139.69999999999999</v>
      </c>
      <c r="I32" s="19">
        <v>345.9</v>
      </c>
      <c r="J32" s="19">
        <v>321.5</v>
      </c>
      <c r="K32" s="19">
        <v>177.1</v>
      </c>
      <c r="L32" s="19">
        <v>16.2</v>
      </c>
      <c r="M32" s="19">
        <v>35.4</v>
      </c>
      <c r="N32" s="21">
        <v>9.6999999999999993</v>
      </c>
      <c r="O32" s="15">
        <f t="shared" si="0"/>
        <v>1301.9000000000001</v>
      </c>
      <c r="P32" s="22">
        <f t="shared" si="1"/>
        <v>108.5</v>
      </c>
    </row>
    <row r="33" spans="2:16" ht="21.95" customHeight="1">
      <c r="B33" s="18">
        <v>2021</v>
      </c>
      <c r="C33" s="19">
        <v>32</v>
      </c>
      <c r="D33" s="19">
        <v>18.7</v>
      </c>
      <c r="E33" s="19">
        <v>76.099999999999994</v>
      </c>
      <c r="F33" s="19">
        <v>43.4</v>
      </c>
      <c r="G33" s="19">
        <v>110</v>
      </c>
      <c r="H33" s="19">
        <v>55</v>
      </c>
      <c r="I33" s="19">
        <v>131.30000000000001</v>
      </c>
      <c r="J33" s="19">
        <v>253.7</v>
      </c>
      <c r="K33" s="19">
        <v>215.9</v>
      </c>
      <c r="L33" s="19">
        <v>39.6</v>
      </c>
      <c r="M33" s="19">
        <v>117.8</v>
      </c>
      <c r="N33" s="21">
        <v>14.4</v>
      </c>
      <c r="O33" s="15">
        <f t="shared" si="0"/>
        <v>1107.9000000000001</v>
      </c>
      <c r="P33" s="22">
        <f t="shared" si="1"/>
        <v>92.3</v>
      </c>
    </row>
    <row r="34" spans="2:16" ht="21.95" customHeight="1">
      <c r="B34" s="18">
        <v>2022</v>
      </c>
      <c r="C34" s="19">
        <v>8.4</v>
      </c>
      <c r="D34" s="19">
        <v>5.3</v>
      </c>
      <c r="E34" s="19">
        <v>60.9</v>
      </c>
      <c r="F34" s="19">
        <v>34.799999999999997</v>
      </c>
      <c r="G34" s="19">
        <v>5.7</v>
      </c>
      <c r="H34" s="19">
        <v>225</v>
      </c>
      <c r="I34" s="19">
        <v>119.9</v>
      </c>
      <c r="J34" s="19">
        <v>637.1</v>
      </c>
      <c r="K34" s="19">
        <v>102</v>
      </c>
      <c r="L34" s="19">
        <v>112</v>
      </c>
      <c r="M34" s="19">
        <v>23.3</v>
      </c>
      <c r="N34" s="21">
        <v>14</v>
      </c>
      <c r="O34" s="15">
        <f t="shared" si="0"/>
        <v>1348.4</v>
      </c>
      <c r="P34" s="22">
        <f t="shared" si="1"/>
        <v>112.4</v>
      </c>
    </row>
    <row r="35" spans="2:16" ht="21.95" customHeight="1" thickBot="1">
      <c r="B35" s="38">
        <v>2023</v>
      </c>
      <c r="C35" s="39">
        <v>19.2</v>
      </c>
      <c r="D35" s="39">
        <v>0.4</v>
      </c>
      <c r="E35" s="39">
        <v>7.2</v>
      </c>
      <c r="F35" s="39">
        <v>42.4</v>
      </c>
      <c r="G35" s="39">
        <v>190.8</v>
      </c>
      <c r="H35" s="39">
        <v>95.1</v>
      </c>
      <c r="I35" s="39">
        <v>772.2</v>
      </c>
      <c r="J35" s="39">
        <v>107.8</v>
      </c>
      <c r="K35" s="39">
        <v>288.39999999999998</v>
      </c>
      <c r="L35" s="39">
        <v>25.5</v>
      </c>
      <c r="M35" s="39">
        <v>65.2</v>
      </c>
      <c r="N35" s="40">
        <v>110.6</v>
      </c>
      <c r="O35" s="41">
        <f t="shared" si="0"/>
        <v>1724.8</v>
      </c>
      <c r="P35" s="42">
        <f t="shared" si="1"/>
        <v>143.69999999999999</v>
      </c>
    </row>
    <row r="36" spans="2:16" ht="21.95" customHeight="1">
      <c r="B36" s="43" t="s">
        <v>13</v>
      </c>
      <c r="C36" s="44">
        <f>ROUND(MAX(C6:C35),1)</f>
        <v>73.3</v>
      </c>
      <c r="D36" s="44">
        <f t="shared" ref="D36:N36" si="2">ROUND(MAX(D6:D35),1)</f>
        <v>75.3</v>
      </c>
      <c r="E36" s="44">
        <f t="shared" si="2"/>
        <v>104.5</v>
      </c>
      <c r="F36" s="44">
        <f t="shared" si="2"/>
        <v>169</v>
      </c>
      <c r="G36" s="44">
        <f t="shared" si="2"/>
        <v>203</v>
      </c>
      <c r="H36" s="44">
        <f t="shared" si="2"/>
        <v>318</v>
      </c>
      <c r="I36" s="44">
        <f t="shared" si="2"/>
        <v>772.2</v>
      </c>
      <c r="J36" s="44">
        <f t="shared" si="2"/>
        <v>996.5</v>
      </c>
      <c r="K36" s="44">
        <f t="shared" si="2"/>
        <v>384</v>
      </c>
      <c r="L36" s="44">
        <f t="shared" si="2"/>
        <v>169</v>
      </c>
      <c r="M36" s="44">
        <f t="shared" si="2"/>
        <v>193.5</v>
      </c>
      <c r="N36" s="45">
        <f t="shared" si="2"/>
        <v>110.6</v>
      </c>
      <c r="O36" s="46">
        <f>ROUND(MAX(O6:O35),1)</f>
        <v>1743</v>
      </c>
      <c r="P36" s="47">
        <f>ROUND(MAX(P6:P35),1)</f>
        <v>145.30000000000001</v>
      </c>
    </row>
    <row r="37" spans="2:16" ht="21.95" customHeight="1">
      <c r="B37" s="48" t="s">
        <v>14</v>
      </c>
      <c r="C37" s="49">
        <f>ROUND(MIN(C6:C35),1)</f>
        <v>1.9</v>
      </c>
      <c r="D37" s="49">
        <f t="shared" ref="D37:N37" si="3">ROUND(MIN(D6:D35),1)</f>
        <v>0.4</v>
      </c>
      <c r="E37" s="49">
        <f t="shared" si="3"/>
        <v>7</v>
      </c>
      <c r="F37" s="49">
        <f t="shared" si="3"/>
        <v>16.5</v>
      </c>
      <c r="G37" s="49">
        <f t="shared" si="3"/>
        <v>5.7</v>
      </c>
      <c r="H37" s="49">
        <f t="shared" si="3"/>
        <v>21.1</v>
      </c>
      <c r="I37" s="49">
        <f t="shared" si="3"/>
        <v>94.7</v>
      </c>
      <c r="J37" s="49">
        <f t="shared" si="3"/>
        <v>5.0999999999999996</v>
      </c>
      <c r="K37" s="49">
        <f t="shared" si="3"/>
        <v>10</v>
      </c>
      <c r="L37" s="49">
        <f t="shared" si="3"/>
        <v>4</v>
      </c>
      <c r="M37" s="49">
        <f t="shared" si="3"/>
        <v>5.6</v>
      </c>
      <c r="N37" s="22">
        <f t="shared" si="3"/>
        <v>3.8</v>
      </c>
      <c r="O37" s="50">
        <f>ROUND(MIN(O6:O35),1)</f>
        <v>785.4</v>
      </c>
      <c r="P37" s="51">
        <f>ROUND(MIN(P6:P35),1)</f>
        <v>65.5</v>
      </c>
    </row>
    <row r="38" spans="2:16" ht="21.95" customHeight="1" thickBot="1">
      <c r="B38" s="52" t="s">
        <v>18</v>
      </c>
      <c r="C38" s="53">
        <f>ROUND(AVERAGE(C6:C35),1)</f>
        <v>23.7</v>
      </c>
      <c r="D38" s="53">
        <f t="shared" ref="D38:P38" si="4">ROUND(AVERAGE(D6:D35),1)</f>
        <v>26.9</v>
      </c>
      <c r="E38" s="53">
        <f t="shared" si="4"/>
        <v>43</v>
      </c>
      <c r="F38" s="53">
        <f t="shared" si="4"/>
        <v>70.8</v>
      </c>
      <c r="G38" s="53">
        <f t="shared" si="4"/>
        <v>89.9</v>
      </c>
      <c r="H38" s="53">
        <f t="shared" si="4"/>
        <v>132.5</v>
      </c>
      <c r="I38" s="53">
        <f t="shared" si="4"/>
        <v>262.3</v>
      </c>
      <c r="J38" s="53">
        <f t="shared" si="4"/>
        <v>278.39999999999998</v>
      </c>
      <c r="K38" s="53">
        <f t="shared" si="4"/>
        <v>137.80000000000001</v>
      </c>
      <c r="L38" s="53">
        <f t="shared" si="4"/>
        <v>63</v>
      </c>
      <c r="M38" s="53">
        <f t="shared" si="4"/>
        <v>54</v>
      </c>
      <c r="N38" s="54">
        <f t="shared" si="4"/>
        <v>34.799999999999997</v>
      </c>
      <c r="O38" s="55">
        <f t="shared" si="4"/>
        <v>1217</v>
      </c>
      <c r="P38" s="56">
        <f t="shared" si="4"/>
        <v>101.4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3.4</v>
      </c>
      <c r="D44" s="62">
        <f t="shared" si="5"/>
        <v>20.5</v>
      </c>
      <c r="E44" s="62">
        <f t="shared" si="5"/>
        <v>56.3</v>
      </c>
      <c r="F44" s="62">
        <f t="shared" si="5"/>
        <v>70</v>
      </c>
      <c r="G44" s="62">
        <f t="shared" si="5"/>
        <v>47.1</v>
      </c>
      <c r="H44" s="62">
        <f t="shared" si="5"/>
        <v>125.8</v>
      </c>
      <c r="I44" s="62">
        <f t="shared" si="5"/>
        <v>104</v>
      </c>
      <c r="J44" s="62">
        <f t="shared" si="5"/>
        <v>168.5</v>
      </c>
      <c r="K44" s="62">
        <f t="shared" si="5"/>
        <v>152</v>
      </c>
      <c r="L44" s="62">
        <f t="shared" si="5"/>
        <v>156</v>
      </c>
      <c r="M44" s="62">
        <f t="shared" si="5"/>
        <v>39.9</v>
      </c>
      <c r="N44" s="63">
        <f t="shared" si="5"/>
        <v>66.599999999999994</v>
      </c>
      <c r="O44" s="64">
        <f>ROUND(SUM(C44:N44),1)</f>
        <v>1010.1</v>
      </c>
      <c r="P44" s="51">
        <f>ROUND(O44/12,1)</f>
        <v>84.2</v>
      </c>
    </row>
    <row r="45" spans="2:16" ht="21.95" customHeight="1">
      <c r="B45" s="61">
        <f t="shared" ref="B45:N53" si="6">B27</f>
        <v>2015</v>
      </c>
      <c r="C45" s="62">
        <f t="shared" si="6"/>
        <v>29.9</v>
      </c>
      <c r="D45" s="62">
        <f t="shared" si="6"/>
        <v>23.4</v>
      </c>
      <c r="E45" s="62">
        <f t="shared" si="6"/>
        <v>30.9</v>
      </c>
      <c r="F45" s="62">
        <f t="shared" si="6"/>
        <v>129.69999999999999</v>
      </c>
      <c r="G45" s="62">
        <f t="shared" si="6"/>
        <v>38.799999999999997</v>
      </c>
      <c r="H45" s="62">
        <f t="shared" si="6"/>
        <v>83.9</v>
      </c>
      <c r="I45" s="62">
        <f t="shared" si="6"/>
        <v>94.7</v>
      </c>
      <c r="J45" s="62">
        <f t="shared" si="6"/>
        <v>30.2</v>
      </c>
      <c r="K45" s="62">
        <f t="shared" si="6"/>
        <v>13.3</v>
      </c>
      <c r="L45" s="62">
        <f t="shared" si="6"/>
        <v>90</v>
      </c>
      <c r="M45" s="62">
        <f t="shared" si="6"/>
        <v>155.6</v>
      </c>
      <c r="N45" s="63">
        <f t="shared" si="6"/>
        <v>65</v>
      </c>
      <c r="O45" s="64">
        <f t="shared" ref="O45:O53" si="7">ROUND(SUM(C45:N45),1)</f>
        <v>785.4</v>
      </c>
      <c r="P45" s="51">
        <f t="shared" ref="P45:P53" si="8">ROUND(O45/12,1)</f>
        <v>65.5</v>
      </c>
    </row>
    <row r="46" spans="2:16" ht="21.95" customHeight="1">
      <c r="B46" s="61">
        <f t="shared" si="6"/>
        <v>2016</v>
      </c>
      <c r="C46" s="62">
        <f t="shared" si="6"/>
        <v>7.8</v>
      </c>
      <c r="D46" s="62">
        <f t="shared" si="6"/>
        <v>54.2</v>
      </c>
      <c r="E46" s="62">
        <f t="shared" si="6"/>
        <v>18.7</v>
      </c>
      <c r="F46" s="62">
        <f t="shared" si="6"/>
        <v>105.1</v>
      </c>
      <c r="G46" s="62">
        <f t="shared" si="6"/>
        <v>146.5</v>
      </c>
      <c r="H46" s="62">
        <f t="shared" si="6"/>
        <v>23.7</v>
      </c>
      <c r="I46" s="62">
        <f t="shared" si="6"/>
        <v>200.2</v>
      </c>
      <c r="J46" s="62">
        <f t="shared" si="6"/>
        <v>5.0999999999999996</v>
      </c>
      <c r="K46" s="62">
        <f t="shared" si="6"/>
        <v>73.400000000000006</v>
      </c>
      <c r="L46" s="62">
        <f t="shared" si="6"/>
        <v>108</v>
      </c>
      <c r="M46" s="62">
        <f t="shared" si="6"/>
        <v>5.6</v>
      </c>
      <c r="N46" s="63">
        <f t="shared" si="6"/>
        <v>44.5</v>
      </c>
      <c r="O46" s="64">
        <f t="shared" si="7"/>
        <v>792.8</v>
      </c>
      <c r="P46" s="51">
        <f t="shared" si="8"/>
        <v>66.099999999999994</v>
      </c>
    </row>
    <row r="47" spans="2:16" ht="21.95" customHeight="1">
      <c r="B47" s="61">
        <f t="shared" si="6"/>
        <v>2017</v>
      </c>
      <c r="C47" s="62">
        <f t="shared" si="6"/>
        <v>14.8</v>
      </c>
      <c r="D47" s="62">
        <f t="shared" si="6"/>
        <v>30.2</v>
      </c>
      <c r="E47" s="62">
        <f t="shared" si="6"/>
        <v>14.4</v>
      </c>
      <c r="F47" s="62">
        <f t="shared" si="6"/>
        <v>57.6</v>
      </c>
      <c r="G47" s="62">
        <f t="shared" si="6"/>
        <v>58.9</v>
      </c>
      <c r="H47" s="62">
        <f t="shared" si="6"/>
        <v>21.1</v>
      </c>
      <c r="I47" s="62">
        <f t="shared" si="6"/>
        <v>278.10000000000002</v>
      </c>
      <c r="J47" s="62">
        <f t="shared" si="6"/>
        <v>210</v>
      </c>
      <c r="K47" s="62">
        <f t="shared" si="6"/>
        <v>90</v>
      </c>
      <c r="L47" s="62">
        <f t="shared" si="6"/>
        <v>26.6</v>
      </c>
      <c r="M47" s="62">
        <f t="shared" si="6"/>
        <v>15.9</v>
      </c>
      <c r="N47" s="63">
        <f t="shared" si="6"/>
        <v>38.6</v>
      </c>
      <c r="O47" s="64">
        <f>ROUND(SUM(C47:N47),1)</f>
        <v>856.2</v>
      </c>
      <c r="P47" s="51">
        <f t="shared" si="8"/>
        <v>71.400000000000006</v>
      </c>
    </row>
    <row r="48" spans="2:16" ht="21.95" customHeight="1">
      <c r="B48" s="61">
        <f t="shared" si="6"/>
        <v>2018</v>
      </c>
      <c r="C48" s="62">
        <f t="shared" si="6"/>
        <v>15</v>
      </c>
      <c r="D48" s="62">
        <f t="shared" si="6"/>
        <v>33.6</v>
      </c>
      <c r="E48" s="62">
        <f t="shared" si="6"/>
        <v>92</v>
      </c>
      <c r="F48" s="62">
        <f t="shared" si="6"/>
        <v>128.1</v>
      </c>
      <c r="G48" s="62">
        <f t="shared" si="6"/>
        <v>104.5</v>
      </c>
      <c r="H48" s="62">
        <f t="shared" si="6"/>
        <v>71</v>
      </c>
      <c r="I48" s="62">
        <f t="shared" si="6"/>
        <v>262.7</v>
      </c>
      <c r="J48" s="62">
        <f t="shared" si="6"/>
        <v>239.6</v>
      </c>
      <c r="K48" s="62">
        <f t="shared" si="6"/>
        <v>158.19999999999999</v>
      </c>
      <c r="L48" s="62">
        <f t="shared" si="6"/>
        <v>154.69999999999999</v>
      </c>
      <c r="M48" s="62">
        <f t="shared" si="6"/>
        <v>46.7</v>
      </c>
      <c r="N48" s="63">
        <f t="shared" si="6"/>
        <v>31.1</v>
      </c>
      <c r="O48" s="64">
        <f t="shared" si="7"/>
        <v>1337.2</v>
      </c>
      <c r="P48" s="51">
        <f t="shared" si="8"/>
        <v>111.4</v>
      </c>
    </row>
    <row r="49" spans="2:16" ht="21.95" customHeight="1">
      <c r="B49" s="61">
        <f t="shared" si="6"/>
        <v>2019</v>
      </c>
      <c r="C49" s="62">
        <f t="shared" si="6"/>
        <v>1.9</v>
      </c>
      <c r="D49" s="62">
        <f t="shared" si="6"/>
        <v>17.8</v>
      </c>
      <c r="E49" s="62">
        <f t="shared" si="6"/>
        <v>18.2</v>
      </c>
      <c r="F49" s="62">
        <f t="shared" si="6"/>
        <v>71.900000000000006</v>
      </c>
      <c r="G49" s="62">
        <f t="shared" si="6"/>
        <v>31.3</v>
      </c>
      <c r="H49" s="62">
        <f t="shared" si="6"/>
        <v>56</v>
      </c>
      <c r="I49" s="62">
        <f t="shared" si="6"/>
        <v>149</v>
      </c>
      <c r="J49" s="62">
        <f t="shared" si="6"/>
        <v>131.30000000000001</v>
      </c>
      <c r="K49" s="62">
        <f t="shared" si="6"/>
        <v>118.7</v>
      </c>
      <c r="L49" s="62">
        <f t="shared" si="6"/>
        <v>63.9</v>
      </c>
      <c r="M49" s="62">
        <f t="shared" si="6"/>
        <v>130.6</v>
      </c>
      <c r="N49" s="63">
        <f t="shared" si="6"/>
        <v>31.3</v>
      </c>
      <c r="O49" s="64">
        <f t="shared" si="7"/>
        <v>821.9</v>
      </c>
      <c r="P49" s="51">
        <f t="shared" si="8"/>
        <v>68.5</v>
      </c>
    </row>
    <row r="50" spans="2:16" ht="21.95" customHeight="1">
      <c r="B50" s="61">
        <f t="shared" si="6"/>
        <v>2020</v>
      </c>
      <c r="C50" s="62">
        <f t="shared" si="6"/>
        <v>49.4</v>
      </c>
      <c r="D50" s="62">
        <f t="shared" si="6"/>
        <v>75.3</v>
      </c>
      <c r="E50" s="62">
        <f t="shared" si="6"/>
        <v>22.8</v>
      </c>
      <c r="F50" s="62">
        <f t="shared" si="6"/>
        <v>16.5</v>
      </c>
      <c r="G50" s="62">
        <f t="shared" si="6"/>
        <v>92.4</v>
      </c>
      <c r="H50" s="62">
        <f t="shared" si="6"/>
        <v>139.69999999999999</v>
      </c>
      <c r="I50" s="62">
        <f t="shared" si="6"/>
        <v>345.9</v>
      </c>
      <c r="J50" s="62">
        <f t="shared" si="6"/>
        <v>321.5</v>
      </c>
      <c r="K50" s="62">
        <f t="shared" si="6"/>
        <v>177.1</v>
      </c>
      <c r="L50" s="62">
        <f t="shared" si="6"/>
        <v>16.2</v>
      </c>
      <c r="M50" s="62">
        <f t="shared" si="6"/>
        <v>35.4</v>
      </c>
      <c r="N50" s="63">
        <f t="shared" si="6"/>
        <v>9.6999999999999993</v>
      </c>
      <c r="O50" s="64">
        <f t="shared" si="7"/>
        <v>1301.9000000000001</v>
      </c>
      <c r="P50" s="51">
        <f t="shared" si="8"/>
        <v>108.5</v>
      </c>
    </row>
    <row r="51" spans="2:16" ht="21.95" customHeight="1">
      <c r="B51" s="61">
        <f t="shared" si="6"/>
        <v>2021</v>
      </c>
      <c r="C51" s="62">
        <f t="shared" si="6"/>
        <v>32</v>
      </c>
      <c r="D51" s="62">
        <f t="shared" si="6"/>
        <v>18.7</v>
      </c>
      <c r="E51" s="62">
        <f t="shared" si="6"/>
        <v>76.099999999999994</v>
      </c>
      <c r="F51" s="62">
        <f t="shared" si="6"/>
        <v>43.4</v>
      </c>
      <c r="G51" s="62">
        <f t="shared" si="6"/>
        <v>110</v>
      </c>
      <c r="H51" s="62">
        <f t="shared" si="6"/>
        <v>55</v>
      </c>
      <c r="I51" s="62">
        <f t="shared" si="6"/>
        <v>131.30000000000001</v>
      </c>
      <c r="J51" s="62">
        <f t="shared" si="6"/>
        <v>253.7</v>
      </c>
      <c r="K51" s="62">
        <f t="shared" si="6"/>
        <v>215.9</v>
      </c>
      <c r="L51" s="62">
        <f t="shared" si="6"/>
        <v>39.6</v>
      </c>
      <c r="M51" s="62">
        <f t="shared" si="6"/>
        <v>117.8</v>
      </c>
      <c r="N51" s="63">
        <f t="shared" si="6"/>
        <v>14.4</v>
      </c>
      <c r="O51" s="64">
        <f t="shared" si="7"/>
        <v>1107.9000000000001</v>
      </c>
      <c r="P51" s="51">
        <f t="shared" si="8"/>
        <v>92.3</v>
      </c>
    </row>
    <row r="52" spans="2:16" ht="21.95" customHeight="1">
      <c r="B52" s="61">
        <f t="shared" si="6"/>
        <v>2022</v>
      </c>
      <c r="C52" s="62">
        <f t="shared" si="6"/>
        <v>8.4</v>
      </c>
      <c r="D52" s="62">
        <f t="shared" si="6"/>
        <v>5.3</v>
      </c>
      <c r="E52" s="62">
        <f t="shared" si="6"/>
        <v>60.9</v>
      </c>
      <c r="F52" s="62">
        <f t="shared" si="6"/>
        <v>34.799999999999997</v>
      </c>
      <c r="G52" s="62">
        <f t="shared" si="6"/>
        <v>5.7</v>
      </c>
      <c r="H52" s="62">
        <f t="shared" si="6"/>
        <v>225</v>
      </c>
      <c r="I52" s="62">
        <f t="shared" si="6"/>
        <v>119.9</v>
      </c>
      <c r="J52" s="62">
        <f t="shared" si="6"/>
        <v>637.1</v>
      </c>
      <c r="K52" s="62">
        <f t="shared" si="6"/>
        <v>102</v>
      </c>
      <c r="L52" s="62">
        <f t="shared" si="6"/>
        <v>112</v>
      </c>
      <c r="M52" s="62">
        <f t="shared" si="6"/>
        <v>23.3</v>
      </c>
      <c r="N52" s="63">
        <f t="shared" si="6"/>
        <v>14</v>
      </c>
      <c r="O52" s="64">
        <f t="shared" si="7"/>
        <v>1348.4</v>
      </c>
      <c r="P52" s="51">
        <f t="shared" si="8"/>
        <v>112.4</v>
      </c>
    </row>
    <row r="53" spans="2:16" ht="21.95" customHeight="1" thickBot="1">
      <c r="B53" s="65">
        <f t="shared" si="6"/>
        <v>2023</v>
      </c>
      <c r="C53" s="66">
        <f t="shared" si="6"/>
        <v>19.2</v>
      </c>
      <c r="D53" s="66">
        <f t="shared" si="6"/>
        <v>0.4</v>
      </c>
      <c r="E53" s="66">
        <f t="shared" si="6"/>
        <v>7.2</v>
      </c>
      <c r="F53" s="66">
        <f t="shared" si="6"/>
        <v>42.4</v>
      </c>
      <c r="G53" s="66">
        <f t="shared" si="6"/>
        <v>190.8</v>
      </c>
      <c r="H53" s="66">
        <f t="shared" si="6"/>
        <v>95.1</v>
      </c>
      <c r="I53" s="66">
        <f t="shared" si="6"/>
        <v>772.2</v>
      </c>
      <c r="J53" s="66">
        <f t="shared" si="6"/>
        <v>107.8</v>
      </c>
      <c r="K53" s="66">
        <f t="shared" si="6"/>
        <v>288.39999999999998</v>
      </c>
      <c r="L53" s="66">
        <f t="shared" si="6"/>
        <v>25.5</v>
      </c>
      <c r="M53" s="66">
        <f t="shared" si="6"/>
        <v>65.2</v>
      </c>
      <c r="N53" s="67">
        <f t="shared" si="6"/>
        <v>110.6</v>
      </c>
      <c r="O53" s="68">
        <f t="shared" si="7"/>
        <v>1724.8</v>
      </c>
      <c r="P53" s="56">
        <f t="shared" si="8"/>
        <v>143.69999999999999</v>
      </c>
    </row>
    <row r="54" spans="2:16" ht="21.95" customHeight="1">
      <c r="B54" s="69" t="s">
        <v>19</v>
      </c>
      <c r="C54" s="70">
        <f>MAX(C44:C53)</f>
        <v>49.4</v>
      </c>
      <c r="D54" s="70">
        <f t="shared" ref="D54:P54" si="9">MAX(D44:D53)</f>
        <v>75.3</v>
      </c>
      <c r="E54" s="70">
        <f t="shared" si="9"/>
        <v>92</v>
      </c>
      <c r="F54" s="70">
        <f t="shared" si="9"/>
        <v>129.69999999999999</v>
      </c>
      <c r="G54" s="70">
        <f t="shared" si="9"/>
        <v>190.8</v>
      </c>
      <c r="H54" s="70">
        <f t="shared" si="9"/>
        <v>225</v>
      </c>
      <c r="I54" s="70">
        <f t="shared" si="9"/>
        <v>772.2</v>
      </c>
      <c r="J54" s="70">
        <f t="shared" si="9"/>
        <v>637.1</v>
      </c>
      <c r="K54" s="70">
        <f t="shared" si="9"/>
        <v>288.39999999999998</v>
      </c>
      <c r="L54" s="70">
        <f t="shared" si="9"/>
        <v>156</v>
      </c>
      <c r="M54" s="70">
        <f t="shared" si="9"/>
        <v>155.6</v>
      </c>
      <c r="N54" s="71">
        <f t="shared" si="9"/>
        <v>110.6</v>
      </c>
      <c r="O54" s="72">
        <f t="shared" si="9"/>
        <v>1724.8</v>
      </c>
      <c r="P54" s="71">
        <f t="shared" si="9"/>
        <v>143.69999999999999</v>
      </c>
    </row>
    <row r="55" spans="2:16" ht="21.95" customHeight="1">
      <c r="B55" s="73" t="s">
        <v>20</v>
      </c>
      <c r="C55" s="74">
        <f>MIN(C44:C53)</f>
        <v>1.9</v>
      </c>
      <c r="D55" s="74">
        <f t="shared" ref="D55:P55" si="10">MIN(D44:D53)</f>
        <v>0.4</v>
      </c>
      <c r="E55" s="74">
        <f t="shared" si="10"/>
        <v>7.2</v>
      </c>
      <c r="F55" s="74">
        <f t="shared" si="10"/>
        <v>16.5</v>
      </c>
      <c r="G55" s="74">
        <f t="shared" si="10"/>
        <v>5.7</v>
      </c>
      <c r="H55" s="74">
        <f t="shared" si="10"/>
        <v>21.1</v>
      </c>
      <c r="I55" s="74">
        <f t="shared" si="10"/>
        <v>94.7</v>
      </c>
      <c r="J55" s="74">
        <f t="shared" si="10"/>
        <v>5.0999999999999996</v>
      </c>
      <c r="K55" s="74">
        <f t="shared" si="10"/>
        <v>13.3</v>
      </c>
      <c r="L55" s="74">
        <f t="shared" si="10"/>
        <v>16.2</v>
      </c>
      <c r="M55" s="74">
        <f t="shared" si="10"/>
        <v>5.6</v>
      </c>
      <c r="N55" s="51">
        <f t="shared" si="10"/>
        <v>9.6999999999999993</v>
      </c>
      <c r="O55" s="64">
        <f>MIN(O44:O53)</f>
        <v>785.4</v>
      </c>
      <c r="P55" s="51">
        <f t="shared" si="10"/>
        <v>65.5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11">ROUND(AVERAGE(D44:D53),1)</f>
        <v>27.9</v>
      </c>
      <c r="E56" s="76">
        <f t="shared" si="11"/>
        <v>39.799999999999997</v>
      </c>
      <c r="F56" s="76">
        <f t="shared" si="11"/>
        <v>70</v>
      </c>
      <c r="G56" s="76">
        <f t="shared" si="11"/>
        <v>82.6</v>
      </c>
      <c r="H56" s="76">
        <f t="shared" si="11"/>
        <v>89.6</v>
      </c>
      <c r="I56" s="76">
        <f t="shared" si="11"/>
        <v>245.8</v>
      </c>
      <c r="J56" s="76">
        <f t="shared" si="11"/>
        <v>210.5</v>
      </c>
      <c r="K56" s="76">
        <f t="shared" si="11"/>
        <v>138.9</v>
      </c>
      <c r="L56" s="76">
        <f t="shared" si="11"/>
        <v>79.3</v>
      </c>
      <c r="M56" s="76">
        <f t="shared" si="11"/>
        <v>63.6</v>
      </c>
      <c r="N56" s="56">
        <f t="shared" si="11"/>
        <v>42.6</v>
      </c>
      <c r="O56" s="68">
        <f>ROUND(AVERAGE(O44:O53),1)</f>
        <v>1108.7</v>
      </c>
      <c r="P56" s="56">
        <f>ROUND(AVERAGE(P44:P53),1)</f>
        <v>92.4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DD27BB-8104-457E-B58A-23D3BBAFC511}">
  <sheetPr codeName="Sheet15">
    <tabColor rgb="FF0070C0"/>
  </sheetPr>
  <dimension ref="A2:Q983"/>
  <sheetViews>
    <sheetView zoomScaleNormal="100" workbookViewId="0">
      <selection activeCell="R27" sqref="R27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257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18.7</v>
      </c>
      <c r="D6" s="12">
        <v>12.5</v>
      </c>
      <c r="E6" s="12">
        <v>35</v>
      </c>
      <c r="F6" s="12">
        <v>22.8</v>
      </c>
      <c r="G6" s="12">
        <v>115</v>
      </c>
      <c r="H6" s="12">
        <v>89</v>
      </c>
      <c r="I6" s="12">
        <v>118.9</v>
      </c>
      <c r="J6" s="13">
        <v>196</v>
      </c>
      <c r="K6" s="12">
        <v>20</v>
      </c>
      <c r="L6" s="12">
        <v>99</v>
      </c>
      <c r="M6" s="12">
        <v>20.5</v>
      </c>
      <c r="N6" s="14">
        <v>21.1</v>
      </c>
      <c r="O6" s="15">
        <f t="shared" ref="O6:O35" si="0">ROUND(SUM(C6:N6),1)</f>
        <v>768.5</v>
      </c>
      <c r="P6" s="16">
        <f>ROUND(O6/12,1)</f>
        <v>64</v>
      </c>
      <c r="Q6" s="17"/>
    </row>
    <row r="7" spans="2:17" ht="21.95" customHeight="1">
      <c r="B7" s="18">
        <v>1995</v>
      </c>
      <c r="C7" s="19">
        <v>23.2</v>
      </c>
      <c r="D7" s="19">
        <v>17.100000000000001</v>
      </c>
      <c r="E7" s="19">
        <v>46.9</v>
      </c>
      <c r="F7" s="19">
        <v>65.5</v>
      </c>
      <c r="G7" s="19">
        <v>35.5</v>
      </c>
      <c r="H7" s="19">
        <v>54</v>
      </c>
      <c r="I7" s="19">
        <v>83.5</v>
      </c>
      <c r="J7" s="20">
        <v>579.5</v>
      </c>
      <c r="K7" s="19">
        <v>47.5</v>
      </c>
      <c r="L7" s="19">
        <v>23.5</v>
      </c>
      <c r="M7" s="19">
        <v>31</v>
      </c>
      <c r="N7" s="21">
        <v>4.5999999999999996</v>
      </c>
      <c r="O7" s="15">
        <f t="shared" si="0"/>
        <v>1011.8</v>
      </c>
      <c r="P7" s="22">
        <f t="shared" ref="P7:P35" si="1">ROUND(O7/12,1)</f>
        <v>84.3</v>
      </c>
      <c r="Q7" s="17"/>
    </row>
    <row r="8" spans="2:17" ht="21.95" customHeight="1">
      <c r="B8" s="18">
        <v>1996</v>
      </c>
      <c r="C8" s="19">
        <v>25.4</v>
      </c>
      <c r="D8" s="19">
        <v>2.9</v>
      </c>
      <c r="E8" s="19">
        <v>123</v>
      </c>
      <c r="F8" s="19">
        <v>42.5</v>
      </c>
      <c r="G8" s="19">
        <v>37.5</v>
      </c>
      <c r="H8" s="19">
        <v>546</v>
      </c>
      <c r="I8" s="19">
        <v>174</v>
      </c>
      <c r="J8" s="19">
        <v>130</v>
      </c>
      <c r="K8" s="19">
        <v>12.5</v>
      </c>
      <c r="L8" s="19">
        <v>75.5</v>
      </c>
      <c r="M8" s="19">
        <v>89.8</v>
      </c>
      <c r="N8" s="21">
        <v>43</v>
      </c>
      <c r="O8" s="15">
        <f t="shared" si="0"/>
        <v>1302.0999999999999</v>
      </c>
      <c r="P8" s="22">
        <f t="shared" si="1"/>
        <v>108.5</v>
      </c>
      <c r="Q8" s="17"/>
    </row>
    <row r="9" spans="2:17" ht="21.95" customHeight="1">
      <c r="B9" s="18">
        <v>1997</v>
      </c>
      <c r="C9" s="19">
        <v>21.3</v>
      </c>
      <c r="D9" s="19">
        <v>48.2</v>
      </c>
      <c r="E9" s="19">
        <v>34</v>
      </c>
      <c r="F9" s="19">
        <v>58</v>
      </c>
      <c r="G9" s="19">
        <v>170.5</v>
      </c>
      <c r="H9" s="19">
        <v>238.5</v>
      </c>
      <c r="I9" s="19">
        <v>444.5</v>
      </c>
      <c r="J9" s="19">
        <v>246.5</v>
      </c>
      <c r="K9" s="19">
        <v>89</v>
      </c>
      <c r="L9" s="19">
        <v>9</v>
      </c>
      <c r="M9" s="19">
        <v>160</v>
      </c>
      <c r="N9" s="21">
        <v>49</v>
      </c>
      <c r="O9" s="15">
        <f t="shared" si="0"/>
        <v>1568.5</v>
      </c>
      <c r="P9" s="22">
        <f t="shared" si="1"/>
        <v>130.69999999999999</v>
      </c>
      <c r="Q9" s="17"/>
    </row>
    <row r="10" spans="2:17" ht="21.95" customHeight="1">
      <c r="B10" s="18">
        <v>1998</v>
      </c>
      <c r="C10" s="19">
        <v>38.4</v>
      </c>
      <c r="D10" s="19">
        <v>53.9</v>
      </c>
      <c r="E10" s="19">
        <v>25.6</v>
      </c>
      <c r="F10" s="19">
        <v>177.5</v>
      </c>
      <c r="G10" s="19">
        <v>98.5</v>
      </c>
      <c r="H10" s="19">
        <v>278.5</v>
      </c>
      <c r="I10" s="19">
        <v>184</v>
      </c>
      <c r="J10" s="19">
        <v>520</v>
      </c>
      <c r="K10" s="19">
        <v>237.3</v>
      </c>
      <c r="L10" s="19">
        <v>49</v>
      </c>
      <c r="M10" s="19">
        <v>46.1</v>
      </c>
      <c r="N10" s="21">
        <v>6.8</v>
      </c>
      <c r="O10" s="15">
        <f t="shared" si="0"/>
        <v>1715.6</v>
      </c>
      <c r="P10" s="22">
        <f t="shared" si="1"/>
        <v>143</v>
      </c>
      <c r="Q10" s="17"/>
    </row>
    <row r="11" spans="2:17" ht="21.95" customHeight="1">
      <c r="B11" s="18">
        <v>1999</v>
      </c>
      <c r="C11" s="19">
        <v>5.3</v>
      </c>
      <c r="D11" s="19">
        <v>22.9</v>
      </c>
      <c r="E11" s="19">
        <v>73</v>
      </c>
      <c r="F11" s="19">
        <v>91.5</v>
      </c>
      <c r="G11" s="19">
        <v>117.5</v>
      </c>
      <c r="H11" s="19">
        <v>198</v>
      </c>
      <c r="I11" s="19">
        <v>114.5</v>
      </c>
      <c r="J11" s="19">
        <v>167.5</v>
      </c>
      <c r="K11" s="19">
        <v>289.5</v>
      </c>
      <c r="L11" s="19">
        <v>125</v>
      </c>
      <c r="M11" s="19">
        <v>16.399999999999999</v>
      </c>
      <c r="N11" s="21">
        <v>10.3</v>
      </c>
      <c r="O11" s="15">
        <f t="shared" si="0"/>
        <v>1231.4000000000001</v>
      </c>
      <c r="P11" s="22">
        <f t="shared" si="1"/>
        <v>102.6</v>
      </c>
      <c r="Q11" s="17"/>
    </row>
    <row r="12" spans="2:17" ht="21.95" customHeight="1">
      <c r="B12" s="18">
        <v>2000</v>
      </c>
      <c r="C12" s="19">
        <v>36.200000000000003</v>
      </c>
      <c r="D12" s="19">
        <v>2.9</v>
      </c>
      <c r="E12" s="19">
        <v>24.5</v>
      </c>
      <c r="F12" s="19">
        <v>73.7</v>
      </c>
      <c r="G12" s="19">
        <v>29</v>
      </c>
      <c r="H12" s="19">
        <v>244.5</v>
      </c>
      <c r="I12" s="19">
        <v>344</v>
      </c>
      <c r="J12" s="19">
        <v>372</v>
      </c>
      <c r="K12" s="19">
        <v>223</v>
      </c>
      <c r="L12" s="19">
        <v>34.5</v>
      </c>
      <c r="M12" s="19">
        <v>42</v>
      </c>
      <c r="N12" s="21">
        <v>6.5</v>
      </c>
      <c r="O12" s="15">
        <f t="shared" si="0"/>
        <v>1432.8</v>
      </c>
      <c r="P12" s="22">
        <f t="shared" si="1"/>
        <v>119.4</v>
      </c>
    </row>
    <row r="13" spans="2:17" ht="21.95" customHeight="1">
      <c r="B13" s="18">
        <v>2001</v>
      </c>
      <c r="C13" s="19">
        <v>63.2</v>
      </c>
      <c r="D13" s="19">
        <v>76.5</v>
      </c>
      <c r="E13" s="19">
        <v>17</v>
      </c>
      <c r="F13" s="19">
        <v>22.5</v>
      </c>
      <c r="G13" s="19">
        <v>22.5</v>
      </c>
      <c r="H13" s="19">
        <v>212.5</v>
      </c>
      <c r="I13" s="19">
        <v>203</v>
      </c>
      <c r="J13" s="19">
        <v>43</v>
      </c>
      <c r="K13" s="19">
        <v>87</v>
      </c>
      <c r="L13" s="19">
        <v>96</v>
      </c>
      <c r="M13" s="19">
        <v>12</v>
      </c>
      <c r="N13" s="21">
        <v>24.1</v>
      </c>
      <c r="O13" s="15">
        <f t="shared" si="0"/>
        <v>879.3</v>
      </c>
      <c r="P13" s="22">
        <f t="shared" si="1"/>
        <v>73.3</v>
      </c>
    </row>
    <row r="14" spans="2:17" ht="21.95" customHeight="1">
      <c r="B14" s="18">
        <v>2002</v>
      </c>
      <c r="C14" s="19">
        <v>71.5</v>
      </c>
      <c r="D14" s="19">
        <v>7.7</v>
      </c>
      <c r="E14" s="19">
        <v>52</v>
      </c>
      <c r="F14" s="19">
        <v>149.5</v>
      </c>
      <c r="G14" s="19">
        <v>127.5</v>
      </c>
      <c r="H14" s="19">
        <v>57</v>
      </c>
      <c r="I14" s="19">
        <v>139.5</v>
      </c>
      <c r="J14" s="19">
        <v>551</v>
      </c>
      <c r="K14" s="19">
        <v>98.5</v>
      </c>
      <c r="L14" s="19">
        <v>55.5</v>
      </c>
      <c r="M14" s="19">
        <v>23.2</v>
      </c>
      <c r="N14" s="21">
        <v>57.8</v>
      </c>
      <c r="O14" s="15">
        <f t="shared" si="0"/>
        <v>1390.7</v>
      </c>
      <c r="P14" s="22">
        <f t="shared" si="1"/>
        <v>115.9</v>
      </c>
    </row>
    <row r="15" spans="2:17" ht="21.95" customHeight="1">
      <c r="B15" s="18">
        <v>2003</v>
      </c>
      <c r="C15" s="19">
        <v>22.4</v>
      </c>
      <c r="D15" s="19">
        <v>66</v>
      </c>
      <c r="E15" s="19">
        <v>44</v>
      </c>
      <c r="F15" s="19">
        <v>202.5</v>
      </c>
      <c r="G15" s="19">
        <v>164</v>
      </c>
      <c r="H15" s="19">
        <v>138</v>
      </c>
      <c r="I15" s="19">
        <v>575</v>
      </c>
      <c r="J15" s="19">
        <v>280.5</v>
      </c>
      <c r="K15" s="19">
        <v>192</v>
      </c>
      <c r="L15" s="19">
        <v>22.5</v>
      </c>
      <c r="M15" s="19">
        <v>42.5</v>
      </c>
      <c r="N15" s="21">
        <v>17</v>
      </c>
      <c r="O15" s="15">
        <f t="shared" si="0"/>
        <v>1766.4</v>
      </c>
      <c r="P15" s="22">
        <f t="shared" si="1"/>
        <v>147.19999999999999</v>
      </c>
    </row>
    <row r="16" spans="2:17" ht="21.95" customHeight="1">
      <c r="B16" s="18">
        <v>2004</v>
      </c>
      <c r="C16" s="19">
        <v>11.2</v>
      </c>
      <c r="D16" s="19">
        <v>27.3</v>
      </c>
      <c r="E16" s="19">
        <v>33</v>
      </c>
      <c r="F16" s="19">
        <v>75.5</v>
      </c>
      <c r="G16" s="19">
        <v>90.5</v>
      </c>
      <c r="H16" s="19">
        <v>323.5</v>
      </c>
      <c r="I16" s="19">
        <v>406</v>
      </c>
      <c r="J16" s="19">
        <v>330.5</v>
      </c>
      <c r="K16" s="19">
        <v>126</v>
      </c>
      <c r="L16" s="19">
        <v>2.5</v>
      </c>
      <c r="M16" s="19">
        <v>43</v>
      </c>
      <c r="N16" s="21">
        <v>34.5</v>
      </c>
      <c r="O16" s="15">
        <f t="shared" si="0"/>
        <v>1503.5</v>
      </c>
      <c r="P16" s="22">
        <f t="shared" si="1"/>
        <v>125.3</v>
      </c>
    </row>
    <row r="17" spans="2:16" ht="21.95" customHeight="1">
      <c r="B17" s="18">
        <v>2005</v>
      </c>
      <c r="C17" s="19">
        <v>9.4</v>
      </c>
      <c r="D17" s="19">
        <v>34</v>
      </c>
      <c r="E17" s="19">
        <v>51</v>
      </c>
      <c r="F17" s="19">
        <v>31.5</v>
      </c>
      <c r="G17" s="19">
        <v>65.5</v>
      </c>
      <c r="H17" s="19">
        <v>191</v>
      </c>
      <c r="I17" s="19">
        <v>411.5</v>
      </c>
      <c r="J17" s="19">
        <v>387</v>
      </c>
      <c r="K17" s="19">
        <v>118</v>
      </c>
      <c r="L17" s="19">
        <v>23</v>
      </c>
      <c r="M17" s="19">
        <v>30.5</v>
      </c>
      <c r="N17" s="21">
        <v>22.6</v>
      </c>
      <c r="O17" s="15">
        <f t="shared" si="0"/>
        <v>1375</v>
      </c>
      <c r="P17" s="22">
        <f t="shared" si="1"/>
        <v>114.6</v>
      </c>
    </row>
    <row r="18" spans="2:16" ht="21.95" customHeight="1">
      <c r="B18" s="18">
        <v>2006</v>
      </c>
      <c r="C18" s="19">
        <v>28</v>
      </c>
      <c r="D18" s="19">
        <v>41.1</v>
      </c>
      <c r="E18" s="19">
        <v>8.4</v>
      </c>
      <c r="F18" s="19">
        <v>112</v>
      </c>
      <c r="G18" s="19">
        <v>93.5</v>
      </c>
      <c r="H18" s="19">
        <v>73</v>
      </c>
      <c r="I18" s="19">
        <v>681.5</v>
      </c>
      <c r="J18" s="19">
        <v>118</v>
      </c>
      <c r="K18" s="19">
        <v>40.5</v>
      </c>
      <c r="L18" s="19">
        <v>54</v>
      </c>
      <c r="M18" s="19">
        <v>71</v>
      </c>
      <c r="N18" s="21">
        <v>28.9</v>
      </c>
      <c r="O18" s="15">
        <f t="shared" si="0"/>
        <v>1349.9</v>
      </c>
      <c r="P18" s="22">
        <f t="shared" si="1"/>
        <v>112.5</v>
      </c>
    </row>
    <row r="19" spans="2:16" ht="21.95" customHeight="1">
      <c r="B19" s="18">
        <v>2007</v>
      </c>
      <c r="C19" s="19">
        <v>13.7</v>
      </c>
      <c r="D19" s="19">
        <v>57</v>
      </c>
      <c r="E19" s="19">
        <v>129</v>
      </c>
      <c r="F19" s="19">
        <v>27.5</v>
      </c>
      <c r="G19" s="19">
        <v>104</v>
      </c>
      <c r="H19" s="19">
        <v>180</v>
      </c>
      <c r="I19" s="19">
        <v>252</v>
      </c>
      <c r="J19" s="19">
        <v>343.5</v>
      </c>
      <c r="K19" s="19">
        <v>398.5</v>
      </c>
      <c r="L19" s="19">
        <v>32</v>
      </c>
      <c r="M19" s="19">
        <v>13.5</v>
      </c>
      <c r="N19" s="21">
        <v>35.4</v>
      </c>
      <c r="O19" s="15">
        <f t="shared" si="0"/>
        <v>1586.1</v>
      </c>
      <c r="P19" s="22">
        <f t="shared" si="1"/>
        <v>132.19999999999999</v>
      </c>
    </row>
    <row r="20" spans="2:16" ht="21.95" customHeight="1">
      <c r="B20" s="18">
        <v>2008</v>
      </c>
      <c r="C20" s="19">
        <v>32.4</v>
      </c>
      <c r="D20" s="19">
        <v>6.1</v>
      </c>
      <c r="E20" s="19">
        <v>28.3</v>
      </c>
      <c r="F20" s="19">
        <v>37.6</v>
      </c>
      <c r="G20" s="19">
        <v>84.5</v>
      </c>
      <c r="H20" s="19">
        <v>190.5</v>
      </c>
      <c r="I20" s="19">
        <v>202</v>
      </c>
      <c r="J20" s="19">
        <v>210</v>
      </c>
      <c r="K20" s="19">
        <v>35.9</v>
      </c>
      <c r="L20" s="19">
        <v>40.1</v>
      </c>
      <c r="M20" s="19">
        <v>15.1</v>
      </c>
      <c r="N20" s="21">
        <v>19.7</v>
      </c>
      <c r="O20" s="15">
        <f t="shared" si="0"/>
        <v>902.2</v>
      </c>
      <c r="P20" s="22">
        <f t="shared" si="1"/>
        <v>75.2</v>
      </c>
    </row>
    <row r="21" spans="2:16" ht="21.95" customHeight="1">
      <c r="B21" s="18">
        <v>2009</v>
      </c>
      <c r="C21" s="19">
        <v>13.2</v>
      </c>
      <c r="D21" s="19">
        <v>41.5</v>
      </c>
      <c r="E21" s="19">
        <v>43</v>
      </c>
      <c r="F21" s="19">
        <v>36</v>
      </c>
      <c r="G21" s="19">
        <v>120.3</v>
      </c>
      <c r="H21" s="19">
        <v>116.3</v>
      </c>
      <c r="I21" s="19">
        <v>515.5</v>
      </c>
      <c r="J21" s="19">
        <v>97</v>
      </c>
      <c r="K21" s="19">
        <v>54.5</v>
      </c>
      <c r="L21" s="19">
        <v>24</v>
      </c>
      <c r="M21" s="19">
        <v>29</v>
      </c>
      <c r="N21" s="21">
        <v>38.299999999999997</v>
      </c>
      <c r="O21" s="15">
        <f t="shared" si="0"/>
        <v>1128.5999999999999</v>
      </c>
      <c r="P21" s="22">
        <f t="shared" si="1"/>
        <v>94.1</v>
      </c>
    </row>
    <row r="22" spans="2:16" ht="21.95" customHeight="1">
      <c r="B22" s="18">
        <v>2010</v>
      </c>
      <c r="C22" s="19">
        <v>33.6</v>
      </c>
      <c r="D22" s="19">
        <v>74.5</v>
      </c>
      <c r="E22" s="19">
        <v>83.8</v>
      </c>
      <c r="F22" s="19">
        <v>73.7</v>
      </c>
      <c r="G22" s="19">
        <v>114.5</v>
      </c>
      <c r="H22" s="19">
        <v>62.5</v>
      </c>
      <c r="I22" s="19">
        <v>278.5</v>
      </c>
      <c r="J22" s="19">
        <v>495.6</v>
      </c>
      <c r="K22" s="19">
        <v>110.3</v>
      </c>
      <c r="L22" s="19">
        <v>20.2</v>
      </c>
      <c r="M22" s="19">
        <v>20</v>
      </c>
      <c r="N22" s="21">
        <v>36.5</v>
      </c>
      <c r="O22" s="15">
        <f t="shared" si="0"/>
        <v>1403.7</v>
      </c>
      <c r="P22" s="22">
        <f t="shared" si="1"/>
        <v>117</v>
      </c>
    </row>
    <row r="23" spans="2:16" ht="21.95" customHeight="1">
      <c r="B23" s="18">
        <v>2011</v>
      </c>
      <c r="C23" s="19">
        <v>2.2000000000000002</v>
      </c>
      <c r="D23" s="19">
        <v>63.5</v>
      </c>
      <c r="E23" s="19">
        <v>21.5</v>
      </c>
      <c r="F23" s="19">
        <v>132.9</v>
      </c>
      <c r="G23" s="19">
        <v>130.6</v>
      </c>
      <c r="H23" s="19">
        <v>237.8</v>
      </c>
      <c r="I23" s="19">
        <v>571.20000000000005</v>
      </c>
      <c r="J23" s="19">
        <v>403</v>
      </c>
      <c r="K23" s="19">
        <v>77.8</v>
      </c>
      <c r="L23" s="19">
        <v>52.2</v>
      </c>
      <c r="M23" s="19">
        <v>98</v>
      </c>
      <c r="N23" s="21">
        <v>7.8</v>
      </c>
      <c r="O23" s="15">
        <f t="shared" si="0"/>
        <v>1798.5</v>
      </c>
      <c r="P23" s="22">
        <f t="shared" si="1"/>
        <v>149.9</v>
      </c>
    </row>
    <row r="24" spans="2:16" ht="21.95" customHeight="1">
      <c r="B24" s="18">
        <v>2012</v>
      </c>
      <c r="C24" s="19">
        <v>23.7</v>
      </c>
      <c r="D24" s="19">
        <v>1.1000000000000001</v>
      </c>
      <c r="E24" s="19">
        <v>83.6</v>
      </c>
      <c r="F24" s="19">
        <v>75.900000000000006</v>
      </c>
      <c r="G24" s="19">
        <v>21.7</v>
      </c>
      <c r="H24" s="19">
        <v>115.7</v>
      </c>
      <c r="I24" s="19">
        <v>239.2</v>
      </c>
      <c r="J24" s="19">
        <v>497.5</v>
      </c>
      <c r="K24" s="19">
        <v>219.5</v>
      </c>
      <c r="L24" s="19">
        <v>46.6</v>
      </c>
      <c r="M24" s="19">
        <v>47.3</v>
      </c>
      <c r="N24" s="21">
        <v>62.7</v>
      </c>
      <c r="O24" s="15">
        <f t="shared" si="0"/>
        <v>1434.5</v>
      </c>
      <c r="P24" s="22">
        <f t="shared" si="1"/>
        <v>119.5</v>
      </c>
    </row>
    <row r="25" spans="2:16" ht="21.95" customHeight="1">
      <c r="B25" s="18">
        <v>2013</v>
      </c>
      <c r="C25" s="19">
        <v>37</v>
      </c>
      <c r="D25" s="19">
        <v>43.8</v>
      </c>
      <c r="E25" s="19">
        <v>64.599999999999994</v>
      </c>
      <c r="F25" s="19">
        <v>86.4</v>
      </c>
      <c r="G25" s="19">
        <v>79.5</v>
      </c>
      <c r="H25" s="19">
        <v>117.7</v>
      </c>
      <c r="I25" s="19">
        <v>216.9</v>
      </c>
      <c r="J25" s="19">
        <v>159.5</v>
      </c>
      <c r="K25" s="19">
        <v>80.8</v>
      </c>
      <c r="L25" s="19">
        <v>32.6</v>
      </c>
      <c r="M25" s="19">
        <v>53.9</v>
      </c>
      <c r="N25" s="21">
        <v>24.1</v>
      </c>
      <c r="O25" s="15">
        <f t="shared" si="0"/>
        <v>996.8</v>
      </c>
      <c r="P25" s="22">
        <f t="shared" si="1"/>
        <v>83.1</v>
      </c>
    </row>
    <row r="26" spans="2:16" ht="21.95" customHeight="1">
      <c r="B26" s="18">
        <v>2014</v>
      </c>
      <c r="C26" s="19">
        <v>4.0999999999999996</v>
      </c>
      <c r="D26" s="19">
        <v>2.7</v>
      </c>
      <c r="E26" s="19">
        <v>97.9</v>
      </c>
      <c r="F26" s="19">
        <v>88.7</v>
      </c>
      <c r="G26" s="19">
        <v>26</v>
      </c>
      <c r="H26" s="19">
        <v>45.6</v>
      </c>
      <c r="I26" s="19">
        <v>105.8</v>
      </c>
      <c r="J26" s="19">
        <v>426.4</v>
      </c>
      <c r="K26" s="19">
        <v>91.2</v>
      </c>
      <c r="L26" s="19">
        <v>141.19999999999999</v>
      </c>
      <c r="M26" s="19">
        <v>70.099999999999994</v>
      </c>
      <c r="N26" s="21">
        <v>31.3</v>
      </c>
      <c r="O26" s="15">
        <f t="shared" si="0"/>
        <v>1131</v>
      </c>
      <c r="P26" s="22">
        <f t="shared" si="1"/>
        <v>94.3</v>
      </c>
    </row>
    <row r="27" spans="2:16" ht="21.95" customHeight="1">
      <c r="B27" s="18">
        <v>2015</v>
      </c>
      <c r="C27" s="19">
        <v>37.6</v>
      </c>
      <c r="D27" s="19">
        <v>23.4</v>
      </c>
      <c r="E27" s="19">
        <v>46.6</v>
      </c>
      <c r="F27" s="19">
        <v>93.5</v>
      </c>
      <c r="G27" s="19">
        <v>29.5</v>
      </c>
      <c r="H27" s="19">
        <v>143.69999999999999</v>
      </c>
      <c r="I27" s="19">
        <v>162.30000000000001</v>
      </c>
      <c r="J27" s="19">
        <v>83.6</v>
      </c>
      <c r="K27" s="19">
        <v>18.600000000000001</v>
      </c>
      <c r="L27" s="19">
        <v>93.5</v>
      </c>
      <c r="M27" s="19">
        <v>109.6</v>
      </c>
      <c r="N27" s="21">
        <v>35.700000000000003</v>
      </c>
      <c r="O27" s="15">
        <f t="shared" si="0"/>
        <v>877.6</v>
      </c>
      <c r="P27" s="22">
        <f t="shared" si="1"/>
        <v>73.099999999999994</v>
      </c>
    </row>
    <row r="28" spans="2:16" ht="21.95" customHeight="1">
      <c r="B28" s="18">
        <v>2016</v>
      </c>
      <c r="C28" s="19">
        <v>11.1</v>
      </c>
      <c r="D28" s="19">
        <v>46</v>
      </c>
      <c r="E28" s="19">
        <v>54.5</v>
      </c>
      <c r="F28" s="19">
        <v>171.7</v>
      </c>
      <c r="G28" s="19">
        <v>70.5</v>
      </c>
      <c r="H28" s="19">
        <v>87.4</v>
      </c>
      <c r="I28" s="19">
        <v>377.9</v>
      </c>
      <c r="J28" s="19">
        <v>105.6</v>
      </c>
      <c r="K28" s="19">
        <v>160.9</v>
      </c>
      <c r="L28" s="19">
        <v>157.19999999999999</v>
      </c>
      <c r="M28" s="19">
        <v>33.200000000000003</v>
      </c>
      <c r="N28" s="21">
        <v>49.6</v>
      </c>
      <c r="O28" s="15">
        <f t="shared" si="0"/>
        <v>1325.6</v>
      </c>
      <c r="P28" s="22">
        <f t="shared" si="1"/>
        <v>110.5</v>
      </c>
    </row>
    <row r="29" spans="2:16" ht="21.95" customHeight="1">
      <c r="B29" s="18">
        <v>2017</v>
      </c>
      <c r="C29" s="19">
        <v>13.6</v>
      </c>
      <c r="D29" s="19">
        <v>54.6</v>
      </c>
      <c r="E29" s="19">
        <v>29.8</v>
      </c>
      <c r="F29" s="19">
        <v>76.099999999999994</v>
      </c>
      <c r="G29" s="19">
        <v>31.8</v>
      </c>
      <c r="H29" s="19">
        <v>48.3</v>
      </c>
      <c r="I29" s="19">
        <v>305.5</v>
      </c>
      <c r="J29" s="19">
        <v>222.3</v>
      </c>
      <c r="K29" s="19">
        <v>105.6</v>
      </c>
      <c r="L29" s="19">
        <v>35.1</v>
      </c>
      <c r="M29" s="19">
        <v>15.6</v>
      </c>
      <c r="N29" s="21">
        <v>29.3</v>
      </c>
      <c r="O29" s="15">
        <f t="shared" si="0"/>
        <v>967.6</v>
      </c>
      <c r="P29" s="22">
        <f t="shared" si="1"/>
        <v>80.599999999999994</v>
      </c>
    </row>
    <row r="30" spans="2:16" ht="21.95" customHeight="1">
      <c r="B30" s="18">
        <v>2018</v>
      </c>
      <c r="C30" s="19">
        <v>25.7</v>
      </c>
      <c r="D30" s="19">
        <v>28.1</v>
      </c>
      <c r="E30" s="19">
        <v>91.5</v>
      </c>
      <c r="F30" s="19">
        <v>142.4</v>
      </c>
      <c r="G30" s="19">
        <v>110.4</v>
      </c>
      <c r="H30" s="19">
        <v>104.3</v>
      </c>
      <c r="I30" s="19">
        <v>163.5</v>
      </c>
      <c r="J30" s="19">
        <v>410.4</v>
      </c>
      <c r="K30" s="19">
        <v>135.19999999999999</v>
      </c>
      <c r="L30" s="19">
        <v>112.6</v>
      </c>
      <c r="M30" s="19">
        <v>45.5</v>
      </c>
      <c r="N30" s="21">
        <v>27.6</v>
      </c>
      <c r="O30" s="15">
        <f t="shared" si="0"/>
        <v>1397.2</v>
      </c>
      <c r="P30" s="22">
        <f t="shared" si="1"/>
        <v>116.4</v>
      </c>
    </row>
    <row r="31" spans="2:16" ht="21.95" customHeight="1">
      <c r="B31" s="18">
        <v>2019</v>
      </c>
      <c r="C31" s="19">
        <v>6.4</v>
      </c>
      <c r="D31" s="19">
        <v>41.5</v>
      </c>
      <c r="E31" s="19">
        <v>33</v>
      </c>
      <c r="F31" s="19">
        <v>93</v>
      </c>
      <c r="G31" s="19">
        <v>44.2</v>
      </c>
      <c r="H31" s="19">
        <v>101</v>
      </c>
      <c r="I31" s="19">
        <v>141.1</v>
      </c>
      <c r="J31" s="19">
        <v>105.8</v>
      </c>
      <c r="K31" s="19">
        <v>236.4</v>
      </c>
      <c r="L31" s="19">
        <v>99.3</v>
      </c>
      <c r="M31" s="19">
        <v>47.9</v>
      </c>
      <c r="N31" s="21">
        <v>33</v>
      </c>
      <c r="O31" s="15">
        <f t="shared" si="0"/>
        <v>982.6</v>
      </c>
      <c r="P31" s="22">
        <f t="shared" si="1"/>
        <v>81.900000000000006</v>
      </c>
    </row>
    <row r="32" spans="2:16" ht="21.95" customHeight="1">
      <c r="B32" s="18">
        <v>2020</v>
      </c>
      <c r="C32" s="19">
        <v>80.8</v>
      </c>
      <c r="D32" s="19">
        <v>83.9</v>
      </c>
      <c r="E32" s="19">
        <v>20.5</v>
      </c>
      <c r="F32" s="19">
        <v>35.6</v>
      </c>
      <c r="G32" s="19">
        <v>80.5</v>
      </c>
      <c r="H32" s="19">
        <v>234</v>
      </c>
      <c r="I32" s="19">
        <v>628</v>
      </c>
      <c r="J32" s="19">
        <v>373.4</v>
      </c>
      <c r="K32" s="19">
        <v>167.2</v>
      </c>
      <c r="L32" s="19">
        <v>4.0999999999999996</v>
      </c>
      <c r="M32" s="19">
        <v>41.9</v>
      </c>
      <c r="N32" s="21">
        <v>8.3000000000000007</v>
      </c>
      <c r="O32" s="15">
        <f t="shared" si="0"/>
        <v>1758.2</v>
      </c>
      <c r="P32" s="22">
        <f t="shared" si="1"/>
        <v>146.5</v>
      </c>
    </row>
    <row r="33" spans="2:16" ht="21.95" customHeight="1">
      <c r="B33" s="18">
        <v>2021</v>
      </c>
      <c r="C33" s="19">
        <v>23.5</v>
      </c>
      <c r="D33" s="19">
        <v>19.3</v>
      </c>
      <c r="E33" s="19">
        <v>88</v>
      </c>
      <c r="F33" s="19">
        <v>39.299999999999997</v>
      </c>
      <c r="G33" s="19">
        <v>162.69999999999999</v>
      </c>
      <c r="H33" s="19">
        <v>105.6</v>
      </c>
      <c r="I33" s="19">
        <v>300.8</v>
      </c>
      <c r="J33" s="19">
        <v>297.2</v>
      </c>
      <c r="K33" s="19">
        <v>151.9</v>
      </c>
      <c r="L33" s="19">
        <v>44</v>
      </c>
      <c r="M33" s="19">
        <v>50.7</v>
      </c>
      <c r="N33" s="21">
        <v>7.1</v>
      </c>
      <c r="O33" s="15">
        <f t="shared" si="0"/>
        <v>1290.0999999999999</v>
      </c>
      <c r="P33" s="22">
        <f t="shared" si="1"/>
        <v>107.5</v>
      </c>
    </row>
    <row r="34" spans="2:16" ht="21.95" customHeight="1">
      <c r="B34" s="18">
        <v>2022</v>
      </c>
      <c r="C34" s="19">
        <v>1.5</v>
      </c>
      <c r="D34" s="19">
        <v>4.0999999999999996</v>
      </c>
      <c r="E34" s="19">
        <v>80.599999999999994</v>
      </c>
      <c r="F34" s="19">
        <v>63.3</v>
      </c>
      <c r="G34" s="19">
        <v>4.7</v>
      </c>
      <c r="H34" s="19">
        <v>145.4</v>
      </c>
      <c r="I34" s="19">
        <v>183.7</v>
      </c>
      <c r="J34" s="19">
        <v>265.7</v>
      </c>
      <c r="K34" s="19">
        <v>68.2</v>
      </c>
      <c r="L34" s="19">
        <v>59.3</v>
      </c>
      <c r="M34" s="19">
        <v>54.2</v>
      </c>
      <c r="N34" s="21">
        <v>18</v>
      </c>
      <c r="O34" s="15">
        <f t="shared" si="0"/>
        <v>948.7</v>
      </c>
      <c r="P34" s="22">
        <f t="shared" si="1"/>
        <v>79.099999999999994</v>
      </c>
    </row>
    <row r="35" spans="2:16" ht="21.95" customHeight="1" thickBot="1">
      <c r="B35" s="38">
        <v>2023</v>
      </c>
      <c r="C35" s="39">
        <v>28.7</v>
      </c>
      <c r="D35" s="39">
        <v>8.6999999999999993</v>
      </c>
      <c r="E35" s="39">
        <v>22</v>
      </c>
      <c r="F35" s="39">
        <v>46.1</v>
      </c>
      <c r="G35" s="39">
        <v>211.5</v>
      </c>
      <c r="H35" s="39">
        <v>196.9</v>
      </c>
      <c r="I35" s="39">
        <v>624.5</v>
      </c>
      <c r="J35" s="39">
        <v>248.7</v>
      </c>
      <c r="K35" s="39">
        <v>218.5</v>
      </c>
      <c r="L35" s="39">
        <v>7.6</v>
      </c>
      <c r="M35" s="39">
        <v>60</v>
      </c>
      <c r="N35" s="40">
        <v>121.6</v>
      </c>
      <c r="O35" s="41">
        <f t="shared" si="0"/>
        <v>1794.8</v>
      </c>
      <c r="P35" s="42">
        <f t="shared" si="1"/>
        <v>149.6</v>
      </c>
    </row>
    <row r="36" spans="2:16" ht="21.95" customHeight="1">
      <c r="B36" s="43" t="s">
        <v>13</v>
      </c>
      <c r="C36" s="44">
        <f>ROUND(MAX(C6:C35),1)</f>
        <v>80.8</v>
      </c>
      <c r="D36" s="44">
        <f t="shared" ref="D36:N36" si="2">ROUND(MAX(D6:D35),1)</f>
        <v>83.9</v>
      </c>
      <c r="E36" s="44">
        <f t="shared" si="2"/>
        <v>129</v>
      </c>
      <c r="F36" s="44">
        <f t="shared" si="2"/>
        <v>202.5</v>
      </c>
      <c r="G36" s="44">
        <f t="shared" si="2"/>
        <v>211.5</v>
      </c>
      <c r="H36" s="44">
        <f t="shared" si="2"/>
        <v>546</v>
      </c>
      <c r="I36" s="44">
        <f t="shared" si="2"/>
        <v>681.5</v>
      </c>
      <c r="J36" s="44">
        <f t="shared" si="2"/>
        <v>579.5</v>
      </c>
      <c r="K36" s="44">
        <f t="shared" si="2"/>
        <v>398.5</v>
      </c>
      <c r="L36" s="44">
        <f t="shared" si="2"/>
        <v>157.19999999999999</v>
      </c>
      <c r="M36" s="44">
        <f t="shared" si="2"/>
        <v>160</v>
      </c>
      <c r="N36" s="45">
        <f t="shared" si="2"/>
        <v>121.6</v>
      </c>
      <c r="O36" s="46">
        <f>ROUND(MAX(O6:O35),1)</f>
        <v>1798.5</v>
      </c>
      <c r="P36" s="47">
        <f>ROUND(MAX(P6:P35),1)</f>
        <v>149.9</v>
      </c>
    </row>
    <row r="37" spans="2:16" ht="21.95" customHeight="1">
      <c r="B37" s="48" t="s">
        <v>14</v>
      </c>
      <c r="C37" s="49">
        <f>ROUND(MIN(C6:C35),1)</f>
        <v>1.5</v>
      </c>
      <c r="D37" s="49">
        <f t="shared" ref="D37:N37" si="3">ROUND(MIN(D6:D35),1)</f>
        <v>1.1000000000000001</v>
      </c>
      <c r="E37" s="49">
        <f t="shared" si="3"/>
        <v>8.4</v>
      </c>
      <c r="F37" s="49">
        <f t="shared" si="3"/>
        <v>22.5</v>
      </c>
      <c r="G37" s="49">
        <f t="shared" si="3"/>
        <v>4.7</v>
      </c>
      <c r="H37" s="49">
        <f t="shared" si="3"/>
        <v>45.6</v>
      </c>
      <c r="I37" s="49">
        <f t="shared" si="3"/>
        <v>83.5</v>
      </c>
      <c r="J37" s="49">
        <f t="shared" si="3"/>
        <v>43</v>
      </c>
      <c r="K37" s="49">
        <f t="shared" si="3"/>
        <v>12.5</v>
      </c>
      <c r="L37" s="49">
        <f t="shared" si="3"/>
        <v>2.5</v>
      </c>
      <c r="M37" s="49">
        <f t="shared" si="3"/>
        <v>12</v>
      </c>
      <c r="N37" s="22">
        <f t="shared" si="3"/>
        <v>4.5999999999999996</v>
      </c>
      <c r="O37" s="50">
        <f>ROUND(MIN(O6:O35),1)</f>
        <v>768.5</v>
      </c>
      <c r="P37" s="51">
        <f>ROUND(MIN(P6:P35),1)</f>
        <v>64</v>
      </c>
    </row>
    <row r="38" spans="2:16" ht="21.95" customHeight="1" thickBot="1">
      <c r="B38" s="52" t="s">
        <v>18</v>
      </c>
      <c r="C38" s="53">
        <f>ROUND(AVERAGE(C6:C35),1)</f>
        <v>25.4</v>
      </c>
      <c r="D38" s="53">
        <f t="shared" ref="D38:P38" si="4">ROUND(AVERAGE(D6:D35),1)</f>
        <v>33.799999999999997</v>
      </c>
      <c r="E38" s="53">
        <f t="shared" si="4"/>
        <v>52.9</v>
      </c>
      <c r="F38" s="53">
        <f t="shared" si="4"/>
        <v>81.5</v>
      </c>
      <c r="G38" s="53">
        <f t="shared" si="4"/>
        <v>86.5</v>
      </c>
      <c r="H38" s="53">
        <f t="shared" si="4"/>
        <v>162.5</v>
      </c>
      <c r="I38" s="53">
        <f t="shared" si="4"/>
        <v>304.89999999999998</v>
      </c>
      <c r="J38" s="53">
        <f t="shared" si="4"/>
        <v>288.89999999999998</v>
      </c>
      <c r="K38" s="53">
        <f t="shared" si="4"/>
        <v>130.4</v>
      </c>
      <c r="L38" s="53">
        <f t="shared" si="4"/>
        <v>55.7</v>
      </c>
      <c r="M38" s="53">
        <f t="shared" si="4"/>
        <v>47.8</v>
      </c>
      <c r="N38" s="54">
        <f t="shared" si="4"/>
        <v>30.4</v>
      </c>
      <c r="O38" s="55">
        <f t="shared" si="4"/>
        <v>1300.5999999999999</v>
      </c>
      <c r="P38" s="56">
        <f t="shared" si="4"/>
        <v>108.4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4.0999999999999996</v>
      </c>
      <c r="D44" s="62">
        <f t="shared" si="5"/>
        <v>2.7</v>
      </c>
      <c r="E44" s="62">
        <f t="shared" si="5"/>
        <v>97.9</v>
      </c>
      <c r="F44" s="62">
        <f t="shared" si="5"/>
        <v>88.7</v>
      </c>
      <c r="G44" s="62">
        <f t="shared" si="5"/>
        <v>26</v>
      </c>
      <c r="H44" s="62">
        <f t="shared" si="5"/>
        <v>45.6</v>
      </c>
      <c r="I44" s="62">
        <f t="shared" si="5"/>
        <v>105.8</v>
      </c>
      <c r="J44" s="62">
        <f t="shared" si="5"/>
        <v>426.4</v>
      </c>
      <c r="K44" s="62">
        <f t="shared" si="5"/>
        <v>91.2</v>
      </c>
      <c r="L44" s="62">
        <f t="shared" si="5"/>
        <v>141.19999999999999</v>
      </c>
      <c r="M44" s="62">
        <f t="shared" si="5"/>
        <v>70.099999999999994</v>
      </c>
      <c r="N44" s="63">
        <f t="shared" si="5"/>
        <v>31.3</v>
      </c>
      <c r="O44" s="64">
        <f>ROUND(SUM(C44:N44),1)</f>
        <v>1131</v>
      </c>
      <c r="P44" s="51">
        <f>ROUND(O44/12,1)</f>
        <v>94.3</v>
      </c>
    </row>
    <row r="45" spans="2:16" ht="21.95" customHeight="1">
      <c r="B45" s="61">
        <f t="shared" ref="B45:N53" si="6">B27</f>
        <v>2015</v>
      </c>
      <c r="C45" s="62">
        <f t="shared" si="6"/>
        <v>37.6</v>
      </c>
      <c r="D45" s="62">
        <f t="shared" si="6"/>
        <v>23.4</v>
      </c>
      <c r="E45" s="62">
        <f t="shared" si="6"/>
        <v>46.6</v>
      </c>
      <c r="F45" s="62">
        <f t="shared" si="6"/>
        <v>93.5</v>
      </c>
      <c r="G45" s="62">
        <f t="shared" si="6"/>
        <v>29.5</v>
      </c>
      <c r="H45" s="62">
        <f t="shared" si="6"/>
        <v>143.69999999999999</v>
      </c>
      <c r="I45" s="62">
        <f t="shared" si="6"/>
        <v>162.30000000000001</v>
      </c>
      <c r="J45" s="62">
        <f t="shared" si="6"/>
        <v>83.6</v>
      </c>
      <c r="K45" s="62">
        <f t="shared" si="6"/>
        <v>18.600000000000001</v>
      </c>
      <c r="L45" s="62">
        <f t="shared" si="6"/>
        <v>93.5</v>
      </c>
      <c r="M45" s="62">
        <f t="shared" si="6"/>
        <v>109.6</v>
      </c>
      <c r="N45" s="63">
        <f t="shared" si="6"/>
        <v>35.700000000000003</v>
      </c>
      <c r="O45" s="64">
        <f t="shared" ref="O45:O53" si="7">ROUND(SUM(C45:N45),1)</f>
        <v>877.6</v>
      </c>
      <c r="P45" s="51">
        <f t="shared" ref="P45:P53" si="8">ROUND(O45/12,1)</f>
        <v>73.099999999999994</v>
      </c>
    </row>
    <row r="46" spans="2:16" ht="21.95" customHeight="1">
      <c r="B46" s="61">
        <f t="shared" si="6"/>
        <v>2016</v>
      </c>
      <c r="C46" s="62">
        <f t="shared" si="6"/>
        <v>11.1</v>
      </c>
      <c r="D46" s="62">
        <f t="shared" si="6"/>
        <v>46</v>
      </c>
      <c r="E46" s="62">
        <f t="shared" si="6"/>
        <v>54.5</v>
      </c>
      <c r="F46" s="62">
        <f t="shared" si="6"/>
        <v>171.7</v>
      </c>
      <c r="G46" s="62">
        <f t="shared" si="6"/>
        <v>70.5</v>
      </c>
      <c r="H46" s="62">
        <f t="shared" si="6"/>
        <v>87.4</v>
      </c>
      <c r="I46" s="62">
        <f t="shared" si="6"/>
        <v>377.9</v>
      </c>
      <c r="J46" s="62">
        <f t="shared" si="6"/>
        <v>105.6</v>
      </c>
      <c r="K46" s="62">
        <f t="shared" si="6"/>
        <v>160.9</v>
      </c>
      <c r="L46" s="62">
        <f t="shared" si="6"/>
        <v>157.19999999999999</v>
      </c>
      <c r="M46" s="62">
        <f t="shared" si="6"/>
        <v>33.200000000000003</v>
      </c>
      <c r="N46" s="63">
        <f t="shared" si="6"/>
        <v>49.6</v>
      </c>
      <c r="O46" s="64">
        <f t="shared" si="7"/>
        <v>1325.6</v>
      </c>
      <c r="P46" s="51">
        <f t="shared" si="8"/>
        <v>110.5</v>
      </c>
    </row>
    <row r="47" spans="2:16" ht="21.95" customHeight="1">
      <c r="B47" s="61">
        <f t="shared" si="6"/>
        <v>2017</v>
      </c>
      <c r="C47" s="62">
        <f t="shared" si="6"/>
        <v>13.6</v>
      </c>
      <c r="D47" s="62">
        <f t="shared" si="6"/>
        <v>54.6</v>
      </c>
      <c r="E47" s="62">
        <f t="shared" si="6"/>
        <v>29.8</v>
      </c>
      <c r="F47" s="62">
        <f t="shared" si="6"/>
        <v>76.099999999999994</v>
      </c>
      <c r="G47" s="62">
        <f t="shared" si="6"/>
        <v>31.8</v>
      </c>
      <c r="H47" s="62">
        <f t="shared" si="6"/>
        <v>48.3</v>
      </c>
      <c r="I47" s="62">
        <f t="shared" si="6"/>
        <v>305.5</v>
      </c>
      <c r="J47" s="62">
        <f t="shared" si="6"/>
        <v>222.3</v>
      </c>
      <c r="K47" s="62">
        <f t="shared" si="6"/>
        <v>105.6</v>
      </c>
      <c r="L47" s="62">
        <f t="shared" si="6"/>
        <v>35.1</v>
      </c>
      <c r="M47" s="62">
        <f t="shared" si="6"/>
        <v>15.6</v>
      </c>
      <c r="N47" s="63">
        <f t="shared" si="6"/>
        <v>29.3</v>
      </c>
      <c r="O47" s="64">
        <f>ROUND(SUM(C47:N47),1)</f>
        <v>967.6</v>
      </c>
      <c r="P47" s="51">
        <f t="shared" si="8"/>
        <v>80.599999999999994</v>
      </c>
    </row>
    <row r="48" spans="2:16" ht="21.95" customHeight="1">
      <c r="B48" s="61">
        <f t="shared" si="6"/>
        <v>2018</v>
      </c>
      <c r="C48" s="62">
        <f t="shared" si="6"/>
        <v>25.7</v>
      </c>
      <c r="D48" s="62">
        <f t="shared" si="6"/>
        <v>28.1</v>
      </c>
      <c r="E48" s="62">
        <f t="shared" si="6"/>
        <v>91.5</v>
      </c>
      <c r="F48" s="62">
        <f t="shared" si="6"/>
        <v>142.4</v>
      </c>
      <c r="G48" s="62">
        <f t="shared" si="6"/>
        <v>110.4</v>
      </c>
      <c r="H48" s="62">
        <f t="shared" si="6"/>
        <v>104.3</v>
      </c>
      <c r="I48" s="62">
        <f t="shared" si="6"/>
        <v>163.5</v>
      </c>
      <c r="J48" s="62">
        <f t="shared" si="6"/>
        <v>410.4</v>
      </c>
      <c r="K48" s="62">
        <f t="shared" si="6"/>
        <v>135.19999999999999</v>
      </c>
      <c r="L48" s="62">
        <f t="shared" si="6"/>
        <v>112.6</v>
      </c>
      <c r="M48" s="62">
        <f t="shared" si="6"/>
        <v>45.5</v>
      </c>
      <c r="N48" s="63">
        <f t="shared" si="6"/>
        <v>27.6</v>
      </c>
      <c r="O48" s="64">
        <f t="shared" si="7"/>
        <v>1397.2</v>
      </c>
      <c r="P48" s="51">
        <f t="shared" si="8"/>
        <v>116.4</v>
      </c>
    </row>
    <row r="49" spans="2:16" ht="21.95" customHeight="1">
      <c r="B49" s="61">
        <f t="shared" si="6"/>
        <v>2019</v>
      </c>
      <c r="C49" s="62">
        <f t="shared" si="6"/>
        <v>6.4</v>
      </c>
      <c r="D49" s="62">
        <f t="shared" si="6"/>
        <v>41.5</v>
      </c>
      <c r="E49" s="62">
        <f t="shared" si="6"/>
        <v>33</v>
      </c>
      <c r="F49" s="62">
        <f t="shared" si="6"/>
        <v>93</v>
      </c>
      <c r="G49" s="62">
        <f t="shared" si="6"/>
        <v>44.2</v>
      </c>
      <c r="H49" s="62">
        <f t="shared" si="6"/>
        <v>101</v>
      </c>
      <c r="I49" s="62">
        <f t="shared" si="6"/>
        <v>141.1</v>
      </c>
      <c r="J49" s="62">
        <f t="shared" si="6"/>
        <v>105.8</v>
      </c>
      <c r="K49" s="62">
        <f t="shared" si="6"/>
        <v>236.4</v>
      </c>
      <c r="L49" s="62">
        <f t="shared" si="6"/>
        <v>99.3</v>
      </c>
      <c r="M49" s="62">
        <f t="shared" si="6"/>
        <v>47.9</v>
      </c>
      <c r="N49" s="63">
        <f t="shared" si="6"/>
        <v>33</v>
      </c>
      <c r="O49" s="64">
        <f t="shared" si="7"/>
        <v>982.6</v>
      </c>
      <c r="P49" s="51">
        <f t="shared" si="8"/>
        <v>81.900000000000006</v>
      </c>
    </row>
    <row r="50" spans="2:16" ht="21.95" customHeight="1">
      <c r="B50" s="61">
        <f t="shared" si="6"/>
        <v>2020</v>
      </c>
      <c r="C50" s="62">
        <f t="shared" si="6"/>
        <v>80.8</v>
      </c>
      <c r="D50" s="62">
        <f t="shared" si="6"/>
        <v>83.9</v>
      </c>
      <c r="E50" s="62">
        <f t="shared" si="6"/>
        <v>20.5</v>
      </c>
      <c r="F50" s="62">
        <f t="shared" si="6"/>
        <v>35.6</v>
      </c>
      <c r="G50" s="62">
        <f t="shared" si="6"/>
        <v>80.5</v>
      </c>
      <c r="H50" s="62">
        <f t="shared" si="6"/>
        <v>234</v>
      </c>
      <c r="I50" s="62">
        <f t="shared" si="6"/>
        <v>628</v>
      </c>
      <c r="J50" s="62">
        <f t="shared" si="6"/>
        <v>373.4</v>
      </c>
      <c r="K50" s="62">
        <f t="shared" si="6"/>
        <v>167.2</v>
      </c>
      <c r="L50" s="62">
        <f t="shared" si="6"/>
        <v>4.0999999999999996</v>
      </c>
      <c r="M50" s="62">
        <f t="shared" si="6"/>
        <v>41.9</v>
      </c>
      <c r="N50" s="63">
        <f t="shared" si="6"/>
        <v>8.3000000000000007</v>
      </c>
      <c r="O50" s="64">
        <f t="shared" si="7"/>
        <v>1758.2</v>
      </c>
      <c r="P50" s="51">
        <f t="shared" si="8"/>
        <v>146.5</v>
      </c>
    </row>
    <row r="51" spans="2:16" ht="21.95" customHeight="1">
      <c r="B51" s="61">
        <f t="shared" si="6"/>
        <v>2021</v>
      </c>
      <c r="C51" s="62">
        <f t="shared" si="6"/>
        <v>23.5</v>
      </c>
      <c r="D51" s="62">
        <f t="shared" si="6"/>
        <v>19.3</v>
      </c>
      <c r="E51" s="62">
        <f t="shared" si="6"/>
        <v>88</v>
      </c>
      <c r="F51" s="62">
        <f t="shared" si="6"/>
        <v>39.299999999999997</v>
      </c>
      <c r="G51" s="62">
        <f t="shared" si="6"/>
        <v>162.69999999999999</v>
      </c>
      <c r="H51" s="62">
        <f t="shared" si="6"/>
        <v>105.6</v>
      </c>
      <c r="I51" s="62">
        <f t="shared" si="6"/>
        <v>300.8</v>
      </c>
      <c r="J51" s="62">
        <f t="shared" si="6"/>
        <v>297.2</v>
      </c>
      <c r="K51" s="62">
        <f t="shared" si="6"/>
        <v>151.9</v>
      </c>
      <c r="L51" s="62">
        <f t="shared" si="6"/>
        <v>44</v>
      </c>
      <c r="M51" s="62">
        <f t="shared" si="6"/>
        <v>50.7</v>
      </c>
      <c r="N51" s="63">
        <f t="shared" si="6"/>
        <v>7.1</v>
      </c>
      <c r="O51" s="64">
        <f t="shared" si="7"/>
        <v>1290.0999999999999</v>
      </c>
      <c r="P51" s="51">
        <f t="shared" si="8"/>
        <v>107.5</v>
      </c>
    </row>
    <row r="52" spans="2:16" ht="21.95" customHeight="1">
      <c r="B52" s="61">
        <f t="shared" si="6"/>
        <v>2022</v>
      </c>
      <c r="C52" s="62">
        <f t="shared" si="6"/>
        <v>1.5</v>
      </c>
      <c r="D52" s="62">
        <f t="shared" si="6"/>
        <v>4.0999999999999996</v>
      </c>
      <c r="E52" s="62">
        <f t="shared" si="6"/>
        <v>80.599999999999994</v>
      </c>
      <c r="F52" s="62">
        <f t="shared" si="6"/>
        <v>63.3</v>
      </c>
      <c r="G52" s="62">
        <f t="shared" si="6"/>
        <v>4.7</v>
      </c>
      <c r="H52" s="62">
        <f t="shared" si="6"/>
        <v>145.4</v>
      </c>
      <c r="I52" s="62">
        <f t="shared" si="6"/>
        <v>183.7</v>
      </c>
      <c r="J52" s="62">
        <f t="shared" si="6"/>
        <v>265.7</v>
      </c>
      <c r="K52" s="62">
        <f t="shared" si="6"/>
        <v>68.2</v>
      </c>
      <c r="L52" s="62">
        <f t="shared" si="6"/>
        <v>59.3</v>
      </c>
      <c r="M52" s="62">
        <f t="shared" si="6"/>
        <v>54.2</v>
      </c>
      <c r="N52" s="63">
        <f t="shared" si="6"/>
        <v>18</v>
      </c>
      <c r="O52" s="64">
        <f t="shared" si="7"/>
        <v>948.7</v>
      </c>
      <c r="P52" s="51">
        <f t="shared" si="8"/>
        <v>79.099999999999994</v>
      </c>
    </row>
    <row r="53" spans="2:16" ht="21.95" customHeight="1" thickBot="1">
      <c r="B53" s="65">
        <f t="shared" si="6"/>
        <v>2023</v>
      </c>
      <c r="C53" s="66">
        <f t="shared" si="6"/>
        <v>28.7</v>
      </c>
      <c r="D53" s="66">
        <f t="shared" si="6"/>
        <v>8.6999999999999993</v>
      </c>
      <c r="E53" s="66">
        <f t="shared" si="6"/>
        <v>22</v>
      </c>
      <c r="F53" s="66">
        <f t="shared" si="6"/>
        <v>46.1</v>
      </c>
      <c r="G53" s="66">
        <f t="shared" si="6"/>
        <v>211.5</v>
      </c>
      <c r="H53" s="66">
        <f t="shared" si="6"/>
        <v>196.9</v>
      </c>
      <c r="I53" s="66">
        <f t="shared" si="6"/>
        <v>624.5</v>
      </c>
      <c r="J53" s="66">
        <f t="shared" si="6"/>
        <v>248.7</v>
      </c>
      <c r="K53" s="66">
        <f t="shared" si="6"/>
        <v>218.5</v>
      </c>
      <c r="L53" s="66">
        <f t="shared" si="6"/>
        <v>7.6</v>
      </c>
      <c r="M53" s="66">
        <f t="shared" si="6"/>
        <v>60</v>
      </c>
      <c r="N53" s="67">
        <f t="shared" si="6"/>
        <v>121.6</v>
      </c>
      <c r="O53" s="68">
        <f t="shared" si="7"/>
        <v>1794.8</v>
      </c>
      <c r="P53" s="56">
        <f t="shared" si="8"/>
        <v>149.6</v>
      </c>
    </row>
    <row r="54" spans="2:16" ht="21.95" customHeight="1">
      <c r="B54" s="69" t="s">
        <v>19</v>
      </c>
      <c r="C54" s="70">
        <f>MAX(C44:C53)</f>
        <v>80.8</v>
      </c>
      <c r="D54" s="70">
        <f t="shared" ref="D54:P54" si="9">MAX(D44:D53)</f>
        <v>83.9</v>
      </c>
      <c r="E54" s="70">
        <f t="shared" si="9"/>
        <v>97.9</v>
      </c>
      <c r="F54" s="70">
        <f t="shared" si="9"/>
        <v>171.7</v>
      </c>
      <c r="G54" s="70">
        <f t="shared" si="9"/>
        <v>211.5</v>
      </c>
      <c r="H54" s="70">
        <f t="shared" si="9"/>
        <v>234</v>
      </c>
      <c r="I54" s="70">
        <f t="shared" si="9"/>
        <v>628</v>
      </c>
      <c r="J54" s="70">
        <f t="shared" si="9"/>
        <v>426.4</v>
      </c>
      <c r="K54" s="70">
        <f t="shared" si="9"/>
        <v>236.4</v>
      </c>
      <c r="L54" s="70">
        <f t="shared" si="9"/>
        <v>157.19999999999999</v>
      </c>
      <c r="M54" s="70">
        <f t="shared" si="9"/>
        <v>109.6</v>
      </c>
      <c r="N54" s="71">
        <f t="shared" si="9"/>
        <v>121.6</v>
      </c>
      <c r="O54" s="72">
        <f t="shared" si="9"/>
        <v>1794.8</v>
      </c>
      <c r="P54" s="71">
        <f t="shared" si="9"/>
        <v>149.6</v>
      </c>
    </row>
    <row r="55" spans="2:16" ht="21.95" customHeight="1">
      <c r="B55" s="73" t="s">
        <v>20</v>
      </c>
      <c r="C55" s="74">
        <f>MIN(C44:C53)</f>
        <v>1.5</v>
      </c>
      <c r="D55" s="74">
        <f t="shared" ref="D55:P55" si="10">MIN(D44:D53)</f>
        <v>2.7</v>
      </c>
      <c r="E55" s="74">
        <f t="shared" si="10"/>
        <v>20.5</v>
      </c>
      <c r="F55" s="74">
        <f t="shared" si="10"/>
        <v>35.6</v>
      </c>
      <c r="G55" s="74">
        <f t="shared" si="10"/>
        <v>4.7</v>
      </c>
      <c r="H55" s="74">
        <f t="shared" si="10"/>
        <v>45.6</v>
      </c>
      <c r="I55" s="74">
        <f t="shared" si="10"/>
        <v>105.8</v>
      </c>
      <c r="J55" s="74">
        <f t="shared" si="10"/>
        <v>83.6</v>
      </c>
      <c r="K55" s="74">
        <f t="shared" si="10"/>
        <v>18.600000000000001</v>
      </c>
      <c r="L55" s="74">
        <f t="shared" si="10"/>
        <v>4.0999999999999996</v>
      </c>
      <c r="M55" s="74">
        <f t="shared" si="10"/>
        <v>15.6</v>
      </c>
      <c r="N55" s="51">
        <f t="shared" si="10"/>
        <v>7.1</v>
      </c>
      <c r="O55" s="64">
        <f>MIN(O44:O53)</f>
        <v>877.6</v>
      </c>
      <c r="P55" s="51">
        <f t="shared" si="10"/>
        <v>73.099999999999994</v>
      </c>
    </row>
    <row r="56" spans="2:16" ht="21.95" customHeight="1" thickBot="1">
      <c r="B56" s="75" t="s">
        <v>7</v>
      </c>
      <c r="C56" s="76">
        <f>ROUND(AVERAGE(C44:C53),1)</f>
        <v>23.3</v>
      </c>
      <c r="D56" s="76">
        <f t="shared" ref="D56:N56" si="11">ROUND(AVERAGE(D44:D53),1)</f>
        <v>31.2</v>
      </c>
      <c r="E56" s="76">
        <f t="shared" si="11"/>
        <v>56.4</v>
      </c>
      <c r="F56" s="76">
        <f t="shared" si="11"/>
        <v>85</v>
      </c>
      <c r="G56" s="76">
        <f t="shared" si="11"/>
        <v>77.2</v>
      </c>
      <c r="H56" s="76">
        <f t="shared" si="11"/>
        <v>121.2</v>
      </c>
      <c r="I56" s="76">
        <f t="shared" si="11"/>
        <v>299.3</v>
      </c>
      <c r="J56" s="76">
        <f t="shared" si="11"/>
        <v>253.9</v>
      </c>
      <c r="K56" s="76">
        <f t="shared" si="11"/>
        <v>135.4</v>
      </c>
      <c r="L56" s="76">
        <f t="shared" si="11"/>
        <v>75.400000000000006</v>
      </c>
      <c r="M56" s="76">
        <f t="shared" si="11"/>
        <v>52.9</v>
      </c>
      <c r="N56" s="56">
        <f t="shared" si="11"/>
        <v>36.200000000000003</v>
      </c>
      <c r="O56" s="68">
        <f>ROUND(AVERAGE(O44:O53),1)</f>
        <v>1247.3</v>
      </c>
      <c r="P56" s="56">
        <f>ROUND(AVERAGE(P44:P53),1)</f>
        <v>104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50E456-D480-4AFB-8531-3BE2300C0C8F}">
  <sheetPr codeName="Sheet14">
    <tabColor rgb="FFFFC0CB"/>
  </sheetPr>
  <dimension ref="A2:Q983"/>
  <sheetViews>
    <sheetView topLeftCell="A4" zoomScaleNormal="100" workbookViewId="0">
      <selection activeCell="K25" sqref="K25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6384" width="8.88671875" style="3"/>
  </cols>
  <sheetData>
    <row r="2" spans="2:17" ht="20.25">
      <c r="B2" s="2" t="s">
        <v>256</v>
      </c>
    </row>
    <row r="3" spans="2:17" ht="24.75" customHeight="1"/>
    <row r="4" spans="2:17" ht="21.75" customHeight="1" thickBot="1"/>
    <row r="5" spans="2:17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</row>
    <row r="6" spans="2:17" ht="21.95" customHeight="1">
      <c r="B6" s="11">
        <v>1994</v>
      </c>
      <c r="C6" s="12">
        <v>17.899999999999999</v>
      </c>
      <c r="D6" s="12">
        <v>16.8</v>
      </c>
      <c r="E6" s="12">
        <v>46.5</v>
      </c>
      <c r="F6" s="12">
        <v>38.700000000000003</v>
      </c>
      <c r="G6" s="12">
        <v>138.4</v>
      </c>
      <c r="H6" s="12">
        <v>115.1</v>
      </c>
      <c r="I6" s="12">
        <v>105.3</v>
      </c>
      <c r="J6" s="13">
        <v>145.9</v>
      </c>
      <c r="K6" s="12">
        <v>37.9</v>
      </c>
      <c r="L6" s="12">
        <v>145.30000000000001</v>
      </c>
      <c r="M6" s="12">
        <v>24.3</v>
      </c>
      <c r="N6" s="14">
        <v>25.8</v>
      </c>
      <c r="O6" s="15">
        <f t="shared" ref="O6:O35" si="0">ROUND(SUM(C6:N6),1)</f>
        <v>857.9</v>
      </c>
      <c r="P6" s="16">
        <f>ROUND(O6/12,1)</f>
        <v>71.5</v>
      </c>
      <c r="Q6" s="17"/>
    </row>
    <row r="7" spans="2:17" ht="21.95" customHeight="1">
      <c r="B7" s="18">
        <v>1995</v>
      </c>
      <c r="C7" s="19">
        <v>23.5</v>
      </c>
      <c r="D7" s="19">
        <v>16.899999999999999</v>
      </c>
      <c r="E7" s="19">
        <v>33.799999999999997</v>
      </c>
      <c r="F7" s="19">
        <v>54.7</v>
      </c>
      <c r="G7" s="19">
        <v>62.2</v>
      </c>
      <c r="H7" s="19">
        <v>33.6</v>
      </c>
      <c r="I7" s="19">
        <v>155.4</v>
      </c>
      <c r="J7" s="20">
        <v>641.9</v>
      </c>
      <c r="K7" s="19">
        <v>53.4</v>
      </c>
      <c r="L7" s="19">
        <v>36</v>
      </c>
      <c r="M7" s="19">
        <v>17.5</v>
      </c>
      <c r="N7" s="21">
        <v>7.3</v>
      </c>
      <c r="O7" s="15">
        <f t="shared" si="0"/>
        <v>1136.2</v>
      </c>
      <c r="P7" s="22">
        <f t="shared" ref="P7:P35" si="1">ROUND(O7/12,1)</f>
        <v>94.7</v>
      </c>
      <c r="Q7" s="17"/>
    </row>
    <row r="8" spans="2:17" ht="21.95" customHeight="1">
      <c r="B8" s="18">
        <v>1996</v>
      </c>
      <c r="C8" s="19">
        <v>32.700000000000003</v>
      </c>
      <c r="D8" s="19">
        <v>4.4000000000000004</v>
      </c>
      <c r="E8" s="19">
        <v>138</v>
      </c>
      <c r="F8" s="19">
        <v>49.8</v>
      </c>
      <c r="G8" s="19">
        <v>62.9</v>
      </c>
      <c r="H8" s="19">
        <v>411.4</v>
      </c>
      <c r="I8" s="19">
        <v>257.7</v>
      </c>
      <c r="J8" s="19">
        <v>114.4</v>
      </c>
      <c r="K8" s="19">
        <v>11.4</v>
      </c>
      <c r="L8" s="19">
        <v>90.8</v>
      </c>
      <c r="M8" s="19">
        <v>77.099999999999994</v>
      </c>
      <c r="N8" s="21">
        <v>28.6</v>
      </c>
      <c r="O8" s="15">
        <f t="shared" si="0"/>
        <v>1279.2</v>
      </c>
      <c r="P8" s="22">
        <f t="shared" si="1"/>
        <v>106.6</v>
      </c>
      <c r="Q8" s="17"/>
    </row>
    <row r="9" spans="2:17" ht="21.95" customHeight="1">
      <c r="B9" s="18">
        <v>1997</v>
      </c>
      <c r="C9" s="19">
        <v>15.6</v>
      </c>
      <c r="D9" s="19">
        <v>51.1</v>
      </c>
      <c r="E9" s="19">
        <v>37.1</v>
      </c>
      <c r="F9" s="19">
        <v>55.4</v>
      </c>
      <c r="G9" s="19">
        <v>200.9</v>
      </c>
      <c r="H9" s="19">
        <v>267.5</v>
      </c>
      <c r="I9" s="19">
        <v>424.2</v>
      </c>
      <c r="J9" s="19">
        <v>463.5</v>
      </c>
      <c r="K9" s="19">
        <v>30.2</v>
      </c>
      <c r="L9" s="19">
        <v>7.7</v>
      </c>
      <c r="M9" s="19">
        <v>168.2</v>
      </c>
      <c r="N9" s="21">
        <v>44.5</v>
      </c>
      <c r="O9" s="15">
        <f t="shared" si="0"/>
        <v>1765.9</v>
      </c>
      <c r="P9" s="22">
        <f t="shared" si="1"/>
        <v>147.19999999999999</v>
      </c>
      <c r="Q9" s="17"/>
    </row>
    <row r="10" spans="2:17" ht="21.95" customHeight="1">
      <c r="B10" s="18">
        <v>1998</v>
      </c>
      <c r="C10" s="19">
        <v>33.299999999999997</v>
      </c>
      <c r="D10" s="19">
        <v>36.299999999999997</v>
      </c>
      <c r="E10" s="19">
        <v>31.1</v>
      </c>
      <c r="F10" s="19">
        <v>154.30000000000001</v>
      </c>
      <c r="G10" s="19">
        <v>119.5</v>
      </c>
      <c r="H10" s="19">
        <v>297.2</v>
      </c>
      <c r="I10" s="19">
        <v>256.10000000000002</v>
      </c>
      <c r="J10" s="19">
        <v>781.7</v>
      </c>
      <c r="K10" s="19">
        <v>254.7</v>
      </c>
      <c r="L10" s="19">
        <v>71.5</v>
      </c>
      <c r="M10" s="19">
        <v>31.6</v>
      </c>
      <c r="N10" s="21">
        <v>2.7</v>
      </c>
      <c r="O10" s="15">
        <f t="shared" si="0"/>
        <v>2070</v>
      </c>
      <c r="P10" s="22">
        <f t="shared" si="1"/>
        <v>172.5</v>
      </c>
      <c r="Q10" s="17"/>
    </row>
    <row r="11" spans="2:17" ht="21.95" customHeight="1">
      <c r="B11" s="18">
        <v>1999</v>
      </c>
      <c r="C11" s="19">
        <v>1.8</v>
      </c>
      <c r="D11" s="19">
        <v>12.2</v>
      </c>
      <c r="E11" s="19">
        <v>79.400000000000006</v>
      </c>
      <c r="F11" s="19">
        <v>103</v>
      </c>
      <c r="G11" s="19">
        <v>116.8</v>
      </c>
      <c r="H11" s="19">
        <v>245.7</v>
      </c>
      <c r="I11" s="19">
        <v>137.80000000000001</v>
      </c>
      <c r="J11" s="19">
        <v>203</v>
      </c>
      <c r="K11" s="19">
        <v>359.5</v>
      </c>
      <c r="L11" s="19">
        <v>171.6</v>
      </c>
      <c r="M11" s="19">
        <v>16.5</v>
      </c>
      <c r="N11" s="21">
        <v>7.9</v>
      </c>
      <c r="O11" s="15">
        <f t="shared" si="0"/>
        <v>1455.2</v>
      </c>
      <c r="P11" s="22">
        <f t="shared" si="1"/>
        <v>121.3</v>
      </c>
      <c r="Q11" s="17"/>
    </row>
    <row r="12" spans="2:17" ht="21.95" customHeight="1">
      <c r="B12" s="18">
        <v>2000</v>
      </c>
      <c r="C12" s="19">
        <v>27.5</v>
      </c>
      <c r="D12" s="19">
        <v>4.0999999999999996</v>
      </c>
      <c r="E12" s="19">
        <v>17.8</v>
      </c>
      <c r="F12" s="19">
        <v>67.8</v>
      </c>
      <c r="G12" s="19">
        <v>54.3</v>
      </c>
      <c r="H12" s="19">
        <v>238.3</v>
      </c>
      <c r="I12" s="19">
        <v>470.1</v>
      </c>
      <c r="J12" s="19">
        <v>473.6</v>
      </c>
      <c r="K12" s="19">
        <v>263.2</v>
      </c>
      <c r="L12" s="19">
        <v>24.6</v>
      </c>
      <c r="M12" s="19">
        <v>44.6</v>
      </c>
      <c r="N12" s="21">
        <v>21.6</v>
      </c>
      <c r="O12" s="15">
        <f t="shared" si="0"/>
        <v>1707.5</v>
      </c>
      <c r="P12" s="22">
        <f t="shared" si="1"/>
        <v>142.30000000000001</v>
      </c>
    </row>
    <row r="13" spans="2:17" ht="21.95" customHeight="1">
      <c r="B13" s="18">
        <v>2001</v>
      </c>
      <c r="C13" s="19">
        <v>61.2</v>
      </c>
      <c r="D13" s="19">
        <v>70</v>
      </c>
      <c r="E13" s="19">
        <v>16</v>
      </c>
      <c r="F13" s="19">
        <v>20.399999999999999</v>
      </c>
      <c r="G13" s="19">
        <v>30.2</v>
      </c>
      <c r="H13" s="19">
        <v>234.2</v>
      </c>
      <c r="I13" s="19">
        <v>171</v>
      </c>
      <c r="J13" s="19">
        <v>78.099999999999994</v>
      </c>
      <c r="K13" s="19">
        <v>25.2</v>
      </c>
      <c r="L13" s="19">
        <v>91.2</v>
      </c>
      <c r="M13" s="19">
        <v>10.8</v>
      </c>
      <c r="N13" s="21">
        <v>20.399999999999999</v>
      </c>
      <c r="O13" s="15">
        <f t="shared" si="0"/>
        <v>828.7</v>
      </c>
      <c r="P13" s="22">
        <f t="shared" si="1"/>
        <v>69.099999999999994</v>
      </c>
    </row>
    <row r="14" spans="2:17" ht="21.95" customHeight="1">
      <c r="B14" s="18">
        <v>2002</v>
      </c>
      <c r="C14" s="19">
        <v>92.1</v>
      </c>
      <c r="D14" s="19">
        <v>12</v>
      </c>
      <c r="E14" s="19">
        <v>33.5</v>
      </c>
      <c r="F14" s="19">
        <v>155.5</v>
      </c>
      <c r="G14" s="19">
        <v>130.5</v>
      </c>
      <c r="H14" s="19">
        <v>55.4</v>
      </c>
      <c r="I14" s="19">
        <v>149.1</v>
      </c>
      <c r="J14" s="19">
        <v>538.79999999999995</v>
      </c>
      <c r="K14" s="19">
        <v>77</v>
      </c>
      <c r="L14" s="19">
        <v>67.8</v>
      </c>
      <c r="M14" s="19">
        <v>24</v>
      </c>
      <c r="N14" s="21">
        <v>43</v>
      </c>
      <c r="O14" s="15">
        <f t="shared" si="0"/>
        <v>1378.7</v>
      </c>
      <c r="P14" s="22">
        <f t="shared" si="1"/>
        <v>114.9</v>
      </c>
    </row>
    <row r="15" spans="2:17" ht="21.95" customHeight="1">
      <c r="B15" s="18">
        <v>2003</v>
      </c>
      <c r="C15" s="19">
        <v>11.2</v>
      </c>
      <c r="D15" s="19">
        <v>59.2</v>
      </c>
      <c r="E15" s="19">
        <v>44.2</v>
      </c>
      <c r="F15" s="19">
        <v>217.5</v>
      </c>
      <c r="G15" s="19">
        <v>119.5</v>
      </c>
      <c r="H15" s="19">
        <v>186.4</v>
      </c>
      <c r="I15" s="19">
        <v>576.29999999999995</v>
      </c>
      <c r="J15" s="19">
        <v>254.9</v>
      </c>
      <c r="K15" s="19">
        <v>208.5</v>
      </c>
      <c r="L15" s="19">
        <v>21.5</v>
      </c>
      <c r="M15" s="19">
        <v>32.6</v>
      </c>
      <c r="N15" s="21">
        <v>17.100000000000001</v>
      </c>
      <c r="O15" s="15">
        <f t="shared" si="0"/>
        <v>1748.9</v>
      </c>
      <c r="P15" s="22">
        <f t="shared" si="1"/>
        <v>145.69999999999999</v>
      </c>
    </row>
    <row r="16" spans="2:17" ht="21.95" customHeight="1">
      <c r="B16" s="18">
        <v>2004</v>
      </c>
      <c r="C16" s="19">
        <v>10.9</v>
      </c>
      <c r="D16" s="19">
        <v>30.6</v>
      </c>
      <c r="E16" s="19">
        <v>83.2</v>
      </c>
      <c r="F16" s="19">
        <v>73.099999999999994</v>
      </c>
      <c r="G16" s="19">
        <v>109</v>
      </c>
      <c r="H16" s="19">
        <v>383.5</v>
      </c>
      <c r="I16" s="19">
        <v>391</v>
      </c>
      <c r="J16" s="19">
        <v>198.3</v>
      </c>
      <c r="K16" s="19">
        <v>133.69999999999999</v>
      </c>
      <c r="L16" s="19">
        <v>5</v>
      </c>
      <c r="M16" s="19">
        <v>37.1</v>
      </c>
      <c r="N16" s="21">
        <v>41.1</v>
      </c>
      <c r="O16" s="15">
        <f t="shared" si="0"/>
        <v>1496.5</v>
      </c>
      <c r="P16" s="22">
        <f t="shared" si="1"/>
        <v>124.7</v>
      </c>
    </row>
    <row r="17" spans="2:16" ht="21.95" customHeight="1">
      <c r="B17" s="18">
        <v>2005</v>
      </c>
      <c r="C17" s="19">
        <v>6</v>
      </c>
      <c r="D17" s="19">
        <v>37.5</v>
      </c>
      <c r="E17" s="19">
        <v>38.799999999999997</v>
      </c>
      <c r="F17" s="19">
        <v>48.5</v>
      </c>
      <c r="G17" s="19">
        <v>60.5</v>
      </c>
      <c r="H17" s="19">
        <v>209.6</v>
      </c>
      <c r="I17" s="19">
        <v>463.3</v>
      </c>
      <c r="J17" s="19">
        <v>499.5</v>
      </c>
      <c r="K17" s="19">
        <v>226.4</v>
      </c>
      <c r="L17" s="19">
        <v>30.5</v>
      </c>
      <c r="M17" s="19">
        <v>20.3</v>
      </c>
      <c r="N17" s="21">
        <v>15.2</v>
      </c>
      <c r="O17" s="15">
        <f t="shared" si="0"/>
        <v>1656.1</v>
      </c>
      <c r="P17" s="22">
        <f t="shared" si="1"/>
        <v>138</v>
      </c>
    </row>
    <row r="18" spans="2:16" ht="21.95" customHeight="1">
      <c r="B18" s="18">
        <v>2006</v>
      </c>
      <c r="C18" s="19">
        <v>31.2</v>
      </c>
      <c r="D18" s="19">
        <v>33.1</v>
      </c>
      <c r="E18" s="19">
        <v>8.1</v>
      </c>
      <c r="F18" s="19">
        <v>94.2</v>
      </c>
      <c r="G18" s="19">
        <v>119.7</v>
      </c>
      <c r="H18" s="19">
        <v>131</v>
      </c>
      <c r="I18" s="19">
        <v>531</v>
      </c>
      <c r="J18" s="19">
        <v>113.6</v>
      </c>
      <c r="K18" s="19">
        <v>24.1</v>
      </c>
      <c r="L18" s="19">
        <v>19.3</v>
      </c>
      <c r="M18" s="19">
        <v>60</v>
      </c>
      <c r="N18" s="21">
        <v>29.9</v>
      </c>
      <c r="O18" s="15">
        <f t="shared" si="0"/>
        <v>1195.2</v>
      </c>
      <c r="P18" s="22">
        <f t="shared" si="1"/>
        <v>99.6</v>
      </c>
    </row>
    <row r="19" spans="2:16" ht="21.95" customHeight="1">
      <c r="B19" s="18">
        <v>2007</v>
      </c>
      <c r="C19" s="19">
        <v>14</v>
      </c>
      <c r="D19" s="19">
        <v>45</v>
      </c>
      <c r="E19" s="19">
        <v>117.5</v>
      </c>
      <c r="F19" s="19">
        <v>28.6</v>
      </c>
      <c r="G19" s="19">
        <v>130.1</v>
      </c>
      <c r="H19" s="19">
        <v>133</v>
      </c>
      <c r="I19" s="19">
        <v>275.7</v>
      </c>
      <c r="J19" s="19">
        <v>373</v>
      </c>
      <c r="K19" s="19">
        <v>549.9</v>
      </c>
      <c r="L19" s="19">
        <v>47.4</v>
      </c>
      <c r="M19" s="19">
        <v>9.8000000000000007</v>
      </c>
      <c r="N19" s="21">
        <v>26.9</v>
      </c>
      <c r="O19" s="15">
        <f t="shared" si="0"/>
        <v>1750.9</v>
      </c>
      <c r="P19" s="22">
        <f t="shared" si="1"/>
        <v>145.9</v>
      </c>
    </row>
    <row r="20" spans="2:16" ht="21.95" customHeight="1">
      <c r="B20" s="18">
        <v>2008</v>
      </c>
      <c r="C20" s="19">
        <v>45.3</v>
      </c>
      <c r="D20" s="19">
        <v>9.1</v>
      </c>
      <c r="E20" s="19">
        <v>29.1</v>
      </c>
      <c r="F20" s="19">
        <v>34.4</v>
      </c>
      <c r="G20" s="19">
        <v>59.2</v>
      </c>
      <c r="H20" s="19">
        <v>148.30000000000001</v>
      </c>
      <c r="I20" s="19">
        <v>253.4</v>
      </c>
      <c r="J20" s="19">
        <v>325.2</v>
      </c>
      <c r="K20" s="19">
        <v>85.5</v>
      </c>
      <c r="L20" s="19">
        <v>19.600000000000001</v>
      </c>
      <c r="M20" s="19">
        <v>12.1</v>
      </c>
      <c r="N20" s="21">
        <v>16.399999999999999</v>
      </c>
      <c r="O20" s="15">
        <f t="shared" si="0"/>
        <v>1037.5999999999999</v>
      </c>
      <c r="P20" s="22">
        <f t="shared" si="1"/>
        <v>86.5</v>
      </c>
    </row>
    <row r="21" spans="2:16" ht="21.95" customHeight="1">
      <c r="B21" s="18">
        <v>2009</v>
      </c>
      <c r="C21" s="19">
        <v>15.4</v>
      </c>
      <c r="D21" s="19">
        <v>27.5</v>
      </c>
      <c r="E21" s="19">
        <v>60.3</v>
      </c>
      <c r="F21" s="19">
        <v>34.5</v>
      </c>
      <c r="G21" s="19">
        <v>124.3</v>
      </c>
      <c r="H21" s="19">
        <v>87.3</v>
      </c>
      <c r="I21" s="19">
        <v>429.2</v>
      </c>
      <c r="J21" s="19">
        <v>148.30000000000001</v>
      </c>
      <c r="K21" s="19">
        <v>46</v>
      </c>
      <c r="L21" s="19">
        <v>24.7</v>
      </c>
      <c r="M21" s="19">
        <v>54.7</v>
      </c>
      <c r="N21" s="21">
        <v>38.200000000000003</v>
      </c>
      <c r="O21" s="15">
        <f t="shared" si="0"/>
        <v>1090.4000000000001</v>
      </c>
      <c r="P21" s="22">
        <f t="shared" si="1"/>
        <v>90.9</v>
      </c>
    </row>
    <row r="22" spans="2:16" ht="21.95" customHeight="1">
      <c r="B22" s="18">
        <v>2010</v>
      </c>
      <c r="C22" s="19">
        <v>46.4</v>
      </c>
      <c r="D22" s="19">
        <v>81.5</v>
      </c>
      <c r="E22" s="19">
        <v>100.1</v>
      </c>
      <c r="F22" s="19">
        <v>88.5</v>
      </c>
      <c r="G22" s="19">
        <v>117.6</v>
      </c>
      <c r="H22" s="19">
        <v>65.599999999999994</v>
      </c>
      <c r="I22" s="19">
        <v>223.1</v>
      </c>
      <c r="J22" s="19">
        <v>376.4</v>
      </c>
      <c r="K22" s="19">
        <v>250.5</v>
      </c>
      <c r="L22" s="19">
        <v>17.899999999999999</v>
      </c>
      <c r="M22" s="19">
        <v>16.399999999999999</v>
      </c>
      <c r="N22" s="21">
        <v>35.700000000000003</v>
      </c>
      <c r="O22" s="15">
        <f t="shared" si="0"/>
        <v>1419.7</v>
      </c>
      <c r="P22" s="22">
        <f t="shared" si="1"/>
        <v>118.3</v>
      </c>
    </row>
    <row r="23" spans="2:16" ht="21.95" customHeight="1">
      <c r="B23" s="18">
        <v>2011</v>
      </c>
      <c r="C23" s="19">
        <v>4</v>
      </c>
      <c r="D23" s="19">
        <v>44.8</v>
      </c>
      <c r="E23" s="19">
        <v>19</v>
      </c>
      <c r="F23" s="19">
        <v>71</v>
      </c>
      <c r="G23" s="19">
        <v>162</v>
      </c>
      <c r="H23" s="19">
        <v>391.6</v>
      </c>
      <c r="I23" s="19">
        <v>587.29999999999995</v>
      </c>
      <c r="J23" s="19">
        <v>420.3</v>
      </c>
      <c r="K23" s="19">
        <v>91.7</v>
      </c>
      <c r="L23" s="19">
        <v>37</v>
      </c>
      <c r="M23" s="19">
        <v>103.2</v>
      </c>
      <c r="N23" s="21">
        <v>11.5</v>
      </c>
      <c r="O23" s="15">
        <f t="shared" si="0"/>
        <v>1943.4</v>
      </c>
      <c r="P23" s="22">
        <f t="shared" si="1"/>
        <v>162</v>
      </c>
    </row>
    <row r="24" spans="2:16" ht="21.95" customHeight="1">
      <c r="B24" s="18">
        <v>2012</v>
      </c>
      <c r="C24" s="19">
        <v>16.399999999999999</v>
      </c>
      <c r="D24" s="19">
        <v>2.5</v>
      </c>
      <c r="E24" s="19">
        <v>54.6</v>
      </c>
      <c r="F24" s="19">
        <v>66.2</v>
      </c>
      <c r="G24" s="19">
        <v>24</v>
      </c>
      <c r="H24" s="19">
        <v>57.8</v>
      </c>
      <c r="I24" s="19">
        <v>277.60000000000002</v>
      </c>
      <c r="J24" s="19">
        <v>463.6</v>
      </c>
      <c r="K24" s="19">
        <v>242.5</v>
      </c>
      <c r="L24" s="19">
        <v>81.3</v>
      </c>
      <c r="M24" s="19">
        <v>58.4</v>
      </c>
      <c r="N24" s="21">
        <v>64.599999999999994</v>
      </c>
      <c r="O24" s="15">
        <f t="shared" si="0"/>
        <v>1409.5</v>
      </c>
      <c r="P24" s="22">
        <f t="shared" si="1"/>
        <v>117.5</v>
      </c>
    </row>
    <row r="25" spans="2:16" ht="21.95" customHeight="1">
      <c r="B25" s="18">
        <v>2013</v>
      </c>
      <c r="C25" s="19">
        <v>46.2</v>
      </c>
      <c r="D25" s="19">
        <v>54.2</v>
      </c>
      <c r="E25" s="19">
        <v>52.8</v>
      </c>
      <c r="F25" s="19">
        <v>86.8</v>
      </c>
      <c r="G25" s="19">
        <v>110.4</v>
      </c>
      <c r="H25" s="19">
        <v>162.6</v>
      </c>
      <c r="I25" s="19">
        <v>218.7</v>
      </c>
      <c r="J25" s="19">
        <v>126.6</v>
      </c>
      <c r="K25" s="19">
        <v>146.4</v>
      </c>
      <c r="L25" s="19">
        <v>19.600000000000001</v>
      </c>
      <c r="M25" s="19">
        <v>63.1</v>
      </c>
      <c r="N25" s="21">
        <v>32.799999999999997</v>
      </c>
      <c r="O25" s="15">
        <f t="shared" si="0"/>
        <v>1120.2</v>
      </c>
      <c r="P25" s="22">
        <f t="shared" si="1"/>
        <v>93.4</v>
      </c>
    </row>
    <row r="26" spans="2:16" ht="21.95" customHeight="1">
      <c r="B26" s="18">
        <v>2014</v>
      </c>
      <c r="C26" s="19">
        <v>6.5</v>
      </c>
      <c r="D26" s="19">
        <v>8.5</v>
      </c>
      <c r="E26" s="19">
        <v>67.2</v>
      </c>
      <c r="F26" s="19">
        <v>59.4</v>
      </c>
      <c r="G26" s="19">
        <v>49.7</v>
      </c>
      <c r="H26" s="19">
        <v>143.69999999999999</v>
      </c>
      <c r="I26" s="19">
        <v>177.2</v>
      </c>
      <c r="J26" s="19">
        <v>240.9</v>
      </c>
      <c r="K26" s="19">
        <v>118</v>
      </c>
      <c r="L26" s="19">
        <v>169.4</v>
      </c>
      <c r="M26" s="19">
        <v>40.700000000000003</v>
      </c>
      <c r="N26" s="21">
        <v>36.5</v>
      </c>
      <c r="O26" s="15">
        <f t="shared" si="0"/>
        <v>1117.7</v>
      </c>
      <c r="P26" s="22">
        <f t="shared" si="1"/>
        <v>93.1</v>
      </c>
    </row>
    <row r="27" spans="2:16" ht="21.95" customHeight="1">
      <c r="B27" s="18">
        <v>2015</v>
      </c>
      <c r="C27" s="19">
        <v>31.5</v>
      </c>
      <c r="D27" s="19">
        <v>27</v>
      </c>
      <c r="E27" s="19">
        <v>44.7</v>
      </c>
      <c r="F27" s="19">
        <v>95.2</v>
      </c>
      <c r="G27" s="19">
        <v>28.9</v>
      </c>
      <c r="H27" s="19">
        <v>119.8</v>
      </c>
      <c r="I27" s="19">
        <v>145.6</v>
      </c>
      <c r="J27" s="19">
        <v>51.6</v>
      </c>
      <c r="K27" s="19">
        <v>18.5</v>
      </c>
      <c r="L27" s="19">
        <v>94.1</v>
      </c>
      <c r="M27" s="19">
        <v>126.1</v>
      </c>
      <c r="N27" s="21">
        <v>39.700000000000003</v>
      </c>
      <c r="O27" s="15">
        <f t="shared" si="0"/>
        <v>822.7</v>
      </c>
      <c r="P27" s="22">
        <f t="shared" si="1"/>
        <v>68.599999999999994</v>
      </c>
    </row>
    <row r="28" spans="2:16" ht="21.95" customHeight="1">
      <c r="B28" s="18">
        <v>2016</v>
      </c>
      <c r="C28" s="19">
        <v>11.6</v>
      </c>
      <c r="D28" s="19">
        <v>45.8</v>
      </c>
      <c r="E28" s="19">
        <v>40.299999999999997</v>
      </c>
      <c r="F28" s="19">
        <v>154.9</v>
      </c>
      <c r="G28" s="19">
        <v>85.1</v>
      </c>
      <c r="H28" s="19">
        <v>62.5</v>
      </c>
      <c r="I28" s="19">
        <v>367.9</v>
      </c>
      <c r="J28" s="19">
        <v>57.4</v>
      </c>
      <c r="K28" s="19">
        <v>196</v>
      </c>
      <c r="L28" s="19">
        <v>122.6</v>
      </c>
      <c r="M28" s="19">
        <v>29.5</v>
      </c>
      <c r="N28" s="21">
        <v>54.8</v>
      </c>
      <c r="O28" s="15">
        <f t="shared" si="0"/>
        <v>1228.4000000000001</v>
      </c>
      <c r="P28" s="22">
        <f t="shared" si="1"/>
        <v>102.4</v>
      </c>
    </row>
    <row r="29" spans="2:16" ht="21.95" customHeight="1">
      <c r="B29" s="18">
        <v>2017</v>
      </c>
      <c r="C29" s="19">
        <v>15</v>
      </c>
      <c r="D29" s="19">
        <v>42</v>
      </c>
      <c r="E29" s="19">
        <v>11.6</v>
      </c>
      <c r="F29" s="19">
        <v>77.7</v>
      </c>
      <c r="G29" s="19">
        <v>29.3</v>
      </c>
      <c r="H29" s="19">
        <v>35.299999999999997</v>
      </c>
      <c r="I29" s="19">
        <v>434.5</v>
      </c>
      <c r="J29" s="19">
        <v>293.8</v>
      </c>
      <c r="K29" s="19">
        <v>111.4</v>
      </c>
      <c r="L29" s="19">
        <v>28.3</v>
      </c>
      <c r="M29" s="19">
        <v>15.1</v>
      </c>
      <c r="N29" s="21">
        <v>33.5</v>
      </c>
      <c r="O29" s="15">
        <f t="shared" si="0"/>
        <v>1127.5</v>
      </c>
      <c r="P29" s="22">
        <f t="shared" si="1"/>
        <v>94</v>
      </c>
    </row>
    <row r="30" spans="2:16" ht="21.95" customHeight="1">
      <c r="B30" s="18">
        <v>2018</v>
      </c>
      <c r="C30" s="19">
        <v>23.9</v>
      </c>
      <c r="D30" s="19">
        <v>40.5</v>
      </c>
      <c r="E30" s="19">
        <v>108.4</v>
      </c>
      <c r="F30" s="19">
        <v>155.30000000000001</v>
      </c>
      <c r="G30" s="19">
        <v>95.9</v>
      </c>
      <c r="H30" s="19">
        <v>115.8</v>
      </c>
      <c r="I30" s="19">
        <v>226.9</v>
      </c>
      <c r="J30" s="19">
        <v>408.6</v>
      </c>
      <c r="K30" s="19">
        <v>149.4</v>
      </c>
      <c r="L30" s="19">
        <v>133.9</v>
      </c>
      <c r="M30" s="19">
        <v>49.8</v>
      </c>
      <c r="N30" s="21">
        <v>33.700000000000003</v>
      </c>
      <c r="O30" s="15">
        <f t="shared" si="0"/>
        <v>1542.1</v>
      </c>
      <c r="P30" s="22">
        <f t="shared" si="1"/>
        <v>128.5</v>
      </c>
    </row>
    <row r="31" spans="2:16" ht="21.95" customHeight="1">
      <c r="B31" s="18">
        <v>2019</v>
      </c>
      <c r="C31" s="19">
        <v>1.7</v>
      </c>
      <c r="D31" s="19">
        <v>46.3</v>
      </c>
      <c r="E31" s="19">
        <v>33.700000000000003</v>
      </c>
      <c r="F31" s="19">
        <v>91.6</v>
      </c>
      <c r="G31" s="19">
        <v>35.6</v>
      </c>
      <c r="H31" s="19">
        <v>77.900000000000006</v>
      </c>
      <c r="I31" s="19">
        <v>199</v>
      </c>
      <c r="J31" s="19">
        <v>104.3</v>
      </c>
      <c r="K31" s="19">
        <v>167</v>
      </c>
      <c r="L31" s="19">
        <v>106.1</v>
      </c>
      <c r="M31" s="19">
        <v>94</v>
      </c>
      <c r="N31" s="21">
        <v>27</v>
      </c>
      <c r="O31" s="15">
        <f t="shared" si="0"/>
        <v>984.2</v>
      </c>
      <c r="P31" s="22">
        <f t="shared" si="1"/>
        <v>82</v>
      </c>
    </row>
    <row r="32" spans="2:16" ht="21.95" customHeight="1">
      <c r="B32" s="18">
        <v>2020</v>
      </c>
      <c r="C32" s="19">
        <v>78.5</v>
      </c>
      <c r="D32" s="19">
        <v>91.2</v>
      </c>
      <c r="E32" s="19">
        <v>24.4</v>
      </c>
      <c r="F32" s="19">
        <v>17.8</v>
      </c>
      <c r="G32" s="19">
        <v>80.400000000000006</v>
      </c>
      <c r="H32" s="19">
        <v>192.5</v>
      </c>
      <c r="I32" s="19">
        <v>544.9</v>
      </c>
      <c r="J32" s="19">
        <v>361.6</v>
      </c>
      <c r="K32" s="19">
        <v>173.6</v>
      </c>
      <c r="L32" s="19">
        <v>3.2</v>
      </c>
      <c r="M32" s="19">
        <v>41.8</v>
      </c>
      <c r="N32" s="21">
        <v>4.0999999999999996</v>
      </c>
      <c r="O32" s="15">
        <f t="shared" si="0"/>
        <v>1614</v>
      </c>
      <c r="P32" s="22">
        <f t="shared" si="1"/>
        <v>134.5</v>
      </c>
    </row>
    <row r="33" spans="2:16" ht="21.95" customHeight="1">
      <c r="B33" s="18">
        <v>2021</v>
      </c>
      <c r="C33" s="19">
        <v>23.6</v>
      </c>
      <c r="D33" s="19">
        <v>14.1</v>
      </c>
      <c r="E33" s="19">
        <v>95.2</v>
      </c>
      <c r="F33" s="19">
        <v>47.4</v>
      </c>
      <c r="G33" s="19">
        <v>134.19999999999999</v>
      </c>
      <c r="H33" s="19">
        <v>105.9</v>
      </c>
      <c r="I33" s="19">
        <v>151.80000000000001</v>
      </c>
      <c r="J33" s="19">
        <v>289.2</v>
      </c>
      <c r="K33" s="19">
        <v>161.19999999999999</v>
      </c>
      <c r="L33" s="19">
        <v>40.799999999999997</v>
      </c>
      <c r="M33" s="19">
        <v>41.7</v>
      </c>
      <c r="N33" s="21">
        <v>4.4000000000000004</v>
      </c>
      <c r="O33" s="15">
        <f t="shared" si="0"/>
        <v>1109.5</v>
      </c>
      <c r="P33" s="22">
        <f t="shared" si="1"/>
        <v>92.5</v>
      </c>
    </row>
    <row r="34" spans="2:16" ht="21.95" customHeight="1">
      <c r="B34" s="18">
        <v>2022</v>
      </c>
      <c r="C34" s="19">
        <v>1.2</v>
      </c>
      <c r="D34" s="19">
        <v>1.4</v>
      </c>
      <c r="E34" s="19">
        <v>74</v>
      </c>
      <c r="F34" s="19">
        <v>69.7</v>
      </c>
      <c r="G34" s="19">
        <v>8.1</v>
      </c>
      <c r="H34" s="19">
        <v>117.6</v>
      </c>
      <c r="I34" s="19">
        <v>195</v>
      </c>
      <c r="J34" s="19">
        <v>496.1</v>
      </c>
      <c r="K34" s="19">
        <v>90.2</v>
      </c>
      <c r="L34" s="19">
        <v>89.3</v>
      </c>
      <c r="M34" s="19">
        <v>45.8</v>
      </c>
      <c r="N34" s="21">
        <v>14.7</v>
      </c>
      <c r="O34" s="15">
        <f t="shared" si="0"/>
        <v>1203.0999999999999</v>
      </c>
      <c r="P34" s="22">
        <f t="shared" si="1"/>
        <v>100.3</v>
      </c>
    </row>
    <row r="35" spans="2:16" ht="21.95" customHeight="1" thickBot="1">
      <c r="B35" s="38">
        <v>2023</v>
      </c>
      <c r="C35" s="39">
        <v>28.4</v>
      </c>
      <c r="D35" s="39">
        <v>5.4</v>
      </c>
      <c r="E35" s="39">
        <v>23.8</v>
      </c>
      <c r="F35" s="39">
        <v>54.5</v>
      </c>
      <c r="G35" s="39">
        <v>192.9</v>
      </c>
      <c r="H35" s="39">
        <v>147.5</v>
      </c>
      <c r="I35" s="39">
        <v>776.3</v>
      </c>
      <c r="J35" s="39">
        <v>326.89999999999998</v>
      </c>
      <c r="K35" s="39">
        <v>310.2</v>
      </c>
      <c r="L35" s="39">
        <v>12.2</v>
      </c>
      <c r="M35" s="39">
        <v>40.299999999999997</v>
      </c>
      <c r="N35" s="40">
        <v>122.3</v>
      </c>
      <c r="O35" s="41">
        <f t="shared" si="0"/>
        <v>2040.7</v>
      </c>
      <c r="P35" s="42">
        <f t="shared" si="1"/>
        <v>170.1</v>
      </c>
    </row>
    <row r="36" spans="2:16" ht="21.95" customHeight="1">
      <c r="B36" s="43" t="s">
        <v>13</v>
      </c>
      <c r="C36" s="44">
        <f>ROUND(MAX(C6:C35),1)</f>
        <v>92.1</v>
      </c>
      <c r="D36" s="44">
        <f t="shared" ref="D36:N36" si="2">ROUND(MAX(D6:D35),1)</f>
        <v>91.2</v>
      </c>
      <c r="E36" s="44">
        <f t="shared" si="2"/>
        <v>138</v>
      </c>
      <c r="F36" s="44">
        <f t="shared" si="2"/>
        <v>217.5</v>
      </c>
      <c r="G36" s="44">
        <f t="shared" si="2"/>
        <v>200.9</v>
      </c>
      <c r="H36" s="44">
        <f t="shared" si="2"/>
        <v>411.4</v>
      </c>
      <c r="I36" s="44">
        <f t="shared" si="2"/>
        <v>776.3</v>
      </c>
      <c r="J36" s="44">
        <f t="shared" si="2"/>
        <v>781.7</v>
      </c>
      <c r="K36" s="44">
        <f t="shared" si="2"/>
        <v>549.9</v>
      </c>
      <c r="L36" s="44">
        <f t="shared" si="2"/>
        <v>171.6</v>
      </c>
      <c r="M36" s="44">
        <f t="shared" si="2"/>
        <v>168.2</v>
      </c>
      <c r="N36" s="45">
        <f t="shared" si="2"/>
        <v>122.3</v>
      </c>
      <c r="O36" s="46">
        <f>ROUND(MAX(O6:O35),1)</f>
        <v>2070</v>
      </c>
      <c r="P36" s="47">
        <f>ROUND(MAX(P6:P35),1)</f>
        <v>172.5</v>
      </c>
    </row>
    <row r="37" spans="2:16" ht="21.95" customHeight="1">
      <c r="B37" s="48" t="s">
        <v>14</v>
      </c>
      <c r="C37" s="49">
        <f>ROUND(MIN(C6:C35),1)</f>
        <v>1.2</v>
      </c>
      <c r="D37" s="49">
        <f t="shared" ref="D37:N37" si="3">ROUND(MIN(D6:D35),1)</f>
        <v>1.4</v>
      </c>
      <c r="E37" s="49">
        <f t="shared" si="3"/>
        <v>8.1</v>
      </c>
      <c r="F37" s="49">
        <f t="shared" si="3"/>
        <v>17.8</v>
      </c>
      <c r="G37" s="49">
        <f t="shared" si="3"/>
        <v>8.1</v>
      </c>
      <c r="H37" s="49">
        <f t="shared" si="3"/>
        <v>33.6</v>
      </c>
      <c r="I37" s="49">
        <f t="shared" si="3"/>
        <v>105.3</v>
      </c>
      <c r="J37" s="49">
        <f t="shared" si="3"/>
        <v>51.6</v>
      </c>
      <c r="K37" s="49">
        <f t="shared" si="3"/>
        <v>11.4</v>
      </c>
      <c r="L37" s="49">
        <f t="shared" si="3"/>
        <v>3.2</v>
      </c>
      <c r="M37" s="49">
        <f t="shared" si="3"/>
        <v>9.8000000000000007</v>
      </c>
      <c r="N37" s="22">
        <f t="shared" si="3"/>
        <v>2.7</v>
      </c>
      <c r="O37" s="50">
        <f>ROUND(MIN(O6:O35),1)</f>
        <v>822.7</v>
      </c>
      <c r="P37" s="51">
        <f>ROUND(MIN(P6:P35),1)</f>
        <v>68.599999999999994</v>
      </c>
    </row>
    <row r="38" spans="2:16" ht="21.95" customHeight="1" thickBot="1">
      <c r="B38" s="52" t="s">
        <v>18</v>
      </c>
      <c r="C38" s="53">
        <f>ROUND(AVERAGE(C6:C35),1)</f>
        <v>25.8</v>
      </c>
      <c r="D38" s="53">
        <f t="shared" ref="D38:P38" si="4">ROUND(AVERAGE(D6:D35),1)</f>
        <v>32.4</v>
      </c>
      <c r="E38" s="53">
        <f t="shared" si="4"/>
        <v>52.1</v>
      </c>
      <c r="F38" s="53">
        <f t="shared" si="4"/>
        <v>78.900000000000006</v>
      </c>
      <c r="G38" s="53">
        <f t="shared" si="4"/>
        <v>93.1</v>
      </c>
      <c r="H38" s="53">
        <f t="shared" si="4"/>
        <v>165.8</v>
      </c>
      <c r="I38" s="53">
        <f t="shared" si="4"/>
        <v>319.10000000000002</v>
      </c>
      <c r="J38" s="53">
        <f t="shared" si="4"/>
        <v>312.39999999999998</v>
      </c>
      <c r="K38" s="53">
        <f t="shared" si="4"/>
        <v>153.80000000000001</v>
      </c>
      <c r="L38" s="53">
        <f t="shared" si="4"/>
        <v>61</v>
      </c>
      <c r="M38" s="53">
        <f t="shared" si="4"/>
        <v>46.9</v>
      </c>
      <c r="N38" s="54">
        <f t="shared" si="4"/>
        <v>30.1</v>
      </c>
      <c r="O38" s="55">
        <f t="shared" si="4"/>
        <v>1371.3</v>
      </c>
      <c r="P38" s="56">
        <f t="shared" si="4"/>
        <v>114.3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5">C26</f>
        <v>6.5</v>
      </c>
      <c r="D44" s="62">
        <f t="shared" si="5"/>
        <v>8.5</v>
      </c>
      <c r="E44" s="62">
        <f t="shared" si="5"/>
        <v>67.2</v>
      </c>
      <c r="F44" s="62">
        <f t="shared" si="5"/>
        <v>59.4</v>
      </c>
      <c r="G44" s="62">
        <f t="shared" si="5"/>
        <v>49.7</v>
      </c>
      <c r="H44" s="62">
        <f t="shared" si="5"/>
        <v>143.69999999999999</v>
      </c>
      <c r="I44" s="62">
        <f t="shared" si="5"/>
        <v>177.2</v>
      </c>
      <c r="J44" s="62">
        <f t="shared" si="5"/>
        <v>240.9</v>
      </c>
      <c r="K44" s="62">
        <f t="shared" si="5"/>
        <v>118</v>
      </c>
      <c r="L44" s="62">
        <f t="shared" si="5"/>
        <v>169.4</v>
      </c>
      <c r="M44" s="62">
        <f t="shared" si="5"/>
        <v>40.700000000000003</v>
      </c>
      <c r="N44" s="63">
        <f t="shared" si="5"/>
        <v>36.5</v>
      </c>
      <c r="O44" s="64">
        <f>ROUND(SUM(C44:N44),1)</f>
        <v>1117.7</v>
      </c>
      <c r="P44" s="51">
        <f>ROUND(O44/12,1)</f>
        <v>93.1</v>
      </c>
    </row>
    <row r="45" spans="2:16" ht="21.95" customHeight="1">
      <c r="B45" s="61">
        <f t="shared" ref="B45:N53" si="6">B27</f>
        <v>2015</v>
      </c>
      <c r="C45" s="62">
        <f t="shared" si="6"/>
        <v>31.5</v>
      </c>
      <c r="D45" s="62">
        <f t="shared" si="6"/>
        <v>27</v>
      </c>
      <c r="E45" s="62">
        <f t="shared" si="6"/>
        <v>44.7</v>
      </c>
      <c r="F45" s="62">
        <f t="shared" si="6"/>
        <v>95.2</v>
      </c>
      <c r="G45" s="62">
        <f t="shared" si="6"/>
        <v>28.9</v>
      </c>
      <c r="H45" s="62">
        <f t="shared" si="6"/>
        <v>119.8</v>
      </c>
      <c r="I45" s="62">
        <f t="shared" si="6"/>
        <v>145.6</v>
      </c>
      <c r="J45" s="62">
        <f t="shared" si="6"/>
        <v>51.6</v>
      </c>
      <c r="K45" s="62">
        <f t="shared" si="6"/>
        <v>18.5</v>
      </c>
      <c r="L45" s="62">
        <f t="shared" si="6"/>
        <v>94.1</v>
      </c>
      <c r="M45" s="62">
        <f t="shared" si="6"/>
        <v>126.1</v>
      </c>
      <c r="N45" s="63">
        <f t="shared" si="6"/>
        <v>39.700000000000003</v>
      </c>
      <c r="O45" s="64">
        <f t="shared" ref="O45:O53" si="7">ROUND(SUM(C45:N45),1)</f>
        <v>822.7</v>
      </c>
      <c r="P45" s="51">
        <f t="shared" ref="P45:P53" si="8">ROUND(O45/12,1)</f>
        <v>68.599999999999994</v>
      </c>
    </row>
    <row r="46" spans="2:16" ht="21.95" customHeight="1">
      <c r="B46" s="61">
        <f t="shared" si="6"/>
        <v>2016</v>
      </c>
      <c r="C46" s="62">
        <f t="shared" si="6"/>
        <v>11.6</v>
      </c>
      <c r="D46" s="62">
        <f t="shared" si="6"/>
        <v>45.8</v>
      </c>
      <c r="E46" s="62">
        <f t="shared" si="6"/>
        <v>40.299999999999997</v>
      </c>
      <c r="F46" s="62">
        <f t="shared" si="6"/>
        <v>154.9</v>
      </c>
      <c r="G46" s="62">
        <f t="shared" si="6"/>
        <v>85.1</v>
      </c>
      <c r="H46" s="62">
        <f t="shared" si="6"/>
        <v>62.5</v>
      </c>
      <c r="I46" s="62">
        <f t="shared" si="6"/>
        <v>367.9</v>
      </c>
      <c r="J46" s="62">
        <f t="shared" si="6"/>
        <v>57.4</v>
      </c>
      <c r="K46" s="62">
        <f t="shared" si="6"/>
        <v>196</v>
      </c>
      <c r="L46" s="62">
        <f t="shared" si="6"/>
        <v>122.6</v>
      </c>
      <c r="M46" s="62">
        <f t="shared" si="6"/>
        <v>29.5</v>
      </c>
      <c r="N46" s="63">
        <f t="shared" si="6"/>
        <v>54.8</v>
      </c>
      <c r="O46" s="64">
        <f t="shared" si="7"/>
        <v>1228.4000000000001</v>
      </c>
      <c r="P46" s="51">
        <f t="shared" si="8"/>
        <v>102.4</v>
      </c>
    </row>
    <row r="47" spans="2:16" ht="21.95" customHeight="1">
      <c r="B47" s="61">
        <f t="shared" si="6"/>
        <v>2017</v>
      </c>
      <c r="C47" s="62">
        <f t="shared" si="6"/>
        <v>15</v>
      </c>
      <c r="D47" s="62">
        <f t="shared" si="6"/>
        <v>42</v>
      </c>
      <c r="E47" s="62">
        <f t="shared" si="6"/>
        <v>11.6</v>
      </c>
      <c r="F47" s="62">
        <f t="shared" si="6"/>
        <v>77.7</v>
      </c>
      <c r="G47" s="62">
        <f t="shared" si="6"/>
        <v>29.3</v>
      </c>
      <c r="H47" s="62">
        <f t="shared" si="6"/>
        <v>35.299999999999997</v>
      </c>
      <c r="I47" s="62">
        <f t="shared" si="6"/>
        <v>434.5</v>
      </c>
      <c r="J47" s="62">
        <f t="shared" si="6"/>
        <v>293.8</v>
      </c>
      <c r="K47" s="62">
        <f t="shared" si="6"/>
        <v>111.4</v>
      </c>
      <c r="L47" s="62">
        <f t="shared" si="6"/>
        <v>28.3</v>
      </c>
      <c r="M47" s="62">
        <f t="shared" si="6"/>
        <v>15.1</v>
      </c>
      <c r="N47" s="63">
        <f t="shared" si="6"/>
        <v>33.5</v>
      </c>
      <c r="O47" s="64">
        <f>ROUND(SUM(C47:N47),1)</f>
        <v>1127.5</v>
      </c>
      <c r="P47" s="51">
        <f t="shared" si="8"/>
        <v>94</v>
      </c>
    </row>
    <row r="48" spans="2:16" ht="21.95" customHeight="1">
      <c r="B48" s="61">
        <f t="shared" si="6"/>
        <v>2018</v>
      </c>
      <c r="C48" s="62">
        <f t="shared" si="6"/>
        <v>23.9</v>
      </c>
      <c r="D48" s="62">
        <f t="shared" si="6"/>
        <v>40.5</v>
      </c>
      <c r="E48" s="62">
        <f t="shared" si="6"/>
        <v>108.4</v>
      </c>
      <c r="F48" s="62">
        <f t="shared" si="6"/>
        <v>155.30000000000001</v>
      </c>
      <c r="G48" s="62">
        <f t="shared" si="6"/>
        <v>95.9</v>
      </c>
      <c r="H48" s="62">
        <f t="shared" si="6"/>
        <v>115.8</v>
      </c>
      <c r="I48" s="62">
        <f t="shared" si="6"/>
        <v>226.9</v>
      </c>
      <c r="J48" s="62">
        <f t="shared" si="6"/>
        <v>408.6</v>
      </c>
      <c r="K48" s="62">
        <f t="shared" si="6"/>
        <v>149.4</v>
      </c>
      <c r="L48" s="62">
        <f t="shared" si="6"/>
        <v>133.9</v>
      </c>
      <c r="M48" s="62">
        <f t="shared" si="6"/>
        <v>49.8</v>
      </c>
      <c r="N48" s="63">
        <f t="shared" si="6"/>
        <v>33.700000000000003</v>
      </c>
      <c r="O48" s="64">
        <f t="shared" si="7"/>
        <v>1542.1</v>
      </c>
      <c r="P48" s="51">
        <f t="shared" si="8"/>
        <v>128.5</v>
      </c>
    </row>
    <row r="49" spans="2:16" ht="21.95" customHeight="1">
      <c r="B49" s="61">
        <f t="shared" si="6"/>
        <v>2019</v>
      </c>
      <c r="C49" s="62">
        <f t="shared" si="6"/>
        <v>1.7</v>
      </c>
      <c r="D49" s="62">
        <f t="shared" si="6"/>
        <v>46.3</v>
      </c>
      <c r="E49" s="62">
        <f t="shared" si="6"/>
        <v>33.700000000000003</v>
      </c>
      <c r="F49" s="62">
        <f t="shared" si="6"/>
        <v>91.6</v>
      </c>
      <c r="G49" s="62">
        <f t="shared" si="6"/>
        <v>35.6</v>
      </c>
      <c r="H49" s="62">
        <f t="shared" si="6"/>
        <v>77.900000000000006</v>
      </c>
      <c r="I49" s="62">
        <f t="shared" si="6"/>
        <v>199</v>
      </c>
      <c r="J49" s="62">
        <f t="shared" si="6"/>
        <v>104.3</v>
      </c>
      <c r="K49" s="62">
        <f t="shared" si="6"/>
        <v>167</v>
      </c>
      <c r="L49" s="62">
        <f t="shared" si="6"/>
        <v>106.1</v>
      </c>
      <c r="M49" s="62">
        <f t="shared" si="6"/>
        <v>94</v>
      </c>
      <c r="N49" s="63">
        <f t="shared" si="6"/>
        <v>27</v>
      </c>
      <c r="O49" s="64">
        <f t="shared" si="7"/>
        <v>984.2</v>
      </c>
      <c r="P49" s="51">
        <f t="shared" si="8"/>
        <v>82</v>
      </c>
    </row>
    <row r="50" spans="2:16" ht="21.95" customHeight="1">
      <c r="B50" s="61">
        <f t="shared" si="6"/>
        <v>2020</v>
      </c>
      <c r="C50" s="62">
        <f t="shared" si="6"/>
        <v>78.5</v>
      </c>
      <c r="D50" s="62">
        <f t="shared" si="6"/>
        <v>91.2</v>
      </c>
      <c r="E50" s="62">
        <f t="shared" si="6"/>
        <v>24.4</v>
      </c>
      <c r="F50" s="62">
        <f t="shared" si="6"/>
        <v>17.8</v>
      </c>
      <c r="G50" s="62">
        <f t="shared" si="6"/>
        <v>80.400000000000006</v>
      </c>
      <c r="H50" s="62">
        <f t="shared" si="6"/>
        <v>192.5</v>
      </c>
      <c r="I50" s="62">
        <f t="shared" si="6"/>
        <v>544.9</v>
      </c>
      <c r="J50" s="62">
        <f t="shared" si="6"/>
        <v>361.6</v>
      </c>
      <c r="K50" s="62">
        <f t="shared" si="6"/>
        <v>173.6</v>
      </c>
      <c r="L50" s="62">
        <f t="shared" si="6"/>
        <v>3.2</v>
      </c>
      <c r="M50" s="62">
        <f t="shared" si="6"/>
        <v>41.8</v>
      </c>
      <c r="N50" s="63">
        <f t="shared" si="6"/>
        <v>4.0999999999999996</v>
      </c>
      <c r="O50" s="64">
        <f t="shared" si="7"/>
        <v>1614</v>
      </c>
      <c r="P50" s="51">
        <f t="shared" si="8"/>
        <v>134.5</v>
      </c>
    </row>
    <row r="51" spans="2:16" ht="21.95" customHeight="1">
      <c r="B51" s="61">
        <f t="shared" si="6"/>
        <v>2021</v>
      </c>
      <c r="C51" s="62">
        <f t="shared" si="6"/>
        <v>23.6</v>
      </c>
      <c r="D51" s="62">
        <f t="shared" si="6"/>
        <v>14.1</v>
      </c>
      <c r="E51" s="62">
        <f t="shared" si="6"/>
        <v>95.2</v>
      </c>
      <c r="F51" s="62">
        <f t="shared" si="6"/>
        <v>47.4</v>
      </c>
      <c r="G51" s="62">
        <f t="shared" si="6"/>
        <v>134.19999999999999</v>
      </c>
      <c r="H51" s="62">
        <f t="shared" si="6"/>
        <v>105.9</v>
      </c>
      <c r="I51" s="62">
        <f t="shared" si="6"/>
        <v>151.80000000000001</v>
      </c>
      <c r="J51" s="62">
        <f t="shared" si="6"/>
        <v>289.2</v>
      </c>
      <c r="K51" s="62">
        <f t="shared" si="6"/>
        <v>161.19999999999999</v>
      </c>
      <c r="L51" s="62">
        <f t="shared" si="6"/>
        <v>40.799999999999997</v>
      </c>
      <c r="M51" s="62">
        <f t="shared" si="6"/>
        <v>41.7</v>
      </c>
      <c r="N51" s="63">
        <f t="shared" si="6"/>
        <v>4.4000000000000004</v>
      </c>
      <c r="O51" s="64">
        <f t="shared" si="7"/>
        <v>1109.5</v>
      </c>
      <c r="P51" s="51">
        <f t="shared" si="8"/>
        <v>92.5</v>
      </c>
    </row>
    <row r="52" spans="2:16" ht="21.95" customHeight="1">
      <c r="B52" s="61">
        <f t="shared" si="6"/>
        <v>2022</v>
      </c>
      <c r="C52" s="62">
        <f t="shared" si="6"/>
        <v>1.2</v>
      </c>
      <c r="D52" s="62">
        <f t="shared" si="6"/>
        <v>1.4</v>
      </c>
      <c r="E52" s="62">
        <f t="shared" si="6"/>
        <v>74</v>
      </c>
      <c r="F52" s="62">
        <f t="shared" si="6"/>
        <v>69.7</v>
      </c>
      <c r="G52" s="62">
        <f t="shared" si="6"/>
        <v>8.1</v>
      </c>
      <c r="H52" s="62">
        <f t="shared" si="6"/>
        <v>117.6</v>
      </c>
      <c r="I52" s="62">
        <f t="shared" si="6"/>
        <v>195</v>
      </c>
      <c r="J52" s="62">
        <f t="shared" si="6"/>
        <v>496.1</v>
      </c>
      <c r="K52" s="62">
        <f t="shared" si="6"/>
        <v>90.2</v>
      </c>
      <c r="L52" s="62">
        <f t="shared" si="6"/>
        <v>89.3</v>
      </c>
      <c r="M52" s="62">
        <f t="shared" si="6"/>
        <v>45.8</v>
      </c>
      <c r="N52" s="63">
        <f t="shared" si="6"/>
        <v>14.7</v>
      </c>
      <c r="O52" s="64">
        <f t="shared" si="7"/>
        <v>1203.0999999999999</v>
      </c>
      <c r="P52" s="51">
        <f t="shared" si="8"/>
        <v>100.3</v>
      </c>
    </row>
    <row r="53" spans="2:16" ht="21.95" customHeight="1" thickBot="1">
      <c r="B53" s="65">
        <f t="shared" si="6"/>
        <v>2023</v>
      </c>
      <c r="C53" s="66">
        <f t="shared" si="6"/>
        <v>28.4</v>
      </c>
      <c r="D53" s="66">
        <f t="shared" si="6"/>
        <v>5.4</v>
      </c>
      <c r="E53" s="66">
        <f t="shared" si="6"/>
        <v>23.8</v>
      </c>
      <c r="F53" s="66">
        <f t="shared" si="6"/>
        <v>54.5</v>
      </c>
      <c r="G53" s="66">
        <f t="shared" si="6"/>
        <v>192.9</v>
      </c>
      <c r="H53" s="66">
        <f t="shared" si="6"/>
        <v>147.5</v>
      </c>
      <c r="I53" s="66">
        <f t="shared" si="6"/>
        <v>776.3</v>
      </c>
      <c r="J53" s="66">
        <f t="shared" si="6"/>
        <v>326.89999999999998</v>
      </c>
      <c r="K53" s="66">
        <f t="shared" si="6"/>
        <v>310.2</v>
      </c>
      <c r="L53" s="66">
        <f t="shared" si="6"/>
        <v>12.2</v>
      </c>
      <c r="M53" s="66">
        <f t="shared" si="6"/>
        <v>40.299999999999997</v>
      </c>
      <c r="N53" s="67">
        <f t="shared" si="6"/>
        <v>122.3</v>
      </c>
      <c r="O53" s="68">
        <f t="shared" si="7"/>
        <v>2040.7</v>
      </c>
      <c r="P53" s="56">
        <f t="shared" si="8"/>
        <v>170.1</v>
      </c>
    </row>
    <row r="54" spans="2:16" ht="21.95" customHeight="1">
      <c r="B54" s="69" t="s">
        <v>19</v>
      </c>
      <c r="C54" s="70">
        <f>MAX(C44:C53)</f>
        <v>78.5</v>
      </c>
      <c r="D54" s="70">
        <f t="shared" ref="D54:P54" si="9">MAX(D44:D53)</f>
        <v>91.2</v>
      </c>
      <c r="E54" s="70">
        <f t="shared" si="9"/>
        <v>108.4</v>
      </c>
      <c r="F54" s="70">
        <f t="shared" si="9"/>
        <v>155.30000000000001</v>
      </c>
      <c r="G54" s="70">
        <f t="shared" si="9"/>
        <v>192.9</v>
      </c>
      <c r="H54" s="70">
        <f t="shared" si="9"/>
        <v>192.5</v>
      </c>
      <c r="I54" s="70">
        <f t="shared" si="9"/>
        <v>776.3</v>
      </c>
      <c r="J54" s="70">
        <f t="shared" si="9"/>
        <v>496.1</v>
      </c>
      <c r="K54" s="70">
        <f t="shared" si="9"/>
        <v>310.2</v>
      </c>
      <c r="L54" s="70">
        <f t="shared" si="9"/>
        <v>169.4</v>
      </c>
      <c r="M54" s="70">
        <f t="shared" si="9"/>
        <v>126.1</v>
      </c>
      <c r="N54" s="71">
        <f t="shared" si="9"/>
        <v>122.3</v>
      </c>
      <c r="O54" s="72">
        <f t="shared" si="9"/>
        <v>2040.7</v>
      </c>
      <c r="P54" s="71">
        <f t="shared" si="9"/>
        <v>170.1</v>
      </c>
    </row>
    <row r="55" spans="2:16" ht="21.95" customHeight="1">
      <c r="B55" s="73" t="s">
        <v>20</v>
      </c>
      <c r="C55" s="74">
        <f>MIN(C44:C53)</f>
        <v>1.2</v>
      </c>
      <c r="D55" s="74">
        <f t="shared" ref="D55:P55" si="10">MIN(D44:D53)</f>
        <v>1.4</v>
      </c>
      <c r="E55" s="74">
        <f t="shared" si="10"/>
        <v>11.6</v>
      </c>
      <c r="F55" s="74">
        <f t="shared" si="10"/>
        <v>17.8</v>
      </c>
      <c r="G55" s="74">
        <f t="shared" si="10"/>
        <v>8.1</v>
      </c>
      <c r="H55" s="74">
        <f t="shared" si="10"/>
        <v>35.299999999999997</v>
      </c>
      <c r="I55" s="74">
        <f t="shared" si="10"/>
        <v>145.6</v>
      </c>
      <c r="J55" s="74">
        <f t="shared" si="10"/>
        <v>51.6</v>
      </c>
      <c r="K55" s="74">
        <f t="shared" si="10"/>
        <v>18.5</v>
      </c>
      <c r="L55" s="74">
        <f t="shared" si="10"/>
        <v>3.2</v>
      </c>
      <c r="M55" s="74">
        <f t="shared" si="10"/>
        <v>15.1</v>
      </c>
      <c r="N55" s="51">
        <f t="shared" si="10"/>
        <v>4.0999999999999996</v>
      </c>
      <c r="O55" s="64">
        <f>MIN(O44:O53)</f>
        <v>822.7</v>
      </c>
      <c r="P55" s="51">
        <f t="shared" si="10"/>
        <v>68.599999999999994</v>
      </c>
    </row>
    <row r="56" spans="2:16" ht="21.95" customHeight="1" thickBot="1">
      <c r="B56" s="75" t="s">
        <v>7</v>
      </c>
      <c r="C56" s="76">
        <f>ROUND(AVERAGE(C44:C53),1)</f>
        <v>22.2</v>
      </c>
      <c r="D56" s="76">
        <f t="shared" ref="D56:N56" si="11">ROUND(AVERAGE(D44:D53),1)</f>
        <v>32.200000000000003</v>
      </c>
      <c r="E56" s="76">
        <f t="shared" si="11"/>
        <v>52.3</v>
      </c>
      <c r="F56" s="76">
        <f t="shared" si="11"/>
        <v>82.4</v>
      </c>
      <c r="G56" s="76">
        <f t="shared" si="11"/>
        <v>74</v>
      </c>
      <c r="H56" s="76">
        <f t="shared" si="11"/>
        <v>111.9</v>
      </c>
      <c r="I56" s="76">
        <f t="shared" si="11"/>
        <v>321.89999999999998</v>
      </c>
      <c r="J56" s="76">
        <f t="shared" si="11"/>
        <v>263</v>
      </c>
      <c r="K56" s="76">
        <f t="shared" si="11"/>
        <v>149.6</v>
      </c>
      <c r="L56" s="76">
        <f t="shared" si="11"/>
        <v>80</v>
      </c>
      <c r="M56" s="76">
        <f t="shared" si="11"/>
        <v>52.5</v>
      </c>
      <c r="N56" s="56">
        <f t="shared" si="11"/>
        <v>37.1</v>
      </c>
      <c r="O56" s="68">
        <f>ROUND(AVERAGE(O44:O53),1)</f>
        <v>1279</v>
      </c>
      <c r="P56" s="56">
        <f>ROUND(AVERAGE(P44:P53),1)</f>
        <v>106.6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5697D9-4153-49FC-B799-F8704F163826}">
  <sheetPr codeName="Sheet13">
    <tabColor theme="1" tint="4.9989318521683403E-2"/>
  </sheetPr>
  <dimension ref="A2:U983"/>
  <sheetViews>
    <sheetView zoomScaleNormal="100" workbookViewId="0">
      <selection activeCell="L21" sqref="L21"/>
    </sheetView>
  </sheetViews>
  <sheetFormatPr defaultRowHeight="16.5"/>
  <cols>
    <col min="1" max="1" width="8.88671875" style="3"/>
    <col min="2" max="2" width="5.88671875" style="4" customWidth="1"/>
    <col min="3" max="8" width="5.77734375" style="3" customWidth="1"/>
    <col min="9" max="10" width="7.5546875" style="3" bestFit="1" customWidth="1"/>
    <col min="11" max="14" width="5.77734375" style="3" customWidth="1"/>
    <col min="15" max="15" width="8.109375" style="3" customWidth="1"/>
    <col min="16" max="16" width="6.44140625" style="3" customWidth="1"/>
    <col min="17" max="17" width="7.109375" style="3" customWidth="1"/>
    <col min="18" max="18" width="11.6640625" style="3" customWidth="1"/>
    <col min="19" max="19" width="15" style="3" customWidth="1"/>
    <col min="20" max="16384" width="8.88671875" style="3"/>
  </cols>
  <sheetData>
    <row r="2" spans="2:21" ht="20.25">
      <c r="B2" s="2" t="s">
        <v>264</v>
      </c>
    </row>
    <row r="3" spans="2:21" ht="24.75" customHeight="1">
      <c r="R3" s="5"/>
    </row>
    <row r="4" spans="2:21" ht="21.75" customHeight="1" thickBot="1"/>
    <row r="5" spans="2:21" s="9" customFormat="1" ht="21.95" customHeight="1">
      <c r="B5" s="6" t="s">
        <v>15</v>
      </c>
      <c r="C5" s="7" t="s">
        <v>8</v>
      </c>
      <c r="D5" s="7" t="s">
        <v>9</v>
      </c>
      <c r="E5" s="7" t="s">
        <v>10</v>
      </c>
      <c r="F5" s="7" t="s">
        <v>11</v>
      </c>
      <c r="G5" s="7" t="s">
        <v>12</v>
      </c>
      <c r="H5" s="7" t="s">
        <v>0</v>
      </c>
      <c r="I5" s="7" t="s">
        <v>1</v>
      </c>
      <c r="J5" s="7" t="s">
        <v>2</v>
      </c>
      <c r="K5" s="7" t="s">
        <v>3</v>
      </c>
      <c r="L5" s="7" t="s">
        <v>4</v>
      </c>
      <c r="M5" s="7" t="s">
        <v>5</v>
      </c>
      <c r="N5" s="8" t="s">
        <v>6</v>
      </c>
      <c r="O5" s="6" t="s">
        <v>17</v>
      </c>
      <c r="P5" s="8" t="s">
        <v>18</v>
      </c>
      <c r="U5" s="10"/>
    </row>
    <row r="6" spans="2:21" ht="21.95" customHeight="1" thickBot="1">
      <c r="B6" s="11">
        <v>1994</v>
      </c>
      <c r="C6" s="12">
        <v>6.5</v>
      </c>
      <c r="D6" s="12">
        <v>14.8</v>
      </c>
      <c r="E6" s="12">
        <v>31.7</v>
      </c>
      <c r="F6" s="12">
        <v>44.9</v>
      </c>
      <c r="G6" s="12">
        <v>152.4</v>
      </c>
      <c r="H6" s="12">
        <v>85</v>
      </c>
      <c r="I6" s="12">
        <v>139.5</v>
      </c>
      <c r="J6" s="13">
        <v>232.7</v>
      </c>
      <c r="K6" s="12">
        <v>60.7</v>
      </c>
      <c r="L6" s="12">
        <v>214.5</v>
      </c>
      <c r="M6" s="12">
        <v>49.6</v>
      </c>
      <c r="N6" s="14">
        <v>23.5</v>
      </c>
      <c r="O6" s="15">
        <f t="shared" ref="O6:O35" si="0">ROUND(SUM(C6:N6),1)</f>
        <v>1055.8</v>
      </c>
      <c r="P6" s="16">
        <f>ROUND(O6/12,1)</f>
        <v>88</v>
      </c>
      <c r="Q6" s="17"/>
    </row>
    <row r="7" spans="2:21" ht="21.95" customHeight="1">
      <c r="B7" s="18">
        <v>1995</v>
      </c>
      <c r="C7" s="19">
        <v>11.6</v>
      </c>
      <c r="D7" s="19">
        <v>5.2</v>
      </c>
      <c r="E7" s="19">
        <v>60.6</v>
      </c>
      <c r="F7" s="19">
        <v>44.4</v>
      </c>
      <c r="G7" s="19">
        <v>60.6</v>
      </c>
      <c r="H7" s="19">
        <v>70.7</v>
      </c>
      <c r="I7" s="19">
        <v>436.1</v>
      </c>
      <c r="J7" s="20">
        <v>786.6</v>
      </c>
      <c r="K7" s="19">
        <v>47.2</v>
      </c>
      <c r="L7" s="19">
        <v>39.299999999999997</v>
      </c>
      <c r="M7" s="19">
        <v>32.9</v>
      </c>
      <c r="N7" s="21">
        <v>3.4</v>
      </c>
      <c r="O7" s="15">
        <f t="shared" si="0"/>
        <v>1598.6</v>
      </c>
      <c r="P7" s="22">
        <f t="shared" ref="P7:P35" si="1">ROUND(O7/12,1)</f>
        <v>133.19999999999999</v>
      </c>
      <c r="Q7" s="17"/>
      <c r="R7" s="23" t="s">
        <v>41</v>
      </c>
      <c r="S7" s="24" t="s">
        <v>40</v>
      </c>
      <c r="T7" s="9"/>
    </row>
    <row r="8" spans="2:21" ht="21.95" customHeight="1">
      <c r="B8" s="18">
        <v>1996</v>
      </c>
      <c r="C8" s="19">
        <v>16.3</v>
      </c>
      <c r="D8" s="19">
        <v>1</v>
      </c>
      <c r="E8" s="19">
        <v>77.900000000000006</v>
      </c>
      <c r="F8" s="19">
        <v>62</v>
      </c>
      <c r="G8" s="19">
        <v>29.3</v>
      </c>
      <c r="H8" s="19">
        <v>249.7</v>
      </c>
      <c r="I8" s="19">
        <v>512.79999999999995</v>
      </c>
      <c r="J8" s="19">
        <v>132.4</v>
      </c>
      <c r="K8" s="19">
        <v>11</v>
      </c>
      <c r="L8" s="19">
        <v>90.3</v>
      </c>
      <c r="M8" s="19">
        <v>62.9</v>
      </c>
      <c r="N8" s="21">
        <v>11</v>
      </c>
      <c r="O8" s="15">
        <f t="shared" si="0"/>
        <v>1256.5999999999999</v>
      </c>
      <c r="P8" s="22">
        <f t="shared" si="1"/>
        <v>104.7</v>
      </c>
      <c r="Q8" s="17"/>
      <c r="R8" s="25" t="s">
        <v>262</v>
      </c>
      <c r="S8" s="26" t="s">
        <v>263</v>
      </c>
    </row>
    <row r="9" spans="2:21" ht="21.95" customHeight="1" thickBot="1">
      <c r="B9" s="18">
        <v>1997</v>
      </c>
      <c r="C9" s="19">
        <v>16.8</v>
      </c>
      <c r="D9" s="19">
        <v>39.6</v>
      </c>
      <c r="E9" s="19">
        <v>25.3</v>
      </c>
      <c r="F9" s="19">
        <v>56.1</v>
      </c>
      <c r="G9" s="19">
        <v>291.3</v>
      </c>
      <c r="H9" s="19">
        <v>110</v>
      </c>
      <c r="I9" s="19">
        <v>299.60000000000002</v>
      </c>
      <c r="J9" s="19">
        <v>117.2</v>
      </c>
      <c r="K9" s="19">
        <v>76.900000000000006</v>
      </c>
      <c r="L9" s="19">
        <v>45.5</v>
      </c>
      <c r="M9" s="19">
        <v>93.8</v>
      </c>
      <c r="N9" s="21">
        <v>38.1</v>
      </c>
      <c r="O9" s="15">
        <f t="shared" si="0"/>
        <v>1210.2</v>
      </c>
      <c r="P9" s="22">
        <f t="shared" si="1"/>
        <v>100.9</v>
      </c>
      <c r="Q9" s="17"/>
      <c r="R9" s="79" t="str">
        <f>VLOOKUP(R8, tblLocation[], 2, FALSE)</f>
        <v>Table1</v>
      </c>
      <c r="S9" s="27">
        <f ca="1">VLOOKUP(S8, INDIRECT($R$9), 3,0)</f>
        <v>108</v>
      </c>
    </row>
    <row r="10" spans="2:21" ht="21.95" customHeight="1" thickBot="1">
      <c r="B10" s="18">
        <v>1998</v>
      </c>
      <c r="C10" s="19">
        <v>10.4</v>
      </c>
      <c r="D10" s="19">
        <v>32.299999999999997</v>
      </c>
      <c r="E10" s="19">
        <v>45.1</v>
      </c>
      <c r="F10" s="19">
        <v>120.2</v>
      </c>
      <c r="G10" s="19">
        <v>121.5</v>
      </c>
      <c r="H10" s="19">
        <v>234.1</v>
      </c>
      <c r="I10" s="19">
        <v>311.8</v>
      </c>
      <c r="J10" s="19">
        <v>1237.8</v>
      </c>
      <c r="K10" s="19">
        <v>177.9</v>
      </c>
      <c r="L10" s="19">
        <v>27.4</v>
      </c>
      <c r="M10" s="19">
        <v>26.9</v>
      </c>
      <c r="N10" s="21">
        <v>3.7</v>
      </c>
      <c r="O10" s="15">
        <f t="shared" si="0"/>
        <v>2349.1</v>
      </c>
      <c r="P10" s="22">
        <f t="shared" si="1"/>
        <v>195.8</v>
      </c>
      <c r="Q10" s="17"/>
      <c r="S10" s="28">
        <f ca="1">VLOOKUP(S8, INDIRECT($R$9), 5,0)</f>
        <v>14</v>
      </c>
    </row>
    <row r="11" spans="2:21" ht="21.95" customHeight="1" thickBot="1">
      <c r="B11" s="18">
        <v>1999</v>
      </c>
      <c r="C11" s="19">
        <v>10.199999999999999</v>
      </c>
      <c r="D11" s="19">
        <v>2.9</v>
      </c>
      <c r="E11" s="19">
        <v>55</v>
      </c>
      <c r="F11" s="19">
        <v>97.2</v>
      </c>
      <c r="G11" s="19">
        <v>109.7</v>
      </c>
      <c r="H11" s="19">
        <v>131.80000000000001</v>
      </c>
      <c r="I11" s="19">
        <v>230.4</v>
      </c>
      <c r="J11" s="19">
        <v>600.5</v>
      </c>
      <c r="K11" s="19">
        <v>377.3</v>
      </c>
      <c r="L11" s="19">
        <v>81.599999999999994</v>
      </c>
      <c r="M11" s="19">
        <v>19.5</v>
      </c>
      <c r="N11" s="21">
        <v>17</v>
      </c>
      <c r="O11" s="15">
        <f t="shared" si="0"/>
        <v>1733.1</v>
      </c>
      <c r="P11" s="22">
        <f t="shared" si="1"/>
        <v>144.4</v>
      </c>
      <c r="Q11" s="17"/>
      <c r="S11" s="78" t="str">
        <f ca="1">VLOOKUP(S8, INDIRECT($R$9), 2,0)</f>
        <v>Seoul</v>
      </c>
    </row>
    <row r="12" spans="2:21" ht="21.95" customHeight="1">
      <c r="B12" s="18">
        <v>2000</v>
      </c>
      <c r="C12" s="19">
        <v>42.8</v>
      </c>
      <c r="D12" s="19">
        <v>2.1</v>
      </c>
      <c r="E12" s="19">
        <v>3.1</v>
      </c>
      <c r="F12" s="19">
        <v>30.7</v>
      </c>
      <c r="G12" s="19">
        <v>75.2</v>
      </c>
      <c r="H12" s="19">
        <v>68.099999999999994</v>
      </c>
      <c r="I12" s="19">
        <v>114.7</v>
      </c>
      <c r="J12" s="19">
        <v>599.4</v>
      </c>
      <c r="K12" s="19">
        <v>178.5</v>
      </c>
      <c r="L12" s="19">
        <v>18.100000000000001</v>
      </c>
      <c r="M12" s="19">
        <v>27.1</v>
      </c>
      <c r="N12" s="21">
        <v>27</v>
      </c>
      <c r="O12" s="15">
        <f t="shared" si="0"/>
        <v>1186.8</v>
      </c>
      <c r="P12" s="22">
        <f t="shared" si="1"/>
        <v>98.9</v>
      </c>
    </row>
    <row r="13" spans="2:21" ht="21.95" customHeight="1" thickBot="1">
      <c r="B13" s="18">
        <v>2001</v>
      </c>
      <c r="C13" s="19">
        <v>39.4</v>
      </c>
      <c r="D13" s="19">
        <v>45.7</v>
      </c>
      <c r="E13" s="19">
        <v>18.100000000000001</v>
      </c>
      <c r="F13" s="19">
        <v>12.3</v>
      </c>
      <c r="G13" s="19">
        <v>16.5</v>
      </c>
      <c r="H13" s="19">
        <v>157.4</v>
      </c>
      <c r="I13" s="19">
        <v>698.4</v>
      </c>
      <c r="J13" s="19">
        <v>252</v>
      </c>
      <c r="K13" s="19">
        <v>49.3</v>
      </c>
      <c r="L13" s="19">
        <v>68.2</v>
      </c>
      <c r="M13" s="19">
        <v>13</v>
      </c>
      <c r="N13" s="21">
        <v>15.7</v>
      </c>
      <c r="O13" s="15">
        <f t="shared" si="0"/>
        <v>1386</v>
      </c>
      <c r="P13" s="22">
        <f t="shared" si="1"/>
        <v>115.5</v>
      </c>
    </row>
    <row r="14" spans="2:21" ht="21.95" customHeight="1">
      <c r="B14" s="18">
        <v>2002</v>
      </c>
      <c r="C14" s="19">
        <v>37.4</v>
      </c>
      <c r="D14" s="19">
        <v>2.4</v>
      </c>
      <c r="E14" s="19">
        <v>31.5</v>
      </c>
      <c r="F14" s="19">
        <v>155.1</v>
      </c>
      <c r="G14" s="19">
        <v>58</v>
      </c>
      <c r="H14" s="19">
        <v>61.4</v>
      </c>
      <c r="I14" s="19">
        <v>220.6</v>
      </c>
      <c r="J14" s="19">
        <v>688</v>
      </c>
      <c r="K14" s="19">
        <v>61.1</v>
      </c>
      <c r="L14" s="19">
        <v>45</v>
      </c>
      <c r="M14" s="19">
        <v>12.5</v>
      </c>
      <c r="N14" s="21">
        <v>15</v>
      </c>
      <c r="O14" s="15">
        <f t="shared" si="0"/>
        <v>1388</v>
      </c>
      <c r="P14" s="22">
        <f t="shared" si="1"/>
        <v>115.7</v>
      </c>
      <c r="R14" s="29" t="s">
        <v>21</v>
      </c>
      <c r="S14" s="30" t="s">
        <v>22</v>
      </c>
      <c r="T14" s="31"/>
    </row>
    <row r="15" spans="2:21" ht="21.95" customHeight="1">
      <c r="B15" s="18">
        <v>2003</v>
      </c>
      <c r="C15" s="19">
        <v>14.1</v>
      </c>
      <c r="D15" s="19">
        <v>39.6</v>
      </c>
      <c r="E15" s="19">
        <v>26.8</v>
      </c>
      <c r="F15" s="19">
        <v>139.6</v>
      </c>
      <c r="G15" s="19">
        <v>106</v>
      </c>
      <c r="H15" s="19">
        <v>156</v>
      </c>
      <c r="I15" s="19">
        <v>469.8</v>
      </c>
      <c r="J15" s="19">
        <v>684.2</v>
      </c>
      <c r="K15" s="19">
        <v>258.2</v>
      </c>
      <c r="L15" s="19">
        <v>41.5</v>
      </c>
      <c r="M15" s="19">
        <v>69.3</v>
      </c>
      <c r="N15" s="21">
        <v>6.9</v>
      </c>
      <c r="O15" s="15">
        <f t="shared" si="0"/>
        <v>2012</v>
      </c>
      <c r="P15" s="22">
        <f t="shared" si="1"/>
        <v>167.7</v>
      </c>
      <c r="R15" s="32" t="s">
        <v>23</v>
      </c>
      <c r="S15" s="33" t="s">
        <v>24</v>
      </c>
      <c r="T15" s="34"/>
    </row>
    <row r="16" spans="2:21" ht="21.95" customHeight="1" thickBot="1">
      <c r="B16" s="18">
        <v>2004</v>
      </c>
      <c r="C16" s="19">
        <v>19.8</v>
      </c>
      <c r="D16" s="19">
        <v>54.6</v>
      </c>
      <c r="E16" s="19">
        <v>27.6</v>
      </c>
      <c r="F16" s="19">
        <v>74.099999999999994</v>
      </c>
      <c r="G16" s="19">
        <v>168.5</v>
      </c>
      <c r="H16" s="19">
        <v>138.1</v>
      </c>
      <c r="I16" s="19">
        <v>510.7</v>
      </c>
      <c r="J16" s="19">
        <v>193.3</v>
      </c>
      <c r="K16" s="19">
        <v>198.7</v>
      </c>
      <c r="L16" s="19">
        <v>6.5</v>
      </c>
      <c r="M16" s="19">
        <v>80</v>
      </c>
      <c r="N16" s="21">
        <v>27.2</v>
      </c>
      <c r="O16" s="15">
        <f t="shared" si="0"/>
        <v>1499.1</v>
      </c>
      <c r="P16" s="22">
        <f t="shared" si="1"/>
        <v>124.9</v>
      </c>
      <c r="R16" s="35" t="s">
        <v>25</v>
      </c>
      <c r="S16" s="36" t="s">
        <v>26</v>
      </c>
      <c r="T16" s="37"/>
    </row>
    <row r="17" spans="2:18" ht="21.95" customHeight="1">
      <c r="B17" s="18">
        <v>2005</v>
      </c>
      <c r="C17" s="19">
        <v>4.5</v>
      </c>
      <c r="D17" s="19">
        <v>17.2</v>
      </c>
      <c r="E17" s="19">
        <v>12.5</v>
      </c>
      <c r="F17" s="19">
        <v>94.7</v>
      </c>
      <c r="G17" s="19">
        <v>85.8</v>
      </c>
      <c r="H17" s="19">
        <v>168.5</v>
      </c>
      <c r="I17" s="19">
        <v>269.39999999999998</v>
      </c>
      <c r="J17" s="19">
        <v>285</v>
      </c>
      <c r="K17" s="19">
        <v>313.3</v>
      </c>
      <c r="L17" s="19">
        <v>52.6</v>
      </c>
      <c r="M17" s="19">
        <v>44.6</v>
      </c>
      <c r="N17" s="21">
        <v>10.3</v>
      </c>
      <c r="O17" s="15">
        <f t="shared" si="0"/>
        <v>1358.4</v>
      </c>
      <c r="P17" s="22">
        <f t="shared" si="1"/>
        <v>113.2</v>
      </c>
    </row>
    <row r="18" spans="2:18" ht="21.95" customHeight="1">
      <c r="B18" s="18">
        <v>2006</v>
      </c>
      <c r="C18" s="19">
        <v>34.299999999999997</v>
      </c>
      <c r="D18" s="19">
        <v>15.7</v>
      </c>
      <c r="E18" s="19">
        <v>14</v>
      </c>
      <c r="F18" s="19">
        <v>51.8</v>
      </c>
      <c r="G18" s="19">
        <v>156.19999999999999</v>
      </c>
      <c r="H18" s="19">
        <v>168.5</v>
      </c>
      <c r="I18" s="19">
        <v>1014</v>
      </c>
      <c r="J18" s="19">
        <v>121.2</v>
      </c>
      <c r="K18" s="19">
        <v>11.1</v>
      </c>
      <c r="L18" s="19">
        <v>30.2</v>
      </c>
      <c r="M18" s="19">
        <v>47.6</v>
      </c>
      <c r="N18" s="21">
        <v>17.3</v>
      </c>
      <c r="O18" s="15">
        <f t="shared" si="0"/>
        <v>1681.9</v>
      </c>
      <c r="P18" s="22">
        <f t="shared" si="1"/>
        <v>140.19999999999999</v>
      </c>
    </row>
    <row r="19" spans="2:18" ht="21.95" customHeight="1">
      <c r="B19" s="18">
        <v>2007</v>
      </c>
      <c r="C19" s="19">
        <v>10.8</v>
      </c>
      <c r="D19" s="19">
        <v>12.6</v>
      </c>
      <c r="E19" s="19">
        <v>123.5</v>
      </c>
      <c r="F19" s="19">
        <v>41.1</v>
      </c>
      <c r="G19" s="19">
        <v>137.6</v>
      </c>
      <c r="H19" s="19">
        <v>54.5</v>
      </c>
      <c r="I19" s="19">
        <v>274.10000000000002</v>
      </c>
      <c r="J19" s="19">
        <v>237.6</v>
      </c>
      <c r="K19" s="19">
        <v>241.9</v>
      </c>
      <c r="L19" s="19">
        <v>39.5</v>
      </c>
      <c r="M19" s="19">
        <v>26.4</v>
      </c>
      <c r="N19" s="21">
        <v>12.7</v>
      </c>
      <c r="O19" s="15">
        <f t="shared" si="0"/>
        <v>1212.3</v>
      </c>
      <c r="P19" s="22">
        <f t="shared" si="1"/>
        <v>101</v>
      </c>
    </row>
    <row r="20" spans="2:18" ht="21.95" customHeight="1">
      <c r="B20" s="18">
        <v>2008</v>
      </c>
      <c r="C20" s="19">
        <v>17.7</v>
      </c>
      <c r="D20" s="19">
        <v>15</v>
      </c>
      <c r="E20" s="19">
        <v>53.9</v>
      </c>
      <c r="F20" s="19">
        <v>38.5</v>
      </c>
      <c r="G20" s="19">
        <v>97.7</v>
      </c>
      <c r="H20" s="19">
        <v>165</v>
      </c>
      <c r="I20" s="19">
        <v>530.79999999999995</v>
      </c>
      <c r="J20" s="19">
        <v>251.2</v>
      </c>
      <c r="K20" s="19">
        <v>99.2</v>
      </c>
      <c r="L20" s="19">
        <v>41.8</v>
      </c>
      <c r="M20" s="19">
        <v>19.600000000000001</v>
      </c>
      <c r="N20" s="21">
        <v>25.9</v>
      </c>
      <c r="O20" s="15">
        <f t="shared" si="0"/>
        <v>1356.3</v>
      </c>
      <c r="P20" s="22">
        <f t="shared" si="1"/>
        <v>113</v>
      </c>
      <c r="R20" s="4"/>
    </row>
    <row r="21" spans="2:18" ht="21.95" customHeight="1">
      <c r="B21" s="18">
        <v>2009</v>
      </c>
      <c r="C21" s="19">
        <v>5.7</v>
      </c>
      <c r="D21" s="19">
        <v>36.9</v>
      </c>
      <c r="E21" s="19">
        <v>63.9</v>
      </c>
      <c r="F21" s="19">
        <v>66.5</v>
      </c>
      <c r="G21" s="19">
        <v>109</v>
      </c>
      <c r="H21" s="19">
        <v>132</v>
      </c>
      <c r="I21" s="19">
        <v>659.4</v>
      </c>
      <c r="J21" s="19">
        <v>285.3</v>
      </c>
      <c r="K21" s="19">
        <v>64.5</v>
      </c>
      <c r="L21" s="19">
        <v>66.900000000000006</v>
      </c>
      <c r="M21" s="19">
        <v>52.4</v>
      </c>
      <c r="N21" s="21">
        <v>21.5</v>
      </c>
      <c r="O21" s="15">
        <f t="shared" si="0"/>
        <v>1564</v>
      </c>
      <c r="P21" s="22">
        <f t="shared" si="1"/>
        <v>130.30000000000001</v>
      </c>
    </row>
    <row r="22" spans="2:18" ht="21.95" customHeight="1">
      <c r="B22" s="18">
        <v>2010</v>
      </c>
      <c r="C22" s="19">
        <v>29.3</v>
      </c>
      <c r="D22" s="19">
        <v>55.3</v>
      </c>
      <c r="E22" s="19">
        <v>82.5</v>
      </c>
      <c r="F22" s="19">
        <v>62.8</v>
      </c>
      <c r="G22" s="19">
        <v>124</v>
      </c>
      <c r="H22" s="19">
        <v>127.6</v>
      </c>
      <c r="I22" s="19">
        <v>239.2</v>
      </c>
      <c r="J22" s="19">
        <v>598.70000000000005</v>
      </c>
      <c r="K22" s="19">
        <v>671.5</v>
      </c>
      <c r="L22" s="19">
        <v>25.6</v>
      </c>
      <c r="M22" s="19">
        <v>10.9</v>
      </c>
      <c r="N22" s="21">
        <v>16.100000000000001</v>
      </c>
      <c r="O22" s="15">
        <f t="shared" si="0"/>
        <v>2043.5</v>
      </c>
      <c r="P22" s="22">
        <f t="shared" si="1"/>
        <v>170.3</v>
      </c>
    </row>
    <row r="23" spans="2:18" ht="21.95" customHeight="1">
      <c r="B23" s="18">
        <v>2011</v>
      </c>
      <c r="C23" s="19">
        <v>8.9</v>
      </c>
      <c r="D23" s="19">
        <v>29.1</v>
      </c>
      <c r="E23" s="19">
        <v>14.6</v>
      </c>
      <c r="F23" s="19">
        <v>110.1</v>
      </c>
      <c r="G23" s="19">
        <v>53.4</v>
      </c>
      <c r="H23" s="19">
        <v>404.5</v>
      </c>
      <c r="I23" s="19">
        <v>1131</v>
      </c>
      <c r="J23" s="19">
        <v>166.8</v>
      </c>
      <c r="K23" s="19">
        <v>25.6</v>
      </c>
      <c r="L23" s="19">
        <v>32</v>
      </c>
      <c r="M23" s="19">
        <v>56.2</v>
      </c>
      <c r="N23" s="21">
        <v>7.1</v>
      </c>
      <c r="O23" s="15">
        <f t="shared" si="0"/>
        <v>2039.3</v>
      </c>
      <c r="P23" s="22">
        <f t="shared" si="1"/>
        <v>169.9</v>
      </c>
    </row>
    <row r="24" spans="2:18" ht="21.95" customHeight="1">
      <c r="B24" s="18">
        <v>2012</v>
      </c>
      <c r="C24" s="19">
        <v>6.7</v>
      </c>
      <c r="D24" s="19">
        <v>0.8</v>
      </c>
      <c r="E24" s="19">
        <v>47.4</v>
      </c>
      <c r="F24" s="19">
        <v>157</v>
      </c>
      <c r="G24" s="19">
        <v>8.1999999999999993</v>
      </c>
      <c r="H24" s="19">
        <v>91.9</v>
      </c>
      <c r="I24" s="19">
        <v>448.9</v>
      </c>
      <c r="J24" s="19">
        <v>464.9</v>
      </c>
      <c r="K24" s="19">
        <v>212</v>
      </c>
      <c r="L24" s="19">
        <v>99.3</v>
      </c>
      <c r="M24" s="19">
        <v>67.8</v>
      </c>
      <c r="N24" s="21">
        <v>41.4</v>
      </c>
      <c r="O24" s="15">
        <f t="shared" si="0"/>
        <v>1646.3</v>
      </c>
      <c r="P24" s="22">
        <f t="shared" si="1"/>
        <v>137.19999999999999</v>
      </c>
    </row>
    <row r="25" spans="2:18" ht="21.95" customHeight="1">
      <c r="B25" s="18">
        <v>2013</v>
      </c>
      <c r="C25" s="19">
        <v>22.1</v>
      </c>
      <c r="D25" s="19">
        <v>74.099999999999994</v>
      </c>
      <c r="E25" s="19">
        <v>27.3</v>
      </c>
      <c r="F25" s="19">
        <v>71.7</v>
      </c>
      <c r="G25" s="19">
        <v>132</v>
      </c>
      <c r="H25" s="19">
        <v>28.3</v>
      </c>
      <c r="I25" s="19">
        <v>676.2</v>
      </c>
      <c r="J25" s="19">
        <v>148.6</v>
      </c>
      <c r="K25" s="19">
        <v>138.5</v>
      </c>
      <c r="L25" s="19">
        <v>13.5</v>
      </c>
      <c r="M25" s="19">
        <v>46.8</v>
      </c>
      <c r="N25" s="21">
        <v>24.7</v>
      </c>
      <c r="O25" s="15">
        <f t="shared" si="0"/>
        <v>1403.8</v>
      </c>
      <c r="P25" s="22">
        <f t="shared" si="1"/>
        <v>117</v>
      </c>
    </row>
    <row r="26" spans="2:18" ht="21.95" customHeight="1">
      <c r="B26" s="18">
        <v>2014</v>
      </c>
      <c r="C26" s="19">
        <v>13</v>
      </c>
      <c r="D26" s="19">
        <v>16.2</v>
      </c>
      <c r="E26" s="19">
        <v>7.2</v>
      </c>
      <c r="F26" s="19">
        <v>31</v>
      </c>
      <c r="G26" s="19">
        <v>63</v>
      </c>
      <c r="H26" s="19">
        <v>98.1</v>
      </c>
      <c r="I26" s="19">
        <v>207.9</v>
      </c>
      <c r="J26" s="19">
        <v>172.8</v>
      </c>
      <c r="K26" s="19">
        <v>88.1</v>
      </c>
      <c r="L26" s="19">
        <v>52.2</v>
      </c>
      <c r="M26" s="19">
        <v>41.5</v>
      </c>
      <c r="N26" s="21">
        <v>17.899999999999999</v>
      </c>
      <c r="O26" s="15">
        <f t="shared" si="0"/>
        <v>808.9</v>
      </c>
      <c r="P26" s="22">
        <f t="shared" si="1"/>
        <v>67.400000000000006</v>
      </c>
    </row>
    <row r="27" spans="2:18" ht="21.95" customHeight="1">
      <c r="B27" s="18">
        <v>2015</v>
      </c>
      <c r="C27" s="19">
        <v>11.3</v>
      </c>
      <c r="D27" s="19">
        <v>22.7</v>
      </c>
      <c r="E27" s="19">
        <v>9.6</v>
      </c>
      <c r="F27" s="19">
        <v>80.5</v>
      </c>
      <c r="G27" s="19">
        <v>28.9</v>
      </c>
      <c r="H27" s="19">
        <v>99</v>
      </c>
      <c r="I27" s="19">
        <v>226</v>
      </c>
      <c r="J27" s="19">
        <v>72.900000000000006</v>
      </c>
      <c r="K27" s="19">
        <v>26</v>
      </c>
      <c r="L27" s="19">
        <v>81.5</v>
      </c>
      <c r="M27" s="19">
        <v>104.6</v>
      </c>
      <c r="N27" s="21">
        <v>29.1</v>
      </c>
      <c r="O27" s="15">
        <f t="shared" si="0"/>
        <v>792.1</v>
      </c>
      <c r="P27" s="22">
        <f t="shared" si="1"/>
        <v>66</v>
      </c>
    </row>
    <row r="28" spans="2:18" ht="21.95" customHeight="1">
      <c r="B28" s="18">
        <v>2016</v>
      </c>
      <c r="C28" s="19">
        <v>1</v>
      </c>
      <c r="D28" s="19">
        <v>47.6</v>
      </c>
      <c r="E28" s="19">
        <v>40.5</v>
      </c>
      <c r="F28" s="19">
        <v>76.8</v>
      </c>
      <c r="G28" s="19">
        <v>160.5</v>
      </c>
      <c r="H28" s="19">
        <v>54.4</v>
      </c>
      <c r="I28" s="19">
        <v>358.2</v>
      </c>
      <c r="J28" s="19">
        <v>67.099999999999994</v>
      </c>
      <c r="K28" s="19">
        <v>33</v>
      </c>
      <c r="L28" s="19">
        <v>74.8</v>
      </c>
      <c r="M28" s="19">
        <v>16.7</v>
      </c>
      <c r="N28" s="21">
        <v>61.1</v>
      </c>
      <c r="O28" s="15">
        <f t="shared" si="0"/>
        <v>991.7</v>
      </c>
      <c r="P28" s="22">
        <f t="shared" si="1"/>
        <v>82.6</v>
      </c>
    </row>
    <row r="29" spans="2:18" ht="21.95" customHeight="1">
      <c r="B29" s="18">
        <v>2017</v>
      </c>
      <c r="C29" s="19">
        <v>14.9</v>
      </c>
      <c r="D29" s="19">
        <v>11.1</v>
      </c>
      <c r="E29" s="19">
        <v>7.9</v>
      </c>
      <c r="F29" s="19">
        <v>61.6</v>
      </c>
      <c r="G29" s="19">
        <v>16.100000000000001</v>
      </c>
      <c r="H29" s="19">
        <v>66.599999999999994</v>
      </c>
      <c r="I29" s="19">
        <v>621</v>
      </c>
      <c r="J29" s="19">
        <v>297</v>
      </c>
      <c r="K29" s="19">
        <v>35</v>
      </c>
      <c r="L29" s="19">
        <v>26.5</v>
      </c>
      <c r="M29" s="19">
        <v>40.700000000000003</v>
      </c>
      <c r="N29" s="21">
        <v>34.799999999999997</v>
      </c>
      <c r="O29" s="15">
        <f t="shared" si="0"/>
        <v>1233.2</v>
      </c>
      <c r="P29" s="22">
        <f t="shared" si="1"/>
        <v>102.8</v>
      </c>
    </row>
    <row r="30" spans="2:18" ht="21.95" customHeight="1">
      <c r="B30" s="18">
        <v>2018</v>
      </c>
      <c r="C30" s="19">
        <v>8.5</v>
      </c>
      <c r="D30" s="19">
        <v>29.6</v>
      </c>
      <c r="E30" s="19">
        <v>49.5</v>
      </c>
      <c r="F30" s="19">
        <v>130.30000000000001</v>
      </c>
      <c r="G30" s="19">
        <v>222</v>
      </c>
      <c r="H30" s="19">
        <v>171.5</v>
      </c>
      <c r="I30" s="19">
        <v>185.6</v>
      </c>
      <c r="J30" s="19">
        <v>202.6</v>
      </c>
      <c r="K30" s="19">
        <v>68.5</v>
      </c>
      <c r="L30" s="19">
        <v>120.5</v>
      </c>
      <c r="M30" s="19">
        <v>79.099999999999994</v>
      </c>
      <c r="N30" s="21">
        <v>16.399999999999999</v>
      </c>
      <c r="O30" s="15">
        <f t="shared" si="0"/>
        <v>1284.0999999999999</v>
      </c>
      <c r="P30" s="22">
        <f t="shared" si="1"/>
        <v>107</v>
      </c>
    </row>
    <row r="31" spans="2:18" ht="21.95" customHeight="1">
      <c r="B31" s="18">
        <v>2019</v>
      </c>
      <c r="C31" s="19">
        <v>0</v>
      </c>
      <c r="D31" s="19">
        <v>23.8</v>
      </c>
      <c r="E31" s="19">
        <v>26.8</v>
      </c>
      <c r="F31" s="19">
        <v>47.3</v>
      </c>
      <c r="G31" s="19">
        <v>37.799999999999997</v>
      </c>
      <c r="H31" s="19">
        <v>74</v>
      </c>
      <c r="I31" s="19">
        <v>194.4</v>
      </c>
      <c r="J31" s="19">
        <v>190.5</v>
      </c>
      <c r="K31" s="19">
        <v>139.80000000000001</v>
      </c>
      <c r="L31" s="19">
        <v>55.5</v>
      </c>
      <c r="M31" s="19">
        <v>78.8</v>
      </c>
      <c r="N31" s="21">
        <v>22.6</v>
      </c>
      <c r="O31" s="15">
        <f t="shared" si="0"/>
        <v>891.3</v>
      </c>
      <c r="P31" s="22">
        <f t="shared" si="1"/>
        <v>74.3</v>
      </c>
    </row>
    <row r="32" spans="2:18" ht="21.95" customHeight="1">
      <c r="B32" s="18">
        <v>2020</v>
      </c>
      <c r="C32" s="19">
        <v>60.5</v>
      </c>
      <c r="D32" s="19">
        <v>53.1</v>
      </c>
      <c r="E32" s="19">
        <v>16.3</v>
      </c>
      <c r="F32" s="19">
        <v>16.899999999999999</v>
      </c>
      <c r="G32" s="19">
        <v>112.4</v>
      </c>
      <c r="H32" s="19">
        <v>139.6</v>
      </c>
      <c r="I32" s="19">
        <v>270.39999999999998</v>
      </c>
      <c r="J32" s="19">
        <v>675.7</v>
      </c>
      <c r="K32" s="19">
        <v>181.5</v>
      </c>
      <c r="L32" s="19">
        <v>0</v>
      </c>
      <c r="M32" s="19">
        <v>120.1</v>
      </c>
      <c r="N32" s="21">
        <v>4.5999999999999996</v>
      </c>
      <c r="O32" s="15">
        <f t="shared" si="0"/>
        <v>1651.1</v>
      </c>
      <c r="P32" s="22">
        <f t="shared" si="1"/>
        <v>137.6</v>
      </c>
    </row>
    <row r="33" spans="2:16" ht="21.95" customHeight="1">
      <c r="B33" s="18">
        <v>2021</v>
      </c>
      <c r="C33" s="19">
        <v>18.899999999999999</v>
      </c>
      <c r="D33" s="19">
        <v>7.1</v>
      </c>
      <c r="E33" s="19">
        <v>110.9</v>
      </c>
      <c r="F33" s="19">
        <v>124.1</v>
      </c>
      <c r="G33" s="19">
        <v>183.1</v>
      </c>
      <c r="H33" s="19">
        <v>104.6</v>
      </c>
      <c r="I33" s="19">
        <v>168.3</v>
      </c>
      <c r="J33" s="19">
        <v>211.2</v>
      </c>
      <c r="K33" s="19">
        <v>131</v>
      </c>
      <c r="L33" s="19">
        <v>57</v>
      </c>
      <c r="M33" s="19">
        <v>62.4</v>
      </c>
      <c r="N33" s="21">
        <v>7.9</v>
      </c>
      <c r="O33" s="15">
        <f t="shared" si="0"/>
        <v>1186.5</v>
      </c>
      <c r="P33" s="22">
        <f t="shared" si="1"/>
        <v>98.9</v>
      </c>
    </row>
    <row r="34" spans="2:16" ht="21.95" customHeight="1">
      <c r="B34" s="18">
        <v>2022</v>
      </c>
      <c r="C34" s="19">
        <v>5.5</v>
      </c>
      <c r="D34" s="19">
        <v>4.7</v>
      </c>
      <c r="E34" s="19">
        <v>102.6</v>
      </c>
      <c r="F34" s="19">
        <v>20.399999999999999</v>
      </c>
      <c r="G34" s="19">
        <v>7.5</v>
      </c>
      <c r="H34" s="19">
        <v>393.8</v>
      </c>
      <c r="I34" s="19">
        <v>252.3</v>
      </c>
      <c r="J34" s="19">
        <v>564.79999999999995</v>
      </c>
      <c r="K34" s="19">
        <v>201.5</v>
      </c>
      <c r="L34" s="19">
        <v>124.1</v>
      </c>
      <c r="M34" s="19">
        <v>84.5</v>
      </c>
      <c r="N34" s="21">
        <v>13.6</v>
      </c>
      <c r="O34" s="15">
        <f t="shared" si="0"/>
        <v>1775.3</v>
      </c>
      <c r="P34" s="22">
        <f t="shared" si="1"/>
        <v>147.9</v>
      </c>
    </row>
    <row r="35" spans="2:16" ht="21.95" customHeight="1" thickBot="1">
      <c r="B35" s="38">
        <v>2023</v>
      </c>
      <c r="C35" s="39">
        <v>47.9</v>
      </c>
      <c r="D35" s="39">
        <v>1</v>
      </c>
      <c r="E35" s="39">
        <v>10.5</v>
      </c>
      <c r="F35" s="39">
        <v>96.9</v>
      </c>
      <c r="G35" s="39">
        <v>155.6</v>
      </c>
      <c r="H35" s="39">
        <v>195.6</v>
      </c>
      <c r="I35" s="39">
        <v>459.9</v>
      </c>
      <c r="J35" s="39">
        <v>298.10000000000002</v>
      </c>
      <c r="K35" s="39">
        <v>134.5</v>
      </c>
      <c r="L35" s="39">
        <v>31</v>
      </c>
      <c r="M35" s="39">
        <v>81.900000000000006</v>
      </c>
      <c r="N35" s="40">
        <v>85.9</v>
      </c>
      <c r="O35" s="41">
        <f t="shared" si="0"/>
        <v>1598.8</v>
      </c>
      <c r="P35" s="42">
        <f t="shared" si="1"/>
        <v>133.19999999999999</v>
      </c>
    </row>
    <row r="36" spans="2:16" ht="21.95" customHeight="1">
      <c r="B36" s="43" t="s">
        <v>13</v>
      </c>
      <c r="C36" s="44">
        <f>ROUND(MAX(C6:C35),1)</f>
        <v>60.5</v>
      </c>
      <c r="D36" s="44">
        <f t="shared" ref="D36:N36" si="2">ROUND(MAX(D6:D35),1)</f>
        <v>74.099999999999994</v>
      </c>
      <c r="E36" s="44">
        <f t="shared" si="2"/>
        <v>123.5</v>
      </c>
      <c r="F36" s="44">
        <f t="shared" si="2"/>
        <v>157</v>
      </c>
      <c r="G36" s="44">
        <f t="shared" si="2"/>
        <v>291.3</v>
      </c>
      <c r="H36" s="44">
        <f t="shared" si="2"/>
        <v>404.5</v>
      </c>
      <c r="I36" s="44">
        <f t="shared" si="2"/>
        <v>1131</v>
      </c>
      <c r="J36" s="44">
        <f t="shared" si="2"/>
        <v>1237.8</v>
      </c>
      <c r="K36" s="44">
        <f t="shared" si="2"/>
        <v>671.5</v>
      </c>
      <c r="L36" s="44">
        <f t="shared" si="2"/>
        <v>214.5</v>
      </c>
      <c r="M36" s="44">
        <f t="shared" si="2"/>
        <v>120.1</v>
      </c>
      <c r="N36" s="45">
        <f t="shared" si="2"/>
        <v>85.9</v>
      </c>
      <c r="O36" s="46">
        <f>ROUND(MAX(O6:O35),1)</f>
        <v>2349.1</v>
      </c>
      <c r="P36" s="47">
        <f>ROUND(MAX(P6:P35),1)</f>
        <v>195.8</v>
      </c>
    </row>
    <row r="37" spans="2:16" ht="21.95" customHeight="1">
      <c r="B37" s="48" t="s">
        <v>14</v>
      </c>
      <c r="C37" s="49">
        <f>ROUND(MIN(C6:C35),1)</f>
        <v>0</v>
      </c>
      <c r="D37" s="49">
        <f t="shared" ref="D37:N37" si="3">ROUND(MIN(D6:D35),1)</f>
        <v>0.8</v>
      </c>
      <c r="E37" s="49">
        <f t="shared" si="3"/>
        <v>3.1</v>
      </c>
      <c r="F37" s="49">
        <f t="shared" si="3"/>
        <v>12.3</v>
      </c>
      <c r="G37" s="49">
        <f t="shared" si="3"/>
        <v>7.5</v>
      </c>
      <c r="H37" s="49">
        <f t="shared" si="3"/>
        <v>28.3</v>
      </c>
      <c r="I37" s="49">
        <f t="shared" si="3"/>
        <v>114.7</v>
      </c>
      <c r="J37" s="49">
        <f t="shared" si="3"/>
        <v>67.099999999999994</v>
      </c>
      <c r="K37" s="49">
        <f t="shared" si="3"/>
        <v>11</v>
      </c>
      <c r="L37" s="49">
        <f t="shared" si="3"/>
        <v>0</v>
      </c>
      <c r="M37" s="49">
        <f t="shared" si="3"/>
        <v>10.9</v>
      </c>
      <c r="N37" s="22">
        <f t="shared" si="3"/>
        <v>3.4</v>
      </c>
      <c r="O37" s="50">
        <f>ROUND(MIN(O6:O35),1)</f>
        <v>792.1</v>
      </c>
      <c r="P37" s="51">
        <f>ROUND(MIN(P6:P35),1)</f>
        <v>66</v>
      </c>
    </row>
    <row r="38" spans="2:16" ht="21.95" customHeight="1" thickBot="1">
      <c r="B38" s="52" t="s">
        <v>18</v>
      </c>
      <c r="C38" s="53">
        <f>ROUND(AVERAGE(C6:C35),1)</f>
        <v>18.2</v>
      </c>
      <c r="D38" s="53">
        <f t="shared" ref="D38:J38" si="4">ROUND(AVERAGE(D6:D35),1)</f>
        <v>23.8</v>
      </c>
      <c r="E38" s="53">
        <f t="shared" si="4"/>
        <v>40.799999999999997</v>
      </c>
      <c r="F38" s="53">
        <f t="shared" si="4"/>
        <v>73.900000000000006</v>
      </c>
      <c r="G38" s="53">
        <f t="shared" si="4"/>
        <v>102.7</v>
      </c>
      <c r="H38" s="53">
        <f t="shared" si="4"/>
        <v>140</v>
      </c>
      <c r="I38" s="53">
        <f t="shared" si="4"/>
        <v>404.4</v>
      </c>
      <c r="J38" s="53">
        <f t="shared" si="4"/>
        <v>361.2</v>
      </c>
      <c r="K38" s="53">
        <f t="shared" ref="K38:P38" si="5">ROUND(AVERAGE(K6:K35),1)</f>
        <v>143.80000000000001</v>
      </c>
      <c r="L38" s="53">
        <f t="shared" si="5"/>
        <v>56.7</v>
      </c>
      <c r="M38" s="53">
        <f t="shared" si="5"/>
        <v>52.3</v>
      </c>
      <c r="N38" s="54">
        <f t="shared" si="5"/>
        <v>22</v>
      </c>
      <c r="O38" s="55">
        <f t="shared" si="5"/>
        <v>1439.8</v>
      </c>
      <c r="P38" s="56">
        <f t="shared" si="5"/>
        <v>120</v>
      </c>
    </row>
    <row r="39" spans="2:16" ht="21.95" customHeight="1"/>
    <row r="40" spans="2:16" ht="21.95" customHeight="1"/>
    <row r="41" spans="2:16" ht="21.95" customHeight="1"/>
    <row r="42" spans="2:16" ht="21.95" customHeight="1" thickBot="1"/>
    <row r="43" spans="2:16" s="4" customFormat="1" ht="21.95" customHeight="1">
      <c r="B43" s="57" t="s">
        <v>15</v>
      </c>
      <c r="C43" s="58" t="s">
        <v>8</v>
      </c>
      <c r="D43" s="58" t="s">
        <v>9</v>
      </c>
      <c r="E43" s="58" t="s">
        <v>10</v>
      </c>
      <c r="F43" s="58" t="s">
        <v>11</v>
      </c>
      <c r="G43" s="58" t="s">
        <v>12</v>
      </c>
      <c r="H43" s="58" t="s">
        <v>0</v>
      </c>
      <c r="I43" s="58" t="s">
        <v>1</v>
      </c>
      <c r="J43" s="58" t="s">
        <v>2</v>
      </c>
      <c r="K43" s="58" t="s">
        <v>3</v>
      </c>
      <c r="L43" s="58" t="s">
        <v>4</v>
      </c>
      <c r="M43" s="58" t="s">
        <v>5</v>
      </c>
      <c r="N43" s="59" t="s">
        <v>6</v>
      </c>
      <c r="O43" s="60" t="s">
        <v>16</v>
      </c>
      <c r="P43" s="59" t="s">
        <v>7</v>
      </c>
    </row>
    <row r="44" spans="2:16" ht="21.95" customHeight="1">
      <c r="B44" s="61">
        <f>B26</f>
        <v>2014</v>
      </c>
      <c r="C44" s="62">
        <f t="shared" ref="C44:N44" si="6">C26</f>
        <v>13</v>
      </c>
      <c r="D44" s="62">
        <f t="shared" si="6"/>
        <v>16.2</v>
      </c>
      <c r="E44" s="62">
        <f t="shared" si="6"/>
        <v>7.2</v>
      </c>
      <c r="F44" s="62">
        <f t="shared" si="6"/>
        <v>31</v>
      </c>
      <c r="G44" s="62">
        <f t="shared" si="6"/>
        <v>63</v>
      </c>
      <c r="H44" s="62">
        <f t="shared" si="6"/>
        <v>98.1</v>
      </c>
      <c r="I44" s="62">
        <f t="shared" si="6"/>
        <v>207.9</v>
      </c>
      <c r="J44" s="62">
        <f t="shared" si="6"/>
        <v>172.8</v>
      </c>
      <c r="K44" s="62">
        <f t="shared" si="6"/>
        <v>88.1</v>
      </c>
      <c r="L44" s="62">
        <f t="shared" si="6"/>
        <v>52.2</v>
      </c>
      <c r="M44" s="62">
        <f t="shared" si="6"/>
        <v>41.5</v>
      </c>
      <c r="N44" s="63">
        <f t="shared" si="6"/>
        <v>17.899999999999999</v>
      </c>
      <c r="O44" s="64">
        <f>ROUND(SUM(C44:N44),1)</f>
        <v>808.9</v>
      </c>
      <c r="P44" s="51">
        <f>ROUND(O44/12,1)</f>
        <v>67.400000000000006</v>
      </c>
    </row>
    <row r="45" spans="2:16" ht="21.95" customHeight="1">
      <c r="B45" s="61">
        <f t="shared" ref="B45:N45" si="7">B27</f>
        <v>2015</v>
      </c>
      <c r="C45" s="62">
        <f t="shared" si="7"/>
        <v>11.3</v>
      </c>
      <c r="D45" s="62">
        <f t="shared" si="7"/>
        <v>22.7</v>
      </c>
      <c r="E45" s="62">
        <f t="shared" si="7"/>
        <v>9.6</v>
      </c>
      <c r="F45" s="62">
        <f t="shared" si="7"/>
        <v>80.5</v>
      </c>
      <c r="G45" s="62">
        <f t="shared" si="7"/>
        <v>28.9</v>
      </c>
      <c r="H45" s="62">
        <f t="shared" si="7"/>
        <v>99</v>
      </c>
      <c r="I45" s="62">
        <f t="shared" si="7"/>
        <v>226</v>
      </c>
      <c r="J45" s="62">
        <f t="shared" si="7"/>
        <v>72.900000000000006</v>
      </c>
      <c r="K45" s="62">
        <f t="shared" si="7"/>
        <v>26</v>
      </c>
      <c r="L45" s="62">
        <f t="shared" si="7"/>
        <v>81.5</v>
      </c>
      <c r="M45" s="62">
        <f t="shared" si="7"/>
        <v>104.6</v>
      </c>
      <c r="N45" s="63">
        <f t="shared" si="7"/>
        <v>29.1</v>
      </c>
      <c r="O45" s="64">
        <f t="shared" ref="O45:O53" si="8">ROUND(SUM(C45:N45),1)</f>
        <v>792.1</v>
      </c>
      <c r="P45" s="51">
        <f t="shared" ref="P45:P53" si="9">ROUND(O45/12,1)</f>
        <v>66</v>
      </c>
    </row>
    <row r="46" spans="2:16" ht="21.95" customHeight="1">
      <c r="B46" s="61">
        <f t="shared" ref="B46:N46" si="10">B28</f>
        <v>2016</v>
      </c>
      <c r="C46" s="62">
        <f t="shared" si="10"/>
        <v>1</v>
      </c>
      <c r="D46" s="62">
        <f t="shared" si="10"/>
        <v>47.6</v>
      </c>
      <c r="E46" s="62">
        <f t="shared" si="10"/>
        <v>40.5</v>
      </c>
      <c r="F46" s="62">
        <f t="shared" si="10"/>
        <v>76.8</v>
      </c>
      <c r="G46" s="62">
        <f t="shared" si="10"/>
        <v>160.5</v>
      </c>
      <c r="H46" s="62">
        <f t="shared" si="10"/>
        <v>54.4</v>
      </c>
      <c r="I46" s="62">
        <f t="shared" si="10"/>
        <v>358.2</v>
      </c>
      <c r="J46" s="62">
        <f t="shared" si="10"/>
        <v>67.099999999999994</v>
      </c>
      <c r="K46" s="62">
        <f t="shared" si="10"/>
        <v>33</v>
      </c>
      <c r="L46" s="62">
        <f t="shared" si="10"/>
        <v>74.8</v>
      </c>
      <c r="M46" s="62">
        <f t="shared" si="10"/>
        <v>16.7</v>
      </c>
      <c r="N46" s="63">
        <f t="shared" si="10"/>
        <v>61.1</v>
      </c>
      <c r="O46" s="64">
        <f t="shared" si="8"/>
        <v>991.7</v>
      </c>
      <c r="P46" s="51">
        <f t="shared" si="9"/>
        <v>82.6</v>
      </c>
    </row>
    <row r="47" spans="2:16" ht="21.95" customHeight="1">
      <c r="B47" s="61">
        <f t="shared" ref="B47:N47" si="11">B29</f>
        <v>2017</v>
      </c>
      <c r="C47" s="62">
        <f t="shared" si="11"/>
        <v>14.9</v>
      </c>
      <c r="D47" s="62">
        <f t="shared" si="11"/>
        <v>11.1</v>
      </c>
      <c r="E47" s="62">
        <f t="shared" si="11"/>
        <v>7.9</v>
      </c>
      <c r="F47" s="62">
        <f t="shared" si="11"/>
        <v>61.6</v>
      </c>
      <c r="G47" s="62">
        <f t="shared" si="11"/>
        <v>16.100000000000001</v>
      </c>
      <c r="H47" s="62">
        <f t="shared" si="11"/>
        <v>66.599999999999994</v>
      </c>
      <c r="I47" s="62">
        <f t="shared" si="11"/>
        <v>621</v>
      </c>
      <c r="J47" s="62">
        <f t="shared" si="11"/>
        <v>297</v>
      </c>
      <c r="K47" s="62">
        <f t="shared" si="11"/>
        <v>35</v>
      </c>
      <c r="L47" s="62">
        <f t="shared" si="11"/>
        <v>26.5</v>
      </c>
      <c r="M47" s="62">
        <f t="shared" si="11"/>
        <v>40.700000000000003</v>
      </c>
      <c r="N47" s="63">
        <f t="shared" si="11"/>
        <v>34.799999999999997</v>
      </c>
      <c r="O47" s="64">
        <f>ROUND(SUM(C47:N47),1)</f>
        <v>1233.2</v>
      </c>
      <c r="P47" s="51">
        <f t="shared" si="9"/>
        <v>102.8</v>
      </c>
    </row>
    <row r="48" spans="2:16" ht="21.95" customHeight="1">
      <c r="B48" s="61">
        <f t="shared" ref="B48:N48" si="12">B30</f>
        <v>2018</v>
      </c>
      <c r="C48" s="62">
        <f t="shared" si="12"/>
        <v>8.5</v>
      </c>
      <c r="D48" s="62">
        <f t="shared" si="12"/>
        <v>29.6</v>
      </c>
      <c r="E48" s="62">
        <f t="shared" si="12"/>
        <v>49.5</v>
      </c>
      <c r="F48" s="62">
        <f t="shared" si="12"/>
        <v>130.30000000000001</v>
      </c>
      <c r="G48" s="62">
        <f t="shared" si="12"/>
        <v>222</v>
      </c>
      <c r="H48" s="62">
        <f t="shared" si="12"/>
        <v>171.5</v>
      </c>
      <c r="I48" s="62">
        <f t="shared" si="12"/>
        <v>185.6</v>
      </c>
      <c r="J48" s="62">
        <f t="shared" si="12"/>
        <v>202.6</v>
      </c>
      <c r="K48" s="62">
        <f t="shared" si="12"/>
        <v>68.5</v>
      </c>
      <c r="L48" s="62">
        <f t="shared" si="12"/>
        <v>120.5</v>
      </c>
      <c r="M48" s="62">
        <f t="shared" si="12"/>
        <v>79.099999999999994</v>
      </c>
      <c r="N48" s="63">
        <f t="shared" si="12"/>
        <v>16.399999999999999</v>
      </c>
      <c r="O48" s="64">
        <f t="shared" si="8"/>
        <v>1284.0999999999999</v>
      </c>
      <c r="P48" s="51">
        <f t="shared" si="9"/>
        <v>107</v>
      </c>
    </row>
    <row r="49" spans="2:16" ht="21.95" customHeight="1">
      <c r="B49" s="61">
        <f t="shared" ref="B49:N49" si="13">B31</f>
        <v>2019</v>
      </c>
      <c r="C49" s="62">
        <f t="shared" si="13"/>
        <v>0</v>
      </c>
      <c r="D49" s="62">
        <f t="shared" si="13"/>
        <v>23.8</v>
      </c>
      <c r="E49" s="62">
        <f t="shared" si="13"/>
        <v>26.8</v>
      </c>
      <c r="F49" s="62">
        <f t="shared" si="13"/>
        <v>47.3</v>
      </c>
      <c r="G49" s="62">
        <f t="shared" si="13"/>
        <v>37.799999999999997</v>
      </c>
      <c r="H49" s="62">
        <f t="shared" si="13"/>
        <v>74</v>
      </c>
      <c r="I49" s="62">
        <f t="shared" si="13"/>
        <v>194.4</v>
      </c>
      <c r="J49" s="62">
        <f t="shared" si="13"/>
        <v>190.5</v>
      </c>
      <c r="K49" s="62">
        <f t="shared" si="13"/>
        <v>139.80000000000001</v>
      </c>
      <c r="L49" s="62">
        <f t="shared" si="13"/>
        <v>55.5</v>
      </c>
      <c r="M49" s="62">
        <f t="shared" si="13"/>
        <v>78.8</v>
      </c>
      <c r="N49" s="63">
        <f t="shared" si="13"/>
        <v>22.6</v>
      </c>
      <c r="O49" s="64">
        <f t="shared" si="8"/>
        <v>891.3</v>
      </c>
      <c r="P49" s="51">
        <f t="shared" si="9"/>
        <v>74.3</v>
      </c>
    </row>
    <row r="50" spans="2:16" ht="21.95" customHeight="1">
      <c r="B50" s="61">
        <f t="shared" ref="B50:N50" si="14">B32</f>
        <v>2020</v>
      </c>
      <c r="C50" s="62">
        <f t="shared" si="14"/>
        <v>60.5</v>
      </c>
      <c r="D50" s="62">
        <f t="shared" si="14"/>
        <v>53.1</v>
      </c>
      <c r="E50" s="62">
        <f t="shared" si="14"/>
        <v>16.3</v>
      </c>
      <c r="F50" s="62">
        <f t="shared" si="14"/>
        <v>16.899999999999999</v>
      </c>
      <c r="G50" s="62">
        <f t="shared" si="14"/>
        <v>112.4</v>
      </c>
      <c r="H50" s="62">
        <f t="shared" si="14"/>
        <v>139.6</v>
      </c>
      <c r="I50" s="62">
        <f t="shared" si="14"/>
        <v>270.39999999999998</v>
      </c>
      <c r="J50" s="62">
        <f t="shared" si="14"/>
        <v>675.7</v>
      </c>
      <c r="K50" s="62">
        <f t="shared" si="14"/>
        <v>181.5</v>
      </c>
      <c r="L50" s="62">
        <f t="shared" si="14"/>
        <v>0</v>
      </c>
      <c r="M50" s="62">
        <f t="shared" si="14"/>
        <v>120.1</v>
      </c>
      <c r="N50" s="63">
        <f t="shared" si="14"/>
        <v>4.5999999999999996</v>
      </c>
      <c r="O50" s="64">
        <f t="shared" si="8"/>
        <v>1651.1</v>
      </c>
      <c r="P50" s="51">
        <f t="shared" si="9"/>
        <v>137.6</v>
      </c>
    </row>
    <row r="51" spans="2:16" ht="21.95" customHeight="1">
      <c r="B51" s="61">
        <f t="shared" ref="B51:N51" si="15">B33</f>
        <v>2021</v>
      </c>
      <c r="C51" s="62">
        <f t="shared" si="15"/>
        <v>18.899999999999999</v>
      </c>
      <c r="D51" s="62">
        <f t="shared" si="15"/>
        <v>7.1</v>
      </c>
      <c r="E51" s="62">
        <f t="shared" si="15"/>
        <v>110.9</v>
      </c>
      <c r="F51" s="62">
        <f t="shared" si="15"/>
        <v>124.1</v>
      </c>
      <c r="G51" s="62">
        <f t="shared" si="15"/>
        <v>183.1</v>
      </c>
      <c r="H51" s="62">
        <f t="shared" si="15"/>
        <v>104.6</v>
      </c>
      <c r="I51" s="62">
        <f t="shared" si="15"/>
        <v>168.3</v>
      </c>
      <c r="J51" s="62">
        <f t="shared" si="15"/>
        <v>211.2</v>
      </c>
      <c r="K51" s="62">
        <f t="shared" si="15"/>
        <v>131</v>
      </c>
      <c r="L51" s="62">
        <f t="shared" si="15"/>
        <v>57</v>
      </c>
      <c r="M51" s="62">
        <f t="shared" si="15"/>
        <v>62.4</v>
      </c>
      <c r="N51" s="63">
        <f t="shared" si="15"/>
        <v>7.9</v>
      </c>
      <c r="O51" s="64">
        <f t="shared" si="8"/>
        <v>1186.5</v>
      </c>
      <c r="P51" s="51">
        <f t="shared" si="9"/>
        <v>98.9</v>
      </c>
    </row>
    <row r="52" spans="2:16" ht="21.95" customHeight="1">
      <c r="B52" s="61">
        <f t="shared" ref="B52:N52" si="16">B34</f>
        <v>2022</v>
      </c>
      <c r="C52" s="62">
        <f t="shared" si="16"/>
        <v>5.5</v>
      </c>
      <c r="D52" s="62">
        <f t="shared" si="16"/>
        <v>4.7</v>
      </c>
      <c r="E52" s="62">
        <f t="shared" si="16"/>
        <v>102.6</v>
      </c>
      <c r="F52" s="62">
        <f t="shared" si="16"/>
        <v>20.399999999999999</v>
      </c>
      <c r="G52" s="62">
        <f t="shared" si="16"/>
        <v>7.5</v>
      </c>
      <c r="H52" s="62">
        <f t="shared" si="16"/>
        <v>393.8</v>
      </c>
      <c r="I52" s="62">
        <f t="shared" si="16"/>
        <v>252.3</v>
      </c>
      <c r="J52" s="62">
        <f t="shared" si="16"/>
        <v>564.79999999999995</v>
      </c>
      <c r="K52" s="62">
        <f t="shared" si="16"/>
        <v>201.5</v>
      </c>
      <c r="L52" s="62">
        <f t="shared" si="16"/>
        <v>124.1</v>
      </c>
      <c r="M52" s="62">
        <f t="shared" si="16"/>
        <v>84.5</v>
      </c>
      <c r="N52" s="63">
        <f t="shared" si="16"/>
        <v>13.6</v>
      </c>
      <c r="O52" s="64">
        <f t="shared" si="8"/>
        <v>1775.3</v>
      </c>
      <c r="P52" s="51">
        <f t="shared" si="9"/>
        <v>147.9</v>
      </c>
    </row>
    <row r="53" spans="2:16" ht="21.95" customHeight="1" thickBot="1">
      <c r="B53" s="65">
        <f t="shared" ref="B53:N53" si="17">B35</f>
        <v>2023</v>
      </c>
      <c r="C53" s="66">
        <f t="shared" si="17"/>
        <v>47.9</v>
      </c>
      <c r="D53" s="66">
        <f t="shared" si="17"/>
        <v>1</v>
      </c>
      <c r="E53" s="66">
        <f t="shared" si="17"/>
        <v>10.5</v>
      </c>
      <c r="F53" s="66">
        <f t="shared" si="17"/>
        <v>96.9</v>
      </c>
      <c r="G53" s="66">
        <f t="shared" si="17"/>
        <v>155.6</v>
      </c>
      <c r="H53" s="66">
        <f t="shared" si="17"/>
        <v>195.6</v>
      </c>
      <c r="I53" s="66">
        <f t="shared" si="17"/>
        <v>459.9</v>
      </c>
      <c r="J53" s="66">
        <f t="shared" si="17"/>
        <v>298.10000000000002</v>
      </c>
      <c r="K53" s="66">
        <f t="shared" si="17"/>
        <v>134.5</v>
      </c>
      <c r="L53" s="66">
        <f t="shared" si="17"/>
        <v>31</v>
      </c>
      <c r="M53" s="66">
        <f t="shared" si="17"/>
        <v>81.900000000000006</v>
      </c>
      <c r="N53" s="67">
        <f t="shared" si="17"/>
        <v>85.9</v>
      </c>
      <c r="O53" s="68">
        <f t="shared" si="8"/>
        <v>1598.8</v>
      </c>
      <c r="P53" s="56">
        <f t="shared" si="9"/>
        <v>133.19999999999999</v>
      </c>
    </row>
    <row r="54" spans="2:16" ht="21.95" customHeight="1">
      <c r="B54" s="69" t="s">
        <v>19</v>
      </c>
      <c r="C54" s="70">
        <f>MAX(C44:C53)</f>
        <v>60.5</v>
      </c>
      <c r="D54" s="70">
        <f t="shared" ref="D54:P54" si="18">MAX(D44:D53)</f>
        <v>53.1</v>
      </c>
      <c r="E54" s="70">
        <f t="shared" si="18"/>
        <v>110.9</v>
      </c>
      <c r="F54" s="70">
        <f t="shared" si="18"/>
        <v>130.30000000000001</v>
      </c>
      <c r="G54" s="70">
        <f t="shared" si="18"/>
        <v>222</v>
      </c>
      <c r="H54" s="70">
        <f t="shared" si="18"/>
        <v>393.8</v>
      </c>
      <c r="I54" s="70">
        <f t="shared" si="18"/>
        <v>621</v>
      </c>
      <c r="J54" s="70">
        <f t="shared" si="18"/>
        <v>675.7</v>
      </c>
      <c r="K54" s="70">
        <f t="shared" si="18"/>
        <v>201.5</v>
      </c>
      <c r="L54" s="70">
        <f t="shared" si="18"/>
        <v>124.1</v>
      </c>
      <c r="M54" s="70">
        <f t="shared" si="18"/>
        <v>120.1</v>
      </c>
      <c r="N54" s="71">
        <f t="shared" si="18"/>
        <v>85.9</v>
      </c>
      <c r="O54" s="72">
        <f t="shared" si="18"/>
        <v>1775.3</v>
      </c>
      <c r="P54" s="71">
        <f t="shared" si="18"/>
        <v>147.9</v>
      </c>
    </row>
    <row r="55" spans="2:16" ht="21.95" customHeight="1">
      <c r="B55" s="73" t="s">
        <v>20</v>
      </c>
      <c r="C55" s="74">
        <f>MIN(C44:C53)</f>
        <v>0</v>
      </c>
      <c r="D55" s="74">
        <f t="shared" ref="D55:P55" si="19">MIN(D44:D53)</f>
        <v>1</v>
      </c>
      <c r="E55" s="74">
        <f t="shared" si="19"/>
        <v>7.2</v>
      </c>
      <c r="F55" s="74">
        <f t="shared" si="19"/>
        <v>16.899999999999999</v>
      </c>
      <c r="G55" s="74">
        <f t="shared" si="19"/>
        <v>7.5</v>
      </c>
      <c r="H55" s="74">
        <f t="shared" si="19"/>
        <v>54.4</v>
      </c>
      <c r="I55" s="74">
        <f t="shared" si="19"/>
        <v>168.3</v>
      </c>
      <c r="J55" s="74">
        <f t="shared" si="19"/>
        <v>67.099999999999994</v>
      </c>
      <c r="K55" s="74">
        <f t="shared" si="19"/>
        <v>26</v>
      </c>
      <c r="L55" s="74">
        <f t="shared" si="19"/>
        <v>0</v>
      </c>
      <c r="M55" s="74">
        <f t="shared" si="19"/>
        <v>16.7</v>
      </c>
      <c r="N55" s="51">
        <f t="shared" si="19"/>
        <v>4.5999999999999996</v>
      </c>
      <c r="O55" s="64">
        <f>MIN(O44:O53)</f>
        <v>792.1</v>
      </c>
      <c r="P55" s="51">
        <f t="shared" si="19"/>
        <v>66</v>
      </c>
    </row>
    <row r="56" spans="2:16" ht="21.95" customHeight="1" thickBot="1">
      <c r="B56" s="75" t="s">
        <v>7</v>
      </c>
      <c r="C56" s="76">
        <f>ROUND(AVERAGE(C44:C53),1)</f>
        <v>18.2</v>
      </c>
      <c r="D56" s="76">
        <f t="shared" ref="D56:N56" si="20">ROUND(AVERAGE(D44:D53),1)</f>
        <v>21.7</v>
      </c>
      <c r="E56" s="76">
        <f t="shared" si="20"/>
        <v>38.200000000000003</v>
      </c>
      <c r="F56" s="76">
        <f t="shared" si="20"/>
        <v>68.599999999999994</v>
      </c>
      <c r="G56" s="76">
        <f t="shared" si="20"/>
        <v>98.7</v>
      </c>
      <c r="H56" s="76">
        <f t="shared" si="20"/>
        <v>139.69999999999999</v>
      </c>
      <c r="I56" s="76">
        <f t="shared" si="20"/>
        <v>294.39999999999998</v>
      </c>
      <c r="J56" s="76">
        <f t="shared" si="20"/>
        <v>275.3</v>
      </c>
      <c r="K56" s="76">
        <f t="shared" si="20"/>
        <v>103.9</v>
      </c>
      <c r="L56" s="76">
        <f t="shared" si="20"/>
        <v>62.3</v>
      </c>
      <c r="M56" s="76">
        <f t="shared" si="20"/>
        <v>71</v>
      </c>
      <c r="N56" s="56">
        <f t="shared" si="20"/>
        <v>29.4</v>
      </c>
      <c r="O56" s="68">
        <f>ROUND(AVERAGE(O44:O53),1)</f>
        <v>1221.3</v>
      </c>
      <c r="P56" s="56">
        <f>ROUND(AVERAGE(P44:P53),1)</f>
        <v>101.8</v>
      </c>
    </row>
    <row r="57" spans="2:16" ht="24" customHeight="1"/>
    <row r="85" s="77" customFormat="1"/>
    <row r="86" s="77" customFormat="1"/>
    <row r="87" s="77" customFormat="1"/>
    <row r="88" s="77" customFormat="1"/>
    <row r="118" spans="1:13">
      <c r="A118" s="3" t="s">
        <v>28</v>
      </c>
      <c r="B118" s="4">
        <v>5.4</v>
      </c>
      <c r="C118" s="3" t="s">
        <v>27</v>
      </c>
      <c r="D118" s="3">
        <v>0.4</v>
      </c>
      <c r="E118" s="3" t="s">
        <v>27</v>
      </c>
      <c r="F118" s="3" t="s">
        <v>27</v>
      </c>
      <c r="G118" s="3" t="s">
        <v>27</v>
      </c>
      <c r="H118" s="3">
        <v>0</v>
      </c>
      <c r="I118" s="3">
        <v>0</v>
      </c>
      <c r="J118" s="3" t="s">
        <v>27</v>
      </c>
      <c r="K118" s="3">
        <v>3.1</v>
      </c>
      <c r="L118" s="3" t="s">
        <v>27</v>
      </c>
      <c r="M118" s="3" t="s">
        <v>27</v>
      </c>
    </row>
    <row r="119" spans="1:13">
      <c r="A119" s="3" t="s">
        <v>29</v>
      </c>
      <c r="B119" s="4">
        <v>12.6</v>
      </c>
      <c r="C119" s="3">
        <v>27</v>
      </c>
      <c r="D119" s="3">
        <v>46.5</v>
      </c>
      <c r="E119" s="3">
        <v>119.9</v>
      </c>
      <c r="F119" s="3">
        <v>92.3</v>
      </c>
      <c r="G119" s="3">
        <v>24.4</v>
      </c>
      <c r="H119" s="3">
        <v>187.7</v>
      </c>
      <c r="I119" s="3">
        <v>232.1</v>
      </c>
      <c r="J119" s="3">
        <v>163.6</v>
      </c>
      <c r="K119" s="3">
        <v>34.200000000000003</v>
      </c>
      <c r="L119" s="3">
        <v>47.4</v>
      </c>
      <c r="M119" s="3">
        <v>49.2</v>
      </c>
    </row>
    <row r="150" spans="1:13">
      <c r="A150" s="3" t="s">
        <v>28</v>
      </c>
      <c r="B150" s="4">
        <v>0</v>
      </c>
      <c r="C150" s="3" t="s">
        <v>27</v>
      </c>
      <c r="D150" s="3">
        <v>3</v>
      </c>
      <c r="E150" s="3" t="s">
        <v>27</v>
      </c>
      <c r="F150" s="3" t="s">
        <v>27</v>
      </c>
      <c r="G150" s="3" t="s">
        <v>27</v>
      </c>
      <c r="H150" s="3" t="s">
        <v>27</v>
      </c>
      <c r="I150" s="3" t="s">
        <v>27</v>
      </c>
      <c r="J150" s="3" t="s">
        <v>27</v>
      </c>
      <c r="K150" s="3">
        <v>1.1000000000000001</v>
      </c>
      <c r="L150" s="3" t="s">
        <v>27</v>
      </c>
      <c r="M150" s="3">
        <v>3.6</v>
      </c>
    </row>
    <row r="151" spans="1:13">
      <c r="A151" s="3" t="s">
        <v>29</v>
      </c>
      <c r="B151" s="4">
        <v>8</v>
      </c>
      <c r="C151" s="3">
        <v>82.9</v>
      </c>
      <c r="D151" s="3">
        <v>40.1</v>
      </c>
      <c r="E151" s="3">
        <v>64.8</v>
      </c>
      <c r="F151" s="3">
        <v>154.9</v>
      </c>
      <c r="G151" s="3">
        <v>222.4</v>
      </c>
      <c r="H151" s="3">
        <v>295.60000000000002</v>
      </c>
      <c r="I151" s="3">
        <v>364.3</v>
      </c>
      <c r="J151" s="3">
        <v>142.4</v>
      </c>
      <c r="K151" s="3">
        <v>39.299999999999997</v>
      </c>
      <c r="L151" s="3">
        <v>93.7</v>
      </c>
      <c r="M151" s="3">
        <v>24.7</v>
      </c>
    </row>
    <row r="182" spans="1:13">
      <c r="A182" s="3" t="s">
        <v>28</v>
      </c>
      <c r="B182" s="4">
        <v>3.3</v>
      </c>
      <c r="C182" s="3" t="s">
        <v>27</v>
      </c>
      <c r="D182" s="3" t="s">
        <v>27</v>
      </c>
      <c r="E182" s="3" t="s">
        <v>27</v>
      </c>
      <c r="F182" s="3" t="s">
        <v>27</v>
      </c>
      <c r="G182" s="3" t="s">
        <v>27</v>
      </c>
      <c r="H182" s="3">
        <v>0</v>
      </c>
      <c r="I182" s="3" t="s">
        <v>27</v>
      </c>
      <c r="J182" s="3" t="s">
        <v>27</v>
      </c>
      <c r="K182" s="3" t="s">
        <v>27</v>
      </c>
      <c r="L182" s="3" t="s">
        <v>27</v>
      </c>
      <c r="M182" s="3" t="s">
        <v>27</v>
      </c>
    </row>
    <row r="183" spans="1:13">
      <c r="A183" s="3" t="s">
        <v>29</v>
      </c>
      <c r="B183" s="4">
        <v>17.899999999999999</v>
      </c>
      <c r="C183" s="3">
        <v>16.8</v>
      </c>
      <c r="D183" s="3">
        <v>46.5</v>
      </c>
      <c r="E183" s="3">
        <v>38.700000000000003</v>
      </c>
      <c r="F183" s="3">
        <v>138.4</v>
      </c>
      <c r="G183" s="3">
        <v>115.1</v>
      </c>
      <c r="H183" s="3">
        <v>105.3</v>
      </c>
      <c r="I183" s="3">
        <v>145.9</v>
      </c>
      <c r="J183" s="3">
        <v>37.9</v>
      </c>
      <c r="K183" s="3">
        <v>145.30000000000001</v>
      </c>
      <c r="L183" s="3">
        <v>24.3</v>
      </c>
      <c r="M183" s="3">
        <v>25.8</v>
      </c>
    </row>
    <row r="214" spans="1:13">
      <c r="A214" s="3" t="s">
        <v>28</v>
      </c>
      <c r="B214" s="4">
        <v>0</v>
      </c>
      <c r="C214" s="3" t="s">
        <v>27</v>
      </c>
      <c r="D214" s="3">
        <v>2.2000000000000002</v>
      </c>
      <c r="E214" s="3" t="s">
        <v>27</v>
      </c>
      <c r="F214" s="3">
        <v>0</v>
      </c>
      <c r="G214" s="3" t="s">
        <v>27</v>
      </c>
      <c r="H214" s="3">
        <v>0.4</v>
      </c>
      <c r="I214" s="3">
        <v>1.2</v>
      </c>
      <c r="J214" s="3" t="s">
        <v>27</v>
      </c>
      <c r="K214" s="3">
        <v>10.7</v>
      </c>
      <c r="L214" s="3" t="s">
        <v>27</v>
      </c>
      <c r="M214" s="3">
        <v>0.4</v>
      </c>
    </row>
    <row r="215" spans="1:13">
      <c r="A215" s="3" t="s">
        <v>29</v>
      </c>
      <c r="B215" s="4">
        <v>23.5</v>
      </c>
      <c r="C215" s="3">
        <v>16.899999999999999</v>
      </c>
      <c r="D215" s="3">
        <v>33.799999999999997</v>
      </c>
      <c r="E215" s="3">
        <v>54.7</v>
      </c>
      <c r="F215" s="3">
        <v>62.2</v>
      </c>
      <c r="G215" s="3">
        <v>33.6</v>
      </c>
      <c r="H215" s="3">
        <v>155.4</v>
      </c>
      <c r="I215" s="3">
        <v>641.9</v>
      </c>
      <c r="J215" s="3">
        <v>53.4</v>
      </c>
      <c r="K215" s="3">
        <v>36</v>
      </c>
      <c r="L215" s="3">
        <v>17.5</v>
      </c>
      <c r="M215" s="3">
        <v>7.3</v>
      </c>
    </row>
    <row r="246" spans="1:13">
      <c r="A246" s="3" t="s">
        <v>28</v>
      </c>
      <c r="B246" s="4">
        <v>0.7</v>
      </c>
      <c r="C246" s="3" t="s">
        <v>27</v>
      </c>
      <c r="D246" s="3" t="s">
        <v>27</v>
      </c>
      <c r="E246" s="3" t="s">
        <v>27</v>
      </c>
      <c r="F246" s="3" t="s">
        <v>27</v>
      </c>
      <c r="G246" s="3" t="s">
        <v>27</v>
      </c>
      <c r="H246" s="3" t="s">
        <v>27</v>
      </c>
      <c r="I246" s="3">
        <v>1.6</v>
      </c>
      <c r="J246" s="3" t="s">
        <v>27</v>
      </c>
      <c r="K246" s="3">
        <v>13.2</v>
      </c>
      <c r="L246" s="3" t="s">
        <v>27</v>
      </c>
      <c r="M246" s="3" t="s">
        <v>27</v>
      </c>
    </row>
    <row r="247" spans="1:13">
      <c r="A247" s="3" t="s">
        <v>29</v>
      </c>
      <c r="B247" s="4">
        <v>32.700000000000003</v>
      </c>
      <c r="C247" s="3">
        <v>4.4000000000000004</v>
      </c>
      <c r="D247" s="3">
        <v>138</v>
      </c>
      <c r="E247" s="3">
        <v>49.8</v>
      </c>
      <c r="F247" s="3">
        <v>62.9</v>
      </c>
      <c r="G247" s="3">
        <v>411.4</v>
      </c>
      <c r="H247" s="3">
        <v>257.7</v>
      </c>
      <c r="I247" s="3">
        <v>114.4</v>
      </c>
      <c r="J247" s="3">
        <v>11.4</v>
      </c>
      <c r="K247" s="3">
        <v>90.8</v>
      </c>
      <c r="L247" s="3">
        <v>77.099999999999994</v>
      </c>
      <c r="M247" s="3">
        <v>28.6</v>
      </c>
    </row>
    <row r="278" spans="1:13">
      <c r="A278" s="3" t="s">
        <v>28</v>
      </c>
      <c r="B278" s="4">
        <v>0</v>
      </c>
      <c r="C278" s="3" t="s">
        <v>27</v>
      </c>
      <c r="D278" s="3" t="s">
        <v>27</v>
      </c>
      <c r="E278" s="3" t="s">
        <v>27</v>
      </c>
      <c r="F278" s="3" t="s">
        <v>27</v>
      </c>
      <c r="G278" s="3" t="s">
        <v>27</v>
      </c>
      <c r="H278" s="3" t="s">
        <v>27</v>
      </c>
      <c r="I278" s="3" t="s">
        <v>27</v>
      </c>
      <c r="J278" s="3" t="s">
        <v>27</v>
      </c>
      <c r="K278" s="3" t="s">
        <v>27</v>
      </c>
      <c r="L278" s="3" t="s">
        <v>27</v>
      </c>
      <c r="M278" s="3" t="s">
        <v>27</v>
      </c>
    </row>
    <row r="279" spans="1:13">
      <c r="A279" s="3" t="s">
        <v>29</v>
      </c>
      <c r="B279" s="4">
        <v>15.6</v>
      </c>
      <c r="C279" s="3">
        <v>51.1</v>
      </c>
      <c r="D279" s="3">
        <v>37.1</v>
      </c>
      <c r="E279" s="3">
        <v>55.4</v>
      </c>
      <c r="F279" s="3">
        <v>200.9</v>
      </c>
      <c r="G279" s="3">
        <v>267.5</v>
      </c>
      <c r="H279" s="3">
        <v>424.2</v>
      </c>
      <c r="I279" s="3">
        <v>463.5</v>
      </c>
      <c r="J279" s="3">
        <v>30.2</v>
      </c>
      <c r="K279" s="3">
        <v>7.7</v>
      </c>
      <c r="L279" s="3">
        <v>168.2</v>
      </c>
      <c r="M279" s="3">
        <v>44.5</v>
      </c>
    </row>
    <row r="310" spans="1:13">
      <c r="A310" s="3" t="s">
        <v>28</v>
      </c>
      <c r="B310" s="4" t="s">
        <v>27</v>
      </c>
      <c r="C310" s="3" t="s">
        <v>27</v>
      </c>
      <c r="D310" s="3" t="s">
        <v>27</v>
      </c>
      <c r="E310" s="3" t="s">
        <v>27</v>
      </c>
      <c r="F310" s="3" t="s">
        <v>27</v>
      </c>
      <c r="G310" s="3" t="s">
        <v>27</v>
      </c>
      <c r="H310" s="3">
        <v>22.6</v>
      </c>
      <c r="I310" s="3">
        <v>8.1</v>
      </c>
      <c r="J310" s="3" t="s">
        <v>27</v>
      </c>
      <c r="K310" s="3" t="s">
        <v>27</v>
      </c>
      <c r="L310" s="3" t="s">
        <v>27</v>
      </c>
      <c r="M310" s="3" t="s">
        <v>27</v>
      </c>
    </row>
    <row r="311" spans="1:13">
      <c r="A311" s="3" t="s">
        <v>29</v>
      </c>
      <c r="B311" s="4">
        <v>33.299999999999997</v>
      </c>
      <c r="C311" s="3">
        <v>36.299999999999997</v>
      </c>
      <c r="D311" s="3">
        <v>31.1</v>
      </c>
      <c r="E311" s="3">
        <v>154.30000000000001</v>
      </c>
      <c r="F311" s="3">
        <v>119.5</v>
      </c>
      <c r="G311" s="3">
        <v>297.2</v>
      </c>
      <c r="H311" s="3">
        <v>256.10000000000002</v>
      </c>
      <c r="I311" s="3">
        <v>781.7</v>
      </c>
      <c r="J311" s="3">
        <v>254.7</v>
      </c>
      <c r="K311" s="3">
        <v>71.5</v>
      </c>
      <c r="L311" s="3">
        <v>31.6</v>
      </c>
      <c r="M311" s="3">
        <v>2.7</v>
      </c>
    </row>
    <row r="342" spans="1:13">
      <c r="A342" s="3" t="s">
        <v>28</v>
      </c>
      <c r="B342" s="4" t="s">
        <v>27</v>
      </c>
      <c r="C342" s="3" t="s">
        <v>27</v>
      </c>
      <c r="D342" s="3" t="s">
        <v>27</v>
      </c>
      <c r="E342" s="3" t="s">
        <v>27</v>
      </c>
      <c r="F342" s="3" t="s">
        <v>27</v>
      </c>
      <c r="G342" s="3" t="s">
        <v>27</v>
      </c>
      <c r="H342" s="3">
        <v>1.4</v>
      </c>
      <c r="I342" s="3">
        <v>8.1999999999999993</v>
      </c>
      <c r="J342" s="3" t="s">
        <v>27</v>
      </c>
      <c r="K342" s="3">
        <v>28.7</v>
      </c>
      <c r="L342" s="3" t="s">
        <v>27</v>
      </c>
      <c r="M342" s="3" t="s">
        <v>27</v>
      </c>
    </row>
    <row r="343" spans="1:13">
      <c r="A343" s="3" t="s">
        <v>29</v>
      </c>
      <c r="B343" s="4">
        <v>1.8</v>
      </c>
      <c r="C343" s="3">
        <v>12.2</v>
      </c>
      <c r="D343" s="3">
        <v>79.400000000000006</v>
      </c>
      <c r="E343" s="3">
        <v>103</v>
      </c>
      <c r="F343" s="3">
        <v>116.8</v>
      </c>
      <c r="G343" s="3">
        <v>245.7</v>
      </c>
      <c r="H343" s="3">
        <v>137.80000000000001</v>
      </c>
      <c r="I343" s="3">
        <v>203</v>
      </c>
      <c r="J343" s="3">
        <v>359.5</v>
      </c>
      <c r="K343" s="3">
        <v>171.6</v>
      </c>
      <c r="L343" s="3">
        <v>16.5</v>
      </c>
      <c r="M343" s="3">
        <v>7.9</v>
      </c>
    </row>
    <row r="374" spans="1:13">
      <c r="A374" s="3" t="s">
        <v>28</v>
      </c>
      <c r="B374" s="4">
        <v>0</v>
      </c>
      <c r="C374" s="3" t="s">
        <v>27</v>
      </c>
      <c r="D374" s="3" t="s">
        <v>27</v>
      </c>
      <c r="E374" s="3" t="s">
        <v>27</v>
      </c>
      <c r="F374" s="3" t="s">
        <v>27</v>
      </c>
      <c r="G374" s="3" t="s">
        <v>27</v>
      </c>
      <c r="H374" s="3">
        <v>43.5</v>
      </c>
      <c r="I374" s="3">
        <v>13.9</v>
      </c>
      <c r="J374" s="3" t="s">
        <v>27</v>
      </c>
      <c r="K374" s="3" t="s">
        <v>27</v>
      </c>
      <c r="L374" s="3" t="s">
        <v>27</v>
      </c>
      <c r="M374" s="3" t="s">
        <v>27</v>
      </c>
    </row>
    <row r="375" spans="1:13">
      <c r="A375" s="3" t="s">
        <v>29</v>
      </c>
      <c r="B375" s="4">
        <v>27.5</v>
      </c>
      <c r="C375" s="3">
        <v>4.0999999999999996</v>
      </c>
      <c r="D375" s="3">
        <v>17.8</v>
      </c>
      <c r="E375" s="3">
        <v>67.8</v>
      </c>
      <c r="F375" s="3">
        <v>54.3</v>
      </c>
      <c r="G375" s="3">
        <v>238.3</v>
      </c>
      <c r="H375" s="3">
        <v>470.1</v>
      </c>
      <c r="I375" s="3">
        <v>473.6</v>
      </c>
      <c r="J375" s="3">
        <v>263.2</v>
      </c>
      <c r="K375" s="3">
        <v>24.6</v>
      </c>
      <c r="L375" s="3">
        <v>44.6</v>
      </c>
      <c r="M375" s="3">
        <v>21.6</v>
      </c>
    </row>
    <row r="406" spans="1:13">
      <c r="A406" s="3" t="s">
        <v>28</v>
      </c>
      <c r="B406" s="4">
        <v>0.8</v>
      </c>
      <c r="C406" s="3" t="s">
        <v>27</v>
      </c>
      <c r="D406" s="3" t="s">
        <v>27</v>
      </c>
      <c r="E406" s="3" t="s">
        <v>27</v>
      </c>
      <c r="F406" s="3" t="s">
        <v>27</v>
      </c>
      <c r="G406" s="3" t="s">
        <v>27</v>
      </c>
      <c r="H406" s="3">
        <v>1.3</v>
      </c>
      <c r="I406" s="3" t="s">
        <v>27</v>
      </c>
      <c r="J406" s="3" t="s">
        <v>27</v>
      </c>
      <c r="K406" s="3" t="s">
        <v>27</v>
      </c>
      <c r="L406" s="3" t="s">
        <v>27</v>
      </c>
      <c r="M406" s="3">
        <v>0.2</v>
      </c>
    </row>
    <row r="407" spans="1:13">
      <c r="A407" s="3" t="s">
        <v>29</v>
      </c>
      <c r="B407" s="4">
        <v>61.2</v>
      </c>
      <c r="C407" s="3">
        <v>70</v>
      </c>
      <c r="D407" s="3">
        <v>16</v>
      </c>
      <c r="E407" s="3">
        <v>20.399999999999999</v>
      </c>
      <c r="F407" s="3">
        <v>30.2</v>
      </c>
      <c r="G407" s="3">
        <v>234.2</v>
      </c>
      <c r="H407" s="3">
        <v>171</v>
      </c>
      <c r="I407" s="3">
        <v>78.099999999999994</v>
      </c>
      <c r="J407" s="3">
        <v>25.2</v>
      </c>
      <c r="K407" s="3">
        <v>91.2</v>
      </c>
      <c r="L407" s="3">
        <v>10.8</v>
      </c>
      <c r="M407" s="3">
        <v>20.399999999999999</v>
      </c>
    </row>
    <row r="438" spans="1:13">
      <c r="A438" s="3" t="s">
        <v>28</v>
      </c>
      <c r="B438" s="4" t="s">
        <v>27</v>
      </c>
      <c r="C438" s="3" t="s">
        <v>27</v>
      </c>
      <c r="D438" s="3" t="s">
        <v>27</v>
      </c>
      <c r="E438" s="3" t="s">
        <v>27</v>
      </c>
      <c r="F438" s="3" t="s">
        <v>27</v>
      </c>
      <c r="G438" s="3" t="s">
        <v>27</v>
      </c>
      <c r="H438" s="3" t="s">
        <v>27</v>
      </c>
      <c r="I438" s="3">
        <v>121</v>
      </c>
      <c r="J438" s="3" t="s">
        <v>27</v>
      </c>
      <c r="K438" s="3" t="s">
        <v>27</v>
      </c>
      <c r="L438" s="3" t="s">
        <v>27</v>
      </c>
      <c r="M438" s="3" t="s">
        <v>27</v>
      </c>
    </row>
    <row r="439" spans="1:13">
      <c r="A439" s="3" t="s">
        <v>29</v>
      </c>
      <c r="B439" s="4">
        <v>92.1</v>
      </c>
      <c r="C439" s="3">
        <v>12</v>
      </c>
      <c r="D439" s="3">
        <v>33.5</v>
      </c>
      <c r="E439" s="3">
        <v>155.5</v>
      </c>
      <c r="F439" s="3">
        <v>130.5</v>
      </c>
      <c r="G439" s="3">
        <v>55.4</v>
      </c>
      <c r="H439" s="3">
        <v>149.1</v>
      </c>
      <c r="I439" s="3">
        <v>538.79999999999995</v>
      </c>
      <c r="J439" s="3">
        <v>77</v>
      </c>
      <c r="K439" s="3">
        <v>67.8</v>
      </c>
      <c r="L439" s="3">
        <v>24</v>
      </c>
      <c r="M439" s="3">
        <v>43</v>
      </c>
    </row>
    <row r="470" spans="1:13">
      <c r="A470" s="3" t="s">
        <v>28</v>
      </c>
      <c r="B470" s="4" t="s">
        <v>27</v>
      </c>
      <c r="C470" s="3" t="s">
        <v>27</v>
      </c>
      <c r="D470" s="3">
        <v>0</v>
      </c>
      <c r="E470" s="3" t="s">
        <v>27</v>
      </c>
      <c r="F470" s="3" t="s">
        <v>27</v>
      </c>
      <c r="G470" s="3" t="s">
        <v>27</v>
      </c>
      <c r="H470" s="3" t="s">
        <v>27</v>
      </c>
      <c r="I470" s="3">
        <v>2.5</v>
      </c>
      <c r="J470" s="3" t="s">
        <v>27</v>
      </c>
      <c r="K470" s="3" t="s">
        <v>27</v>
      </c>
      <c r="L470" s="3" t="s">
        <v>27</v>
      </c>
      <c r="M470" s="3">
        <v>0</v>
      </c>
    </row>
    <row r="471" spans="1:13">
      <c r="A471" s="3" t="s">
        <v>29</v>
      </c>
      <c r="B471" s="4">
        <v>11.2</v>
      </c>
      <c r="C471" s="3">
        <v>59.2</v>
      </c>
      <c r="D471" s="3">
        <v>44.2</v>
      </c>
      <c r="E471" s="3">
        <v>217.5</v>
      </c>
      <c r="F471" s="3">
        <v>119.5</v>
      </c>
      <c r="G471" s="3">
        <v>186.4</v>
      </c>
      <c r="H471" s="3">
        <v>576.29999999999995</v>
      </c>
      <c r="I471" s="3">
        <v>254.9</v>
      </c>
      <c r="J471" s="3">
        <v>208.5</v>
      </c>
      <c r="K471" s="3">
        <v>21.5</v>
      </c>
      <c r="L471" s="3">
        <v>32.6</v>
      </c>
      <c r="M471" s="3">
        <v>17.100000000000001</v>
      </c>
    </row>
    <row r="502" spans="1:13">
      <c r="A502" s="3" t="s">
        <v>28</v>
      </c>
      <c r="B502" s="4" t="s">
        <v>27</v>
      </c>
      <c r="C502" s="3" t="s">
        <v>27</v>
      </c>
      <c r="D502" s="3" t="s">
        <v>27</v>
      </c>
      <c r="E502" s="3" t="s">
        <v>27</v>
      </c>
      <c r="F502" s="3">
        <v>0.5</v>
      </c>
      <c r="G502" s="3" t="s">
        <v>27</v>
      </c>
      <c r="H502" s="3" t="s">
        <v>27</v>
      </c>
      <c r="I502" s="3" t="s">
        <v>27</v>
      </c>
      <c r="J502" s="3" t="s">
        <v>27</v>
      </c>
      <c r="K502" s="3" t="s">
        <v>27</v>
      </c>
      <c r="L502" s="3" t="s">
        <v>27</v>
      </c>
      <c r="M502" s="3" t="s">
        <v>27</v>
      </c>
    </row>
    <row r="503" spans="1:13">
      <c r="A503" s="3" t="s">
        <v>29</v>
      </c>
      <c r="B503" s="4">
        <v>10.9</v>
      </c>
      <c r="C503" s="3">
        <v>30.6</v>
      </c>
      <c r="D503" s="3">
        <v>83.2</v>
      </c>
      <c r="E503" s="3">
        <v>73.099999999999994</v>
      </c>
      <c r="F503" s="3">
        <v>109</v>
      </c>
      <c r="G503" s="3">
        <v>383.5</v>
      </c>
      <c r="H503" s="3">
        <v>391</v>
      </c>
      <c r="I503" s="3">
        <v>198.3</v>
      </c>
      <c r="J503" s="3">
        <v>133.69999999999999</v>
      </c>
      <c r="K503" s="3">
        <v>5</v>
      </c>
      <c r="L503" s="3">
        <v>37.1</v>
      </c>
      <c r="M503" s="3">
        <v>41.1</v>
      </c>
    </row>
    <row r="534" spans="1:13">
      <c r="A534" s="3" t="s">
        <v>28</v>
      </c>
      <c r="B534" s="4">
        <v>1.1000000000000001</v>
      </c>
      <c r="C534" s="3" t="s">
        <v>27</v>
      </c>
      <c r="D534" s="3" t="s">
        <v>27</v>
      </c>
      <c r="E534" s="3" t="s">
        <v>27</v>
      </c>
      <c r="F534" s="3" t="s">
        <v>27</v>
      </c>
      <c r="G534" s="3" t="s">
        <v>27</v>
      </c>
      <c r="H534" s="3">
        <v>15</v>
      </c>
      <c r="I534" s="3" t="s">
        <v>27</v>
      </c>
      <c r="J534" s="3" t="s">
        <v>27</v>
      </c>
      <c r="K534" s="3" t="s">
        <v>27</v>
      </c>
      <c r="L534" s="3" t="s">
        <v>27</v>
      </c>
      <c r="M534" s="3" t="s">
        <v>27</v>
      </c>
    </row>
    <row r="535" spans="1:13">
      <c r="A535" s="3" t="s">
        <v>29</v>
      </c>
      <c r="B535" s="4">
        <v>6</v>
      </c>
      <c r="C535" s="3">
        <v>37.5</v>
      </c>
      <c r="D535" s="3">
        <v>38.799999999999997</v>
      </c>
      <c r="E535" s="3">
        <v>48.5</v>
      </c>
      <c r="F535" s="3">
        <v>60.5</v>
      </c>
      <c r="G535" s="3">
        <v>209.6</v>
      </c>
      <c r="H535" s="3">
        <v>463.3</v>
      </c>
      <c r="I535" s="3">
        <v>499.5</v>
      </c>
      <c r="J535" s="3">
        <v>226.4</v>
      </c>
      <c r="K535" s="3">
        <v>30.5</v>
      </c>
      <c r="L535" s="3">
        <v>20.3</v>
      </c>
      <c r="M535" s="3">
        <v>15.2</v>
      </c>
    </row>
    <row r="566" spans="1:13">
      <c r="A566" s="3" t="s">
        <v>28</v>
      </c>
      <c r="B566" s="4">
        <v>10.5</v>
      </c>
      <c r="C566" s="3" t="s">
        <v>27</v>
      </c>
      <c r="D566" s="3" t="s">
        <v>27</v>
      </c>
      <c r="E566" s="3" t="s">
        <v>27</v>
      </c>
      <c r="F566" s="3" t="s">
        <v>27</v>
      </c>
      <c r="G566" s="3" t="s">
        <v>27</v>
      </c>
      <c r="H566" s="3" t="s">
        <v>27</v>
      </c>
      <c r="I566" s="3" t="s">
        <v>27</v>
      </c>
      <c r="J566" s="3" t="s">
        <v>27</v>
      </c>
      <c r="K566" s="3" t="s">
        <v>27</v>
      </c>
      <c r="L566" s="3" t="s">
        <v>27</v>
      </c>
      <c r="M566" s="3" t="s">
        <v>27</v>
      </c>
    </row>
    <row r="567" spans="1:13">
      <c r="A567" s="3" t="s">
        <v>29</v>
      </c>
      <c r="B567" s="4">
        <v>31.2</v>
      </c>
      <c r="C567" s="3">
        <v>33.1</v>
      </c>
      <c r="D567" s="3">
        <v>8.1</v>
      </c>
      <c r="E567" s="3">
        <v>94.2</v>
      </c>
      <c r="F567" s="3">
        <v>119.7</v>
      </c>
      <c r="G567" s="3">
        <v>131</v>
      </c>
      <c r="H567" s="3">
        <v>531</v>
      </c>
      <c r="I567" s="3">
        <v>113.6</v>
      </c>
      <c r="J567" s="3">
        <v>24.1</v>
      </c>
      <c r="K567" s="3">
        <v>19.3</v>
      </c>
      <c r="L567" s="3">
        <v>60</v>
      </c>
      <c r="M567" s="3">
        <v>29.9</v>
      </c>
    </row>
    <row r="598" spans="1:13">
      <c r="A598" s="3" t="s">
        <v>28</v>
      </c>
      <c r="B598" s="4">
        <v>0.7</v>
      </c>
      <c r="C598" s="3" t="s">
        <v>27</v>
      </c>
      <c r="D598" s="3">
        <v>11</v>
      </c>
      <c r="E598" s="3" t="s">
        <v>27</v>
      </c>
      <c r="F598" s="3" t="s">
        <v>27</v>
      </c>
      <c r="G598" s="3" t="s">
        <v>27</v>
      </c>
      <c r="H598" s="3" t="s">
        <v>27</v>
      </c>
      <c r="I598" s="3">
        <v>0.5</v>
      </c>
      <c r="J598" s="3" t="s">
        <v>27</v>
      </c>
      <c r="K598" s="3" t="s">
        <v>27</v>
      </c>
      <c r="L598" s="3" t="s">
        <v>27</v>
      </c>
      <c r="M598" s="3">
        <v>1.7</v>
      </c>
    </row>
    <row r="599" spans="1:13">
      <c r="A599" s="3" t="s">
        <v>29</v>
      </c>
      <c r="B599" s="4">
        <v>14</v>
      </c>
      <c r="C599" s="3">
        <v>45</v>
      </c>
      <c r="D599" s="3">
        <v>117.5</v>
      </c>
      <c r="E599" s="3">
        <v>28.6</v>
      </c>
      <c r="F599" s="3">
        <v>130.1</v>
      </c>
      <c r="G599" s="3">
        <v>133</v>
      </c>
      <c r="H599" s="3">
        <v>275.7</v>
      </c>
      <c r="I599" s="3">
        <v>373</v>
      </c>
      <c r="J599" s="3">
        <v>549.9</v>
      </c>
      <c r="K599" s="3">
        <v>47.4</v>
      </c>
      <c r="L599" s="3">
        <v>9.8000000000000007</v>
      </c>
      <c r="M599" s="3">
        <v>26.9</v>
      </c>
    </row>
    <row r="630" spans="1:13">
      <c r="A630" s="3" t="s">
        <v>28</v>
      </c>
      <c r="B630" s="4" t="s">
        <v>27</v>
      </c>
      <c r="C630" s="3" t="s">
        <v>27</v>
      </c>
      <c r="D630" s="3" t="s">
        <v>27</v>
      </c>
      <c r="E630" s="3" t="s">
        <v>27</v>
      </c>
      <c r="F630" s="3" t="s">
        <v>27</v>
      </c>
      <c r="G630" s="3" t="s">
        <v>27</v>
      </c>
      <c r="H630" s="3">
        <v>0</v>
      </c>
      <c r="I630" s="3" t="s">
        <v>27</v>
      </c>
      <c r="J630" s="3" t="s">
        <v>27</v>
      </c>
      <c r="K630" s="3">
        <v>5.5</v>
      </c>
      <c r="L630" s="3" t="s">
        <v>27</v>
      </c>
      <c r="M630" s="3" t="s">
        <v>27</v>
      </c>
    </row>
    <row r="631" spans="1:13">
      <c r="A631" s="3" t="s">
        <v>29</v>
      </c>
      <c r="B631" s="4">
        <v>45.3</v>
      </c>
      <c r="C631" s="3">
        <v>9.1</v>
      </c>
      <c r="D631" s="3">
        <v>29.1</v>
      </c>
      <c r="E631" s="3">
        <v>34.4</v>
      </c>
      <c r="F631" s="3">
        <v>59.2</v>
      </c>
      <c r="G631" s="3">
        <v>148.30000000000001</v>
      </c>
      <c r="H631" s="3">
        <v>253.4</v>
      </c>
      <c r="I631" s="3">
        <v>325.2</v>
      </c>
      <c r="J631" s="3">
        <v>85.5</v>
      </c>
      <c r="K631" s="3">
        <v>19.600000000000001</v>
      </c>
      <c r="L631" s="3">
        <v>12.1</v>
      </c>
      <c r="M631" s="3">
        <v>16.399999999999999</v>
      </c>
    </row>
    <row r="662" spans="1:13">
      <c r="A662" s="3" t="s">
        <v>28</v>
      </c>
      <c r="B662" s="4" t="s">
        <v>27</v>
      </c>
      <c r="C662" s="3" t="s">
        <v>27</v>
      </c>
      <c r="D662" s="3">
        <v>4.5</v>
      </c>
      <c r="E662" s="3" t="s">
        <v>27</v>
      </c>
      <c r="F662" s="3" t="s">
        <v>27</v>
      </c>
      <c r="G662" s="3" t="s">
        <v>27</v>
      </c>
      <c r="H662" s="3" t="s">
        <v>27</v>
      </c>
      <c r="I662" s="3" t="s">
        <v>27</v>
      </c>
      <c r="J662" s="3" t="s">
        <v>27</v>
      </c>
      <c r="K662" s="3">
        <v>6.5</v>
      </c>
      <c r="L662" s="3" t="s">
        <v>27</v>
      </c>
      <c r="M662" s="3">
        <v>1.5</v>
      </c>
    </row>
    <row r="663" spans="1:13">
      <c r="A663" s="3" t="s">
        <v>29</v>
      </c>
      <c r="B663" s="4">
        <v>15.4</v>
      </c>
      <c r="C663" s="3">
        <v>27.5</v>
      </c>
      <c r="D663" s="3">
        <v>60.3</v>
      </c>
      <c r="E663" s="3">
        <v>34.5</v>
      </c>
      <c r="F663" s="3">
        <v>124.3</v>
      </c>
      <c r="G663" s="3">
        <v>87.3</v>
      </c>
      <c r="H663" s="3">
        <v>429.2</v>
      </c>
      <c r="I663" s="3">
        <v>148.30000000000001</v>
      </c>
      <c r="J663" s="3">
        <v>46</v>
      </c>
      <c r="K663" s="3">
        <v>24.7</v>
      </c>
      <c r="L663" s="3">
        <v>54.7</v>
      </c>
      <c r="M663" s="3">
        <v>38.200000000000003</v>
      </c>
    </row>
    <row r="694" spans="1:13">
      <c r="A694" s="3" t="s">
        <v>28</v>
      </c>
      <c r="B694" s="4" t="s">
        <v>27</v>
      </c>
      <c r="C694" s="3" t="s">
        <v>27</v>
      </c>
      <c r="D694" s="3">
        <v>32.5</v>
      </c>
      <c r="E694" s="3" t="s">
        <v>27</v>
      </c>
      <c r="F694" s="3" t="s">
        <v>27</v>
      </c>
      <c r="G694" s="3" t="s">
        <v>27</v>
      </c>
      <c r="H694" s="3" t="s">
        <v>27</v>
      </c>
      <c r="I694" s="3">
        <v>57</v>
      </c>
      <c r="J694" s="3" t="s">
        <v>27</v>
      </c>
      <c r="K694" s="3" t="s">
        <v>27</v>
      </c>
      <c r="L694" s="3" t="s">
        <v>27</v>
      </c>
      <c r="M694" s="3">
        <v>0</v>
      </c>
    </row>
    <row r="695" spans="1:13">
      <c r="A695" s="3" t="s">
        <v>29</v>
      </c>
      <c r="B695" s="4">
        <v>46.4</v>
      </c>
      <c r="C695" s="3">
        <v>81.5</v>
      </c>
      <c r="D695" s="3">
        <v>100.1</v>
      </c>
      <c r="E695" s="3">
        <v>88.5</v>
      </c>
      <c r="F695" s="3">
        <v>117.6</v>
      </c>
      <c r="G695" s="3">
        <v>65.599999999999994</v>
      </c>
      <c r="H695" s="3">
        <v>223.1</v>
      </c>
      <c r="I695" s="3">
        <v>376.4</v>
      </c>
      <c r="J695" s="3">
        <v>250.5</v>
      </c>
      <c r="K695" s="3">
        <v>17.899999999999999</v>
      </c>
      <c r="L695" s="3">
        <v>16.399999999999999</v>
      </c>
      <c r="M695" s="3">
        <v>35.700000000000003</v>
      </c>
    </row>
    <row r="726" spans="1:13">
      <c r="A726" s="3" t="s">
        <v>28</v>
      </c>
      <c r="B726" s="4" t="s">
        <v>27</v>
      </c>
      <c r="C726" s="3" t="s">
        <v>27</v>
      </c>
      <c r="D726" s="3" t="s">
        <v>27</v>
      </c>
      <c r="E726" s="3" t="s">
        <v>27</v>
      </c>
      <c r="F726" s="3">
        <v>0</v>
      </c>
      <c r="G726" s="3" t="s">
        <v>27</v>
      </c>
      <c r="H726" s="3">
        <v>10</v>
      </c>
      <c r="I726" s="3" t="s">
        <v>27</v>
      </c>
      <c r="J726" s="3" t="s">
        <v>27</v>
      </c>
      <c r="K726" s="3" t="s">
        <v>27</v>
      </c>
      <c r="L726" s="3" t="s">
        <v>27</v>
      </c>
      <c r="M726" s="3" t="s">
        <v>27</v>
      </c>
    </row>
    <row r="727" spans="1:13">
      <c r="A727" s="3" t="s">
        <v>29</v>
      </c>
      <c r="B727" s="4">
        <v>4</v>
      </c>
      <c r="C727" s="3">
        <v>44.8</v>
      </c>
      <c r="D727" s="3">
        <v>19</v>
      </c>
      <c r="E727" s="3">
        <v>71</v>
      </c>
      <c r="F727" s="3">
        <v>162</v>
      </c>
      <c r="G727" s="3">
        <v>391.6</v>
      </c>
      <c r="H727" s="3">
        <v>587.29999999999995</v>
      </c>
      <c r="I727" s="3">
        <v>420.3</v>
      </c>
      <c r="J727" s="3">
        <v>91.7</v>
      </c>
      <c r="K727" s="3">
        <v>37</v>
      </c>
      <c r="L727" s="3">
        <v>103.2</v>
      </c>
      <c r="M727" s="3">
        <v>11.5</v>
      </c>
    </row>
    <row r="758" spans="1:13">
      <c r="A758" s="3" t="s">
        <v>28</v>
      </c>
      <c r="B758" s="4">
        <v>5.6</v>
      </c>
      <c r="C758" s="3" t="s">
        <v>27</v>
      </c>
      <c r="D758" s="3">
        <v>0.2</v>
      </c>
      <c r="E758" s="3" t="s">
        <v>27</v>
      </c>
      <c r="F758" s="3" t="s">
        <v>27</v>
      </c>
      <c r="G758" s="3" t="s">
        <v>27</v>
      </c>
      <c r="H758" s="3" t="s">
        <v>27</v>
      </c>
      <c r="I758" s="3" t="s">
        <v>27</v>
      </c>
      <c r="J758" s="3" t="s">
        <v>27</v>
      </c>
      <c r="K758" s="3">
        <v>0.1</v>
      </c>
      <c r="L758" s="3" t="s">
        <v>27</v>
      </c>
      <c r="M758" s="3" t="s">
        <v>27</v>
      </c>
    </row>
    <row r="759" spans="1:13">
      <c r="A759" s="3" t="s">
        <v>29</v>
      </c>
      <c r="B759" s="4">
        <v>16.399999999999999</v>
      </c>
      <c r="C759" s="3">
        <v>2.5</v>
      </c>
      <c r="D759" s="3">
        <v>54.6</v>
      </c>
      <c r="E759" s="3">
        <v>66.2</v>
      </c>
      <c r="F759" s="3">
        <v>24</v>
      </c>
      <c r="G759" s="3">
        <v>57.8</v>
      </c>
      <c r="H759" s="3">
        <v>277.60000000000002</v>
      </c>
      <c r="I759" s="3">
        <v>463.6</v>
      </c>
      <c r="J759" s="3">
        <v>242.5</v>
      </c>
      <c r="K759" s="3">
        <v>81.3</v>
      </c>
      <c r="L759" s="3">
        <v>58.4</v>
      </c>
      <c r="M759" s="3">
        <v>64.599999999999994</v>
      </c>
    </row>
    <row r="790" spans="1:13">
      <c r="A790" s="3" t="s">
        <v>28</v>
      </c>
      <c r="B790" s="4">
        <v>0.1</v>
      </c>
      <c r="C790" s="3" t="s">
        <v>27</v>
      </c>
      <c r="D790" s="3">
        <v>0</v>
      </c>
      <c r="E790" s="3" t="s">
        <v>27</v>
      </c>
      <c r="F790" s="3" t="s">
        <v>27</v>
      </c>
      <c r="G790" s="3" t="s">
        <v>27</v>
      </c>
      <c r="H790" s="3">
        <v>15.5</v>
      </c>
      <c r="I790" s="3" t="s">
        <v>27</v>
      </c>
      <c r="J790" s="3" t="s">
        <v>27</v>
      </c>
      <c r="K790" s="3" t="s">
        <v>27</v>
      </c>
      <c r="L790" s="3" t="s">
        <v>27</v>
      </c>
      <c r="M790" s="3" t="s">
        <v>27</v>
      </c>
    </row>
    <row r="791" spans="1:13">
      <c r="A791" s="3" t="s">
        <v>29</v>
      </c>
      <c r="B791" s="4">
        <v>46.2</v>
      </c>
      <c r="C791" s="3">
        <v>54.2</v>
      </c>
      <c r="D791" s="3">
        <v>52.8</v>
      </c>
      <c r="E791" s="3">
        <v>86.8</v>
      </c>
      <c r="F791" s="3">
        <v>110.4</v>
      </c>
      <c r="G791" s="3">
        <v>162.6</v>
      </c>
      <c r="H791" s="3">
        <v>218.7</v>
      </c>
      <c r="I791" s="3">
        <v>126.6</v>
      </c>
      <c r="J791" s="3">
        <v>146.4</v>
      </c>
      <c r="K791" s="3">
        <v>19.899999999999999</v>
      </c>
      <c r="L791" s="3">
        <v>63.5</v>
      </c>
      <c r="M791" s="3">
        <v>32.799999999999997</v>
      </c>
    </row>
    <row r="822" spans="1:13">
      <c r="A822" s="3" t="s">
        <v>28</v>
      </c>
      <c r="B822" s="4" t="s">
        <v>27</v>
      </c>
      <c r="C822" s="3" t="s">
        <v>27</v>
      </c>
      <c r="D822" s="3" t="s">
        <v>27</v>
      </c>
      <c r="E822" s="3" t="s">
        <v>27</v>
      </c>
      <c r="F822" s="3" t="s">
        <v>27</v>
      </c>
      <c r="G822" s="3" t="s">
        <v>27</v>
      </c>
      <c r="H822" s="3">
        <v>10.6</v>
      </c>
      <c r="I822" s="3" t="s">
        <v>27</v>
      </c>
      <c r="J822" s="3" t="s">
        <v>27</v>
      </c>
      <c r="K822" s="3">
        <v>54.2</v>
      </c>
      <c r="L822" s="3" t="s">
        <v>27</v>
      </c>
      <c r="M822" s="3">
        <v>1.5</v>
      </c>
    </row>
    <row r="823" spans="1:13">
      <c r="A823" s="3" t="s">
        <v>29</v>
      </c>
      <c r="B823" s="4">
        <v>6.5</v>
      </c>
      <c r="C823" s="3">
        <v>8.5</v>
      </c>
      <c r="D823" s="3">
        <v>67.2</v>
      </c>
      <c r="E823" s="3">
        <v>59.4</v>
      </c>
      <c r="F823" s="3">
        <v>49.7</v>
      </c>
      <c r="G823" s="3">
        <v>143.69999999999999</v>
      </c>
      <c r="H823" s="3">
        <v>177.2</v>
      </c>
      <c r="I823" s="3">
        <v>240.9</v>
      </c>
      <c r="J823" s="3">
        <v>118</v>
      </c>
      <c r="K823" s="3">
        <v>169.4</v>
      </c>
      <c r="L823" s="3">
        <v>40.700000000000003</v>
      </c>
      <c r="M823" s="3">
        <v>36.700000000000003</v>
      </c>
    </row>
    <row r="854" spans="1:13">
      <c r="A854" s="3" t="s">
        <v>28</v>
      </c>
      <c r="B854" s="4" t="s">
        <v>27</v>
      </c>
      <c r="C854" s="3" t="s">
        <v>27</v>
      </c>
      <c r="D854" s="3">
        <v>5.5</v>
      </c>
      <c r="E854" s="3" t="s">
        <v>27</v>
      </c>
      <c r="F854" s="3" t="s">
        <v>27</v>
      </c>
      <c r="G854" s="3" t="s">
        <v>27</v>
      </c>
      <c r="H854" s="3" t="s">
        <v>27</v>
      </c>
      <c r="I854" s="3" t="s">
        <v>27</v>
      </c>
      <c r="J854" s="3" t="s">
        <v>27</v>
      </c>
      <c r="K854" s="3" t="s">
        <v>27</v>
      </c>
      <c r="L854" s="3" t="s">
        <v>27</v>
      </c>
      <c r="M854" s="3" t="s">
        <v>27</v>
      </c>
    </row>
    <row r="855" spans="1:13">
      <c r="A855" s="3" t="s">
        <v>29</v>
      </c>
      <c r="B855" s="4">
        <v>31.5</v>
      </c>
      <c r="C855" s="3">
        <v>27</v>
      </c>
      <c r="D855" s="3">
        <v>44.7</v>
      </c>
      <c r="E855" s="3">
        <v>95.2</v>
      </c>
      <c r="F855" s="3">
        <v>28.9</v>
      </c>
      <c r="G855" s="3">
        <v>119.8</v>
      </c>
      <c r="H855" s="3">
        <v>145.6</v>
      </c>
      <c r="I855" s="3">
        <v>51.6</v>
      </c>
      <c r="J855" s="3">
        <v>18.5</v>
      </c>
      <c r="K855" s="3">
        <v>94.1</v>
      </c>
      <c r="L855" s="3">
        <v>126</v>
      </c>
      <c r="M855" s="3">
        <v>39.700000000000003</v>
      </c>
    </row>
    <row r="886" spans="1:13">
      <c r="A886" s="3" t="s">
        <v>28</v>
      </c>
      <c r="B886" s="4" t="s">
        <v>27</v>
      </c>
      <c r="C886" s="3" t="s">
        <v>27</v>
      </c>
      <c r="D886" s="3" t="s">
        <v>27</v>
      </c>
      <c r="E886" s="3" t="s">
        <v>27</v>
      </c>
      <c r="F886" s="3" t="s">
        <v>27</v>
      </c>
      <c r="G886" s="3" t="s">
        <v>27</v>
      </c>
      <c r="H886" s="3" t="s">
        <v>27</v>
      </c>
      <c r="I886" s="3">
        <v>3.6</v>
      </c>
      <c r="J886" s="3" t="s">
        <v>27</v>
      </c>
      <c r="K886" s="3">
        <v>0</v>
      </c>
      <c r="L886" s="3" t="s">
        <v>27</v>
      </c>
      <c r="M886" s="3" t="s">
        <v>27</v>
      </c>
    </row>
    <row r="887" spans="1:13">
      <c r="A887" s="3" t="s">
        <v>29</v>
      </c>
      <c r="B887" s="4">
        <v>11.6</v>
      </c>
      <c r="C887" s="3">
        <v>45.8</v>
      </c>
      <c r="D887" s="3">
        <v>40.299999999999997</v>
      </c>
      <c r="E887" s="3">
        <v>154.9</v>
      </c>
      <c r="F887" s="3">
        <v>85.1</v>
      </c>
      <c r="G887" s="3">
        <v>62.5</v>
      </c>
      <c r="H887" s="3">
        <v>367.9</v>
      </c>
      <c r="I887" s="3">
        <v>57.4</v>
      </c>
      <c r="J887" s="3">
        <v>196</v>
      </c>
      <c r="K887" s="3">
        <v>122.6</v>
      </c>
      <c r="L887" s="3">
        <v>29.5</v>
      </c>
      <c r="M887" s="3">
        <v>54.8</v>
      </c>
    </row>
    <row r="918" spans="1:13">
      <c r="A918" s="3" t="s">
        <v>28</v>
      </c>
      <c r="B918" s="4" t="s">
        <v>27</v>
      </c>
      <c r="C918" s="3" t="s">
        <v>27</v>
      </c>
      <c r="D918" s="3">
        <v>3.9</v>
      </c>
      <c r="E918" s="3" t="s">
        <v>27</v>
      </c>
      <c r="F918" s="3">
        <v>3.5</v>
      </c>
      <c r="G918" s="3" t="s">
        <v>27</v>
      </c>
      <c r="H918" s="3">
        <v>29.2</v>
      </c>
      <c r="I918" s="3" t="s">
        <v>27</v>
      </c>
      <c r="J918" s="3" t="s">
        <v>27</v>
      </c>
      <c r="K918" s="3" t="s">
        <v>27</v>
      </c>
      <c r="L918" s="3" t="s">
        <v>27</v>
      </c>
      <c r="M918" s="3">
        <v>0.5</v>
      </c>
    </row>
    <row r="919" spans="1:13">
      <c r="A919" s="3" t="s">
        <v>29</v>
      </c>
      <c r="B919" s="4">
        <v>15</v>
      </c>
      <c r="C919" s="3">
        <v>42</v>
      </c>
      <c r="D919" s="3">
        <v>11.6</v>
      </c>
      <c r="E919" s="3">
        <v>77.7</v>
      </c>
      <c r="F919" s="3">
        <v>29.3</v>
      </c>
      <c r="G919" s="3">
        <v>35.299999999999997</v>
      </c>
      <c r="H919" s="3">
        <v>434.5</v>
      </c>
      <c r="I919" s="3">
        <v>293.8</v>
      </c>
      <c r="J919" s="3">
        <v>111.4</v>
      </c>
      <c r="K919" s="3">
        <v>28.3</v>
      </c>
      <c r="L919" s="3">
        <v>15.1</v>
      </c>
      <c r="M919" s="3">
        <v>33.5</v>
      </c>
    </row>
    <row r="950" spans="1:13">
      <c r="A950" s="3" t="s">
        <v>28</v>
      </c>
      <c r="B950" s="4" t="s">
        <v>27</v>
      </c>
      <c r="C950" s="3" t="s">
        <v>27</v>
      </c>
      <c r="D950" s="3" t="s">
        <v>27</v>
      </c>
      <c r="E950" s="3" t="s">
        <v>27</v>
      </c>
      <c r="F950" s="3" t="s">
        <v>27</v>
      </c>
      <c r="G950" s="3" t="s">
        <v>27</v>
      </c>
      <c r="H950" s="3" t="s">
        <v>27</v>
      </c>
      <c r="I950" s="3">
        <v>42.6</v>
      </c>
      <c r="J950" s="3" t="s">
        <v>27</v>
      </c>
      <c r="K950" s="3">
        <v>0</v>
      </c>
      <c r="L950" s="3" t="s">
        <v>27</v>
      </c>
      <c r="M950" s="3" t="s">
        <v>27</v>
      </c>
    </row>
    <row r="951" spans="1:13">
      <c r="A951" s="3" t="s">
        <v>29</v>
      </c>
      <c r="B951" s="4">
        <v>23.9</v>
      </c>
      <c r="C951" s="3">
        <v>40.5</v>
      </c>
      <c r="D951" s="3">
        <v>108.4</v>
      </c>
      <c r="E951" s="3">
        <v>155.30000000000001</v>
      </c>
      <c r="F951" s="3">
        <v>95.9</v>
      </c>
      <c r="G951" s="3">
        <v>115.8</v>
      </c>
      <c r="H951" s="3">
        <v>226.9</v>
      </c>
      <c r="I951" s="3">
        <v>408.6</v>
      </c>
      <c r="J951" s="3">
        <v>149.4</v>
      </c>
      <c r="K951" s="3">
        <v>133.9</v>
      </c>
      <c r="L951" s="3">
        <v>49.8</v>
      </c>
      <c r="M951" s="3">
        <v>33.700000000000003</v>
      </c>
    </row>
    <row r="982" spans="1:13">
      <c r="A982" s="3" t="s">
        <v>28</v>
      </c>
      <c r="B982" s="4">
        <v>0</v>
      </c>
      <c r="C982" s="3" t="s">
        <v>27</v>
      </c>
      <c r="D982" s="3">
        <v>0</v>
      </c>
      <c r="E982" s="3" t="s">
        <v>27</v>
      </c>
      <c r="F982" s="3">
        <v>0</v>
      </c>
      <c r="G982" s="3" t="s">
        <v>27</v>
      </c>
      <c r="H982" s="3" t="s">
        <v>27</v>
      </c>
      <c r="I982" s="3" t="s">
        <v>27</v>
      </c>
      <c r="J982" s="3" t="s">
        <v>27</v>
      </c>
      <c r="K982" s="3" t="s">
        <v>27</v>
      </c>
      <c r="L982" s="3" t="s">
        <v>27</v>
      </c>
      <c r="M982" s="3">
        <v>0</v>
      </c>
    </row>
    <row r="983" spans="1:13">
      <c r="A983" s="3" t="s">
        <v>29</v>
      </c>
      <c r="B983" s="4">
        <v>1.7</v>
      </c>
      <c r="C983" s="3">
        <v>46.3</v>
      </c>
      <c r="D983" s="3">
        <v>33.700000000000003</v>
      </c>
      <c r="E983" s="3">
        <v>91.6</v>
      </c>
      <c r="F983" s="3">
        <v>35.6</v>
      </c>
      <c r="G983" s="3">
        <v>77.900000000000006</v>
      </c>
      <c r="H983" s="3">
        <v>199</v>
      </c>
      <c r="I983" s="3">
        <v>104.3</v>
      </c>
      <c r="J983" s="3">
        <v>167</v>
      </c>
      <c r="K983" s="3">
        <v>106.1</v>
      </c>
      <c r="L983" s="3">
        <v>94</v>
      </c>
      <c r="M983" s="3">
        <v>27</v>
      </c>
    </row>
  </sheetData>
  <phoneticPr fontId="5" type="noConversion"/>
  <dataValidations count="2">
    <dataValidation type="list" allowBlank="1" showInputMessage="1" showErrorMessage="1" sqref="R8" xr:uid="{21CF3BE8-0663-4F28-AA91-C16603B80320}">
      <formula1>CategoryA_Area</formula1>
    </dataValidation>
    <dataValidation type="list" allowBlank="1" showInputMessage="1" showErrorMessage="1" sqref="S8" xr:uid="{C55192C0-14D5-4D94-9D62-FBA79A246CE6}">
      <formula1>INDIRECT($R$9 &amp; "[Area]")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59407" r:id="rId4" name="CommandButton3">
          <controlPr defaultSize="0" autoLine="0" r:id="rId5">
            <anchor moveWithCells="1">
              <from>
                <xdr:col>20</xdr:col>
                <xdr:colOff>304800</xdr:colOff>
                <xdr:row>6</xdr:row>
                <xdr:rowOff>228600</xdr:rowOff>
              </from>
              <to>
                <xdr:col>23</xdr:col>
                <xdr:colOff>409575</xdr:colOff>
                <xdr:row>8</xdr:row>
                <xdr:rowOff>0</xdr:rowOff>
              </to>
            </anchor>
          </controlPr>
        </control>
      </mc:Choice>
      <mc:Fallback>
        <control shapeId="59407" r:id="rId4" name="CommandButton3"/>
      </mc:Fallback>
    </mc:AlternateContent>
    <mc:AlternateContent xmlns:mc="http://schemas.openxmlformats.org/markup-compatibility/2006">
      <mc:Choice Requires="x14">
        <control shapeId="59398" r:id="rId6" name="CommandButton1">
          <controlPr defaultSize="0" autoLine="0" r:id="rId7">
            <anchor moveWithCells="1">
              <from>
                <xdr:col>20</xdr:col>
                <xdr:colOff>304800</xdr:colOff>
                <xdr:row>5</xdr:row>
                <xdr:rowOff>104775</xdr:rowOff>
              </from>
              <to>
                <xdr:col>23</xdr:col>
                <xdr:colOff>409575</xdr:colOff>
                <xdr:row>6</xdr:row>
                <xdr:rowOff>171450</xdr:rowOff>
              </to>
            </anchor>
          </controlPr>
        </control>
      </mc:Choice>
      <mc:Fallback>
        <control shapeId="59398" r:id="rId6" name="CommandButton1"/>
      </mc:Fallback>
    </mc:AlternateContent>
    <mc:AlternateContent xmlns:mc="http://schemas.openxmlformats.org/markup-compatibility/2006">
      <mc:Choice Requires="x14">
        <control shapeId="59415" r:id="rId8" name="CommandButton2">
          <controlPr defaultSize="0" autoLine="0" r:id="rId9">
            <anchor moveWithCells="1">
              <from>
                <xdr:col>20</xdr:col>
                <xdr:colOff>304800</xdr:colOff>
                <xdr:row>8</xdr:row>
                <xdr:rowOff>66675</xdr:rowOff>
              </from>
              <to>
                <xdr:col>23</xdr:col>
                <xdr:colOff>409575</xdr:colOff>
                <xdr:row>9</xdr:row>
                <xdr:rowOff>114300</xdr:rowOff>
              </to>
            </anchor>
          </controlPr>
        </control>
      </mc:Choice>
      <mc:Fallback>
        <control shapeId="59415" r:id="rId8" name="CommandButton2"/>
      </mc:Fallback>
    </mc:AlternateContent>
    <mc:AlternateContent xmlns:mc="http://schemas.openxmlformats.org/markup-compatibility/2006">
      <mc:Choice Requires="x14">
        <control shapeId="59430" r:id="rId10" name="CommandButton4">
          <controlPr defaultSize="0" autoLine="0" r:id="rId11">
            <anchor moveWithCells="1">
              <from>
                <xdr:col>20</xdr:col>
                <xdr:colOff>323850</xdr:colOff>
                <xdr:row>10</xdr:row>
                <xdr:rowOff>114300</xdr:rowOff>
              </from>
              <to>
                <xdr:col>23</xdr:col>
                <xdr:colOff>428625</xdr:colOff>
                <xdr:row>11</xdr:row>
                <xdr:rowOff>161925</xdr:rowOff>
              </to>
            </anchor>
          </controlPr>
        </control>
      </mc:Choice>
      <mc:Fallback>
        <control shapeId="59430" r:id="rId10" name="CommandButton4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0644ED-95CF-4447-98D7-CF57A197C343}">
  <sheetPr codeName="Sheet4"/>
  <dimension ref="A1:T54"/>
  <sheetViews>
    <sheetView workbookViewId="0">
      <selection activeCell="D17" sqref="D17"/>
    </sheetView>
  </sheetViews>
  <sheetFormatPr defaultRowHeight="16.5"/>
  <cols>
    <col min="1" max="1" width="11.5546875" style="1" customWidth="1"/>
    <col min="2" max="2" width="16.5546875" style="1" customWidth="1"/>
    <col min="3" max="3" width="7.5546875" style="1" customWidth="1"/>
    <col min="4" max="4" width="7.33203125" style="1" bestFit="1" customWidth="1"/>
    <col min="5" max="5" width="7.33203125" style="1" customWidth="1"/>
    <col min="6" max="6" width="3.21875" style="1" customWidth="1"/>
    <col min="7" max="7" width="8.88671875" style="1"/>
    <col min="8" max="8" width="15.77734375" style="1" customWidth="1"/>
    <col min="9" max="11" width="6.77734375" style="1" customWidth="1"/>
    <col min="12" max="12" width="3.44140625" style="1" customWidth="1"/>
    <col min="13" max="13" width="8.88671875" style="1"/>
    <col min="14" max="14" width="18.77734375" style="1" customWidth="1"/>
    <col min="15" max="17" width="6" style="1" customWidth="1"/>
    <col min="18" max="18" width="3.21875" style="1" customWidth="1"/>
    <col min="19" max="19" width="10.5546875" style="1" customWidth="1"/>
    <col min="20" max="20" width="10.44140625" style="1" customWidth="1"/>
    <col min="21" max="21" width="6.88671875" style="1" customWidth="1"/>
    <col min="22" max="22" width="3.6640625" style="1" customWidth="1"/>
    <col min="23" max="24" width="8.88671875" style="1"/>
    <col min="25" max="25" width="6.44140625" style="1" customWidth="1"/>
    <col min="26" max="26" width="6.5546875" style="1" customWidth="1"/>
    <col min="27" max="27" width="4.21875" style="1" customWidth="1"/>
    <col min="28" max="29" width="8.88671875" style="1"/>
    <col min="30" max="30" width="6.33203125" style="1" customWidth="1"/>
    <col min="31" max="31" width="6.21875" style="1" customWidth="1"/>
    <col min="32" max="32" width="4.77734375" style="1" customWidth="1"/>
    <col min="33" max="33" width="8.88671875" style="1"/>
    <col min="34" max="34" width="7.109375" style="1" customWidth="1"/>
    <col min="35" max="16384" width="8.88671875" style="1"/>
  </cols>
  <sheetData>
    <row r="1" spans="1:20">
      <c r="A1" s="1" t="s">
        <v>30</v>
      </c>
      <c r="B1" s="1" t="s">
        <v>148</v>
      </c>
      <c r="C1" s="1" t="s">
        <v>31</v>
      </c>
      <c r="D1" s="1" t="s">
        <v>254</v>
      </c>
      <c r="E1" s="1" t="s">
        <v>255</v>
      </c>
      <c r="G1" s="1" t="s">
        <v>30</v>
      </c>
      <c r="H1" s="1" t="s">
        <v>148</v>
      </c>
      <c r="I1" s="1" t="s">
        <v>31</v>
      </c>
      <c r="J1" s="1" t="s">
        <v>254</v>
      </c>
      <c r="K1" s="1" t="s">
        <v>255</v>
      </c>
      <c r="M1" s="1" t="s">
        <v>30</v>
      </c>
      <c r="N1" s="1" t="s">
        <v>148</v>
      </c>
      <c r="O1" s="1" t="s">
        <v>31</v>
      </c>
      <c r="P1" s="1" t="s">
        <v>254</v>
      </c>
      <c r="Q1" s="1" t="s">
        <v>255</v>
      </c>
      <c r="S1" s="1" t="s">
        <v>30</v>
      </c>
      <c r="T1" s="1" t="s">
        <v>31</v>
      </c>
    </row>
    <row r="2" spans="1:20">
      <c r="A2" s="1" t="s">
        <v>42</v>
      </c>
      <c r="B2" s="1" t="s">
        <v>204</v>
      </c>
      <c r="C2" s="1">
        <v>116</v>
      </c>
      <c r="D2" s="1">
        <v>15</v>
      </c>
      <c r="E2" s="1">
        <v>14</v>
      </c>
      <c r="G2" s="1" t="s">
        <v>52</v>
      </c>
      <c r="H2" s="1" t="s">
        <v>190</v>
      </c>
      <c r="I2" s="1">
        <v>105</v>
      </c>
      <c r="J2" s="1">
        <v>39</v>
      </c>
      <c r="K2" s="1">
        <v>38</v>
      </c>
      <c r="M2" s="1" t="s">
        <v>67</v>
      </c>
      <c r="N2" s="1" t="s">
        <v>178</v>
      </c>
      <c r="O2" s="1">
        <v>226</v>
      </c>
      <c r="P2" s="1">
        <v>55</v>
      </c>
      <c r="Q2" s="1">
        <v>54</v>
      </c>
      <c r="S2" s="1" t="s">
        <v>32</v>
      </c>
      <c r="T2" s="1" t="s">
        <v>147</v>
      </c>
    </row>
    <row r="3" spans="1:20">
      <c r="A3" s="1" t="s">
        <v>43</v>
      </c>
      <c r="B3" s="1" t="s">
        <v>150</v>
      </c>
      <c r="C3" s="1">
        <v>108</v>
      </c>
      <c r="D3" s="1">
        <v>16</v>
      </c>
      <c r="E3" s="1">
        <v>14</v>
      </c>
      <c r="G3" s="1" t="s">
        <v>53</v>
      </c>
      <c r="H3" s="1" t="s">
        <v>191</v>
      </c>
      <c r="I3" s="1">
        <v>100</v>
      </c>
      <c r="J3" s="1">
        <v>40</v>
      </c>
      <c r="K3" s="1">
        <v>38</v>
      </c>
      <c r="M3" s="1" t="s">
        <v>252</v>
      </c>
      <c r="N3" s="1" t="s">
        <v>253</v>
      </c>
      <c r="O3" s="1">
        <v>181</v>
      </c>
      <c r="P3" s="1">
        <v>56</v>
      </c>
      <c r="Q3" s="1">
        <v>54</v>
      </c>
      <c r="S3" s="1" t="s">
        <v>33</v>
      </c>
      <c r="T3" s="1" t="s">
        <v>35</v>
      </c>
    </row>
    <row r="4" spans="1:20">
      <c r="A4" s="1" t="s">
        <v>44</v>
      </c>
      <c r="B4" s="1" t="s">
        <v>205</v>
      </c>
      <c r="C4" s="1">
        <v>201</v>
      </c>
      <c r="D4" s="1">
        <v>23</v>
      </c>
      <c r="E4" s="1">
        <v>22</v>
      </c>
      <c r="G4" s="1" t="s">
        <v>54</v>
      </c>
      <c r="H4" s="1" t="s">
        <v>192</v>
      </c>
      <c r="I4" s="1">
        <v>106</v>
      </c>
      <c r="J4" s="1">
        <v>41</v>
      </c>
      <c r="K4" s="1">
        <v>38</v>
      </c>
      <c r="M4" s="1" t="s">
        <v>68</v>
      </c>
      <c r="N4" s="1" t="s">
        <v>179</v>
      </c>
      <c r="O4" s="1">
        <v>221</v>
      </c>
      <c r="P4" s="1">
        <v>57</v>
      </c>
      <c r="Q4" s="1">
        <v>54</v>
      </c>
      <c r="S4" s="1" t="s">
        <v>144</v>
      </c>
      <c r="T4" s="1" t="s">
        <v>36</v>
      </c>
    </row>
    <row r="5" spans="1:20">
      <c r="A5" s="1" t="s">
        <v>45</v>
      </c>
      <c r="B5" s="1" t="s">
        <v>206</v>
      </c>
      <c r="C5" s="1">
        <v>102</v>
      </c>
      <c r="D5" s="1">
        <v>24</v>
      </c>
      <c r="E5" s="1">
        <v>22</v>
      </c>
      <c r="G5" s="1" t="s">
        <v>55</v>
      </c>
      <c r="H5" s="1" t="s">
        <v>193</v>
      </c>
      <c r="I5" s="1">
        <v>104</v>
      </c>
      <c r="J5" s="1">
        <v>42</v>
      </c>
      <c r="K5" s="1">
        <v>38</v>
      </c>
      <c r="M5" s="1" t="s">
        <v>69</v>
      </c>
      <c r="N5" s="1" t="s">
        <v>180</v>
      </c>
      <c r="O5" s="1">
        <v>131</v>
      </c>
      <c r="P5" s="1">
        <v>58</v>
      </c>
      <c r="Q5" s="1">
        <v>54</v>
      </c>
      <c r="S5" s="1" t="s">
        <v>145</v>
      </c>
      <c r="T5" s="1" t="s">
        <v>37</v>
      </c>
    </row>
    <row r="6" spans="1:20">
      <c r="A6" s="1" t="s">
        <v>46</v>
      </c>
      <c r="B6" s="1" t="s">
        <v>207</v>
      </c>
      <c r="C6" s="1">
        <v>112</v>
      </c>
      <c r="D6" s="1">
        <v>25</v>
      </c>
      <c r="E6" s="1">
        <v>22</v>
      </c>
      <c r="G6" s="1" t="s">
        <v>56</v>
      </c>
      <c r="H6" s="1" t="s">
        <v>194</v>
      </c>
      <c r="I6" s="1">
        <v>93</v>
      </c>
      <c r="J6" s="1">
        <v>43</v>
      </c>
      <c r="K6" s="1">
        <v>38</v>
      </c>
      <c r="M6" s="1" t="s">
        <v>70</v>
      </c>
      <c r="N6" s="1" t="s">
        <v>181</v>
      </c>
      <c r="O6" s="1">
        <v>135</v>
      </c>
      <c r="P6" s="1">
        <v>59</v>
      </c>
      <c r="Q6" s="1">
        <v>54</v>
      </c>
      <c r="S6" s="1" t="s">
        <v>146</v>
      </c>
      <c r="T6" s="1" t="s">
        <v>38</v>
      </c>
    </row>
    <row r="7" spans="1:20">
      <c r="A7" s="1" t="s">
        <v>47</v>
      </c>
      <c r="B7" s="1" t="s">
        <v>208</v>
      </c>
      <c r="C7" s="1">
        <v>98</v>
      </c>
      <c r="D7" s="1">
        <v>33</v>
      </c>
      <c r="E7" s="1">
        <v>32</v>
      </c>
      <c r="G7" s="1" t="s">
        <v>57</v>
      </c>
      <c r="H7" s="1" t="s">
        <v>149</v>
      </c>
      <c r="I7" s="1">
        <v>214</v>
      </c>
      <c r="J7" s="1">
        <v>44</v>
      </c>
      <c r="K7" s="1">
        <v>38</v>
      </c>
      <c r="M7" s="1" t="s">
        <v>71</v>
      </c>
      <c r="N7" s="1" t="s">
        <v>182</v>
      </c>
      <c r="O7" s="1">
        <v>127</v>
      </c>
      <c r="P7" s="1">
        <v>60</v>
      </c>
      <c r="Q7" s="1">
        <v>54</v>
      </c>
      <c r="S7" s="1" t="s">
        <v>34</v>
      </c>
      <c r="T7" s="1" t="s">
        <v>39</v>
      </c>
    </row>
    <row r="8" spans="1:20">
      <c r="A8" s="1" t="s">
        <v>48</v>
      </c>
      <c r="B8" s="1" t="s">
        <v>209</v>
      </c>
      <c r="C8" s="1">
        <v>119</v>
      </c>
      <c r="D8" s="1">
        <v>34</v>
      </c>
      <c r="E8" s="1">
        <v>32</v>
      </c>
      <c r="G8" s="1" t="s">
        <v>58</v>
      </c>
      <c r="H8" s="1" t="s">
        <v>195</v>
      </c>
      <c r="I8" s="1">
        <v>90</v>
      </c>
      <c r="J8" s="1">
        <v>45</v>
      </c>
      <c r="K8" s="1">
        <v>38</v>
      </c>
      <c r="M8" s="1" t="s">
        <v>72</v>
      </c>
      <c r="N8" s="1" t="s">
        <v>183</v>
      </c>
      <c r="O8" s="1">
        <v>133</v>
      </c>
      <c r="P8" s="1">
        <v>28</v>
      </c>
      <c r="Q8" s="1">
        <v>28</v>
      </c>
    </row>
    <row r="9" spans="1:20">
      <c r="A9" s="1" t="s">
        <v>49</v>
      </c>
      <c r="B9" s="1" t="s">
        <v>210</v>
      </c>
      <c r="C9" s="1">
        <v>202</v>
      </c>
      <c r="D9" s="1">
        <v>35</v>
      </c>
      <c r="E9" s="1">
        <v>32</v>
      </c>
      <c r="G9" s="1" t="s">
        <v>59</v>
      </c>
      <c r="H9" s="1" t="s">
        <v>196</v>
      </c>
      <c r="I9" s="1">
        <v>121</v>
      </c>
      <c r="J9" s="1">
        <v>46</v>
      </c>
      <c r="K9" s="1">
        <v>38</v>
      </c>
      <c r="M9" s="1" t="s">
        <v>73</v>
      </c>
      <c r="N9" s="1" t="s">
        <v>184</v>
      </c>
      <c r="O9" s="1">
        <v>239</v>
      </c>
      <c r="P9" s="1">
        <v>134</v>
      </c>
      <c r="Q9" s="1">
        <v>132</v>
      </c>
    </row>
    <row r="10" spans="1:20">
      <c r="A10" s="1" t="s">
        <v>50</v>
      </c>
      <c r="B10" s="1" t="s">
        <v>211</v>
      </c>
      <c r="C10" s="1">
        <v>203</v>
      </c>
      <c r="D10" s="1">
        <v>36</v>
      </c>
      <c r="E10" s="1">
        <v>32</v>
      </c>
      <c r="G10" s="1" t="s">
        <v>60</v>
      </c>
      <c r="H10" s="1" t="s">
        <v>197</v>
      </c>
      <c r="I10" s="1">
        <v>114</v>
      </c>
      <c r="J10" s="1">
        <v>47</v>
      </c>
      <c r="K10" s="1">
        <v>38</v>
      </c>
      <c r="M10" s="1" t="s">
        <v>74</v>
      </c>
      <c r="N10" s="1" t="s">
        <v>251</v>
      </c>
      <c r="O10" s="1">
        <v>238</v>
      </c>
      <c r="P10" s="1">
        <v>62</v>
      </c>
      <c r="Q10" s="1">
        <v>61</v>
      </c>
    </row>
    <row r="11" spans="1:20">
      <c r="A11" s="1" t="s">
        <v>51</v>
      </c>
      <c r="B11" s="1" t="s">
        <v>212</v>
      </c>
      <c r="C11" s="1">
        <v>99</v>
      </c>
      <c r="D11" s="1">
        <v>37</v>
      </c>
      <c r="E11" s="1">
        <v>32</v>
      </c>
      <c r="G11" s="1" t="s">
        <v>61</v>
      </c>
      <c r="H11" s="1" t="s">
        <v>198</v>
      </c>
      <c r="I11" s="1">
        <v>211</v>
      </c>
      <c r="J11" s="1">
        <v>48</v>
      </c>
      <c r="K11" s="1">
        <v>38</v>
      </c>
      <c r="M11" s="1" t="s">
        <v>75</v>
      </c>
      <c r="N11" s="1" t="s">
        <v>185</v>
      </c>
      <c r="O11" s="1">
        <v>235</v>
      </c>
      <c r="P11" s="1">
        <v>63</v>
      </c>
      <c r="Q11" s="1">
        <v>61</v>
      </c>
    </row>
    <row r="12" spans="1:20">
      <c r="G12" s="1" t="s">
        <v>62</v>
      </c>
      <c r="H12" s="1" t="s">
        <v>199</v>
      </c>
      <c r="I12" s="1">
        <v>217</v>
      </c>
      <c r="J12" s="1">
        <v>49</v>
      </c>
      <c r="K12" s="1">
        <v>38</v>
      </c>
      <c r="M12" s="1" t="s">
        <v>76</v>
      </c>
      <c r="N12" s="1" t="s">
        <v>186</v>
      </c>
      <c r="O12" s="1">
        <v>236</v>
      </c>
      <c r="P12" s="1">
        <v>64</v>
      </c>
      <c r="Q12" s="1">
        <v>61</v>
      </c>
    </row>
    <row r="13" spans="1:20">
      <c r="G13" s="1" t="s">
        <v>63</v>
      </c>
      <c r="H13" s="1" t="s">
        <v>200</v>
      </c>
      <c r="I13" s="1">
        <v>95</v>
      </c>
      <c r="J13" s="1">
        <v>50</v>
      </c>
      <c r="K13" s="1">
        <v>38</v>
      </c>
      <c r="M13" s="1" t="s">
        <v>77</v>
      </c>
      <c r="N13" s="1" t="s">
        <v>187</v>
      </c>
      <c r="O13" s="1">
        <v>129</v>
      </c>
      <c r="P13" s="1">
        <v>65</v>
      </c>
      <c r="Q13" s="1">
        <v>61</v>
      </c>
    </row>
    <row r="14" spans="1:20">
      <c r="G14" s="1" t="s">
        <v>64</v>
      </c>
      <c r="H14" s="1" t="s">
        <v>201</v>
      </c>
      <c r="I14" s="1">
        <v>101</v>
      </c>
      <c r="J14" s="1">
        <v>51</v>
      </c>
      <c r="K14" s="1">
        <v>38</v>
      </c>
      <c r="M14" s="1" t="s">
        <v>78</v>
      </c>
      <c r="N14" s="1" t="s">
        <v>188</v>
      </c>
      <c r="O14" s="1">
        <v>232</v>
      </c>
      <c r="P14" s="1">
        <v>66</v>
      </c>
      <c r="Q14" s="1">
        <v>61</v>
      </c>
    </row>
    <row r="15" spans="1:20">
      <c r="G15" s="1" t="s">
        <v>65</v>
      </c>
      <c r="H15" s="1" t="s">
        <v>202</v>
      </c>
      <c r="I15" s="1">
        <v>216</v>
      </c>
      <c r="J15" s="1">
        <v>52</v>
      </c>
      <c r="K15" s="1">
        <v>38</v>
      </c>
      <c r="M15" s="1" t="s">
        <v>79</v>
      </c>
      <c r="N15" s="1" t="s">
        <v>189</v>
      </c>
      <c r="O15" s="1">
        <v>177</v>
      </c>
      <c r="P15" s="1">
        <v>67</v>
      </c>
      <c r="Q15" s="1">
        <v>61</v>
      </c>
    </row>
    <row r="16" spans="1:20">
      <c r="G16" s="1" t="s">
        <v>66</v>
      </c>
      <c r="H16" s="1" t="s">
        <v>203</v>
      </c>
      <c r="I16" s="1">
        <v>212</v>
      </c>
      <c r="J16" s="1">
        <v>53</v>
      </c>
      <c r="K16" s="1">
        <v>38</v>
      </c>
    </row>
    <row r="22" spans="1:17">
      <c r="A22" s="1" t="s">
        <v>30</v>
      </c>
      <c r="B22" s="1" t="s">
        <v>148</v>
      </c>
      <c r="C22" s="1" t="s">
        <v>31</v>
      </c>
      <c r="D22" s="1" t="s">
        <v>254</v>
      </c>
      <c r="E22" s="1" t="s">
        <v>255</v>
      </c>
      <c r="G22" s="1" t="s">
        <v>30</v>
      </c>
      <c r="H22" s="1" t="s">
        <v>148</v>
      </c>
      <c r="I22" s="1" t="s">
        <v>31</v>
      </c>
      <c r="J22" s="1" t="s">
        <v>254</v>
      </c>
      <c r="K22" s="1" t="s">
        <v>255</v>
      </c>
    </row>
    <row r="23" spans="1:17">
      <c r="A23" s="1" t="s">
        <v>80</v>
      </c>
      <c r="B23" s="1" t="s">
        <v>177</v>
      </c>
      <c r="C23" s="1">
        <v>156</v>
      </c>
      <c r="D23" s="1">
        <v>27</v>
      </c>
      <c r="E23" s="1">
        <v>26</v>
      </c>
      <c r="G23" s="1" t="s">
        <v>107</v>
      </c>
      <c r="H23" s="1" t="s">
        <v>213</v>
      </c>
      <c r="I23" s="1">
        <v>143</v>
      </c>
      <c r="J23" s="1">
        <v>20</v>
      </c>
      <c r="K23" s="1">
        <v>19</v>
      </c>
      <c r="M23" s="1" t="s">
        <v>30</v>
      </c>
      <c r="N23" s="1" t="s">
        <v>148</v>
      </c>
      <c r="O23" s="1" t="s">
        <v>31</v>
      </c>
      <c r="P23" s="1" t="s">
        <v>254</v>
      </c>
      <c r="Q23" s="1" t="s">
        <v>255</v>
      </c>
    </row>
    <row r="24" spans="1:17">
      <c r="A24" s="1" t="s">
        <v>81</v>
      </c>
      <c r="B24" s="1" t="s">
        <v>176</v>
      </c>
      <c r="C24" s="1">
        <v>172</v>
      </c>
      <c r="D24" s="1">
        <v>69</v>
      </c>
      <c r="E24" s="1">
        <v>68</v>
      </c>
      <c r="G24" s="1" t="s">
        <v>108</v>
      </c>
      <c r="H24" s="1" t="s">
        <v>214</v>
      </c>
      <c r="I24" s="1">
        <v>176</v>
      </c>
      <c r="J24" s="1">
        <v>21</v>
      </c>
      <c r="K24" s="1">
        <v>19</v>
      </c>
      <c r="M24" s="1" t="s">
        <v>139</v>
      </c>
      <c r="N24" s="1" t="s">
        <v>245</v>
      </c>
      <c r="O24" s="1">
        <v>185</v>
      </c>
      <c r="P24" s="1">
        <v>127</v>
      </c>
      <c r="Q24" s="1">
        <v>126</v>
      </c>
    </row>
    <row r="25" spans="1:17">
      <c r="A25" s="1" t="s">
        <v>82</v>
      </c>
      <c r="B25" s="1" t="s">
        <v>175</v>
      </c>
      <c r="C25" s="1">
        <v>251</v>
      </c>
      <c r="D25" s="1">
        <v>70</v>
      </c>
      <c r="E25" s="1">
        <v>68</v>
      </c>
      <c r="G25" s="1" t="s">
        <v>109</v>
      </c>
      <c r="H25" s="1" t="s">
        <v>215</v>
      </c>
      <c r="I25" s="1">
        <v>152</v>
      </c>
      <c r="J25" s="1">
        <v>31</v>
      </c>
      <c r="K25" s="1">
        <v>30</v>
      </c>
      <c r="M25" s="1" t="s">
        <v>140</v>
      </c>
      <c r="N25" s="1" t="s">
        <v>246</v>
      </c>
      <c r="O25" s="1">
        <v>189</v>
      </c>
      <c r="P25" s="1">
        <v>128</v>
      </c>
      <c r="Q25" s="1">
        <v>126</v>
      </c>
    </row>
    <row r="26" spans="1:17">
      <c r="A26" s="1" t="s">
        <v>83</v>
      </c>
      <c r="B26" s="1" t="s">
        <v>174</v>
      </c>
      <c r="C26" s="1">
        <v>140</v>
      </c>
      <c r="D26" s="1">
        <v>71</v>
      </c>
      <c r="E26" s="1">
        <v>68</v>
      </c>
      <c r="G26" s="1" t="s">
        <v>110</v>
      </c>
      <c r="H26" s="1" t="s">
        <v>216</v>
      </c>
      <c r="I26" s="1">
        <v>159</v>
      </c>
      <c r="J26" s="1">
        <v>18</v>
      </c>
      <c r="K26" s="1">
        <v>17</v>
      </c>
      <c r="M26" s="1" t="s">
        <v>141</v>
      </c>
      <c r="N26" s="1" t="s">
        <v>247</v>
      </c>
      <c r="O26" s="1">
        <v>188</v>
      </c>
      <c r="P26" s="1">
        <v>129</v>
      </c>
      <c r="Q26" s="1">
        <v>126</v>
      </c>
    </row>
    <row r="27" spans="1:17">
      <c r="A27" s="1" t="s">
        <v>84</v>
      </c>
      <c r="B27" s="1" t="s">
        <v>173</v>
      </c>
      <c r="C27" s="1">
        <v>247</v>
      </c>
      <c r="D27" s="1">
        <v>72</v>
      </c>
      <c r="E27" s="1">
        <v>68</v>
      </c>
      <c r="G27" s="1" t="s">
        <v>111</v>
      </c>
      <c r="H27" s="1" t="s">
        <v>217</v>
      </c>
      <c r="I27" s="1">
        <v>283</v>
      </c>
      <c r="J27" s="1">
        <v>97</v>
      </c>
      <c r="K27" s="1">
        <v>96</v>
      </c>
      <c r="M27" s="1" t="s">
        <v>141</v>
      </c>
      <c r="N27" s="1" t="s">
        <v>248</v>
      </c>
      <c r="O27" s="1">
        <v>187</v>
      </c>
      <c r="P27" s="1">
        <v>130</v>
      </c>
      <c r="Q27" s="1">
        <v>126</v>
      </c>
    </row>
    <row r="28" spans="1:17">
      <c r="A28" s="1" t="s">
        <v>85</v>
      </c>
      <c r="B28" s="1" t="s">
        <v>172</v>
      </c>
      <c r="C28" s="1">
        <v>243</v>
      </c>
      <c r="D28" s="1">
        <v>73</v>
      </c>
      <c r="E28" s="1">
        <v>68</v>
      </c>
      <c r="G28" s="1" t="s">
        <v>112</v>
      </c>
      <c r="H28" s="1" t="s">
        <v>218</v>
      </c>
      <c r="I28" s="1">
        <v>279</v>
      </c>
      <c r="J28" s="1">
        <v>98</v>
      </c>
      <c r="K28" s="1">
        <v>96</v>
      </c>
      <c r="M28" s="1" t="s">
        <v>142</v>
      </c>
      <c r="N28" s="1" t="s">
        <v>249</v>
      </c>
      <c r="O28" s="1">
        <v>265</v>
      </c>
      <c r="P28" s="1">
        <v>131</v>
      </c>
      <c r="Q28" s="1">
        <v>126</v>
      </c>
    </row>
    <row r="29" spans="1:17">
      <c r="A29" s="1" t="s">
        <v>86</v>
      </c>
      <c r="B29" s="1" t="s">
        <v>171</v>
      </c>
      <c r="C29" s="1">
        <v>254</v>
      </c>
      <c r="D29" s="1">
        <v>74</v>
      </c>
      <c r="E29" s="1">
        <v>68</v>
      </c>
      <c r="G29" s="1" t="s">
        <v>113</v>
      </c>
      <c r="H29" s="1" t="s">
        <v>219</v>
      </c>
      <c r="I29" s="1">
        <v>273</v>
      </c>
      <c r="J29" s="1">
        <v>99</v>
      </c>
      <c r="K29" s="1">
        <v>96</v>
      </c>
      <c r="M29" s="1" t="s">
        <v>143</v>
      </c>
      <c r="N29" s="1" t="s">
        <v>250</v>
      </c>
      <c r="O29" s="1">
        <v>184</v>
      </c>
      <c r="P29" s="1">
        <v>132</v>
      </c>
      <c r="Q29" s="1">
        <v>126</v>
      </c>
    </row>
    <row r="30" spans="1:17">
      <c r="A30" s="1" t="s">
        <v>87</v>
      </c>
      <c r="B30" s="1" t="s">
        <v>170</v>
      </c>
      <c r="C30" s="1">
        <v>244</v>
      </c>
      <c r="D30" s="1">
        <v>75</v>
      </c>
      <c r="E30" s="1">
        <v>68</v>
      </c>
      <c r="G30" s="1" t="s">
        <v>114</v>
      </c>
      <c r="H30" s="1" t="s">
        <v>220</v>
      </c>
      <c r="I30" s="1">
        <v>271</v>
      </c>
      <c r="J30" s="1">
        <v>100</v>
      </c>
      <c r="K30" s="1">
        <v>96</v>
      </c>
    </row>
    <row r="31" spans="1:17">
      <c r="A31" s="1" t="s">
        <v>88</v>
      </c>
      <c r="B31" s="1" t="s">
        <v>169</v>
      </c>
      <c r="C31" s="1">
        <v>248</v>
      </c>
      <c r="D31" s="1">
        <v>76</v>
      </c>
      <c r="E31" s="1">
        <v>68</v>
      </c>
      <c r="G31" s="1" t="s">
        <v>115</v>
      </c>
      <c r="H31" s="1" t="s">
        <v>221</v>
      </c>
      <c r="I31" s="1">
        <v>137</v>
      </c>
      <c r="J31" s="1">
        <v>101</v>
      </c>
      <c r="K31" s="1">
        <v>96</v>
      </c>
    </row>
    <row r="32" spans="1:17">
      <c r="A32" s="1" t="s">
        <v>89</v>
      </c>
      <c r="B32" s="1" t="s">
        <v>168</v>
      </c>
      <c r="C32" s="1">
        <v>146</v>
      </c>
      <c r="D32" s="1">
        <v>77</v>
      </c>
      <c r="E32" s="1">
        <v>68</v>
      </c>
      <c r="G32" s="1" t="s">
        <v>116</v>
      </c>
      <c r="H32" s="1" t="s">
        <v>222</v>
      </c>
      <c r="I32" s="1">
        <v>136</v>
      </c>
      <c r="J32" s="1">
        <v>102</v>
      </c>
      <c r="K32" s="1">
        <v>96</v>
      </c>
    </row>
    <row r="33" spans="1:11">
      <c r="A33" s="1" t="s">
        <v>90</v>
      </c>
      <c r="B33" s="1" t="s">
        <v>151</v>
      </c>
      <c r="C33" s="1">
        <v>245</v>
      </c>
      <c r="D33" s="1">
        <v>78</v>
      </c>
      <c r="E33" s="1">
        <v>68</v>
      </c>
      <c r="G33" s="1" t="s">
        <v>117</v>
      </c>
      <c r="H33" s="1" t="s">
        <v>223</v>
      </c>
      <c r="I33" s="1">
        <v>277</v>
      </c>
      <c r="J33" s="1">
        <v>103</v>
      </c>
      <c r="K33" s="1">
        <v>96</v>
      </c>
    </row>
    <row r="34" spans="1:11">
      <c r="A34" s="1" t="s">
        <v>91</v>
      </c>
      <c r="B34" s="1" t="s">
        <v>152</v>
      </c>
      <c r="C34" s="1">
        <v>259</v>
      </c>
      <c r="D34" s="1">
        <v>80</v>
      </c>
      <c r="E34" s="1">
        <v>79</v>
      </c>
      <c r="G34" s="1" t="s">
        <v>118</v>
      </c>
      <c r="H34" s="1" t="s">
        <v>225</v>
      </c>
      <c r="I34" s="1">
        <v>272</v>
      </c>
      <c r="J34" s="1">
        <v>104</v>
      </c>
      <c r="K34" s="1">
        <v>96</v>
      </c>
    </row>
    <row r="35" spans="1:11">
      <c r="A35" s="1" t="s">
        <v>92</v>
      </c>
      <c r="B35" s="1" t="s">
        <v>153</v>
      </c>
      <c r="C35" s="1">
        <v>262</v>
      </c>
      <c r="D35" s="1">
        <v>81</v>
      </c>
      <c r="E35" s="1">
        <v>79</v>
      </c>
      <c r="G35" s="1" t="s">
        <v>119</v>
      </c>
      <c r="H35" s="1" t="s">
        <v>224</v>
      </c>
      <c r="I35" s="1">
        <v>281</v>
      </c>
      <c r="J35" s="1">
        <v>105</v>
      </c>
      <c r="K35" s="1">
        <v>96</v>
      </c>
    </row>
    <row r="36" spans="1:11">
      <c r="A36" s="1" t="s">
        <v>93</v>
      </c>
      <c r="B36" s="1" t="s">
        <v>154</v>
      </c>
      <c r="C36" s="1">
        <v>266</v>
      </c>
      <c r="D36" s="1">
        <v>82</v>
      </c>
      <c r="E36" s="1">
        <v>79</v>
      </c>
      <c r="G36" s="1" t="s">
        <v>120</v>
      </c>
      <c r="H36" s="1" t="s">
        <v>226</v>
      </c>
      <c r="I36" s="1">
        <v>115</v>
      </c>
      <c r="J36" s="1">
        <v>106</v>
      </c>
      <c r="K36" s="1">
        <v>96</v>
      </c>
    </row>
    <row r="37" spans="1:11">
      <c r="A37" s="1" t="s">
        <v>94</v>
      </c>
      <c r="B37" s="1" t="s">
        <v>165</v>
      </c>
      <c r="C37" s="1">
        <v>165</v>
      </c>
      <c r="D37" s="1">
        <v>83</v>
      </c>
      <c r="E37" s="1">
        <v>79</v>
      </c>
      <c r="G37" s="1" t="s">
        <v>121</v>
      </c>
      <c r="H37" s="1" t="s">
        <v>227</v>
      </c>
      <c r="I37" s="1">
        <v>130</v>
      </c>
      <c r="J37" s="1">
        <v>107</v>
      </c>
      <c r="K37" s="1">
        <v>96</v>
      </c>
    </row>
    <row r="38" spans="1:11">
      <c r="A38" s="1" t="s">
        <v>95</v>
      </c>
      <c r="B38" s="1" t="s">
        <v>166</v>
      </c>
      <c r="C38" s="1">
        <v>164</v>
      </c>
      <c r="D38" s="1">
        <v>84</v>
      </c>
      <c r="E38" s="1">
        <v>79</v>
      </c>
      <c r="G38" s="1" t="s">
        <v>122</v>
      </c>
      <c r="H38" s="1" t="s">
        <v>228</v>
      </c>
      <c r="I38" s="1">
        <v>278</v>
      </c>
      <c r="J38" s="1">
        <v>108</v>
      </c>
      <c r="K38" s="1">
        <v>96</v>
      </c>
    </row>
    <row r="39" spans="1:11">
      <c r="A39" s="1" t="s">
        <v>96</v>
      </c>
      <c r="B39" s="1" t="s">
        <v>167</v>
      </c>
      <c r="C39" s="1">
        <v>258</v>
      </c>
      <c r="D39" s="1">
        <v>85</v>
      </c>
      <c r="E39" s="1">
        <v>79</v>
      </c>
      <c r="G39" s="1" t="s">
        <v>123</v>
      </c>
      <c r="H39" s="1" t="s">
        <v>229</v>
      </c>
      <c r="I39" s="1">
        <v>276</v>
      </c>
      <c r="J39" s="1">
        <v>109</v>
      </c>
      <c r="K39" s="1">
        <v>96</v>
      </c>
    </row>
    <row r="40" spans="1:11">
      <c r="A40" s="1" t="s">
        <v>97</v>
      </c>
      <c r="B40" s="1" t="s">
        <v>155</v>
      </c>
      <c r="C40" s="1">
        <v>174</v>
      </c>
      <c r="D40" s="1">
        <v>86</v>
      </c>
      <c r="E40" s="1">
        <v>79</v>
      </c>
      <c r="G40" s="1" t="s">
        <v>124</v>
      </c>
      <c r="H40" s="1" t="s">
        <v>230</v>
      </c>
      <c r="I40" s="1">
        <v>138</v>
      </c>
      <c r="J40" s="1">
        <v>110</v>
      </c>
      <c r="K40" s="1">
        <v>96</v>
      </c>
    </row>
    <row r="41" spans="1:11">
      <c r="A41" s="1" t="s">
        <v>98</v>
      </c>
      <c r="B41" s="1" t="s">
        <v>156</v>
      </c>
      <c r="C41" s="1">
        <v>168</v>
      </c>
      <c r="D41" s="1">
        <v>87</v>
      </c>
      <c r="E41" s="1">
        <v>79</v>
      </c>
      <c r="G41" s="1" t="s">
        <v>125</v>
      </c>
      <c r="H41" s="1" t="s">
        <v>231</v>
      </c>
      <c r="I41" s="1">
        <v>294</v>
      </c>
      <c r="J41" s="1">
        <v>112</v>
      </c>
      <c r="K41" s="1">
        <v>111</v>
      </c>
    </row>
    <row r="42" spans="1:11">
      <c r="A42" s="1" t="s">
        <v>99</v>
      </c>
      <c r="B42" s="1" t="s">
        <v>157</v>
      </c>
      <c r="C42" s="1">
        <v>252</v>
      </c>
      <c r="D42" s="1">
        <v>88</v>
      </c>
      <c r="E42" s="1">
        <v>79</v>
      </c>
      <c r="G42" s="1" t="s">
        <v>126</v>
      </c>
      <c r="H42" s="1" t="s">
        <v>232</v>
      </c>
      <c r="I42" s="1">
        <v>284</v>
      </c>
      <c r="J42" s="1">
        <v>113</v>
      </c>
      <c r="K42" s="1">
        <v>111</v>
      </c>
    </row>
    <row r="43" spans="1:11">
      <c r="A43" s="1" t="s">
        <v>100</v>
      </c>
      <c r="B43" s="1" t="s">
        <v>158</v>
      </c>
      <c r="C43" s="1">
        <v>170</v>
      </c>
      <c r="D43" s="1">
        <v>89</v>
      </c>
      <c r="E43" s="1">
        <v>79</v>
      </c>
      <c r="G43" s="1" t="s">
        <v>127</v>
      </c>
      <c r="H43" s="1" t="s">
        <v>233</v>
      </c>
      <c r="I43" s="1">
        <v>253</v>
      </c>
      <c r="J43" s="1">
        <v>114</v>
      </c>
      <c r="K43" s="1">
        <v>111</v>
      </c>
    </row>
    <row r="44" spans="1:11">
      <c r="A44" s="1" t="s">
        <v>101</v>
      </c>
      <c r="B44" s="1" t="s">
        <v>159</v>
      </c>
      <c r="C44" s="1">
        <v>260</v>
      </c>
      <c r="D44" s="1">
        <v>90</v>
      </c>
      <c r="E44" s="1">
        <v>79</v>
      </c>
      <c r="G44" s="1" t="s">
        <v>128</v>
      </c>
      <c r="H44" s="1" t="s">
        <v>234</v>
      </c>
      <c r="I44" s="1">
        <v>295</v>
      </c>
      <c r="J44" s="1">
        <v>115</v>
      </c>
      <c r="K44" s="1">
        <v>111</v>
      </c>
    </row>
    <row r="45" spans="1:11">
      <c r="A45" s="1" t="s">
        <v>102</v>
      </c>
      <c r="B45" s="1" t="s">
        <v>160</v>
      </c>
      <c r="C45" s="1">
        <v>256</v>
      </c>
      <c r="D45" s="1">
        <v>91</v>
      </c>
      <c r="E45" s="1">
        <v>79</v>
      </c>
      <c r="G45" s="1" t="s">
        <v>129</v>
      </c>
      <c r="H45" s="1" t="s">
        <v>235</v>
      </c>
      <c r="I45" s="1">
        <v>288</v>
      </c>
      <c r="J45" s="1">
        <v>116</v>
      </c>
      <c r="K45" s="1">
        <v>111</v>
      </c>
    </row>
    <row r="46" spans="1:11">
      <c r="A46" s="1" t="s">
        <v>103</v>
      </c>
      <c r="B46" s="1" t="s">
        <v>161</v>
      </c>
      <c r="C46" s="1">
        <v>175</v>
      </c>
      <c r="D46" s="1">
        <v>92</v>
      </c>
      <c r="E46" s="1">
        <v>79</v>
      </c>
      <c r="G46" s="1" t="s">
        <v>130</v>
      </c>
      <c r="H46" s="1" t="s">
        <v>236</v>
      </c>
      <c r="I46" s="1">
        <v>255</v>
      </c>
      <c r="J46" s="1">
        <v>117</v>
      </c>
      <c r="K46" s="1">
        <v>111</v>
      </c>
    </row>
    <row r="47" spans="1:11">
      <c r="A47" s="1" t="s">
        <v>104</v>
      </c>
      <c r="B47" s="1" t="s">
        <v>162</v>
      </c>
      <c r="C47" s="1">
        <v>268</v>
      </c>
      <c r="D47" s="1">
        <v>93</v>
      </c>
      <c r="E47" s="1">
        <v>79</v>
      </c>
      <c r="G47" s="1" t="s">
        <v>131</v>
      </c>
      <c r="H47" s="1" t="s">
        <v>237</v>
      </c>
      <c r="I47" s="1">
        <v>289</v>
      </c>
      <c r="J47" s="1">
        <v>118</v>
      </c>
      <c r="K47" s="1">
        <v>111</v>
      </c>
    </row>
    <row r="48" spans="1:11">
      <c r="A48" s="1" t="s">
        <v>105</v>
      </c>
      <c r="B48" s="1" t="s">
        <v>163</v>
      </c>
      <c r="C48" s="1">
        <v>261</v>
      </c>
      <c r="D48" s="1">
        <v>94</v>
      </c>
      <c r="E48" s="1">
        <v>79</v>
      </c>
      <c r="G48" s="1" t="s">
        <v>132</v>
      </c>
      <c r="H48" s="1" t="s">
        <v>238</v>
      </c>
      <c r="I48" s="1">
        <v>257</v>
      </c>
      <c r="J48" s="1">
        <v>119</v>
      </c>
      <c r="K48" s="1">
        <v>111</v>
      </c>
    </row>
    <row r="49" spans="1:11">
      <c r="A49" s="1" t="s">
        <v>106</v>
      </c>
      <c r="B49" s="1" t="s">
        <v>164</v>
      </c>
      <c r="C49" s="1">
        <v>169</v>
      </c>
      <c r="D49" s="1">
        <v>95</v>
      </c>
      <c r="E49" s="1">
        <v>79</v>
      </c>
      <c r="G49" s="1" t="s">
        <v>133</v>
      </c>
      <c r="H49" s="1" t="s">
        <v>239</v>
      </c>
      <c r="I49" s="1">
        <v>263</v>
      </c>
      <c r="J49" s="1">
        <v>120</v>
      </c>
      <c r="K49" s="1">
        <v>111</v>
      </c>
    </row>
    <row r="50" spans="1:11">
      <c r="G50" s="1" t="s">
        <v>134</v>
      </c>
      <c r="H50" s="1" t="s">
        <v>240</v>
      </c>
      <c r="I50" s="1">
        <v>192</v>
      </c>
      <c r="J50" s="1">
        <v>121</v>
      </c>
      <c r="K50" s="1">
        <v>111</v>
      </c>
    </row>
    <row r="51" spans="1:11">
      <c r="G51" s="1" t="s">
        <v>135</v>
      </c>
      <c r="H51" s="1" t="s">
        <v>241</v>
      </c>
      <c r="I51" s="1">
        <v>155</v>
      </c>
      <c r="J51" s="1">
        <v>122</v>
      </c>
      <c r="K51" s="1">
        <v>111</v>
      </c>
    </row>
    <row r="52" spans="1:11">
      <c r="G52" s="1" t="s">
        <v>136</v>
      </c>
      <c r="H52" s="1" t="s">
        <v>242</v>
      </c>
      <c r="I52" s="1">
        <v>162</v>
      </c>
      <c r="J52" s="1">
        <v>123</v>
      </c>
      <c r="K52" s="1">
        <v>111</v>
      </c>
    </row>
    <row r="53" spans="1:11">
      <c r="G53" s="1" t="s">
        <v>137</v>
      </c>
      <c r="H53" s="1" t="s">
        <v>243</v>
      </c>
      <c r="I53" s="1">
        <v>264</v>
      </c>
      <c r="J53" s="1">
        <v>124</v>
      </c>
      <c r="K53" s="1">
        <v>111</v>
      </c>
    </row>
    <row r="54" spans="1:11">
      <c r="G54" s="1" t="s">
        <v>138</v>
      </c>
      <c r="H54" s="1" t="s">
        <v>244</v>
      </c>
      <c r="I54" s="1">
        <v>285</v>
      </c>
      <c r="J54" s="1">
        <v>125</v>
      </c>
      <c r="K54" s="1">
        <v>111</v>
      </c>
    </row>
  </sheetData>
  <phoneticPr fontId="5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9</vt:i4>
      </vt:variant>
      <vt:variant>
        <vt:lpstr>이름 지정된 범위</vt:lpstr>
      </vt:variant>
      <vt:variant>
        <vt:i4>8</vt:i4>
      </vt:variant>
    </vt:vector>
  </HeadingPairs>
  <TitlesOfParts>
    <vt:vector size="17" baseType="lpstr">
      <vt:lpstr>서울</vt:lpstr>
      <vt:lpstr>천안</vt:lpstr>
      <vt:lpstr>서산</vt:lpstr>
      <vt:lpstr>부여</vt:lpstr>
      <vt:lpstr>보령</vt:lpstr>
      <vt:lpstr>금산</vt:lpstr>
      <vt:lpstr>대전</vt:lpstr>
      <vt:lpstr>main</vt:lpstr>
      <vt:lpstr>AREA</vt:lpstr>
      <vt:lpstr>금산!CategoryA_Area</vt:lpstr>
      <vt:lpstr>대전!CategoryA_Area</vt:lpstr>
      <vt:lpstr>보령!CategoryA_Area</vt:lpstr>
      <vt:lpstr>부여!CategoryA_Area</vt:lpstr>
      <vt:lpstr>서산!CategoryA_Area</vt:lpstr>
      <vt:lpstr>서울!CategoryA_Area</vt:lpstr>
      <vt:lpstr>천안!CategoryA_Area</vt:lpstr>
      <vt:lpstr>CategoryA_Area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2019-02-19T09:41:12Z</cp:lastPrinted>
  <dcterms:created xsi:type="dcterms:W3CDTF">2006-03-22T01:28:03Z</dcterms:created>
  <dcterms:modified xsi:type="dcterms:W3CDTF">2024-01-02T08:07:54Z</dcterms:modified>
</cp:coreProperties>
</file>