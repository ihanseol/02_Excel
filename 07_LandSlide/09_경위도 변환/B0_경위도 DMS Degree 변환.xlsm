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14_생활용 - 서산 호수공원 2공, 연장허가 - 수도건설\01_base data\"/>
    </mc:Choice>
  </mc:AlternateContent>
  <xr:revisionPtr revIDLastSave="0" documentId="13_ncr:1_{32C074A4-4AA7-4848-9B89-E1CBF6ADA216}" xr6:coauthVersionLast="47" xr6:coauthVersionMax="47" xr10:uidLastSave="{00000000-0000-0000-0000-000000000000}"/>
  <bookViews>
    <workbookView xWindow="3840" yWindow="1080" windowWidth="29355" windowHeight="19800" activeTab="1" xr2:uid="{00000000-000D-0000-FFFF-FFFF00000000}"/>
  </bookViews>
  <sheets>
    <sheet name="DMS -&gt; Degree" sheetId="1" r:id="rId1"/>
    <sheet name="Degree -&gt; DMS" sheetId="2" r:id="rId2"/>
  </sheets>
  <functionGroups builtInGroupCount="19"/>
  <calcPr calcId="191029"/>
</workbook>
</file>

<file path=xl/calcChain.xml><?xml version="1.0" encoding="utf-8"?>
<calcChain xmlns="http://schemas.openxmlformats.org/spreadsheetml/2006/main">
  <c r="J18" i="2" l="1"/>
  <c r="I18" i="2"/>
  <c r="J17" i="2"/>
  <c r="I17" i="2"/>
  <c r="L17" i="2" s="1"/>
  <c r="L18" i="2" l="1"/>
  <c r="I16" i="2"/>
  <c r="J16" i="2"/>
  <c r="J15" i="2"/>
  <c r="I15" i="2"/>
  <c r="L15" i="2" s="1"/>
  <c r="E7" i="2"/>
  <c r="F7" i="2" s="1"/>
  <c r="H7" i="2"/>
  <c r="J7" i="2" s="1"/>
  <c r="E8" i="2"/>
  <c r="G8" i="2" s="1"/>
  <c r="H8" i="2"/>
  <c r="I8" i="2" s="1"/>
  <c r="K10" i="1"/>
  <c r="J10" i="1"/>
  <c r="K9" i="1"/>
  <c r="J9" i="1"/>
  <c r="L16" i="2" l="1"/>
  <c r="J8" i="2"/>
  <c r="I7" i="2"/>
  <c r="F8" i="2"/>
  <c r="G7" i="2"/>
</calcChain>
</file>

<file path=xl/sharedStrings.xml><?xml version="1.0" encoding="utf-8"?>
<sst xmlns="http://schemas.openxmlformats.org/spreadsheetml/2006/main" count="39" uniqueCount="14">
  <si>
    <t>도</t>
    <phoneticPr fontId="1" type="noConversion"/>
  </si>
  <si>
    <t>분</t>
    <phoneticPr fontId="1" type="noConversion"/>
  </si>
  <si>
    <t>초</t>
    <phoneticPr fontId="1" type="noConversion"/>
  </si>
  <si>
    <t>DMS</t>
    <phoneticPr fontId="1" type="noConversion"/>
  </si>
  <si>
    <t>Degree</t>
    <phoneticPr fontId="1" type="noConversion"/>
  </si>
  <si>
    <t>LAT</t>
    <phoneticPr fontId="1" type="noConversion"/>
  </si>
  <si>
    <t>LNG</t>
    <phoneticPr fontId="1" type="noConversion"/>
  </si>
  <si>
    <t>LAT</t>
    <phoneticPr fontId="1" type="noConversion"/>
  </si>
  <si>
    <t>LNG</t>
    <phoneticPr fontId="1" type="noConversion"/>
  </si>
  <si>
    <t>Degree</t>
    <phoneticPr fontId="1" type="noConversion"/>
  </si>
  <si>
    <t>DMS</t>
    <phoneticPr fontId="1" type="noConversion"/>
  </si>
  <si>
    <t>degree -&gt; DMS</t>
    <phoneticPr fontId="1" type="noConversion"/>
  </si>
  <si>
    <t>DMS -&gt; degree</t>
    <phoneticPr fontId="1" type="noConversion"/>
  </si>
  <si>
    <t>36.77557, 126.4515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</si>
</sst>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2"/>
      <color rgb="FF40404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4" borderId="3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3" fillId="2" borderId="13" xfId="0" applyFont="1" applyFill="1" applyBorder="1">
      <alignment vertical="center"/>
    </xf>
    <xf numFmtId="0" fontId="3" fillId="2" borderId="14" xfId="0" applyFont="1" applyFill="1" applyBorder="1">
      <alignment vertical="center"/>
    </xf>
    <xf numFmtId="0" fontId="3" fillId="2" borderId="15" xfId="0" applyFont="1" applyFill="1" applyBorder="1">
      <alignment vertical="center"/>
    </xf>
    <xf numFmtId="0" fontId="3" fillId="3" borderId="9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2" fillId="0" borderId="0" xfId="0" applyFont="1">
      <alignment vertical="center"/>
    </xf>
    <xf numFmtId="0" fontId="2" fillId="4" borderId="2" xfId="0" applyFont="1" applyFill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2" borderId="7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3" fillId="2" borderId="8" xfId="0" applyFont="1" applyFill="1" applyBorder="1">
      <alignment vertical="center"/>
    </xf>
    <xf numFmtId="0" fontId="3" fillId="2" borderId="20" xfId="0" applyFont="1" applyFill="1" applyBorder="1">
      <alignment vertical="center"/>
    </xf>
    <xf numFmtId="0" fontId="3" fillId="3" borderId="20" xfId="0" applyFont="1" applyFill="1" applyBorder="1">
      <alignment vertical="center"/>
    </xf>
    <xf numFmtId="0" fontId="3" fillId="3" borderId="14" xfId="0" applyFont="1" applyFill="1" applyBorder="1">
      <alignment vertical="center"/>
    </xf>
    <xf numFmtId="0" fontId="3" fillId="3" borderId="15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3" fillId="3" borderId="22" xfId="0" applyFont="1" applyFill="1" applyBorder="1">
      <alignment vertical="center"/>
    </xf>
    <xf numFmtId="0" fontId="3" fillId="3" borderId="2" xfId="0" applyFont="1" applyFill="1" applyBorder="1">
      <alignment vertical="center"/>
    </xf>
    <xf numFmtId="0" fontId="3" fillId="3" borderId="3" xfId="0" applyFont="1" applyFill="1" applyBorder="1">
      <alignment vertical="center"/>
    </xf>
    <xf numFmtId="0" fontId="4" fillId="0" borderId="23" xfId="0" applyFont="1" applyBorder="1">
      <alignment vertical="center"/>
    </xf>
    <xf numFmtId="0" fontId="4" fillId="0" borderId="0" xfId="0" applyFont="1">
      <alignment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K21"/>
  <sheetViews>
    <sheetView workbookViewId="0">
      <selection activeCell="H13" sqref="H13"/>
    </sheetView>
  </sheetViews>
  <sheetFormatPr defaultRowHeight="16.5"/>
  <cols>
    <col min="1" max="6" width="10.77734375" style="1" customWidth="1"/>
    <col min="7" max="8" width="15.77734375" style="1" customWidth="1"/>
    <col min="9" max="16384" width="8.88671875" style="1"/>
  </cols>
  <sheetData>
    <row r="1" spans="4:11" ht="30" customHeight="1"/>
    <row r="2" spans="4:11" ht="30" customHeight="1"/>
    <row r="3" spans="4:11" ht="30" customHeight="1"/>
    <row r="4" spans="4:11" ht="30" customHeight="1"/>
    <row r="5" spans="4:11" ht="30" customHeight="1" thickBot="1"/>
    <row r="6" spans="4:11" ht="30" customHeight="1" thickBot="1">
      <c r="D6" s="36" t="s">
        <v>3</v>
      </c>
      <c r="E6" s="37"/>
      <c r="F6" s="37"/>
      <c r="G6" s="37"/>
      <c r="H6" s="37"/>
      <c r="I6" s="38"/>
      <c r="J6" s="39" t="s">
        <v>4</v>
      </c>
      <c r="K6" s="38"/>
    </row>
    <row r="7" spans="4:11" ht="30" customHeight="1">
      <c r="D7" s="40" t="s">
        <v>5</v>
      </c>
      <c r="E7" s="41"/>
      <c r="F7" s="41"/>
      <c r="G7" s="41" t="s">
        <v>6</v>
      </c>
      <c r="H7" s="41"/>
      <c r="I7" s="42"/>
      <c r="J7" s="43" t="s">
        <v>7</v>
      </c>
      <c r="K7" s="45" t="s">
        <v>8</v>
      </c>
    </row>
    <row r="8" spans="4:11" ht="30" customHeight="1" thickBot="1">
      <c r="D8" s="13" t="s">
        <v>0</v>
      </c>
      <c r="E8" s="16" t="s">
        <v>1</v>
      </c>
      <c r="F8" s="16" t="s">
        <v>2</v>
      </c>
      <c r="G8" s="16" t="s">
        <v>0</v>
      </c>
      <c r="H8" s="16" t="s">
        <v>1</v>
      </c>
      <c r="I8" s="2" t="s">
        <v>2</v>
      </c>
      <c r="J8" s="44"/>
      <c r="K8" s="46"/>
    </row>
    <row r="9" spans="4:11" ht="30" customHeight="1">
      <c r="D9" s="17">
        <v>37</v>
      </c>
      <c r="E9" s="18">
        <v>33</v>
      </c>
      <c r="F9" s="18">
        <v>13.289</v>
      </c>
      <c r="G9" s="18">
        <v>128</v>
      </c>
      <c r="H9" s="18">
        <v>12</v>
      </c>
      <c r="I9" s="19">
        <v>47.439</v>
      </c>
      <c r="J9" s="20">
        <f xml:space="preserve"> D9 + (E9/60) + (F9/3600)</f>
        <v>37.553691388888886</v>
      </c>
      <c r="K9" s="21">
        <f xml:space="preserve"> G9 + (H9/60) + (I9/3600)</f>
        <v>128.2131775</v>
      </c>
    </row>
    <row r="10" spans="4:11" ht="30" customHeight="1" thickBot="1">
      <c r="D10" s="22"/>
      <c r="E10" s="23"/>
      <c r="F10" s="23"/>
      <c r="G10" s="23"/>
      <c r="H10" s="23"/>
      <c r="I10" s="24"/>
      <c r="J10" s="25">
        <f xml:space="preserve"> D10 + (E10/60) + (F10/3600)</f>
        <v>0</v>
      </c>
      <c r="K10" s="12">
        <f xml:space="preserve"> G10 + (H10/60) + (I10/3600)</f>
        <v>0</v>
      </c>
    </row>
    <row r="11" spans="4:11" ht="30" customHeight="1"/>
    <row r="12" spans="4:11" ht="30" customHeight="1"/>
    <row r="13" spans="4:11" ht="30" customHeight="1"/>
    <row r="14" spans="4:11" ht="30" customHeight="1"/>
    <row r="15" spans="4:11" ht="30" customHeight="1"/>
    <row r="16" spans="4:11" ht="30" customHeight="1"/>
    <row r="17" ht="30" customHeight="1"/>
    <row r="18" ht="30" customHeight="1"/>
    <row r="19" ht="30" customHeight="1"/>
    <row r="20" ht="30" customHeight="1"/>
    <row r="21" ht="30" customHeight="1"/>
  </sheetData>
  <mergeCells count="6">
    <mergeCell ref="D6:I6"/>
    <mergeCell ref="J6:K6"/>
    <mergeCell ref="D7:F7"/>
    <mergeCell ref="G7:I7"/>
    <mergeCell ref="J7:J8"/>
    <mergeCell ref="K7:K8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L22"/>
  <sheetViews>
    <sheetView tabSelected="1" zoomScaleNormal="100" workbookViewId="0">
      <selection activeCell="M7" sqref="M7"/>
    </sheetView>
  </sheetViews>
  <sheetFormatPr defaultRowHeight="16.5"/>
  <cols>
    <col min="1" max="2" width="15.77734375" style="1" customWidth="1"/>
    <col min="3" max="8" width="10.77734375" style="1" customWidth="1"/>
    <col min="9" max="9" width="14.109375" style="1" customWidth="1"/>
    <col min="10" max="10" width="14" style="1" customWidth="1"/>
    <col min="11" max="11" width="8.21875" style="1" customWidth="1"/>
    <col min="12" max="12" width="32.33203125" style="1" customWidth="1"/>
    <col min="13" max="16384" width="8.88671875" style="1"/>
  </cols>
  <sheetData>
    <row r="1" spans="3:12" ht="30" customHeight="1"/>
    <row r="2" spans="3:12" ht="30" customHeight="1"/>
    <row r="3" spans="3:12" ht="30" customHeight="1" thickBot="1">
      <c r="C3" s="15" t="s">
        <v>11</v>
      </c>
    </row>
    <row r="4" spans="3:12" ht="30" customHeight="1" thickBot="1">
      <c r="C4" s="36" t="s">
        <v>9</v>
      </c>
      <c r="D4" s="38"/>
      <c r="E4" s="36" t="s">
        <v>10</v>
      </c>
      <c r="F4" s="37"/>
      <c r="G4" s="37"/>
      <c r="H4" s="37"/>
      <c r="I4" s="37"/>
      <c r="J4" s="38"/>
    </row>
    <row r="5" spans="3:12" ht="30" customHeight="1">
      <c r="C5" s="40" t="s">
        <v>7</v>
      </c>
      <c r="D5" s="42" t="s">
        <v>8</v>
      </c>
      <c r="E5" s="49" t="s">
        <v>7</v>
      </c>
      <c r="F5" s="50"/>
      <c r="G5" s="50"/>
      <c r="H5" s="50" t="s">
        <v>8</v>
      </c>
      <c r="I5" s="50"/>
      <c r="J5" s="45"/>
    </row>
    <row r="6" spans="3:12" ht="30" customHeight="1" thickBot="1">
      <c r="C6" s="47"/>
      <c r="D6" s="48"/>
      <c r="E6" s="3" t="s">
        <v>0</v>
      </c>
      <c r="F6" s="4" t="s">
        <v>1</v>
      </c>
      <c r="G6" s="4" t="s">
        <v>2</v>
      </c>
      <c r="H6" s="4" t="s">
        <v>0</v>
      </c>
      <c r="I6" s="4" t="s">
        <v>1</v>
      </c>
      <c r="J6" s="5" t="s">
        <v>2</v>
      </c>
    </row>
    <row r="7" spans="3:12" ht="30" customHeight="1">
      <c r="C7" s="34">
        <v>36.775570000000002</v>
      </c>
      <c r="D7" s="35">
        <v>126.4515</v>
      </c>
      <c r="E7" s="6">
        <f xml:space="preserve"> INT(C7)</f>
        <v>36</v>
      </c>
      <c r="F7" s="7">
        <f>INT((C7-E7)*60)</f>
        <v>46</v>
      </c>
      <c r="G7" s="7">
        <f xml:space="preserve"> (((C7-E7) * 60) - INT((C7-E7) * 60)) * 60</f>
        <v>32.052000000006728</v>
      </c>
      <c r="H7" s="7">
        <f xml:space="preserve"> INT(D7)</f>
        <v>126</v>
      </c>
      <c r="I7" s="7">
        <f>INT((D7-H7)*60)</f>
        <v>27</v>
      </c>
      <c r="J7" s="8">
        <f xml:space="preserve"> (((D7-H7) * 60) - INT((D7-H7) * 60)) * 60</f>
        <v>5.3999999999848569</v>
      </c>
      <c r="L7" s="1" t="s">
        <v>13</v>
      </c>
    </row>
    <row r="8" spans="3:12" ht="30" customHeight="1" thickBot="1">
      <c r="C8" s="14"/>
      <c r="D8" s="9"/>
      <c r="E8" s="10">
        <f xml:space="preserve"> INT(C8)</f>
        <v>0</v>
      </c>
      <c r="F8" s="11">
        <f>INT((C8-E8)*60)</f>
        <v>0</v>
      </c>
      <c r="G8" s="11">
        <f xml:space="preserve"> (((C8-E8) * 60) - INT((C8-E8) * 60)) * 60</f>
        <v>0</v>
      </c>
      <c r="H8" s="11">
        <f xml:space="preserve"> INT(D8)</f>
        <v>0</v>
      </c>
      <c r="I8" s="11">
        <f>INT((D8-H8)*60)</f>
        <v>0</v>
      </c>
      <c r="J8" s="12">
        <f xml:space="preserve"> (((D8-H8) * 60) - INT((D8-H8) * 60)) * 60</f>
        <v>0</v>
      </c>
    </row>
    <row r="9" spans="3:12" ht="30" customHeight="1"/>
    <row r="10" spans="3:12" ht="30" customHeight="1"/>
    <row r="11" spans="3:12" ht="30" customHeight="1" thickBot="1">
      <c r="C11" s="15" t="s">
        <v>12</v>
      </c>
    </row>
    <row r="12" spans="3:12" ht="30" customHeight="1" thickBot="1">
      <c r="C12" s="36" t="s">
        <v>3</v>
      </c>
      <c r="D12" s="37"/>
      <c r="E12" s="37"/>
      <c r="F12" s="37"/>
      <c r="G12" s="37"/>
      <c r="H12" s="38"/>
      <c r="I12" s="36" t="s">
        <v>4</v>
      </c>
      <c r="J12" s="38"/>
    </row>
    <row r="13" spans="3:12" ht="30" customHeight="1">
      <c r="C13" s="49" t="s">
        <v>5</v>
      </c>
      <c r="D13" s="50"/>
      <c r="E13" s="50"/>
      <c r="F13" s="50" t="s">
        <v>6</v>
      </c>
      <c r="G13" s="50"/>
      <c r="H13" s="45"/>
      <c r="I13" s="40" t="s">
        <v>5</v>
      </c>
      <c r="J13" s="42" t="s">
        <v>6</v>
      </c>
    </row>
    <row r="14" spans="3:12" ht="30" customHeight="1" thickBot="1">
      <c r="C14" s="3" t="s">
        <v>0</v>
      </c>
      <c r="D14" s="4" t="s">
        <v>1</v>
      </c>
      <c r="E14" s="4" t="s">
        <v>2</v>
      </c>
      <c r="F14" s="4" t="s">
        <v>0</v>
      </c>
      <c r="G14" s="4" t="s">
        <v>1</v>
      </c>
      <c r="H14" s="5" t="s">
        <v>2</v>
      </c>
      <c r="I14" s="51"/>
      <c r="J14" s="52"/>
    </row>
    <row r="15" spans="3:12" ht="30" customHeight="1">
      <c r="C15" s="6">
        <v>36</v>
      </c>
      <c r="D15" s="7">
        <v>46</v>
      </c>
      <c r="E15" s="7">
        <v>32.090000000000003</v>
      </c>
      <c r="F15" s="7">
        <v>126</v>
      </c>
      <c r="G15" s="7">
        <v>27</v>
      </c>
      <c r="H15" s="7">
        <v>5.5</v>
      </c>
      <c r="I15" s="28">
        <f>C15+D15/60+E15/3600</f>
        <v>36.775580555555557</v>
      </c>
      <c r="J15" s="29">
        <f>F15+G15/60+H15/3600</f>
        <v>126.45152777777778</v>
      </c>
      <c r="L15" s="1" t="str">
        <f xml:space="preserve"> I15 &amp; "," &amp; J15</f>
        <v>36.7755805555556,126.451527777778</v>
      </c>
    </row>
    <row r="16" spans="3:12" ht="30" customHeight="1">
      <c r="C16" s="30">
        <v>36</v>
      </c>
      <c r="D16" s="26">
        <v>46</v>
      </c>
      <c r="E16" s="26">
        <v>29.4</v>
      </c>
      <c r="F16" s="26">
        <v>126</v>
      </c>
      <c r="G16" s="26">
        <v>27</v>
      </c>
      <c r="H16" s="26">
        <v>1.27</v>
      </c>
      <c r="I16" s="27">
        <f>C16+D16/60+E16/3600</f>
        <v>36.774833333333333</v>
      </c>
      <c r="J16" s="31">
        <f>F16+G16/60+H16/3600</f>
        <v>126.45035277777778</v>
      </c>
      <c r="L16" s="1" t="str">
        <f xml:space="preserve"> I16 &amp; "," &amp; J16</f>
        <v>36.7748333333333,126.450352777778</v>
      </c>
    </row>
    <row r="17" spans="3:12" ht="30" customHeight="1">
      <c r="C17" s="30"/>
      <c r="D17" s="26"/>
      <c r="E17" s="26"/>
      <c r="F17" s="26"/>
      <c r="G17" s="26"/>
      <c r="H17" s="26"/>
      <c r="I17" s="27">
        <f>C17+D17/60+E17/3600</f>
        <v>0</v>
      </c>
      <c r="J17" s="31">
        <f>F17+G17/60+H17/3600</f>
        <v>0</v>
      </c>
      <c r="L17" s="1" t="str">
        <f xml:space="preserve"> I17 &amp; "," &amp; J17</f>
        <v>0,0</v>
      </c>
    </row>
    <row r="18" spans="3:12" ht="30" customHeight="1" thickBot="1">
      <c r="C18" s="10"/>
      <c r="D18" s="11"/>
      <c r="E18" s="11"/>
      <c r="F18" s="11"/>
      <c r="G18" s="11"/>
      <c r="H18" s="11"/>
      <c r="I18" s="32">
        <f>C18+D18/60+E18/3600</f>
        <v>0</v>
      </c>
      <c r="J18" s="33">
        <f>F18+G18/60+H18/3600</f>
        <v>0</v>
      </c>
      <c r="L18" s="1" t="str">
        <f xml:space="preserve"> I18 &amp; "," &amp; J18</f>
        <v>0,0</v>
      </c>
    </row>
    <row r="19" spans="3:12" ht="30" customHeight="1"/>
    <row r="20" spans="3:12" ht="30" customHeight="1"/>
    <row r="21" spans="3:12" ht="30" customHeight="1"/>
    <row r="22" spans="3:12" ht="30" customHeight="1"/>
  </sheetData>
  <mergeCells count="12">
    <mergeCell ref="C12:H12"/>
    <mergeCell ref="C13:E13"/>
    <mergeCell ref="F13:H13"/>
    <mergeCell ref="I12:J12"/>
    <mergeCell ref="I13:I14"/>
    <mergeCell ref="J13:J14"/>
    <mergeCell ref="C4:D4"/>
    <mergeCell ref="C5:C6"/>
    <mergeCell ref="D5:D6"/>
    <mergeCell ref="E4:J4"/>
    <mergeCell ref="E5:G5"/>
    <mergeCell ref="H5:J5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DMS -&gt; Degree</vt:lpstr>
      <vt:lpstr>Degree -&gt; DMS</vt:lpstr>
    </vt:vector>
  </TitlesOfParts>
  <Company>openmate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korea</dc:creator>
  <cp:lastModifiedBy>minhwasoo</cp:lastModifiedBy>
  <dcterms:created xsi:type="dcterms:W3CDTF">2011-02-11T04:52:29Z</dcterms:created>
  <dcterms:modified xsi:type="dcterms:W3CDTF">2023-10-14T01:59:42Z</dcterms:modified>
</cp:coreProperties>
</file>