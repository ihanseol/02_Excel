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9_hardRain\08_ihanseol - 2023\14_생활용 - 서산 호수공원 2공, 연장허가 - 수도건설\01_base data\"/>
    </mc:Choice>
  </mc:AlternateContent>
  <xr:revisionPtr revIDLastSave="0" documentId="13_ncr:1_{39848DC7-F3CA-4876-A57B-57DDAB7F081F}" xr6:coauthVersionLast="47" xr6:coauthVersionMax="47" xr10:uidLastSave="{00000000-0000-0000-0000-000000000000}"/>
  <bookViews>
    <workbookView xWindow="2085" yWindow="1335" windowWidth="29355" windowHeight="19800" activeTab="1" xr2:uid="{00000000-000D-0000-FFFF-FFFF00000000}"/>
  </bookViews>
  <sheets>
    <sheet name="DMS -&gt; Degree" sheetId="1" r:id="rId1"/>
    <sheet name="Degree -&gt; DMS" sheetId="2" r:id="rId2"/>
  </sheets>
  <functionGroups builtInGroupCount="19"/>
  <calcPr calcId="191029"/>
</workbook>
</file>

<file path=xl/calcChain.xml><?xml version="1.0" encoding="utf-8"?>
<calcChain xmlns="http://schemas.openxmlformats.org/spreadsheetml/2006/main">
  <c r="F8" i="2" l="1"/>
  <c r="E8" i="2"/>
  <c r="G8" i="2" s="1"/>
  <c r="E9" i="2"/>
  <c r="F9" i="2" s="1"/>
  <c r="E10" i="2"/>
  <c r="F10" i="2" s="1"/>
  <c r="E11" i="2"/>
  <c r="F11" i="2" s="1"/>
  <c r="E12" i="2"/>
  <c r="F12" i="2" s="1"/>
  <c r="E13" i="2"/>
  <c r="F13" i="2" s="1"/>
  <c r="J8" i="2"/>
  <c r="J9" i="2"/>
  <c r="J10" i="2"/>
  <c r="J11" i="2"/>
  <c r="J12" i="2"/>
  <c r="J13" i="2"/>
  <c r="I11" i="2"/>
  <c r="I12" i="2"/>
  <c r="I13" i="2"/>
  <c r="H8" i="2"/>
  <c r="I8" i="2" s="1"/>
  <c r="H9" i="2"/>
  <c r="I9" i="2" s="1"/>
  <c r="H10" i="2"/>
  <c r="I10" i="2" s="1"/>
  <c r="H11" i="2"/>
  <c r="H12" i="2"/>
  <c r="H13" i="2"/>
  <c r="G9" i="2"/>
  <c r="G10" i="2"/>
  <c r="G11" i="2"/>
  <c r="G12" i="2"/>
  <c r="G13" i="2"/>
  <c r="J26" i="2"/>
  <c r="J27" i="2"/>
  <c r="J28" i="2"/>
  <c r="I26" i="2"/>
  <c r="I27" i="2"/>
  <c r="I28" i="2"/>
  <c r="L28" i="2" s="1"/>
  <c r="J30" i="2"/>
  <c r="I30" i="2"/>
  <c r="J29" i="2"/>
  <c r="I29" i="2"/>
  <c r="L29" i="2" l="1"/>
  <c r="L27" i="2"/>
  <c r="L26" i="2"/>
  <c r="L30" i="2"/>
  <c r="I25" i="2"/>
  <c r="J25" i="2"/>
  <c r="J24" i="2"/>
  <c r="I24" i="2"/>
  <c r="L24" i="2" s="1"/>
  <c r="E7" i="2"/>
  <c r="F7" i="2" s="1"/>
  <c r="H7" i="2"/>
  <c r="J7" i="2" s="1"/>
  <c r="E14" i="2"/>
  <c r="G14" i="2" s="1"/>
  <c r="H14" i="2"/>
  <c r="I14" i="2" s="1"/>
  <c r="K10" i="1"/>
  <c r="J10" i="1"/>
  <c r="K9" i="1"/>
  <c r="J9" i="1"/>
  <c r="L25" i="2" l="1"/>
  <c r="J14" i="2"/>
  <c r="I7" i="2"/>
  <c r="F14" i="2"/>
  <c r="G7" i="2"/>
</calcChain>
</file>

<file path=xl/sharedStrings.xml><?xml version="1.0" encoding="utf-8"?>
<sst xmlns="http://schemas.openxmlformats.org/spreadsheetml/2006/main" count="39" uniqueCount="14">
  <si>
    <t>도</t>
    <phoneticPr fontId="1" type="noConversion"/>
  </si>
  <si>
    <t>분</t>
    <phoneticPr fontId="1" type="noConversion"/>
  </si>
  <si>
    <t>초</t>
    <phoneticPr fontId="1" type="noConversion"/>
  </si>
  <si>
    <t>DMS</t>
    <phoneticPr fontId="1" type="noConversion"/>
  </si>
  <si>
    <t>Degree</t>
    <phoneticPr fontId="1" type="noConversion"/>
  </si>
  <si>
    <t>LAT</t>
    <phoneticPr fontId="1" type="noConversion"/>
  </si>
  <si>
    <t>LNG</t>
    <phoneticPr fontId="1" type="noConversion"/>
  </si>
  <si>
    <t>LAT</t>
    <phoneticPr fontId="1" type="noConversion"/>
  </si>
  <si>
    <t>LNG</t>
    <phoneticPr fontId="1" type="noConversion"/>
  </si>
  <si>
    <t>Degree</t>
    <phoneticPr fontId="1" type="noConversion"/>
  </si>
  <si>
    <t>DMS</t>
    <phoneticPr fontId="1" type="noConversion"/>
  </si>
  <si>
    <t>degree -&gt; DMS</t>
    <phoneticPr fontId="1" type="noConversion"/>
  </si>
  <si>
    <t>DMS -&gt; degree</t>
    <phoneticPr fontId="1" type="noConversion"/>
  </si>
  <si>
    <t>36.77556072216182, 126.45151388498847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</si>
</sst>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2"/>
      <color rgb="FF404040"/>
      <name val="Segoe UI"/>
      <family val="2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65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4" borderId="3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3" fillId="2" borderId="12" xfId="0" applyFont="1" applyFill="1" applyBorder="1">
      <alignment vertical="center"/>
    </xf>
    <xf numFmtId="0" fontId="3" fillId="2" borderId="13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3" fillId="2" borderId="2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4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2" fillId="0" borderId="0" xfId="0" applyFont="1">
      <alignment vertical="center"/>
    </xf>
    <xf numFmtId="0" fontId="2" fillId="4" borderId="2" xfId="0" applyFont="1" applyFill="1" applyBorder="1" applyAlignment="1">
      <alignment horizontal="center" vertical="center"/>
    </xf>
    <xf numFmtId="0" fontId="3" fillId="0" borderId="4" xfId="0" applyFont="1" applyBorder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2" borderId="7" xfId="0" applyFont="1" applyFill="1" applyBorder="1">
      <alignment vertical="center"/>
    </xf>
    <xf numFmtId="0" fontId="3" fillId="2" borderId="6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3" fillId="2" borderId="8" xfId="0" applyFont="1" applyFill="1" applyBorder="1">
      <alignment vertical="center"/>
    </xf>
    <xf numFmtId="0" fontId="3" fillId="2" borderId="19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13" xfId="0" applyFont="1" applyFill="1" applyBorder="1">
      <alignment vertical="center"/>
    </xf>
    <xf numFmtId="0" fontId="3" fillId="3" borderId="14" xfId="0" applyFont="1" applyFill="1" applyBorder="1">
      <alignment vertical="center"/>
    </xf>
    <xf numFmtId="0" fontId="3" fillId="2" borderId="20" xfId="0" applyFont="1" applyFill="1" applyBorder="1">
      <alignment vertical="center"/>
    </xf>
    <xf numFmtId="0" fontId="3" fillId="3" borderId="21" xfId="0" applyFont="1" applyFill="1" applyBorder="1">
      <alignment vertical="center"/>
    </xf>
    <xf numFmtId="0" fontId="3" fillId="3" borderId="2" xfId="0" applyFont="1" applyFill="1" applyBorder="1">
      <alignment vertical="center"/>
    </xf>
    <xf numFmtId="0" fontId="3" fillId="3" borderId="3" xfId="0" applyFont="1" applyFill="1" applyBorder="1">
      <alignment vertical="center"/>
    </xf>
    <xf numFmtId="0" fontId="2" fillId="5" borderId="3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0" fontId="3" fillId="2" borderId="5" xfId="0" applyFont="1" applyFill="1" applyBorder="1">
      <alignment vertical="center"/>
    </xf>
    <xf numFmtId="0" fontId="4" fillId="0" borderId="20" xfId="0" applyFont="1" applyBorder="1">
      <alignment vertical="center"/>
    </xf>
    <xf numFmtId="0" fontId="4" fillId="0" borderId="21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6" xfId="0" applyFont="1" applyBorder="1">
      <alignment vertical="center"/>
    </xf>
    <xf numFmtId="0" fontId="2" fillId="5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0" borderId="22" xfId="0" applyFont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K21"/>
  <sheetViews>
    <sheetView workbookViewId="0">
      <selection activeCell="H13" sqref="H13"/>
    </sheetView>
  </sheetViews>
  <sheetFormatPr defaultRowHeight="16.5"/>
  <cols>
    <col min="1" max="6" width="10.77734375" style="1" customWidth="1"/>
    <col min="7" max="8" width="15.77734375" style="1" customWidth="1"/>
    <col min="9" max="16384" width="8.88671875" style="1"/>
  </cols>
  <sheetData>
    <row r="1" spans="4:11" ht="30" customHeight="1"/>
    <row r="2" spans="4:11" ht="30" customHeight="1"/>
    <row r="3" spans="4:11" ht="30" customHeight="1"/>
    <row r="4" spans="4:11" ht="30" customHeight="1"/>
    <row r="5" spans="4:11" ht="30" customHeight="1" thickBot="1"/>
    <row r="6" spans="4:11" ht="30" customHeight="1" thickBot="1">
      <c r="D6" s="34" t="s">
        <v>3</v>
      </c>
      <c r="E6" s="35"/>
      <c r="F6" s="35"/>
      <c r="G6" s="35"/>
      <c r="H6" s="35"/>
      <c r="I6" s="36"/>
      <c r="J6" s="37" t="s">
        <v>4</v>
      </c>
      <c r="K6" s="36"/>
    </row>
    <row r="7" spans="4:11" ht="30" customHeight="1">
      <c r="D7" s="38" t="s">
        <v>5</v>
      </c>
      <c r="E7" s="39"/>
      <c r="F7" s="39"/>
      <c r="G7" s="39" t="s">
        <v>6</v>
      </c>
      <c r="H7" s="39"/>
      <c r="I7" s="40"/>
      <c r="J7" s="41" t="s">
        <v>7</v>
      </c>
      <c r="K7" s="43" t="s">
        <v>8</v>
      </c>
    </row>
    <row r="8" spans="4:11" ht="30" customHeight="1" thickBot="1">
      <c r="D8" s="11" t="s">
        <v>0</v>
      </c>
      <c r="E8" s="14" t="s">
        <v>1</v>
      </c>
      <c r="F8" s="14" t="s">
        <v>2</v>
      </c>
      <c r="G8" s="14" t="s">
        <v>0</v>
      </c>
      <c r="H8" s="14" t="s">
        <v>1</v>
      </c>
      <c r="I8" s="2" t="s">
        <v>2</v>
      </c>
      <c r="J8" s="42"/>
      <c r="K8" s="44"/>
    </row>
    <row r="9" spans="4:11" ht="30" customHeight="1">
      <c r="D9" s="15">
        <v>37</v>
      </c>
      <c r="E9" s="16">
        <v>33</v>
      </c>
      <c r="F9" s="16">
        <v>13.289</v>
      </c>
      <c r="G9" s="16">
        <v>128</v>
      </c>
      <c r="H9" s="16">
        <v>12</v>
      </c>
      <c r="I9" s="17">
        <v>47.439</v>
      </c>
      <c r="J9" s="18">
        <f xml:space="preserve"> D9 + (E9/60) + (F9/3600)</f>
        <v>37.553691388888886</v>
      </c>
      <c r="K9" s="19">
        <f xml:space="preserve"> G9 + (H9/60) + (I9/3600)</f>
        <v>128.2131775</v>
      </c>
    </row>
    <row r="10" spans="4:11" ht="30" customHeight="1" thickBot="1">
      <c r="D10" s="20"/>
      <c r="E10" s="21"/>
      <c r="F10" s="21"/>
      <c r="G10" s="21"/>
      <c r="H10" s="21"/>
      <c r="I10" s="22"/>
      <c r="J10" s="23">
        <f xml:space="preserve"> D10 + (E10/60) + (F10/3600)</f>
        <v>0</v>
      </c>
      <c r="K10" s="10">
        <f xml:space="preserve"> G10 + (H10/60) + (I10/3600)</f>
        <v>0</v>
      </c>
    </row>
    <row r="11" spans="4:11" ht="30" customHeight="1"/>
    <row r="12" spans="4:11" ht="30" customHeight="1"/>
    <row r="13" spans="4:11" ht="30" customHeight="1"/>
    <row r="14" spans="4:11" ht="30" customHeight="1"/>
    <row r="15" spans="4:11" ht="30" customHeight="1"/>
    <row r="16" spans="4:11" ht="30" customHeight="1"/>
    <row r="17" ht="30" customHeight="1"/>
    <row r="18" ht="30" customHeight="1"/>
    <row r="19" ht="30" customHeight="1"/>
    <row r="20" ht="30" customHeight="1"/>
    <row r="21" ht="30" customHeight="1"/>
  </sheetData>
  <mergeCells count="6">
    <mergeCell ref="D6:I6"/>
    <mergeCell ref="J6:K6"/>
    <mergeCell ref="D7:F7"/>
    <mergeCell ref="G7:I7"/>
    <mergeCell ref="J7:J8"/>
    <mergeCell ref="K7:K8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O34"/>
  <sheetViews>
    <sheetView tabSelected="1" zoomScaleNormal="100" workbookViewId="0">
      <selection activeCell="E17" sqref="E17"/>
    </sheetView>
  </sheetViews>
  <sheetFormatPr defaultRowHeight="16.5"/>
  <cols>
    <col min="1" max="2" width="15.77734375" style="1" customWidth="1"/>
    <col min="3" max="8" width="10.77734375" style="1" customWidth="1"/>
    <col min="9" max="9" width="14.109375" style="1" customWidth="1"/>
    <col min="10" max="10" width="14" style="1" customWidth="1"/>
    <col min="11" max="11" width="8.21875" style="1" customWidth="1"/>
    <col min="12" max="12" width="32.33203125" style="1" customWidth="1"/>
    <col min="13" max="16384" width="8.88671875" style="1"/>
  </cols>
  <sheetData>
    <row r="1" spans="3:15" ht="30" customHeight="1"/>
    <row r="2" spans="3:15" ht="30" customHeight="1"/>
    <row r="3" spans="3:15" ht="30" customHeight="1" thickBot="1">
      <c r="C3" s="13" t="s">
        <v>11</v>
      </c>
    </row>
    <row r="4" spans="3:15" ht="30" customHeight="1" thickBot="1">
      <c r="C4" s="57" t="s">
        <v>9</v>
      </c>
      <c r="D4" s="58"/>
      <c r="E4" s="58" t="s">
        <v>10</v>
      </c>
      <c r="F4" s="58"/>
      <c r="G4" s="58"/>
      <c r="H4" s="58"/>
      <c r="I4" s="58"/>
      <c r="J4" s="59"/>
    </row>
    <row r="5" spans="3:15" ht="30" customHeight="1" thickBot="1">
      <c r="C5" s="60" t="s">
        <v>7</v>
      </c>
      <c r="D5" s="61" t="s">
        <v>8</v>
      </c>
      <c r="E5" s="62" t="s">
        <v>7</v>
      </c>
      <c r="F5" s="62"/>
      <c r="G5" s="62"/>
      <c r="H5" s="62" t="s">
        <v>8</v>
      </c>
      <c r="I5" s="62"/>
      <c r="J5" s="63"/>
      <c r="O5" s="64"/>
    </row>
    <row r="6" spans="3:15" ht="30" customHeight="1" thickBot="1">
      <c r="C6" s="45"/>
      <c r="D6" s="56"/>
      <c r="E6" s="55" t="s">
        <v>0</v>
      </c>
      <c r="F6" s="55" t="s">
        <v>1</v>
      </c>
      <c r="G6" s="55" t="s">
        <v>2</v>
      </c>
      <c r="H6" s="55" t="s">
        <v>0</v>
      </c>
      <c r="I6" s="55" t="s">
        <v>1</v>
      </c>
      <c r="J6" s="32" t="s">
        <v>2</v>
      </c>
    </row>
    <row r="7" spans="3:15" ht="30" customHeight="1">
      <c r="C7" s="53">
        <v>36.775560722161799</v>
      </c>
      <c r="D7" s="54">
        <v>126.451513884988</v>
      </c>
      <c r="E7" s="18">
        <f xml:space="preserve"> INT(C7)</f>
        <v>36</v>
      </c>
      <c r="F7" s="50">
        <f>INT((C7-E7)*60)</f>
        <v>46</v>
      </c>
      <c r="G7" s="50">
        <f xml:space="preserve"> (((C7-E7) * 60) - INT((C7-E7) * 60)) * 60</f>
        <v>32.018599782477395</v>
      </c>
      <c r="H7" s="50">
        <f xml:space="preserve"> INT(D7)</f>
        <v>126</v>
      </c>
      <c r="I7" s="50">
        <f>INT((D7-H7)*60)</f>
        <v>27</v>
      </c>
      <c r="J7" s="19">
        <f xml:space="preserve"> (((D7-H7) * 60) - INT((D7-H7) * 60)) * 60</f>
        <v>5.4499859568113607</v>
      </c>
      <c r="L7" s="33" t="s">
        <v>13</v>
      </c>
    </row>
    <row r="8" spans="3:15" ht="30" customHeight="1">
      <c r="C8" s="51">
        <v>0</v>
      </c>
      <c r="D8" s="52">
        <v>0</v>
      </c>
      <c r="E8" s="18">
        <f t="shared" ref="E8:E13" si="0" xml:space="preserve"> INT(C8)</f>
        <v>0</v>
      </c>
      <c r="F8" s="50">
        <f t="shared" ref="F8:F13" si="1">INT((C8-E8)*60)</f>
        <v>0</v>
      </c>
      <c r="G8" s="50">
        <f t="shared" ref="G8:G13" si="2" xml:space="preserve"> (((C8-E8) * 60) - INT((C8-E8) * 60)) * 60</f>
        <v>0</v>
      </c>
      <c r="H8" s="50">
        <f t="shared" ref="H8:H13" si="3" xml:space="preserve"> INT(D8)</f>
        <v>0</v>
      </c>
      <c r="I8" s="50">
        <f t="shared" ref="I8:I13" si="4">INT((D8-H8)*60)</f>
        <v>0</v>
      </c>
      <c r="J8" s="19">
        <f t="shared" ref="J8:J13" si="5" xml:space="preserve"> (((D8-H8) * 60) - INT((D8-H8) * 60)) * 60</f>
        <v>0</v>
      </c>
      <c r="L8" s="33"/>
    </row>
    <row r="9" spans="3:15" ht="30" customHeight="1">
      <c r="C9" s="51">
        <v>0</v>
      </c>
      <c r="D9" s="52">
        <v>0</v>
      </c>
      <c r="E9" s="18">
        <f t="shared" si="0"/>
        <v>0</v>
      </c>
      <c r="F9" s="50">
        <f t="shared" si="1"/>
        <v>0</v>
      </c>
      <c r="G9" s="50">
        <f t="shared" si="2"/>
        <v>0</v>
      </c>
      <c r="H9" s="50">
        <f t="shared" si="3"/>
        <v>0</v>
      </c>
      <c r="I9" s="50">
        <f t="shared" si="4"/>
        <v>0</v>
      </c>
      <c r="J9" s="19">
        <f t="shared" si="5"/>
        <v>0</v>
      </c>
      <c r="L9" s="33"/>
    </row>
    <row r="10" spans="3:15" ht="30" customHeight="1">
      <c r="C10" s="51">
        <v>0</v>
      </c>
      <c r="D10" s="52">
        <v>0</v>
      </c>
      <c r="E10" s="18">
        <f t="shared" si="0"/>
        <v>0</v>
      </c>
      <c r="F10" s="50">
        <f t="shared" si="1"/>
        <v>0</v>
      </c>
      <c r="G10" s="50">
        <f t="shared" si="2"/>
        <v>0</v>
      </c>
      <c r="H10" s="50">
        <f t="shared" si="3"/>
        <v>0</v>
      </c>
      <c r="I10" s="50">
        <f t="shared" si="4"/>
        <v>0</v>
      </c>
      <c r="J10" s="19">
        <f t="shared" si="5"/>
        <v>0</v>
      </c>
      <c r="L10" s="33"/>
    </row>
    <row r="11" spans="3:15" ht="30" customHeight="1">
      <c r="C11" s="51">
        <v>0</v>
      </c>
      <c r="D11" s="52">
        <v>0</v>
      </c>
      <c r="E11" s="18">
        <f t="shared" si="0"/>
        <v>0</v>
      </c>
      <c r="F11" s="50">
        <f t="shared" si="1"/>
        <v>0</v>
      </c>
      <c r="G11" s="50">
        <f t="shared" si="2"/>
        <v>0</v>
      </c>
      <c r="H11" s="50">
        <f t="shared" si="3"/>
        <v>0</v>
      </c>
      <c r="I11" s="50">
        <f t="shared" si="4"/>
        <v>0</v>
      </c>
      <c r="J11" s="19">
        <f t="shared" si="5"/>
        <v>0</v>
      </c>
      <c r="L11" s="33"/>
    </row>
    <row r="12" spans="3:15" ht="30" customHeight="1">
      <c r="C12" s="51">
        <v>0</v>
      </c>
      <c r="D12" s="52">
        <v>0</v>
      </c>
      <c r="E12" s="18">
        <f t="shared" si="0"/>
        <v>0</v>
      </c>
      <c r="F12" s="50">
        <f t="shared" si="1"/>
        <v>0</v>
      </c>
      <c r="G12" s="50">
        <f t="shared" si="2"/>
        <v>0</v>
      </c>
      <c r="H12" s="50">
        <f t="shared" si="3"/>
        <v>0</v>
      </c>
      <c r="I12" s="50">
        <f t="shared" si="4"/>
        <v>0</v>
      </c>
      <c r="J12" s="19">
        <f t="shared" si="5"/>
        <v>0</v>
      </c>
      <c r="L12" s="33"/>
    </row>
    <row r="13" spans="3:15" ht="30" customHeight="1">
      <c r="C13" s="51">
        <v>0</v>
      </c>
      <c r="D13" s="52">
        <v>0</v>
      </c>
      <c r="E13" s="18">
        <f t="shared" si="0"/>
        <v>0</v>
      </c>
      <c r="F13" s="50">
        <f t="shared" si="1"/>
        <v>0</v>
      </c>
      <c r="G13" s="50">
        <f t="shared" si="2"/>
        <v>0</v>
      </c>
      <c r="H13" s="50">
        <f t="shared" si="3"/>
        <v>0</v>
      </c>
      <c r="I13" s="50">
        <f t="shared" si="4"/>
        <v>0</v>
      </c>
      <c r="J13" s="19">
        <f t="shared" si="5"/>
        <v>0</v>
      </c>
      <c r="L13" s="33"/>
    </row>
    <row r="14" spans="3:15" ht="30" customHeight="1" thickBot="1">
      <c r="C14" s="12">
        <v>0</v>
      </c>
      <c r="D14" s="31">
        <v>0</v>
      </c>
      <c r="E14" s="23">
        <f xml:space="preserve"> INT(C14)</f>
        <v>0</v>
      </c>
      <c r="F14" s="9">
        <f>INT((C14-E14)*60)</f>
        <v>0</v>
      </c>
      <c r="G14" s="9">
        <f xml:space="preserve"> (((C14-E14) * 60) - INT((C14-E14) * 60)) * 60</f>
        <v>0</v>
      </c>
      <c r="H14" s="9">
        <f xml:space="preserve"> INT(D14)</f>
        <v>0</v>
      </c>
      <c r="I14" s="9">
        <f>INT((D14-H14)*60)</f>
        <v>0</v>
      </c>
      <c r="J14" s="10">
        <f xml:space="preserve"> (((D14-H14) * 60) - INT((D14-H14) * 60)) * 60</f>
        <v>0</v>
      </c>
      <c r="L14" s="33"/>
    </row>
    <row r="15" spans="3:15" ht="30" customHeight="1"/>
    <row r="16" spans="3:15" ht="30" customHeight="1"/>
    <row r="17" spans="3:12" ht="30" customHeight="1" thickBot="1"/>
    <row r="18" spans="3:12" ht="30" customHeight="1" thickBot="1">
      <c r="L18" s="64"/>
    </row>
    <row r="19" spans="3:12" ht="30" customHeight="1"/>
    <row r="20" spans="3:12" ht="30" customHeight="1" thickBot="1">
      <c r="C20" s="13" t="s">
        <v>12</v>
      </c>
    </row>
    <row r="21" spans="3:12" ht="30" customHeight="1" thickBot="1">
      <c r="C21" s="34" t="s">
        <v>3</v>
      </c>
      <c r="D21" s="35"/>
      <c r="E21" s="35"/>
      <c r="F21" s="35"/>
      <c r="G21" s="35"/>
      <c r="H21" s="36"/>
      <c r="I21" s="34" t="s">
        <v>4</v>
      </c>
      <c r="J21" s="36"/>
    </row>
    <row r="22" spans="3:12" ht="30" customHeight="1">
      <c r="C22" s="46" t="s">
        <v>5</v>
      </c>
      <c r="D22" s="47"/>
      <c r="E22" s="47"/>
      <c r="F22" s="47" t="s">
        <v>6</v>
      </c>
      <c r="G22" s="47"/>
      <c r="H22" s="43"/>
      <c r="I22" s="38" t="s">
        <v>5</v>
      </c>
      <c r="J22" s="40" t="s">
        <v>6</v>
      </c>
    </row>
    <row r="23" spans="3:12" ht="30" customHeight="1" thickBot="1">
      <c r="C23" s="3" t="s">
        <v>0</v>
      </c>
      <c r="D23" s="4" t="s">
        <v>1</v>
      </c>
      <c r="E23" s="4" t="s">
        <v>2</v>
      </c>
      <c r="F23" s="4" t="s">
        <v>0</v>
      </c>
      <c r="G23" s="4" t="s">
        <v>1</v>
      </c>
      <c r="H23" s="5" t="s">
        <v>2</v>
      </c>
      <c r="I23" s="48"/>
      <c r="J23" s="49"/>
    </row>
    <row r="24" spans="3:12" ht="30" customHeight="1">
      <c r="C24" s="6">
        <v>36</v>
      </c>
      <c r="D24" s="7">
        <v>46</v>
      </c>
      <c r="E24" s="7">
        <v>32.090000000000003</v>
      </c>
      <c r="F24" s="7">
        <v>126</v>
      </c>
      <c r="G24" s="7">
        <v>27</v>
      </c>
      <c r="H24" s="7">
        <v>5.5</v>
      </c>
      <c r="I24" s="26">
        <f>C24+D24/60+E24/3600</f>
        <v>36.775580555555557</v>
      </c>
      <c r="J24" s="27">
        <f>F24+G24/60+H24/3600</f>
        <v>126.45152777777778</v>
      </c>
      <c r="L24" s="1" t="str">
        <f xml:space="preserve"> I24 &amp; "," &amp; J24</f>
        <v>36.7755805555556,126.451527777778</v>
      </c>
    </row>
    <row r="25" spans="3:12" ht="30" customHeight="1">
      <c r="C25" s="28">
        <v>36</v>
      </c>
      <c r="D25" s="24">
        <v>46</v>
      </c>
      <c r="E25" s="24">
        <v>29.4</v>
      </c>
      <c r="F25" s="24">
        <v>126</v>
      </c>
      <c r="G25" s="24">
        <v>27</v>
      </c>
      <c r="H25" s="24">
        <v>1.27</v>
      </c>
      <c r="I25" s="25">
        <f>C25+D25/60+E25/3600</f>
        <v>36.774833333333333</v>
      </c>
      <c r="J25" s="29">
        <f>F25+G25/60+H25/3600</f>
        <v>126.45035277777778</v>
      </c>
      <c r="L25" s="1" t="str">
        <f xml:space="preserve"> I25 &amp; "," &amp; J25</f>
        <v>36.7748333333333,126.450352777778</v>
      </c>
    </row>
    <row r="26" spans="3:12" ht="30" customHeight="1">
      <c r="C26" s="28"/>
      <c r="D26" s="24"/>
      <c r="E26" s="24"/>
      <c r="F26" s="24"/>
      <c r="G26" s="24"/>
      <c r="H26" s="24"/>
      <c r="I26" s="25">
        <f t="shared" ref="I26:I28" si="6">C26+D26/60+E26/3600</f>
        <v>0</v>
      </c>
      <c r="J26" s="29">
        <f t="shared" ref="J26:J28" si="7">F26+G26/60+H26/3600</f>
        <v>0</v>
      </c>
      <c r="L26" s="1" t="str">
        <f t="shared" ref="L26:L30" si="8" xml:space="preserve"> I26 &amp; "," &amp; J26</f>
        <v>0,0</v>
      </c>
    </row>
    <row r="27" spans="3:12" ht="30" customHeight="1">
      <c r="C27" s="28"/>
      <c r="D27" s="24"/>
      <c r="E27" s="24"/>
      <c r="F27" s="24"/>
      <c r="G27" s="24"/>
      <c r="H27" s="24"/>
      <c r="I27" s="25">
        <f t="shared" si="6"/>
        <v>0</v>
      </c>
      <c r="J27" s="29">
        <f t="shared" si="7"/>
        <v>0</v>
      </c>
      <c r="L27" s="1" t="str">
        <f t="shared" si="8"/>
        <v>0,0</v>
      </c>
    </row>
    <row r="28" spans="3:12" ht="30" customHeight="1">
      <c r="C28" s="28"/>
      <c r="D28" s="24"/>
      <c r="E28" s="24"/>
      <c r="F28" s="24"/>
      <c r="G28" s="24"/>
      <c r="H28" s="24"/>
      <c r="I28" s="25">
        <f t="shared" si="6"/>
        <v>0</v>
      </c>
      <c r="J28" s="29">
        <f t="shared" si="7"/>
        <v>0</v>
      </c>
      <c r="L28" s="1" t="str">
        <f t="shared" si="8"/>
        <v>0,0</v>
      </c>
    </row>
    <row r="29" spans="3:12" ht="30" customHeight="1">
      <c r="C29" s="28"/>
      <c r="D29" s="24"/>
      <c r="E29" s="24"/>
      <c r="F29" s="24"/>
      <c r="G29" s="24"/>
      <c r="H29" s="24"/>
      <c r="I29" s="25">
        <f>C29+D29/60+E29/3600</f>
        <v>0</v>
      </c>
      <c r="J29" s="29">
        <f>F29+G29/60+H29/3600</f>
        <v>0</v>
      </c>
      <c r="L29" s="1" t="str">
        <f t="shared" si="8"/>
        <v>0,0</v>
      </c>
    </row>
    <row r="30" spans="3:12" ht="30" customHeight="1" thickBot="1">
      <c r="C30" s="8"/>
      <c r="D30" s="9"/>
      <c r="E30" s="9"/>
      <c r="F30" s="9"/>
      <c r="G30" s="9"/>
      <c r="H30" s="9"/>
      <c r="I30" s="30">
        <f>C30+D30/60+E30/3600</f>
        <v>0</v>
      </c>
      <c r="J30" s="31">
        <f>F30+G30/60+H30/3600</f>
        <v>0</v>
      </c>
      <c r="L30" s="1" t="str">
        <f t="shared" si="8"/>
        <v>0,0</v>
      </c>
    </row>
    <row r="31" spans="3:12" ht="30" customHeight="1"/>
    <row r="32" spans="3:12" ht="30" customHeight="1"/>
    <row r="33" ht="30" customHeight="1"/>
    <row r="34" ht="30" customHeight="1"/>
  </sheetData>
  <mergeCells count="12">
    <mergeCell ref="C21:H21"/>
    <mergeCell ref="C22:E22"/>
    <mergeCell ref="F22:H22"/>
    <mergeCell ref="I21:J21"/>
    <mergeCell ref="I22:I23"/>
    <mergeCell ref="J22:J23"/>
    <mergeCell ref="C4:D4"/>
    <mergeCell ref="C5:C6"/>
    <mergeCell ref="D5:D6"/>
    <mergeCell ref="E4:J4"/>
    <mergeCell ref="E5:G5"/>
    <mergeCell ref="H5:J5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DMS -&gt; Degree</vt:lpstr>
      <vt:lpstr>Degree -&gt; DMS</vt:lpstr>
    </vt:vector>
  </TitlesOfParts>
  <Company>openmate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korea</dc:creator>
  <cp:lastModifiedBy>minhwasoo</cp:lastModifiedBy>
  <dcterms:created xsi:type="dcterms:W3CDTF">2011-02-11T04:52:29Z</dcterms:created>
  <dcterms:modified xsi:type="dcterms:W3CDTF">2023-10-14T02:21:44Z</dcterms:modified>
</cp:coreProperties>
</file>