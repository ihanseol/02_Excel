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\"/>
    </mc:Choice>
  </mc:AlternateContent>
  <xr:revisionPtr revIDLastSave="0" documentId="13_ncr:1_{0F31AF52-A0DE-4D88-B2AA-8B21E73E99BF}" xr6:coauthVersionLast="47" xr6:coauthVersionMax="47" xr10:uidLastSave="{00000000-0000-0000-0000-000000000000}"/>
  <bookViews>
    <workbookView xWindow="7245" yWindow="1215" windowWidth="28800" windowHeight="19665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</workbook>
</file>

<file path=xl/calcChain.xml><?xml version="1.0" encoding="utf-8"?>
<calcChain xmlns="http://schemas.openxmlformats.org/spreadsheetml/2006/main"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O4" i="52"/>
  <c r="F21" i="55" s="1"/>
  <c r="N37" i="175" l="1"/>
  <c r="N36" i="175"/>
  <c r="F63" i="175"/>
  <c r="E63" i="175"/>
  <c r="F58" i="175"/>
  <c r="E58" i="175"/>
  <c r="V65" i="175" l="1"/>
  <c r="V64" i="175"/>
  <c r="N34" i="175"/>
  <c r="N33" i="175"/>
  <c r="E13" i="55"/>
  <c r="D13" i="55"/>
  <c r="B2" i="23"/>
  <c r="S6" i="54"/>
  <c r="T6" i="54" a="1"/>
  <c r="T6" i="54" l="1"/>
  <c r="F4" i="52"/>
  <c r="E4" i="52"/>
  <c r="E7" i="55" l="1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M33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<sst xmlns="http://schemas.openxmlformats.org/spreadsheetml/2006/main" count="1129" uniqueCount="703">
  <si>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</si>
  <si>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</si>
  <si>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</si>
  <si>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</si>
  <si>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</si>
  <si>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</si>
  <si>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</si>
  <si>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</si>
  <si>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</si>
  <si>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</si>
  <si>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</si>
  <si>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</si>
  <si>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</si>
  <si>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</si>
  <si>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</si>
  <si>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</si>
  <si>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</si>
  <si>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</si>
  <si>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</si>
  <si>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</si>
  <si>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</si>
  <si>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</si>
  <si>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</si>
  <si>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</si>
  <si>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</si>
  <si>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</si>
  <si>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</si>
  <si>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</si>
  <si>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</si>
  <si>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</si>
  <si>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</si>
  <si>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</si>
  <si>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</si>
  <si>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</si>
  <si>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</si>
  <si>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</si>
  <si>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</si>
  <si>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</si>
  <si>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</si>
  <si>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</si>
  <si>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</si>
  <si>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</si>
  <si>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</si>
  <si>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</si>
  <si>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</si>
  <si>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</si>
  <si>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</si>
  <si>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</si>
  <si>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</si>
  <si>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</si>
  <si>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</si>
  <si>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</si>
  <si>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</si>
  <si>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</si>
  <si>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</si>
  <si>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</si>
  <si>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</si>
  <si>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</si>
  <si>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</si>
  <si>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</si>
  <si>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</si>
  <si>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</si>
  <si>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</si>
  <si>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</si>
  <si>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</si>
  <si>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</si>
  <si>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</si>
  <si>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</si>
  <si>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</si>
  <si>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</si>
  <si>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</si>
  <si>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</si>
  <si>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</si>
  <si>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</si>
  <si>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</si>
  <si>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</si>
  <si>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</si>
  <si>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</si>
  <si>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</si>
  <si>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</si>
  <si>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</si>
  <si>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</si>
  <si>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</si>
  <si>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</si>
  <si>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</si>
  <si>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</si>
  <si>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</si>
  <si>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</si>
  <si>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</si>
  <si>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</si>
  <si>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</si>
  <si>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</si>
  <si>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</si>
  <si>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</si>
  <si>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</si>
  <si>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</si>
  <si>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</si>
  <si>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</si>
  <si>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</si>
  <si>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</si>
  <si>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</si>
  <si>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</si>
  <si>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</si>
  <si>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</si>
  <si>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</si>
  <si>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</si>
  <si>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</si>
  <si>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</si>
  <si>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</si>
  <si>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</si>
  <si>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</si>
  <si>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</si>
  <si>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</si>
  <si>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</si>
  <si>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</si>
  <si>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</si>
  <si>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</si>
  <si>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</si>
  <si>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</si>
  <si>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</si>
  <si>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</si>
  <si>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</si>
  <si>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</si>
  <si>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</si>
  <si>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</si>
  <si>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</si>
  <si>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</si>
  <si>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</si>
  <si>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</si>
  <si>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</si>
  <si>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</si>
  <si>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</si>
  <si>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</si>
  <si>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</si>
  <si>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</si>
  <si>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</si>
  <si>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</si>
  <si>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</si>
  <si>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</si>
  <si>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</si>
  <si>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</si>
  <si>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</si>
  <si>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</si>
  <si>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</si>
  <si>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</si>
  <si>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</si>
  <si>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</si>
  <si>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</si>
  <si>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</si>
  <si>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</si>
  <si>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</si>
  <si>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</si>
  <si>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</si>
  <si>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</si>
  <si>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</si>
  <si>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</si>
  <si>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</si>
  <si>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</si>
  <si>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</si>
  <si>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</si>
  <si>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</si>
  <si>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</si>
  <si>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</si>
  <si>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</si>
  <si>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</si>
  <si>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</si>
  <si>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</si>
  <si>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</si>
  <si>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</si>
  <si>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</si>
  <si>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</si>
  <si>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</si>
  <si>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</si>
  <si>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</si>
  <si>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</si>
  <si>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</si>
  <si>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</si>
  <si>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</si>
  <si>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</si>
  <si>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</si>
  <si>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</si>
  <si>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</si>
  <si>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</si>
  <si>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</si>
  <si>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</si>
  <si>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</si>
  <si>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</si>
  <si>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</si>
  <si>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</si>
  <si>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</si>
  <si>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</si>
  <si>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</si>
  <si>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</si>
  <si>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</si>
  <si>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</si>
  <si>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</si>
  <si>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</si>
  <si>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</si>
  <si>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</si>
  <si>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</si>
  <si>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</si>
  <si>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</si>
  <si>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</si>
  <si>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</si>
  <si>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</si>
  <si>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</si>
  <si>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</si>
  <si>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</si>
  <si>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</si>
  <si>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</si>
  <si>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</si>
  <si>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</si>
  <si>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</si>
  <si>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</si>
  <si>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</si>
  <si>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</si>
  <si>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</si>
  <si>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</si>
  <si>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</si>
  <si>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</si>
  <si>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</si>
  <si>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</si>
  <si>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</si>
  <si>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</si>
  <si>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</si>
  <si>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</si>
  <si>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</si>
  <si>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</si>
  <si>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</si>
  <si>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</si>
  <si>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</si>
  <si>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</si>
  <si>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</si>
  <si>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</si>
  <si>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</si>
  <si>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</si>
  <si>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</si>
  <si>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</si>
  <si>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</si>
  <si>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</si>
  <si>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</si>
  <si>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</si>
  <si>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</si>
  <si>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</si>
  <si>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</si>
  <si>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</si>
  <si>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</si>
  <si>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</si>
  <si>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</si>
  <si>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</si>
  <si>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</si>
  <si>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</si>
  <si>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</si>
  <si>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</si>
  <si>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</si>
  <si>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</si>
  <si>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</si>
  <si>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</si>
  <si>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</si>
  <si>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</si>
  <si>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</si>
  <si>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</si>
  <si>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</si>
  <si>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</si>
  <si>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</si>
  <si>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</si>
  <si>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</si>
  <si>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</si>
  <si>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</si>
  <si>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</si>
  <si>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</si>
  <si>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</si>
  <si>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</si>
  <si>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</si>
  <si>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</si>
  <si>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</si>
  <si>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</si>
  <si>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</si>
  <si>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</si>
  <si>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</si>
  <si>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</si>
  <si>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</si>
  <si>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</si>
  <si>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</si>
  <si>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</si>
  <si>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</si>
  <si>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</si>
  <si>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</si>
  <si>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</si>
  <si>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</si>
  <si>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</si>
  <si>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</si>
  <si>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</si>
  <si>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</si>
  <si>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</si>
  <si>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</si>
  <si>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</si>
  <si>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</si>
  <si>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</si>
  <si>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</si>
  <si>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</si>
  <si>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</si>
  <si>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</si>
  <si>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</si>
  <si>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</si>
  <si>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</si>
  <si>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</si>
  <si>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</si>
  <si>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</si>
  <si>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</si>
  <si>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</si>
  <si>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</si>
  <si>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</si>
  <si>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</si>
  <si>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</si>
  <si>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</si>
  <si>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</si>
  <si>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</si>
  <si>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</si>
  <si>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</si>
  <si>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</si>
  <si>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</si>
  <si>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</si>
  <si>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</si>
  <si>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</si>
  <si>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</si>
  <si>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</si>
  <si>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</si>
  <si>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</si>
  <si>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</si>
  <si>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</si>
  <si>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</si>
  <si>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</si>
  <si>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</si>
  <si>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</si>
  <si>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</si>
  <si>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</si>
  <si>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</si>
  <si>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</si>
  <si>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</si>
  <si>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</si>
  <si>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</si>
  <si>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</si>
  <si>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</si>
  <si>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</si>
  <si>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</si>
  <si>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</si>
  <si>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</si>
  <si>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</si>
  <si>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</si>
  <si>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</si>
  <si>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</si>
  <si>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</si>
  <si>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</si>
  <si>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</si>
  <si>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</si>
  <si>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</si>
  <si>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</si>
  <si>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</si>
  <si>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</si>
  <si>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</si>
  <si>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</si>
  <si>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</si>
  <si>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</si>
  <si>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</si>
  <si>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</si>
  <si>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</si>
  <si>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</si>
  <si>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</si>
  <si>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</si>
  <si>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</si>
  <si>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</si>
  <si>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</si>
  <si>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</si>
  <si>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</si>
  <si>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</si>
  <si>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</si>
  <si>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</si>
  <si>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</si>
  <si>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</si>
  <si>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</si>
  <si>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</si>
  <si>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</si>
  <si>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</si>
  <si>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</si>
  <si>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</si>
  <si>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</si>
  <si>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</si>
  <si>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</si>
  <si>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</si>
  <si>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</si>
  <si>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</si>
  <si>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</si>
  <si>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</si>
  <si>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</si>
  <si>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</si>
  <si>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</si>
  <si>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</si>
  <si>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</si>
  <si>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</si>
  <si>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</si>
  <si>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</si>
  <si>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</si>
  <si>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</si>
  <si>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</si>
  <si>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</si>
  <si>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</si>
  <si>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</si>
  <si>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</si>
  <si>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</si>
  <si>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</si>
  <si>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</si>
  <si>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</si>
  <si>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</si>
  <si>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</si>
  <si>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</si>
  <si>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</si>
  <si>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</si>
  <si>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</si>
  <si>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</si>
  <si>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</si>
  <si>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</si>
  <si>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</si>
  <si>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</si>
  <si>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</si>
  <si>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</si>
  <si>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</si>
  <si>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</si>
  <si>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</si>
  <si>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</si>
  <si>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</si>
  <si>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</si>
  <si>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</si>
  <si>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</si>
  <si>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</si>
  <si>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</si>
  <si>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</si>
  <si>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</si>
  <si>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</si>
  <si>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</si>
  <si>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</si>
  <si>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</si>
  <si>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</si>
  <si>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</si>
  <si>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</si>
  <si>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</si>
  <si>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</si>
  <si>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</si>
  <si>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</si>
  <si>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</si>
  <si>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</si>
  <si>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</si>
  <si>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</si>
  <si>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</si>
  <si>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</si>
  <si>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</si>
  <si>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</si>
  <si>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</si>
  <si>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</si>
  <si>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</si>
  <si>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</si>
  <si>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</si>
  <si>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</si>
  <si>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</si>
  <si>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</si>
  <si>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</si>
  <si>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</si>
  <si>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</si>
  <si>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</si>
  <si>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</si>
  <si>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</si>
  <si>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</si>
  <si>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</si>
  <si>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</si>
  <si>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</si>
  <si>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</si>
  <si>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</si>
  <si>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</si>
  <si>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</si>
  <si>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</si>
  <si>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</si>
  <si>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</si>
  <si>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</si>
  <si>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</si>
  <si>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</si>
  <si>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</si>
  <si>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</si>
  <si>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</si>
  <si>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</si>
  <si>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</si>
  <si>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</si>
  <si>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</si>
  <si>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</si>
  <si>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</si>
  <si>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</si>
  <si>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</si>
  <si>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</si>
  <si>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</si>
  <si>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</si>
  <si>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</si>
  <si>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</si>
  <si>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</si>
  <si>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</si>
  <si>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</si>
  <si>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</si>
  <si>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</si>
  <si>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</si>
  <si>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</si>
  <si>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</si>
  <si>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</si>
  <si>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</si>
  <si>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</si>
  <si>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</si>
  <si>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</si>
  <si>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</si>
  <si>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</si>
  <si>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</si>
  <si>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</si>
  <si>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</si>
  <si>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</si>
  <si>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</si>
  <si>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</si>
  <si>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</si>
  <si>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</si>
  <si>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</si>
  <si>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</si>
  <si>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</si>
  <si>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</si>
  <si>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</si>
  <si>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</si>
  <si>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</si>
  <si>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</si>
  <si>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</si>
  <si>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</si>
  <si>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</si>
  <si>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</si>
  <si>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</si>
  <si>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</si>
  <si>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</si>
  <si>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</si>
  <si>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</si>
  <si>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</si>
  <si>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</si>
  <si>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</si>
  <si>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</si>
  <si>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</si>
  <si>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</si>
  <si>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</si>
  <si>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</si>
  <si>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</si>
  <si>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</si>
  <si>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</si>
  <si>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</si>
  <si>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</si>
  <si>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</si>
  <si>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</si>
  <si>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</si>
  <si>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</si>
  <si>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</si>
  <si>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</si>
  <si>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</si>
  <si>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</si>
  <si>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</si>
  <si>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</si>
  <si>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</si>
  <si>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</si>
  <si>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</si>
  <si>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</si>
  <si>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</si>
  <si>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</si>
  <si>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</si>
  <si>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</si>
  <si>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</si>
  <si>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</si>
  <si>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</si>
  <si>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</si>
  <si>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</si>
  <si>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</si>
  <si>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</si>
  <si>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</si>
  <si>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</si>
  <si>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</si>
  <si>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</si>
  <si>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</si>
  <si>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</si>
  <si>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</si>
  <si>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</si>
  <si>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</si>
  <si>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</si>
  <si>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</si>
  <si>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</si>
  <si>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</si>
  <si>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</si>
  <si>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</si>
  <si>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</si>
  <si>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</si>
  <si>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</si>
  <si>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</si>
  <si>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</si>
  <si>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</si>
  <si>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</si>
  <si>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</si>
  <si>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</si>
  <si>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</si>
  <si>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</si>
  <si>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</si>
  <si>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</si>
  <si>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</si>
  <si>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</si>
  <si>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</si>
  <si>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</si>
  <si>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</si>
  <si>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</si>
  <si>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</si>
  <si>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</si>
  <si>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</si>
  <si>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</si>
  <si>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</si>
  <si>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</si>
  <si>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</si>
  <si>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</si>
  <si>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</si>
  <si>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</si>
  <si>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</si>
  <si>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</si>
  <si>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</si>
  <si>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</si>
  <si>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</si>
  <si>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</si>
  <si>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</si>
  <si>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</si>
  <si>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</si>
  <si>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</si>
  <si>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</si>
  <si>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</si>
  <si>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</si>
  <si>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</si>
  <si>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</si>
  <si>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</si>
  <si>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</si>
  <si>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</si>
  <si>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</si>
  <si>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</si>
  <si>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</si>
  <si>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</si>
  <si>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</si>
  <si>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33
42
51
60
69</t>
  </si>
  <si>
    <t>18.07
20.08
22.35
24.88
28.73</t>
  </si>
  <si>
    <t>6.04
8.05
10.32
12.85
16.70</t>
  </si>
  <si>
    <t>5.464
5.217
4.942
4.669
4.132</t>
  </si>
  <si>
    <t>0.183
0.192
0.202
0.214
0.242</t>
  </si>
  <si>
    <t>34
44
54
63
72</t>
  </si>
  <si>
    <t>17.53
19.41
21.52
23.88
27.47</t>
  </si>
  <si>
    <t>5.64
7.52
9.63
11.99
15.58</t>
  </si>
  <si>
    <t>6.028
5.851
5.561
5.254
4.650</t>
  </si>
  <si>
    <t>0.166
0.171
0.180
0.190
0.215</t>
  </si>
  <si>
    <t>34
43
53
62
71</t>
  </si>
  <si>
    <t>17.51
19.43
21.59
24.00
27.67</t>
  </si>
  <si>
    <t>5.76
7.68
9.84
12.25
15.92</t>
  </si>
  <si>
    <t>5.903
5.599
5.356
5.061
4.479</t>
  </si>
  <si>
    <t>0.169
0.179
0.187
0.198
0.223</t>
  </si>
  <si>
    <t>32
41
50
59
68</t>
  </si>
  <si>
    <t>17.52
19.18
21.05
23.13
26.30</t>
  </si>
  <si>
    <t>4.98
6.64
8.51
10.59
13.76</t>
  </si>
  <si>
    <t>6.426
6.175
5.893
5.571
4.931</t>
  </si>
  <si>
    <t>0.156
0.162
0.170
0.179
0.203</t>
  </si>
  <si>
    <t>35
44
54
64
74</t>
  </si>
  <si>
    <t>17.42
19.24
21.47
23.86
27.50</t>
  </si>
  <si>
    <t>5.72
7.54
9.77
12.16
15.80</t>
  </si>
  <si>
    <t>6.119
5.836
5.568
5.263
4.658</t>
  </si>
  <si>
    <t>0.163
0.171
0.180
0.190
0.215</t>
  </si>
  <si>
    <t>31
40
49
58
67</t>
  </si>
  <si>
    <t>17.29
18.96
20.83
22.92
26.10</t>
  </si>
  <si>
    <t>4.99
6.66
8.53
10.62
13.80</t>
  </si>
  <si>
    <t>6.212
6.006
5.780
5.461
4.833</t>
  </si>
  <si>
    <t>0.161
0.167
0.173
0.183
0.207</t>
  </si>
  <si>
    <t>31
39
48
57
66</t>
  </si>
  <si>
    <t>17.32
19.19
21.46
23.91
27.63</t>
  </si>
  <si>
    <t>5.84
7.71
9.98
12.43
16.15</t>
  </si>
  <si>
    <t>5.308
5.058
4.855
4.586
4.059</t>
  </si>
  <si>
    <t>0.188
0.198
0.206
0.218
0.246</t>
  </si>
  <si>
    <t>36
46
57
67
77</t>
  </si>
  <si>
    <t>17.75
19.67
22.01
24.52
28.35</t>
  </si>
  <si>
    <t>6.00
7.92
10.26
12.77
16.60</t>
  </si>
  <si>
    <t>6.000
5.808
5.551
5.247
4.642</t>
  </si>
  <si>
    <t>0.167
0.172
0.180
0.191
0.215</t>
  </si>
  <si>
    <t>17.21
19.10
21.39
23.86
27.62</t>
  </si>
  <si>
    <t>5.89
7.78
10.07
12.54
16.30</t>
  </si>
  <si>
    <t>5.772
5.527
5.233
4.944
4.374</t>
  </si>
  <si>
    <t>0.173
0.181
0.191
0.202
0.229</t>
  </si>
  <si>
    <t>비교적낮음</t>
    <phoneticPr fontId="7" type="noConversion"/>
  </si>
  <si>
    <t>5년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</si>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</sst>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6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4" xfId="0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2" fontId="47" fillId="13" borderId="26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0" fontId="25" fillId="13" borderId="5" xfId="0" applyFont="1" applyFill="1" applyBorder="1" applyAlignment="1">
      <alignment horizontal="center" vertical="center"/>
    </xf>
    <xf numFmtId="193" fontId="46" fillId="13" borderId="5" xfId="0" applyNumberFormat="1" applyFont="1" applyFill="1" applyBorder="1" applyAlignment="1">
      <alignment horizontal="center" vertical="center"/>
    </xf>
    <xf numFmtId="204" fontId="46" fillId="13" borderId="8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24" xfId="0" applyFont="1" applyFill="1" applyBorder="1" applyAlignment="1">
      <alignment horizontal="center" vertical="center"/>
    </xf>
    <xf numFmtId="0" fontId="25" fillId="13" borderId="26" xfId="0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188" fontId="48" fillId="0" borderId="4" xfId="0" applyNumberFormat="1" applyFont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3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 wrapText="1"/>
    </xf>
    <xf numFmtId="41" fontId="29" fillId="6" borderId="104" xfId="2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0" fontId="44" fillId="6" borderId="104" xfId="21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200" fontId="25" fillId="0" borderId="68" xfId="0" applyNumberFormat="1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11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200" fontId="47" fillId="0" borderId="88" xfId="0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0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9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09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0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" Type="http://schemas.openxmlformats.org/officeDocument/2006/relationships/image" Target="../media/image19.png"/><Relationship Id="rId21" Type="http://schemas.openxmlformats.org/officeDocument/2006/relationships/image" Target="../media/image37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13" Type="http://schemas.openxmlformats.org/officeDocument/2006/relationships/image" Target="../media/image49.emf"/><Relationship Id="rId3" Type="http://schemas.openxmlformats.org/officeDocument/2006/relationships/image" Target="../media/image57.emf"/><Relationship Id="rId7" Type="http://schemas.openxmlformats.org/officeDocument/2006/relationships/image" Target="../media/image60.emf"/><Relationship Id="rId12" Type="http://schemas.openxmlformats.org/officeDocument/2006/relationships/image" Target="../media/image61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54.emf"/><Relationship Id="rId11" Type="http://schemas.openxmlformats.org/officeDocument/2006/relationships/image" Target="../media/image50.emf"/><Relationship Id="rId5" Type="http://schemas.openxmlformats.org/officeDocument/2006/relationships/image" Target="../media/image59.emf"/><Relationship Id="rId10" Type="http://schemas.openxmlformats.org/officeDocument/2006/relationships/image" Target="../media/image51.emf"/><Relationship Id="rId4" Type="http://schemas.openxmlformats.org/officeDocument/2006/relationships/image" Target="../media/image58.emf"/><Relationship Id="rId9" Type="http://schemas.openxmlformats.org/officeDocument/2006/relationships/image" Target="../media/image52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71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5" Type="http://schemas.openxmlformats.org/officeDocument/2006/relationships/image" Target="../media/image72.emf"/><Relationship Id="rId4" Type="http://schemas.openxmlformats.org/officeDocument/2006/relationships/image" Target="../media/image7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4" Type="http://schemas.openxmlformats.org/officeDocument/2006/relationships/image" Target="../media/image7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3.emf"/><Relationship Id="rId1" Type="http://schemas.openxmlformats.org/officeDocument/2006/relationships/image" Target="../media/image84.emf"/><Relationship Id="rId4" Type="http://schemas.openxmlformats.org/officeDocument/2006/relationships/image" Target="../media/image8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4" Type="http://schemas.openxmlformats.org/officeDocument/2006/relationships/image" Target="../media/image8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296994" name="그림 296993">
          <a:extLst>
            <a:ext uri="{FF2B5EF4-FFF2-40B4-BE49-F238E27FC236}">
              <a16:creationId xmlns:a16="http://schemas.microsoft.com/office/drawing/2014/main" id="{00000000-0008-0000-0700-00002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296996" name="그림 296995">
          <a:extLst>
            <a:ext uri="{FF2B5EF4-FFF2-40B4-BE49-F238E27FC236}">
              <a16:creationId xmlns:a16="http://schemas.microsoft.com/office/drawing/2014/main" id="{00000000-0008-0000-0700-00002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296998" name="그림 296997">
          <a:extLst>
            <a:ext uri="{FF2B5EF4-FFF2-40B4-BE49-F238E27FC236}">
              <a16:creationId xmlns:a16="http://schemas.microsoft.com/office/drawing/2014/main" id="{00000000-0008-0000-0700-00002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97000" name="그림 296999">
          <a:extLst>
            <a:ext uri="{FF2B5EF4-FFF2-40B4-BE49-F238E27FC236}">
              <a16:creationId xmlns:a16="http://schemas.microsoft.com/office/drawing/2014/main" id="{00000000-0008-0000-0700-00002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97002" name="그림 297001">
          <a:extLst>
            <a:ext uri="{FF2B5EF4-FFF2-40B4-BE49-F238E27FC236}">
              <a16:creationId xmlns:a16="http://schemas.microsoft.com/office/drawing/2014/main" id="{00000000-0008-0000-0700-00002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97004" name="그림 297003">
          <a:extLst>
            <a:ext uri="{FF2B5EF4-FFF2-40B4-BE49-F238E27FC236}">
              <a16:creationId xmlns:a16="http://schemas.microsoft.com/office/drawing/2014/main" id="{00000000-0008-0000-0700-00002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297006" name="그림 297005">
          <a:extLst>
            <a:ext uri="{FF2B5EF4-FFF2-40B4-BE49-F238E27FC236}">
              <a16:creationId xmlns:a16="http://schemas.microsoft.com/office/drawing/2014/main" id="{00000000-0008-0000-0700-00002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97008" name="그림 297007">
          <a:extLst>
            <a:ext uri="{FF2B5EF4-FFF2-40B4-BE49-F238E27FC236}">
              <a16:creationId xmlns:a16="http://schemas.microsoft.com/office/drawing/2014/main" id="{00000000-0008-0000-0700-00003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97010" name="그림 297009">
          <a:extLst>
            <a:ext uri="{FF2B5EF4-FFF2-40B4-BE49-F238E27FC236}">
              <a16:creationId xmlns:a16="http://schemas.microsoft.com/office/drawing/2014/main" id="{00000000-0008-0000-0700-00003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97012" name="그림 297011">
          <a:extLst>
            <a:ext uri="{FF2B5EF4-FFF2-40B4-BE49-F238E27FC236}">
              <a16:creationId xmlns:a16="http://schemas.microsoft.com/office/drawing/2014/main" id="{00000000-0008-0000-0700-00003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97014" name="그림 297013">
          <a:extLst>
            <a:ext uri="{FF2B5EF4-FFF2-40B4-BE49-F238E27FC236}">
              <a16:creationId xmlns:a16="http://schemas.microsoft.com/office/drawing/2014/main" id="{00000000-0008-0000-0700-00003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97016" name="그림 297015">
          <a:extLst>
            <a:ext uri="{FF2B5EF4-FFF2-40B4-BE49-F238E27FC236}">
              <a16:creationId xmlns:a16="http://schemas.microsoft.com/office/drawing/2014/main" id="{00000000-0008-0000-0700-00003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97018" name="그림 297017">
          <a:extLst>
            <a:ext uri="{FF2B5EF4-FFF2-40B4-BE49-F238E27FC236}">
              <a16:creationId xmlns:a16="http://schemas.microsoft.com/office/drawing/2014/main" id="{00000000-0008-0000-0700-00003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7020" name="그림 297019">
          <a:extLst>
            <a:ext uri="{FF2B5EF4-FFF2-40B4-BE49-F238E27FC236}">
              <a16:creationId xmlns:a16="http://schemas.microsoft.com/office/drawing/2014/main" id="{00000000-0008-0000-0700-00003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297022" name="그림 297021">
          <a:extLst>
            <a:ext uri="{FF2B5EF4-FFF2-40B4-BE49-F238E27FC236}">
              <a16:creationId xmlns:a16="http://schemas.microsoft.com/office/drawing/2014/main" id="{00000000-0008-0000-0700-00003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297024" name="그림 297023">
          <a:extLst>
            <a:ext uri="{FF2B5EF4-FFF2-40B4-BE49-F238E27FC236}">
              <a16:creationId xmlns:a16="http://schemas.microsoft.com/office/drawing/2014/main" id="{00000000-0008-0000-0700-00004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82</xdr:row>
      <xdr:rowOff>28575</xdr:rowOff>
    </xdr:from>
    <xdr:to>
      <xdr:col>15</xdr:col>
      <xdr:colOff>114300</xdr:colOff>
      <xdr:row>95</xdr:row>
      <xdr:rowOff>19050</xdr:rowOff>
    </xdr:to>
    <xdr:pic>
      <xdr:nvPicPr>
        <xdr:cNvPr id="297026" name="그림 297025">
          <a:extLst>
            <a:ext uri="{FF2B5EF4-FFF2-40B4-BE49-F238E27FC236}">
              <a16:creationId xmlns:a16="http://schemas.microsoft.com/office/drawing/2014/main" id="{00000000-0008-0000-0700-00004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7525" y="14087475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297028" name="그림 297027">
          <a:extLst>
            <a:ext uri="{FF2B5EF4-FFF2-40B4-BE49-F238E27FC236}">
              <a16:creationId xmlns:a16="http://schemas.microsoft.com/office/drawing/2014/main" id="{00000000-0008-0000-0700-00004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297030" name="그림 297029">
          <a:extLst>
            <a:ext uri="{FF2B5EF4-FFF2-40B4-BE49-F238E27FC236}">
              <a16:creationId xmlns:a16="http://schemas.microsoft.com/office/drawing/2014/main" id="{00000000-0008-0000-0700-00004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297032" name="그림 297031">
          <a:extLst>
            <a:ext uri="{FF2B5EF4-FFF2-40B4-BE49-F238E27FC236}">
              <a16:creationId xmlns:a16="http://schemas.microsoft.com/office/drawing/2014/main" id="{00000000-0008-0000-0700-00004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297034" name="그림 297033">
          <a:extLst>
            <a:ext uri="{FF2B5EF4-FFF2-40B4-BE49-F238E27FC236}">
              <a16:creationId xmlns:a16="http://schemas.microsoft.com/office/drawing/2014/main" id="{00000000-0008-0000-0700-00004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297036" name="그림 297035">
          <a:extLst>
            <a:ext uri="{FF2B5EF4-FFF2-40B4-BE49-F238E27FC236}">
              <a16:creationId xmlns:a16="http://schemas.microsoft.com/office/drawing/2014/main" id="{00000000-0008-0000-0700-00004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297038" name="그림 297037">
          <a:extLst>
            <a:ext uri="{FF2B5EF4-FFF2-40B4-BE49-F238E27FC236}">
              <a16:creationId xmlns:a16="http://schemas.microsoft.com/office/drawing/2014/main" id="{00000000-0008-0000-0700-00004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297040" name="그림 297039">
          <a:extLst>
            <a:ext uri="{FF2B5EF4-FFF2-40B4-BE49-F238E27FC236}">
              <a16:creationId xmlns:a16="http://schemas.microsoft.com/office/drawing/2014/main" id="{00000000-0008-0000-0700-00005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297042" name="그림 297041">
          <a:extLst>
            <a:ext uri="{FF2B5EF4-FFF2-40B4-BE49-F238E27FC236}">
              <a16:creationId xmlns:a16="http://schemas.microsoft.com/office/drawing/2014/main" id="{00000000-0008-0000-0700-00005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297044" name="그림 297043">
          <a:extLst>
            <a:ext uri="{FF2B5EF4-FFF2-40B4-BE49-F238E27FC236}">
              <a16:creationId xmlns:a16="http://schemas.microsoft.com/office/drawing/2014/main" id="{00000000-0008-0000-0700-00005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297046" name="그림 297045">
          <a:extLst>
            <a:ext uri="{FF2B5EF4-FFF2-40B4-BE49-F238E27FC236}">
              <a16:creationId xmlns:a16="http://schemas.microsoft.com/office/drawing/2014/main" id="{00000000-0008-0000-0700-00005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2" totalsRowShown="0" headerRowDxfId="13" dataDxfId="12" headerRowCellStyle="표준 2" dataCellStyle="표준 2">
  <autoFilter ref="G19:G32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4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4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53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25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52.emf"/><Relationship Id="rId24" Type="http://schemas.openxmlformats.org/officeDocument/2006/relationships/control" Target="../activeX/activeX31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56.emf"/><Relationship Id="rId4" Type="http://schemas.openxmlformats.org/officeDocument/2006/relationships/control" Target="../activeX/activeX21.xml"/><Relationship Id="rId9" Type="http://schemas.openxmlformats.org/officeDocument/2006/relationships/image" Target="../media/image51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60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6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62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64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7.emf"/><Relationship Id="rId5" Type="http://schemas.openxmlformats.org/officeDocument/2006/relationships/control" Target="../activeX/activeX39.xml"/><Relationship Id="rId4" Type="http://schemas.openxmlformats.org/officeDocument/2006/relationships/image" Target="../media/image6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68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7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3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74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8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7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8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6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15" customWidth="1"/>
    <col min="2" max="2" width="16.5546875" style="415" customWidth="1"/>
    <col min="3" max="3" width="7.5546875" style="415" customWidth="1"/>
    <col min="4" max="4" width="7.33203125" style="415" bestFit="1" customWidth="1"/>
    <col min="5" max="5" width="3.21875" style="415" customWidth="1"/>
    <col min="6" max="6" width="8.88671875" style="415"/>
    <col min="7" max="7" width="15.77734375" style="415" customWidth="1"/>
    <col min="8" max="9" width="6.77734375" style="415" customWidth="1"/>
    <col min="10" max="10" width="3.44140625" style="415" customWidth="1"/>
    <col min="11" max="11" width="8.88671875" style="415"/>
    <col min="12" max="12" width="18.77734375" style="415" customWidth="1"/>
    <col min="13" max="14" width="6" style="415" customWidth="1"/>
    <col min="15" max="15" width="3.21875" style="415" customWidth="1"/>
    <col min="16" max="16" width="10.5546875" style="415" customWidth="1"/>
    <col min="17" max="17" width="10.44140625" style="415" customWidth="1"/>
    <col min="18" max="18" width="6.88671875" style="415" customWidth="1"/>
    <col min="19" max="19" width="3.6640625" style="415" customWidth="1"/>
    <col min="20" max="21" width="8.88671875" style="415"/>
    <col min="22" max="22" width="6.44140625" style="415" customWidth="1"/>
    <col min="23" max="23" width="6.5546875" style="415" customWidth="1"/>
    <col min="24" max="24" width="4.21875" style="415" customWidth="1"/>
    <col min="25" max="26" width="8.88671875" style="415"/>
    <col min="27" max="27" width="6.33203125" style="415" customWidth="1"/>
    <col min="28" max="28" width="6.21875" style="415" customWidth="1"/>
    <col min="29" max="29" width="4.77734375" style="415" customWidth="1"/>
    <col min="30" max="30" width="8.88671875" style="415"/>
    <col min="31" max="31" width="7.109375" style="415" customWidth="1"/>
    <col min="32" max="16384" width="8.88671875" style="415"/>
  </cols>
  <sheetData>
    <row r="1" spans="1:17">
      <c r="A1" s="415" t="s">
        <v>391</v>
      </c>
      <c r="B1" s="415" t="s">
        <v>197</v>
      </c>
      <c r="C1" s="415" t="s">
        <v>525</v>
      </c>
      <c r="D1" s="415" t="s">
        <v>524</v>
      </c>
      <c r="F1" s="415" t="s">
        <v>391</v>
      </c>
      <c r="G1" s="415" t="s">
        <v>197</v>
      </c>
      <c r="H1" s="415" t="s">
        <v>525</v>
      </c>
      <c r="I1" s="415" t="s">
        <v>524</v>
      </c>
      <c r="K1" s="415" t="s">
        <v>391</v>
      </c>
      <c r="L1" s="415" t="s">
        <v>197</v>
      </c>
      <c r="M1" s="415" t="s">
        <v>525</v>
      </c>
      <c r="N1" s="415" t="s">
        <v>524</v>
      </c>
      <c r="P1" s="415" t="s">
        <v>391</v>
      </c>
      <c r="Q1" s="415" t="s">
        <v>525</v>
      </c>
    </row>
    <row r="2" spans="1:17">
      <c r="A2" s="415" t="s">
        <v>613</v>
      </c>
      <c r="B2" s="415" t="s">
        <v>612</v>
      </c>
      <c r="C2" s="415">
        <v>116</v>
      </c>
      <c r="D2" s="415">
        <v>14</v>
      </c>
      <c r="F2" s="415" t="s">
        <v>611</v>
      </c>
      <c r="G2" s="415" t="s">
        <v>610</v>
      </c>
      <c r="H2" s="415">
        <v>105</v>
      </c>
      <c r="I2" s="415">
        <v>38</v>
      </c>
      <c r="K2" s="415" t="s">
        <v>609</v>
      </c>
      <c r="L2" s="415" t="s">
        <v>608</v>
      </c>
      <c r="M2" s="415">
        <v>226</v>
      </c>
      <c r="N2" s="415">
        <v>54</v>
      </c>
      <c r="P2" s="415" t="s">
        <v>607</v>
      </c>
      <c r="Q2" s="415" t="s">
        <v>606</v>
      </c>
    </row>
    <row r="3" spans="1:17">
      <c r="A3" s="415" t="s">
        <v>605</v>
      </c>
      <c r="B3" s="415" t="s">
        <v>604</v>
      </c>
      <c r="C3" s="415">
        <v>108</v>
      </c>
      <c r="D3" s="415">
        <v>14</v>
      </c>
      <c r="F3" s="415" t="s">
        <v>603</v>
      </c>
      <c r="G3" s="415" t="s">
        <v>602</v>
      </c>
      <c r="H3" s="415">
        <v>100</v>
      </c>
      <c r="I3" s="415">
        <v>38</v>
      </c>
      <c r="K3" s="415" t="s">
        <v>601</v>
      </c>
      <c r="L3" s="415" t="s">
        <v>600</v>
      </c>
      <c r="M3" s="415">
        <v>221</v>
      </c>
      <c r="N3" s="415">
        <v>54</v>
      </c>
      <c r="P3" s="415" t="s">
        <v>599</v>
      </c>
      <c r="Q3" s="415" t="s">
        <v>598</v>
      </c>
    </row>
    <row r="4" spans="1:17">
      <c r="A4" s="415" t="s">
        <v>597</v>
      </c>
      <c r="B4" s="415" t="s">
        <v>596</v>
      </c>
      <c r="C4" s="415">
        <v>201</v>
      </c>
      <c r="D4" s="415">
        <v>22</v>
      </c>
      <c r="F4" s="415" t="s">
        <v>595</v>
      </c>
      <c r="G4" s="415" t="s">
        <v>594</v>
      </c>
      <c r="H4" s="415">
        <v>106</v>
      </c>
      <c r="I4" s="415">
        <v>38</v>
      </c>
      <c r="K4" s="415" t="s">
        <v>593</v>
      </c>
      <c r="L4" s="415" t="s">
        <v>592</v>
      </c>
      <c r="M4" s="415">
        <v>131</v>
      </c>
      <c r="N4" s="415">
        <v>54</v>
      </c>
      <c r="P4" s="415" t="s">
        <v>591</v>
      </c>
      <c r="Q4" s="415" t="s">
        <v>590</v>
      </c>
    </row>
    <row r="5" spans="1:17">
      <c r="A5" s="415" t="s">
        <v>589</v>
      </c>
      <c r="B5" s="415" t="s">
        <v>588</v>
      </c>
      <c r="C5" s="415">
        <v>102</v>
      </c>
      <c r="D5" s="415">
        <v>22</v>
      </c>
      <c r="F5" s="415" t="s">
        <v>587</v>
      </c>
      <c r="G5" s="415" t="s">
        <v>586</v>
      </c>
      <c r="H5" s="415">
        <v>104</v>
      </c>
      <c r="I5" s="415">
        <v>38</v>
      </c>
      <c r="K5" s="415" t="s">
        <v>585</v>
      </c>
      <c r="L5" s="415" t="s">
        <v>584</v>
      </c>
      <c r="M5" s="415">
        <v>135</v>
      </c>
      <c r="N5" s="415">
        <v>54</v>
      </c>
      <c r="P5" s="415" t="s">
        <v>583</v>
      </c>
      <c r="Q5" s="415" t="s">
        <v>582</v>
      </c>
    </row>
    <row r="6" spans="1:17">
      <c r="A6" s="415" t="s">
        <v>581</v>
      </c>
      <c r="B6" s="415" t="s">
        <v>580</v>
      </c>
      <c r="C6" s="415">
        <v>112</v>
      </c>
      <c r="D6" s="415">
        <v>22</v>
      </c>
      <c r="F6" s="415" t="s">
        <v>579</v>
      </c>
      <c r="G6" s="415" t="s">
        <v>578</v>
      </c>
      <c r="H6" s="415">
        <v>93</v>
      </c>
      <c r="I6" s="415">
        <v>38</v>
      </c>
      <c r="K6" s="415" t="s">
        <v>577</v>
      </c>
      <c r="L6" s="415" t="s">
        <v>576</v>
      </c>
      <c r="M6" s="415">
        <v>127</v>
      </c>
      <c r="N6" s="415">
        <v>54</v>
      </c>
      <c r="P6" s="415" t="s">
        <v>575</v>
      </c>
      <c r="Q6" s="415" t="s">
        <v>574</v>
      </c>
    </row>
    <row r="7" spans="1:17">
      <c r="A7" s="415" t="s">
        <v>573</v>
      </c>
      <c r="B7" s="415" t="s">
        <v>572</v>
      </c>
      <c r="C7" s="415">
        <v>98</v>
      </c>
      <c r="D7" s="415">
        <v>32</v>
      </c>
      <c r="F7" s="415" t="s">
        <v>571</v>
      </c>
      <c r="G7" s="415" t="s">
        <v>570</v>
      </c>
      <c r="H7" s="415">
        <v>214</v>
      </c>
      <c r="I7" s="415">
        <v>38</v>
      </c>
      <c r="K7" s="415" t="s">
        <v>569</v>
      </c>
      <c r="L7" s="415" t="s">
        <v>568</v>
      </c>
      <c r="M7" s="415">
        <v>133</v>
      </c>
      <c r="N7" s="415">
        <v>28</v>
      </c>
      <c r="P7" s="415" t="s">
        <v>567</v>
      </c>
      <c r="Q7" s="415" t="s">
        <v>566</v>
      </c>
    </row>
    <row r="8" spans="1:17">
      <c r="A8" s="415" t="s">
        <v>565</v>
      </c>
      <c r="B8" s="415" t="s">
        <v>564</v>
      </c>
      <c r="C8" s="415">
        <v>119</v>
      </c>
      <c r="D8" s="415">
        <v>32</v>
      </c>
      <c r="F8" s="415" t="s">
        <v>563</v>
      </c>
      <c r="G8" s="415" t="s">
        <v>562</v>
      </c>
      <c r="H8" s="415">
        <v>90</v>
      </c>
      <c r="I8" s="415">
        <v>38</v>
      </c>
      <c r="K8" s="415" t="s">
        <v>561</v>
      </c>
      <c r="L8" s="415" t="s">
        <v>560</v>
      </c>
      <c r="M8" s="415">
        <v>239</v>
      </c>
      <c r="N8" s="415">
        <v>132</v>
      </c>
    </row>
    <row r="9" spans="1:17">
      <c r="A9" s="415" t="s">
        <v>559</v>
      </c>
      <c r="B9" s="415" t="s">
        <v>558</v>
      </c>
      <c r="C9" s="415">
        <v>202</v>
      </c>
      <c r="D9" s="415">
        <v>32</v>
      </c>
      <c r="F9" s="415" t="s">
        <v>557</v>
      </c>
      <c r="G9" s="415" t="s">
        <v>556</v>
      </c>
      <c r="H9" s="415">
        <v>121</v>
      </c>
      <c r="I9" s="415">
        <v>38</v>
      </c>
      <c r="K9" s="415" t="s">
        <v>555</v>
      </c>
      <c r="L9" s="415" t="s">
        <v>554</v>
      </c>
      <c r="M9" s="415">
        <v>238</v>
      </c>
      <c r="N9" s="415">
        <v>60</v>
      </c>
    </row>
    <row r="10" spans="1:17">
      <c r="A10" s="415" t="s">
        <v>553</v>
      </c>
      <c r="B10" s="415" t="s">
        <v>552</v>
      </c>
      <c r="C10" s="415">
        <v>203</v>
      </c>
      <c r="D10" s="415">
        <v>32</v>
      </c>
      <c r="F10" s="415" t="s">
        <v>551</v>
      </c>
      <c r="G10" s="415" t="s">
        <v>550</v>
      </c>
      <c r="H10" s="415">
        <v>114</v>
      </c>
      <c r="I10" s="415">
        <v>38</v>
      </c>
      <c r="K10" s="415" t="s">
        <v>549</v>
      </c>
      <c r="L10" s="415" t="s">
        <v>548</v>
      </c>
      <c r="M10" s="415">
        <v>235</v>
      </c>
      <c r="N10" s="415">
        <v>60</v>
      </c>
    </row>
    <row r="11" spans="1:17">
      <c r="A11" s="415" t="s">
        <v>547</v>
      </c>
      <c r="B11" s="415" t="s">
        <v>546</v>
      </c>
      <c r="C11" s="415">
        <v>99</v>
      </c>
      <c r="D11" s="415">
        <v>32</v>
      </c>
      <c r="F11" s="415" t="s">
        <v>545</v>
      </c>
      <c r="G11" s="415" t="s">
        <v>544</v>
      </c>
      <c r="H11" s="415">
        <v>211</v>
      </c>
      <c r="I11" s="415">
        <v>38</v>
      </c>
      <c r="K11" s="415" t="s">
        <v>543</v>
      </c>
      <c r="L11" s="415" t="s">
        <v>542</v>
      </c>
      <c r="M11" s="415">
        <v>236</v>
      </c>
      <c r="N11" s="415">
        <v>60</v>
      </c>
    </row>
    <row r="12" spans="1:17">
      <c r="F12" s="415" t="s">
        <v>541</v>
      </c>
      <c r="G12" s="415" t="s">
        <v>540</v>
      </c>
      <c r="H12" s="415">
        <v>217</v>
      </c>
      <c r="I12" s="415">
        <v>38</v>
      </c>
      <c r="K12" s="415" t="s">
        <v>539</v>
      </c>
      <c r="L12" s="415" t="s">
        <v>538</v>
      </c>
      <c r="M12" s="415">
        <v>129</v>
      </c>
      <c r="N12" s="415">
        <v>60</v>
      </c>
    </row>
    <row r="13" spans="1:17">
      <c r="F13" s="415" t="s">
        <v>537</v>
      </c>
      <c r="G13" s="415" t="s">
        <v>536</v>
      </c>
      <c r="H13" s="415">
        <v>95</v>
      </c>
      <c r="I13" s="415">
        <v>38</v>
      </c>
      <c r="K13" s="415" t="s">
        <v>535</v>
      </c>
      <c r="L13" s="415" t="s">
        <v>534</v>
      </c>
      <c r="M13" s="415">
        <v>232</v>
      </c>
      <c r="N13" s="415">
        <v>60</v>
      </c>
    </row>
    <row r="14" spans="1:17">
      <c r="F14" s="415" t="s">
        <v>533</v>
      </c>
      <c r="G14" s="415" t="s">
        <v>532</v>
      </c>
      <c r="H14" s="415">
        <v>101</v>
      </c>
      <c r="I14" s="415">
        <v>38</v>
      </c>
      <c r="K14" s="415" t="s">
        <v>531</v>
      </c>
      <c r="L14" s="415" t="s">
        <v>530</v>
      </c>
      <c r="M14" s="415">
        <v>177</v>
      </c>
      <c r="N14" s="415">
        <v>60</v>
      </c>
    </row>
    <row r="15" spans="1:17">
      <c r="F15" s="415" t="s">
        <v>529</v>
      </c>
      <c r="G15" s="415" t="s">
        <v>528</v>
      </c>
      <c r="H15" s="415">
        <v>216</v>
      </c>
      <c r="I15" s="415">
        <v>38</v>
      </c>
    </row>
    <row r="16" spans="1:17">
      <c r="F16" s="415" t="s">
        <v>527</v>
      </c>
      <c r="G16" s="415" t="s">
        <v>526</v>
      </c>
      <c r="H16" s="415">
        <v>212</v>
      </c>
      <c r="I16" s="415">
        <v>38</v>
      </c>
    </row>
    <row r="22" spans="1:14">
      <c r="A22" s="415" t="s">
        <v>391</v>
      </c>
      <c r="B22" s="415" t="s">
        <v>197</v>
      </c>
      <c r="C22" s="415" t="s">
        <v>525</v>
      </c>
      <c r="D22" s="415" t="s">
        <v>524</v>
      </c>
      <c r="F22" s="415" t="s">
        <v>391</v>
      </c>
      <c r="G22" s="415" t="s">
        <v>197</v>
      </c>
      <c r="H22" s="415" t="s">
        <v>525</v>
      </c>
      <c r="I22" s="415" t="s">
        <v>524</v>
      </c>
      <c r="K22" s="415" t="s">
        <v>391</v>
      </c>
      <c r="L22" s="415" t="s">
        <v>197</v>
      </c>
      <c r="M22" s="415" t="s">
        <v>525</v>
      </c>
      <c r="N22" s="415" t="s">
        <v>524</v>
      </c>
    </row>
    <row r="23" spans="1:14">
      <c r="A23" s="415" t="s">
        <v>523</v>
      </c>
      <c r="B23" s="415" t="s">
        <v>522</v>
      </c>
      <c r="C23" s="415">
        <v>156</v>
      </c>
      <c r="D23" s="415">
        <v>26</v>
      </c>
      <c r="F23" s="415" t="s">
        <v>521</v>
      </c>
      <c r="G23" s="415" t="s">
        <v>520</v>
      </c>
      <c r="H23" s="415">
        <v>143</v>
      </c>
      <c r="I23" s="415">
        <v>19</v>
      </c>
      <c r="K23" s="415" t="s">
        <v>519</v>
      </c>
      <c r="L23" s="415" t="s">
        <v>518</v>
      </c>
      <c r="M23" s="415">
        <v>185</v>
      </c>
      <c r="N23" s="415">
        <v>125</v>
      </c>
    </row>
    <row r="24" spans="1:14">
      <c r="A24" s="415" t="s">
        <v>517</v>
      </c>
      <c r="B24" s="415" t="s">
        <v>516</v>
      </c>
      <c r="C24" s="415">
        <v>172</v>
      </c>
      <c r="D24" s="415">
        <v>67</v>
      </c>
      <c r="F24" s="415" t="s">
        <v>515</v>
      </c>
      <c r="G24" s="415" t="s">
        <v>514</v>
      </c>
      <c r="H24" s="415">
        <v>176</v>
      </c>
      <c r="I24" s="415">
        <v>19</v>
      </c>
      <c r="K24" s="415" t="s">
        <v>513</v>
      </c>
      <c r="L24" s="415" t="s">
        <v>512</v>
      </c>
      <c r="M24" s="415">
        <v>189</v>
      </c>
      <c r="N24" s="415">
        <v>125</v>
      </c>
    </row>
    <row r="25" spans="1:14">
      <c r="A25" s="415" t="s">
        <v>511</v>
      </c>
      <c r="B25" s="415" t="s">
        <v>510</v>
      </c>
      <c r="C25" s="415">
        <v>251</v>
      </c>
      <c r="D25" s="415">
        <v>67</v>
      </c>
      <c r="F25" s="415" t="s">
        <v>509</v>
      </c>
      <c r="G25" s="415" t="s">
        <v>508</v>
      </c>
      <c r="H25" s="415">
        <v>152</v>
      </c>
      <c r="I25" s="415">
        <v>30</v>
      </c>
      <c r="K25" s="415" t="s">
        <v>502</v>
      </c>
      <c r="L25" s="415" t="s">
        <v>507</v>
      </c>
      <c r="M25" s="415">
        <v>188</v>
      </c>
      <c r="N25" s="415">
        <v>125</v>
      </c>
    </row>
    <row r="26" spans="1:14">
      <c r="A26" s="415" t="s">
        <v>506</v>
      </c>
      <c r="B26" s="415" t="s">
        <v>505</v>
      </c>
      <c r="C26" s="415">
        <v>140</v>
      </c>
      <c r="D26" s="415">
        <v>67</v>
      </c>
      <c r="F26" s="415" t="s">
        <v>504</v>
      </c>
      <c r="G26" s="415" t="s">
        <v>503</v>
      </c>
      <c r="H26" s="415">
        <v>159</v>
      </c>
      <c r="I26" s="415">
        <v>17</v>
      </c>
      <c r="K26" s="415" t="s">
        <v>635</v>
      </c>
      <c r="L26" s="415" t="s">
        <v>501</v>
      </c>
      <c r="M26" s="415">
        <v>187</v>
      </c>
      <c r="N26" s="415">
        <v>125</v>
      </c>
    </row>
    <row r="27" spans="1:14">
      <c r="A27" s="415" t="s">
        <v>500</v>
      </c>
      <c r="B27" s="415" t="s">
        <v>499</v>
      </c>
      <c r="C27" s="415">
        <v>247</v>
      </c>
      <c r="D27" s="415">
        <v>67</v>
      </c>
      <c r="F27" s="415" t="s">
        <v>498</v>
      </c>
      <c r="G27" s="415" t="s">
        <v>497</v>
      </c>
      <c r="H27" s="415">
        <v>283</v>
      </c>
      <c r="I27" s="415">
        <v>95</v>
      </c>
      <c r="K27" s="415" t="s">
        <v>496</v>
      </c>
      <c r="L27" s="415" t="s">
        <v>495</v>
      </c>
      <c r="M27" s="415">
        <v>265</v>
      </c>
      <c r="N27" s="415">
        <v>125</v>
      </c>
    </row>
    <row r="28" spans="1:14">
      <c r="A28" s="415" t="s">
        <v>494</v>
      </c>
      <c r="B28" s="415" t="s">
        <v>493</v>
      </c>
      <c r="C28" s="415">
        <v>243</v>
      </c>
      <c r="D28" s="415">
        <v>67</v>
      </c>
      <c r="F28" s="415" t="s">
        <v>492</v>
      </c>
      <c r="G28" s="415" t="s">
        <v>491</v>
      </c>
      <c r="H28" s="415">
        <v>279</v>
      </c>
      <c r="I28" s="415">
        <v>95</v>
      </c>
      <c r="K28" s="415" t="s">
        <v>490</v>
      </c>
      <c r="L28" s="415" t="s">
        <v>489</v>
      </c>
      <c r="M28" s="415">
        <v>184</v>
      </c>
      <c r="N28" s="415">
        <v>125</v>
      </c>
    </row>
    <row r="29" spans="1:14">
      <c r="A29" s="415" t="s">
        <v>488</v>
      </c>
      <c r="B29" s="415" t="s">
        <v>487</v>
      </c>
      <c r="C29" s="415">
        <v>254</v>
      </c>
      <c r="D29" s="415">
        <v>67</v>
      </c>
      <c r="F29" s="415" t="s">
        <v>486</v>
      </c>
      <c r="G29" s="415" t="s">
        <v>485</v>
      </c>
      <c r="H29" s="415">
        <v>273</v>
      </c>
      <c r="I29" s="415">
        <v>95</v>
      </c>
    </row>
    <row r="30" spans="1:14">
      <c r="A30" s="415" t="s">
        <v>484</v>
      </c>
      <c r="B30" s="415" t="s">
        <v>483</v>
      </c>
      <c r="C30" s="415">
        <v>244</v>
      </c>
      <c r="D30" s="415">
        <v>67</v>
      </c>
      <c r="F30" s="415" t="s">
        <v>482</v>
      </c>
      <c r="G30" s="415" t="s">
        <v>481</v>
      </c>
      <c r="H30" s="415">
        <v>271</v>
      </c>
      <c r="I30" s="415">
        <v>95</v>
      </c>
    </row>
    <row r="31" spans="1:14">
      <c r="A31" s="415" t="s">
        <v>480</v>
      </c>
      <c r="B31" s="415" t="s">
        <v>479</v>
      </c>
      <c r="C31" s="415">
        <v>248</v>
      </c>
      <c r="D31" s="415">
        <v>67</v>
      </c>
      <c r="F31" s="415" t="s">
        <v>478</v>
      </c>
      <c r="G31" s="415" t="s">
        <v>477</v>
      </c>
      <c r="H31" s="415">
        <v>137</v>
      </c>
      <c r="I31" s="415">
        <v>95</v>
      </c>
    </row>
    <row r="32" spans="1:14">
      <c r="A32" s="415" t="s">
        <v>476</v>
      </c>
      <c r="B32" s="415" t="s">
        <v>475</v>
      </c>
      <c r="C32" s="415">
        <v>146</v>
      </c>
      <c r="D32" s="415">
        <v>67</v>
      </c>
      <c r="F32" s="415" t="s">
        <v>474</v>
      </c>
      <c r="G32" s="415" t="s">
        <v>473</v>
      </c>
      <c r="H32" s="415">
        <v>136</v>
      </c>
      <c r="I32" s="415">
        <v>95</v>
      </c>
    </row>
    <row r="33" spans="1:9">
      <c r="A33" s="415" t="s">
        <v>472</v>
      </c>
      <c r="B33" s="415" t="s">
        <v>471</v>
      </c>
      <c r="C33" s="415">
        <v>245</v>
      </c>
      <c r="D33" s="415">
        <v>67</v>
      </c>
      <c r="F33" s="415" t="s">
        <v>470</v>
      </c>
      <c r="G33" s="415" t="s">
        <v>469</v>
      </c>
      <c r="H33" s="415">
        <v>277</v>
      </c>
      <c r="I33" s="415">
        <v>95</v>
      </c>
    </row>
    <row r="34" spans="1:9">
      <c r="A34" s="415" t="s">
        <v>468</v>
      </c>
      <c r="B34" s="415" t="s">
        <v>467</v>
      </c>
      <c r="C34" s="415">
        <v>259</v>
      </c>
      <c r="D34" s="415">
        <v>78</v>
      </c>
      <c r="F34" s="415" t="s">
        <v>466</v>
      </c>
      <c r="G34" s="415" t="s">
        <v>465</v>
      </c>
      <c r="H34" s="415">
        <v>272</v>
      </c>
      <c r="I34" s="415">
        <v>95</v>
      </c>
    </row>
    <row r="35" spans="1:9">
      <c r="A35" s="415" t="s">
        <v>464</v>
      </c>
      <c r="B35" s="415" t="s">
        <v>463</v>
      </c>
      <c r="C35" s="415">
        <v>262</v>
      </c>
      <c r="D35" s="415">
        <v>78</v>
      </c>
      <c r="F35" s="415" t="s">
        <v>462</v>
      </c>
      <c r="G35" s="415" t="s">
        <v>461</v>
      </c>
      <c r="H35" s="415">
        <v>281</v>
      </c>
      <c r="I35" s="415">
        <v>95</v>
      </c>
    </row>
    <row r="36" spans="1:9">
      <c r="A36" s="415" t="s">
        <v>460</v>
      </c>
      <c r="B36" s="415" t="s">
        <v>459</v>
      </c>
      <c r="C36" s="415">
        <v>266</v>
      </c>
      <c r="D36" s="415">
        <v>78</v>
      </c>
      <c r="F36" s="415" t="s">
        <v>458</v>
      </c>
      <c r="G36" s="415" t="s">
        <v>457</v>
      </c>
      <c r="H36" s="415">
        <v>115</v>
      </c>
      <c r="I36" s="415">
        <v>95</v>
      </c>
    </row>
    <row r="37" spans="1:9">
      <c r="A37" s="415" t="s">
        <v>456</v>
      </c>
      <c r="B37" s="415" t="s">
        <v>455</v>
      </c>
      <c r="C37" s="415">
        <v>165</v>
      </c>
      <c r="D37" s="415">
        <v>78</v>
      </c>
      <c r="F37" s="415" t="s">
        <v>454</v>
      </c>
      <c r="G37" s="415" t="s">
        <v>453</v>
      </c>
      <c r="H37" s="415">
        <v>130</v>
      </c>
      <c r="I37" s="415">
        <v>95</v>
      </c>
    </row>
    <row r="38" spans="1:9">
      <c r="A38" s="415" t="s">
        <v>452</v>
      </c>
      <c r="B38" s="415" t="s">
        <v>451</v>
      </c>
      <c r="C38" s="415">
        <v>164</v>
      </c>
      <c r="D38" s="415">
        <v>78</v>
      </c>
      <c r="F38" s="415" t="s">
        <v>450</v>
      </c>
      <c r="G38" s="415" t="s">
        <v>449</v>
      </c>
      <c r="H38" s="415">
        <v>278</v>
      </c>
      <c r="I38" s="415">
        <v>95</v>
      </c>
    </row>
    <row r="39" spans="1:9">
      <c r="A39" s="415" t="s">
        <v>448</v>
      </c>
      <c r="B39" s="415" t="s">
        <v>447</v>
      </c>
      <c r="C39" s="415">
        <v>258</v>
      </c>
      <c r="D39" s="415">
        <v>78</v>
      </c>
      <c r="F39" s="415" t="s">
        <v>446</v>
      </c>
      <c r="G39" s="415" t="s">
        <v>445</v>
      </c>
      <c r="H39" s="415">
        <v>276</v>
      </c>
      <c r="I39" s="415">
        <v>95</v>
      </c>
    </row>
    <row r="40" spans="1:9">
      <c r="A40" s="415" t="s">
        <v>444</v>
      </c>
      <c r="B40" s="415" t="s">
        <v>443</v>
      </c>
      <c r="C40" s="415">
        <v>174</v>
      </c>
      <c r="D40" s="415">
        <v>78</v>
      </c>
      <c r="F40" s="415" t="s">
        <v>442</v>
      </c>
      <c r="G40" s="415" t="s">
        <v>441</v>
      </c>
      <c r="H40" s="415">
        <v>138</v>
      </c>
      <c r="I40" s="415">
        <v>95</v>
      </c>
    </row>
    <row r="41" spans="1:9">
      <c r="A41" s="415" t="s">
        <v>440</v>
      </c>
      <c r="B41" s="415" t="s">
        <v>439</v>
      </c>
      <c r="C41" s="415">
        <v>168</v>
      </c>
      <c r="D41" s="415">
        <v>78</v>
      </c>
      <c r="F41" s="415" t="s">
        <v>438</v>
      </c>
      <c r="G41" s="415" t="s">
        <v>437</v>
      </c>
      <c r="H41" s="415">
        <v>294</v>
      </c>
      <c r="I41" s="415">
        <v>110</v>
      </c>
    </row>
    <row r="42" spans="1:9">
      <c r="A42" s="415" t="s">
        <v>436</v>
      </c>
      <c r="B42" s="415" t="s">
        <v>435</v>
      </c>
      <c r="C42" s="415">
        <v>252</v>
      </c>
      <c r="D42" s="415">
        <v>78</v>
      </c>
      <c r="F42" s="415" t="s">
        <v>434</v>
      </c>
      <c r="G42" s="415" t="s">
        <v>433</v>
      </c>
      <c r="H42" s="415">
        <v>284</v>
      </c>
      <c r="I42" s="415">
        <v>110</v>
      </c>
    </row>
    <row r="43" spans="1:9">
      <c r="A43" s="415" t="s">
        <v>432</v>
      </c>
      <c r="B43" s="415" t="s">
        <v>431</v>
      </c>
      <c r="C43" s="415">
        <v>170</v>
      </c>
      <c r="D43" s="415">
        <v>78</v>
      </c>
      <c r="F43" s="415" t="s">
        <v>430</v>
      </c>
      <c r="G43" s="415" t="s">
        <v>429</v>
      </c>
      <c r="H43" s="415">
        <v>253</v>
      </c>
      <c r="I43" s="415">
        <v>110</v>
      </c>
    </row>
    <row r="44" spans="1:9">
      <c r="A44" s="415" t="s">
        <v>428</v>
      </c>
      <c r="B44" s="415" t="s">
        <v>427</v>
      </c>
      <c r="C44" s="415">
        <v>260</v>
      </c>
      <c r="D44" s="415">
        <v>78</v>
      </c>
      <c r="F44" s="415" t="s">
        <v>426</v>
      </c>
      <c r="G44" s="415" t="s">
        <v>425</v>
      </c>
      <c r="H44" s="415">
        <v>295</v>
      </c>
      <c r="I44" s="415">
        <v>110</v>
      </c>
    </row>
    <row r="45" spans="1:9">
      <c r="A45" s="415" t="s">
        <v>424</v>
      </c>
      <c r="B45" s="415" t="s">
        <v>423</v>
      </c>
      <c r="C45" s="415">
        <v>256</v>
      </c>
      <c r="D45" s="415">
        <v>78</v>
      </c>
      <c r="F45" s="415" t="s">
        <v>422</v>
      </c>
      <c r="G45" s="415" t="s">
        <v>421</v>
      </c>
      <c r="H45" s="415">
        <v>288</v>
      </c>
      <c r="I45" s="415">
        <v>110</v>
      </c>
    </row>
    <row r="46" spans="1:9">
      <c r="A46" s="415" t="s">
        <v>420</v>
      </c>
      <c r="B46" s="415" t="s">
        <v>419</v>
      </c>
      <c r="C46" s="415">
        <v>175</v>
      </c>
      <c r="D46" s="415">
        <v>78</v>
      </c>
      <c r="F46" s="415" t="s">
        <v>418</v>
      </c>
      <c r="G46" s="415" t="s">
        <v>417</v>
      </c>
      <c r="H46" s="415">
        <v>255</v>
      </c>
      <c r="I46" s="415">
        <v>110</v>
      </c>
    </row>
    <row r="47" spans="1:9">
      <c r="A47" s="415" t="s">
        <v>416</v>
      </c>
      <c r="B47" s="415" t="s">
        <v>415</v>
      </c>
      <c r="C47" s="415">
        <v>268</v>
      </c>
      <c r="D47" s="415">
        <v>78</v>
      </c>
      <c r="F47" s="415" t="s">
        <v>414</v>
      </c>
      <c r="G47" s="415" t="s">
        <v>413</v>
      </c>
      <c r="H47" s="415">
        <v>289</v>
      </c>
      <c r="I47" s="415">
        <v>110</v>
      </c>
    </row>
    <row r="48" spans="1:9">
      <c r="A48" s="415" t="s">
        <v>412</v>
      </c>
      <c r="B48" s="415" t="s">
        <v>411</v>
      </c>
      <c r="C48" s="415">
        <v>261</v>
      </c>
      <c r="D48" s="415">
        <v>78</v>
      </c>
      <c r="F48" s="415" t="s">
        <v>410</v>
      </c>
      <c r="G48" s="415" t="s">
        <v>409</v>
      </c>
      <c r="H48" s="415">
        <v>257</v>
      </c>
      <c r="I48" s="415">
        <v>110</v>
      </c>
    </row>
    <row r="49" spans="1:9">
      <c r="A49" s="415" t="s">
        <v>408</v>
      </c>
      <c r="B49" s="415" t="s">
        <v>407</v>
      </c>
      <c r="C49" s="415">
        <v>169</v>
      </c>
      <c r="D49" s="415">
        <v>78</v>
      </c>
      <c r="F49" s="415" t="s">
        <v>406</v>
      </c>
      <c r="G49" s="415" t="s">
        <v>405</v>
      </c>
      <c r="H49" s="415">
        <v>263</v>
      </c>
      <c r="I49" s="415">
        <v>110</v>
      </c>
    </row>
    <row r="50" spans="1:9">
      <c r="F50" s="415" t="s">
        <v>404</v>
      </c>
      <c r="G50" s="415" t="s">
        <v>403</v>
      </c>
      <c r="H50" s="415">
        <v>192</v>
      </c>
      <c r="I50" s="415">
        <v>110</v>
      </c>
    </row>
    <row r="51" spans="1:9">
      <c r="F51" s="415" t="s">
        <v>402</v>
      </c>
      <c r="G51" s="415" t="s">
        <v>401</v>
      </c>
      <c r="H51" s="415">
        <v>155</v>
      </c>
      <c r="I51" s="415">
        <v>110</v>
      </c>
    </row>
    <row r="52" spans="1:9">
      <c r="F52" s="415" t="s">
        <v>400</v>
      </c>
      <c r="G52" s="415" t="s">
        <v>399</v>
      </c>
      <c r="H52" s="415">
        <v>162</v>
      </c>
      <c r="I52" s="415">
        <v>110</v>
      </c>
    </row>
    <row r="53" spans="1:9">
      <c r="F53" s="415" t="s">
        <v>398</v>
      </c>
      <c r="G53" s="415" t="s">
        <v>397</v>
      </c>
      <c r="H53" s="415">
        <v>264</v>
      </c>
      <c r="I53" s="415">
        <v>110</v>
      </c>
    </row>
    <row r="54" spans="1:9">
      <c r="F54" s="415" t="s">
        <v>396</v>
      </c>
      <c r="G54" s="415" t="s">
        <v>395</v>
      </c>
      <c r="H54" s="415">
        <v>285</v>
      </c>
      <c r="I54" s="41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7" t="s">
        <v>384</v>
      </c>
      <c r="C2" s="432"/>
      <c r="D2" s="432"/>
      <c r="E2" s="432"/>
      <c r="F2" s="432"/>
      <c r="G2" s="432"/>
      <c r="H2" s="433"/>
      <c r="I2" s="433"/>
      <c r="J2" s="433"/>
      <c r="K2" s="433"/>
      <c r="L2" s="433"/>
      <c r="S2" s="104" t="s">
        <v>641</v>
      </c>
      <c r="T2" s="496" t="s">
        <v>640</v>
      </c>
    </row>
    <row r="3" spans="2:23" ht="17.25" thickBot="1">
      <c r="I3" s="155"/>
      <c r="J3" s="155"/>
      <c r="K3" s="155"/>
    </row>
    <row r="4" spans="2:23" s="67" customFormat="1" ht="30.75" customHeight="1">
      <c r="B4" s="488" t="s">
        <v>41</v>
      </c>
      <c r="C4" s="489" t="s">
        <v>42</v>
      </c>
      <c r="D4" s="489" t="s">
        <v>618</v>
      </c>
      <c r="E4" s="489" t="s">
        <v>619</v>
      </c>
      <c r="F4" s="489" t="s">
        <v>620</v>
      </c>
      <c r="G4" s="489" t="s">
        <v>621</v>
      </c>
      <c r="H4" s="489" t="s">
        <v>622</v>
      </c>
      <c r="I4" s="489" t="s">
        <v>623</v>
      </c>
      <c r="J4" s="489" t="s">
        <v>624</v>
      </c>
      <c r="K4" s="489" t="s">
        <v>625</v>
      </c>
      <c r="L4" s="489" t="s">
        <v>626</v>
      </c>
      <c r="M4" s="489" t="s">
        <v>627</v>
      </c>
      <c r="N4" s="490" t="s">
        <v>628</v>
      </c>
      <c r="O4" s="491" t="s">
        <v>44</v>
      </c>
      <c r="P4" s="490" t="s">
        <v>45</v>
      </c>
      <c r="S4" s="497" t="s">
        <v>614</v>
      </c>
      <c r="T4" s="498" t="s">
        <v>615</v>
      </c>
    </row>
    <row r="5" spans="2:23" ht="22.5" customHeight="1">
      <c r="B5" s="434">
        <v>1994</v>
      </c>
      <c r="C5" s="435">
        <v>17.899999999999999</v>
      </c>
      <c r="D5" s="435">
        <v>6</v>
      </c>
      <c r="E5" s="435">
        <v>58.2</v>
      </c>
      <c r="F5" s="435">
        <v>51.5</v>
      </c>
      <c r="G5" s="435">
        <v>135.5</v>
      </c>
      <c r="H5" s="435">
        <v>207</v>
      </c>
      <c r="I5" s="435">
        <v>137</v>
      </c>
      <c r="J5" s="436">
        <v>443.5</v>
      </c>
      <c r="K5" s="435">
        <v>21</v>
      </c>
      <c r="L5" s="435">
        <v>155</v>
      </c>
      <c r="M5" s="435">
        <v>17.5</v>
      </c>
      <c r="N5" s="437">
        <v>18.899999999999999</v>
      </c>
      <c r="O5" s="418">
        <f>ROUND(SUM(C5:N5),1)</f>
        <v>1269</v>
      </c>
      <c r="P5" s="419">
        <f>ROUND(O5/12,1)</f>
        <v>105.8</v>
      </c>
      <c r="Q5" s="68"/>
      <c r="R5" s="133"/>
      <c r="S5" s="416" t="s">
        <v>699</v>
      </c>
      <c r="T5" s="417" t="s">
        <v>700</v>
      </c>
      <c r="V5" s="133"/>
      <c r="W5" s="132"/>
    </row>
    <row r="6" spans="2:23" ht="22.5" customHeight="1" thickBot="1">
      <c r="B6" s="61">
        <v>1995</v>
      </c>
      <c r="C6" s="438">
        <v>15.7</v>
      </c>
      <c r="D6" s="438">
        <v>11</v>
      </c>
      <c r="E6" s="438">
        <v>19.600000000000001</v>
      </c>
      <c r="F6" s="438">
        <v>65.5</v>
      </c>
      <c r="G6" s="438">
        <v>49.5</v>
      </c>
      <c r="H6" s="438">
        <v>26.5</v>
      </c>
      <c r="I6" s="438">
        <v>144.5</v>
      </c>
      <c r="J6" s="439">
        <v>996.5</v>
      </c>
      <c r="K6" s="438">
        <v>70.5</v>
      </c>
      <c r="L6" s="438">
        <v>24.5</v>
      </c>
      <c r="M6" s="438">
        <v>23</v>
      </c>
      <c r="N6" s="440">
        <v>12.7</v>
      </c>
      <c r="O6" s="420">
        <f t="shared" ref="O6:O34" si="0">ROUND(SUM(C6:N6),1)</f>
        <v>1459.5</v>
      </c>
      <c r="P6" s="421">
        <f t="shared" ref="P6:P34" si="1">ROUND(O6/12,1)</f>
        <v>121.6</v>
      </c>
      <c r="Q6" s="68"/>
      <c r="R6" s="133"/>
      <c r="S6" s="499" t="str">
        <f>VLOOKUP(S5, tblLocation[], 2, FALSE)</f>
        <v>Table3</v>
      </c>
      <c r="T6" s="471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438">
        <v>33.4</v>
      </c>
      <c r="D7" s="438">
        <v>6.8</v>
      </c>
      <c r="E7" s="438">
        <v>104.5</v>
      </c>
      <c r="F7" s="438">
        <v>34</v>
      </c>
      <c r="G7" s="438">
        <v>22.5</v>
      </c>
      <c r="H7" s="438">
        <v>235</v>
      </c>
      <c r="I7" s="438">
        <v>192.5</v>
      </c>
      <c r="J7" s="438">
        <v>44.5</v>
      </c>
      <c r="K7" s="438">
        <v>14</v>
      </c>
      <c r="L7" s="438">
        <v>106.5</v>
      </c>
      <c r="M7" s="438">
        <v>74.2</v>
      </c>
      <c r="N7" s="440">
        <v>31.7</v>
      </c>
      <c r="O7" s="420">
        <f t="shared" si="0"/>
        <v>899.6</v>
      </c>
      <c r="P7" s="42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438">
        <v>15.1</v>
      </c>
      <c r="D8" s="438">
        <v>38.4</v>
      </c>
      <c r="E8" s="438">
        <v>30.5</v>
      </c>
      <c r="F8" s="438">
        <v>57.5</v>
      </c>
      <c r="G8" s="438">
        <v>203</v>
      </c>
      <c r="H8" s="438">
        <v>272</v>
      </c>
      <c r="I8" s="438">
        <v>353.5</v>
      </c>
      <c r="J8" s="438">
        <v>211.5</v>
      </c>
      <c r="K8" s="438">
        <v>23</v>
      </c>
      <c r="L8" s="438">
        <v>10</v>
      </c>
      <c r="M8" s="438">
        <v>193.5</v>
      </c>
      <c r="N8" s="440">
        <v>34.299999999999997</v>
      </c>
      <c r="O8" s="420">
        <f t="shared" si="0"/>
        <v>1442.3</v>
      </c>
      <c r="P8" s="42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438">
        <v>29.9</v>
      </c>
      <c r="D9" s="438">
        <v>40.200000000000003</v>
      </c>
      <c r="E9" s="438">
        <v>30.5</v>
      </c>
      <c r="F9" s="438">
        <v>138</v>
      </c>
      <c r="G9" s="438">
        <v>100</v>
      </c>
      <c r="H9" s="438">
        <v>209.5</v>
      </c>
      <c r="I9" s="438">
        <v>263</v>
      </c>
      <c r="J9" s="438">
        <v>341.7</v>
      </c>
      <c r="K9" s="438">
        <v>150.30000000000001</v>
      </c>
      <c r="L9" s="438">
        <v>61</v>
      </c>
      <c r="M9" s="438">
        <v>29.3</v>
      </c>
      <c r="N9" s="440">
        <v>3.8</v>
      </c>
      <c r="O9" s="420">
        <f t="shared" si="0"/>
        <v>1397.2</v>
      </c>
      <c r="P9" s="42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38">
        <v>7.9</v>
      </c>
      <c r="D10" s="438">
        <v>9.5</v>
      </c>
      <c r="E10" s="438">
        <v>71</v>
      </c>
      <c r="F10" s="438">
        <v>88.5</v>
      </c>
      <c r="G10" s="438">
        <v>124.5</v>
      </c>
      <c r="H10" s="438">
        <v>192.5</v>
      </c>
      <c r="I10" s="438">
        <v>98</v>
      </c>
      <c r="J10" s="438">
        <v>180</v>
      </c>
      <c r="K10" s="438">
        <v>292.5</v>
      </c>
      <c r="L10" s="438">
        <v>169</v>
      </c>
      <c r="M10" s="438">
        <v>24.9</v>
      </c>
      <c r="N10" s="440">
        <v>25.8</v>
      </c>
      <c r="O10" s="420">
        <f t="shared" si="0"/>
        <v>1284.0999999999999</v>
      </c>
      <c r="P10" s="42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38">
        <v>42.1</v>
      </c>
      <c r="D11" s="438">
        <v>3.2</v>
      </c>
      <c r="E11" s="438">
        <v>7</v>
      </c>
      <c r="F11" s="438">
        <v>35</v>
      </c>
      <c r="G11" s="438">
        <v>53.5</v>
      </c>
      <c r="H11" s="438">
        <v>159.5</v>
      </c>
      <c r="I11" s="438">
        <v>155</v>
      </c>
      <c r="J11" s="438">
        <v>701.5</v>
      </c>
      <c r="K11" s="438">
        <v>241</v>
      </c>
      <c r="L11" s="438">
        <v>46</v>
      </c>
      <c r="M11" s="438">
        <v>39.5</v>
      </c>
      <c r="N11" s="440">
        <v>32.1</v>
      </c>
      <c r="O11" s="420">
        <f t="shared" si="0"/>
        <v>1515.4</v>
      </c>
      <c r="P11" s="42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38">
        <v>73.3</v>
      </c>
      <c r="D12" s="438">
        <v>46</v>
      </c>
      <c r="E12" s="438">
        <v>15.9</v>
      </c>
      <c r="F12" s="438">
        <v>26</v>
      </c>
      <c r="G12" s="438">
        <v>17</v>
      </c>
      <c r="H12" s="438">
        <v>129</v>
      </c>
      <c r="I12" s="438">
        <v>286.5</v>
      </c>
      <c r="J12" s="438">
        <v>170</v>
      </c>
      <c r="K12" s="438">
        <v>10</v>
      </c>
      <c r="L12" s="438">
        <v>85</v>
      </c>
      <c r="M12" s="438">
        <v>13</v>
      </c>
      <c r="N12" s="440">
        <v>32</v>
      </c>
      <c r="O12" s="420">
        <f t="shared" si="0"/>
        <v>903.7</v>
      </c>
      <c r="P12" s="42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38">
        <v>50.8</v>
      </c>
      <c r="D13" s="438">
        <v>5.5</v>
      </c>
      <c r="E13" s="438">
        <v>32</v>
      </c>
      <c r="F13" s="438">
        <v>169</v>
      </c>
      <c r="G13" s="438">
        <v>155.5</v>
      </c>
      <c r="H13" s="438">
        <v>72</v>
      </c>
      <c r="I13" s="438">
        <v>217.5</v>
      </c>
      <c r="J13" s="438">
        <v>477</v>
      </c>
      <c r="K13" s="438">
        <v>27</v>
      </c>
      <c r="L13" s="438">
        <v>134</v>
      </c>
      <c r="M13" s="438">
        <v>61.1</v>
      </c>
      <c r="N13" s="440">
        <v>51.8</v>
      </c>
      <c r="O13" s="420">
        <f t="shared" si="0"/>
        <v>1453.2</v>
      </c>
      <c r="P13" s="42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38">
        <v>30.7</v>
      </c>
      <c r="D14" s="438">
        <v>44.5</v>
      </c>
      <c r="E14" s="438">
        <v>39.5</v>
      </c>
      <c r="F14" s="438">
        <v>168.5</v>
      </c>
      <c r="G14" s="438">
        <v>78.5</v>
      </c>
      <c r="H14" s="438">
        <v>153</v>
      </c>
      <c r="I14" s="438">
        <v>309.5</v>
      </c>
      <c r="J14" s="438">
        <v>310</v>
      </c>
      <c r="K14" s="438">
        <v>128</v>
      </c>
      <c r="L14" s="438">
        <v>23</v>
      </c>
      <c r="M14" s="438">
        <v>45.5</v>
      </c>
      <c r="N14" s="440">
        <v>13</v>
      </c>
      <c r="O14" s="420">
        <f t="shared" si="0"/>
        <v>1343.7</v>
      </c>
      <c r="P14" s="42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38">
        <v>22.1</v>
      </c>
      <c r="D15" s="438">
        <v>28.5</v>
      </c>
      <c r="E15" s="438">
        <v>45.7</v>
      </c>
      <c r="F15" s="438">
        <v>58</v>
      </c>
      <c r="G15" s="438">
        <v>105.5</v>
      </c>
      <c r="H15" s="438">
        <v>234.5</v>
      </c>
      <c r="I15" s="438">
        <v>263.5</v>
      </c>
      <c r="J15" s="438">
        <v>164</v>
      </c>
      <c r="K15" s="438">
        <v>195</v>
      </c>
      <c r="L15" s="438">
        <v>4</v>
      </c>
      <c r="M15" s="438">
        <v>56.5</v>
      </c>
      <c r="N15" s="440">
        <v>38.9</v>
      </c>
      <c r="O15" s="420">
        <f t="shared" si="0"/>
        <v>1216.2</v>
      </c>
      <c r="P15" s="421">
        <f t="shared" si="1"/>
        <v>101.4</v>
      </c>
    </row>
    <row r="16" spans="2:23" ht="22.5" customHeight="1">
      <c r="B16" s="61">
        <v>2005</v>
      </c>
      <c r="C16" s="438">
        <v>5.8</v>
      </c>
      <c r="D16" s="438">
        <v>35.799999999999997</v>
      </c>
      <c r="E16" s="438">
        <v>30</v>
      </c>
      <c r="F16" s="438">
        <v>73.5</v>
      </c>
      <c r="G16" s="438">
        <v>48.5</v>
      </c>
      <c r="H16" s="438">
        <v>156</v>
      </c>
      <c r="I16" s="438">
        <v>260.5</v>
      </c>
      <c r="J16" s="438">
        <v>291.5</v>
      </c>
      <c r="K16" s="438">
        <v>282.5</v>
      </c>
      <c r="L16" s="438">
        <v>21</v>
      </c>
      <c r="M16" s="438">
        <v>18</v>
      </c>
      <c r="N16" s="440">
        <v>43.4</v>
      </c>
      <c r="O16" s="420">
        <f t="shared" si="0"/>
        <v>1266.5</v>
      </c>
      <c r="P16" s="421">
        <f t="shared" si="1"/>
        <v>105.5</v>
      </c>
    </row>
    <row r="17" spans="2:16" ht="22.5" customHeight="1">
      <c r="B17" s="61">
        <v>2006</v>
      </c>
      <c r="C17" s="438">
        <v>27</v>
      </c>
      <c r="D17" s="438">
        <v>25.9</v>
      </c>
      <c r="E17" s="438">
        <v>10.6</v>
      </c>
      <c r="F17" s="438">
        <v>81.5</v>
      </c>
      <c r="G17" s="438">
        <v>94.5</v>
      </c>
      <c r="H17" s="438">
        <v>114.5</v>
      </c>
      <c r="I17" s="438">
        <v>321</v>
      </c>
      <c r="J17" s="438">
        <v>21.5</v>
      </c>
      <c r="K17" s="438">
        <v>23.5</v>
      </c>
      <c r="L17" s="438">
        <v>24.5</v>
      </c>
      <c r="M17" s="438">
        <v>61.5</v>
      </c>
      <c r="N17" s="440">
        <v>25.4</v>
      </c>
      <c r="O17" s="420">
        <f t="shared" si="0"/>
        <v>831.4</v>
      </c>
      <c r="P17" s="421">
        <f t="shared" si="1"/>
        <v>69.3</v>
      </c>
    </row>
    <row r="18" spans="2:16" ht="22.5" customHeight="1">
      <c r="B18" s="61">
        <v>2007</v>
      </c>
      <c r="C18" s="438">
        <v>23.4</v>
      </c>
      <c r="D18" s="438">
        <v>29.8</v>
      </c>
      <c r="E18" s="438">
        <v>102</v>
      </c>
      <c r="F18" s="438">
        <v>29.5</v>
      </c>
      <c r="G18" s="438">
        <v>79</v>
      </c>
      <c r="H18" s="438">
        <v>85</v>
      </c>
      <c r="I18" s="438">
        <v>214</v>
      </c>
      <c r="J18" s="438">
        <v>239.5</v>
      </c>
      <c r="K18" s="438">
        <v>384</v>
      </c>
      <c r="L18" s="438">
        <v>59</v>
      </c>
      <c r="M18" s="438">
        <v>17.5</v>
      </c>
      <c r="N18" s="440">
        <v>33.1</v>
      </c>
      <c r="O18" s="420">
        <f t="shared" si="0"/>
        <v>1295.8</v>
      </c>
      <c r="P18" s="421">
        <f t="shared" si="1"/>
        <v>108</v>
      </c>
    </row>
    <row r="19" spans="2:16" ht="22.5" customHeight="1">
      <c r="B19" s="61">
        <v>2008</v>
      </c>
      <c r="C19" s="438">
        <v>20.9</v>
      </c>
      <c r="D19" s="438">
        <v>10.8</v>
      </c>
      <c r="E19" s="438">
        <v>48.2</v>
      </c>
      <c r="F19" s="438">
        <v>40.5</v>
      </c>
      <c r="G19" s="438">
        <v>78.900000000000006</v>
      </c>
      <c r="H19" s="438">
        <v>101.3</v>
      </c>
      <c r="I19" s="438">
        <v>257.2</v>
      </c>
      <c r="J19" s="438">
        <v>119.5</v>
      </c>
      <c r="K19" s="438">
        <v>46.9</v>
      </c>
      <c r="L19" s="438">
        <v>26.7</v>
      </c>
      <c r="M19" s="438">
        <v>37.6</v>
      </c>
      <c r="N19" s="440">
        <v>25</v>
      </c>
      <c r="O19" s="420">
        <f t="shared" si="0"/>
        <v>813.5</v>
      </c>
      <c r="P19" s="421">
        <f t="shared" si="1"/>
        <v>67.8</v>
      </c>
    </row>
    <row r="20" spans="2:16" ht="22.5" customHeight="1">
      <c r="B20" s="61">
        <v>2009</v>
      </c>
      <c r="C20" s="438">
        <v>18.5</v>
      </c>
      <c r="D20" s="438">
        <v>23.3</v>
      </c>
      <c r="E20" s="438">
        <v>55.1</v>
      </c>
      <c r="F20" s="438">
        <v>41.5</v>
      </c>
      <c r="G20" s="438">
        <v>154.5</v>
      </c>
      <c r="H20" s="438">
        <v>115.1</v>
      </c>
      <c r="I20" s="438">
        <v>320.89999999999998</v>
      </c>
      <c r="J20" s="438">
        <v>176.6</v>
      </c>
      <c r="K20" s="438">
        <v>25.5</v>
      </c>
      <c r="L20" s="438">
        <v>39.5</v>
      </c>
      <c r="M20" s="438">
        <v>52.9</v>
      </c>
      <c r="N20" s="440">
        <v>58</v>
      </c>
      <c r="O20" s="420">
        <f t="shared" si="0"/>
        <v>1081.4000000000001</v>
      </c>
      <c r="P20" s="421">
        <f t="shared" si="1"/>
        <v>90.1</v>
      </c>
    </row>
    <row r="21" spans="2:16" ht="22.5" customHeight="1">
      <c r="B21" s="61">
        <v>2010</v>
      </c>
      <c r="C21" s="438">
        <v>30.1</v>
      </c>
      <c r="D21" s="438">
        <v>73.5</v>
      </c>
      <c r="E21" s="438">
        <v>75.900000000000006</v>
      </c>
      <c r="F21" s="438">
        <v>58.5</v>
      </c>
      <c r="G21" s="438">
        <v>122.8</v>
      </c>
      <c r="H21" s="438">
        <v>60.8</v>
      </c>
      <c r="I21" s="438">
        <v>396.5</v>
      </c>
      <c r="J21" s="438">
        <v>402.7</v>
      </c>
      <c r="K21" s="438">
        <v>213.1</v>
      </c>
      <c r="L21" s="438">
        <v>19.2</v>
      </c>
      <c r="M21" s="438">
        <v>16.3</v>
      </c>
      <c r="N21" s="440">
        <v>32.9</v>
      </c>
      <c r="O21" s="420">
        <f t="shared" si="0"/>
        <v>1502.3</v>
      </c>
      <c r="P21" s="421">
        <f t="shared" si="1"/>
        <v>125.2</v>
      </c>
    </row>
    <row r="22" spans="2:16" ht="22.5" customHeight="1">
      <c r="B22" s="61">
        <v>2011</v>
      </c>
      <c r="C22" s="438">
        <v>11.1</v>
      </c>
      <c r="D22" s="438">
        <v>37.5</v>
      </c>
      <c r="E22" s="438">
        <v>18</v>
      </c>
      <c r="F22" s="438">
        <v>72.099999999999994</v>
      </c>
      <c r="G22" s="438">
        <v>115.3</v>
      </c>
      <c r="H22" s="438">
        <v>318</v>
      </c>
      <c r="I22" s="438">
        <v>723.1</v>
      </c>
      <c r="J22" s="438">
        <v>289.39999999999998</v>
      </c>
      <c r="K22" s="438">
        <v>70.8</v>
      </c>
      <c r="L22" s="438">
        <v>13.9</v>
      </c>
      <c r="M22" s="438">
        <v>61.3</v>
      </c>
      <c r="N22" s="440">
        <v>12.5</v>
      </c>
      <c r="O22" s="420">
        <f t="shared" si="0"/>
        <v>1743</v>
      </c>
      <c r="P22" s="421">
        <f t="shared" si="1"/>
        <v>145.30000000000001</v>
      </c>
    </row>
    <row r="23" spans="2:16" ht="22.5" customHeight="1">
      <c r="B23" s="61">
        <v>2012</v>
      </c>
      <c r="C23" s="438">
        <v>24.2</v>
      </c>
      <c r="D23" s="438">
        <v>9.1999999999999993</v>
      </c>
      <c r="E23" s="438">
        <v>45</v>
      </c>
      <c r="F23" s="438">
        <v>68.900000000000006</v>
      </c>
      <c r="G23" s="438">
        <v>14.6</v>
      </c>
      <c r="H23" s="438">
        <v>76.8</v>
      </c>
      <c r="I23" s="438">
        <v>231.1</v>
      </c>
      <c r="J23" s="438">
        <v>450.2</v>
      </c>
      <c r="K23" s="438">
        <v>207.7</v>
      </c>
      <c r="L23" s="438">
        <v>65</v>
      </c>
      <c r="M23" s="438">
        <v>61.1</v>
      </c>
      <c r="N23" s="440">
        <v>65.2</v>
      </c>
      <c r="O23" s="420">
        <f t="shared" si="0"/>
        <v>1319</v>
      </c>
      <c r="P23" s="421">
        <f t="shared" si="1"/>
        <v>109.9</v>
      </c>
    </row>
    <row r="24" spans="2:16" ht="22.5" customHeight="1">
      <c r="B24" s="61">
        <v>2013</v>
      </c>
      <c r="C24" s="438">
        <v>28.4</v>
      </c>
      <c r="D24" s="438">
        <v>40.700000000000003</v>
      </c>
      <c r="E24" s="438">
        <v>53.4</v>
      </c>
      <c r="F24" s="438">
        <v>68.2</v>
      </c>
      <c r="G24" s="438">
        <v>116.6</v>
      </c>
      <c r="H24" s="438">
        <v>159.9</v>
      </c>
      <c r="I24" s="438">
        <v>267.5</v>
      </c>
      <c r="J24" s="438">
        <v>214.6</v>
      </c>
      <c r="K24" s="438">
        <v>320</v>
      </c>
      <c r="L24" s="438">
        <v>10.9</v>
      </c>
      <c r="M24" s="438">
        <v>81.099999999999994</v>
      </c>
      <c r="N24" s="440">
        <v>26.4</v>
      </c>
      <c r="O24" s="420">
        <f t="shared" si="0"/>
        <v>1387.7</v>
      </c>
      <c r="P24" s="421">
        <f t="shared" si="1"/>
        <v>115.6</v>
      </c>
    </row>
    <row r="25" spans="2:16" ht="22.5" customHeight="1">
      <c r="B25" s="61">
        <v>2014</v>
      </c>
      <c r="C25" s="438">
        <v>3.4</v>
      </c>
      <c r="D25" s="438">
        <v>20.5</v>
      </c>
      <c r="E25" s="438">
        <v>56.3</v>
      </c>
      <c r="F25" s="438">
        <v>70</v>
      </c>
      <c r="G25" s="438">
        <v>47.1</v>
      </c>
      <c r="H25" s="438">
        <v>125.8</v>
      </c>
      <c r="I25" s="438">
        <v>104</v>
      </c>
      <c r="J25" s="438">
        <v>168.5</v>
      </c>
      <c r="K25" s="438">
        <v>152</v>
      </c>
      <c r="L25" s="438">
        <v>156</v>
      </c>
      <c r="M25" s="438">
        <v>39.9</v>
      </c>
      <c r="N25" s="440">
        <v>66.599999999999994</v>
      </c>
      <c r="O25" s="420">
        <f t="shared" si="0"/>
        <v>1010.1</v>
      </c>
      <c r="P25" s="421">
        <f t="shared" si="1"/>
        <v>84.2</v>
      </c>
    </row>
    <row r="26" spans="2:16" ht="22.5" customHeight="1">
      <c r="B26" s="61">
        <v>2015</v>
      </c>
      <c r="C26" s="438">
        <v>29.9</v>
      </c>
      <c r="D26" s="438">
        <v>23.4</v>
      </c>
      <c r="E26" s="438">
        <v>30.9</v>
      </c>
      <c r="F26" s="438">
        <v>129.69999999999999</v>
      </c>
      <c r="G26" s="438">
        <v>38.799999999999997</v>
      </c>
      <c r="H26" s="438">
        <v>83.9</v>
      </c>
      <c r="I26" s="438">
        <v>94.7</v>
      </c>
      <c r="J26" s="438">
        <v>30.2</v>
      </c>
      <c r="K26" s="438">
        <v>13.3</v>
      </c>
      <c r="L26" s="438">
        <v>90</v>
      </c>
      <c r="M26" s="438">
        <v>155.6</v>
      </c>
      <c r="N26" s="440">
        <v>65</v>
      </c>
      <c r="O26" s="420">
        <f t="shared" si="0"/>
        <v>785.4</v>
      </c>
      <c r="P26" s="421">
        <f t="shared" si="1"/>
        <v>65.5</v>
      </c>
    </row>
    <row r="27" spans="2:16" ht="22.5" customHeight="1">
      <c r="B27" s="61">
        <v>2016</v>
      </c>
      <c r="C27" s="438">
        <v>7.8</v>
      </c>
      <c r="D27" s="438">
        <v>54.2</v>
      </c>
      <c r="E27" s="438">
        <v>18.7</v>
      </c>
      <c r="F27" s="438">
        <v>105.1</v>
      </c>
      <c r="G27" s="438">
        <v>146.5</v>
      </c>
      <c r="H27" s="438">
        <v>23.7</v>
      </c>
      <c r="I27" s="438">
        <v>200.2</v>
      </c>
      <c r="J27" s="438">
        <v>5.0999999999999996</v>
      </c>
      <c r="K27" s="438">
        <v>73.400000000000006</v>
      </c>
      <c r="L27" s="438">
        <v>108</v>
      </c>
      <c r="M27" s="438">
        <v>5.6</v>
      </c>
      <c r="N27" s="440">
        <v>44.5</v>
      </c>
      <c r="O27" s="420">
        <f t="shared" si="0"/>
        <v>792.8</v>
      </c>
      <c r="P27" s="421">
        <f t="shared" si="1"/>
        <v>66.099999999999994</v>
      </c>
    </row>
    <row r="28" spans="2:16" ht="22.5" customHeight="1">
      <c r="B28" s="61">
        <v>2017</v>
      </c>
      <c r="C28" s="438">
        <v>14.8</v>
      </c>
      <c r="D28" s="438">
        <v>30.2</v>
      </c>
      <c r="E28" s="438">
        <v>14.4</v>
      </c>
      <c r="F28" s="438">
        <v>57.6</v>
      </c>
      <c r="G28" s="438">
        <v>58.9</v>
      </c>
      <c r="H28" s="438">
        <v>21.1</v>
      </c>
      <c r="I28" s="438">
        <v>278.10000000000002</v>
      </c>
      <c r="J28" s="438">
        <v>210</v>
      </c>
      <c r="K28" s="438">
        <v>90</v>
      </c>
      <c r="L28" s="438">
        <v>26.6</v>
      </c>
      <c r="M28" s="438">
        <v>15.9</v>
      </c>
      <c r="N28" s="440">
        <v>38.6</v>
      </c>
      <c r="O28" s="420">
        <f t="shared" si="0"/>
        <v>856.2</v>
      </c>
      <c r="P28" s="421">
        <f t="shared" si="1"/>
        <v>71.400000000000006</v>
      </c>
    </row>
    <row r="29" spans="2:16" ht="22.5" customHeight="1">
      <c r="B29" s="61">
        <v>2018</v>
      </c>
      <c r="C29" s="438">
        <v>15</v>
      </c>
      <c r="D29" s="438">
        <v>33.6</v>
      </c>
      <c r="E29" s="438">
        <v>92</v>
      </c>
      <c r="F29" s="438">
        <v>128.1</v>
      </c>
      <c r="G29" s="438">
        <v>104.5</v>
      </c>
      <c r="H29" s="438">
        <v>71</v>
      </c>
      <c r="I29" s="438">
        <v>262.7</v>
      </c>
      <c r="J29" s="438">
        <v>239.6</v>
      </c>
      <c r="K29" s="438">
        <v>158.19999999999999</v>
      </c>
      <c r="L29" s="438">
        <v>154.69999999999999</v>
      </c>
      <c r="M29" s="438">
        <v>46.7</v>
      </c>
      <c r="N29" s="440">
        <v>31.1</v>
      </c>
      <c r="O29" s="420">
        <f t="shared" si="0"/>
        <v>1337.2</v>
      </c>
      <c r="P29" s="421">
        <f t="shared" si="1"/>
        <v>111.4</v>
      </c>
    </row>
    <row r="30" spans="2:16" ht="22.5" customHeight="1">
      <c r="B30" s="61">
        <v>2019</v>
      </c>
      <c r="C30" s="438">
        <v>1.9</v>
      </c>
      <c r="D30" s="438">
        <v>17.8</v>
      </c>
      <c r="E30" s="438">
        <v>18.2</v>
      </c>
      <c r="F30" s="438">
        <v>71.900000000000006</v>
      </c>
      <c r="G30" s="438">
        <v>31.3</v>
      </c>
      <c r="H30" s="438">
        <v>56</v>
      </c>
      <c r="I30" s="438">
        <v>149</v>
      </c>
      <c r="J30" s="438">
        <v>131.30000000000001</v>
      </c>
      <c r="K30" s="438">
        <v>118.7</v>
      </c>
      <c r="L30" s="438">
        <v>63.9</v>
      </c>
      <c r="M30" s="438">
        <v>130.6</v>
      </c>
      <c r="N30" s="440">
        <v>31.3</v>
      </c>
      <c r="O30" s="420">
        <f t="shared" si="0"/>
        <v>821.9</v>
      </c>
      <c r="P30" s="421">
        <f t="shared" si="1"/>
        <v>68.5</v>
      </c>
    </row>
    <row r="31" spans="2:16" ht="22.5" customHeight="1">
      <c r="B31" s="61">
        <v>2020</v>
      </c>
      <c r="C31" s="438">
        <v>49.4</v>
      </c>
      <c r="D31" s="438">
        <v>75.3</v>
      </c>
      <c r="E31" s="438">
        <v>22.8</v>
      </c>
      <c r="F31" s="438">
        <v>16.5</v>
      </c>
      <c r="G31" s="438">
        <v>92.4</v>
      </c>
      <c r="H31" s="438">
        <v>139.69999999999999</v>
      </c>
      <c r="I31" s="438">
        <v>345.9</v>
      </c>
      <c r="J31" s="438">
        <v>321.5</v>
      </c>
      <c r="K31" s="438">
        <v>177.1</v>
      </c>
      <c r="L31" s="438">
        <v>16.2</v>
      </c>
      <c r="M31" s="438">
        <v>35.4</v>
      </c>
      <c r="N31" s="440">
        <v>9.6999999999999993</v>
      </c>
      <c r="O31" s="420">
        <f t="shared" si="0"/>
        <v>1301.9000000000001</v>
      </c>
      <c r="P31" s="421">
        <f t="shared" si="1"/>
        <v>108.5</v>
      </c>
    </row>
    <row r="32" spans="2:16" ht="22.5" customHeight="1">
      <c r="B32" s="61">
        <v>2021</v>
      </c>
      <c r="C32" s="438">
        <v>32</v>
      </c>
      <c r="D32" s="438">
        <v>18.7</v>
      </c>
      <c r="E32" s="438">
        <v>76.099999999999994</v>
      </c>
      <c r="F32" s="438">
        <v>43.4</v>
      </c>
      <c r="G32" s="438">
        <v>110</v>
      </c>
      <c r="H32" s="438">
        <v>55</v>
      </c>
      <c r="I32" s="438">
        <v>131.30000000000001</v>
      </c>
      <c r="J32" s="438">
        <v>253.7</v>
      </c>
      <c r="K32" s="438">
        <v>215.9</v>
      </c>
      <c r="L32" s="438">
        <v>39.6</v>
      </c>
      <c r="M32" s="438">
        <v>117.8</v>
      </c>
      <c r="N32" s="440">
        <v>14.4</v>
      </c>
      <c r="O32" s="420">
        <f t="shared" si="0"/>
        <v>1107.9000000000001</v>
      </c>
      <c r="P32" s="421">
        <f t="shared" si="1"/>
        <v>92.3</v>
      </c>
    </row>
    <row r="33" spans="2:16" ht="22.5" customHeight="1">
      <c r="B33" s="61">
        <v>2022</v>
      </c>
      <c r="C33" s="438">
        <v>8.4</v>
      </c>
      <c r="D33" s="438">
        <v>5.3</v>
      </c>
      <c r="E33" s="438">
        <v>60.9</v>
      </c>
      <c r="F33" s="438">
        <v>34.799999999999997</v>
      </c>
      <c r="G33" s="438">
        <v>5.7</v>
      </c>
      <c r="H33" s="438">
        <v>225</v>
      </c>
      <c r="I33" s="438">
        <v>119.9</v>
      </c>
      <c r="J33" s="438">
        <v>637.1</v>
      </c>
      <c r="K33" s="438">
        <v>102</v>
      </c>
      <c r="L33" s="438">
        <v>112</v>
      </c>
      <c r="M33" s="438">
        <v>23.3</v>
      </c>
      <c r="N33" s="440">
        <v>14</v>
      </c>
      <c r="O33" s="420">
        <f t="shared" si="0"/>
        <v>1348.4</v>
      </c>
      <c r="P33" s="421">
        <f t="shared" si="1"/>
        <v>112.4</v>
      </c>
    </row>
    <row r="34" spans="2:16" ht="22.5" customHeight="1" thickBot="1">
      <c r="B34" s="441">
        <v>2023</v>
      </c>
      <c r="C34" s="442">
        <v>19.2</v>
      </c>
      <c r="D34" s="442">
        <v>0.4</v>
      </c>
      <c r="E34" s="442">
        <v>7.2</v>
      </c>
      <c r="F34" s="442">
        <v>42.4</v>
      </c>
      <c r="G34" s="442">
        <v>190.8</v>
      </c>
      <c r="H34" s="442">
        <v>95.1</v>
      </c>
      <c r="I34" s="442">
        <v>772.2</v>
      </c>
      <c r="J34" s="442">
        <v>107.8</v>
      </c>
      <c r="K34" s="442">
        <v>288.39999999999998</v>
      </c>
      <c r="L34" s="442">
        <v>25.5</v>
      </c>
      <c r="M34" s="442">
        <v>65.2</v>
      </c>
      <c r="N34" s="443">
        <v>110.6</v>
      </c>
      <c r="O34" s="422">
        <f t="shared" si="0"/>
        <v>1724.8</v>
      </c>
      <c r="P34" s="423">
        <f t="shared" si="1"/>
        <v>143.69999999999999</v>
      </c>
    </row>
    <row r="35" spans="2:16" ht="22.5" customHeight="1">
      <c r="B35" s="444" t="s">
        <v>36</v>
      </c>
      <c r="C35" s="445">
        <f>MAX(C5:C34)</f>
        <v>73.3</v>
      </c>
      <c r="D35" s="445">
        <f t="shared" ref="D35:N35" si="2">MAX(D5:D34)</f>
        <v>75.3</v>
      </c>
      <c r="E35" s="445">
        <f t="shared" si="2"/>
        <v>104.5</v>
      </c>
      <c r="F35" s="445">
        <f t="shared" si="2"/>
        <v>169</v>
      </c>
      <c r="G35" s="445">
        <f t="shared" si="2"/>
        <v>203</v>
      </c>
      <c r="H35" s="445">
        <f t="shared" si="2"/>
        <v>318</v>
      </c>
      <c r="I35" s="445">
        <f t="shared" si="2"/>
        <v>772.2</v>
      </c>
      <c r="J35" s="445">
        <f t="shared" si="2"/>
        <v>996.5</v>
      </c>
      <c r="K35" s="445">
        <f t="shared" si="2"/>
        <v>384</v>
      </c>
      <c r="L35" s="445">
        <f t="shared" si="2"/>
        <v>169</v>
      </c>
      <c r="M35" s="445">
        <f t="shared" si="2"/>
        <v>193.5</v>
      </c>
      <c r="N35" s="425">
        <f t="shared" si="2"/>
        <v>110.6</v>
      </c>
      <c r="O35" s="424">
        <f t="shared" ref="O35" si="3">MAX(O5:O34)</f>
        <v>1743</v>
      </c>
      <c r="P35" s="425">
        <f>MAX(P5:P34)</f>
        <v>145.30000000000001</v>
      </c>
    </row>
    <row r="36" spans="2:16" ht="22.5" customHeight="1">
      <c r="B36" s="446" t="s">
        <v>37</v>
      </c>
      <c r="C36" s="447">
        <f>ROUND(MIN(C5:C34),1)</f>
        <v>1.9</v>
      </c>
      <c r="D36" s="447">
        <f t="shared" ref="D36:N36" si="4">ROUND(MIN(D5:D34),1)</f>
        <v>0.4</v>
      </c>
      <c r="E36" s="447">
        <f t="shared" si="4"/>
        <v>7</v>
      </c>
      <c r="F36" s="447">
        <f t="shared" si="4"/>
        <v>16.5</v>
      </c>
      <c r="G36" s="447">
        <f t="shared" si="4"/>
        <v>5.7</v>
      </c>
      <c r="H36" s="447">
        <f t="shared" si="4"/>
        <v>21.1</v>
      </c>
      <c r="I36" s="447">
        <f t="shared" si="4"/>
        <v>94.7</v>
      </c>
      <c r="J36" s="447">
        <f t="shared" si="4"/>
        <v>5.0999999999999996</v>
      </c>
      <c r="K36" s="447">
        <f t="shared" si="4"/>
        <v>10</v>
      </c>
      <c r="L36" s="447">
        <f t="shared" si="4"/>
        <v>4</v>
      </c>
      <c r="M36" s="447">
        <f t="shared" si="4"/>
        <v>5.6</v>
      </c>
      <c r="N36" s="421">
        <f t="shared" si="4"/>
        <v>3.8</v>
      </c>
      <c r="O36" s="426">
        <f>ROUND(MIN(O5:O34),1)</f>
        <v>785.4</v>
      </c>
      <c r="P36" s="427">
        <f>ROUND(MIN(P5:P34),1)</f>
        <v>65.5</v>
      </c>
    </row>
    <row r="37" spans="2:16" ht="22.5" customHeight="1" thickBot="1">
      <c r="B37" s="448" t="s">
        <v>45</v>
      </c>
      <c r="C37" s="449">
        <f>ROUND(AVERAGE(C5:C34),1)</f>
        <v>23.7</v>
      </c>
      <c r="D37" s="449">
        <f t="shared" ref="D37:N37" si="5">ROUND(AVERAGE(D5:D34),1)</f>
        <v>26.9</v>
      </c>
      <c r="E37" s="449">
        <f t="shared" si="5"/>
        <v>43</v>
      </c>
      <c r="F37" s="449">
        <f t="shared" si="5"/>
        <v>70.8</v>
      </c>
      <c r="G37" s="449">
        <f t="shared" si="5"/>
        <v>89.9</v>
      </c>
      <c r="H37" s="449">
        <f t="shared" si="5"/>
        <v>132.5</v>
      </c>
      <c r="I37" s="449">
        <f t="shared" si="5"/>
        <v>262.3</v>
      </c>
      <c r="J37" s="449">
        <f t="shared" si="5"/>
        <v>278.39999999999998</v>
      </c>
      <c r="K37" s="449">
        <f t="shared" si="5"/>
        <v>137.80000000000001</v>
      </c>
      <c r="L37" s="449">
        <f t="shared" si="5"/>
        <v>63</v>
      </c>
      <c r="M37" s="449">
        <f t="shared" si="5"/>
        <v>54</v>
      </c>
      <c r="N37" s="450">
        <f t="shared" si="5"/>
        <v>34.799999999999997</v>
      </c>
      <c r="O37" s="502">
        <f>ROUND(AVERAGE(O5:O34),1)</f>
        <v>1217</v>
      </c>
      <c r="P37" s="42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92" t="s">
        <v>40</v>
      </c>
      <c r="C40" s="493" t="s">
        <v>31</v>
      </c>
      <c r="D40" s="493" t="s">
        <v>32</v>
      </c>
      <c r="E40" s="493" t="s">
        <v>33</v>
      </c>
      <c r="F40" s="493" t="s">
        <v>34</v>
      </c>
      <c r="G40" s="493" t="s">
        <v>35</v>
      </c>
      <c r="H40" s="493" t="s">
        <v>12</v>
      </c>
      <c r="I40" s="493" t="s">
        <v>13</v>
      </c>
      <c r="J40" s="493" t="s">
        <v>14</v>
      </c>
      <c r="K40" s="493" t="s">
        <v>15</v>
      </c>
      <c r="L40" s="493" t="s">
        <v>16</v>
      </c>
      <c r="M40" s="493" t="s">
        <v>17</v>
      </c>
      <c r="N40" s="494" t="s">
        <v>18</v>
      </c>
      <c r="O40" s="495" t="s">
        <v>43</v>
      </c>
      <c r="P40" s="494" t="s">
        <v>30</v>
      </c>
    </row>
    <row r="41" spans="2:16" ht="22.5" customHeight="1">
      <c r="B41" s="451">
        <f>B25</f>
        <v>2014</v>
      </c>
      <c r="C41" s="452">
        <f t="shared" ref="C41:N41" si="6">C25</f>
        <v>3.4</v>
      </c>
      <c r="D41" s="452">
        <f t="shared" si="6"/>
        <v>20.5</v>
      </c>
      <c r="E41" s="452">
        <f t="shared" si="6"/>
        <v>56.3</v>
      </c>
      <c r="F41" s="452">
        <f t="shared" si="6"/>
        <v>70</v>
      </c>
      <c r="G41" s="452">
        <f t="shared" si="6"/>
        <v>47.1</v>
      </c>
      <c r="H41" s="452">
        <f t="shared" si="6"/>
        <v>125.8</v>
      </c>
      <c r="I41" s="452">
        <f t="shared" si="6"/>
        <v>104</v>
      </c>
      <c r="J41" s="452">
        <f t="shared" si="6"/>
        <v>168.5</v>
      </c>
      <c r="K41" s="452">
        <f t="shared" si="6"/>
        <v>152</v>
      </c>
      <c r="L41" s="452">
        <f t="shared" si="6"/>
        <v>156</v>
      </c>
      <c r="M41" s="452">
        <f t="shared" si="6"/>
        <v>39.9</v>
      </c>
      <c r="N41" s="427">
        <f t="shared" si="6"/>
        <v>66.599999999999994</v>
      </c>
      <c r="O41" s="426">
        <f>ROUND(SUM(C41:N41),1)</f>
        <v>1010.1</v>
      </c>
      <c r="P41" s="427">
        <f>ROUND(O41/12,1)</f>
        <v>84.2</v>
      </c>
    </row>
    <row r="42" spans="2:16" ht="22.5" customHeight="1">
      <c r="B42" s="451">
        <f t="shared" ref="B42:N42" si="7">B26</f>
        <v>2015</v>
      </c>
      <c r="C42" s="452">
        <f t="shared" si="7"/>
        <v>29.9</v>
      </c>
      <c r="D42" s="452">
        <f t="shared" si="7"/>
        <v>23.4</v>
      </c>
      <c r="E42" s="452">
        <f t="shared" si="7"/>
        <v>30.9</v>
      </c>
      <c r="F42" s="452">
        <f t="shared" si="7"/>
        <v>129.69999999999999</v>
      </c>
      <c r="G42" s="452">
        <f t="shared" si="7"/>
        <v>38.799999999999997</v>
      </c>
      <c r="H42" s="452">
        <f t="shared" si="7"/>
        <v>83.9</v>
      </c>
      <c r="I42" s="452">
        <f t="shared" si="7"/>
        <v>94.7</v>
      </c>
      <c r="J42" s="452">
        <f t="shared" si="7"/>
        <v>30.2</v>
      </c>
      <c r="K42" s="452">
        <f t="shared" si="7"/>
        <v>13.3</v>
      </c>
      <c r="L42" s="452">
        <f t="shared" si="7"/>
        <v>90</v>
      </c>
      <c r="M42" s="452">
        <f t="shared" si="7"/>
        <v>155.6</v>
      </c>
      <c r="N42" s="427">
        <f t="shared" si="7"/>
        <v>65</v>
      </c>
      <c r="O42" s="426">
        <f t="shared" ref="O42:O50" si="8">ROUND(SUM(C42:N42),1)</f>
        <v>785.4</v>
      </c>
      <c r="P42" s="427">
        <f t="shared" ref="P42:P50" si="9">ROUND(O42/12,1)</f>
        <v>65.5</v>
      </c>
    </row>
    <row r="43" spans="2:16" ht="22.5" customHeight="1">
      <c r="B43" s="451">
        <f t="shared" ref="B43:N43" si="10">B27</f>
        <v>2016</v>
      </c>
      <c r="C43" s="452">
        <f t="shared" si="10"/>
        <v>7.8</v>
      </c>
      <c r="D43" s="452">
        <f t="shared" si="10"/>
        <v>54.2</v>
      </c>
      <c r="E43" s="452">
        <f t="shared" si="10"/>
        <v>18.7</v>
      </c>
      <c r="F43" s="452">
        <f t="shared" si="10"/>
        <v>105.1</v>
      </c>
      <c r="G43" s="452">
        <f t="shared" si="10"/>
        <v>146.5</v>
      </c>
      <c r="H43" s="452">
        <f t="shared" si="10"/>
        <v>23.7</v>
      </c>
      <c r="I43" s="452">
        <f t="shared" si="10"/>
        <v>200.2</v>
      </c>
      <c r="J43" s="452">
        <f t="shared" si="10"/>
        <v>5.0999999999999996</v>
      </c>
      <c r="K43" s="452">
        <f t="shared" si="10"/>
        <v>73.400000000000006</v>
      </c>
      <c r="L43" s="452">
        <f t="shared" si="10"/>
        <v>108</v>
      </c>
      <c r="M43" s="452">
        <f t="shared" si="10"/>
        <v>5.6</v>
      </c>
      <c r="N43" s="427">
        <f t="shared" si="10"/>
        <v>44.5</v>
      </c>
      <c r="O43" s="426">
        <f t="shared" si="8"/>
        <v>792.8</v>
      </c>
      <c r="P43" s="427">
        <f t="shared" si="9"/>
        <v>66.099999999999994</v>
      </c>
    </row>
    <row r="44" spans="2:16" ht="22.5" customHeight="1">
      <c r="B44" s="451">
        <f t="shared" ref="B44:N44" si="11">B28</f>
        <v>2017</v>
      </c>
      <c r="C44" s="452">
        <f t="shared" si="11"/>
        <v>14.8</v>
      </c>
      <c r="D44" s="452">
        <f t="shared" si="11"/>
        <v>30.2</v>
      </c>
      <c r="E44" s="452">
        <f t="shared" si="11"/>
        <v>14.4</v>
      </c>
      <c r="F44" s="452">
        <f t="shared" si="11"/>
        <v>57.6</v>
      </c>
      <c r="G44" s="452">
        <f t="shared" si="11"/>
        <v>58.9</v>
      </c>
      <c r="H44" s="452">
        <f t="shared" si="11"/>
        <v>21.1</v>
      </c>
      <c r="I44" s="452">
        <f t="shared" si="11"/>
        <v>278.10000000000002</v>
      </c>
      <c r="J44" s="452">
        <f t="shared" si="11"/>
        <v>210</v>
      </c>
      <c r="K44" s="452">
        <f t="shared" si="11"/>
        <v>90</v>
      </c>
      <c r="L44" s="452">
        <f t="shared" si="11"/>
        <v>26.6</v>
      </c>
      <c r="M44" s="452">
        <f t="shared" si="11"/>
        <v>15.9</v>
      </c>
      <c r="N44" s="427">
        <f t="shared" si="11"/>
        <v>38.6</v>
      </c>
      <c r="O44" s="426">
        <f t="shared" si="8"/>
        <v>856.2</v>
      </c>
      <c r="P44" s="427">
        <f t="shared" si="9"/>
        <v>71.400000000000006</v>
      </c>
    </row>
    <row r="45" spans="2:16" ht="22.5" customHeight="1">
      <c r="B45" s="451">
        <f t="shared" ref="B45:N45" si="12">B29</f>
        <v>2018</v>
      </c>
      <c r="C45" s="452">
        <f t="shared" si="12"/>
        <v>15</v>
      </c>
      <c r="D45" s="452">
        <f t="shared" si="12"/>
        <v>33.6</v>
      </c>
      <c r="E45" s="452">
        <f t="shared" si="12"/>
        <v>92</v>
      </c>
      <c r="F45" s="452">
        <f t="shared" si="12"/>
        <v>128.1</v>
      </c>
      <c r="G45" s="452">
        <f t="shared" si="12"/>
        <v>104.5</v>
      </c>
      <c r="H45" s="452">
        <f t="shared" si="12"/>
        <v>71</v>
      </c>
      <c r="I45" s="452">
        <f t="shared" si="12"/>
        <v>262.7</v>
      </c>
      <c r="J45" s="452">
        <f t="shared" si="12"/>
        <v>239.6</v>
      </c>
      <c r="K45" s="452">
        <f t="shared" si="12"/>
        <v>158.19999999999999</v>
      </c>
      <c r="L45" s="452">
        <f t="shared" si="12"/>
        <v>154.69999999999999</v>
      </c>
      <c r="M45" s="452">
        <f t="shared" si="12"/>
        <v>46.7</v>
      </c>
      <c r="N45" s="427">
        <f t="shared" si="12"/>
        <v>31.1</v>
      </c>
      <c r="O45" s="426">
        <f t="shared" si="8"/>
        <v>1337.2</v>
      </c>
      <c r="P45" s="427">
        <f t="shared" si="9"/>
        <v>111.4</v>
      </c>
    </row>
    <row r="46" spans="2:16" ht="22.5" customHeight="1">
      <c r="B46" s="451">
        <f t="shared" ref="B46:N46" si="13">B30</f>
        <v>2019</v>
      </c>
      <c r="C46" s="452">
        <f t="shared" si="13"/>
        <v>1.9</v>
      </c>
      <c r="D46" s="452">
        <f t="shared" si="13"/>
        <v>17.8</v>
      </c>
      <c r="E46" s="452">
        <f t="shared" si="13"/>
        <v>18.2</v>
      </c>
      <c r="F46" s="452">
        <f t="shared" si="13"/>
        <v>71.900000000000006</v>
      </c>
      <c r="G46" s="452">
        <f t="shared" si="13"/>
        <v>31.3</v>
      </c>
      <c r="H46" s="452">
        <f t="shared" si="13"/>
        <v>56</v>
      </c>
      <c r="I46" s="452">
        <f t="shared" si="13"/>
        <v>149</v>
      </c>
      <c r="J46" s="452">
        <f t="shared" si="13"/>
        <v>131.30000000000001</v>
      </c>
      <c r="K46" s="452">
        <f t="shared" si="13"/>
        <v>118.7</v>
      </c>
      <c r="L46" s="452">
        <f t="shared" si="13"/>
        <v>63.9</v>
      </c>
      <c r="M46" s="452">
        <f t="shared" si="13"/>
        <v>130.6</v>
      </c>
      <c r="N46" s="427">
        <f t="shared" si="13"/>
        <v>31.3</v>
      </c>
      <c r="O46" s="426">
        <f t="shared" si="8"/>
        <v>821.9</v>
      </c>
      <c r="P46" s="427">
        <f t="shared" si="9"/>
        <v>68.5</v>
      </c>
    </row>
    <row r="47" spans="2:16" ht="22.5" customHeight="1">
      <c r="B47" s="451">
        <f t="shared" ref="B47:N47" si="14">B31</f>
        <v>2020</v>
      </c>
      <c r="C47" s="452">
        <f t="shared" si="14"/>
        <v>49.4</v>
      </c>
      <c r="D47" s="452">
        <f t="shared" si="14"/>
        <v>75.3</v>
      </c>
      <c r="E47" s="452">
        <f t="shared" si="14"/>
        <v>22.8</v>
      </c>
      <c r="F47" s="452">
        <f t="shared" si="14"/>
        <v>16.5</v>
      </c>
      <c r="G47" s="452">
        <f t="shared" si="14"/>
        <v>92.4</v>
      </c>
      <c r="H47" s="452">
        <f t="shared" si="14"/>
        <v>139.69999999999999</v>
      </c>
      <c r="I47" s="452">
        <f t="shared" si="14"/>
        <v>345.9</v>
      </c>
      <c r="J47" s="452">
        <f t="shared" si="14"/>
        <v>321.5</v>
      </c>
      <c r="K47" s="452">
        <f t="shared" si="14"/>
        <v>177.1</v>
      </c>
      <c r="L47" s="452">
        <f t="shared" si="14"/>
        <v>16.2</v>
      </c>
      <c r="M47" s="452">
        <f t="shared" si="14"/>
        <v>35.4</v>
      </c>
      <c r="N47" s="427">
        <f t="shared" si="14"/>
        <v>9.6999999999999993</v>
      </c>
      <c r="O47" s="426">
        <f t="shared" si="8"/>
        <v>1301.9000000000001</v>
      </c>
      <c r="P47" s="427">
        <f t="shared" si="9"/>
        <v>108.5</v>
      </c>
    </row>
    <row r="48" spans="2:16" ht="22.5" customHeight="1">
      <c r="B48" s="451">
        <f t="shared" ref="B48:N48" si="15">B32</f>
        <v>2021</v>
      </c>
      <c r="C48" s="452">
        <f t="shared" si="15"/>
        <v>32</v>
      </c>
      <c r="D48" s="452">
        <f t="shared" si="15"/>
        <v>18.7</v>
      </c>
      <c r="E48" s="452">
        <f t="shared" si="15"/>
        <v>76.099999999999994</v>
      </c>
      <c r="F48" s="452">
        <f t="shared" si="15"/>
        <v>43.4</v>
      </c>
      <c r="G48" s="452">
        <f t="shared" si="15"/>
        <v>110</v>
      </c>
      <c r="H48" s="452">
        <f t="shared" si="15"/>
        <v>55</v>
      </c>
      <c r="I48" s="452">
        <f t="shared" si="15"/>
        <v>131.30000000000001</v>
      </c>
      <c r="J48" s="452">
        <f t="shared" si="15"/>
        <v>253.7</v>
      </c>
      <c r="K48" s="452">
        <f t="shared" si="15"/>
        <v>215.9</v>
      </c>
      <c r="L48" s="452">
        <f t="shared" si="15"/>
        <v>39.6</v>
      </c>
      <c r="M48" s="452">
        <f t="shared" si="15"/>
        <v>117.8</v>
      </c>
      <c r="N48" s="427">
        <f t="shared" si="15"/>
        <v>14.4</v>
      </c>
      <c r="O48" s="426">
        <f t="shared" si="8"/>
        <v>1107.9000000000001</v>
      </c>
      <c r="P48" s="427">
        <f t="shared" si="9"/>
        <v>92.3</v>
      </c>
    </row>
    <row r="49" spans="2:16" ht="22.5" customHeight="1">
      <c r="B49" s="451">
        <f t="shared" ref="B49:N49" si="16">B33</f>
        <v>2022</v>
      </c>
      <c r="C49" s="452">
        <f t="shared" si="16"/>
        <v>8.4</v>
      </c>
      <c r="D49" s="452">
        <f t="shared" si="16"/>
        <v>5.3</v>
      </c>
      <c r="E49" s="452">
        <f t="shared" si="16"/>
        <v>60.9</v>
      </c>
      <c r="F49" s="452">
        <f t="shared" si="16"/>
        <v>34.799999999999997</v>
      </c>
      <c r="G49" s="452">
        <f t="shared" si="16"/>
        <v>5.7</v>
      </c>
      <c r="H49" s="452">
        <f t="shared" si="16"/>
        <v>225</v>
      </c>
      <c r="I49" s="452">
        <f t="shared" si="16"/>
        <v>119.9</v>
      </c>
      <c r="J49" s="452">
        <f t="shared" si="16"/>
        <v>637.1</v>
      </c>
      <c r="K49" s="452">
        <f t="shared" si="16"/>
        <v>102</v>
      </c>
      <c r="L49" s="452">
        <f t="shared" si="16"/>
        <v>112</v>
      </c>
      <c r="M49" s="452">
        <f t="shared" si="16"/>
        <v>23.3</v>
      </c>
      <c r="N49" s="427">
        <f t="shared" si="16"/>
        <v>14</v>
      </c>
      <c r="O49" s="426">
        <f t="shared" si="8"/>
        <v>1348.4</v>
      </c>
      <c r="P49" s="427">
        <f t="shared" si="9"/>
        <v>112.4</v>
      </c>
    </row>
    <row r="50" spans="2:16" ht="22.5" customHeight="1" thickBot="1">
      <c r="B50" s="453">
        <f t="shared" ref="B50:N50" si="17">B34</f>
        <v>2023</v>
      </c>
      <c r="C50" s="454">
        <f t="shared" si="17"/>
        <v>19.2</v>
      </c>
      <c r="D50" s="454">
        <f t="shared" si="17"/>
        <v>0.4</v>
      </c>
      <c r="E50" s="454">
        <f>E34</f>
        <v>7.2</v>
      </c>
      <c r="F50" s="454">
        <f t="shared" si="17"/>
        <v>42.4</v>
      </c>
      <c r="G50" s="454">
        <f t="shared" si="17"/>
        <v>190.8</v>
      </c>
      <c r="H50" s="454">
        <f t="shared" si="17"/>
        <v>95.1</v>
      </c>
      <c r="I50" s="454">
        <f t="shared" si="17"/>
        <v>772.2</v>
      </c>
      <c r="J50" s="454">
        <f t="shared" si="17"/>
        <v>107.8</v>
      </c>
      <c r="K50" s="454">
        <f t="shared" si="17"/>
        <v>288.39999999999998</v>
      </c>
      <c r="L50" s="454">
        <f t="shared" si="17"/>
        <v>25.5</v>
      </c>
      <c r="M50" s="454">
        <f t="shared" si="17"/>
        <v>65.2</v>
      </c>
      <c r="N50" s="429">
        <f t="shared" si="17"/>
        <v>110.6</v>
      </c>
      <c r="O50" s="428">
        <f t="shared" si="8"/>
        <v>1724.8</v>
      </c>
      <c r="P50" s="429">
        <f t="shared" si="9"/>
        <v>143.69999999999999</v>
      </c>
    </row>
    <row r="51" spans="2:16" ht="22.5" customHeight="1">
      <c r="B51" s="455" t="s">
        <v>46</v>
      </c>
      <c r="C51" s="456">
        <f>MAX(C41:C50)</f>
        <v>49.4</v>
      </c>
      <c r="D51" s="456">
        <f t="shared" ref="D51:P51" si="18">MAX(D41:D50)</f>
        <v>75.3</v>
      </c>
      <c r="E51" s="456">
        <f t="shared" si="18"/>
        <v>92</v>
      </c>
      <c r="F51" s="456">
        <f t="shared" si="18"/>
        <v>129.69999999999999</v>
      </c>
      <c r="G51" s="456">
        <f t="shared" si="18"/>
        <v>190.8</v>
      </c>
      <c r="H51" s="456">
        <f t="shared" si="18"/>
        <v>225</v>
      </c>
      <c r="I51" s="456">
        <f t="shared" si="18"/>
        <v>772.2</v>
      </c>
      <c r="J51" s="456">
        <f t="shared" si="18"/>
        <v>637.1</v>
      </c>
      <c r="K51" s="456">
        <f t="shared" si="18"/>
        <v>288.39999999999998</v>
      </c>
      <c r="L51" s="456">
        <f t="shared" si="18"/>
        <v>156</v>
      </c>
      <c r="M51" s="456">
        <f t="shared" si="18"/>
        <v>155.6</v>
      </c>
      <c r="N51" s="431">
        <f t="shared" si="18"/>
        <v>110.6</v>
      </c>
      <c r="O51" s="430">
        <f t="shared" si="18"/>
        <v>1724.8</v>
      </c>
      <c r="P51" s="431">
        <f t="shared" si="18"/>
        <v>143.69999999999999</v>
      </c>
    </row>
    <row r="52" spans="2:16" ht="22.5" customHeight="1">
      <c r="B52" s="451" t="s">
        <v>47</v>
      </c>
      <c r="C52" s="452">
        <f>MIN(C41:C50)</f>
        <v>1.9</v>
      </c>
      <c r="D52" s="452">
        <f t="shared" ref="D52:P52" si="19">MIN(D41:D50)</f>
        <v>0.4</v>
      </c>
      <c r="E52" s="452">
        <f t="shared" si="19"/>
        <v>7.2</v>
      </c>
      <c r="F52" s="452">
        <f t="shared" si="19"/>
        <v>16.5</v>
      </c>
      <c r="G52" s="452">
        <f t="shared" si="19"/>
        <v>5.7</v>
      </c>
      <c r="H52" s="452">
        <f t="shared" si="19"/>
        <v>21.1</v>
      </c>
      <c r="I52" s="452">
        <f t="shared" si="19"/>
        <v>94.7</v>
      </c>
      <c r="J52" s="452">
        <f t="shared" si="19"/>
        <v>5.0999999999999996</v>
      </c>
      <c r="K52" s="452">
        <f t="shared" si="19"/>
        <v>13.3</v>
      </c>
      <c r="L52" s="452">
        <f t="shared" si="19"/>
        <v>16.2</v>
      </c>
      <c r="M52" s="452">
        <f t="shared" si="19"/>
        <v>5.6</v>
      </c>
      <c r="N52" s="427">
        <f t="shared" si="19"/>
        <v>9.6999999999999993</v>
      </c>
      <c r="O52" s="426">
        <f>MIN(O41:O50)</f>
        <v>785.4</v>
      </c>
      <c r="P52" s="427">
        <f t="shared" si="19"/>
        <v>65.5</v>
      </c>
    </row>
    <row r="53" spans="2:16" ht="22.5" customHeight="1" thickBot="1">
      <c r="B53" s="453" t="s">
        <v>30</v>
      </c>
      <c r="C53" s="454">
        <f>ROUND(AVERAGE(C41:C50),1)</f>
        <v>18.2</v>
      </c>
      <c r="D53" s="454">
        <f t="shared" ref="D53:N53" si="20">ROUND(AVERAGE(D41:D50),1)</f>
        <v>27.9</v>
      </c>
      <c r="E53" s="454">
        <f t="shared" si="20"/>
        <v>39.799999999999997</v>
      </c>
      <c r="F53" s="454">
        <f t="shared" si="20"/>
        <v>70</v>
      </c>
      <c r="G53" s="454">
        <f t="shared" si="20"/>
        <v>82.6</v>
      </c>
      <c r="H53" s="454">
        <f t="shared" si="20"/>
        <v>89.6</v>
      </c>
      <c r="I53" s="454">
        <f t="shared" si="20"/>
        <v>245.8</v>
      </c>
      <c r="J53" s="454">
        <f t="shared" si="20"/>
        <v>210.5</v>
      </c>
      <c r="K53" s="454">
        <f t="shared" si="20"/>
        <v>138.9</v>
      </c>
      <c r="L53" s="454">
        <f t="shared" si="20"/>
        <v>79.3</v>
      </c>
      <c r="M53" s="454">
        <f t="shared" si="20"/>
        <v>63.6</v>
      </c>
      <c r="N53" s="429">
        <f t="shared" si="20"/>
        <v>42.6</v>
      </c>
      <c r="O53" s="502">
        <f>ROUND(AVERAGE(O41:O50),1)</f>
        <v>1108.7</v>
      </c>
      <c r="P53" s="42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346" customFormat="1">
      <c r="B23" s="343">
        <f>All!B25</f>
        <v>2014</v>
      </c>
      <c r="C23" s="344">
        <f>All!C25</f>
        <v>3.4</v>
      </c>
      <c r="D23" s="344">
        <f>All!D25</f>
        <v>20.5</v>
      </c>
      <c r="E23" s="344">
        <f>All!E25</f>
        <v>56.3</v>
      </c>
      <c r="F23" s="344">
        <f>All!F25</f>
        <v>70</v>
      </c>
      <c r="G23" s="344">
        <f>All!G25</f>
        <v>47.1</v>
      </c>
      <c r="H23" s="344">
        <f>All!H25</f>
        <v>125.8</v>
      </c>
      <c r="I23" s="344">
        <f>All!I25</f>
        <v>104</v>
      </c>
      <c r="J23" s="344">
        <f>All!J25</f>
        <v>168.5</v>
      </c>
      <c r="K23" s="344">
        <f>All!K25</f>
        <v>152</v>
      </c>
      <c r="L23" s="344">
        <f>All!L25</f>
        <v>156</v>
      </c>
      <c r="M23" s="344">
        <f>All!M25</f>
        <v>39.9</v>
      </c>
      <c r="N23" s="344">
        <f>All!N25</f>
        <v>66.599999999999994</v>
      </c>
      <c r="O23" s="344">
        <f>All!O25</f>
        <v>1010.1</v>
      </c>
      <c r="P23" s="345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425"/>
  <sheetViews>
    <sheetView zoomScaleNormal="100" workbookViewId="0">
      <selection activeCell="S28" sqref="S28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62" customWidth="1"/>
    <col min="16" max="16" width="8.77734375" style="69" customWidth="1"/>
    <col min="17" max="16384" width="8.88671875" style="69"/>
  </cols>
  <sheetData>
    <row r="2" spans="2:16" ht="20.25" customHeight="1">
      <c r="B2" s="458" t="str">
        <f>All!B2</f>
        <v>보령기상청</v>
      </c>
      <c r="C2" s="70" t="s">
        <v>359</v>
      </c>
    </row>
    <row r="3" spans="2:16" ht="17.25" thickBot="1">
      <c r="I3" s="262"/>
      <c r="J3" s="262"/>
      <c r="K3" s="262"/>
    </row>
    <row r="4" spans="2:16" ht="29.25" customHeight="1">
      <c r="B4" s="334"/>
      <c r="C4" s="459" t="s">
        <v>7</v>
      </c>
      <c r="D4" s="460" t="s">
        <v>8</v>
      </c>
      <c r="E4" s="460" t="s">
        <v>9</v>
      </c>
      <c r="F4" s="460" t="s">
        <v>10</v>
      </c>
      <c r="G4" s="460" t="s">
        <v>11</v>
      </c>
      <c r="H4" s="460" t="s">
        <v>12</v>
      </c>
      <c r="I4" s="460" t="s">
        <v>13</v>
      </c>
      <c r="J4" s="460" t="s">
        <v>14</v>
      </c>
      <c r="K4" s="460" t="s">
        <v>15</v>
      </c>
      <c r="L4" s="460" t="s">
        <v>16</v>
      </c>
      <c r="M4" s="460" t="s">
        <v>17</v>
      </c>
      <c r="N4" s="461" t="s">
        <v>18</v>
      </c>
      <c r="O4" s="463" t="s">
        <v>19</v>
      </c>
      <c r="P4" s="461" t="s">
        <v>20</v>
      </c>
    </row>
    <row r="5" spans="2:16" ht="22.15" customHeight="1">
      <c r="B5" s="335">
        <f>All!B41</f>
        <v>2014</v>
      </c>
      <c r="C5" s="330">
        <f>All!C41</f>
        <v>3.4</v>
      </c>
      <c r="D5" s="318">
        <f>All!D41</f>
        <v>20.5</v>
      </c>
      <c r="E5" s="318">
        <f>All!E41</f>
        <v>56.3</v>
      </c>
      <c r="F5" s="318">
        <f>All!F41</f>
        <v>70</v>
      </c>
      <c r="G5" s="318">
        <f>All!G41</f>
        <v>47.1</v>
      </c>
      <c r="H5" s="318">
        <f>All!H41</f>
        <v>125.8</v>
      </c>
      <c r="I5" s="318">
        <f>All!I41</f>
        <v>104</v>
      </c>
      <c r="J5" s="318">
        <f>All!J41</f>
        <v>168.5</v>
      </c>
      <c r="K5" s="318">
        <f>All!K41</f>
        <v>152</v>
      </c>
      <c r="L5" s="318">
        <f>All!L41</f>
        <v>156</v>
      </c>
      <c r="M5" s="318">
        <f>All!M41</f>
        <v>39.9</v>
      </c>
      <c r="N5" s="319">
        <f>All!N41</f>
        <v>66.599999999999994</v>
      </c>
      <c r="O5" s="465">
        <f>All!O41</f>
        <v>1010.1</v>
      </c>
      <c r="P5" s="319">
        <f>All!P41</f>
        <v>84.2</v>
      </c>
    </row>
    <row r="6" spans="2:16" ht="22.15" customHeight="1">
      <c r="B6" s="336">
        <f>All!B42</f>
        <v>2015</v>
      </c>
      <c r="C6" s="330">
        <f>All!C42</f>
        <v>29.9</v>
      </c>
      <c r="D6" s="318">
        <f>All!D42</f>
        <v>23.4</v>
      </c>
      <c r="E6" s="318">
        <f>All!E42</f>
        <v>30.9</v>
      </c>
      <c r="F6" s="318">
        <f>All!F42</f>
        <v>129.69999999999999</v>
      </c>
      <c r="G6" s="318">
        <f>All!G42</f>
        <v>38.799999999999997</v>
      </c>
      <c r="H6" s="318">
        <f>All!H42</f>
        <v>83.9</v>
      </c>
      <c r="I6" s="318">
        <f>All!I42</f>
        <v>94.7</v>
      </c>
      <c r="J6" s="318">
        <f>All!J42</f>
        <v>30.2</v>
      </c>
      <c r="K6" s="318">
        <f>All!K42</f>
        <v>13.3</v>
      </c>
      <c r="L6" s="318">
        <f>All!L42</f>
        <v>90</v>
      </c>
      <c r="M6" s="318">
        <f>All!M42</f>
        <v>155.6</v>
      </c>
      <c r="N6" s="319">
        <f>All!N42</f>
        <v>65</v>
      </c>
      <c r="O6" s="464">
        <f>All!O42</f>
        <v>785.4</v>
      </c>
      <c r="P6" s="319">
        <f>All!P42</f>
        <v>65.5</v>
      </c>
    </row>
    <row r="7" spans="2:16" ht="22.15" customHeight="1">
      <c r="B7" s="335">
        <f>All!B43</f>
        <v>2016</v>
      </c>
      <c r="C7" s="330">
        <f>All!C43</f>
        <v>7.8</v>
      </c>
      <c r="D7" s="318">
        <f>All!D43</f>
        <v>54.2</v>
      </c>
      <c r="E7" s="318">
        <f>All!E43</f>
        <v>18.7</v>
      </c>
      <c r="F7" s="318">
        <f>All!F43</f>
        <v>105.1</v>
      </c>
      <c r="G7" s="318">
        <f>All!G43</f>
        <v>146.5</v>
      </c>
      <c r="H7" s="318">
        <f>All!H43</f>
        <v>23.7</v>
      </c>
      <c r="I7" s="318">
        <f>All!I43</f>
        <v>200.2</v>
      </c>
      <c r="J7" s="318">
        <f>All!J43</f>
        <v>5.0999999999999996</v>
      </c>
      <c r="K7" s="318">
        <f>All!K43</f>
        <v>73.400000000000006</v>
      </c>
      <c r="L7" s="318">
        <f>All!L43</f>
        <v>108</v>
      </c>
      <c r="M7" s="318">
        <f>All!M43</f>
        <v>5.6</v>
      </c>
      <c r="N7" s="319">
        <f>All!N43</f>
        <v>44.5</v>
      </c>
      <c r="O7" s="465">
        <f>All!O43</f>
        <v>792.8</v>
      </c>
      <c r="P7" s="319">
        <f>All!P43</f>
        <v>66.099999999999994</v>
      </c>
    </row>
    <row r="8" spans="2:16" ht="22.15" customHeight="1">
      <c r="B8" s="335">
        <f>All!B44</f>
        <v>2017</v>
      </c>
      <c r="C8" s="330">
        <f>All!C44</f>
        <v>14.8</v>
      </c>
      <c r="D8" s="318">
        <f>All!D44</f>
        <v>30.2</v>
      </c>
      <c r="E8" s="318">
        <f>All!E44</f>
        <v>14.4</v>
      </c>
      <c r="F8" s="318">
        <f>All!F44</f>
        <v>57.6</v>
      </c>
      <c r="G8" s="318">
        <f>All!G44</f>
        <v>58.9</v>
      </c>
      <c r="H8" s="318">
        <f>All!H44</f>
        <v>21.1</v>
      </c>
      <c r="I8" s="318">
        <f>All!I44</f>
        <v>278.10000000000002</v>
      </c>
      <c r="J8" s="318">
        <f>All!J44</f>
        <v>210</v>
      </c>
      <c r="K8" s="318">
        <f>All!K44</f>
        <v>90</v>
      </c>
      <c r="L8" s="318">
        <f>All!L44</f>
        <v>26.6</v>
      </c>
      <c r="M8" s="318">
        <f>All!M44</f>
        <v>15.9</v>
      </c>
      <c r="N8" s="319">
        <f>All!N44</f>
        <v>38.6</v>
      </c>
      <c r="O8" s="465">
        <f>All!O44</f>
        <v>856.2</v>
      </c>
      <c r="P8" s="319">
        <f>All!P44</f>
        <v>71.400000000000006</v>
      </c>
    </row>
    <row r="9" spans="2:16" ht="22.15" customHeight="1">
      <c r="B9" s="335">
        <f>All!B45</f>
        <v>2018</v>
      </c>
      <c r="C9" s="330">
        <f>All!C45</f>
        <v>15</v>
      </c>
      <c r="D9" s="318">
        <f>All!D45</f>
        <v>33.6</v>
      </c>
      <c r="E9" s="318">
        <f>All!E45</f>
        <v>92</v>
      </c>
      <c r="F9" s="318">
        <f>All!F45</f>
        <v>128.1</v>
      </c>
      <c r="G9" s="318">
        <f>All!G45</f>
        <v>104.5</v>
      </c>
      <c r="H9" s="318">
        <f>All!H45</f>
        <v>71</v>
      </c>
      <c r="I9" s="318">
        <f>All!I45</f>
        <v>262.7</v>
      </c>
      <c r="J9" s="318">
        <f>All!J45</f>
        <v>239.6</v>
      </c>
      <c r="K9" s="318">
        <f>All!K45</f>
        <v>158.19999999999999</v>
      </c>
      <c r="L9" s="318">
        <f>All!L45</f>
        <v>154.69999999999999</v>
      </c>
      <c r="M9" s="318">
        <f>All!M45</f>
        <v>46.7</v>
      </c>
      <c r="N9" s="319">
        <f>All!N45</f>
        <v>31.1</v>
      </c>
      <c r="O9" s="465">
        <f>All!O45</f>
        <v>1337.2</v>
      </c>
      <c r="P9" s="319">
        <f>All!P45</f>
        <v>111.4</v>
      </c>
    </row>
    <row r="10" spans="2:16" ht="22.15" customHeight="1">
      <c r="B10" s="335">
        <f>All!B46</f>
        <v>2019</v>
      </c>
      <c r="C10" s="330">
        <f>All!C46</f>
        <v>1.9</v>
      </c>
      <c r="D10" s="318">
        <f>All!D46</f>
        <v>17.8</v>
      </c>
      <c r="E10" s="318">
        <f>All!E46</f>
        <v>18.2</v>
      </c>
      <c r="F10" s="318">
        <f>All!F46</f>
        <v>71.900000000000006</v>
      </c>
      <c r="G10" s="318">
        <f>All!G46</f>
        <v>31.3</v>
      </c>
      <c r="H10" s="318">
        <f>All!H46</f>
        <v>56</v>
      </c>
      <c r="I10" s="318">
        <f>All!I46</f>
        <v>149</v>
      </c>
      <c r="J10" s="318">
        <f>All!J46</f>
        <v>131.30000000000001</v>
      </c>
      <c r="K10" s="318">
        <f>All!K46</f>
        <v>118.7</v>
      </c>
      <c r="L10" s="318">
        <f>All!L46</f>
        <v>63.9</v>
      </c>
      <c r="M10" s="318">
        <f>All!M46</f>
        <v>130.6</v>
      </c>
      <c r="N10" s="319">
        <f>All!N46</f>
        <v>31.3</v>
      </c>
      <c r="O10" s="465">
        <f>All!O46</f>
        <v>821.9</v>
      </c>
      <c r="P10" s="319">
        <f>All!P46</f>
        <v>68.5</v>
      </c>
    </row>
    <row r="11" spans="2:16" ht="22.15" customHeight="1">
      <c r="B11" s="335">
        <f>All!B47</f>
        <v>2020</v>
      </c>
      <c r="C11" s="330">
        <f>All!C47</f>
        <v>49.4</v>
      </c>
      <c r="D11" s="318">
        <f>All!D47</f>
        <v>75.3</v>
      </c>
      <c r="E11" s="318">
        <f>All!E47</f>
        <v>22.8</v>
      </c>
      <c r="F11" s="318">
        <f>All!F47</f>
        <v>16.5</v>
      </c>
      <c r="G11" s="318">
        <f>All!G47</f>
        <v>92.4</v>
      </c>
      <c r="H11" s="318">
        <f>All!H47</f>
        <v>139.69999999999999</v>
      </c>
      <c r="I11" s="318">
        <f>All!I47</f>
        <v>345.9</v>
      </c>
      <c r="J11" s="318">
        <f>All!J47</f>
        <v>321.5</v>
      </c>
      <c r="K11" s="318">
        <f>All!K47</f>
        <v>177.1</v>
      </c>
      <c r="L11" s="318">
        <f>All!L47</f>
        <v>16.2</v>
      </c>
      <c r="M11" s="318">
        <f>All!M47</f>
        <v>35.4</v>
      </c>
      <c r="N11" s="319">
        <f>All!N47</f>
        <v>9.6999999999999993</v>
      </c>
      <c r="O11" s="465">
        <f>All!O47</f>
        <v>1301.9000000000001</v>
      </c>
      <c r="P11" s="319">
        <f>All!P47</f>
        <v>108.5</v>
      </c>
    </row>
    <row r="12" spans="2:16" ht="22.15" customHeight="1">
      <c r="B12" s="335">
        <f>All!B48</f>
        <v>2021</v>
      </c>
      <c r="C12" s="330">
        <f>All!C48</f>
        <v>32</v>
      </c>
      <c r="D12" s="318">
        <f>All!D48</f>
        <v>18.7</v>
      </c>
      <c r="E12" s="318">
        <f>All!E48</f>
        <v>76.099999999999994</v>
      </c>
      <c r="F12" s="318">
        <f>All!F48</f>
        <v>43.4</v>
      </c>
      <c r="G12" s="318">
        <f>All!G48</f>
        <v>110</v>
      </c>
      <c r="H12" s="318">
        <f>All!H48</f>
        <v>55</v>
      </c>
      <c r="I12" s="318">
        <f>All!I48</f>
        <v>131.30000000000001</v>
      </c>
      <c r="J12" s="318">
        <f>All!J48</f>
        <v>253.7</v>
      </c>
      <c r="K12" s="318">
        <f>All!K48</f>
        <v>215.9</v>
      </c>
      <c r="L12" s="318">
        <f>All!L48</f>
        <v>39.6</v>
      </c>
      <c r="M12" s="318">
        <f>All!M48</f>
        <v>117.8</v>
      </c>
      <c r="N12" s="319">
        <f>All!N48</f>
        <v>14.4</v>
      </c>
      <c r="O12" s="465">
        <f>All!O48</f>
        <v>1107.9000000000001</v>
      </c>
      <c r="P12" s="319">
        <f>All!P48</f>
        <v>92.3</v>
      </c>
    </row>
    <row r="13" spans="2:16" ht="22.15" customHeight="1">
      <c r="B13" s="335">
        <f>All!B49</f>
        <v>2022</v>
      </c>
      <c r="C13" s="330">
        <f>All!C49</f>
        <v>8.4</v>
      </c>
      <c r="D13" s="318">
        <f>All!D49</f>
        <v>5.3</v>
      </c>
      <c r="E13" s="318">
        <f>All!E49</f>
        <v>60.9</v>
      </c>
      <c r="F13" s="318">
        <f>All!F49</f>
        <v>34.799999999999997</v>
      </c>
      <c r="G13" s="318">
        <f>All!G49</f>
        <v>5.7</v>
      </c>
      <c r="H13" s="318">
        <f>All!H49</f>
        <v>225</v>
      </c>
      <c r="I13" s="318">
        <f>All!I49</f>
        <v>119.9</v>
      </c>
      <c r="J13" s="318">
        <f>All!J49</f>
        <v>637.1</v>
      </c>
      <c r="K13" s="318">
        <f>All!K49</f>
        <v>102</v>
      </c>
      <c r="L13" s="318">
        <f>All!L49</f>
        <v>112</v>
      </c>
      <c r="M13" s="318">
        <f>All!M49</f>
        <v>23.3</v>
      </c>
      <c r="N13" s="319">
        <f>All!N49</f>
        <v>14</v>
      </c>
      <c r="O13" s="465">
        <f>All!O49</f>
        <v>1348.4</v>
      </c>
      <c r="P13" s="319">
        <f>All!P49</f>
        <v>112.4</v>
      </c>
    </row>
    <row r="14" spans="2:16" ht="22.15" customHeight="1" thickBot="1">
      <c r="B14" s="594">
        <f>All!B50</f>
        <v>2023</v>
      </c>
      <c r="C14" s="331">
        <f>All!C50</f>
        <v>19.2</v>
      </c>
      <c r="D14" s="320">
        <f>All!D50</f>
        <v>0.4</v>
      </c>
      <c r="E14" s="320">
        <f>All!E50</f>
        <v>7.2</v>
      </c>
      <c r="F14" s="320">
        <f>All!F50</f>
        <v>42.4</v>
      </c>
      <c r="G14" s="320">
        <f>All!G50</f>
        <v>190.8</v>
      </c>
      <c r="H14" s="320">
        <f>All!H50</f>
        <v>95.1</v>
      </c>
      <c r="I14" s="320">
        <f>All!I50</f>
        <v>772.2</v>
      </c>
      <c r="J14" s="320">
        <f>All!J50</f>
        <v>107.8</v>
      </c>
      <c r="K14" s="320">
        <f>All!K50</f>
        <v>288.39999999999998</v>
      </c>
      <c r="L14" s="320">
        <f>All!L50</f>
        <v>25.5</v>
      </c>
      <c r="M14" s="320">
        <f>All!M50</f>
        <v>65.2</v>
      </c>
      <c r="N14" s="321">
        <f>All!N50</f>
        <v>110.6</v>
      </c>
      <c r="O14" s="468">
        <f>All!O50</f>
        <v>1724.8</v>
      </c>
      <c r="P14" s="321">
        <f>All!P50</f>
        <v>143.69999999999999</v>
      </c>
    </row>
    <row r="15" spans="2:16" ht="22.15" customHeight="1">
      <c r="B15" s="338" t="s">
        <v>21</v>
      </c>
      <c r="C15" s="332">
        <f>All!C51</f>
        <v>49.4</v>
      </c>
      <c r="D15" s="322">
        <f>All!D51</f>
        <v>75.3</v>
      </c>
      <c r="E15" s="322">
        <f>All!E51</f>
        <v>92</v>
      </c>
      <c r="F15" s="322">
        <f>All!F51</f>
        <v>129.69999999999999</v>
      </c>
      <c r="G15" s="322">
        <f>All!G51</f>
        <v>190.8</v>
      </c>
      <c r="H15" s="322">
        <f>All!H51</f>
        <v>225</v>
      </c>
      <c r="I15" s="322">
        <f>All!I51</f>
        <v>772.2</v>
      </c>
      <c r="J15" s="322">
        <f>All!J51</f>
        <v>637.1</v>
      </c>
      <c r="K15" s="322">
        <f>All!K51</f>
        <v>288.39999999999998</v>
      </c>
      <c r="L15" s="322">
        <f>All!L51</f>
        <v>156</v>
      </c>
      <c r="M15" s="322">
        <f>All!M51</f>
        <v>155.6</v>
      </c>
      <c r="N15" s="323">
        <f>All!N51</f>
        <v>110.6</v>
      </c>
      <c r="O15" s="466">
        <f>All!O51</f>
        <v>1724.8</v>
      </c>
      <c r="P15" s="323">
        <f>All!P51</f>
        <v>143.69999999999999</v>
      </c>
    </row>
    <row r="16" spans="2:16" ht="22.15" customHeight="1">
      <c r="B16" s="335" t="s">
        <v>22</v>
      </c>
      <c r="C16" s="330">
        <f>All!C52</f>
        <v>1.9</v>
      </c>
      <c r="D16" s="318">
        <f>All!D52</f>
        <v>0.4</v>
      </c>
      <c r="E16" s="318">
        <f>All!E52</f>
        <v>7.2</v>
      </c>
      <c r="F16" s="318">
        <f>All!F52</f>
        <v>16.5</v>
      </c>
      <c r="G16" s="318">
        <f>All!G52</f>
        <v>5.7</v>
      </c>
      <c r="H16" s="318">
        <f>All!H52</f>
        <v>21.1</v>
      </c>
      <c r="I16" s="318">
        <f>All!I52</f>
        <v>94.7</v>
      </c>
      <c r="J16" s="318">
        <f>All!J52</f>
        <v>5.0999999999999996</v>
      </c>
      <c r="K16" s="318">
        <f>All!K52</f>
        <v>13.3</v>
      </c>
      <c r="L16" s="318">
        <f>All!L52</f>
        <v>16.2</v>
      </c>
      <c r="M16" s="318">
        <f>All!M52</f>
        <v>5.6</v>
      </c>
      <c r="N16" s="319">
        <f>All!N52</f>
        <v>9.6999999999999993</v>
      </c>
      <c r="O16" s="467">
        <f>All!O52</f>
        <v>785.4</v>
      </c>
      <c r="P16" s="319">
        <f>All!P52</f>
        <v>65.5</v>
      </c>
    </row>
    <row r="17" spans="1:16" ht="22.15" customHeight="1" thickBot="1">
      <c r="B17" s="337" t="s">
        <v>20</v>
      </c>
      <c r="C17" s="331">
        <f>All!C53</f>
        <v>18.2</v>
      </c>
      <c r="D17" s="320">
        <f>All!D53</f>
        <v>27.9</v>
      </c>
      <c r="E17" s="327">
        <f>All!E53</f>
        <v>39.799999999999997</v>
      </c>
      <c r="F17" s="320">
        <f>All!F53</f>
        <v>70</v>
      </c>
      <c r="G17" s="328">
        <f>All!G53</f>
        <v>82.6</v>
      </c>
      <c r="H17" s="328">
        <f>All!H53</f>
        <v>89.6</v>
      </c>
      <c r="I17" s="328">
        <f>All!I53</f>
        <v>245.8</v>
      </c>
      <c r="J17" s="328">
        <f>All!J53</f>
        <v>210.5</v>
      </c>
      <c r="K17" s="328">
        <f>All!K53</f>
        <v>138.9</v>
      </c>
      <c r="L17" s="320">
        <f>All!L53</f>
        <v>79.3</v>
      </c>
      <c r="M17" s="320">
        <f>All!M53</f>
        <v>63.6</v>
      </c>
      <c r="N17" s="321">
        <f>All!N53</f>
        <v>42.6</v>
      </c>
      <c r="O17" s="468">
        <f>All!O53</f>
        <v>1108.7</v>
      </c>
      <c r="P17" s="329">
        <f>All!P53</f>
        <v>92.4</v>
      </c>
    </row>
    <row r="18" spans="1:16" ht="29.25" customHeight="1" thickBot="1">
      <c r="B18" s="91" t="s">
        <v>23</v>
      </c>
      <c r="C18" s="333">
        <f>All!C37</f>
        <v>23.7</v>
      </c>
      <c r="D18" s="324">
        <f>All!D37</f>
        <v>26.9</v>
      </c>
      <c r="E18" s="324">
        <f>All!E37</f>
        <v>43</v>
      </c>
      <c r="F18" s="324">
        <f>All!F37</f>
        <v>70.8</v>
      </c>
      <c r="G18" s="324">
        <f>All!G37</f>
        <v>89.9</v>
      </c>
      <c r="H18" s="324">
        <f>All!H37</f>
        <v>132.5</v>
      </c>
      <c r="I18" s="325">
        <f>All!I37</f>
        <v>262.3</v>
      </c>
      <c r="J18" s="325">
        <f>All!J37</f>
        <v>278.39999999999998</v>
      </c>
      <c r="K18" s="325">
        <f>All!K37</f>
        <v>137.80000000000001</v>
      </c>
      <c r="L18" s="325">
        <f>All!L37</f>
        <v>63</v>
      </c>
      <c r="M18" s="325">
        <f>All!M37</f>
        <v>54</v>
      </c>
      <c r="N18" s="326">
        <f>All!N37</f>
        <v>34.799999999999997</v>
      </c>
      <c r="O18" s="470">
        <f>All!O37</f>
        <v>1217</v>
      </c>
      <c r="P18" s="326">
        <f>All!P37</f>
        <v>101.4</v>
      </c>
    </row>
    <row r="19" spans="1:16" ht="22.15" customHeight="1" thickBot="1"/>
    <row r="20" spans="1:16">
      <c r="B20" s="339" t="s">
        <v>24</v>
      </c>
      <c r="C20" s="125"/>
      <c r="D20" s="128">
        <f>SUM(G17:K17)</f>
        <v>767.4</v>
      </c>
      <c r="F20" s="92"/>
    </row>
    <row r="21" spans="1:16">
      <c r="B21" s="340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312" t="s">
        <v>185</v>
      </c>
      <c r="D23" s="312" t="s">
        <v>186</v>
      </c>
      <c r="E23" s="312" t="s">
        <v>187</v>
      </c>
    </row>
    <row r="24" spans="1:16" ht="21.95" customHeight="1">
      <c r="B24" s="313" t="s">
        <v>93</v>
      </c>
      <c r="C24" s="363">
        <f>O16</f>
        <v>785.4</v>
      </c>
      <c r="D24" s="364"/>
      <c r="E24" s="365"/>
      <c r="H24" s="342" t="s">
        <v>182</v>
      </c>
      <c r="I24" s="595" t="s">
        <v>701</v>
      </c>
      <c r="J24" s="596"/>
      <c r="K24" s="474">
        <f>INDEX(Location[recharge], MATCH(I24,Location[name],0))</f>
        <v>0.17499999999999999</v>
      </c>
      <c r="L24" s="475">
        <f>INDEX(Location[ratio], MATCH(I24,Location[name],0))</f>
        <v>0.67</v>
      </c>
    </row>
    <row r="25" spans="1:16" ht="21.95" customHeight="1">
      <c r="B25" s="314" t="s">
        <v>25</v>
      </c>
      <c r="C25" s="366">
        <f>O18</f>
        <v>1217</v>
      </c>
      <c r="D25" s="367"/>
      <c r="E25" s="368"/>
      <c r="H25" s="342" t="s">
        <v>183</v>
      </c>
      <c r="I25" s="597" t="s">
        <v>192</v>
      </c>
      <c r="J25" s="598"/>
      <c r="K25" s="472">
        <f>INDEX(Location[recharge], MATCH(I25,Location[name],0))</f>
        <v>0.16600000000000001</v>
      </c>
      <c r="L25" s="473">
        <f>INDEX(Location[ratio], MATCH(I25,Location[name],0))</f>
        <v>0.64</v>
      </c>
    </row>
    <row r="26" spans="1:16" ht="21.95" customHeight="1" thickBot="1">
      <c r="B26" s="315" t="s">
        <v>163</v>
      </c>
      <c r="C26" s="369">
        <f>L24</f>
        <v>0.67</v>
      </c>
      <c r="D26" s="370">
        <f>L25</f>
        <v>0.64</v>
      </c>
      <c r="E26" s="371">
        <f>L26</f>
        <v>0.65</v>
      </c>
      <c r="H26" s="342" t="s">
        <v>184</v>
      </c>
      <c r="I26" s="599" t="s">
        <v>256</v>
      </c>
      <c r="J26" s="600"/>
      <c r="K26" s="476">
        <f>INDEX(Location[recharge], MATCH(I26,Location[name],0))</f>
        <v>0.127</v>
      </c>
      <c r="L26" s="477">
        <f>INDEX(Location[ratio], MATCH(I26,Location[name],0))</f>
        <v>0.65</v>
      </c>
    </row>
    <row r="27" spans="1:16" ht="21.95" customHeight="1">
      <c r="B27" s="314" t="s">
        <v>26</v>
      </c>
      <c r="C27" s="372">
        <f>Well!P4</f>
        <v>3778182</v>
      </c>
      <c r="D27" s="367"/>
      <c r="E27" s="373"/>
    </row>
    <row r="28" spans="1:16" ht="21.95" customHeight="1" thickBot="1">
      <c r="B28" s="316" t="s">
        <v>27</v>
      </c>
      <c r="C28" s="374">
        <f>K24</f>
        <v>0.17499999999999999</v>
      </c>
      <c r="D28" s="375">
        <f>K25</f>
        <v>0.16600000000000001</v>
      </c>
      <c r="E28" s="376">
        <f>K26</f>
        <v>0.127</v>
      </c>
    </row>
    <row r="29" spans="1:16" ht="17.25" thickBot="1">
      <c r="E29" s="93"/>
    </row>
    <row r="30" spans="1:16" ht="22.15" customHeight="1" thickBot="1">
      <c r="B30" s="317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410" t="s">
        <v>370</v>
      </c>
    </row>
    <row r="32" spans="1:16" ht="17.25" customHeight="1">
      <c r="A32" s="341" t="s">
        <v>166</v>
      </c>
      <c r="B32" s="262"/>
      <c r="C32" s="262"/>
      <c r="D32" s="262"/>
    </row>
    <row r="33" spans="1:6" ht="17.25" customHeight="1">
      <c r="A33" s="341" t="s">
        <v>167</v>
      </c>
    </row>
    <row r="34" spans="1:6" ht="17.25" customHeight="1">
      <c r="C34" s="262"/>
      <c r="D34" s="262"/>
    </row>
    <row r="35" spans="1:6" ht="17.25" customHeight="1"/>
    <row r="4139" spans="15:15" s="409" customFormat="1" ht="17.25">
      <c r="O4139" s="469"/>
    </row>
    <row r="4425" spans="2430:2430">
      <c r="COL4425" s="263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2"/>
  <sheetViews>
    <sheetView topLeftCell="A4" workbookViewId="0">
      <selection activeCell="D34" sqref="D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5" t="s">
        <v>350</v>
      </c>
    </row>
    <row r="19" spans="1:7">
      <c r="A19" s="30" t="s">
        <v>391</v>
      </c>
      <c r="D19" s="30" t="s">
        <v>616</v>
      </c>
      <c r="G19" s="413" t="s">
        <v>372</v>
      </c>
    </row>
    <row r="20" spans="1:7">
      <c r="A20" s="30" t="s">
        <v>384</v>
      </c>
      <c r="D20" s="30">
        <v>150</v>
      </c>
      <c r="G20" s="413" t="s">
        <v>373</v>
      </c>
    </row>
    <row r="21" spans="1:7">
      <c r="A21" s="30" t="s">
        <v>385</v>
      </c>
      <c r="D21" s="30">
        <v>200</v>
      </c>
      <c r="G21" s="413" t="s">
        <v>374</v>
      </c>
    </row>
    <row r="22" spans="1:7">
      <c r="A22" s="30" t="s">
        <v>386</v>
      </c>
      <c r="D22" s="30">
        <v>250</v>
      </c>
      <c r="G22" s="413" t="s">
        <v>375</v>
      </c>
    </row>
    <row r="23" spans="1:7">
      <c r="A23" s="30" t="s">
        <v>387</v>
      </c>
      <c r="G23" s="413" t="s">
        <v>376</v>
      </c>
    </row>
    <row r="24" spans="1:7">
      <c r="A24" s="30" t="s">
        <v>388</v>
      </c>
      <c r="G24" s="413" t="s">
        <v>377</v>
      </c>
    </row>
    <row r="25" spans="1:7">
      <c r="A25" s="30" t="s">
        <v>389</v>
      </c>
      <c r="G25" s="413" t="s">
        <v>378</v>
      </c>
    </row>
    <row r="26" spans="1:7">
      <c r="A26" s="30" t="s">
        <v>390</v>
      </c>
      <c r="G26" s="413" t="s">
        <v>379</v>
      </c>
    </row>
    <row r="27" spans="1:7">
      <c r="G27" s="413" t="s">
        <v>380</v>
      </c>
    </row>
    <row r="28" spans="1:7">
      <c r="G28" s="413" t="s">
        <v>381</v>
      </c>
    </row>
    <row r="29" spans="1:7">
      <c r="G29" s="413" t="s">
        <v>382</v>
      </c>
    </row>
    <row r="30" spans="1:7">
      <c r="G30" s="413" t="s">
        <v>383</v>
      </c>
    </row>
    <row r="31" spans="1:7">
      <c r="G31" s="504" t="s">
        <v>637</v>
      </c>
    </row>
    <row r="32" spans="1:7">
      <c r="G32" s="413" t="s">
        <v>697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257</v>
      </c>
      <c r="B16" s="144">
        <v>0.16300000000000001</v>
      </c>
      <c r="C16" s="144">
        <v>0.223</v>
      </c>
    </row>
    <row r="17" spans="1:3" ht="18" customHeight="1">
      <c r="A17" s="141" t="s">
        <v>357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O5" sqref="O5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311</v>
      </c>
    </row>
    <row r="4" spans="3:11" ht="40.5" customHeight="1">
      <c r="C4" s="481" t="s">
        <v>304</v>
      </c>
      <c r="D4" s="482" t="s">
        <v>278</v>
      </c>
      <c r="E4" s="482" t="s">
        <v>305</v>
      </c>
      <c r="F4" s="483" t="s">
        <v>310</v>
      </c>
      <c r="G4" s="482" t="s">
        <v>296</v>
      </c>
      <c r="H4" s="482" t="s">
        <v>306</v>
      </c>
      <c r="I4" s="482" t="s">
        <v>307</v>
      </c>
      <c r="J4" s="482" t="s">
        <v>308</v>
      </c>
      <c r="K4" s="484" t="s">
        <v>309</v>
      </c>
    </row>
    <row r="5" spans="3:11" ht="97.5" customHeight="1">
      <c r="C5" s="169" t="s">
        <v>227</v>
      </c>
      <c r="D5" s="248" t="s">
        <v>312</v>
      </c>
      <c r="E5" s="248" t="s">
        <v>313</v>
      </c>
      <c r="F5" s="248" t="s">
        <v>314</v>
      </c>
      <c r="G5" s="248" t="s">
        <v>646</v>
      </c>
      <c r="H5" s="248" t="s">
        <v>647</v>
      </c>
      <c r="I5" s="248" t="s">
        <v>648</v>
      </c>
      <c r="J5" s="248" t="s">
        <v>649</v>
      </c>
      <c r="K5" s="249" t="s">
        <v>650</v>
      </c>
    </row>
    <row r="6" spans="3:11" ht="97.5" customHeight="1">
      <c r="C6" s="169" t="s">
        <v>228</v>
      </c>
      <c r="D6" s="248" t="s">
        <v>312</v>
      </c>
      <c r="E6" s="248" t="s">
        <v>313</v>
      </c>
      <c r="F6" s="248" t="s">
        <v>314</v>
      </c>
      <c r="G6" s="248" t="s">
        <v>651</v>
      </c>
      <c r="H6" s="248" t="s">
        <v>652</v>
      </c>
      <c r="I6" s="248" t="s">
        <v>653</v>
      </c>
      <c r="J6" s="248" t="s">
        <v>654</v>
      </c>
      <c r="K6" s="249" t="s">
        <v>655</v>
      </c>
    </row>
    <row r="7" spans="3:11" ht="97.5" customHeight="1">
      <c r="C7" s="169" t="s">
        <v>229</v>
      </c>
      <c r="D7" s="248" t="s">
        <v>312</v>
      </c>
      <c r="E7" s="248" t="s">
        <v>313</v>
      </c>
      <c r="F7" s="248" t="s">
        <v>314</v>
      </c>
      <c r="G7" s="248" t="s">
        <v>656</v>
      </c>
      <c r="H7" s="248" t="s">
        <v>657</v>
      </c>
      <c r="I7" s="248" t="s">
        <v>658</v>
      </c>
      <c r="J7" s="248" t="s">
        <v>659</v>
      </c>
      <c r="K7" s="249" t="s">
        <v>660</v>
      </c>
    </row>
    <row r="8" spans="3:11" ht="97.5" customHeight="1">
      <c r="C8" s="169" t="s">
        <v>354</v>
      </c>
      <c r="D8" s="248" t="s">
        <v>312</v>
      </c>
      <c r="E8" s="248" t="s">
        <v>313</v>
      </c>
      <c r="F8" s="248" t="s">
        <v>314</v>
      </c>
      <c r="G8" s="248" t="s">
        <v>661</v>
      </c>
      <c r="H8" s="248" t="s">
        <v>662</v>
      </c>
      <c r="I8" s="248" t="s">
        <v>663</v>
      </c>
      <c r="J8" s="248" t="s">
        <v>664</v>
      </c>
      <c r="K8" s="249" t="s">
        <v>665</v>
      </c>
    </row>
    <row r="9" spans="3:11" ht="97.5" customHeight="1">
      <c r="C9" s="169" t="s">
        <v>355</v>
      </c>
      <c r="D9" s="248" t="s">
        <v>312</v>
      </c>
      <c r="E9" s="248" t="s">
        <v>313</v>
      </c>
      <c r="F9" s="248" t="s">
        <v>314</v>
      </c>
      <c r="G9" s="248" t="s">
        <v>666</v>
      </c>
      <c r="H9" s="248" t="s">
        <v>667</v>
      </c>
      <c r="I9" s="248" t="s">
        <v>668</v>
      </c>
      <c r="J9" s="248" t="s">
        <v>669</v>
      </c>
      <c r="K9" s="249" t="s">
        <v>670</v>
      </c>
    </row>
    <row r="10" spans="3:11" ht="97.5" customHeight="1">
      <c r="C10" s="169" t="s">
        <v>356</v>
      </c>
      <c r="D10" s="248" t="s">
        <v>312</v>
      </c>
      <c r="E10" s="248" t="s">
        <v>313</v>
      </c>
      <c r="F10" s="248" t="s">
        <v>314</v>
      </c>
      <c r="G10" s="248" t="s">
        <v>671</v>
      </c>
      <c r="H10" s="248" t="s">
        <v>672</v>
      </c>
      <c r="I10" s="248" t="s">
        <v>673</v>
      </c>
      <c r="J10" s="248" t="s">
        <v>674</v>
      </c>
      <c r="K10" s="249" t="s">
        <v>675</v>
      </c>
    </row>
    <row r="11" spans="3:11" ht="97.5" customHeight="1">
      <c r="C11" s="169" t="s">
        <v>642</v>
      </c>
      <c r="D11" s="248" t="s">
        <v>312</v>
      </c>
      <c r="E11" s="248" t="s">
        <v>313</v>
      </c>
      <c r="F11" s="248" t="s">
        <v>314</v>
      </c>
      <c r="G11" s="248" t="s">
        <v>676</v>
      </c>
      <c r="H11" s="248" t="s">
        <v>677</v>
      </c>
      <c r="I11" s="248" t="s">
        <v>678</v>
      </c>
      <c r="J11" s="248" t="s">
        <v>679</v>
      </c>
      <c r="K11" s="249" t="s">
        <v>680</v>
      </c>
    </row>
    <row r="12" spans="3:11" ht="97.5" customHeight="1">
      <c r="C12" s="169" t="s">
        <v>643</v>
      </c>
      <c r="D12" s="248" t="s">
        <v>312</v>
      </c>
      <c r="E12" s="248" t="s">
        <v>313</v>
      </c>
      <c r="F12" s="248" t="s">
        <v>314</v>
      </c>
      <c r="G12" s="248" t="s">
        <v>681</v>
      </c>
      <c r="H12" s="248" t="s">
        <v>682</v>
      </c>
      <c r="I12" s="248" t="s">
        <v>683</v>
      </c>
      <c r="J12" s="248" t="s">
        <v>684</v>
      </c>
      <c r="K12" s="249" t="s">
        <v>685</v>
      </c>
    </row>
    <row r="13" spans="3:11" ht="97.5" customHeight="1">
      <c r="C13" s="169" t="s">
        <v>644</v>
      </c>
      <c r="D13" s="248" t="s">
        <v>312</v>
      </c>
      <c r="E13" s="248" t="s">
        <v>313</v>
      </c>
      <c r="F13" s="248" t="s">
        <v>314</v>
      </c>
      <c r="G13" s="248" t="s">
        <v>656</v>
      </c>
      <c r="H13" s="248" t="s">
        <v>686</v>
      </c>
      <c r="I13" s="248" t="s">
        <v>687</v>
      </c>
      <c r="J13" s="248" t="s">
        <v>688</v>
      </c>
      <c r="K13" s="249" t="s">
        <v>689</v>
      </c>
    </row>
    <row r="14" spans="3:11" ht="97.5" customHeight="1">
      <c r="C14" s="169"/>
      <c r="D14" s="248"/>
      <c r="E14" s="248"/>
      <c r="F14" s="248"/>
      <c r="G14" s="248"/>
      <c r="H14" s="248"/>
      <c r="I14" s="248"/>
      <c r="J14" s="248"/>
      <c r="K14" s="249"/>
    </row>
    <row r="15" spans="3:11" ht="97.5" customHeight="1">
      <c r="C15" s="169"/>
      <c r="D15" s="248"/>
      <c r="E15" s="248"/>
      <c r="F15" s="248"/>
      <c r="G15" s="248"/>
      <c r="H15" s="248"/>
      <c r="I15" s="248"/>
      <c r="J15" s="248"/>
      <c r="K15" s="249"/>
    </row>
    <row r="16" spans="3:11" ht="97.5" customHeight="1">
      <c r="C16" s="169"/>
      <c r="D16" s="248"/>
      <c r="E16" s="248"/>
      <c r="F16" s="248"/>
      <c r="G16" s="248"/>
      <c r="H16" s="248"/>
      <c r="I16" s="248"/>
      <c r="J16" s="248"/>
      <c r="K16" s="249"/>
    </row>
    <row r="17" spans="3:11" ht="97.5" customHeight="1">
      <c r="C17" s="169"/>
      <c r="D17" s="248"/>
      <c r="E17" s="248"/>
      <c r="F17" s="248"/>
      <c r="G17" s="248"/>
      <c r="H17" s="248"/>
      <c r="I17" s="248"/>
      <c r="J17" s="248"/>
      <c r="K17" s="249"/>
    </row>
    <row r="18" spans="3:11" ht="97.5" customHeight="1">
      <c r="C18" s="169"/>
      <c r="D18" s="222"/>
      <c r="E18" s="222"/>
      <c r="F18" s="222"/>
      <c r="G18" s="222"/>
      <c r="H18" s="222"/>
      <c r="I18" s="222"/>
      <c r="J18" s="222"/>
      <c r="K18" s="246"/>
    </row>
    <row r="19" spans="3:11" ht="97.5" customHeight="1" thickBot="1">
      <c r="C19" s="170"/>
      <c r="D19" s="223"/>
      <c r="E19" s="223"/>
      <c r="F19" s="223"/>
      <c r="G19" s="223"/>
      <c r="H19" s="223"/>
      <c r="I19" s="223"/>
      <c r="J19" s="223"/>
      <c r="K19" s="24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148" sqref="G148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H14" sqref="H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284</v>
      </c>
      <c r="B4" s="501" t="s">
        <v>324</v>
      </c>
      <c r="C4" s="501" t="s">
        <v>325</v>
      </c>
      <c r="D4" s="501" t="s">
        <v>334</v>
      </c>
      <c r="E4" s="501" t="s">
        <v>342</v>
      </c>
      <c r="F4" s="501" t="s">
        <v>341</v>
      </c>
      <c r="G4" s="501" t="s">
        <v>326</v>
      </c>
      <c r="H4" s="184" t="s">
        <v>316</v>
      </c>
      <c r="I4" s="501" t="s">
        <v>327</v>
      </c>
      <c r="J4" s="501" t="s">
        <v>328</v>
      </c>
      <c r="K4" s="501" t="s">
        <v>332</v>
      </c>
      <c r="L4" s="501" t="s">
        <v>331</v>
      </c>
      <c r="M4" s="501" t="s">
        <v>329</v>
      </c>
      <c r="N4" s="501" t="s">
        <v>322</v>
      </c>
      <c r="O4" s="184" t="s">
        <v>317</v>
      </c>
      <c r="P4" s="184" t="s">
        <v>318</v>
      </c>
      <c r="Q4" s="501" t="s">
        <v>330</v>
      </c>
      <c r="R4" s="501" t="s">
        <v>335</v>
      </c>
      <c r="S4" s="501" t="s">
        <v>336</v>
      </c>
      <c r="T4" s="184" t="s">
        <v>321</v>
      </c>
      <c r="U4" s="501" t="s">
        <v>333</v>
      </c>
      <c r="V4" s="184" t="s">
        <v>319</v>
      </c>
      <c r="W4" s="184" t="s">
        <v>320</v>
      </c>
      <c r="X4" s="184" t="s">
        <v>323</v>
      </c>
      <c r="Y4" s="501" t="s">
        <v>339</v>
      </c>
      <c r="Z4" s="501" t="s">
        <v>340</v>
      </c>
      <c r="AA4" s="501" t="s">
        <v>347</v>
      </c>
      <c r="AB4" s="501" t="s">
        <v>348</v>
      </c>
      <c r="AC4" s="501" t="s">
        <v>343</v>
      </c>
      <c r="AD4" s="501" t="s">
        <v>337</v>
      </c>
      <c r="AE4" s="501" t="s">
        <v>338</v>
      </c>
      <c r="AF4" s="501" t="s">
        <v>344</v>
      </c>
      <c r="AG4" s="184" t="s">
        <v>345</v>
      </c>
      <c r="AH4" s="184" t="s">
        <v>346</v>
      </c>
      <c r="AI4" s="184" t="s">
        <v>630</v>
      </c>
      <c r="AJ4" s="184" t="s">
        <v>629</v>
      </c>
      <c r="AK4" s="184" t="s">
        <v>631</v>
      </c>
      <c r="AL4" s="184" t="s">
        <v>632</v>
      </c>
      <c r="AM4" s="184" t="s">
        <v>633</v>
      </c>
      <c r="AN4" s="175" t="s">
        <v>634</v>
      </c>
    </row>
    <row r="5" spans="1:40" ht="23.1" customHeight="1">
      <c r="A5" s="169" t="s">
        <v>227</v>
      </c>
      <c r="B5" s="222">
        <v>12.03</v>
      </c>
      <c r="C5" s="222">
        <v>26.47</v>
      </c>
      <c r="D5" s="253">
        <v>13.735742375279642</v>
      </c>
      <c r="E5" s="253">
        <v>12.734257624720357</v>
      </c>
      <c r="F5" s="253">
        <v>14.44</v>
      </c>
      <c r="G5" s="222">
        <v>200</v>
      </c>
      <c r="H5" s="222">
        <v>0.1</v>
      </c>
      <c r="I5" s="222">
        <v>500</v>
      </c>
      <c r="J5" s="222">
        <v>30</v>
      </c>
      <c r="K5" s="222">
        <v>53</v>
      </c>
      <c r="L5" s="253">
        <v>1.3796441648969833</v>
      </c>
      <c r="M5" s="222">
        <v>5</v>
      </c>
      <c r="N5" s="222">
        <v>470</v>
      </c>
      <c r="O5" s="251">
        <v>2.5489999999999999</v>
      </c>
      <c r="P5" s="251">
        <v>1.95</v>
      </c>
      <c r="Q5" s="251">
        <v>2.2494999999999998</v>
      </c>
      <c r="R5" s="222">
        <v>9.7610000000000002E-2</v>
      </c>
      <c r="S5" s="254">
        <v>2.8430000000000003E-4</v>
      </c>
      <c r="T5" s="251">
        <v>4.7800000000000004E-3</v>
      </c>
      <c r="U5" s="222">
        <v>0.54159999999999997</v>
      </c>
      <c r="V5" s="252">
        <v>28.1</v>
      </c>
      <c r="W5" s="252">
        <v>34.4</v>
      </c>
      <c r="X5" s="252">
        <v>98.2</v>
      </c>
      <c r="Y5" s="222">
        <v>-2.9195000000000002</v>
      </c>
      <c r="Z5" s="251">
        <v>1.853</v>
      </c>
      <c r="AA5" s="222">
        <v>60</v>
      </c>
      <c r="AB5" s="222">
        <v>54.59</v>
      </c>
      <c r="AC5" s="222">
        <v>33</v>
      </c>
      <c r="AD5" s="222">
        <v>6.04</v>
      </c>
      <c r="AE5" s="222">
        <v>12.85</v>
      </c>
      <c r="AF5" s="222">
        <v>1.1566E-3</v>
      </c>
      <c r="AG5" s="222">
        <v>0.1440215</v>
      </c>
      <c r="AH5" s="500">
        <v>0.9</v>
      </c>
      <c r="AI5" s="222">
        <v>1.855</v>
      </c>
      <c r="AJ5" s="222">
        <v>5.0000000000000001E-4</v>
      </c>
      <c r="AK5" s="222" t="s">
        <v>285</v>
      </c>
      <c r="AL5" s="222">
        <v>4.9185999999999996</v>
      </c>
      <c r="AM5" s="222">
        <v>4.9223999999999997</v>
      </c>
      <c r="AN5" s="246">
        <v>1.3972</v>
      </c>
    </row>
    <row r="6" spans="1:40" ht="23.1" customHeight="1">
      <c r="A6" s="169" t="s">
        <v>228</v>
      </c>
      <c r="B6" s="222">
        <v>11.89</v>
      </c>
      <c r="C6" s="222">
        <v>25.37</v>
      </c>
      <c r="D6" s="253">
        <v>13.572433775680697</v>
      </c>
      <c r="E6" s="253">
        <v>11.797566224319304</v>
      </c>
      <c r="F6" s="253">
        <v>13.48</v>
      </c>
      <c r="G6" s="222">
        <v>200</v>
      </c>
      <c r="H6" s="222">
        <v>0.1</v>
      </c>
      <c r="I6" s="222">
        <v>500</v>
      </c>
      <c r="J6" s="222">
        <v>30</v>
      </c>
      <c r="K6" s="222">
        <v>55</v>
      </c>
      <c r="L6" s="253">
        <v>1.3455826890221456</v>
      </c>
      <c r="M6" s="222">
        <v>5</v>
      </c>
      <c r="N6" s="222">
        <v>470</v>
      </c>
      <c r="O6" s="251">
        <v>2.859</v>
      </c>
      <c r="P6" s="251">
        <v>1.8819999999999999</v>
      </c>
      <c r="Q6" s="251">
        <v>2.3704999999999998</v>
      </c>
      <c r="R6" s="222">
        <v>0.1012</v>
      </c>
      <c r="S6" s="254">
        <v>2.7480000000000001E-4</v>
      </c>
      <c r="T6" s="251">
        <v>5.0400000000000002E-3</v>
      </c>
      <c r="U6" s="222">
        <v>0.54159999999999997</v>
      </c>
      <c r="V6" s="252">
        <v>28.3</v>
      </c>
      <c r="W6" s="252">
        <v>34.700000000000003</v>
      </c>
      <c r="X6" s="252">
        <v>102.5</v>
      </c>
      <c r="Y6" s="222">
        <v>-2.9542000000000002</v>
      </c>
      <c r="Z6" s="251">
        <v>1.919</v>
      </c>
      <c r="AA6" s="222">
        <v>63</v>
      </c>
      <c r="AB6" s="222">
        <v>56.21</v>
      </c>
      <c r="AC6" s="222">
        <v>34</v>
      </c>
      <c r="AD6" s="222">
        <v>5.64</v>
      </c>
      <c r="AE6" s="222">
        <v>11.99</v>
      </c>
      <c r="AF6" s="222">
        <v>1.1566E-3</v>
      </c>
      <c r="AG6" s="222">
        <v>0.1440215</v>
      </c>
      <c r="AH6" s="500">
        <v>0.88888888888888884</v>
      </c>
      <c r="AI6" s="222">
        <v>1.855</v>
      </c>
      <c r="AJ6" s="222">
        <v>5.0000000000000001E-4</v>
      </c>
      <c r="AK6" s="222" t="s">
        <v>285</v>
      </c>
      <c r="AL6" s="222">
        <v>4.9185999999999996</v>
      </c>
      <c r="AM6" s="222">
        <v>4.9223999999999997</v>
      </c>
      <c r="AN6" s="246">
        <v>1.4227000000000001</v>
      </c>
    </row>
    <row r="7" spans="1:40" ht="23.1" customHeight="1">
      <c r="A7" s="169" t="s">
        <v>229</v>
      </c>
      <c r="B7" s="222">
        <v>11.75</v>
      </c>
      <c r="C7" s="222">
        <v>25.52</v>
      </c>
      <c r="D7" s="253">
        <v>13.439611232529069</v>
      </c>
      <c r="E7" s="253">
        <v>12.08038876747093</v>
      </c>
      <c r="F7" s="253">
        <v>13.77</v>
      </c>
      <c r="G7" s="222">
        <v>200</v>
      </c>
      <c r="H7" s="222">
        <v>0.1</v>
      </c>
      <c r="I7" s="222">
        <v>500</v>
      </c>
      <c r="J7" s="222">
        <v>30</v>
      </c>
      <c r="K7" s="222">
        <v>54</v>
      </c>
      <c r="L7" s="253">
        <v>1.3514598577653809</v>
      </c>
      <c r="M7" s="222">
        <v>5</v>
      </c>
      <c r="N7" s="222">
        <v>470</v>
      </c>
      <c r="O7" s="251">
        <v>2.738</v>
      </c>
      <c r="P7" s="251">
        <v>2.1669999999999998</v>
      </c>
      <c r="Q7" s="251">
        <v>2.4524999999999997</v>
      </c>
      <c r="R7" s="222">
        <v>0.1002</v>
      </c>
      <c r="S7" s="254">
        <v>2.789E-4</v>
      </c>
      <c r="T7" s="251">
        <v>5.2100000000000002E-3</v>
      </c>
      <c r="U7" s="222">
        <v>0.54159999999999997</v>
      </c>
      <c r="V7" s="252">
        <v>28.9</v>
      </c>
      <c r="W7" s="252">
        <v>35.4</v>
      </c>
      <c r="X7" s="252">
        <v>103.5</v>
      </c>
      <c r="Y7" s="222">
        <v>-2.9416000000000002</v>
      </c>
      <c r="Z7" s="251">
        <v>1.895</v>
      </c>
      <c r="AA7" s="222">
        <v>62</v>
      </c>
      <c r="AB7" s="222">
        <v>56.23</v>
      </c>
      <c r="AC7" s="222">
        <v>34</v>
      </c>
      <c r="AD7" s="222">
        <v>5.76</v>
      </c>
      <c r="AE7" s="222">
        <v>12.25</v>
      </c>
      <c r="AF7" s="222">
        <v>9.881E-4</v>
      </c>
      <c r="AG7" s="222">
        <v>0.1357246</v>
      </c>
      <c r="AH7" s="500">
        <v>0.90322580645161288</v>
      </c>
      <c r="AI7" s="222">
        <v>1.855</v>
      </c>
      <c r="AJ7" s="222">
        <v>5.0000000000000001E-4</v>
      </c>
      <c r="AK7" s="222" t="s">
        <v>285</v>
      </c>
      <c r="AL7" s="222">
        <v>5.4181999999999997</v>
      </c>
      <c r="AM7" s="222">
        <v>5.4222000000000001</v>
      </c>
      <c r="AN7" s="246">
        <v>1.4156</v>
      </c>
    </row>
    <row r="8" spans="1:40" ht="23.1" customHeight="1">
      <c r="A8" s="169" t="s">
        <v>354</v>
      </c>
      <c r="B8" s="222">
        <v>12.54</v>
      </c>
      <c r="C8" s="222">
        <v>24.45</v>
      </c>
      <c r="D8" s="253">
        <v>14.181278771427989</v>
      </c>
      <c r="E8" s="253">
        <v>10.26872122857201</v>
      </c>
      <c r="F8" s="253">
        <v>11.91</v>
      </c>
      <c r="G8" s="222">
        <v>200</v>
      </c>
      <c r="H8" s="222">
        <v>0.1</v>
      </c>
      <c r="I8" s="222">
        <v>500</v>
      </c>
      <c r="J8" s="222">
        <v>30</v>
      </c>
      <c r="K8" s="222">
        <v>52</v>
      </c>
      <c r="L8" s="253">
        <v>1.1463010777523692</v>
      </c>
      <c r="M8" s="222">
        <v>5</v>
      </c>
      <c r="N8" s="222">
        <v>470</v>
      </c>
      <c r="O8" s="251">
        <v>3.0750000000000002</v>
      </c>
      <c r="P8" s="251">
        <v>1.9790000000000001</v>
      </c>
      <c r="Q8" s="251">
        <v>2.5270000000000001</v>
      </c>
      <c r="R8" s="222">
        <v>0.10390000000000001</v>
      </c>
      <c r="S8" s="254">
        <v>2.5530000000000003E-4</v>
      </c>
      <c r="T8" s="251">
        <v>5.3699999999999998E-3</v>
      </c>
      <c r="U8" s="222">
        <v>0.54159999999999997</v>
      </c>
      <c r="V8" s="252">
        <v>28.5</v>
      </c>
      <c r="W8" s="252">
        <v>34.9</v>
      </c>
      <c r="X8" s="252">
        <v>109.8</v>
      </c>
      <c r="Y8" s="222">
        <v>-3.0042</v>
      </c>
      <c r="Z8" s="251">
        <v>2.0169999999999999</v>
      </c>
      <c r="AA8" s="222">
        <v>59</v>
      </c>
      <c r="AB8" s="222">
        <v>52.92</v>
      </c>
      <c r="AC8" s="222">
        <v>32</v>
      </c>
      <c r="AD8" s="222">
        <v>4.9800000000000004</v>
      </c>
      <c r="AE8" s="222">
        <v>10.59</v>
      </c>
      <c r="AF8" s="222">
        <v>8.7969999999999997E-4</v>
      </c>
      <c r="AG8" s="222">
        <v>0.12663079999999999</v>
      </c>
      <c r="AH8" s="500">
        <v>0.88135593220338981</v>
      </c>
      <c r="AI8" s="222">
        <v>1.855</v>
      </c>
      <c r="AJ8" s="222">
        <v>5.0000000000000001E-4</v>
      </c>
      <c r="AK8" s="222" t="s">
        <v>285</v>
      </c>
      <c r="AL8" s="222">
        <v>6.0244</v>
      </c>
      <c r="AM8" s="222">
        <v>6.0284000000000004</v>
      </c>
      <c r="AN8" s="246">
        <v>1.4415</v>
      </c>
    </row>
    <row r="9" spans="1:40" ht="23.1" customHeight="1">
      <c r="A9" s="169" t="s">
        <v>355</v>
      </c>
      <c r="B9" s="222">
        <v>11.7</v>
      </c>
      <c r="C9" s="222">
        <v>25.37</v>
      </c>
      <c r="D9" s="253">
        <v>13.387150025816638</v>
      </c>
      <c r="E9" s="253">
        <v>11.982849974183363</v>
      </c>
      <c r="F9" s="253">
        <v>13.670000000000002</v>
      </c>
      <c r="G9" s="222">
        <v>200</v>
      </c>
      <c r="H9" s="222">
        <v>0.1</v>
      </c>
      <c r="I9" s="222">
        <v>500</v>
      </c>
      <c r="J9" s="222">
        <v>30</v>
      </c>
      <c r="K9" s="222">
        <v>56</v>
      </c>
      <c r="L9" s="253">
        <v>1.3637777401133182</v>
      </c>
      <c r="M9" s="222">
        <v>5</v>
      </c>
      <c r="N9" s="222">
        <v>470</v>
      </c>
      <c r="O9" s="251">
        <v>2.87</v>
      </c>
      <c r="P9" s="251">
        <v>2.8029999999999999</v>
      </c>
      <c r="Q9" s="251">
        <v>2.8365</v>
      </c>
      <c r="R9" s="222">
        <v>0.1018</v>
      </c>
      <c r="S9" s="254">
        <v>2.7520000000000002E-4</v>
      </c>
      <c r="T9" s="251">
        <v>6.0299999999999998E-3</v>
      </c>
      <c r="U9" s="222">
        <v>0.54159999999999997</v>
      </c>
      <c r="V9" s="252">
        <v>31.2</v>
      </c>
      <c r="W9" s="252">
        <v>38.200000000000003</v>
      </c>
      <c r="X9" s="252">
        <v>112.1</v>
      </c>
      <c r="Y9" s="222">
        <v>-2.9565000000000001</v>
      </c>
      <c r="Z9" s="251">
        <v>1.923</v>
      </c>
      <c r="AA9" s="222">
        <v>64</v>
      </c>
      <c r="AB9" s="222">
        <v>57.87</v>
      </c>
      <c r="AC9" s="222">
        <v>35</v>
      </c>
      <c r="AD9" s="222">
        <v>5.72</v>
      </c>
      <c r="AE9" s="222">
        <v>12.16</v>
      </c>
      <c r="AF9" s="222">
        <v>8.8219999999999998E-4</v>
      </c>
      <c r="AG9" s="222">
        <v>0.13301689999999999</v>
      </c>
      <c r="AH9" s="500">
        <v>0.890625</v>
      </c>
      <c r="AI9" s="222">
        <v>1.855</v>
      </c>
      <c r="AJ9" s="222">
        <v>5.0000000000000001E-4</v>
      </c>
      <c r="AK9" s="222" t="s">
        <v>285</v>
      </c>
      <c r="AL9" s="222">
        <v>5.5919999999999996</v>
      </c>
      <c r="AM9" s="222">
        <v>5.5960000000000001</v>
      </c>
      <c r="AN9" s="246">
        <v>1.4269000000000001</v>
      </c>
    </row>
    <row r="10" spans="1:40" ht="23.1" customHeight="1">
      <c r="A10" s="169" t="s">
        <v>356</v>
      </c>
      <c r="B10" s="222">
        <v>12.3</v>
      </c>
      <c r="C10" s="222">
        <v>24.24</v>
      </c>
      <c r="D10" s="253">
        <v>13.942104780286888</v>
      </c>
      <c r="E10" s="253">
        <v>10.29789521971311</v>
      </c>
      <c r="F10" s="253">
        <v>11.939999999999998</v>
      </c>
      <c r="G10" s="222">
        <v>200</v>
      </c>
      <c r="H10" s="222">
        <v>0.1</v>
      </c>
      <c r="I10" s="222">
        <v>500</v>
      </c>
      <c r="J10" s="222">
        <v>30</v>
      </c>
      <c r="K10" s="222">
        <v>51</v>
      </c>
      <c r="L10" s="253">
        <v>1.2255349733297856</v>
      </c>
      <c r="M10" s="222">
        <v>5</v>
      </c>
      <c r="N10" s="222">
        <v>470</v>
      </c>
      <c r="O10" s="251">
        <v>3.0059999999999998</v>
      </c>
      <c r="P10" s="251">
        <v>2.6789999999999998</v>
      </c>
      <c r="Q10" s="251">
        <v>2.8424999999999998</v>
      </c>
      <c r="R10" s="222">
        <v>0.1024</v>
      </c>
      <c r="S10" s="254">
        <v>2.7250000000000001E-4</v>
      </c>
      <c r="T10" s="251">
        <v>6.0400000000000002E-3</v>
      </c>
      <c r="U10" s="222">
        <v>0.54159999999999997</v>
      </c>
      <c r="V10" s="252">
        <v>29.3</v>
      </c>
      <c r="W10" s="252">
        <v>35.9</v>
      </c>
      <c r="X10" s="252">
        <v>112.7</v>
      </c>
      <c r="Y10" s="222">
        <v>-2.9649000000000001</v>
      </c>
      <c r="Z10" s="251">
        <v>1.9390000000000001</v>
      </c>
      <c r="AA10" s="222">
        <v>58</v>
      </c>
      <c r="AB10" s="222">
        <v>51.29</v>
      </c>
      <c r="AC10" s="222">
        <v>31</v>
      </c>
      <c r="AD10" s="222">
        <v>4.99</v>
      </c>
      <c r="AE10" s="222">
        <v>10.62</v>
      </c>
      <c r="AF10" s="222">
        <v>8.2600000000000002E-4</v>
      </c>
      <c r="AG10" s="222">
        <v>0.1336408</v>
      </c>
      <c r="AH10" s="500">
        <v>0.87931034482758619</v>
      </c>
      <c r="AI10" s="222">
        <v>1.855</v>
      </c>
      <c r="AJ10" s="222">
        <v>5.0000000000000001E-4</v>
      </c>
      <c r="AK10" s="222" t="s">
        <v>285</v>
      </c>
      <c r="AL10" s="222">
        <v>5.5514999999999999</v>
      </c>
      <c r="AM10" s="222">
        <v>5.5555000000000003</v>
      </c>
      <c r="AN10" s="246">
        <v>1.4311</v>
      </c>
    </row>
    <row r="11" spans="1:40" ht="23.1" customHeight="1">
      <c r="A11" s="169" t="s">
        <v>642</v>
      </c>
      <c r="B11" s="222">
        <v>11.48</v>
      </c>
      <c r="C11" s="222">
        <v>25.45</v>
      </c>
      <c r="D11" s="253">
        <v>13.174491057450327</v>
      </c>
      <c r="E11" s="253">
        <v>12.275508942549672</v>
      </c>
      <c r="F11" s="253">
        <v>13.969999999999999</v>
      </c>
      <c r="G11" s="222">
        <v>200</v>
      </c>
      <c r="H11" s="222">
        <v>0.1</v>
      </c>
      <c r="I11" s="222">
        <v>500</v>
      </c>
      <c r="J11" s="222">
        <v>30</v>
      </c>
      <c r="K11" s="222">
        <v>50</v>
      </c>
      <c r="L11" s="253">
        <v>1.3208877685237106</v>
      </c>
      <c r="M11" s="222">
        <v>5</v>
      </c>
      <c r="N11" s="222">
        <v>470</v>
      </c>
      <c r="O11" s="251">
        <v>2.4790000000000001</v>
      </c>
      <c r="P11" s="251">
        <v>1.663</v>
      </c>
      <c r="Q11" s="251">
        <v>2.0710000000000002</v>
      </c>
      <c r="R11" s="222">
        <v>9.7239999999999993E-2</v>
      </c>
      <c r="S11" s="254">
        <v>2.878E-4</v>
      </c>
      <c r="T11" s="251">
        <v>4.4000000000000003E-3</v>
      </c>
      <c r="U11" s="222">
        <v>0.54159999999999997</v>
      </c>
      <c r="V11" s="252">
        <v>26.3</v>
      </c>
      <c r="W11" s="252">
        <v>32.299999999999997</v>
      </c>
      <c r="X11" s="252">
        <v>93.6</v>
      </c>
      <c r="Y11" s="222">
        <v>-2.911</v>
      </c>
      <c r="Z11" s="251">
        <v>1.8380000000000001</v>
      </c>
      <c r="AA11" s="222">
        <v>57</v>
      </c>
      <c r="AB11" s="222">
        <v>51.29</v>
      </c>
      <c r="AC11" s="222">
        <v>31</v>
      </c>
      <c r="AD11" s="222">
        <v>5.84</v>
      </c>
      <c r="AE11" s="222">
        <v>12.43</v>
      </c>
      <c r="AF11" s="222">
        <v>1.0855999999999999E-3</v>
      </c>
      <c r="AG11" s="222">
        <v>0.15543119999999999</v>
      </c>
      <c r="AH11" s="500">
        <v>0.89473684210526316</v>
      </c>
      <c r="AI11" s="222">
        <v>1.855</v>
      </c>
      <c r="AJ11" s="222">
        <v>5.0000000000000001E-4</v>
      </c>
      <c r="AK11" s="222" t="s">
        <v>285</v>
      </c>
      <c r="AL11" s="222">
        <v>4.3059000000000003</v>
      </c>
      <c r="AM11" s="222">
        <v>4.3094000000000001</v>
      </c>
      <c r="AN11" s="246">
        <v>1.3946000000000001</v>
      </c>
    </row>
    <row r="12" spans="1:40" ht="23.1" customHeight="1">
      <c r="A12" s="169" t="s">
        <v>643</v>
      </c>
      <c r="B12" s="222">
        <v>11.75</v>
      </c>
      <c r="C12" s="222">
        <v>26.1</v>
      </c>
      <c r="D12" s="253">
        <v>13.453610782756019</v>
      </c>
      <c r="E12" s="253">
        <v>12.646389217243982</v>
      </c>
      <c r="F12" s="253">
        <v>14.350000000000001</v>
      </c>
      <c r="G12" s="222">
        <v>200</v>
      </c>
      <c r="H12" s="222">
        <v>0.1</v>
      </c>
      <c r="I12" s="222">
        <v>410</v>
      </c>
      <c r="J12" s="222">
        <v>30</v>
      </c>
      <c r="K12" s="222">
        <v>59</v>
      </c>
      <c r="L12" s="253">
        <v>1.430765427372948</v>
      </c>
      <c r="M12" s="222">
        <v>5</v>
      </c>
      <c r="N12" s="222">
        <v>380</v>
      </c>
      <c r="O12" s="251">
        <v>2.883</v>
      </c>
      <c r="P12" s="251">
        <v>2.4809999999999999</v>
      </c>
      <c r="Q12" s="251">
        <v>2.6819999999999999</v>
      </c>
      <c r="R12" s="222">
        <v>0.1016</v>
      </c>
      <c r="S12" s="254">
        <v>2.7349999999999998E-4</v>
      </c>
      <c r="T12" s="251">
        <v>7.0499999999999998E-3</v>
      </c>
      <c r="U12" s="222">
        <v>0.54159999999999997</v>
      </c>
      <c r="V12" s="252">
        <v>34.700000000000003</v>
      </c>
      <c r="W12" s="252">
        <v>42.5</v>
      </c>
      <c r="X12" s="252">
        <v>109.3</v>
      </c>
      <c r="Y12" s="222">
        <v>-2.9586000000000001</v>
      </c>
      <c r="Z12" s="251">
        <v>1.927</v>
      </c>
      <c r="AA12" s="222">
        <v>67</v>
      </c>
      <c r="AB12" s="222">
        <v>59.57</v>
      </c>
      <c r="AC12" s="222">
        <v>36</v>
      </c>
      <c r="AD12" s="222">
        <v>6</v>
      </c>
      <c r="AE12" s="222">
        <v>12.77</v>
      </c>
      <c r="AF12" s="222">
        <v>7.6729999999999995E-4</v>
      </c>
      <c r="AG12" s="222">
        <v>0.13789190000000001</v>
      </c>
      <c r="AH12" s="500">
        <v>0.88059701492537312</v>
      </c>
      <c r="AI12" s="222">
        <v>1.855</v>
      </c>
      <c r="AJ12" s="222">
        <v>5.0000000000000001E-4</v>
      </c>
      <c r="AK12" s="222" t="s">
        <v>285</v>
      </c>
      <c r="AL12" s="222">
        <v>5.2830000000000004</v>
      </c>
      <c r="AM12" s="222">
        <v>5.2869000000000002</v>
      </c>
      <c r="AN12" s="246">
        <v>1.4255</v>
      </c>
    </row>
    <row r="13" spans="1:40" ht="23.1" customHeight="1">
      <c r="A13" s="169" t="s">
        <v>644</v>
      </c>
      <c r="B13" s="222">
        <v>11.32</v>
      </c>
      <c r="C13" s="222">
        <v>25.42</v>
      </c>
      <c r="D13" s="253">
        <v>12.969355191161402</v>
      </c>
      <c r="E13" s="253">
        <v>12.4506448088386</v>
      </c>
      <c r="F13" s="253">
        <v>14.100000000000001</v>
      </c>
      <c r="G13" s="222">
        <v>200</v>
      </c>
      <c r="H13" s="222">
        <v>0.1</v>
      </c>
      <c r="I13" s="222">
        <v>410</v>
      </c>
      <c r="J13" s="222">
        <v>30</v>
      </c>
      <c r="K13" s="222">
        <v>54</v>
      </c>
      <c r="L13" s="253">
        <v>0.39232794237853885</v>
      </c>
      <c r="M13" s="222">
        <v>5</v>
      </c>
      <c r="N13" s="222">
        <v>380</v>
      </c>
      <c r="O13" s="251">
        <v>2.883</v>
      </c>
      <c r="P13" s="251">
        <v>2.645</v>
      </c>
      <c r="Q13" s="251">
        <v>2.7640000000000002</v>
      </c>
      <c r="R13" s="222">
        <v>0.1613</v>
      </c>
      <c r="S13" s="254">
        <v>2.7720000000000002E-4</v>
      </c>
      <c r="T13" s="251">
        <v>7.2700000000000004E-3</v>
      </c>
      <c r="U13" s="222">
        <v>0.54159999999999997</v>
      </c>
      <c r="V13" s="252">
        <v>34.700000000000003</v>
      </c>
      <c r="W13" s="252">
        <v>42.5</v>
      </c>
      <c r="X13" s="252">
        <v>110.2</v>
      </c>
      <c r="Y13" s="222">
        <v>-3.2663000000000002</v>
      </c>
      <c r="Z13" s="251">
        <v>2.621</v>
      </c>
      <c r="AA13" s="222">
        <v>62</v>
      </c>
      <c r="AB13" s="222">
        <v>56.27</v>
      </c>
      <c r="AC13" s="222">
        <v>34</v>
      </c>
      <c r="AD13" s="222">
        <v>5.89</v>
      </c>
      <c r="AE13" s="222">
        <v>12.54</v>
      </c>
      <c r="AF13" s="222">
        <v>1.0380999999999999E-3</v>
      </c>
      <c r="AG13" s="222">
        <v>0.13712340000000001</v>
      </c>
      <c r="AH13" s="500">
        <v>0.90322580645161288</v>
      </c>
      <c r="AI13" s="222">
        <v>1.855</v>
      </c>
      <c r="AJ13" s="222">
        <v>5.0000000000000001E-4</v>
      </c>
      <c r="AK13" s="222" t="s">
        <v>285</v>
      </c>
      <c r="AL13" s="222">
        <v>5.3305999999999996</v>
      </c>
      <c r="AM13" s="222">
        <v>5.3345000000000002</v>
      </c>
      <c r="AN13" s="246">
        <v>1.7961</v>
      </c>
    </row>
    <row r="14" spans="1:40" ht="23.1" customHeight="1">
      <c r="A14" s="169"/>
      <c r="B14" s="222"/>
      <c r="C14" s="222"/>
      <c r="D14" s="253"/>
      <c r="E14" s="253"/>
      <c r="F14" s="253"/>
      <c r="G14" s="222"/>
      <c r="H14" s="222"/>
      <c r="I14" s="222"/>
      <c r="J14" s="222"/>
      <c r="K14" s="222"/>
      <c r="L14" s="253"/>
      <c r="M14" s="222"/>
      <c r="N14" s="222"/>
      <c r="O14" s="251"/>
      <c r="P14" s="251"/>
      <c r="Q14" s="251"/>
      <c r="R14" s="222"/>
      <c r="S14" s="254"/>
      <c r="T14" s="251"/>
      <c r="U14" s="222"/>
      <c r="V14" s="252"/>
      <c r="W14" s="252"/>
      <c r="X14" s="252"/>
      <c r="Y14" s="222"/>
      <c r="Z14" s="251"/>
      <c r="AA14" s="222"/>
      <c r="AB14" s="222"/>
      <c r="AC14" s="222"/>
      <c r="AD14" s="222"/>
      <c r="AE14" s="222"/>
      <c r="AF14" s="222"/>
      <c r="AG14" s="222"/>
      <c r="AH14" s="500"/>
      <c r="AI14" s="222"/>
      <c r="AJ14" s="222"/>
      <c r="AK14" s="222"/>
      <c r="AL14" s="222"/>
      <c r="AM14" s="222"/>
      <c r="AN14" s="246"/>
    </row>
    <row r="15" spans="1:40" ht="23.1" customHeight="1">
      <c r="A15" s="169"/>
      <c r="B15" s="222"/>
      <c r="C15" s="222"/>
      <c r="D15" s="253"/>
      <c r="E15" s="253"/>
      <c r="F15" s="253"/>
      <c r="G15" s="222"/>
      <c r="H15" s="222"/>
      <c r="I15" s="222"/>
      <c r="J15" s="222"/>
      <c r="K15" s="222"/>
      <c r="L15" s="253"/>
      <c r="M15" s="222"/>
      <c r="N15" s="222"/>
      <c r="O15" s="251"/>
      <c r="P15" s="251"/>
      <c r="Q15" s="251"/>
      <c r="R15" s="222"/>
      <c r="S15" s="254"/>
      <c r="T15" s="251"/>
      <c r="U15" s="222"/>
      <c r="V15" s="252"/>
      <c r="W15" s="252"/>
      <c r="X15" s="252"/>
      <c r="Y15" s="222"/>
      <c r="Z15" s="251"/>
      <c r="AA15" s="222"/>
      <c r="AB15" s="222"/>
      <c r="AC15" s="222"/>
      <c r="AD15" s="222"/>
      <c r="AE15" s="222"/>
      <c r="AF15" s="222"/>
      <c r="AG15" s="222"/>
      <c r="AH15" s="500"/>
      <c r="AI15" s="222"/>
      <c r="AJ15" s="222"/>
      <c r="AK15" s="222"/>
      <c r="AL15" s="222"/>
      <c r="AM15" s="222"/>
      <c r="AN15" s="246"/>
    </row>
    <row r="16" spans="1:40" ht="23.1" customHeight="1">
      <c r="A16" s="169"/>
      <c r="B16" s="222"/>
      <c r="C16" s="222"/>
      <c r="D16" s="253"/>
      <c r="E16" s="253"/>
      <c r="F16" s="253"/>
      <c r="G16" s="222"/>
      <c r="H16" s="222"/>
      <c r="I16" s="222"/>
      <c r="J16" s="222"/>
      <c r="K16" s="222"/>
      <c r="L16" s="253"/>
      <c r="M16" s="222"/>
      <c r="N16" s="222"/>
      <c r="O16" s="251"/>
      <c r="P16" s="251"/>
      <c r="Q16" s="251"/>
      <c r="R16" s="222"/>
      <c r="S16" s="254"/>
      <c r="T16" s="251"/>
      <c r="U16" s="222"/>
      <c r="V16" s="252"/>
      <c r="W16" s="252"/>
      <c r="X16" s="252"/>
      <c r="Y16" s="222"/>
      <c r="Z16" s="251"/>
      <c r="AA16" s="222"/>
      <c r="AB16" s="222"/>
      <c r="AC16" s="222"/>
      <c r="AD16" s="222"/>
      <c r="AE16" s="222"/>
      <c r="AF16" s="222"/>
      <c r="AG16" s="222"/>
      <c r="AH16" s="500"/>
      <c r="AI16" s="222"/>
      <c r="AJ16" s="222"/>
      <c r="AK16" s="222"/>
      <c r="AL16" s="222"/>
      <c r="AM16" s="222"/>
      <c r="AN16" s="246"/>
    </row>
    <row r="17" spans="1:40" ht="23.1" customHeight="1">
      <c r="A17" s="169"/>
      <c r="B17" s="222"/>
      <c r="C17" s="222"/>
      <c r="D17" s="253"/>
      <c r="E17" s="253"/>
      <c r="F17" s="253"/>
      <c r="G17" s="222"/>
      <c r="H17" s="222"/>
      <c r="I17" s="222"/>
      <c r="J17" s="222"/>
      <c r="K17" s="222"/>
      <c r="L17" s="253"/>
      <c r="M17" s="222"/>
      <c r="N17" s="222"/>
      <c r="O17" s="251"/>
      <c r="P17" s="251"/>
      <c r="Q17" s="251"/>
      <c r="R17" s="222"/>
      <c r="S17" s="254"/>
      <c r="T17" s="251"/>
      <c r="U17" s="222"/>
      <c r="V17" s="252"/>
      <c r="W17" s="252"/>
      <c r="X17" s="252"/>
      <c r="Y17" s="222"/>
      <c r="Z17" s="251"/>
      <c r="AA17" s="222"/>
      <c r="AB17" s="222"/>
      <c r="AC17" s="222"/>
      <c r="AD17" s="222"/>
      <c r="AE17" s="222"/>
      <c r="AF17" s="222"/>
      <c r="AG17" s="222"/>
      <c r="AH17" s="500"/>
      <c r="AI17" s="222"/>
      <c r="AJ17" s="222"/>
      <c r="AK17" s="222"/>
      <c r="AL17" s="222"/>
      <c r="AM17" s="222"/>
      <c r="AN17" s="246"/>
    </row>
    <row r="18" spans="1:40" ht="23.1" customHeight="1">
      <c r="A18" s="169"/>
      <c r="B18" s="222"/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  <c r="AD18" s="222"/>
      <c r="AE18" s="222"/>
      <c r="AF18" s="222"/>
      <c r="AG18" s="222"/>
      <c r="AH18" s="222"/>
      <c r="AI18" s="222"/>
      <c r="AJ18" s="222"/>
      <c r="AK18" s="222"/>
      <c r="AL18" s="222"/>
      <c r="AM18" s="222"/>
      <c r="AN18" s="246"/>
    </row>
    <row r="19" spans="1:40" ht="23.1" customHeight="1" thickBot="1">
      <c r="A19" s="170"/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  <c r="AI19" s="223"/>
      <c r="AJ19" s="223"/>
      <c r="AK19" s="223"/>
      <c r="AL19" s="223"/>
      <c r="AM19" s="223"/>
      <c r="AN19" s="247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20" sqref="F19:F20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0"/>
    </row>
    <row r="5" spans="1:12" ht="20.100000000000001" customHeight="1" thickBot="1"/>
    <row r="6" spans="1:12" ht="20.100000000000001" customHeight="1">
      <c r="D6" s="391" t="s">
        <v>278</v>
      </c>
      <c r="E6" s="392" t="s">
        <v>364</v>
      </c>
      <c r="F6" s="392"/>
      <c r="G6" s="392" t="s">
        <v>365</v>
      </c>
      <c r="H6" s="392"/>
      <c r="I6" s="392" t="s">
        <v>366</v>
      </c>
      <c r="J6" s="392"/>
      <c r="K6" s="392" t="s">
        <v>367</v>
      </c>
      <c r="L6" s="393"/>
    </row>
    <row r="7" spans="1:12" ht="20.100000000000001" customHeight="1">
      <c r="D7" s="394" t="s">
        <v>368</v>
      </c>
      <c r="E7" s="395">
        <v>42</v>
      </c>
      <c r="F7" s="395">
        <v>130.63</v>
      </c>
      <c r="G7" s="395">
        <v>23</v>
      </c>
      <c r="H7" s="395">
        <v>41.32</v>
      </c>
      <c r="I7" s="395">
        <v>19</v>
      </c>
      <c r="J7" s="395">
        <v>89.309999999999988</v>
      </c>
      <c r="K7" s="395">
        <v>0</v>
      </c>
      <c r="L7" s="396">
        <v>0</v>
      </c>
    </row>
    <row r="8" spans="1:12" ht="20.100000000000001" customHeight="1" thickBot="1">
      <c r="D8" s="397" t="s">
        <v>369</v>
      </c>
      <c r="E8" s="398">
        <v>13</v>
      </c>
      <c r="F8" s="398">
        <v>24.810000000000002</v>
      </c>
      <c r="G8" s="398">
        <v>10</v>
      </c>
      <c r="H8" s="398">
        <v>11.130000000000003</v>
      </c>
      <c r="I8" s="398">
        <v>3</v>
      </c>
      <c r="J8" s="398">
        <v>13.68</v>
      </c>
      <c r="K8" s="398">
        <v>0</v>
      </c>
      <c r="L8" s="39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L12" sqref="L12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702</v>
      </c>
      <c r="F1" s="32"/>
      <c r="J1" s="60"/>
    </row>
    <row r="2" spans="1:18" s="67" customFormat="1" ht="23.1" customHeight="1">
      <c r="A2" s="601" t="s">
        <v>0</v>
      </c>
      <c r="B2" s="603" t="s">
        <v>39</v>
      </c>
      <c r="C2" s="603" t="s">
        <v>6</v>
      </c>
      <c r="D2" s="603" t="s">
        <v>38</v>
      </c>
      <c r="E2" s="603" t="s">
        <v>202</v>
      </c>
      <c r="F2" s="603" t="s">
        <v>201</v>
      </c>
      <c r="G2" s="607" t="s">
        <v>1</v>
      </c>
      <c r="H2" s="607" t="s">
        <v>2</v>
      </c>
      <c r="I2" s="607" t="s">
        <v>170</v>
      </c>
      <c r="J2" s="611" t="s">
        <v>272</v>
      </c>
      <c r="K2" s="607" t="s">
        <v>271</v>
      </c>
      <c r="L2" s="607" t="s">
        <v>3</v>
      </c>
      <c r="M2" s="607" t="s">
        <v>4</v>
      </c>
      <c r="N2" s="607" t="s">
        <v>5</v>
      </c>
      <c r="O2" s="607" t="s">
        <v>270</v>
      </c>
      <c r="P2" s="609" t="s">
        <v>269</v>
      </c>
      <c r="Q2" s="603" t="s">
        <v>157</v>
      </c>
      <c r="R2" s="605" t="s">
        <v>91</v>
      </c>
    </row>
    <row r="3" spans="1:18" s="67" customFormat="1" ht="27" customHeight="1">
      <c r="A3" s="602"/>
      <c r="B3" s="604"/>
      <c r="C3" s="604"/>
      <c r="D3" s="604"/>
      <c r="E3" s="604"/>
      <c r="F3" s="604"/>
      <c r="G3" s="608"/>
      <c r="H3" s="608"/>
      <c r="I3" s="608"/>
      <c r="J3" s="612"/>
      <c r="K3" s="608"/>
      <c r="L3" s="608"/>
      <c r="M3" s="608"/>
      <c r="N3" s="608"/>
      <c r="O3" s="608"/>
      <c r="P3" s="610"/>
      <c r="Q3" s="604"/>
      <c r="R3" s="606"/>
    </row>
    <row r="4" spans="1:18" ht="23.1" customHeight="1" thickBot="1">
      <c r="A4" s="587" t="s">
        <v>358</v>
      </c>
      <c r="B4" s="588" t="s">
        <v>696</v>
      </c>
      <c r="C4" s="589"/>
      <c r="D4" s="588" t="s">
        <v>698</v>
      </c>
      <c r="E4" s="588" t="str">
        <f>Recharge!$I$24</f>
        <v>금강서해/금강서해</v>
      </c>
      <c r="F4" s="588" t="str">
        <f>All!$B$2</f>
        <v>보령기상청</v>
      </c>
      <c r="G4" s="588">
        <v>200</v>
      </c>
      <c r="H4" s="588">
        <v>500</v>
      </c>
      <c r="I4" s="588">
        <v>15</v>
      </c>
      <c r="J4" s="588">
        <v>53</v>
      </c>
      <c r="K4" s="588">
        <v>372</v>
      </c>
      <c r="L4" s="588">
        <v>5</v>
      </c>
      <c r="M4" s="588">
        <v>50</v>
      </c>
      <c r="N4" s="590">
        <v>50</v>
      </c>
      <c r="O4" s="591">
        <f>ROUND(water!$F$7, 1)</f>
        <v>130.6</v>
      </c>
      <c r="P4" s="592">
        <v>3778182</v>
      </c>
      <c r="Q4" s="588"/>
      <c r="R4" s="593"/>
    </row>
    <row r="5" spans="1:18" ht="23.25" customHeight="1" thickBot="1">
      <c r="A5" s="141"/>
      <c r="J5" s="171"/>
      <c r="P5" s="172"/>
    </row>
    <row r="6" spans="1:18" ht="23.25" customHeight="1" thickBot="1">
      <c r="I6" s="505">
        <f>SUM(I4:I5)</f>
        <v>15</v>
      </c>
    </row>
    <row r="10" spans="1:18">
      <c r="Q10" s="30" t="s">
        <v>120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G15" sqref="G15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231</v>
      </c>
    </row>
    <row r="2" spans="7:19" ht="29.25" customHeight="1">
      <c r="G2" s="225" t="s">
        <v>207</v>
      </c>
      <c r="H2" s="226" t="s">
        <v>204</v>
      </c>
      <c r="I2" s="227" t="s">
        <v>213</v>
      </c>
      <c r="J2" s="226" t="s">
        <v>205</v>
      </c>
      <c r="K2" s="228" t="s">
        <v>206</v>
      </c>
      <c r="M2" s="231"/>
      <c r="N2" s="232" t="s">
        <v>211</v>
      </c>
      <c r="O2" s="228" t="s">
        <v>212</v>
      </c>
      <c r="Q2" s="225" t="s">
        <v>207</v>
      </c>
      <c r="R2" s="232" t="s">
        <v>215</v>
      </c>
      <c r="S2" s="228" t="s">
        <v>216</v>
      </c>
    </row>
    <row r="3" spans="7:19" ht="20.100000000000001" customHeight="1">
      <c r="G3" s="208" t="s">
        <v>227</v>
      </c>
      <c r="H3" s="196">
        <v>60</v>
      </c>
      <c r="I3" s="229">
        <v>54.59</v>
      </c>
      <c r="J3" s="196">
        <v>53</v>
      </c>
      <c r="K3" s="230">
        <v>0.9</v>
      </c>
      <c r="M3" s="233" t="s">
        <v>206</v>
      </c>
      <c r="N3" s="234">
        <v>0.87931034482758619</v>
      </c>
      <c r="O3" s="235">
        <v>0.90322580645161288</v>
      </c>
      <c r="Q3" s="241" t="s">
        <v>227</v>
      </c>
      <c r="R3" s="242">
        <v>1.1566E-3</v>
      </c>
      <c r="S3" s="243">
        <v>0.1440215</v>
      </c>
    </row>
    <row r="4" spans="7:19" ht="20.100000000000001" customHeight="1">
      <c r="G4" s="528" t="s">
        <v>228</v>
      </c>
      <c r="H4" s="529">
        <v>63</v>
      </c>
      <c r="I4" s="552">
        <v>56.21</v>
      </c>
      <c r="J4" s="529">
        <v>55</v>
      </c>
      <c r="K4" s="558">
        <v>0.88888888888888884</v>
      </c>
      <c r="M4" s="233" t="s">
        <v>213</v>
      </c>
      <c r="N4" s="236">
        <v>51.29</v>
      </c>
      <c r="O4" s="237">
        <v>59.57</v>
      </c>
      <c r="Q4" s="560" t="s">
        <v>228</v>
      </c>
      <c r="R4" s="561">
        <v>1.1566E-3</v>
      </c>
      <c r="S4" s="562">
        <v>0.1440215</v>
      </c>
    </row>
    <row r="5" spans="7:19" ht="20.100000000000001" customHeight="1" thickBot="1">
      <c r="G5" s="208" t="s">
        <v>229</v>
      </c>
      <c r="H5" s="196">
        <v>62</v>
      </c>
      <c r="I5" s="229">
        <v>56.23</v>
      </c>
      <c r="J5" s="196">
        <v>54</v>
      </c>
      <c r="K5" s="230">
        <v>0.90322580645161288</v>
      </c>
      <c r="M5" s="238" t="s">
        <v>214</v>
      </c>
      <c r="N5" s="239">
        <v>50</v>
      </c>
      <c r="O5" s="240">
        <v>59</v>
      </c>
      <c r="Q5" s="241" t="s">
        <v>229</v>
      </c>
      <c r="R5" s="242">
        <v>9.881E-4</v>
      </c>
      <c r="S5" s="243">
        <v>0.1357246</v>
      </c>
    </row>
    <row r="6" spans="7:19" ht="20.100000000000001" customHeight="1">
      <c r="G6" s="528" t="s">
        <v>354</v>
      </c>
      <c r="H6" s="529">
        <v>59</v>
      </c>
      <c r="I6" s="552">
        <v>52.92</v>
      </c>
      <c r="J6" s="529">
        <v>52</v>
      </c>
      <c r="K6" s="559">
        <v>0.88135593220338981</v>
      </c>
      <c r="Q6" s="560" t="s">
        <v>354</v>
      </c>
      <c r="R6" s="561">
        <v>8.7969999999999997E-4</v>
      </c>
      <c r="S6" s="562">
        <v>0.12663079999999999</v>
      </c>
    </row>
    <row r="7" spans="7:19" ht="20.100000000000001" customHeight="1">
      <c r="G7" s="208" t="s">
        <v>355</v>
      </c>
      <c r="H7" s="196">
        <v>64</v>
      </c>
      <c r="I7" s="229">
        <v>57.87</v>
      </c>
      <c r="J7" s="196">
        <v>56</v>
      </c>
      <c r="K7" s="522">
        <v>0.890625</v>
      </c>
      <c r="Q7" s="241" t="s">
        <v>355</v>
      </c>
      <c r="R7" s="242">
        <v>8.8219999999999998E-4</v>
      </c>
      <c r="S7" s="243">
        <v>0.13301689999999999</v>
      </c>
    </row>
    <row r="8" spans="7:19" ht="20.100000000000001" customHeight="1">
      <c r="G8" s="528" t="s">
        <v>356</v>
      </c>
      <c r="H8" s="529">
        <v>58</v>
      </c>
      <c r="I8" s="552">
        <v>51.29</v>
      </c>
      <c r="J8" s="529">
        <v>51</v>
      </c>
      <c r="K8" s="559">
        <v>0.87931034482758619</v>
      </c>
      <c r="Q8" s="528" t="s">
        <v>356</v>
      </c>
      <c r="R8" s="529">
        <v>8.2600000000000002E-4</v>
      </c>
      <c r="S8" s="535">
        <v>0.1336408</v>
      </c>
    </row>
    <row r="9" spans="7:19" ht="20.100000000000001" customHeight="1">
      <c r="G9" s="208" t="s">
        <v>642</v>
      </c>
      <c r="H9" s="196">
        <v>57</v>
      </c>
      <c r="I9" s="229">
        <v>51.29</v>
      </c>
      <c r="J9" s="196">
        <v>50</v>
      </c>
      <c r="K9" s="522">
        <v>0.89473684210526316</v>
      </c>
      <c r="Q9" s="208" t="s">
        <v>642</v>
      </c>
      <c r="R9" s="196">
        <v>1.0855999999999999E-3</v>
      </c>
      <c r="S9" s="197">
        <v>0.15543119999999999</v>
      </c>
    </row>
    <row r="10" spans="7:19" ht="20.100000000000001" customHeight="1">
      <c r="G10" s="528" t="s">
        <v>643</v>
      </c>
      <c r="H10" s="529">
        <v>67</v>
      </c>
      <c r="I10" s="552">
        <v>59.57</v>
      </c>
      <c r="J10" s="529">
        <v>59</v>
      </c>
      <c r="K10" s="559">
        <v>0.88059701492537312</v>
      </c>
      <c r="Q10" s="528" t="s">
        <v>643</v>
      </c>
      <c r="R10" s="529">
        <v>7.6729999999999995E-4</v>
      </c>
      <c r="S10" s="535">
        <v>0.13789190000000001</v>
      </c>
    </row>
    <row r="11" spans="7:19" ht="20.100000000000001" customHeight="1">
      <c r="G11" s="208" t="s">
        <v>644</v>
      </c>
      <c r="H11" s="196">
        <v>62</v>
      </c>
      <c r="I11" s="229">
        <v>56.27</v>
      </c>
      <c r="J11" s="196">
        <v>54</v>
      </c>
      <c r="K11" s="522">
        <v>0.90322580645161288</v>
      </c>
      <c r="Q11" s="208" t="s">
        <v>644</v>
      </c>
      <c r="R11" s="196">
        <v>1.0380999999999999E-3</v>
      </c>
      <c r="S11" s="197">
        <v>0.13712340000000001</v>
      </c>
    </row>
    <row r="12" spans="7:19" ht="20.100000000000001" customHeight="1">
      <c r="G12" s="528"/>
      <c r="H12" s="529"/>
      <c r="I12" s="552"/>
      <c r="J12" s="529"/>
      <c r="K12" s="559"/>
      <c r="Q12" s="528"/>
      <c r="R12" s="529"/>
      <c r="S12" s="535"/>
    </row>
    <row r="13" spans="7:19" ht="20.100000000000001" customHeight="1">
      <c r="G13" s="208"/>
      <c r="H13" s="196"/>
      <c r="I13" s="229"/>
      <c r="J13" s="196"/>
      <c r="K13" s="522"/>
      <c r="Q13" s="208"/>
      <c r="R13" s="196"/>
      <c r="S13" s="197"/>
    </row>
    <row r="14" spans="7:19" ht="20.100000000000001" customHeight="1">
      <c r="G14" s="528"/>
      <c r="H14" s="529"/>
      <c r="I14" s="552"/>
      <c r="J14" s="529"/>
      <c r="K14" s="559"/>
      <c r="Q14" s="528"/>
      <c r="R14" s="529"/>
      <c r="S14" s="535"/>
    </row>
    <row r="15" spans="7:19" ht="20.100000000000001" customHeight="1">
      <c r="G15" s="208"/>
      <c r="H15" s="196"/>
      <c r="I15" s="229"/>
      <c r="J15" s="196"/>
      <c r="K15" s="522"/>
      <c r="Q15" s="208"/>
      <c r="R15" s="196"/>
      <c r="S15" s="197"/>
    </row>
    <row r="16" spans="7:19" ht="20.100000000000001" customHeight="1">
      <c r="G16" s="528"/>
      <c r="H16" s="529"/>
      <c r="I16" s="529"/>
      <c r="J16" s="529"/>
      <c r="K16" s="535"/>
      <c r="Q16" s="528"/>
      <c r="R16" s="529"/>
      <c r="S16" s="535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528"/>
      <c r="H18" s="529"/>
      <c r="I18" s="529"/>
      <c r="J18" s="529"/>
      <c r="K18" s="535"/>
      <c r="Q18" s="528"/>
      <c r="R18" s="529"/>
      <c r="S18" s="535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6" t="s">
        <v>239</v>
      </c>
      <c r="H26" s="257"/>
      <c r="I26" s="258"/>
    </row>
    <row r="27" spans="6:19" ht="15.95" customHeight="1">
      <c r="F27" s="627" t="s">
        <v>227</v>
      </c>
      <c r="G27" s="625">
        <v>33</v>
      </c>
      <c r="H27" s="524">
        <v>12.85</v>
      </c>
      <c r="I27" s="626">
        <v>54.59</v>
      </c>
    </row>
    <row r="28" spans="6:19" ht="15.95" customHeight="1">
      <c r="F28" s="619"/>
      <c r="G28" s="620"/>
      <c r="H28" s="196">
        <v>6.04</v>
      </c>
      <c r="I28" s="621"/>
      <c r="K28" s="30"/>
    </row>
    <row r="29" spans="6:19" ht="15.95" customHeight="1">
      <c r="F29" s="619" t="s">
        <v>228</v>
      </c>
      <c r="G29" s="620">
        <v>34</v>
      </c>
      <c r="H29" s="196">
        <v>11.99</v>
      </c>
      <c r="I29" s="621">
        <v>56.21</v>
      </c>
    </row>
    <row r="30" spans="6:19" ht="15.95" customHeight="1">
      <c r="F30" s="619"/>
      <c r="G30" s="620"/>
      <c r="H30" s="196">
        <v>5.64</v>
      </c>
      <c r="I30" s="621"/>
    </row>
    <row r="31" spans="6:19" ht="15.95" customHeight="1">
      <c r="F31" s="619" t="s">
        <v>229</v>
      </c>
      <c r="G31" s="620">
        <v>34</v>
      </c>
      <c r="H31" s="196">
        <v>12.25</v>
      </c>
      <c r="I31" s="621">
        <v>56.23</v>
      </c>
    </row>
    <row r="32" spans="6:19" ht="15.95" customHeight="1">
      <c r="F32" s="619"/>
      <c r="G32" s="620"/>
      <c r="H32" s="196">
        <v>5.76</v>
      </c>
      <c r="I32" s="621"/>
    </row>
    <row r="33" spans="6:9" ht="15.95" customHeight="1">
      <c r="F33" s="619" t="s">
        <v>354</v>
      </c>
      <c r="G33" s="620">
        <v>32</v>
      </c>
      <c r="H33" s="196">
        <v>10.59</v>
      </c>
      <c r="I33" s="621">
        <v>52.92</v>
      </c>
    </row>
    <row r="34" spans="6:9" ht="15.95" customHeight="1">
      <c r="F34" s="619"/>
      <c r="G34" s="620"/>
      <c r="H34" s="196">
        <v>4.9800000000000004</v>
      </c>
      <c r="I34" s="621"/>
    </row>
    <row r="35" spans="6:9" ht="15.95" customHeight="1">
      <c r="F35" s="619" t="s">
        <v>355</v>
      </c>
      <c r="G35" s="620">
        <v>35</v>
      </c>
      <c r="H35" s="196">
        <v>12.16</v>
      </c>
      <c r="I35" s="621">
        <v>57.87</v>
      </c>
    </row>
    <row r="36" spans="6:9" ht="15.95" customHeight="1">
      <c r="F36" s="619"/>
      <c r="G36" s="620"/>
      <c r="H36" s="196">
        <v>5.72</v>
      </c>
      <c r="I36" s="621"/>
    </row>
    <row r="37" spans="6:9" ht="15.95" customHeight="1">
      <c r="F37" s="619" t="s">
        <v>356</v>
      </c>
      <c r="G37" s="620">
        <v>31</v>
      </c>
      <c r="H37" s="196">
        <v>10.62</v>
      </c>
      <c r="I37" s="621">
        <v>51.29</v>
      </c>
    </row>
    <row r="38" spans="6:9" ht="15.95" customHeight="1">
      <c r="F38" s="619"/>
      <c r="G38" s="620"/>
      <c r="H38" s="196">
        <v>4.99</v>
      </c>
      <c r="I38" s="621"/>
    </row>
    <row r="39" spans="6:9" ht="15.95" customHeight="1">
      <c r="F39" s="619" t="s">
        <v>642</v>
      </c>
      <c r="G39" s="620">
        <v>31</v>
      </c>
      <c r="H39" s="196">
        <v>12.43</v>
      </c>
      <c r="I39" s="621">
        <v>51.29</v>
      </c>
    </row>
    <row r="40" spans="6:9" ht="15.95" customHeight="1">
      <c r="F40" s="619"/>
      <c r="G40" s="620"/>
      <c r="H40" s="196">
        <v>5.84</v>
      </c>
      <c r="I40" s="621"/>
    </row>
    <row r="41" spans="6:9" ht="15.95" customHeight="1">
      <c r="F41" s="619" t="s">
        <v>643</v>
      </c>
      <c r="G41" s="620">
        <v>36</v>
      </c>
      <c r="H41" s="196">
        <v>12.77</v>
      </c>
      <c r="I41" s="621">
        <v>59.57</v>
      </c>
    </row>
    <row r="42" spans="6:9" ht="15.95" customHeight="1">
      <c r="F42" s="619"/>
      <c r="G42" s="620"/>
      <c r="H42" s="196">
        <v>6</v>
      </c>
      <c r="I42" s="621"/>
    </row>
    <row r="43" spans="6:9" ht="15.95" customHeight="1">
      <c r="F43" s="619" t="s">
        <v>644</v>
      </c>
      <c r="G43" s="620">
        <v>34</v>
      </c>
      <c r="H43" s="196">
        <v>12.54</v>
      </c>
      <c r="I43" s="621">
        <v>56.27</v>
      </c>
    </row>
    <row r="44" spans="6:9" ht="15.95" customHeight="1">
      <c r="F44" s="619"/>
      <c r="G44" s="620"/>
      <c r="H44" s="196">
        <v>5.89</v>
      </c>
      <c r="I44" s="621"/>
    </row>
    <row r="45" spans="6:9" ht="15.95" customHeight="1">
      <c r="F45" s="619"/>
      <c r="G45" s="620"/>
      <c r="H45" s="196"/>
      <c r="I45" s="621"/>
    </row>
    <row r="46" spans="6:9" ht="15.95" customHeight="1">
      <c r="F46" s="619"/>
      <c r="G46" s="620"/>
      <c r="H46" s="196"/>
      <c r="I46" s="621"/>
    </row>
    <row r="47" spans="6:9" ht="15.95" customHeight="1">
      <c r="F47" s="619"/>
      <c r="G47" s="620"/>
      <c r="H47" s="196"/>
      <c r="I47" s="621"/>
    </row>
    <row r="48" spans="6:9" ht="15.95" customHeight="1">
      <c r="F48" s="619"/>
      <c r="G48" s="620"/>
      <c r="H48" s="196"/>
      <c r="I48" s="621"/>
    </row>
    <row r="49" spans="6:9" ht="15.95" customHeight="1">
      <c r="F49" s="619"/>
      <c r="G49" s="620"/>
      <c r="H49" s="196"/>
      <c r="I49" s="621"/>
    </row>
    <row r="50" spans="6:9" ht="15.95" customHeight="1">
      <c r="F50" s="622"/>
      <c r="G50" s="623"/>
      <c r="H50" s="523"/>
      <c r="I50" s="624"/>
    </row>
    <row r="51" spans="6:9" ht="15.95" customHeight="1">
      <c r="F51" s="615"/>
      <c r="G51" s="617"/>
      <c r="H51" s="222"/>
      <c r="I51" s="613"/>
    </row>
    <row r="52" spans="6:9" ht="15.95" customHeight="1" thickBot="1">
      <c r="F52" s="616"/>
      <c r="G52" s="618"/>
      <c r="H52" s="223"/>
      <c r="I52" s="614"/>
    </row>
    <row r="53" spans="6:9" ht="15.95" customHeight="1"/>
    <row r="54" spans="6:9" ht="15.95" customHeight="1"/>
    <row r="55" spans="6:9" ht="15.95" customHeight="1"/>
    <row r="56" spans="6:9" ht="15.95" customHeight="1"/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39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0"/>
  <sheetViews>
    <sheetView workbookViewId="0">
      <selection activeCell="G29" sqref="G29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315</v>
      </c>
      <c r="L1" s="148" t="s">
        <v>234</v>
      </c>
      <c r="S1" s="148" t="s">
        <v>235</v>
      </c>
    </row>
    <row r="2" spans="4:21" ht="36.75" customHeight="1">
      <c r="D2" s="205" t="s">
        <v>217</v>
      </c>
      <c r="E2" s="206" t="s">
        <v>214</v>
      </c>
      <c r="F2" s="206" t="s">
        <v>221</v>
      </c>
      <c r="G2" s="206" t="s">
        <v>222</v>
      </c>
      <c r="H2" s="206" t="s">
        <v>162</v>
      </c>
      <c r="I2" s="206" t="s">
        <v>223</v>
      </c>
      <c r="J2" s="207" t="s">
        <v>224</v>
      </c>
      <c r="L2" s="205" t="s">
        <v>214</v>
      </c>
      <c r="M2" s="206" t="s">
        <v>218</v>
      </c>
      <c r="N2" s="206" t="s">
        <v>219</v>
      </c>
      <c r="O2" s="206" t="s">
        <v>220</v>
      </c>
      <c r="P2" s="206" t="s">
        <v>237</v>
      </c>
      <c r="Q2" s="207" t="s">
        <v>238</v>
      </c>
      <c r="S2" s="205" t="s">
        <v>222</v>
      </c>
      <c r="T2" s="206" t="s">
        <v>225</v>
      </c>
      <c r="U2" s="207" t="s">
        <v>226</v>
      </c>
    </row>
    <row r="3" spans="4:21" ht="20.100000000000001" customHeight="1">
      <c r="D3" s="208" t="s">
        <v>227</v>
      </c>
      <c r="E3" s="196">
        <v>53</v>
      </c>
      <c r="F3" s="196">
        <v>12.03</v>
      </c>
      <c r="G3" s="196">
        <v>26.47</v>
      </c>
      <c r="H3" s="196">
        <v>14.44</v>
      </c>
      <c r="I3" s="196">
        <v>0.1</v>
      </c>
      <c r="J3" s="209">
        <v>1.3796441648969833</v>
      </c>
      <c r="K3" s="30"/>
      <c r="L3" s="208">
        <v>53</v>
      </c>
      <c r="M3" s="196">
        <v>0.1</v>
      </c>
      <c r="N3" s="196">
        <v>0.1</v>
      </c>
      <c r="O3" s="196">
        <v>470</v>
      </c>
      <c r="P3" s="196">
        <v>2.5489999999999999</v>
      </c>
      <c r="Q3" s="197">
        <v>9.7610000000000002E-2</v>
      </c>
      <c r="S3" s="212">
        <v>26.47</v>
      </c>
      <c r="T3" s="213">
        <v>13.735742375279642</v>
      </c>
      <c r="U3" s="209">
        <v>12.734257624720357</v>
      </c>
    </row>
    <row r="4" spans="4:21" ht="20.100000000000001" customHeight="1">
      <c r="D4" s="528" t="s">
        <v>228</v>
      </c>
      <c r="E4" s="529">
        <v>55</v>
      </c>
      <c r="F4" s="529">
        <v>11.89</v>
      </c>
      <c r="G4" s="529">
        <v>25.37</v>
      </c>
      <c r="H4" s="529">
        <v>13.48</v>
      </c>
      <c r="I4" s="529">
        <v>0.1</v>
      </c>
      <c r="J4" s="530">
        <v>1.3455826890221456</v>
      </c>
      <c r="K4" s="30"/>
      <c r="L4" s="528">
        <v>55</v>
      </c>
      <c r="M4" s="529">
        <v>0.1</v>
      </c>
      <c r="N4" s="529">
        <v>0.1</v>
      </c>
      <c r="O4" s="529">
        <v>470</v>
      </c>
      <c r="P4" s="529">
        <v>2.859</v>
      </c>
      <c r="Q4" s="535">
        <v>0.1012</v>
      </c>
      <c r="S4" s="212">
        <v>25.37</v>
      </c>
      <c r="T4" s="213">
        <v>13.572433775680697</v>
      </c>
      <c r="U4" s="209">
        <v>11.797566224319304</v>
      </c>
    </row>
    <row r="5" spans="4:21" ht="20.100000000000001" customHeight="1">
      <c r="D5" s="208" t="s">
        <v>229</v>
      </c>
      <c r="E5" s="196">
        <v>54</v>
      </c>
      <c r="F5" s="196">
        <v>11.75</v>
      </c>
      <c r="G5" s="196">
        <v>25.52</v>
      </c>
      <c r="H5" s="196">
        <v>13.77</v>
      </c>
      <c r="I5" s="196">
        <v>0.1</v>
      </c>
      <c r="J5" s="209">
        <v>1.3514598577653809</v>
      </c>
      <c r="K5" s="30"/>
      <c r="L5" s="208">
        <v>54</v>
      </c>
      <c r="M5" s="196">
        <v>0.1</v>
      </c>
      <c r="N5" s="196">
        <v>0.1</v>
      </c>
      <c r="O5" s="196">
        <v>470</v>
      </c>
      <c r="P5" s="196">
        <v>2.738</v>
      </c>
      <c r="Q5" s="197">
        <v>0.1002</v>
      </c>
      <c r="S5" s="212">
        <v>25.52</v>
      </c>
      <c r="T5" s="213">
        <v>13.439611232529069</v>
      </c>
      <c r="U5" s="209">
        <v>12.08038876747093</v>
      </c>
    </row>
    <row r="6" spans="4:21" ht="20.100000000000001" customHeight="1">
      <c r="D6" s="528" t="s">
        <v>354</v>
      </c>
      <c r="E6" s="529">
        <v>52</v>
      </c>
      <c r="F6" s="529">
        <v>12.54</v>
      </c>
      <c r="G6" s="529">
        <v>24.45</v>
      </c>
      <c r="H6" s="529">
        <v>11.91</v>
      </c>
      <c r="I6" s="529">
        <v>0.1</v>
      </c>
      <c r="J6" s="530">
        <v>1.1463010777523692</v>
      </c>
      <c r="K6" s="30"/>
      <c r="L6" s="528">
        <v>52</v>
      </c>
      <c r="M6" s="529">
        <v>0.1</v>
      </c>
      <c r="N6" s="529">
        <v>0.1</v>
      </c>
      <c r="O6" s="529">
        <v>470</v>
      </c>
      <c r="P6" s="529">
        <v>3.0750000000000002</v>
      </c>
      <c r="Q6" s="535">
        <v>0.10390000000000001</v>
      </c>
      <c r="S6" s="212">
        <v>24.45</v>
      </c>
      <c r="T6" s="213">
        <v>14.181278771427989</v>
      </c>
      <c r="U6" s="209">
        <v>10.26872122857201</v>
      </c>
    </row>
    <row r="7" spans="4:21" ht="20.100000000000001" customHeight="1">
      <c r="D7" s="208" t="s">
        <v>355</v>
      </c>
      <c r="E7" s="196">
        <v>56</v>
      </c>
      <c r="F7" s="196">
        <v>11.7</v>
      </c>
      <c r="G7" s="196">
        <v>25.37</v>
      </c>
      <c r="H7" s="196">
        <v>13.670000000000002</v>
      </c>
      <c r="I7" s="196">
        <v>0.1</v>
      </c>
      <c r="J7" s="209">
        <v>1.3637777401133182</v>
      </c>
      <c r="K7" s="30"/>
      <c r="L7" s="208">
        <v>56</v>
      </c>
      <c r="M7" s="196">
        <v>0.1</v>
      </c>
      <c r="N7" s="196">
        <v>0.1</v>
      </c>
      <c r="O7" s="196">
        <v>470</v>
      </c>
      <c r="P7" s="196">
        <v>2.87</v>
      </c>
      <c r="Q7" s="197">
        <v>0.1018</v>
      </c>
      <c r="S7" s="212">
        <v>25.37</v>
      </c>
      <c r="T7" s="213">
        <v>13.387150025816638</v>
      </c>
      <c r="U7" s="209">
        <v>11.982849974183363</v>
      </c>
    </row>
    <row r="8" spans="4:21" ht="20.100000000000001" customHeight="1">
      <c r="D8" s="528" t="s">
        <v>356</v>
      </c>
      <c r="E8" s="529">
        <v>51</v>
      </c>
      <c r="F8" s="529">
        <v>12.3</v>
      </c>
      <c r="G8" s="529">
        <v>24.24</v>
      </c>
      <c r="H8" s="529">
        <v>11.939999999999998</v>
      </c>
      <c r="I8" s="529">
        <v>0.1</v>
      </c>
      <c r="J8" s="530">
        <v>1.2255349733297856</v>
      </c>
      <c r="K8" s="30"/>
      <c r="L8" s="528">
        <v>51</v>
      </c>
      <c r="M8" s="529">
        <v>0.1</v>
      </c>
      <c r="N8" s="529">
        <v>0.1</v>
      </c>
      <c r="O8" s="529">
        <v>470</v>
      </c>
      <c r="P8" s="529">
        <v>3.0059999999999998</v>
      </c>
      <c r="Q8" s="535">
        <v>0.1024</v>
      </c>
      <c r="S8" s="208">
        <v>24.24</v>
      </c>
      <c r="T8" s="213">
        <v>13.942104780286888</v>
      </c>
      <c r="U8" s="209">
        <v>10.29789521971311</v>
      </c>
    </row>
    <row r="9" spans="4:21" ht="20.100000000000001" customHeight="1">
      <c r="D9" s="208" t="s">
        <v>642</v>
      </c>
      <c r="E9" s="196">
        <v>50</v>
      </c>
      <c r="F9" s="196">
        <v>11.48</v>
      </c>
      <c r="G9" s="196">
        <v>25.45</v>
      </c>
      <c r="H9" s="196">
        <v>13.969999999999999</v>
      </c>
      <c r="I9" s="196">
        <v>0.1</v>
      </c>
      <c r="J9" s="209">
        <v>1.3208877685237106</v>
      </c>
      <c r="K9" s="30"/>
      <c r="L9" s="208">
        <v>50</v>
      </c>
      <c r="M9" s="196">
        <v>0.1</v>
      </c>
      <c r="N9" s="196">
        <v>0.1</v>
      </c>
      <c r="O9" s="196">
        <v>470</v>
      </c>
      <c r="P9" s="196">
        <v>2.4790000000000001</v>
      </c>
      <c r="Q9" s="197">
        <v>9.7239999999999993E-2</v>
      </c>
      <c r="S9" s="208">
        <v>25.45</v>
      </c>
      <c r="T9" s="213">
        <v>13.174491057450327</v>
      </c>
      <c r="U9" s="209">
        <v>12.275508942549672</v>
      </c>
    </row>
    <row r="10" spans="4:21" ht="20.100000000000001" customHeight="1">
      <c r="D10" s="528" t="s">
        <v>643</v>
      </c>
      <c r="E10" s="529">
        <v>59</v>
      </c>
      <c r="F10" s="529">
        <v>11.75</v>
      </c>
      <c r="G10" s="529">
        <v>26.1</v>
      </c>
      <c r="H10" s="529">
        <v>14.350000000000001</v>
      </c>
      <c r="I10" s="529">
        <v>0.1</v>
      </c>
      <c r="J10" s="530">
        <v>1.430765427372948</v>
      </c>
      <c r="K10" s="30"/>
      <c r="L10" s="528">
        <v>59</v>
      </c>
      <c r="M10" s="529">
        <v>0.1</v>
      </c>
      <c r="N10" s="529">
        <v>0.1</v>
      </c>
      <c r="O10" s="529">
        <v>380</v>
      </c>
      <c r="P10" s="529">
        <v>2.883</v>
      </c>
      <c r="Q10" s="535">
        <v>0.1016</v>
      </c>
      <c r="S10" s="208">
        <v>26.1</v>
      </c>
      <c r="T10" s="213">
        <v>13.453610782756019</v>
      </c>
      <c r="U10" s="209">
        <v>12.646389217243982</v>
      </c>
    </row>
    <row r="11" spans="4:21" ht="20.100000000000001" customHeight="1">
      <c r="D11" s="208" t="s">
        <v>644</v>
      </c>
      <c r="E11" s="196">
        <v>54</v>
      </c>
      <c r="F11" s="196">
        <v>11.32</v>
      </c>
      <c r="G11" s="196">
        <v>25.42</v>
      </c>
      <c r="H11" s="196">
        <v>14.100000000000001</v>
      </c>
      <c r="I11" s="196">
        <v>0.1</v>
      </c>
      <c r="J11" s="209">
        <v>0.39232794237853885</v>
      </c>
      <c r="K11" s="30"/>
      <c r="L11" s="208">
        <v>54</v>
      </c>
      <c r="M11" s="196">
        <v>0.1</v>
      </c>
      <c r="N11" s="196">
        <v>0.1</v>
      </c>
      <c r="O11" s="196">
        <v>380</v>
      </c>
      <c r="P11" s="196">
        <v>2.883</v>
      </c>
      <c r="Q11" s="197">
        <v>0.1613</v>
      </c>
      <c r="S11" s="208">
        <v>25.42</v>
      </c>
      <c r="T11" s="213">
        <v>12.969355191161402</v>
      </c>
      <c r="U11" s="209">
        <v>12.4506448088386</v>
      </c>
    </row>
    <row r="12" spans="4:21" ht="20.100000000000001" customHeight="1">
      <c r="D12" s="528"/>
      <c r="E12" s="529"/>
      <c r="F12" s="529"/>
      <c r="G12" s="529"/>
      <c r="H12" s="529"/>
      <c r="I12" s="529"/>
      <c r="J12" s="530"/>
      <c r="K12" s="30"/>
      <c r="L12" s="528"/>
      <c r="M12" s="529"/>
      <c r="N12" s="529"/>
      <c r="O12" s="529"/>
      <c r="P12" s="529"/>
      <c r="Q12" s="535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528"/>
      <c r="E14" s="529"/>
      <c r="F14" s="529"/>
      <c r="G14" s="529"/>
      <c r="H14" s="529"/>
      <c r="I14" s="529"/>
      <c r="J14" s="530"/>
      <c r="K14" s="30"/>
      <c r="L14" s="528"/>
      <c r="M14" s="529"/>
      <c r="N14" s="529"/>
      <c r="O14" s="529"/>
      <c r="P14" s="529"/>
      <c r="Q14" s="535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531"/>
      <c r="E16" s="532"/>
      <c r="F16" s="532"/>
      <c r="G16" s="532"/>
      <c r="H16" s="532"/>
      <c r="I16" s="532"/>
      <c r="J16" s="533"/>
      <c r="K16" s="30"/>
      <c r="L16" s="531"/>
      <c r="M16" s="532"/>
      <c r="N16" s="532"/>
      <c r="O16" s="532"/>
      <c r="P16" s="532"/>
      <c r="Q16" s="534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251</v>
      </c>
      <c r="F20" s="45"/>
      <c r="H20" s="147"/>
      <c r="T20" s="149"/>
      <c r="U20" s="149"/>
    </row>
    <row r="21" spans="3:21" s="46" customFormat="1" ht="36" customHeight="1">
      <c r="D21" s="215" t="s">
        <v>280</v>
      </c>
      <c r="E21" s="216" t="s">
        <v>227</v>
      </c>
      <c r="F21" s="216" t="s">
        <v>228</v>
      </c>
      <c r="G21" s="216" t="s">
        <v>229</v>
      </c>
      <c r="H21" s="217" t="s">
        <v>354</v>
      </c>
      <c r="I21" s="216" t="s">
        <v>355</v>
      </c>
      <c r="J21" s="216" t="s">
        <v>356</v>
      </c>
      <c r="K21" s="216" t="s">
        <v>642</v>
      </c>
      <c r="L21" s="216" t="s">
        <v>643</v>
      </c>
      <c r="M21" s="216" t="s">
        <v>644</v>
      </c>
      <c r="N21" s="216"/>
      <c r="O21" s="216"/>
      <c r="P21" s="216"/>
      <c r="Q21" s="216"/>
      <c r="R21" s="216"/>
      <c r="S21" s="218"/>
      <c r="T21" s="153"/>
      <c r="U21" s="153"/>
    </row>
    <row r="22" spans="3:21" s="30" customFormat="1" ht="23.1" customHeight="1">
      <c r="D22" s="244" t="s">
        <v>255</v>
      </c>
      <c r="E22" s="203">
        <v>2.2494999999999998</v>
      </c>
      <c r="F22" s="536">
        <v>2.3704999999999998</v>
      </c>
      <c r="G22" s="203">
        <v>2.4524999999999997</v>
      </c>
      <c r="H22" s="536">
        <v>2.5270000000000001</v>
      </c>
      <c r="I22" s="203">
        <v>2.8365</v>
      </c>
      <c r="J22" s="539">
        <v>2.8424999999999998</v>
      </c>
      <c r="K22" s="259">
        <v>2.0710000000000002</v>
      </c>
      <c r="L22" s="539">
        <v>2.6819999999999999</v>
      </c>
      <c r="M22" s="259">
        <v>2.7640000000000002</v>
      </c>
      <c r="N22" s="539"/>
      <c r="O22" s="259"/>
      <c r="P22" s="539"/>
      <c r="Q22" s="251"/>
      <c r="R22" s="543"/>
      <c r="S22" s="246"/>
      <c r="T22" s="149"/>
      <c r="U22" s="149"/>
    </row>
    <row r="23" spans="3:21" s="30" customFormat="1" ht="23.1" customHeight="1">
      <c r="D23" s="244" t="s">
        <v>232</v>
      </c>
      <c r="E23" s="203">
        <v>4.7800000000000004E-3</v>
      </c>
      <c r="F23" s="536">
        <v>5.0400000000000002E-3</v>
      </c>
      <c r="G23" s="203">
        <v>5.2100000000000002E-3</v>
      </c>
      <c r="H23" s="536">
        <v>5.3699999999999998E-3</v>
      </c>
      <c r="I23" s="203">
        <v>6.0299999999999998E-3</v>
      </c>
      <c r="J23" s="539">
        <v>6.0400000000000002E-3</v>
      </c>
      <c r="K23" s="259">
        <v>4.4000000000000003E-3</v>
      </c>
      <c r="L23" s="539">
        <v>7.0499999999999998E-3</v>
      </c>
      <c r="M23" s="259">
        <v>7.2700000000000004E-3</v>
      </c>
      <c r="N23" s="539"/>
      <c r="O23" s="259"/>
      <c r="P23" s="539"/>
      <c r="Q23" s="251"/>
      <c r="R23" s="543"/>
      <c r="S23" s="246"/>
      <c r="T23" s="149"/>
      <c r="U23" s="149"/>
    </row>
    <row r="24" spans="3:21" s="30" customFormat="1" ht="23.1" customHeight="1">
      <c r="D24" s="244" t="s">
        <v>233</v>
      </c>
      <c r="E24" s="515">
        <v>2.8430000000000003E-4</v>
      </c>
      <c r="F24" s="537">
        <v>2.7480000000000001E-4</v>
      </c>
      <c r="G24" s="515">
        <v>2.789E-4</v>
      </c>
      <c r="H24" s="537">
        <v>2.5530000000000003E-4</v>
      </c>
      <c r="I24" s="515">
        <v>2.7520000000000002E-4</v>
      </c>
      <c r="J24" s="540">
        <v>2.7250000000000001E-4</v>
      </c>
      <c r="K24" s="520">
        <v>2.878E-4</v>
      </c>
      <c r="L24" s="540">
        <v>2.7349999999999998E-4</v>
      </c>
      <c r="M24" s="520">
        <v>2.7720000000000002E-4</v>
      </c>
      <c r="N24" s="540"/>
      <c r="O24" s="520"/>
      <c r="P24" s="540"/>
      <c r="Q24" s="254"/>
      <c r="R24" s="543"/>
      <c r="S24" s="246"/>
      <c r="T24" s="149"/>
      <c r="U24" s="149"/>
    </row>
    <row r="25" spans="3:21" s="30" customFormat="1" ht="23.1" customHeight="1">
      <c r="D25" s="244" t="s">
        <v>254</v>
      </c>
      <c r="E25" s="203">
        <v>0.54159999999999997</v>
      </c>
      <c r="F25" s="536">
        <v>0.54159999999999997</v>
      </c>
      <c r="G25" s="203">
        <v>0.54159999999999997</v>
      </c>
      <c r="H25" s="536">
        <v>0.54159999999999997</v>
      </c>
      <c r="I25" s="203">
        <v>0.54159999999999997</v>
      </c>
      <c r="J25" s="539">
        <v>0.54159999999999997</v>
      </c>
      <c r="K25" s="259">
        <v>0.54159999999999997</v>
      </c>
      <c r="L25" s="539">
        <v>0.54159999999999997</v>
      </c>
      <c r="M25" s="259">
        <v>0.54159999999999997</v>
      </c>
      <c r="N25" s="539"/>
      <c r="O25" s="259"/>
      <c r="P25" s="539"/>
      <c r="Q25" s="251"/>
      <c r="R25" s="543"/>
      <c r="S25" s="246"/>
      <c r="T25" s="149"/>
      <c r="U25" s="149"/>
    </row>
    <row r="26" spans="3:21" s="30" customFormat="1" ht="23.1" customHeight="1">
      <c r="D26" s="244" t="s">
        <v>253</v>
      </c>
      <c r="E26" s="213">
        <v>14.44</v>
      </c>
      <c r="F26" s="538">
        <v>13.48</v>
      </c>
      <c r="G26" s="213">
        <v>13.77</v>
      </c>
      <c r="H26" s="538">
        <v>11.91</v>
      </c>
      <c r="I26" s="213">
        <v>13.670000000000002</v>
      </c>
      <c r="J26" s="541">
        <v>11.939999999999998</v>
      </c>
      <c r="K26" s="521">
        <v>13.969999999999999</v>
      </c>
      <c r="L26" s="541">
        <v>14.350000000000001</v>
      </c>
      <c r="M26" s="521">
        <v>14.100000000000001</v>
      </c>
      <c r="N26" s="541"/>
      <c r="O26" s="521"/>
      <c r="P26" s="541"/>
      <c r="Q26" s="253"/>
      <c r="R26" s="543"/>
      <c r="S26" s="246"/>
      <c r="T26" s="149"/>
      <c r="U26" s="149"/>
    </row>
    <row r="27" spans="3:21" s="30" customFormat="1" ht="23.1" customHeight="1" thickBot="1">
      <c r="D27" s="245" t="s">
        <v>252</v>
      </c>
      <c r="E27" s="189">
        <v>470</v>
      </c>
      <c r="F27" s="532">
        <v>470</v>
      </c>
      <c r="G27" s="189">
        <v>470</v>
      </c>
      <c r="H27" s="532">
        <v>470</v>
      </c>
      <c r="I27" s="189">
        <v>470</v>
      </c>
      <c r="J27" s="542">
        <v>470</v>
      </c>
      <c r="K27" s="260">
        <v>470</v>
      </c>
      <c r="L27" s="542">
        <v>380</v>
      </c>
      <c r="M27" s="260">
        <v>380</v>
      </c>
      <c r="N27" s="542"/>
      <c r="O27" s="260"/>
      <c r="P27" s="542"/>
      <c r="Q27" s="223"/>
      <c r="R27" s="544"/>
      <c r="S27" s="247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392</v>
      </c>
      <c r="I30" s="148"/>
      <c r="J30" s="149"/>
      <c r="K30" s="30"/>
      <c r="L30" s="30"/>
      <c r="M30" s="30"/>
      <c r="N30" s="30"/>
      <c r="P30" s="45" t="s">
        <v>393</v>
      </c>
      <c r="Q30" s="30"/>
      <c r="R30" s="30"/>
    </row>
    <row r="31" spans="3:21" s="30" customFormat="1" ht="33.75" customHeight="1">
      <c r="C31" s="219" t="s">
        <v>217</v>
      </c>
      <c r="D31" s="220" t="s">
        <v>236</v>
      </c>
      <c r="E31" s="220" t="s">
        <v>282</v>
      </c>
      <c r="F31" s="221" t="s">
        <v>283</v>
      </c>
      <c r="H31" s="219" t="s">
        <v>258</v>
      </c>
      <c r="I31" s="220" t="s">
        <v>259</v>
      </c>
      <c r="J31" s="224" t="s">
        <v>260</v>
      </c>
      <c r="K31" s="220" t="s">
        <v>261</v>
      </c>
      <c r="L31" s="220" t="s">
        <v>262</v>
      </c>
      <c r="M31" s="220" t="s">
        <v>263</v>
      </c>
      <c r="N31" s="221" t="s">
        <v>211</v>
      </c>
      <c r="P31" s="414" t="s">
        <v>284</v>
      </c>
      <c r="Q31" s="194" t="s">
        <v>285</v>
      </c>
      <c r="R31" s="195" t="s">
        <v>286</v>
      </c>
    </row>
    <row r="32" spans="3:21" ht="20.100000000000001" customHeight="1">
      <c r="C32" s="615" t="s">
        <v>227</v>
      </c>
      <c r="D32" s="222" t="s">
        <v>264</v>
      </c>
      <c r="E32" s="203">
        <v>2.5489999999999999</v>
      </c>
      <c r="F32" s="516">
        <v>2.8430000000000003E-4</v>
      </c>
      <c r="G32" s="30"/>
      <c r="H32" s="518" t="s">
        <v>227</v>
      </c>
      <c r="I32" s="229">
        <v>28.1</v>
      </c>
      <c r="J32" s="229">
        <v>34.4</v>
      </c>
      <c r="K32" s="229">
        <v>98.2</v>
      </c>
      <c r="L32" s="229">
        <v>53.6</v>
      </c>
      <c r="M32" s="229">
        <v>98.2</v>
      </c>
      <c r="N32" s="519">
        <v>28.1</v>
      </c>
      <c r="P32" s="169" t="s">
        <v>227</v>
      </c>
      <c r="Q32" s="203">
        <v>-2.9195000000000002</v>
      </c>
      <c r="R32" s="204">
        <v>1.853</v>
      </c>
    </row>
    <row r="33" spans="3:18" ht="20.100000000000001" customHeight="1">
      <c r="C33" s="615"/>
      <c r="D33" s="222" t="s">
        <v>265</v>
      </c>
      <c r="E33" s="203">
        <v>1.95</v>
      </c>
      <c r="F33" s="197"/>
      <c r="G33" s="30"/>
      <c r="H33" s="551" t="s">
        <v>228</v>
      </c>
      <c r="I33" s="552">
        <v>28.3</v>
      </c>
      <c r="J33" s="552">
        <v>34.700000000000003</v>
      </c>
      <c r="K33" s="552">
        <v>102.5</v>
      </c>
      <c r="L33" s="552">
        <v>55.2</v>
      </c>
      <c r="M33" s="552">
        <v>102.5</v>
      </c>
      <c r="N33" s="553">
        <v>28.3</v>
      </c>
      <c r="P33" s="556" t="s">
        <v>228</v>
      </c>
      <c r="Q33" s="536">
        <v>-2.9542000000000002</v>
      </c>
      <c r="R33" s="557">
        <v>1.919</v>
      </c>
    </row>
    <row r="34" spans="3:18" ht="20.100000000000001" customHeight="1">
      <c r="C34" s="615"/>
      <c r="D34" s="222" t="s">
        <v>266</v>
      </c>
      <c r="E34" s="261">
        <v>2.2494999999999998</v>
      </c>
      <c r="F34" s="517">
        <v>2.8430000000000003E-4</v>
      </c>
      <c r="G34" s="30"/>
      <c r="H34" s="518" t="s">
        <v>229</v>
      </c>
      <c r="I34" s="229">
        <v>28.9</v>
      </c>
      <c r="J34" s="229">
        <v>35.4</v>
      </c>
      <c r="K34" s="229">
        <v>103.5</v>
      </c>
      <c r="L34" s="229">
        <v>55.9</v>
      </c>
      <c r="M34" s="229">
        <v>103.5</v>
      </c>
      <c r="N34" s="519">
        <v>28.9</v>
      </c>
      <c r="P34" s="169" t="s">
        <v>229</v>
      </c>
      <c r="Q34" s="203">
        <v>-2.9416000000000002</v>
      </c>
      <c r="R34" s="204">
        <v>1.895</v>
      </c>
    </row>
    <row r="35" spans="3:18" ht="20.100000000000001" customHeight="1">
      <c r="C35" s="628" t="s">
        <v>228</v>
      </c>
      <c r="D35" s="543" t="s">
        <v>264</v>
      </c>
      <c r="E35" s="536">
        <v>2.859</v>
      </c>
      <c r="F35" s="545">
        <v>2.7480000000000001E-4</v>
      </c>
      <c r="G35" s="30"/>
      <c r="H35" s="551" t="s">
        <v>354</v>
      </c>
      <c r="I35" s="552">
        <v>28.5</v>
      </c>
      <c r="J35" s="552">
        <v>34.9</v>
      </c>
      <c r="K35" s="552">
        <v>109.8</v>
      </c>
      <c r="L35" s="552">
        <v>57.7</v>
      </c>
      <c r="M35" s="552">
        <v>109.8</v>
      </c>
      <c r="N35" s="553">
        <v>28.5</v>
      </c>
      <c r="P35" s="556" t="s">
        <v>354</v>
      </c>
      <c r="Q35" s="536">
        <v>-3.0042</v>
      </c>
      <c r="R35" s="557">
        <v>2.0169999999999999</v>
      </c>
    </row>
    <row r="36" spans="3:18" ht="20.100000000000001" customHeight="1">
      <c r="C36" s="628"/>
      <c r="D36" s="543" t="s">
        <v>265</v>
      </c>
      <c r="E36" s="536">
        <v>1.8819999999999999</v>
      </c>
      <c r="F36" s="535"/>
      <c r="G36" s="30"/>
      <c r="H36" s="518" t="s">
        <v>355</v>
      </c>
      <c r="I36" s="229">
        <v>31.2</v>
      </c>
      <c r="J36" s="229">
        <v>38.200000000000003</v>
      </c>
      <c r="K36" s="229">
        <v>112.1</v>
      </c>
      <c r="L36" s="229">
        <v>60.5</v>
      </c>
      <c r="M36" s="229">
        <v>112.1</v>
      </c>
      <c r="N36" s="519">
        <v>31.2</v>
      </c>
      <c r="P36" s="169" t="s">
        <v>355</v>
      </c>
      <c r="Q36" s="203">
        <v>-2.9565000000000001</v>
      </c>
      <c r="R36" s="204">
        <v>1.923</v>
      </c>
    </row>
    <row r="37" spans="3:18" ht="20.100000000000001" customHeight="1">
      <c r="C37" s="628"/>
      <c r="D37" s="543" t="s">
        <v>266</v>
      </c>
      <c r="E37" s="546">
        <v>2.3704999999999998</v>
      </c>
      <c r="F37" s="547">
        <v>2.7480000000000001E-4</v>
      </c>
      <c r="G37" s="30"/>
      <c r="H37" s="551" t="s">
        <v>356</v>
      </c>
      <c r="I37" s="552">
        <v>29.3</v>
      </c>
      <c r="J37" s="552">
        <v>35.9</v>
      </c>
      <c r="K37" s="552">
        <v>112.7</v>
      </c>
      <c r="L37" s="552">
        <v>59.3</v>
      </c>
      <c r="M37" s="552">
        <v>112.7</v>
      </c>
      <c r="N37" s="553">
        <v>29.3</v>
      </c>
      <c r="P37" s="556" t="s">
        <v>356</v>
      </c>
      <c r="Q37" s="536">
        <v>-2.9649000000000001</v>
      </c>
      <c r="R37" s="557">
        <v>1.9390000000000001</v>
      </c>
    </row>
    <row r="38" spans="3:18" ht="20.100000000000001" customHeight="1">
      <c r="C38" s="615" t="s">
        <v>229</v>
      </c>
      <c r="D38" s="222" t="s">
        <v>264</v>
      </c>
      <c r="E38" s="203">
        <v>2.738</v>
      </c>
      <c r="F38" s="516">
        <v>2.789E-4</v>
      </c>
      <c r="G38" s="30"/>
      <c r="H38" s="518" t="s">
        <v>642</v>
      </c>
      <c r="I38" s="229">
        <v>26.3</v>
      </c>
      <c r="J38" s="229">
        <v>32.299999999999997</v>
      </c>
      <c r="K38" s="229">
        <v>93.6</v>
      </c>
      <c r="L38" s="229">
        <v>50.7</v>
      </c>
      <c r="M38" s="229">
        <v>93.6</v>
      </c>
      <c r="N38" s="519">
        <v>26.3</v>
      </c>
      <c r="P38" s="169" t="s">
        <v>642</v>
      </c>
      <c r="Q38" s="203">
        <v>-2.911</v>
      </c>
      <c r="R38" s="204">
        <v>1.8380000000000001</v>
      </c>
    </row>
    <row r="39" spans="3:18" ht="20.100000000000001" customHeight="1">
      <c r="C39" s="615"/>
      <c r="D39" s="222" t="s">
        <v>265</v>
      </c>
      <c r="E39" s="203">
        <v>2.1669999999999998</v>
      </c>
      <c r="F39" s="197"/>
      <c r="G39" s="30"/>
      <c r="H39" s="551" t="s">
        <v>643</v>
      </c>
      <c r="I39" s="552">
        <v>34.700000000000003</v>
      </c>
      <c r="J39" s="552">
        <v>42.5</v>
      </c>
      <c r="K39" s="552">
        <v>109.3</v>
      </c>
      <c r="L39" s="552">
        <v>62.2</v>
      </c>
      <c r="M39" s="552">
        <v>109.3</v>
      </c>
      <c r="N39" s="553">
        <v>34.700000000000003</v>
      </c>
      <c r="P39" s="556" t="s">
        <v>643</v>
      </c>
      <c r="Q39" s="536">
        <v>-2.9586000000000001</v>
      </c>
      <c r="R39" s="557">
        <v>1.927</v>
      </c>
    </row>
    <row r="40" spans="3:18" ht="20.100000000000001" customHeight="1">
      <c r="C40" s="615"/>
      <c r="D40" s="222" t="s">
        <v>266</v>
      </c>
      <c r="E40" s="261">
        <v>2.4524999999999997</v>
      </c>
      <c r="F40" s="517">
        <v>2.789E-4</v>
      </c>
      <c r="G40" s="30"/>
      <c r="H40" s="518" t="s">
        <v>644</v>
      </c>
      <c r="I40" s="229">
        <v>34.700000000000003</v>
      </c>
      <c r="J40" s="229">
        <v>42.5</v>
      </c>
      <c r="K40" s="229">
        <v>110.2</v>
      </c>
      <c r="L40" s="229">
        <v>62.5</v>
      </c>
      <c r="M40" s="229">
        <v>110.2</v>
      </c>
      <c r="N40" s="519">
        <v>34.700000000000003</v>
      </c>
      <c r="P40" s="169" t="s">
        <v>644</v>
      </c>
      <c r="Q40" s="203">
        <v>-3.2663000000000002</v>
      </c>
      <c r="R40" s="204">
        <v>2.621</v>
      </c>
    </row>
    <row r="41" spans="3:18" ht="20.100000000000001" customHeight="1">
      <c r="C41" s="628" t="s">
        <v>354</v>
      </c>
      <c r="D41" s="543" t="s">
        <v>264</v>
      </c>
      <c r="E41" s="536">
        <v>3.0750000000000002</v>
      </c>
      <c r="F41" s="545">
        <v>2.5530000000000003E-4</v>
      </c>
      <c r="G41" s="30"/>
      <c r="H41" s="551"/>
      <c r="I41" s="552"/>
      <c r="J41" s="552"/>
      <c r="K41" s="552"/>
      <c r="L41" s="552"/>
      <c r="M41" s="552"/>
      <c r="N41" s="553"/>
      <c r="P41" s="556"/>
      <c r="Q41" s="536"/>
      <c r="R41" s="557"/>
    </row>
    <row r="42" spans="3:18" ht="20.100000000000001" customHeight="1">
      <c r="C42" s="628"/>
      <c r="D42" s="543" t="s">
        <v>265</v>
      </c>
      <c r="E42" s="536">
        <v>1.9790000000000001</v>
      </c>
      <c r="F42" s="535"/>
      <c r="G42" s="30"/>
      <c r="H42" s="518"/>
      <c r="I42" s="229"/>
      <c r="J42" s="229"/>
      <c r="K42" s="229"/>
      <c r="L42" s="229"/>
      <c r="M42" s="229"/>
      <c r="N42" s="519"/>
      <c r="P42" s="169"/>
      <c r="Q42" s="203"/>
      <c r="R42" s="204"/>
    </row>
    <row r="43" spans="3:18" ht="20.100000000000001" customHeight="1">
      <c r="C43" s="628"/>
      <c r="D43" s="543" t="s">
        <v>266</v>
      </c>
      <c r="E43" s="546">
        <v>2.5270000000000001</v>
      </c>
      <c r="F43" s="547">
        <v>2.5530000000000003E-4</v>
      </c>
      <c r="G43" s="30"/>
      <c r="H43" s="551"/>
      <c r="I43" s="552"/>
      <c r="J43" s="552"/>
      <c r="K43" s="552"/>
      <c r="L43" s="552"/>
      <c r="M43" s="552"/>
      <c r="N43" s="553"/>
      <c r="P43" s="556"/>
      <c r="Q43" s="536"/>
      <c r="R43" s="557"/>
    </row>
    <row r="44" spans="3:18" ht="20.100000000000001" customHeight="1">
      <c r="C44" s="615" t="s">
        <v>355</v>
      </c>
      <c r="D44" s="222" t="s">
        <v>264</v>
      </c>
      <c r="E44" s="203">
        <v>2.87</v>
      </c>
      <c r="F44" s="516">
        <v>2.7520000000000002E-4</v>
      </c>
      <c r="G44" s="30"/>
      <c r="H44" s="518"/>
      <c r="I44" s="229"/>
      <c r="J44" s="229"/>
      <c r="K44" s="229"/>
      <c r="L44" s="229"/>
      <c r="M44" s="229"/>
      <c r="N44" s="519"/>
      <c r="P44" s="169"/>
      <c r="Q44" s="203"/>
      <c r="R44" s="204"/>
    </row>
    <row r="45" spans="3:18" ht="20.100000000000001" customHeight="1" thickBot="1">
      <c r="C45" s="615"/>
      <c r="D45" s="222" t="s">
        <v>265</v>
      </c>
      <c r="E45" s="203">
        <v>2.8029999999999999</v>
      </c>
      <c r="F45" s="197"/>
      <c r="G45" s="30"/>
      <c r="H45" s="554"/>
      <c r="I45" s="532"/>
      <c r="J45" s="532"/>
      <c r="K45" s="532"/>
      <c r="L45" s="532"/>
      <c r="M45" s="532"/>
      <c r="N45" s="555"/>
      <c r="P45" s="554"/>
      <c r="Q45" s="532"/>
      <c r="R45" s="534"/>
    </row>
    <row r="46" spans="3:18" ht="20.100000000000001" customHeight="1">
      <c r="C46" s="615"/>
      <c r="D46" s="222" t="s">
        <v>266</v>
      </c>
      <c r="E46" s="261">
        <v>2.8365</v>
      </c>
      <c r="F46" s="517">
        <v>2.7520000000000002E-4</v>
      </c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28" t="s">
        <v>356</v>
      </c>
      <c r="D47" s="543" t="s">
        <v>264</v>
      </c>
      <c r="E47" s="536">
        <v>3.0059999999999998</v>
      </c>
      <c r="F47" s="545">
        <v>2.7250000000000001E-4</v>
      </c>
    </row>
    <row r="48" spans="3:18" ht="20.100000000000001" customHeight="1">
      <c r="C48" s="628"/>
      <c r="D48" s="543" t="s">
        <v>265</v>
      </c>
      <c r="E48" s="536">
        <v>2.6789999999999998</v>
      </c>
      <c r="F48" s="535"/>
    </row>
    <row r="49" spans="3:6" ht="20.100000000000001" customHeight="1">
      <c r="C49" s="628"/>
      <c r="D49" s="543" t="s">
        <v>266</v>
      </c>
      <c r="E49" s="546">
        <v>2.8424999999999998</v>
      </c>
      <c r="F49" s="547">
        <v>2.7250000000000001E-4</v>
      </c>
    </row>
    <row r="50" spans="3:6" ht="20.100000000000001" customHeight="1">
      <c r="C50" s="615" t="s">
        <v>642</v>
      </c>
      <c r="D50" s="222" t="s">
        <v>264</v>
      </c>
      <c r="E50" s="203">
        <v>2.4790000000000001</v>
      </c>
      <c r="F50" s="516">
        <v>2.878E-4</v>
      </c>
    </row>
    <row r="51" spans="3:6" ht="20.100000000000001" customHeight="1">
      <c r="C51" s="615"/>
      <c r="D51" s="222" t="s">
        <v>265</v>
      </c>
      <c r="E51" s="203">
        <v>1.663</v>
      </c>
      <c r="F51" s="197"/>
    </row>
    <row r="52" spans="3:6" ht="20.100000000000001" customHeight="1">
      <c r="C52" s="615"/>
      <c r="D52" s="222" t="s">
        <v>266</v>
      </c>
      <c r="E52" s="261">
        <v>2.0710000000000002</v>
      </c>
      <c r="F52" s="517">
        <v>2.878E-4</v>
      </c>
    </row>
    <row r="53" spans="3:6" ht="20.100000000000001" customHeight="1">
      <c r="C53" s="628" t="s">
        <v>643</v>
      </c>
      <c r="D53" s="543" t="s">
        <v>264</v>
      </c>
      <c r="E53" s="536">
        <v>2.883</v>
      </c>
      <c r="F53" s="545">
        <v>2.7349999999999998E-4</v>
      </c>
    </row>
    <row r="54" spans="3:6" ht="20.100000000000001" customHeight="1">
      <c r="C54" s="628"/>
      <c r="D54" s="543" t="s">
        <v>265</v>
      </c>
      <c r="E54" s="536">
        <v>2.4809999999999999</v>
      </c>
      <c r="F54" s="535"/>
    </row>
    <row r="55" spans="3:6" ht="20.100000000000001" customHeight="1">
      <c r="C55" s="628"/>
      <c r="D55" s="543" t="s">
        <v>266</v>
      </c>
      <c r="E55" s="546">
        <v>2.6819999999999999</v>
      </c>
      <c r="F55" s="547">
        <v>2.7349999999999998E-4</v>
      </c>
    </row>
    <row r="56" spans="3:6" ht="20.100000000000001" customHeight="1">
      <c r="C56" s="615" t="s">
        <v>644</v>
      </c>
      <c r="D56" s="222" t="s">
        <v>264</v>
      </c>
      <c r="E56" s="203">
        <v>2.883</v>
      </c>
      <c r="F56" s="516">
        <v>2.7720000000000002E-4</v>
      </c>
    </row>
    <row r="57" spans="3:6" ht="20.100000000000001" customHeight="1">
      <c r="C57" s="615"/>
      <c r="D57" s="222" t="s">
        <v>265</v>
      </c>
      <c r="E57" s="203">
        <v>2.645</v>
      </c>
      <c r="F57" s="197"/>
    </row>
    <row r="58" spans="3:6" ht="20.100000000000001" customHeight="1">
      <c r="C58" s="615"/>
      <c r="D58" s="222" t="s">
        <v>266</v>
      </c>
      <c r="E58" s="261">
        <v>2.7640000000000002</v>
      </c>
      <c r="F58" s="517">
        <v>2.7720000000000002E-4</v>
      </c>
    </row>
    <row r="59" spans="3:6" ht="20.100000000000001" customHeight="1">
      <c r="C59" s="628"/>
      <c r="D59" s="543"/>
      <c r="E59" s="536"/>
      <c r="F59" s="545"/>
    </row>
    <row r="60" spans="3:6" ht="20.100000000000001" customHeight="1">
      <c r="C60" s="628"/>
      <c r="D60" s="543"/>
      <c r="E60" s="536"/>
      <c r="F60" s="535"/>
    </row>
    <row r="61" spans="3:6" ht="20.100000000000001" customHeight="1">
      <c r="C61" s="628"/>
      <c r="D61" s="543"/>
      <c r="E61" s="546"/>
      <c r="F61" s="547"/>
    </row>
    <row r="62" spans="3:6" ht="20.100000000000001" customHeight="1">
      <c r="C62" s="615"/>
      <c r="D62" s="222"/>
      <c r="E62" s="203"/>
      <c r="F62" s="516"/>
    </row>
    <row r="63" spans="3:6" ht="20.100000000000001" customHeight="1">
      <c r="C63" s="615"/>
      <c r="D63" s="222"/>
      <c r="E63" s="203"/>
      <c r="F63" s="197"/>
    </row>
    <row r="64" spans="3:6" ht="20.100000000000001" customHeight="1">
      <c r="C64" s="615"/>
      <c r="D64" s="222"/>
      <c r="E64" s="261"/>
      <c r="F64" s="517"/>
    </row>
    <row r="65" spans="3:6" ht="20.100000000000001" customHeight="1">
      <c r="C65" s="628"/>
      <c r="D65" s="543"/>
      <c r="E65" s="536"/>
      <c r="F65" s="545"/>
    </row>
    <row r="66" spans="3:6" ht="20.100000000000001" customHeight="1">
      <c r="C66" s="628"/>
      <c r="D66" s="543"/>
      <c r="E66" s="536"/>
      <c r="F66" s="535"/>
    </row>
    <row r="67" spans="3:6" ht="20.100000000000001" customHeight="1">
      <c r="C67" s="629"/>
      <c r="D67" s="548"/>
      <c r="E67" s="549"/>
      <c r="F67" s="550"/>
    </row>
    <row r="68" spans="3:6" ht="20.100000000000001" customHeight="1">
      <c r="C68" s="615"/>
      <c r="D68" s="222"/>
      <c r="E68" s="251"/>
      <c r="F68" s="525"/>
    </row>
    <row r="69" spans="3:6" ht="20.100000000000001" customHeight="1">
      <c r="C69" s="615"/>
      <c r="D69" s="222"/>
      <c r="E69" s="251"/>
      <c r="F69" s="246"/>
    </row>
    <row r="70" spans="3:6" ht="20.100000000000001" customHeight="1" thickBot="1">
      <c r="C70" s="616"/>
      <c r="D70" s="223"/>
      <c r="E70" s="526"/>
      <c r="F70" s="527"/>
    </row>
  </sheetData>
  <mergeCells count="13"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G20" sqref="G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250</v>
      </c>
    </row>
    <row r="3" spans="3:15" s="45" customFormat="1" ht="28.5" customHeight="1">
      <c r="C3" s="485" t="s">
        <v>217</v>
      </c>
      <c r="D3" s="486" t="s">
        <v>240</v>
      </c>
      <c r="E3" s="486" t="s">
        <v>214</v>
      </c>
      <c r="F3" s="486" t="s">
        <v>241</v>
      </c>
      <c r="G3" s="486" t="s">
        <v>245</v>
      </c>
      <c r="H3" s="486" t="s">
        <v>247</v>
      </c>
      <c r="I3" s="486" t="s">
        <v>220</v>
      </c>
      <c r="J3" s="486" t="s">
        <v>248</v>
      </c>
      <c r="K3" s="486" t="s">
        <v>117</v>
      </c>
      <c r="L3" s="486" t="s">
        <v>246</v>
      </c>
      <c r="M3" s="486" t="s">
        <v>242</v>
      </c>
      <c r="N3" s="486" t="s">
        <v>243</v>
      </c>
      <c r="O3" s="487" t="s">
        <v>244</v>
      </c>
    </row>
    <row r="4" spans="3:15" ht="20.100000000000001" customHeight="1">
      <c r="C4" s="198" t="s">
        <v>227</v>
      </c>
      <c r="D4" s="633" t="s">
        <v>691</v>
      </c>
      <c r="E4" s="199">
        <v>53</v>
      </c>
      <c r="F4" s="199">
        <v>2.2494999999999998</v>
      </c>
      <c r="G4" s="636">
        <v>2.5327999999999999</v>
      </c>
      <c r="H4" s="633">
        <v>0.03</v>
      </c>
      <c r="I4" s="199">
        <v>470</v>
      </c>
      <c r="J4" s="639">
        <v>450</v>
      </c>
      <c r="K4" s="199">
        <v>152</v>
      </c>
      <c r="L4" s="639">
        <v>152.4</v>
      </c>
      <c r="M4" s="199">
        <v>-1.4E-3</v>
      </c>
      <c r="N4" s="636">
        <v>-1.2999999999999999E-3</v>
      </c>
      <c r="O4" s="630" t="s">
        <v>249</v>
      </c>
    </row>
    <row r="5" spans="3:15" ht="20.100000000000001" customHeight="1">
      <c r="C5" s="198" t="s">
        <v>228</v>
      </c>
      <c r="D5" s="634"/>
      <c r="E5" s="199">
        <v>55</v>
      </c>
      <c r="F5" s="199">
        <v>2.3704999999999998</v>
      </c>
      <c r="G5" s="637"/>
      <c r="H5" s="634"/>
      <c r="I5" s="199">
        <v>470</v>
      </c>
      <c r="J5" s="640"/>
      <c r="K5" s="199">
        <v>152</v>
      </c>
      <c r="L5" s="640"/>
      <c r="M5" s="199">
        <v>-1.4E-3</v>
      </c>
      <c r="N5" s="637"/>
      <c r="O5" s="631"/>
    </row>
    <row r="6" spans="3:15" ht="20.100000000000001" customHeight="1">
      <c r="C6" s="198" t="s">
        <v>229</v>
      </c>
      <c r="D6" s="634"/>
      <c r="E6" s="199">
        <v>54</v>
      </c>
      <c r="F6" s="199">
        <v>2.4525000000000001</v>
      </c>
      <c r="G6" s="637"/>
      <c r="H6" s="634"/>
      <c r="I6" s="199">
        <v>470</v>
      </c>
      <c r="J6" s="640"/>
      <c r="K6" s="199">
        <v>152</v>
      </c>
      <c r="L6" s="640"/>
      <c r="M6" s="199">
        <v>-1E-3</v>
      </c>
      <c r="N6" s="637"/>
      <c r="O6" s="631"/>
    </row>
    <row r="7" spans="3:15" ht="20.100000000000001" customHeight="1">
      <c r="C7" s="198" t="s">
        <v>354</v>
      </c>
      <c r="D7" s="634"/>
      <c r="E7" s="199">
        <v>52</v>
      </c>
      <c r="F7" s="199">
        <v>2.5270000000000001</v>
      </c>
      <c r="G7" s="637"/>
      <c r="H7" s="634"/>
      <c r="I7" s="199">
        <v>470</v>
      </c>
      <c r="J7" s="640"/>
      <c r="K7" s="199">
        <v>152</v>
      </c>
      <c r="L7" s="640"/>
      <c r="M7" s="199">
        <v>-1.6999999999999999E-3</v>
      </c>
      <c r="N7" s="637"/>
      <c r="O7" s="631"/>
    </row>
    <row r="8" spans="3:15" ht="20.100000000000001" customHeight="1">
      <c r="C8" s="198" t="s">
        <v>355</v>
      </c>
      <c r="D8" s="634"/>
      <c r="E8" s="199">
        <v>56</v>
      </c>
      <c r="F8" s="199">
        <v>2.8365</v>
      </c>
      <c r="G8" s="637"/>
      <c r="H8" s="634"/>
      <c r="I8" s="199">
        <v>470</v>
      </c>
      <c r="J8" s="640"/>
      <c r="K8" s="199">
        <v>152</v>
      </c>
      <c r="L8" s="640"/>
      <c r="M8" s="199">
        <v>-1.2999999999999999E-3</v>
      </c>
      <c r="N8" s="637"/>
      <c r="O8" s="631"/>
    </row>
    <row r="9" spans="3:15" ht="20.100000000000001" customHeight="1">
      <c r="C9" s="198" t="s">
        <v>356</v>
      </c>
      <c r="D9" s="634"/>
      <c r="E9" s="199">
        <v>51</v>
      </c>
      <c r="F9" s="199">
        <v>2.8424999999999998</v>
      </c>
      <c r="G9" s="637"/>
      <c r="H9" s="634"/>
      <c r="I9" s="199">
        <v>470</v>
      </c>
      <c r="J9" s="640"/>
      <c r="K9" s="199">
        <v>153</v>
      </c>
      <c r="L9" s="640"/>
      <c r="M9" s="199">
        <v>-1.6000000000000001E-3</v>
      </c>
      <c r="N9" s="637"/>
      <c r="O9" s="631"/>
    </row>
    <row r="10" spans="3:15" ht="20.100000000000001" customHeight="1">
      <c r="C10" s="198" t="s">
        <v>642</v>
      </c>
      <c r="D10" s="634"/>
      <c r="E10" s="199">
        <v>50</v>
      </c>
      <c r="F10" s="199">
        <v>2.0710000000000002</v>
      </c>
      <c r="G10" s="637"/>
      <c r="H10" s="634"/>
      <c r="I10" s="199">
        <v>470</v>
      </c>
      <c r="J10" s="640"/>
      <c r="K10" s="199">
        <v>153</v>
      </c>
      <c r="L10" s="640"/>
      <c r="M10" s="199">
        <v>-1.1999999999999999E-3</v>
      </c>
      <c r="N10" s="637"/>
      <c r="O10" s="631"/>
    </row>
    <row r="11" spans="3:15" ht="20.100000000000001" customHeight="1">
      <c r="C11" s="198" t="s">
        <v>643</v>
      </c>
      <c r="D11" s="634"/>
      <c r="E11" s="199">
        <v>59</v>
      </c>
      <c r="F11" s="199">
        <v>2.6819999999999999</v>
      </c>
      <c r="G11" s="637"/>
      <c r="H11" s="634"/>
      <c r="I11" s="199">
        <v>380</v>
      </c>
      <c r="J11" s="640"/>
      <c r="K11" s="199">
        <v>153</v>
      </c>
      <c r="L11" s="640"/>
      <c r="M11" s="199">
        <v>-1.2999999999999999E-3</v>
      </c>
      <c r="N11" s="637"/>
      <c r="O11" s="631"/>
    </row>
    <row r="12" spans="3:15" ht="20.100000000000001" customHeight="1">
      <c r="C12" s="198" t="s">
        <v>644</v>
      </c>
      <c r="D12" s="635"/>
      <c r="E12" s="199">
        <v>54</v>
      </c>
      <c r="F12" s="199">
        <v>2.7639999999999998</v>
      </c>
      <c r="G12" s="638"/>
      <c r="H12" s="635"/>
      <c r="I12" s="199">
        <v>380</v>
      </c>
      <c r="J12" s="641"/>
      <c r="K12" s="199">
        <v>153</v>
      </c>
      <c r="L12" s="641"/>
      <c r="M12" s="199">
        <v>-1.1000000000000001E-3</v>
      </c>
      <c r="N12" s="638"/>
      <c r="O12" s="632"/>
    </row>
    <row r="13" spans="3:15" ht="20.100000000000001" customHeight="1">
      <c r="C13" s="198"/>
      <c r="D13" s="199"/>
      <c r="E13" s="199"/>
      <c r="F13" s="199"/>
      <c r="G13" s="302"/>
      <c r="H13" s="199"/>
      <c r="I13" s="199"/>
      <c r="J13" s="572"/>
      <c r="K13" s="199"/>
      <c r="L13" s="572"/>
      <c r="M13" s="199"/>
      <c r="N13" s="302"/>
      <c r="O13" s="200"/>
    </row>
    <row r="14" spans="3:15" ht="20.100000000000001" customHeight="1">
      <c r="C14" s="198"/>
      <c r="D14" s="199"/>
      <c r="E14" s="199"/>
      <c r="F14" s="199"/>
      <c r="G14" s="302"/>
      <c r="H14" s="199"/>
      <c r="I14" s="199"/>
      <c r="J14" s="572"/>
      <c r="K14" s="199"/>
      <c r="L14" s="572"/>
      <c r="M14" s="199"/>
      <c r="N14" s="302"/>
      <c r="O14" s="200"/>
    </row>
    <row r="15" spans="3:15" ht="20.100000000000001" customHeight="1">
      <c r="C15" s="198"/>
      <c r="D15" s="199"/>
      <c r="E15" s="199"/>
      <c r="F15" s="199"/>
      <c r="G15" s="302"/>
      <c r="H15" s="199"/>
      <c r="I15" s="199"/>
      <c r="J15" s="572"/>
      <c r="K15" s="199"/>
      <c r="L15" s="572"/>
      <c r="M15" s="199"/>
      <c r="N15" s="302"/>
      <c r="O15" s="200"/>
    </row>
    <row r="16" spans="3:15" ht="20.100000000000001" customHeight="1">
      <c r="C16" s="198"/>
      <c r="D16" s="199"/>
      <c r="E16" s="199"/>
      <c r="F16" s="199"/>
      <c r="G16" s="302"/>
      <c r="H16" s="199"/>
      <c r="I16" s="199"/>
      <c r="J16" s="572"/>
      <c r="K16" s="199"/>
      <c r="L16" s="572"/>
      <c r="M16" s="199"/>
      <c r="N16" s="302"/>
      <c r="O16" s="200"/>
    </row>
    <row r="17" spans="3:15" ht="20.100000000000001" customHeight="1" thickBot="1">
      <c r="C17" s="192"/>
      <c r="D17" s="402"/>
      <c r="E17" s="193"/>
      <c r="F17" s="193"/>
      <c r="G17" s="402"/>
      <c r="H17" s="402"/>
      <c r="I17" s="193"/>
      <c r="J17" s="402"/>
      <c r="K17" s="193"/>
      <c r="L17" s="402"/>
      <c r="M17" s="193"/>
      <c r="N17" s="402"/>
      <c r="O17" s="403"/>
    </row>
  </sheetData>
  <mergeCells count="7">
    <mergeCell ref="O4:O12"/>
    <mergeCell ref="H4:H12"/>
    <mergeCell ref="D4:D12"/>
    <mergeCell ref="G4:G12"/>
    <mergeCell ref="J4:J12"/>
    <mergeCell ref="L4:L12"/>
    <mergeCell ref="N4:N12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5"/>
  <sheetViews>
    <sheetView workbookViewId="0">
      <selection activeCell="N40" sqref="N4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268</v>
      </c>
    </row>
    <row r="3" spans="4:19" s="45" customFormat="1" ht="42.75" customHeight="1">
      <c r="D3" s="159" t="s">
        <v>287</v>
      </c>
      <c r="E3" s="160" t="s">
        <v>288</v>
      </c>
      <c r="F3" s="160" t="s">
        <v>289</v>
      </c>
      <c r="G3" s="160" t="s">
        <v>290</v>
      </c>
      <c r="H3" s="160" t="s">
        <v>291</v>
      </c>
      <c r="I3" s="160" t="s">
        <v>292</v>
      </c>
      <c r="J3" s="160" t="s">
        <v>274</v>
      </c>
      <c r="K3" s="161" t="s">
        <v>275</v>
      </c>
      <c r="M3" s="159" t="s">
        <v>287</v>
      </c>
      <c r="N3" s="160" t="s">
        <v>288</v>
      </c>
      <c r="O3" s="160" t="s">
        <v>289</v>
      </c>
      <c r="P3" s="160" t="s">
        <v>291</v>
      </c>
      <c r="Q3" s="160" t="s">
        <v>292</v>
      </c>
      <c r="R3" s="160" t="s">
        <v>274</v>
      </c>
      <c r="S3" s="161" t="s">
        <v>275</v>
      </c>
    </row>
    <row r="4" spans="4:19" s="158" customFormat="1" ht="33.75" customHeight="1" thickBot="1">
      <c r="D4" s="162">
        <v>3778182</v>
      </c>
      <c r="E4" s="163">
        <v>1439.8</v>
      </c>
      <c r="F4" s="163">
        <v>1937.4724319671234</v>
      </c>
      <c r="G4" s="164">
        <v>0.63</v>
      </c>
      <c r="H4" s="163">
        <v>1220.6076321392877</v>
      </c>
      <c r="I4" s="165">
        <v>264.7</v>
      </c>
      <c r="J4" s="163">
        <v>135</v>
      </c>
      <c r="K4" s="166">
        <v>820.90763213928767</v>
      </c>
      <c r="M4" s="162">
        <f>D4</f>
        <v>3778182</v>
      </c>
      <c r="N4" s="163">
        <f>E4</f>
        <v>1439.8</v>
      </c>
      <c r="O4" s="163">
        <f>F4</f>
        <v>1937.4724319671234</v>
      </c>
      <c r="P4" s="163">
        <f>H4</f>
        <v>1220.6076321392877</v>
      </c>
      <c r="Q4" s="165">
        <f>I4</f>
        <v>264.7</v>
      </c>
      <c r="R4" s="163">
        <f>J4</f>
        <v>135</v>
      </c>
      <c r="S4" s="166">
        <f>K4</f>
        <v>820.90763213928767</v>
      </c>
    </row>
    <row r="6" spans="4:19" ht="20.100000000000001" customHeight="1" thickBot="1"/>
    <row r="7" spans="4:19" ht="62.25" customHeight="1">
      <c r="D7" s="159" t="s">
        <v>287</v>
      </c>
      <c r="E7" s="160" t="s">
        <v>288</v>
      </c>
      <c r="F7" s="160" t="s">
        <v>289</v>
      </c>
      <c r="G7" s="160" t="s">
        <v>290</v>
      </c>
      <c r="H7" s="160" t="s">
        <v>291</v>
      </c>
      <c r="I7" s="160" t="s">
        <v>292</v>
      </c>
      <c r="J7" s="160" t="s">
        <v>293</v>
      </c>
      <c r="K7" s="161" t="s">
        <v>274</v>
      </c>
    </row>
    <row r="8" spans="4:19" ht="31.5" customHeight="1" thickBot="1">
      <c r="D8" s="162">
        <v>3778182</v>
      </c>
      <c r="E8" s="163">
        <v>1439.8</v>
      </c>
      <c r="F8" s="163">
        <v>1937.4724319671234</v>
      </c>
      <c r="G8" s="164">
        <v>0.63</v>
      </c>
      <c r="H8" s="163">
        <v>1220.6076321392877</v>
      </c>
      <c r="I8" s="165">
        <v>264.7</v>
      </c>
      <c r="J8" s="163">
        <v>955.90763213928767</v>
      </c>
      <c r="K8" s="166">
        <v>135</v>
      </c>
    </row>
    <row r="10" spans="4:19" ht="30.75" customHeight="1" thickBot="1">
      <c r="D10" s="148" t="s">
        <v>301</v>
      </c>
    </row>
    <row r="11" spans="4:19" s="45" customFormat="1" ht="39" customHeight="1">
      <c r="D11" s="159" t="s">
        <v>294</v>
      </c>
      <c r="E11" s="167" t="s">
        <v>295</v>
      </c>
      <c r="F11" s="167" t="s">
        <v>296</v>
      </c>
      <c r="G11" s="167" t="s">
        <v>297</v>
      </c>
      <c r="H11" s="167" t="s">
        <v>298</v>
      </c>
      <c r="I11" s="167" t="s">
        <v>299</v>
      </c>
      <c r="J11" s="168" t="s">
        <v>300</v>
      </c>
      <c r="L11" s="159" t="s">
        <v>294</v>
      </c>
      <c r="M11" s="167" t="s">
        <v>295</v>
      </c>
      <c r="N11" s="167" t="s">
        <v>296</v>
      </c>
      <c r="O11" s="167" t="s">
        <v>297</v>
      </c>
      <c r="P11" s="167" t="s">
        <v>298</v>
      </c>
      <c r="Q11" s="167" t="s">
        <v>162</v>
      </c>
      <c r="R11" s="167" t="s">
        <v>299</v>
      </c>
      <c r="S11" s="168" t="s">
        <v>300</v>
      </c>
    </row>
    <row r="12" spans="4:19" s="30" customFormat="1" ht="20.100000000000001" customHeight="1">
      <c r="D12" s="198" t="s">
        <v>227</v>
      </c>
      <c r="E12" s="199">
        <v>500</v>
      </c>
      <c r="F12" s="199">
        <v>53</v>
      </c>
      <c r="G12" s="506">
        <v>12.03</v>
      </c>
      <c r="H12" s="506">
        <v>26.47</v>
      </c>
      <c r="I12" s="302">
        <v>2.2494999999999998</v>
      </c>
      <c r="J12" s="507">
        <v>2.8430000000000003E-4</v>
      </c>
      <c r="L12" s="198" t="s">
        <v>227</v>
      </c>
      <c r="M12" s="199">
        <v>500</v>
      </c>
      <c r="N12" s="199">
        <v>53</v>
      </c>
      <c r="O12" s="506">
        <v>12.03</v>
      </c>
      <c r="P12" s="506">
        <v>26.47</v>
      </c>
      <c r="Q12" s="213">
        <v>14.44</v>
      </c>
      <c r="R12" s="302">
        <v>2.2494999999999998</v>
      </c>
      <c r="S12" s="507">
        <v>2.8430000000000003E-4</v>
      </c>
    </row>
    <row r="13" spans="4:19" s="30" customFormat="1" ht="20.100000000000001" customHeight="1">
      <c r="D13" s="264" t="s">
        <v>228</v>
      </c>
      <c r="E13" s="265">
        <v>500</v>
      </c>
      <c r="F13" s="265">
        <v>55</v>
      </c>
      <c r="G13" s="508">
        <v>11.89</v>
      </c>
      <c r="H13" s="508">
        <v>25.37</v>
      </c>
      <c r="I13" s="509">
        <v>2.3704999999999998</v>
      </c>
      <c r="J13" s="510">
        <v>2.7480000000000001E-4</v>
      </c>
      <c r="L13" s="264" t="s">
        <v>228</v>
      </c>
      <c r="M13" s="265">
        <v>500</v>
      </c>
      <c r="N13" s="265">
        <v>55</v>
      </c>
      <c r="O13" s="508">
        <v>11.89</v>
      </c>
      <c r="P13" s="508">
        <v>25.37</v>
      </c>
      <c r="Q13" s="511">
        <v>13.48</v>
      </c>
      <c r="R13" s="509">
        <v>2.3704999999999998</v>
      </c>
      <c r="S13" s="510">
        <v>2.7480000000000001E-4</v>
      </c>
    </row>
    <row r="14" spans="4:19" s="30" customFormat="1" ht="20.100000000000001" customHeight="1">
      <c r="D14" s="198" t="s">
        <v>229</v>
      </c>
      <c r="E14" s="199">
        <v>500</v>
      </c>
      <c r="F14" s="199">
        <v>54</v>
      </c>
      <c r="G14" s="506">
        <v>11.75</v>
      </c>
      <c r="H14" s="506">
        <v>25.52</v>
      </c>
      <c r="I14" s="302">
        <v>2.4525000000000001</v>
      </c>
      <c r="J14" s="507">
        <v>2.789E-4</v>
      </c>
      <c r="L14" s="198" t="s">
        <v>229</v>
      </c>
      <c r="M14" s="199">
        <v>500</v>
      </c>
      <c r="N14" s="199">
        <v>54</v>
      </c>
      <c r="O14" s="506">
        <v>11.75</v>
      </c>
      <c r="P14" s="506">
        <v>25.52</v>
      </c>
      <c r="Q14" s="253">
        <v>13.77</v>
      </c>
      <c r="R14" s="302">
        <v>2.4525000000000001</v>
      </c>
      <c r="S14" s="507">
        <v>2.789E-4</v>
      </c>
    </row>
    <row r="15" spans="4:19" s="30" customFormat="1" ht="20.100000000000001" customHeight="1">
      <c r="D15" s="264" t="s">
        <v>354</v>
      </c>
      <c r="E15" s="265">
        <v>500</v>
      </c>
      <c r="F15" s="265">
        <v>52</v>
      </c>
      <c r="G15" s="508">
        <v>12.54</v>
      </c>
      <c r="H15" s="508">
        <v>24.45</v>
      </c>
      <c r="I15" s="509">
        <v>2.5270000000000001</v>
      </c>
      <c r="J15" s="510">
        <v>2.5530000000000003E-4</v>
      </c>
      <c r="L15" s="264" t="s">
        <v>354</v>
      </c>
      <c r="M15" s="265">
        <v>500</v>
      </c>
      <c r="N15" s="265">
        <v>52</v>
      </c>
      <c r="O15" s="508">
        <v>12.54</v>
      </c>
      <c r="P15" s="508">
        <v>24.45</v>
      </c>
      <c r="Q15" s="511">
        <v>11.91</v>
      </c>
      <c r="R15" s="509">
        <v>2.5270000000000001</v>
      </c>
      <c r="S15" s="510">
        <v>2.5530000000000003E-4</v>
      </c>
    </row>
    <row r="16" spans="4:19" s="30" customFormat="1" ht="20.100000000000001" customHeight="1">
      <c r="D16" s="198" t="s">
        <v>355</v>
      </c>
      <c r="E16" s="199">
        <v>500</v>
      </c>
      <c r="F16" s="199">
        <v>56</v>
      </c>
      <c r="G16" s="506">
        <v>11.7</v>
      </c>
      <c r="H16" s="506">
        <v>25.37</v>
      </c>
      <c r="I16" s="302">
        <v>2.8365</v>
      </c>
      <c r="J16" s="507">
        <v>2.7520000000000002E-4</v>
      </c>
      <c r="L16" s="198" t="s">
        <v>355</v>
      </c>
      <c r="M16" s="199">
        <v>500</v>
      </c>
      <c r="N16" s="199">
        <v>56</v>
      </c>
      <c r="O16" s="506">
        <v>11.7</v>
      </c>
      <c r="P16" s="506">
        <v>25.37</v>
      </c>
      <c r="Q16" s="253">
        <v>13.670000000000002</v>
      </c>
      <c r="R16" s="302">
        <v>2.8365</v>
      </c>
      <c r="S16" s="507">
        <v>2.7520000000000002E-4</v>
      </c>
    </row>
    <row r="17" spans="4:19" s="30" customFormat="1" ht="20.100000000000001" customHeight="1">
      <c r="D17" s="264" t="s">
        <v>356</v>
      </c>
      <c r="E17" s="265">
        <v>500</v>
      </c>
      <c r="F17" s="265">
        <v>51</v>
      </c>
      <c r="G17" s="508">
        <v>12.3</v>
      </c>
      <c r="H17" s="508">
        <v>24.24</v>
      </c>
      <c r="I17" s="509">
        <v>2.8424999999999998</v>
      </c>
      <c r="J17" s="510">
        <v>2.7250000000000001E-4</v>
      </c>
      <c r="L17" s="264" t="s">
        <v>356</v>
      </c>
      <c r="M17" s="265">
        <v>500</v>
      </c>
      <c r="N17" s="265">
        <v>51</v>
      </c>
      <c r="O17" s="508">
        <v>12.3</v>
      </c>
      <c r="P17" s="508">
        <v>24.24</v>
      </c>
      <c r="Q17" s="511">
        <v>11.939999999999998</v>
      </c>
      <c r="R17" s="509">
        <v>2.8424999999999998</v>
      </c>
      <c r="S17" s="510">
        <v>2.7250000000000001E-4</v>
      </c>
    </row>
    <row r="18" spans="4:19" s="30" customFormat="1" ht="20.100000000000001" customHeight="1">
      <c r="D18" s="198" t="s">
        <v>642</v>
      </c>
      <c r="E18" s="199">
        <v>500</v>
      </c>
      <c r="F18" s="199">
        <v>50</v>
      </c>
      <c r="G18" s="506">
        <v>11.48</v>
      </c>
      <c r="H18" s="506">
        <v>25.45</v>
      </c>
      <c r="I18" s="302">
        <v>2.0710000000000002</v>
      </c>
      <c r="J18" s="507">
        <v>2.878E-4</v>
      </c>
      <c r="L18" s="198" t="s">
        <v>642</v>
      </c>
      <c r="M18" s="199">
        <v>500</v>
      </c>
      <c r="N18" s="199">
        <v>50</v>
      </c>
      <c r="O18" s="506">
        <v>11.48</v>
      </c>
      <c r="P18" s="506">
        <v>25.45</v>
      </c>
      <c r="Q18" s="253">
        <v>13.969999999999999</v>
      </c>
      <c r="R18" s="302">
        <v>2.0710000000000002</v>
      </c>
      <c r="S18" s="507">
        <v>2.878E-4</v>
      </c>
    </row>
    <row r="19" spans="4:19" s="30" customFormat="1" ht="20.100000000000001" customHeight="1">
      <c r="D19" s="264" t="s">
        <v>643</v>
      </c>
      <c r="E19" s="265">
        <v>410</v>
      </c>
      <c r="F19" s="265">
        <v>59</v>
      </c>
      <c r="G19" s="508">
        <v>11.75</v>
      </c>
      <c r="H19" s="508">
        <v>26.1</v>
      </c>
      <c r="I19" s="509">
        <v>2.6819999999999999</v>
      </c>
      <c r="J19" s="510">
        <v>2.7349999999999998E-4</v>
      </c>
      <c r="L19" s="264" t="s">
        <v>643</v>
      </c>
      <c r="M19" s="265">
        <v>410</v>
      </c>
      <c r="N19" s="265">
        <v>59</v>
      </c>
      <c r="O19" s="508">
        <v>11.75</v>
      </c>
      <c r="P19" s="508">
        <v>26.1</v>
      </c>
      <c r="Q19" s="511">
        <v>14.350000000000001</v>
      </c>
      <c r="R19" s="509">
        <v>2.6819999999999999</v>
      </c>
      <c r="S19" s="510">
        <v>2.7349999999999998E-4</v>
      </c>
    </row>
    <row r="20" spans="4:19" s="30" customFormat="1" ht="20.100000000000001" customHeight="1">
      <c r="D20" s="198" t="s">
        <v>644</v>
      </c>
      <c r="E20" s="199">
        <v>410</v>
      </c>
      <c r="F20" s="199">
        <v>54</v>
      </c>
      <c r="G20" s="506">
        <v>11.32</v>
      </c>
      <c r="H20" s="506">
        <v>25.42</v>
      </c>
      <c r="I20" s="302">
        <v>2.7639999999999998</v>
      </c>
      <c r="J20" s="507">
        <v>2.7720000000000002E-4</v>
      </c>
      <c r="L20" s="198" t="s">
        <v>644</v>
      </c>
      <c r="M20" s="199">
        <v>410</v>
      </c>
      <c r="N20" s="199">
        <v>54</v>
      </c>
      <c r="O20" s="506">
        <v>11.32</v>
      </c>
      <c r="P20" s="506">
        <v>25.42</v>
      </c>
      <c r="Q20" s="253">
        <v>14.100000000000001</v>
      </c>
      <c r="R20" s="302">
        <v>2.7639999999999998</v>
      </c>
      <c r="S20" s="507">
        <v>2.7720000000000002E-4</v>
      </c>
    </row>
    <row r="21" spans="4:19" s="30" customFormat="1" ht="20.100000000000001" customHeight="1">
      <c r="D21" s="264"/>
      <c r="E21" s="265"/>
      <c r="F21" s="265"/>
      <c r="G21" s="508"/>
      <c r="H21" s="508"/>
      <c r="I21" s="509"/>
      <c r="J21" s="510"/>
      <c r="L21" s="264"/>
      <c r="M21" s="265"/>
      <c r="N21" s="265"/>
      <c r="O21" s="508"/>
      <c r="P21" s="508"/>
      <c r="Q21" s="511"/>
      <c r="R21" s="509"/>
      <c r="S21" s="510"/>
    </row>
    <row r="22" spans="4:19" s="30" customFormat="1" ht="20.100000000000001" customHeight="1">
      <c r="D22" s="198"/>
      <c r="E22" s="199"/>
      <c r="F22" s="199"/>
      <c r="G22" s="506"/>
      <c r="H22" s="506"/>
      <c r="I22" s="302"/>
      <c r="J22" s="507"/>
      <c r="L22" s="198"/>
      <c r="M22" s="199"/>
      <c r="N22" s="199"/>
      <c r="O22" s="506"/>
      <c r="P22" s="506"/>
      <c r="Q22" s="253"/>
      <c r="R22" s="302"/>
      <c r="S22" s="507"/>
    </row>
    <row r="23" spans="4:19" s="30" customFormat="1" ht="20.100000000000001" customHeight="1">
      <c r="D23" s="264"/>
      <c r="E23" s="265"/>
      <c r="F23" s="265"/>
      <c r="G23" s="508"/>
      <c r="H23" s="508"/>
      <c r="I23" s="509"/>
      <c r="J23" s="510"/>
      <c r="L23" s="264"/>
      <c r="M23" s="265"/>
      <c r="N23" s="265"/>
      <c r="O23" s="508"/>
      <c r="P23" s="508"/>
      <c r="Q23" s="511"/>
      <c r="R23" s="509"/>
      <c r="S23" s="510"/>
    </row>
    <row r="24" spans="4:19" s="30" customFormat="1" ht="20.100000000000001" customHeight="1" thickBot="1">
      <c r="D24" s="192"/>
      <c r="E24" s="193"/>
      <c r="F24" s="193"/>
      <c r="G24" s="563"/>
      <c r="H24" s="563"/>
      <c r="I24" s="564"/>
      <c r="J24" s="565"/>
      <c r="L24" s="192"/>
      <c r="M24" s="193"/>
      <c r="N24" s="193"/>
      <c r="O24" s="563"/>
      <c r="P24" s="563"/>
      <c r="Q24" s="566"/>
      <c r="R24" s="564"/>
      <c r="S24" s="565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278</v>
      </c>
      <c r="E27" s="167" t="s">
        <v>276</v>
      </c>
      <c r="F27" s="167" t="s">
        <v>277</v>
      </c>
      <c r="G27" s="168" t="s">
        <v>362</v>
      </c>
      <c r="I27" s="159" t="s">
        <v>278</v>
      </c>
      <c r="J27" s="167" t="s">
        <v>302</v>
      </c>
      <c r="K27" s="168" t="s">
        <v>303</v>
      </c>
    </row>
    <row r="28" spans="4:19" s="30" customFormat="1" ht="20.100000000000001" customHeight="1">
      <c r="D28" s="198" t="s">
        <v>227</v>
      </c>
      <c r="E28" s="199">
        <v>98.2</v>
      </c>
      <c r="F28" s="199">
        <v>119</v>
      </c>
      <c r="G28" s="200">
        <v>0</v>
      </c>
      <c r="I28" s="198" t="s">
        <v>227</v>
      </c>
      <c r="J28" s="199">
        <v>105</v>
      </c>
      <c r="K28" s="200">
        <v>129</v>
      </c>
      <c r="M28" s="411">
        <f>MIN(J28:J40)</f>
        <v>105</v>
      </c>
      <c r="N28" s="412" t="s">
        <v>636</v>
      </c>
    </row>
    <row r="29" spans="4:19" s="30" customFormat="1" ht="20.100000000000001" customHeight="1" thickBot="1">
      <c r="D29" s="198" t="s">
        <v>228</v>
      </c>
      <c r="E29" s="199">
        <v>102.5</v>
      </c>
      <c r="F29" s="199">
        <v>122</v>
      </c>
      <c r="G29" s="200">
        <v>0</v>
      </c>
      <c r="I29" s="198" t="s">
        <v>228</v>
      </c>
      <c r="J29" s="199">
        <v>105</v>
      </c>
      <c r="K29" s="200">
        <v>129</v>
      </c>
      <c r="M29" s="170">
        <f>MAX(K28:K40)</f>
        <v>129</v>
      </c>
      <c r="N29" s="247" t="s">
        <v>690</v>
      </c>
    </row>
    <row r="30" spans="4:19" s="30" customFormat="1" ht="20.100000000000001" customHeight="1">
      <c r="D30" s="198" t="s">
        <v>229</v>
      </c>
      <c r="E30" s="199">
        <v>103.5</v>
      </c>
      <c r="F30" s="199">
        <v>125</v>
      </c>
      <c r="G30" s="200">
        <v>0</v>
      </c>
      <c r="I30" s="198" t="s">
        <v>229</v>
      </c>
      <c r="J30" s="199">
        <v>105</v>
      </c>
      <c r="K30" s="200">
        <v>129</v>
      </c>
    </row>
    <row r="31" spans="4:19" s="30" customFormat="1" ht="20.100000000000001" customHeight="1">
      <c r="D31" s="198" t="s">
        <v>354</v>
      </c>
      <c r="E31" s="199">
        <v>109.8</v>
      </c>
      <c r="F31" s="199">
        <v>128</v>
      </c>
      <c r="G31" s="200">
        <v>0</v>
      </c>
      <c r="I31" s="198" t="s">
        <v>354</v>
      </c>
      <c r="J31" s="199">
        <v>105</v>
      </c>
      <c r="K31" s="200">
        <v>129</v>
      </c>
      <c r="M31" s="45" t="s">
        <v>371</v>
      </c>
    </row>
    <row r="32" spans="4:19" s="30" customFormat="1" ht="20.100000000000001" customHeight="1" thickBot="1">
      <c r="D32" s="198" t="s">
        <v>355</v>
      </c>
      <c r="E32" s="199">
        <v>112.1</v>
      </c>
      <c r="F32" s="199">
        <v>130</v>
      </c>
      <c r="G32" s="200">
        <v>0</v>
      </c>
      <c r="I32" s="198" t="s">
        <v>355</v>
      </c>
      <c r="J32" s="199">
        <v>105</v>
      </c>
      <c r="K32" s="200">
        <v>129</v>
      </c>
    </row>
    <row r="33" spans="4:16" s="30" customFormat="1" ht="20.100000000000001" customHeight="1">
      <c r="D33" s="198" t="s">
        <v>356</v>
      </c>
      <c r="E33" s="199">
        <v>112.7</v>
      </c>
      <c r="F33" s="199">
        <v>129</v>
      </c>
      <c r="G33" s="200">
        <v>0</v>
      </c>
      <c r="I33" s="198" t="s">
        <v>356</v>
      </c>
      <c r="J33" s="199">
        <v>105</v>
      </c>
      <c r="K33" s="200">
        <v>129</v>
      </c>
      <c r="M33" s="411" t="s">
        <v>692</v>
      </c>
      <c r="N33" s="412">
        <f>MAX(E28:E40)</f>
        <v>112.7</v>
      </c>
    </row>
    <row r="34" spans="4:16" s="30" customFormat="1" ht="20.100000000000001" customHeight="1" thickBot="1">
      <c r="D34" s="198" t="s">
        <v>642</v>
      </c>
      <c r="E34" s="199">
        <v>93.6</v>
      </c>
      <c r="F34" s="199">
        <v>125</v>
      </c>
      <c r="G34" s="200">
        <v>0</v>
      </c>
      <c r="I34" s="198" t="s">
        <v>642</v>
      </c>
      <c r="J34" s="199">
        <v>105</v>
      </c>
      <c r="K34" s="200">
        <v>129</v>
      </c>
      <c r="M34" s="170" t="s">
        <v>693</v>
      </c>
      <c r="N34" s="247">
        <f>MIN(E28:E40)</f>
        <v>93.6</v>
      </c>
    </row>
    <row r="35" spans="4:16" s="30" customFormat="1" ht="20.100000000000001" customHeight="1" thickBot="1">
      <c r="D35" s="198" t="s">
        <v>643</v>
      </c>
      <c r="E35" s="199">
        <v>109.3</v>
      </c>
      <c r="F35" s="199">
        <v>119</v>
      </c>
      <c r="G35" s="200">
        <v>0</v>
      </c>
      <c r="I35" s="198" t="s">
        <v>643</v>
      </c>
      <c r="J35" s="199">
        <v>105</v>
      </c>
      <c r="K35" s="200">
        <v>129</v>
      </c>
    </row>
    <row r="36" spans="4:16" s="30" customFormat="1" ht="20.100000000000001" customHeight="1">
      <c r="D36" s="198" t="s">
        <v>644</v>
      </c>
      <c r="E36" s="199">
        <v>110.2</v>
      </c>
      <c r="F36" s="199">
        <v>117</v>
      </c>
      <c r="G36" s="200">
        <v>0</v>
      </c>
      <c r="I36" s="198" t="s">
        <v>644</v>
      </c>
      <c r="J36" s="199">
        <v>105</v>
      </c>
      <c r="K36" s="200">
        <v>129</v>
      </c>
      <c r="M36" s="411" t="s">
        <v>694</v>
      </c>
      <c r="N36" s="412">
        <f>MAX(F28:F40)</f>
        <v>130</v>
      </c>
    </row>
    <row r="37" spans="4:16" s="30" customFormat="1" ht="20.100000000000001" customHeight="1" thickBot="1">
      <c r="D37" s="198"/>
      <c r="E37" s="199"/>
      <c r="F37" s="199"/>
      <c r="G37" s="200"/>
      <c r="I37" s="198"/>
      <c r="J37" s="199"/>
      <c r="K37" s="200"/>
      <c r="M37" s="170" t="s">
        <v>695</v>
      </c>
      <c r="N37" s="247">
        <f>MIN(F28:F40)</f>
        <v>117</v>
      </c>
    </row>
    <row r="38" spans="4:16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6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6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6" ht="20.100000000000001" customHeight="1">
      <c r="D41" s="155"/>
      <c r="L41" s="255" t="s">
        <v>349</v>
      </c>
    </row>
    <row r="42" spans="4:16" ht="20.100000000000001" customHeight="1">
      <c r="D42" s="155"/>
    </row>
    <row r="43" spans="4:16" ht="20.100000000000001" customHeight="1" thickBot="1">
      <c r="D43" s="156" t="s">
        <v>267</v>
      </c>
    </row>
    <row r="44" spans="4:16" s="30" customFormat="1" ht="31.5" customHeight="1">
      <c r="D44" s="159" t="s">
        <v>227</v>
      </c>
      <c r="E44" s="167" t="s">
        <v>228</v>
      </c>
      <c r="F44" s="167" t="s">
        <v>229</v>
      </c>
      <c r="G44" s="167" t="s">
        <v>354</v>
      </c>
      <c r="H44" s="167" t="s">
        <v>355</v>
      </c>
      <c r="I44" s="167" t="s">
        <v>356</v>
      </c>
      <c r="J44" s="167" t="s">
        <v>642</v>
      </c>
      <c r="K44" s="167" t="s">
        <v>643</v>
      </c>
      <c r="L44" s="167" t="s">
        <v>644</v>
      </c>
      <c r="M44" s="167"/>
      <c r="N44" s="167"/>
      <c r="O44" s="167"/>
      <c r="P44" s="168"/>
    </row>
    <row r="45" spans="4:16" s="191" customFormat="1" ht="30" customHeight="1" thickBot="1">
      <c r="D45" s="192">
        <v>15</v>
      </c>
      <c r="E45" s="193">
        <v>15</v>
      </c>
      <c r="F45" s="193">
        <v>15</v>
      </c>
      <c r="G45" s="189">
        <v>15</v>
      </c>
      <c r="H45" s="189">
        <v>15</v>
      </c>
      <c r="I45" s="189">
        <v>15</v>
      </c>
      <c r="J45" s="189">
        <v>15</v>
      </c>
      <c r="K45" s="189">
        <v>15</v>
      </c>
      <c r="L45" s="189">
        <v>15</v>
      </c>
      <c r="M45" s="189"/>
      <c r="N45" s="189"/>
      <c r="O45" s="189"/>
      <c r="P45" s="190"/>
    </row>
    <row r="46" spans="4:16" ht="19.5" customHeight="1">
      <c r="D46" s="155"/>
    </row>
    <row r="47" spans="4:16" ht="20.100000000000001" customHeight="1">
      <c r="D47" s="155"/>
    </row>
    <row r="48" spans="4:16" ht="22.5" customHeight="1" thickBot="1">
      <c r="D48" s="156" t="s">
        <v>279</v>
      </c>
    </row>
    <row r="49" spans="4:22" s="30" customFormat="1" ht="36.75" customHeight="1">
      <c r="D49" s="159" t="s">
        <v>227</v>
      </c>
      <c r="E49" s="167" t="s">
        <v>228</v>
      </c>
      <c r="F49" s="167" t="s">
        <v>229</v>
      </c>
      <c r="G49" s="167" t="s">
        <v>354</v>
      </c>
      <c r="H49" s="167" t="s">
        <v>355</v>
      </c>
      <c r="I49" s="167" t="s">
        <v>356</v>
      </c>
      <c r="J49" s="167" t="s">
        <v>642</v>
      </c>
      <c r="K49" s="167" t="s">
        <v>643</v>
      </c>
      <c r="L49" s="167" t="s">
        <v>644</v>
      </c>
      <c r="M49" s="167"/>
      <c r="N49" s="167"/>
      <c r="O49" s="167"/>
      <c r="P49" s="168"/>
    </row>
    <row r="50" spans="4:22" s="191" customFormat="1" ht="30" customHeight="1" thickBot="1">
      <c r="D50" s="192">
        <v>500</v>
      </c>
      <c r="E50" s="193">
        <v>500</v>
      </c>
      <c r="F50" s="193">
        <v>500</v>
      </c>
      <c r="G50" s="189">
        <v>500</v>
      </c>
      <c r="H50" s="189">
        <v>500</v>
      </c>
      <c r="I50" s="189">
        <v>500</v>
      </c>
      <c r="J50" s="189">
        <v>500</v>
      </c>
      <c r="K50" s="189">
        <v>410</v>
      </c>
      <c r="L50" s="189">
        <v>410</v>
      </c>
      <c r="M50" s="189"/>
      <c r="N50" s="189"/>
      <c r="O50" s="189"/>
      <c r="P50" s="190"/>
    </row>
    <row r="51" spans="4:22" ht="20.100000000000001" customHeight="1">
      <c r="D51" s="155"/>
    </row>
    <row r="52" spans="4:22" ht="20.100000000000001" customHeight="1">
      <c r="D52" s="155"/>
    </row>
    <row r="53" spans="4:22" ht="20.100000000000001" customHeight="1" thickBot="1">
      <c r="D53" s="156" t="s">
        <v>281</v>
      </c>
    </row>
    <row r="54" spans="4:22" s="30" customFormat="1" ht="40.5" customHeight="1">
      <c r="D54" s="159" t="s">
        <v>227</v>
      </c>
      <c r="E54" s="167" t="s">
        <v>228</v>
      </c>
      <c r="F54" s="167" t="s">
        <v>229</v>
      </c>
      <c r="G54" s="167" t="s">
        <v>354</v>
      </c>
      <c r="H54" s="167" t="s">
        <v>355</v>
      </c>
      <c r="I54" s="167" t="s">
        <v>356</v>
      </c>
      <c r="J54" s="167" t="s">
        <v>642</v>
      </c>
      <c r="K54" s="167" t="s">
        <v>643</v>
      </c>
      <c r="L54" s="167" t="s">
        <v>644</v>
      </c>
      <c r="M54" s="167"/>
      <c r="N54" s="167"/>
      <c r="O54" s="167"/>
      <c r="P54" s="168"/>
    </row>
    <row r="55" spans="4:22" s="191" customFormat="1" ht="30" customHeight="1" thickBot="1">
      <c r="D55" s="192">
        <v>5</v>
      </c>
      <c r="E55" s="193">
        <v>5</v>
      </c>
      <c r="F55" s="193">
        <v>5</v>
      </c>
      <c r="G55" s="189">
        <v>5</v>
      </c>
      <c r="H55" s="189">
        <v>5</v>
      </c>
      <c r="I55" s="189">
        <v>5</v>
      </c>
      <c r="J55" s="189">
        <v>5</v>
      </c>
      <c r="K55" s="189">
        <v>5</v>
      </c>
      <c r="L55" s="189">
        <v>5</v>
      </c>
      <c r="M55" s="189"/>
      <c r="N55" s="189"/>
      <c r="O55" s="189"/>
      <c r="P55" s="190"/>
    </row>
    <row r="58" spans="4:22" ht="20.100000000000001" customHeight="1" thickBot="1">
      <c r="D58" s="156" t="s">
        <v>221</v>
      </c>
      <c r="E58" s="573">
        <f>MIN(D60:P60)</f>
        <v>11.32</v>
      </c>
      <c r="F58" s="573">
        <f>MAX(D60:P60)</f>
        <v>12.54</v>
      </c>
    </row>
    <row r="59" spans="4:22" ht="36.75" customHeight="1">
      <c r="D59" s="159" t="s">
        <v>227</v>
      </c>
      <c r="E59" s="167" t="s">
        <v>228</v>
      </c>
      <c r="F59" s="167" t="s">
        <v>229</v>
      </c>
      <c r="G59" s="167" t="s">
        <v>354</v>
      </c>
      <c r="H59" s="167" t="s">
        <v>355</v>
      </c>
      <c r="I59" s="167" t="s">
        <v>356</v>
      </c>
      <c r="J59" s="167" t="s">
        <v>642</v>
      </c>
      <c r="K59" s="167" t="s">
        <v>643</v>
      </c>
      <c r="L59" s="167" t="s">
        <v>644</v>
      </c>
      <c r="M59" s="167"/>
      <c r="N59" s="167"/>
      <c r="O59" s="167"/>
      <c r="P59" s="168"/>
    </row>
    <row r="60" spans="4:22" ht="30" customHeight="1" thickBot="1">
      <c r="D60" s="192">
        <v>12.03</v>
      </c>
      <c r="E60" s="193">
        <v>11.89</v>
      </c>
      <c r="F60" s="193">
        <v>11.75</v>
      </c>
      <c r="G60" s="189">
        <v>12.54</v>
      </c>
      <c r="H60" s="189">
        <v>11.7</v>
      </c>
      <c r="I60" s="189">
        <v>12.3</v>
      </c>
      <c r="J60" s="189">
        <v>11.48</v>
      </c>
      <c r="K60" s="189">
        <v>11.75</v>
      </c>
      <c r="L60" s="189">
        <v>11.32</v>
      </c>
      <c r="M60" s="189"/>
      <c r="N60" s="189"/>
      <c r="O60" s="189"/>
      <c r="P60" s="190"/>
    </row>
    <row r="63" spans="4:22" ht="20.100000000000001" customHeight="1" thickBot="1">
      <c r="D63" s="156" t="s">
        <v>222</v>
      </c>
      <c r="E63" s="573">
        <f>MIN(D65:P65)</f>
        <v>24.24</v>
      </c>
      <c r="F63" s="573">
        <f>MAX(D65:P65)</f>
        <v>26.47</v>
      </c>
      <c r="V63" s="567" t="s">
        <v>645</v>
      </c>
    </row>
    <row r="64" spans="4:22" ht="36.75" customHeight="1">
      <c r="D64" s="159" t="s">
        <v>227</v>
      </c>
      <c r="E64" s="167" t="s">
        <v>228</v>
      </c>
      <c r="F64" s="167" t="s">
        <v>229</v>
      </c>
      <c r="G64" s="167" t="s">
        <v>354</v>
      </c>
      <c r="H64" s="167" t="s">
        <v>355</v>
      </c>
      <c r="I64" s="167" t="s">
        <v>356</v>
      </c>
      <c r="J64" s="167" t="s">
        <v>642</v>
      </c>
      <c r="K64" s="167" t="s">
        <v>643</v>
      </c>
      <c r="L64" s="167" t="s">
        <v>644</v>
      </c>
      <c r="M64" s="167"/>
      <c r="N64" s="167"/>
      <c r="O64" s="167"/>
      <c r="P64" s="168"/>
      <c r="V64" s="568">
        <f>MAX(D65:P65)</f>
        <v>26.47</v>
      </c>
    </row>
    <row r="65" spans="4:22" ht="30" customHeight="1" thickBot="1">
      <c r="D65" s="192">
        <v>26.47</v>
      </c>
      <c r="E65" s="193">
        <v>25.37</v>
      </c>
      <c r="F65" s="193">
        <v>25.52</v>
      </c>
      <c r="G65" s="189">
        <v>24.45</v>
      </c>
      <c r="H65" s="189">
        <v>25.37</v>
      </c>
      <c r="I65" s="189">
        <v>24.24</v>
      </c>
      <c r="J65" s="189">
        <v>25.45</v>
      </c>
      <c r="K65" s="189">
        <v>26.1</v>
      </c>
      <c r="L65" s="189">
        <v>25.42</v>
      </c>
      <c r="M65" s="189"/>
      <c r="N65" s="189"/>
      <c r="O65" s="189"/>
      <c r="P65" s="190"/>
      <c r="V65" s="569">
        <f>MIN(D65:P65)</f>
        <v>24.24</v>
      </c>
    </row>
    <row r="68" spans="4:22" ht="20.100000000000001" customHeight="1" thickBot="1">
      <c r="D68" s="156" t="s">
        <v>638</v>
      </c>
    </row>
    <row r="69" spans="4:22" ht="36.75" customHeight="1">
      <c r="D69" s="159" t="s">
        <v>227</v>
      </c>
      <c r="E69" s="167" t="s">
        <v>228</v>
      </c>
      <c r="F69" s="167" t="s">
        <v>229</v>
      </c>
      <c r="G69" s="167" t="s">
        <v>354</v>
      </c>
      <c r="H69" s="167" t="s">
        <v>355</v>
      </c>
      <c r="I69" s="167" t="s">
        <v>356</v>
      </c>
      <c r="J69" s="167" t="s">
        <v>642</v>
      </c>
      <c r="K69" s="167" t="s">
        <v>643</v>
      </c>
      <c r="L69" s="167" t="s">
        <v>644</v>
      </c>
      <c r="M69" s="167"/>
      <c r="N69" s="167"/>
      <c r="O69" s="167"/>
      <c r="P69" s="168"/>
    </row>
    <row r="70" spans="4:22" ht="30" customHeight="1" thickBot="1">
      <c r="D70" s="192">
        <v>50</v>
      </c>
      <c r="E70" s="193">
        <v>50</v>
      </c>
      <c r="F70" s="193">
        <v>50</v>
      </c>
      <c r="G70" s="189">
        <v>50</v>
      </c>
      <c r="H70" s="189">
        <v>50</v>
      </c>
      <c r="I70" s="189">
        <v>50</v>
      </c>
      <c r="J70" s="189">
        <v>50</v>
      </c>
      <c r="K70" s="189">
        <v>50</v>
      </c>
      <c r="L70" s="189">
        <v>50</v>
      </c>
      <c r="M70" s="189"/>
      <c r="N70" s="189"/>
      <c r="O70" s="189"/>
      <c r="P70" s="190"/>
    </row>
    <row r="73" spans="4:22" ht="20.100000000000001" customHeight="1" thickBot="1">
      <c r="D73" s="156" t="s">
        <v>639</v>
      </c>
    </row>
    <row r="74" spans="4:22" ht="36.75" customHeight="1">
      <c r="D74" s="159" t="s">
        <v>227</v>
      </c>
      <c r="E74" s="167" t="s">
        <v>228</v>
      </c>
      <c r="F74" s="167" t="s">
        <v>229</v>
      </c>
      <c r="G74" s="167" t="s">
        <v>354</v>
      </c>
      <c r="H74" s="167" t="s">
        <v>355</v>
      </c>
      <c r="I74" s="167" t="s">
        <v>356</v>
      </c>
      <c r="J74" s="167" t="s">
        <v>642</v>
      </c>
      <c r="K74" s="167" t="s">
        <v>643</v>
      </c>
      <c r="L74" s="167" t="s">
        <v>644</v>
      </c>
      <c r="M74" s="167"/>
      <c r="N74" s="167"/>
      <c r="O74" s="167"/>
      <c r="P74" s="168"/>
    </row>
    <row r="75" spans="4:22" ht="30" customHeight="1" thickBot="1">
      <c r="D75" s="192">
        <v>50</v>
      </c>
      <c r="E75" s="193">
        <v>50</v>
      </c>
      <c r="F75" s="193">
        <v>50</v>
      </c>
      <c r="G75" s="189">
        <v>50</v>
      </c>
      <c r="H75" s="189">
        <v>50</v>
      </c>
      <c r="I75" s="189">
        <v>50</v>
      </c>
      <c r="J75" s="189">
        <v>50</v>
      </c>
      <c r="K75" s="189">
        <v>50</v>
      </c>
      <c r="L75" s="189">
        <v>70</v>
      </c>
      <c r="M75" s="189"/>
      <c r="N75" s="189"/>
      <c r="O75" s="189"/>
      <c r="P7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401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574">
        <f>Well!C4</f>
        <v>0</v>
      </c>
      <c r="D3" s="3" t="s">
        <v>49</v>
      </c>
      <c r="E3" s="4" t="s">
        <v>116</v>
      </c>
      <c r="F3" s="5" t="s">
        <v>106</v>
      </c>
      <c r="G3" s="2" t="s">
        <v>360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5">
        <f>Well!Q4</f>
        <v>0</v>
      </c>
      <c r="D5" s="7" t="s">
        <v>53</v>
      </c>
      <c r="E5" s="512">
        <v>2.5489999999999999</v>
      </c>
      <c r="F5" s="28">
        <f>$E$5/$C$14</f>
        <v>5.4234042553191484E-3</v>
      </c>
      <c r="G5" s="514">
        <v>2.8430000000000003E-4</v>
      </c>
      <c r="H5"/>
      <c r="I5"/>
      <c r="J5" s="388" t="s">
        <v>363</v>
      </c>
      <c r="K5"/>
      <c r="L5"/>
      <c r="M5"/>
    </row>
    <row r="6" spans="1:13" ht="20.100000000000001" customHeight="1" thickBot="1">
      <c r="B6" s="6" t="s">
        <v>54</v>
      </c>
      <c r="C6" s="576" t="str">
        <f>Well!D4</f>
        <v>보령시 주포면 봉당리 647</v>
      </c>
      <c r="D6" s="7" t="s">
        <v>56</v>
      </c>
      <c r="E6" s="513">
        <v>1.95</v>
      </c>
      <c r="F6" s="28">
        <f>$E$6/$C$14</f>
        <v>4.1489361702127655E-3</v>
      </c>
      <c r="G6" s="10">
        <v>20.04</v>
      </c>
      <c r="H6" s="361">
        <v>1.853</v>
      </c>
      <c r="I6"/>
      <c r="J6" s="389" t="s">
        <v>361</v>
      </c>
      <c r="K6" s="386">
        <v>119</v>
      </c>
      <c r="L6"/>
      <c r="M6"/>
    </row>
    <row r="7" spans="1:13" ht="20.100000000000001" customHeight="1" thickBot="1">
      <c r="B7" s="6" t="s">
        <v>55</v>
      </c>
      <c r="C7" s="577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362">
        <f>G5</f>
        <v>2.8430000000000003E-4</v>
      </c>
      <c r="H7" s="357">
        <v>9.7610000000000002E-2</v>
      </c>
      <c r="I7"/>
      <c r="J7" s="390" t="s">
        <v>362</v>
      </c>
      <c r="K7" s="387">
        <v>0</v>
      </c>
      <c r="L7"/>
      <c r="M7"/>
    </row>
    <row r="8" spans="1:13" ht="20.100000000000001" customHeight="1" thickBot="1">
      <c r="B8" s="6" t="s">
        <v>57</v>
      </c>
      <c r="C8" s="578">
        <f>Well!G4</f>
        <v>200</v>
      </c>
    </row>
    <row r="9" spans="1:13" ht="20.100000000000001" customHeight="1" thickBot="1">
      <c r="B9" s="6" t="s">
        <v>59</v>
      </c>
      <c r="C9" s="579">
        <f>C10+C11</f>
        <v>30</v>
      </c>
      <c r="D9" s="11"/>
      <c r="E9" s="358" t="s">
        <v>107</v>
      </c>
      <c r="F9" s="359" t="s">
        <v>108</v>
      </c>
      <c r="G9" s="379" t="s">
        <v>109</v>
      </c>
      <c r="H9" s="478">
        <f>MAX(E10,F10,G10)</f>
        <v>98.2</v>
      </c>
    </row>
    <row r="10" spans="1:13" ht="20.100000000000001" customHeight="1" thickBot="1">
      <c r="B10" s="6" t="s">
        <v>60</v>
      </c>
      <c r="C10" s="580">
        <v>5</v>
      </c>
      <c r="D10" s="360" t="s">
        <v>61</v>
      </c>
      <c r="E10" s="119">
        <v>28.1</v>
      </c>
      <c r="F10" s="120">
        <v>34.4</v>
      </c>
      <c r="G10" s="380">
        <v>98.2</v>
      </c>
      <c r="H10" s="480">
        <f>MIN(E10,F10,G10)</f>
        <v>28.1</v>
      </c>
      <c r="I10" s="12"/>
    </row>
    <row r="11" spans="1:13" ht="20.100000000000001" customHeight="1" thickBot="1">
      <c r="B11" s="6" t="s">
        <v>62</v>
      </c>
      <c r="C11" s="580">
        <v>25</v>
      </c>
      <c r="D11" s="143" t="s">
        <v>63</v>
      </c>
      <c r="E11" s="121">
        <f>ROUND(AVERAGE(E10:G10),1)</f>
        <v>53.6</v>
      </c>
      <c r="F11" s="356">
        <f>ROUND((E10+F10)/2,1)</f>
        <v>31.3</v>
      </c>
      <c r="H11" s="479">
        <f>ROUND(AVERAGE(E10:G10),1)</f>
        <v>53.6</v>
      </c>
      <c r="I11" s="12"/>
      <c r="J11" s="646" t="s">
        <v>115</v>
      </c>
      <c r="K11" s="64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81">
        <f>C7-C9</f>
        <v>470</v>
      </c>
      <c r="H12" s="14"/>
      <c r="J12" s="377" t="s">
        <v>117</v>
      </c>
      <c r="K12" s="570">
        <v>152</v>
      </c>
      <c r="L12" s="571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8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7" t="s">
        <v>110</v>
      </c>
      <c r="K13" s="384">
        <v>2113</v>
      </c>
      <c r="L13" s="381"/>
    </row>
    <row r="14" spans="1:13" ht="20.100000000000001" customHeight="1">
      <c r="B14" s="6" t="s">
        <v>66</v>
      </c>
      <c r="C14" s="579">
        <f>C7-IF(C20&gt;C9,C20,C9)</f>
        <v>470</v>
      </c>
      <c r="G14" s="122">
        <f>max</f>
        <v>1217</v>
      </c>
      <c r="H14" s="15"/>
      <c r="J14" s="377" t="s">
        <v>111</v>
      </c>
      <c r="K14" s="384">
        <v>16</v>
      </c>
      <c r="L14" s="381"/>
    </row>
    <row r="15" spans="1:13" ht="20.100000000000001" customHeight="1" thickBot="1">
      <c r="B15" s="6" t="s">
        <v>67</v>
      </c>
      <c r="C15" s="577">
        <f>Well!I4</f>
        <v>15</v>
      </c>
      <c r="E15" s="34">
        <v>1</v>
      </c>
      <c r="J15" s="377" t="s">
        <v>112</v>
      </c>
      <c r="K15" s="384">
        <v>7</v>
      </c>
      <c r="L15" s="381"/>
    </row>
    <row r="16" spans="1:13" ht="20.100000000000001" customHeight="1">
      <c r="B16" s="6" t="s">
        <v>68</v>
      </c>
      <c r="C16" s="582">
        <f>Well!J4</f>
        <v>53</v>
      </c>
      <c r="E16" s="108" t="s">
        <v>273</v>
      </c>
      <c r="F16" s="109" t="s">
        <v>95</v>
      </c>
      <c r="G16" s="110" t="s">
        <v>94</v>
      </c>
      <c r="H16" s="15"/>
      <c r="J16" s="377" t="s">
        <v>118</v>
      </c>
      <c r="K16" s="385">
        <f>K14-C20</f>
        <v>3.9700000000000006</v>
      </c>
      <c r="L16" s="381"/>
    </row>
    <row r="17" spans="2:12" ht="20.100000000000001" customHeight="1" thickBot="1">
      <c r="B17" s="6" t="s">
        <v>69</v>
      </c>
      <c r="C17" s="577">
        <f>Well!L4</f>
        <v>5</v>
      </c>
      <c r="E17" s="303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77" t="s">
        <v>113</v>
      </c>
      <c r="K17" s="385">
        <f>K16-K15</f>
        <v>-3.0299999999999994</v>
      </c>
      <c r="L17" s="381"/>
    </row>
    <row r="18" spans="2:12" ht="20.100000000000001" customHeight="1" thickBot="1">
      <c r="B18" s="6" t="s">
        <v>70</v>
      </c>
      <c r="C18" s="577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8" t="s">
        <v>114</v>
      </c>
      <c r="K18" s="382">
        <f>(K17/K13)</f>
        <v>-1.433980123047799E-3</v>
      </c>
      <c r="L18" s="383">
        <f>K18*100</f>
        <v>-0.14339801230477989</v>
      </c>
    </row>
    <row r="19" spans="2:12" ht="20.100000000000001" customHeight="1" thickBot="1">
      <c r="B19" s="17" t="s">
        <v>74</v>
      </c>
      <c r="C19" s="583">
        <f>Well!N4</f>
        <v>50</v>
      </c>
      <c r="E19" s="303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84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85">
        <v>26.47</v>
      </c>
      <c r="D21" s="13"/>
      <c r="E21" s="304">
        <f>Well!$I$6</f>
        <v>15</v>
      </c>
      <c r="F21" s="305">
        <f>Well!O4</f>
        <v>130.6</v>
      </c>
      <c r="G21" s="136">
        <f>G19-E21-F21</f>
        <v>1331.4440237575343</v>
      </c>
    </row>
    <row r="22" spans="2:12" ht="20.100000000000001" customHeight="1" thickBot="1">
      <c r="B22" s="27" t="s">
        <v>162</v>
      </c>
      <c r="C22" s="586">
        <f>C21-C20</f>
        <v>14.44</v>
      </c>
      <c r="E22" s="648">
        <f>E21+F21</f>
        <v>145.6</v>
      </c>
      <c r="F22" s="649"/>
      <c r="G22" s="16"/>
      <c r="I22" s="15"/>
    </row>
    <row r="23" spans="2:12" ht="20.100000000000001" customHeight="1" thickBot="1">
      <c r="B23" s="250" t="s">
        <v>230</v>
      </c>
      <c r="C23" s="50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2" t="s">
        <v>617</v>
      </c>
      <c r="C25" s="643"/>
      <c r="D25" s="404" t="s">
        <v>104</v>
      </c>
      <c r="E25" s="404" t="s">
        <v>105</v>
      </c>
      <c r="F25" s="404" t="s">
        <v>96</v>
      </c>
      <c r="G25" s="404" t="s">
        <v>97</v>
      </c>
      <c r="H25" s="404" t="s">
        <v>119</v>
      </c>
      <c r="I25" s="404" t="s">
        <v>98</v>
      </c>
      <c r="J25" s="306" t="s">
        <v>99</v>
      </c>
      <c r="K25" s="405" t="s">
        <v>100</v>
      </c>
    </row>
    <row r="26" spans="2:12" ht="25.5" customHeight="1">
      <c r="B26" s="644" t="s">
        <v>101</v>
      </c>
      <c r="C26" s="406" t="s">
        <v>102</v>
      </c>
      <c r="D26" s="351">
        <f>C20</f>
        <v>12.03</v>
      </c>
      <c r="E26" s="352">
        <f>Recharge!C30</f>
        <v>21.297499999999999</v>
      </c>
      <c r="F26" s="353" t="s">
        <v>181</v>
      </c>
      <c r="G26" s="351" t="s">
        <v>394</v>
      </c>
      <c r="H26" s="354">
        <f>L18</f>
        <v>-0.14339801230477989</v>
      </c>
      <c r="I26" s="351" t="s">
        <v>181</v>
      </c>
      <c r="J26" s="355">
        <f>(E7/C14)/864</f>
        <v>5.5395488573680059E-6</v>
      </c>
      <c r="K26" s="350" t="s">
        <v>636</v>
      </c>
    </row>
    <row r="27" spans="2:12" ht="25.5" customHeight="1">
      <c r="B27" s="644"/>
      <c r="C27" s="307" t="s">
        <v>103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690</v>
      </c>
    </row>
    <row r="28" spans="2:12" ht="25.5" customHeight="1">
      <c r="B28" s="644"/>
      <c r="C28" s="407" t="s">
        <v>174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44"/>
      <c r="C29" s="407" t="s">
        <v>175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44"/>
      <c r="C30" s="406" t="s">
        <v>176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45"/>
      <c r="C31" s="408" t="s">
        <v>177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351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80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81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82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83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52" t="s">
        <v>84</v>
      </c>
      <c r="C12" s="653"/>
      <c r="D12" s="654" t="s">
        <v>85</v>
      </c>
      <c r="E12" s="655"/>
      <c r="F12" s="653"/>
      <c r="H12" s="652" t="s">
        <v>85</v>
      </c>
      <c r="I12" s="655"/>
      <c r="J12" s="653"/>
      <c r="L12"/>
      <c r="M12"/>
      <c r="N12"/>
    </row>
    <row r="13" spans="2:14" s="30" customFormat="1" ht="26.1" customHeight="1">
      <c r="B13" s="266" t="s">
        <v>80</v>
      </c>
      <c r="C13" s="267" t="s">
        <v>86</v>
      </c>
      <c r="D13" s="289" t="s">
        <v>87</v>
      </c>
      <c r="E13" s="290" t="s">
        <v>88</v>
      </c>
      <c r="F13" s="267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91">
        <f>$C$6+C14/1440</f>
        <v>45187.434027777774</v>
      </c>
      <c r="C14" s="272">
        <v>5</v>
      </c>
      <c r="D14" s="292">
        <f t="shared" ref="D14:D20" si="0">baseTemp+H14</f>
        <v>15.100000000000001</v>
      </c>
      <c r="E14" s="293">
        <f>$C$8+I14</f>
        <v>221</v>
      </c>
      <c r="F14" s="294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5">
        <f t="shared" ref="B15:B23" si="1">$C$6+C15/1440</f>
        <v>45187.451388888891</v>
      </c>
      <c r="C15" s="278">
        <v>30</v>
      </c>
      <c r="D15" s="296">
        <f t="shared" si="0"/>
        <v>14.5</v>
      </c>
      <c r="E15" s="297">
        <f t="shared" ref="E15:E20" si="2">$C$8+I15</f>
        <v>231</v>
      </c>
      <c r="F15" s="298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5">
        <f t="shared" si="1"/>
        <v>45187.472222222219</v>
      </c>
      <c r="C16" s="278">
        <v>60</v>
      </c>
      <c r="D16" s="296">
        <f t="shared" si="0"/>
        <v>14.600000000000001</v>
      </c>
      <c r="E16" s="297">
        <f t="shared" si="2"/>
        <v>217</v>
      </c>
      <c r="F16" s="298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5">
        <f t="shared" si="1"/>
        <v>45187.513888888891</v>
      </c>
      <c r="C17" s="278">
        <v>120</v>
      </c>
      <c r="D17" s="296">
        <f t="shared" si="0"/>
        <v>15</v>
      </c>
      <c r="E17" s="297">
        <f t="shared" si="2"/>
        <v>204</v>
      </c>
      <c r="F17" s="298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5">
        <f t="shared" si="1"/>
        <v>45187.597222222219</v>
      </c>
      <c r="C18" s="278">
        <v>240</v>
      </c>
      <c r="D18" s="296">
        <f t="shared" si="0"/>
        <v>14.9</v>
      </c>
      <c r="E18" s="297">
        <f t="shared" si="2"/>
        <v>208</v>
      </c>
      <c r="F18" s="298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5">
        <f t="shared" si="1"/>
        <v>45187.763888888891</v>
      </c>
      <c r="C19" s="278">
        <v>480</v>
      </c>
      <c r="D19" s="299">
        <f t="shared" si="0"/>
        <v>14.600000000000001</v>
      </c>
      <c r="E19" s="297">
        <f t="shared" si="2"/>
        <v>230</v>
      </c>
      <c r="F19" s="298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5">
        <f t="shared" si="1"/>
        <v>45188.430555555555</v>
      </c>
      <c r="C20" s="278">
        <v>1440</v>
      </c>
      <c r="D20" s="296">
        <f t="shared" si="0"/>
        <v>14.600000000000001</v>
      </c>
      <c r="E20" s="297">
        <f t="shared" si="2"/>
        <v>207</v>
      </c>
      <c r="F20" s="298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5">
        <f t="shared" si="1"/>
        <v>45188.597222222219</v>
      </c>
      <c r="C21" s="278">
        <v>1680</v>
      </c>
      <c r="D21" s="296">
        <f>$D$20</f>
        <v>14.600000000000001</v>
      </c>
      <c r="E21" s="297">
        <f>$E$20</f>
        <v>207</v>
      </c>
      <c r="F21" s="298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5">
        <f t="shared" si="1"/>
        <v>45188.763888888891</v>
      </c>
      <c r="C22" s="278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298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5">
        <f t="shared" si="1"/>
        <v>45189.430555555555</v>
      </c>
      <c r="C23" s="278">
        <v>2880</v>
      </c>
      <c r="D23" s="296">
        <f t="shared" si="4"/>
        <v>14.600000000000001</v>
      </c>
      <c r="E23" s="297">
        <f t="shared" si="5"/>
        <v>207</v>
      </c>
      <c r="F23" s="298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56" t="s">
        <v>36</v>
      </c>
      <c r="C24" s="657"/>
      <c r="D24" s="289">
        <f>MAX(D14:D23)</f>
        <v>15.100000000000001</v>
      </c>
      <c r="E24" s="290">
        <f t="shared" ref="E24:F24" si="7">MAX(E14:E23)</f>
        <v>231</v>
      </c>
      <c r="F24" s="267">
        <f t="shared" si="7"/>
        <v>7.0100000000000007</v>
      </c>
      <c r="H24" s="30"/>
      <c r="I24" s="30"/>
      <c r="J24" s="30"/>
    </row>
    <row r="25" spans="2:14" s="31" customFormat="1" ht="26.1" customHeight="1">
      <c r="B25" s="656" t="s">
        <v>37</v>
      </c>
      <c r="C25" s="657"/>
      <c r="D25" s="289">
        <f>MIN(D14:D23)</f>
        <v>14.5</v>
      </c>
      <c r="E25" s="290">
        <f t="shared" ref="E25:F25" si="8">MIN(E14:E23)</f>
        <v>204</v>
      </c>
      <c r="F25" s="267">
        <f t="shared" si="8"/>
        <v>6.78</v>
      </c>
      <c r="H25" s="30"/>
      <c r="I25" s="30"/>
      <c r="J25" s="30"/>
    </row>
    <row r="26" spans="2:14" s="31" customFormat="1" ht="26.1" customHeight="1" thickBot="1">
      <c r="B26" s="650" t="s">
        <v>90</v>
      </c>
      <c r="C26" s="651"/>
      <c r="D26" s="300">
        <f>D24-D25</f>
        <v>0.60000000000000142</v>
      </c>
      <c r="E26" s="301">
        <f t="shared" ref="E26:F26" si="9">E24-E25</f>
        <v>27</v>
      </c>
      <c r="F26" s="281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352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80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81</v>
      </c>
      <c r="C7" s="181">
        <v>14</v>
      </c>
      <c r="D7" s="94"/>
      <c r="E7" s="30"/>
      <c r="F7" s="30"/>
    </row>
    <row r="8" spans="2:9" s="31" customFormat="1" ht="26.1" customHeight="1">
      <c r="B8" s="173" t="s">
        <v>82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83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52" t="s">
        <v>84</v>
      </c>
      <c r="C12" s="653"/>
      <c r="D12" s="652" t="s">
        <v>85</v>
      </c>
      <c r="E12" s="655"/>
      <c r="F12" s="653"/>
      <c r="G12" s="658" t="s">
        <v>155</v>
      </c>
      <c r="H12" s="659"/>
      <c r="I12" s="660"/>
    </row>
    <row r="13" spans="2:9" s="30" customFormat="1" ht="26.1" customHeight="1">
      <c r="B13" s="266" t="s">
        <v>80</v>
      </c>
      <c r="C13" s="267" t="s">
        <v>86</v>
      </c>
      <c r="D13" s="285" t="s">
        <v>87</v>
      </c>
      <c r="E13" s="286" t="s">
        <v>88</v>
      </c>
      <c r="F13" s="287" t="s">
        <v>89</v>
      </c>
      <c r="G13" s="268" t="s">
        <v>87</v>
      </c>
      <c r="H13" s="269" t="s">
        <v>88</v>
      </c>
      <c r="I13" s="270" t="s">
        <v>89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656" t="s">
        <v>36</v>
      </c>
      <c r="C24" s="657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656" t="s">
        <v>37</v>
      </c>
      <c r="C25" s="657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50" t="s">
        <v>90</v>
      </c>
      <c r="C26" s="651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52" t="s">
        <v>85</v>
      </c>
      <c r="E29" s="655"/>
      <c r="F29" s="653"/>
      <c r="H29" s="652" t="s">
        <v>155</v>
      </c>
      <c r="I29" s="655"/>
      <c r="J29" s="65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N23" sqref="N2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353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80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81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82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83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52" t="s">
        <v>84</v>
      </c>
      <c r="C12" s="653"/>
      <c r="D12" s="658" t="s">
        <v>85</v>
      </c>
      <c r="E12" s="659"/>
      <c r="F12" s="660"/>
      <c r="G12" s="658" t="s">
        <v>155</v>
      </c>
      <c r="H12" s="659"/>
      <c r="I12" s="660"/>
      <c r="J12" s="658" t="s">
        <v>156</v>
      </c>
      <c r="K12" s="659"/>
      <c r="L12" s="660"/>
    </row>
    <row r="13" spans="2:12" s="30" customFormat="1" ht="26.1" customHeight="1">
      <c r="B13" s="266" t="s">
        <v>80</v>
      </c>
      <c r="C13" s="267" t="s">
        <v>86</v>
      </c>
      <c r="D13" s="268" t="s">
        <v>159</v>
      </c>
      <c r="E13" s="269" t="s">
        <v>168</v>
      </c>
      <c r="F13" s="270" t="s">
        <v>89</v>
      </c>
      <c r="G13" s="268" t="s">
        <v>159</v>
      </c>
      <c r="H13" s="269" t="s">
        <v>168</v>
      </c>
      <c r="I13" s="270" t="s">
        <v>89</v>
      </c>
      <c r="J13" s="268" t="s">
        <v>159</v>
      </c>
      <c r="K13" s="269" t="s">
        <v>168</v>
      </c>
      <c r="L13" s="270" t="s">
        <v>89</v>
      </c>
    </row>
    <row r="14" spans="2:12" s="30" customFormat="1" ht="26.1" customHeight="1">
      <c r="B14" s="271">
        <f>$C$6+C14/1440</f>
        <v>44717.434027777774</v>
      </c>
      <c r="C14" s="272">
        <v>5</v>
      </c>
      <c r="D14" s="273">
        <f t="shared" ref="D14:D20" si="0">baseTemp+D31</f>
        <v>14.7</v>
      </c>
      <c r="E14" s="274">
        <f t="shared" ref="E14:E20" si="1">$C$8+E31</f>
        <v>194</v>
      </c>
      <c r="F14" s="275">
        <f t="shared" ref="F14:F20" si="2">$C$9+F31</f>
        <v>8.33</v>
      </c>
      <c r="G14" s="276">
        <f t="shared" ref="G14:G20" si="3">baseTemp+H31</f>
        <v>14.7</v>
      </c>
      <c r="H14" s="274">
        <f>$D$8+I31</f>
        <v>200</v>
      </c>
      <c r="I14" s="275">
        <f>$D$9+J31</f>
        <v>8.39</v>
      </c>
      <c r="J14" s="276">
        <f t="shared" ref="J14:J20" si="4">baseTemp+L31</f>
        <v>14.7</v>
      </c>
      <c r="K14" s="274">
        <f>$E$8+M31</f>
        <v>195</v>
      </c>
      <c r="L14" s="275">
        <f>$E$9+N31</f>
        <v>8.2800000000000011</v>
      </c>
    </row>
    <row r="15" spans="2:12" s="30" customFormat="1" ht="26.1" customHeight="1">
      <c r="B15" s="277">
        <f t="shared" ref="B15:B23" si="5">$C$6+C15/1440</f>
        <v>44717.451388888891</v>
      </c>
      <c r="C15" s="278">
        <v>30</v>
      </c>
      <c r="D15" s="273">
        <f t="shared" si="0"/>
        <v>14.799999999999999</v>
      </c>
      <c r="E15" s="274">
        <f t="shared" si="1"/>
        <v>195</v>
      </c>
      <c r="F15" s="275">
        <f t="shared" si="2"/>
        <v>8.32</v>
      </c>
      <c r="G15" s="276">
        <f t="shared" si="3"/>
        <v>14.7</v>
      </c>
      <c r="H15" s="274">
        <f t="shared" ref="H15:H20" si="6">$D$8+I32</f>
        <v>194</v>
      </c>
      <c r="I15" s="275">
        <f t="shared" ref="I15:I20" si="7">$D$9+J32</f>
        <v>8.2100000000000009</v>
      </c>
      <c r="J15" s="276">
        <f t="shared" si="4"/>
        <v>14.7</v>
      </c>
      <c r="K15" s="274">
        <f t="shared" ref="K15:K20" si="8">$E$8+M32</f>
        <v>192</v>
      </c>
      <c r="L15" s="275">
        <f t="shared" ref="L15:L20" si="9">$E$9+N32</f>
        <v>8.49</v>
      </c>
    </row>
    <row r="16" spans="2:12" s="30" customFormat="1" ht="26.1" customHeight="1">
      <c r="B16" s="277">
        <f t="shared" si="5"/>
        <v>44717.472222222219</v>
      </c>
      <c r="C16" s="278">
        <v>60</v>
      </c>
      <c r="D16" s="273">
        <f t="shared" si="0"/>
        <v>14.7</v>
      </c>
      <c r="E16" s="274">
        <f t="shared" si="1"/>
        <v>199</v>
      </c>
      <c r="F16" s="275">
        <f t="shared" si="2"/>
        <v>8.51</v>
      </c>
      <c r="G16" s="276">
        <f t="shared" si="3"/>
        <v>14.6</v>
      </c>
      <c r="H16" s="274">
        <f t="shared" si="6"/>
        <v>200</v>
      </c>
      <c r="I16" s="275">
        <f t="shared" si="7"/>
        <v>8.2000000000000011</v>
      </c>
      <c r="J16" s="276">
        <f t="shared" si="4"/>
        <v>14.799999999999999</v>
      </c>
      <c r="K16" s="274">
        <f t="shared" si="8"/>
        <v>193</v>
      </c>
      <c r="L16" s="275">
        <f t="shared" si="9"/>
        <v>8.51</v>
      </c>
    </row>
    <row r="17" spans="2:14" s="30" customFormat="1" ht="26.1" customHeight="1">
      <c r="B17" s="277">
        <f t="shared" si="5"/>
        <v>44717.513888888891</v>
      </c>
      <c r="C17" s="278">
        <v>120</v>
      </c>
      <c r="D17" s="273">
        <f t="shared" si="0"/>
        <v>14.7</v>
      </c>
      <c r="E17" s="274">
        <f t="shared" si="1"/>
        <v>199</v>
      </c>
      <c r="F17" s="275">
        <f t="shared" si="2"/>
        <v>8.51</v>
      </c>
      <c r="G17" s="276">
        <f t="shared" si="3"/>
        <v>14.6</v>
      </c>
      <c r="H17" s="274">
        <f t="shared" si="6"/>
        <v>196</v>
      </c>
      <c r="I17" s="275">
        <f t="shared" si="7"/>
        <v>8.2000000000000011</v>
      </c>
      <c r="J17" s="276">
        <f t="shared" si="4"/>
        <v>14.799999999999999</v>
      </c>
      <c r="K17" s="274">
        <f t="shared" si="8"/>
        <v>196</v>
      </c>
      <c r="L17" s="275">
        <f t="shared" si="9"/>
        <v>8.3000000000000007</v>
      </c>
    </row>
    <row r="18" spans="2:14" s="30" customFormat="1" ht="26.1" customHeight="1">
      <c r="B18" s="277">
        <f t="shared" si="5"/>
        <v>44717.597222222219</v>
      </c>
      <c r="C18" s="278">
        <v>240</v>
      </c>
      <c r="D18" s="273">
        <f t="shared" si="0"/>
        <v>14.799999999999999</v>
      </c>
      <c r="E18" s="274">
        <f t="shared" si="1"/>
        <v>198</v>
      </c>
      <c r="F18" s="275">
        <f t="shared" si="2"/>
        <v>8.51</v>
      </c>
      <c r="G18" s="276">
        <f t="shared" si="3"/>
        <v>14.6</v>
      </c>
      <c r="H18" s="274">
        <f t="shared" si="6"/>
        <v>198</v>
      </c>
      <c r="I18" s="275">
        <f t="shared" si="7"/>
        <v>8.2000000000000011</v>
      </c>
      <c r="J18" s="276">
        <f t="shared" si="4"/>
        <v>14.6</v>
      </c>
      <c r="K18" s="274">
        <f t="shared" si="8"/>
        <v>196</v>
      </c>
      <c r="L18" s="275">
        <f t="shared" si="9"/>
        <v>8.52</v>
      </c>
    </row>
    <row r="19" spans="2:14" s="30" customFormat="1" ht="26.1" customHeight="1">
      <c r="B19" s="277">
        <f t="shared" si="5"/>
        <v>44717.763888888891</v>
      </c>
      <c r="C19" s="278">
        <v>480</v>
      </c>
      <c r="D19" s="273">
        <f t="shared" si="0"/>
        <v>14.7</v>
      </c>
      <c r="E19" s="274">
        <f t="shared" si="1"/>
        <v>196</v>
      </c>
      <c r="F19" s="275">
        <f t="shared" si="2"/>
        <v>8.2800000000000011</v>
      </c>
      <c r="G19" s="276">
        <f t="shared" si="3"/>
        <v>14.6</v>
      </c>
      <c r="H19" s="274">
        <f t="shared" si="6"/>
        <v>196</v>
      </c>
      <c r="I19" s="275">
        <f t="shared" si="7"/>
        <v>8.42</v>
      </c>
      <c r="J19" s="276">
        <f t="shared" si="4"/>
        <v>14.799999999999999</v>
      </c>
      <c r="K19" s="274">
        <f t="shared" si="8"/>
        <v>191</v>
      </c>
      <c r="L19" s="275">
        <f t="shared" si="9"/>
        <v>8.2800000000000011</v>
      </c>
    </row>
    <row r="20" spans="2:14" s="31" customFormat="1" ht="26.1" customHeight="1">
      <c r="B20" s="277">
        <f t="shared" si="5"/>
        <v>44718.430555555555</v>
      </c>
      <c r="C20" s="278">
        <v>1440</v>
      </c>
      <c r="D20" s="273">
        <f t="shared" si="0"/>
        <v>14.799999999999999</v>
      </c>
      <c r="E20" s="274">
        <f t="shared" si="1"/>
        <v>198</v>
      </c>
      <c r="F20" s="275">
        <f t="shared" si="2"/>
        <v>8.4700000000000006</v>
      </c>
      <c r="G20" s="276">
        <f t="shared" si="3"/>
        <v>14.6</v>
      </c>
      <c r="H20" s="274">
        <f t="shared" si="6"/>
        <v>195</v>
      </c>
      <c r="I20" s="275">
        <f t="shared" si="7"/>
        <v>8.23</v>
      </c>
      <c r="J20" s="276">
        <f t="shared" si="4"/>
        <v>14.6</v>
      </c>
      <c r="K20" s="274">
        <f t="shared" si="8"/>
        <v>191</v>
      </c>
      <c r="L20" s="275">
        <f t="shared" si="9"/>
        <v>8.33</v>
      </c>
    </row>
    <row r="21" spans="2:14" s="31" customFormat="1" ht="26.1" customHeight="1">
      <c r="B21" s="277">
        <f t="shared" si="5"/>
        <v>44718.597222222219</v>
      </c>
      <c r="C21" s="278">
        <v>1680</v>
      </c>
      <c r="D21" s="273">
        <f>$D$20</f>
        <v>14.799999999999999</v>
      </c>
      <c r="E21" s="274">
        <f>$E$20</f>
        <v>198</v>
      </c>
      <c r="F21" s="275">
        <f>$F$20</f>
        <v>8.4700000000000006</v>
      </c>
      <c r="G21" s="276">
        <f>$G$20</f>
        <v>14.6</v>
      </c>
      <c r="H21" s="274">
        <f>$H$20</f>
        <v>195</v>
      </c>
      <c r="I21" s="275">
        <f>$I$20</f>
        <v>8.23</v>
      </c>
      <c r="J21" s="276">
        <f>$J$20</f>
        <v>14.6</v>
      </c>
      <c r="K21" s="274">
        <f>$K$20</f>
        <v>191</v>
      </c>
      <c r="L21" s="275">
        <f>$L$20</f>
        <v>8.33</v>
      </c>
    </row>
    <row r="22" spans="2:14" s="31" customFormat="1" ht="26.1" customHeight="1">
      <c r="B22" s="277">
        <f t="shared" si="5"/>
        <v>44718.763888888891</v>
      </c>
      <c r="C22" s="278">
        <v>1920</v>
      </c>
      <c r="D22" s="273">
        <f t="shared" ref="D22:D23" si="10">$D$20</f>
        <v>14.799999999999999</v>
      </c>
      <c r="E22" s="274">
        <f t="shared" ref="E22:E23" si="11">$E$20</f>
        <v>198</v>
      </c>
      <c r="F22" s="275">
        <f t="shared" ref="F22:F23" si="12">$F$20</f>
        <v>8.4700000000000006</v>
      </c>
      <c r="G22" s="276">
        <f t="shared" ref="G22:G23" si="13">$G$20</f>
        <v>14.6</v>
      </c>
      <c r="H22" s="274">
        <f t="shared" ref="H22:H23" si="14">$H$20</f>
        <v>195</v>
      </c>
      <c r="I22" s="275">
        <f t="shared" ref="I22:I23" si="15">$I$20</f>
        <v>8.23</v>
      </c>
      <c r="J22" s="276">
        <f t="shared" ref="J22:J23" si="16">$J$20</f>
        <v>14.6</v>
      </c>
      <c r="K22" s="274">
        <f t="shared" ref="K22:K23" si="17">$K$20</f>
        <v>191</v>
      </c>
      <c r="L22" s="275">
        <f t="shared" ref="L22:L23" si="18">$L$20</f>
        <v>8.33</v>
      </c>
    </row>
    <row r="23" spans="2:14" s="31" customFormat="1" ht="26.1" customHeight="1">
      <c r="B23" s="279">
        <f t="shared" si="5"/>
        <v>44719.430555555555</v>
      </c>
      <c r="C23" s="280">
        <v>2880</v>
      </c>
      <c r="D23" s="273">
        <f t="shared" si="10"/>
        <v>14.799999999999999</v>
      </c>
      <c r="E23" s="274">
        <f t="shared" si="11"/>
        <v>198</v>
      </c>
      <c r="F23" s="275">
        <f t="shared" si="12"/>
        <v>8.4700000000000006</v>
      </c>
      <c r="G23" s="276">
        <f t="shared" si="13"/>
        <v>14.6</v>
      </c>
      <c r="H23" s="274">
        <f t="shared" si="14"/>
        <v>195</v>
      </c>
      <c r="I23" s="275">
        <f t="shared" si="15"/>
        <v>8.23</v>
      </c>
      <c r="J23" s="276">
        <f t="shared" si="16"/>
        <v>14.6</v>
      </c>
      <c r="K23" s="274">
        <f t="shared" si="17"/>
        <v>191</v>
      </c>
      <c r="L23" s="275">
        <f t="shared" si="18"/>
        <v>8.33</v>
      </c>
    </row>
    <row r="24" spans="2:14" s="31" customFormat="1" ht="26.1" customHeight="1">
      <c r="B24" s="656" t="s">
        <v>36</v>
      </c>
      <c r="C24" s="657"/>
      <c r="D24" s="268">
        <f>MAX(D14:D23)</f>
        <v>14.799999999999999</v>
      </c>
      <c r="E24" s="269">
        <f t="shared" ref="E24:F24" si="19">MAX(E14:E23)</f>
        <v>199</v>
      </c>
      <c r="F24" s="270">
        <f t="shared" si="19"/>
        <v>8.51</v>
      </c>
      <c r="G24" s="268">
        <f>MAX(G14:G23)</f>
        <v>14.7</v>
      </c>
      <c r="H24" s="269">
        <f t="shared" ref="H24:I24" si="20">MAX(H14:H23)</f>
        <v>200</v>
      </c>
      <c r="I24" s="270">
        <f t="shared" si="20"/>
        <v>8.42</v>
      </c>
      <c r="J24" s="268">
        <f>MAX(J14:J23)</f>
        <v>14.799999999999999</v>
      </c>
      <c r="K24" s="269">
        <f t="shared" ref="K24:L24" si="21">MAX(K14:K23)</f>
        <v>196</v>
      </c>
      <c r="L24" s="270">
        <f t="shared" si="21"/>
        <v>8.52</v>
      </c>
    </row>
    <row r="25" spans="2:14" s="31" customFormat="1" ht="26.1" customHeight="1">
      <c r="B25" s="656" t="s">
        <v>37</v>
      </c>
      <c r="C25" s="657"/>
      <c r="D25" s="268">
        <f>MIN(D14:D23)</f>
        <v>14.7</v>
      </c>
      <c r="E25" s="269">
        <f t="shared" ref="E25:F25" si="22">MIN(E14:E23)</f>
        <v>194</v>
      </c>
      <c r="F25" s="270">
        <f t="shared" si="22"/>
        <v>8.2800000000000011</v>
      </c>
      <c r="G25" s="268">
        <f>MIN(G14:G23)</f>
        <v>14.6</v>
      </c>
      <c r="H25" s="269">
        <f t="shared" ref="H25:I25" si="23">MIN(H14:H23)</f>
        <v>194</v>
      </c>
      <c r="I25" s="270">
        <f t="shared" si="23"/>
        <v>8.2000000000000011</v>
      </c>
      <c r="J25" s="268">
        <f>MIN(J14:J23)</f>
        <v>14.6</v>
      </c>
      <c r="K25" s="269">
        <f t="shared" ref="K25:L25" si="24">MIN(K14:K23)</f>
        <v>191</v>
      </c>
      <c r="L25" s="270">
        <f t="shared" si="24"/>
        <v>8.2800000000000011</v>
      </c>
    </row>
    <row r="26" spans="2:14" s="31" customFormat="1" ht="26.1" customHeight="1" thickBot="1">
      <c r="B26" s="650" t="s">
        <v>90</v>
      </c>
      <c r="C26" s="651"/>
      <c r="D26" s="282">
        <f>D24-D25</f>
        <v>9.9999999999999645E-2</v>
      </c>
      <c r="E26" s="283">
        <f t="shared" ref="E26:F26" si="25">E24-E25</f>
        <v>5</v>
      </c>
      <c r="F26" s="284">
        <f t="shared" si="25"/>
        <v>0.22999999999999865</v>
      </c>
      <c r="G26" s="282">
        <f>G24-G25</f>
        <v>9.9999999999999645E-2</v>
      </c>
      <c r="H26" s="283">
        <f t="shared" ref="H26:I26" si="26">H24-H25</f>
        <v>6</v>
      </c>
      <c r="I26" s="284">
        <f t="shared" si="26"/>
        <v>0.21999999999999886</v>
      </c>
      <c r="J26" s="282">
        <f>J24-J25</f>
        <v>0.19999999999999929</v>
      </c>
      <c r="K26" s="283">
        <f t="shared" ref="K26:L26" si="27">K24-K25</f>
        <v>5</v>
      </c>
      <c r="L26" s="284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52" t="s">
        <v>85</v>
      </c>
      <c r="E29" s="655"/>
      <c r="F29" s="653"/>
      <c r="H29" s="652" t="s">
        <v>155</v>
      </c>
      <c r="I29" s="655"/>
      <c r="J29" s="653"/>
      <c r="L29" s="652" t="s">
        <v>156</v>
      </c>
      <c r="M29" s="655"/>
      <c r="N29" s="65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2024-01-30T06:02:52Z</dcterms:modified>
</cp:coreProperties>
</file>