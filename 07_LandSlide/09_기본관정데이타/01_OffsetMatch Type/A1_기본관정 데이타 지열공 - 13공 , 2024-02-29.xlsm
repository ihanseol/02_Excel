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9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1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2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3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omments8.xml" ContentType="application/vnd.openxmlformats-officedocument.spreadsheetml.comments+xml"/>
  <Override PartName="/xl/drawings/drawing17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drawings/drawing18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drawings/drawing19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74EB5039-559C-4996-BA23-BF1229F76968}" xr6:coauthVersionLast="47" xr6:coauthVersionMax="47" xr10:uidLastSave="{00000000-0000-0000-0000-000000000000}"/>
  <bookViews>
    <workbookView xWindow="-120" yWindow="-120" windowWidth="29040" windowHeight="15720" tabRatio="728" firstSheet="1" activeTab="10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Well" sheetId="52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1" sheetId="55" r:id="rId16"/>
    <sheet name="2" sheetId="192" r:id="rId17"/>
    <sheet name="3" sheetId="193" r:id="rId18"/>
    <sheet name="Q1" sheetId="100" r:id="rId19"/>
    <sheet name="Q2" sheetId="117" r:id="rId20"/>
    <sheet name="Q3" sheetId="115" r:id="rId21"/>
  </sheets>
  <functionGroups builtInGroupCount="19"/>
  <definedNames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8">'Q1'!$C$7</definedName>
    <definedName name="baseTemp" localSheetId="19">'Q2'!$C$7</definedName>
    <definedName name="baseTemp" localSheetId="20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Well!$I$8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2" i="115" l="1"/>
  <c r="J23" i="115"/>
  <c r="J21" i="115"/>
  <c r="G22" i="115"/>
  <c r="G23" i="115"/>
  <c r="G21" i="115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E17" i="193"/>
  <c r="F17" i="193" s="1"/>
  <c r="G17" i="193" s="1"/>
  <c r="C19" i="193"/>
  <c r="C18" i="193"/>
  <c r="C17" i="193"/>
  <c r="C16" i="193"/>
  <c r="C15" i="193"/>
  <c r="C8" i="193"/>
  <c r="C7" i="193"/>
  <c r="C6" i="193"/>
  <c r="C5" i="193"/>
  <c r="C4" i="193"/>
  <c r="C3" i="193"/>
  <c r="C2" i="193"/>
  <c r="E17" i="192"/>
  <c r="C19" i="192"/>
  <c r="C18" i="192"/>
  <c r="C17" i="192"/>
  <c r="C16" i="192"/>
  <c r="C15" i="192"/>
  <c r="C8" i="192"/>
  <c r="C7" i="192"/>
  <c r="C6" i="192"/>
  <c r="C5" i="192"/>
  <c r="C4" i="192"/>
  <c r="C3" i="192"/>
  <c r="C2" i="192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193"/>
  <c r="I31" i="193"/>
  <c r="H31" i="193"/>
  <c r="G31" i="193"/>
  <c r="F31" i="193"/>
  <c r="E31" i="193"/>
  <c r="D31" i="193"/>
  <c r="J30" i="193"/>
  <c r="I30" i="193"/>
  <c r="H30" i="193"/>
  <c r="G30" i="193"/>
  <c r="F30" i="193"/>
  <c r="E30" i="193"/>
  <c r="D30" i="193"/>
  <c r="D26" i="193"/>
  <c r="C22" i="193"/>
  <c r="K16" i="193"/>
  <c r="K17" i="193" s="1"/>
  <c r="K18" i="193" s="1"/>
  <c r="L18" i="193" s="1"/>
  <c r="H26" i="193" s="1"/>
  <c r="G14" i="193"/>
  <c r="G13" i="193"/>
  <c r="F13" i="193"/>
  <c r="E13" i="193"/>
  <c r="D13" i="193"/>
  <c r="L12" i="193"/>
  <c r="H11" i="193"/>
  <c r="F11" i="193"/>
  <c r="E11" i="193"/>
  <c r="H10" i="193"/>
  <c r="H9" i="193"/>
  <c r="C9" i="193"/>
  <c r="G7" i="193"/>
  <c r="E7" i="193"/>
  <c r="O6" i="52"/>
  <c r="F21" i="193" s="1"/>
  <c r="F6" i="52"/>
  <c r="E6" i="52"/>
  <c r="F17" i="192"/>
  <c r="G17" i="192" s="1"/>
  <c r="J31" i="192"/>
  <c r="I31" i="192"/>
  <c r="H31" i="192"/>
  <c r="G31" i="192"/>
  <c r="F31" i="192"/>
  <c r="E31" i="192"/>
  <c r="D31" i="192"/>
  <c r="J30" i="192"/>
  <c r="I30" i="192"/>
  <c r="H30" i="192"/>
  <c r="G30" i="192"/>
  <c r="F30" i="192"/>
  <c r="E30" i="192"/>
  <c r="D30" i="192"/>
  <c r="K30" i="192" s="1"/>
  <c r="D26" i="192"/>
  <c r="C22" i="192"/>
  <c r="K16" i="192"/>
  <c r="K17" i="192" s="1"/>
  <c r="K18" i="192" s="1"/>
  <c r="L18" i="192" s="1"/>
  <c r="H26" i="192" s="1"/>
  <c r="G14" i="192"/>
  <c r="G13" i="192"/>
  <c r="F13" i="192"/>
  <c r="E13" i="192"/>
  <c r="D13" i="192"/>
  <c r="L12" i="192"/>
  <c r="H11" i="192"/>
  <c r="F11" i="192"/>
  <c r="E11" i="192"/>
  <c r="H10" i="192"/>
  <c r="H9" i="192"/>
  <c r="C9" i="192"/>
  <c r="G7" i="192"/>
  <c r="E7" i="192"/>
  <c r="O5" i="52"/>
  <c r="F21" i="192" s="1"/>
  <c r="F5" i="52"/>
  <c r="E5" i="52"/>
  <c r="E67" i="175"/>
  <c r="F67" i="175"/>
  <c r="F62" i="175"/>
  <c r="E62" i="175"/>
  <c r="Q32" i="175"/>
  <c r="Q31" i="175"/>
  <c r="R42" i="175"/>
  <c r="R41" i="175"/>
  <c r="R38" i="175"/>
  <c r="R37" i="175"/>
  <c r="O4" i="52"/>
  <c r="F21" i="55" s="1"/>
  <c r="C12" i="192" l="1"/>
  <c r="A13" i="192" s="1"/>
  <c r="A12" i="192" s="1"/>
  <c r="C12" i="193"/>
  <c r="A13" i="193" s="1"/>
  <c r="A12" i="193" s="1"/>
  <c r="K31" i="193"/>
  <c r="K30" i="193"/>
  <c r="K31" i="192"/>
  <c r="E19" i="193"/>
  <c r="F19" i="193" s="1"/>
  <c r="G19" i="193" s="1"/>
  <c r="C14" i="193"/>
  <c r="E19" i="192"/>
  <c r="F19" i="192" s="1"/>
  <c r="G19" i="192" s="1"/>
  <c r="C14" i="192"/>
  <c r="V69" i="175"/>
  <c r="V68" i="175"/>
  <c r="E13" i="55"/>
  <c r="D13" i="55"/>
  <c r="B2" i="23"/>
  <c r="S6" i="54"/>
  <c r="T6" i="54" a="1"/>
  <c r="F5" i="193" l="1"/>
  <c r="F7" i="193"/>
  <c r="F6" i="193"/>
  <c r="H19" i="193"/>
  <c r="J26" i="193"/>
  <c r="F5" i="192"/>
  <c r="F6" i="192"/>
  <c r="H19" i="192"/>
  <c r="F7" i="192"/>
  <c r="J26" i="192"/>
  <c r="T6" i="54"/>
  <c r="F4" i="52"/>
  <c r="E4" i="52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8" i="52" l="1"/>
  <c r="E21" i="55" l="1"/>
  <c r="E21" i="193"/>
  <c r="G21" i="193" s="1"/>
  <c r="E21" i="192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193" l="1"/>
  <c r="E22" i="192"/>
  <c r="G21" i="192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F13" i="55" l="1"/>
  <c r="G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F19" i="55" l="1"/>
  <c r="G19" i="55" s="1"/>
  <c r="F17" i="55"/>
  <c r="G17" i="55" s="1"/>
  <c r="E30" i="23"/>
  <c r="G14" i="55"/>
  <c r="D30" i="23"/>
  <c r="C30" i="23"/>
  <c r="E26" i="192" l="1"/>
  <c r="E26" i="193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B7EB31F9-BF6A-4B2B-AE24-1F78176ACD9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5" authorId="0" shapeId="0" xr:uid="{069FB034-37C4-48BE-8F2B-CA2A5A53F4E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11B93783-B0EA-4281-8BA4-8F8076E6017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11120CF6-B767-423F-926D-3497C4CE0B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B72EF855-A658-41F5-BD76-3CA8DF97190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6" authorId="0" shapeId="0" xr:uid="{B3B9E32A-E754-4B3B-A3EE-8D5E605B12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D76FC830-39CE-4D56-B1DF-EC182CFEF6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151863FA-F663-45C9-BC97-54A675C314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35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37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213B4DE9-796E-4117-BFD2-FB31FEFCF14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D421B2D5-7E6B-4B1B-9D60-53E148FDB8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92579B5B-DD60-4FC3-9E47-024FEA89F6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6085DF4E-004E-4FC1-B4D2-C1829D52B8F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C44BF16F-9A30-4BAD-B3E9-00A7E0031BA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4AECF851-9260-4D3F-8331-160754F919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DB9D57AA-7A1E-4B79-B014-7963716A27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F1FCF974-4088-4A80-AB77-08FF0B49DE8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73339BA1-968D-446C-A30C-79B6BF74CF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9854FC55-1DEC-4528-99B0-BB1B0AE6E0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EF95812B-AA5F-462A-97DF-4E0DA0EEED5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6B8F040-A082-4C3E-A953-017A81FCBFD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F25DCCFA-AFD0-4372-AF3A-4A5452EDF39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E1E744EA-F8F0-43C3-B0A5-D0984D5DDA1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97467904-D7FC-4AB7-9A71-64370DA7145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4CC99936-C14E-43B0-922E-633903E1BA6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A3B4BBED-EFF0-4409-884F-28B3FDC886D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2B80BDFD-194D-434D-85DD-E4FC4AD5B97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1B5747A-3F01-4F3F-8793-D9C611078D6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FECB60B6-2BAF-4A30-ADDA-32ED02DBA16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54C1F19A-00C8-4748-8DAC-E194FF7A381C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AB43DD3D-0577-4B80-B96C-C2D599A06FB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04C803BD-7C3E-4212-A05C-3D9C300470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E8590D52-F2B5-4060-80DA-C2056B4A82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32AD37F1-7D83-4E9A-B2FF-56BA284CC57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9EC20029-0AEF-4343-8F6A-DF2C7E8E03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0C56FC86-C1EB-4BEA-9980-2850B8A765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0DE3D1A7-7B9F-45A1-95CC-0AC80C65E72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B9F1C5CD-0FAB-442F-8F45-A41F09D9CD5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CC6BE48-0903-464F-B2EB-C45361F83AA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47635E41-1550-4BB8-8B16-0E5E16C7C6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C27CB89E-112D-4535-9FB2-2B76891855F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49E50575-880F-4E19-BBC8-4FA503033D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2FD978DE-784D-4118-B59E-AF54EA15BE3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BFC2C094-FBAA-431B-9794-EBA58A4AD36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A437B95B-ABEA-4AC4-8C13-52895175838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2730E480-EF61-4E60-A429-46FABA15F3F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5B28C83E-F9F3-4AA8-8D16-73994E7A629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816F8EE7-84E5-4448-A1C1-16C99E10F0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8090C68D-22ED-4F36-9E2E-9D9831E6D9C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E060071A-6FB7-4965-A283-F11BF0685BD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582E0E5D-6605-4390-9282-83E119EF7EE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4CECB24-5C35-4082-AAE3-0ACB81500CC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CA164AF1-995B-40CC-993E-715E103936F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306FEFEF-E028-4B99-89EA-C888CF0561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1E1C3F8F-F2C7-48B1-BAF3-61B74A118E0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<sst xmlns="http://schemas.openxmlformats.org/spreadsheetml/2006/main" count="1211" uniqueCount="715">
  <si>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</si>
  <si>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</si>
  <si>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</si>
  <si>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</si>
  <si>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</si>
  <si>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</si>
  <si>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</si>
  <si>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</si>
  <si>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</si>
  <si>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</si>
  <si>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</si>
  <si>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</si>
  <si>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</si>
  <si>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</si>
  <si>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</si>
  <si>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</si>
  <si>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</si>
  <si>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</si>
  <si>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</si>
  <si>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</si>
  <si>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</si>
  <si>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</si>
  <si>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</si>
  <si>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</si>
  <si>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</si>
  <si>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</si>
  <si>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</si>
  <si>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</si>
  <si>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</si>
  <si>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</si>
  <si>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</si>
  <si>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</si>
  <si>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</si>
  <si>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</si>
  <si>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</si>
  <si>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</si>
  <si>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</si>
  <si>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</si>
  <si>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</si>
  <si>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</si>
  <si>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</si>
  <si>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</si>
  <si>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</si>
  <si>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</si>
  <si>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</si>
  <si>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</si>
  <si>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</si>
  <si>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</si>
  <si>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</si>
  <si>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</si>
  <si>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</si>
  <si>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</si>
  <si>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</si>
  <si>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</si>
  <si>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</si>
  <si>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</si>
  <si>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</si>
  <si>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</si>
  <si>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</si>
  <si>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</si>
  <si>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</si>
  <si>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</si>
  <si>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</si>
  <si>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</si>
  <si>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</si>
  <si>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</si>
  <si>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</si>
  <si>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</si>
  <si>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</si>
  <si>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</si>
  <si>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</si>
  <si>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</si>
  <si>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</si>
  <si>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</si>
  <si>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</si>
  <si>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</si>
  <si>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</si>
  <si>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</si>
  <si>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</si>
  <si>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</si>
  <si>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</si>
  <si>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</si>
  <si>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</si>
  <si>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</si>
  <si>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</si>
  <si>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</si>
  <si>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</si>
  <si>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</si>
  <si>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</si>
  <si>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</si>
  <si>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</si>
  <si>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</si>
  <si>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</si>
  <si>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</si>
  <si>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</si>
  <si>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</si>
  <si>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</si>
  <si>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</si>
  <si>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</si>
  <si>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</si>
  <si>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</si>
  <si>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</si>
  <si>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</si>
  <si>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</si>
  <si>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</si>
  <si>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</si>
  <si>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</si>
  <si>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</si>
  <si>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</si>
  <si>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</si>
  <si>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</si>
  <si>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</si>
  <si>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</si>
  <si>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</si>
  <si>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</si>
  <si>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</si>
  <si>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</si>
  <si>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</si>
  <si>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</si>
  <si>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</si>
  <si>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</si>
  <si>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</si>
  <si>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</si>
  <si>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</si>
  <si>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</si>
  <si>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</si>
  <si>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</si>
  <si>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</si>
  <si>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</si>
  <si>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</si>
  <si>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</si>
  <si>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</si>
  <si>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</si>
  <si>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</si>
  <si>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</si>
  <si>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</si>
  <si>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</si>
  <si>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</si>
  <si>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</si>
  <si>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</si>
  <si>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</si>
  <si>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</si>
  <si>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</si>
  <si>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</si>
  <si>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</si>
  <si>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</si>
  <si>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</si>
  <si>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</si>
  <si>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</si>
  <si>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</si>
  <si>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</si>
  <si>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</si>
  <si>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</si>
  <si>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</si>
  <si>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</si>
  <si>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</si>
  <si>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</si>
  <si>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</si>
  <si>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</si>
  <si>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</si>
  <si>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</si>
  <si>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</si>
  <si>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</si>
  <si>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</si>
  <si>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</si>
  <si>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</si>
  <si>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</si>
  <si>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</si>
  <si>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</si>
  <si>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</si>
  <si>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</si>
  <si>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</si>
  <si>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</si>
  <si>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</si>
  <si>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</si>
  <si>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</si>
  <si>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</si>
  <si>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</si>
  <si>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</si>
  <si>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</si>
  <si>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</si>
  <si>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</si>
  <si>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</si>
  <si>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</si>
  <si>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</si>
  <si>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</si>
  <si>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</si>
  <si>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</si>
  <si>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</si>
  <si>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</si>
  <si>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</si>
  <si>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</si>
  <si>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</si>
  <si>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</si>
  <si>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</si>
  <si>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</si>
  <si>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</si>
  <si>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</si>
  <si>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</si>
  <si>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</si>
  <si>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</si>
  <si>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</si>
  <si>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</si>
  <si>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</si>
  <si>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</si>
  <si>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</si>
  <si>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</si>
  <si>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</si>
  <si>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</si>
  <si>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</si>
  <si>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</si>
  <si>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</si>
  <si>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</si>
  <si>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</si>
  <si>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</si>
  <si>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</si>
  <si>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</si>
  <si>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</si>
  <si>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</si>
  <si>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</si>
  <si>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</si>
  <si>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</si>
  <si>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</si>
  <si>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</si>
  <si>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</si>
  <si>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</si>
  <si>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</si>
  <si>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</si>
  <si>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</si>
  <si>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</si>
  <si>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</si>
  <si>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</si>
  <si>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</si>
  <si>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</si>
  <si>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</si>
  <si>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</si>
  <si>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</si>
  <si>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</si>
  <si>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</si>
  <si>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</si>
  <si>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</si>
  <si>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</si>
  <si>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</si>
  <si>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</si>
  <si>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</si>
  <si>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</si>
  <si>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</si>
  <si>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</si>
  <si>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</si>
  <si>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</si>
  <si>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</si>
  <si>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</si>
  <si>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</si>
  <si>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</si>
  <si>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</si>
  <si>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</si>
  <si>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</si>
  <si>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</si>
  <si>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</si>
  <si>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</si>
  <si>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</si>
  <si>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</si>
  <si>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</si>
  <si>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</si>
  <si>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</si>
  <si>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</si>
  <si>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</si>
  <si>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</si>
  <si>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</si>
  <si>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</si>
  <si>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</si>
  <si>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</si>
  <si>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</si>
  <si>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</si>
  <si>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</si>
  <si>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</si>
  <si>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</si>
  <si>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</si>
  <si>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</si>
  <si>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</si>
  <si>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</si>
  <si>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</si>
  <si>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</si>
  <si>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</si>
  <si>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</si>
  <si>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</si>
  <si>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</si>
  <si>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</si>
  <si>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</si>
  <si>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</si>
  <si>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</si>
  <si>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</si>
  <si>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</si>
  <si>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</si>
  <si>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</si>
  <si>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</si>
  <si>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</si>
  <si>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</si>
  <si>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</si>
  <si>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</si>
  <si>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</si>
  <si>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</si>
  <si>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</si>
  <si>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</si>
  <si>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</si>
  <si>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</si>
  <si>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</si>
  <si>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</si>
  <si>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</si>
  <si>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</si>
  <si>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</si>
  <si>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</si>
  <si>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</si>
  <si>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</si>
  <si>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</si>
  <si>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</si>
  <si>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</si>
  <si>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</si>
  <si>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</si>
  <si>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</si>
  <si>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</si>
  <si>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</si>
  <si>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</si>
  <si>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</si>
  <si>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</si>
  <si>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</si>
  <si>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</si>
  <si>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</si>
  <si>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</si>
  <si>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</si>
  <si>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</si>
  <si>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</si>
  <si>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</si>
  <si>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</si>
  <si>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</si>
  <si>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</si>
  <si>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</si>
  <si>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</si>
  <si>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</si>
  <si>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</si>
  <si>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</si>
  <si>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</si>
  <si>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</si>
  <si>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</si>
  <si>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</si>
  <si>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</si>
  <si>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</si>
  <si>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</si>
  <si>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</si>
  <si>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</si>
  <si>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</si>
  <si>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</si>
  <si>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</si>
  <si>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</si>
  <si>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</si>
  <si>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</si>
  <si>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</si>
  <si>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</si>
  <si>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</si>
  <si>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</si>
  <si>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</si>
  <si>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</si>
  <si>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</si>
  <si>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</si>
  <si>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</si>
  <si>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</si>
  <si>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</si>
  <si>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</si>
  <si>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</si>
  <si>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</si>
  <si>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</si>
  <si>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</si>
  <si>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</si>
  <si>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</si>
  <si>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</si>
  <si>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</si>
  <si>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</si>
  <si>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</si>
  <si>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</si>
  <si>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</si>
  <si>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</si>
  <si>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</si>
  <si>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</si>
  <si>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</si>
  <si>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</si>
  <si>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</si>
  <si>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</si>
  <si>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</si>
  <si>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</si>
  <si>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3.8 영향반경</t>
    <phoneticPr fontId="7" type="noConversion"/>
  </si>
  <si>
    <t>3.4 스킨계수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</si>
  <si>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</si>
  <si>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</si>
  <si>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</si>
  <si>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</si>
  <si>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</si>
  <si>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</si>
  <si>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</si>
  <si>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</si>
  <si>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</si>
  <si>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</si>
  <si>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</si>
  <si>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</si>
  <si>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</si>
  <si>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</si>
  <si>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</si>
  <si>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</si>
  <si>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</si>
  <si>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</si>
  <si>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</si>
  <si>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</si>
  <si>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</si>
  <si>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</si>
  <si>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</si>
  <si>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</si>
  <si>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</si>
  <si>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</si>
  <si>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</si>
  <si>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</si>
  <si>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</si>
  <si>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</si>
  <si>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</si>
  <si>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</si>
  <si>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</si>
  <si>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</si>
  <si>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</si>
  <si>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</si>
  <si>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</si>
  <si>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</si>
  <si>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</si>
  <si>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</si>
  <si>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</si>
  <si>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</si>
  <si>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</si>
  <si>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</si>
  <si>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</si>
  <si>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</si>
  <si>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</si>
  <si>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</si>
  <si>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</si>
  <si>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</si>
  <si>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</si>
  <si>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</si>
  <si>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</si>
  <si>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</si>
  <si>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</si>
  <si>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</si>
  <si>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</si>
  <si>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</si>
  <si>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</si>
  <si>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</si>
  <si>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</si>
  <si>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</si>
  <si>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</si>
  <si>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</si>
  <si>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</si>
  <si>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</si>
  <si>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</si>
  <si>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</si>
  <si>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</si>
  <si>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</si>
  <si>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</si>
  <si>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</si>
  <si>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</si>
  <si>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</si>
  <si>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</si>
  <si>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</si>
  <si>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</si>
  <si>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</si>
  <si>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</si>
  <si>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</si>
  <si>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</si>
  <si>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</si>
  <si>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</si>
  <si>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</si>
  <si>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</si>
  <si>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</si>
  <si>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</si>
  <si>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</si>
  <si>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</si>
  <si>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</si>
  <si>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</si>
  <si>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</si>
  <si>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</si>
  <si>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</si>
  <si>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</si>
  <si>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</si>
  <si>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</si>
  <si>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</si>
  <si>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</si>
  <si>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</si>
  <si>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</si>
  <si>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</si>
  <si>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</si>
  <si>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</si>
  <si>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</si>
  <si>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</si>
  <si>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</si>
  <si>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</si>
  <si>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</si>
  <si>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</si>
  <si>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</si>
  <si>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</si>
  <si>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</si>
  <si>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</si>
  <si>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</si>
  <si>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</si>
  <si>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</si>
  <si>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</si>
  <si>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</si>
  <si>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</si>
  <si>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</si>
  <si>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</si>
  <si>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</si>
  <si>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</si>
  <si>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</si>
  <si>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</si>
  <si>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</si>
  <si>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</si>
  <si>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</si>
  <si>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</si>
  <si>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</si>
  <si>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</si>
  <si>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</si>
  <si>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</si>
  <si>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</si>
  <si>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</si>
  <si>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</si>
  <si>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</si>
  <si>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</si>
  <si>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</si>
  <si>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</si>
  <si>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</si>
  <si>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</si>
  <si>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</si>
  <si>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</si>
  <si>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</si>
  <si>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</si>
  <si>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</si>
  <si>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</si>
  <si>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</si>
  <si>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</si>
  <si>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</si>
  <si>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</si>
  <si>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</si>
  <si>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</si>
  <si>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</si>
  <si>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</si>
  <si>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</si>
  <si>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</si>
  <si>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</si>
  <si>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</si>
  <si>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</si>
  <si>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</si>
  <si>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</si>
  <si>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</si>
  <si>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</si>
  <si>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</si>
  <si>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</si>
  <si>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</si>
  <si>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</si>
  <si>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</si>
  <si>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</si>
  <si>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</si>
  <si>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</si>
  <si>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</si>
  <si>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</si>
  <si>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</si>
  <si>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</si>
  <si>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</si>
  <si>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</si>
  <si>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</si>
  <si>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</si>
  <si>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</si>
  <si>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</si>
  <si>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</si>
  <si>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</si>
  <si>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</si>
  <si>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</si>
  <si>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</si>
  <si>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</si>
  <si>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</si>
  <si>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</si>
  <si>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</si>
  <si>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</si>
  <si>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</si>
  <si>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</si>
  <si>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</si>
  <si>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</si>
  <si>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</si>
  <si>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</si>
  <si>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</si>
  <si>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</si>
  <si>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</si>
  <si>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</si>
  <si>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</si>
  <si>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</si>
  <si>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</si>
  <si>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</si>
  <si>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</si>
  <si>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</si>
  <si>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</si>
  <si>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</si>
  <si>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</si>
  <si>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</si>
  <si>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</si>
  <si>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</si>
  <si>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</si>
  <si>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</si>
  <si>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</si>
  <si>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</si>
  <si>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</si>
  <si>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</si>
  <si>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</si>
  <si>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</si>
  <si>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</si>
  <si>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</si>
  <si>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</si>
  <si>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</si>
  <si>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</si>
  <si>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</si>
  <si>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</si>
  <si>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</si>
  <si>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</si>
  <si>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</si>
  <si>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</si>
  <si>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</si>
  <si>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</si>
  <si>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</si>
  <si>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</si>
  <si>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</si>
  <si>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</si>
  <si>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성산2</t>
    <phoneticPr fontId="7" type="noConversion"/>
  </si>
  <si>
    <t>낮음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</si>
  <si>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</si>
  <si>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</si>
  <si>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</si>
  <si>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2024/01/01일</t>
    <phoneticPr fontId="7" type="noConversion"/>
  </si>
  <si>
    <t>2024년</t>
    <phoneticPr fontId="7" type="noConversion"/>
  </si>
  <si>
    <t>W-7</t>
  </si>
  <si>
    <t>W-8</t>
  </si>
  <si>
    <t>W-9</t>
  </si>
  <si>
    <t>안정수위 최대, 최소값 확인</t>
    <phoneticPr fontId="7" type="noConversion"/>
  </si>
  <si>
    <t>33
42
51
60
69</t>
  </si>
  <si>
    <t>18.07
20.08
22.35
24.88
28.73</t>
  </si>
  <si>
    <t>6.04
8.05
10.32
12.85
16.70</t>
  </si>
  <si>
    <t>5.464
5.217
4.942
4.669
4.132</t>
  </si>
  <si>
    <t>0.183
0.192
0.202
0.214
0.242</t>
  </si>
  <si>
    <t>34
44
54
63
72</t>
  </si>
  <si>
    <t>17.53
19.41
21.52
23.88
27.47</t>
  </si>
  <si>
    <t>5.64
7.52
9.63
11.99
15.58</t>
  </si>
  <si>
    <t>6.028
5.851
5.561
5.254
4.650</t>
  </si>
  <si>
    <t>0.166
0.171
0.180
0.190
0.215</t>
  </si>
  <si>
    <t>34
43
53
62
71</t>
  </si>
  <si>
    <t>17.51
19.43
21.59
24.00
27.67</t>
  </si>
  <si>
    <t>5.76
7.68
9.84
12.25
15.92</t>
  </si>
  <si>
    <t>5.903
5.599
5.356
5.061
4.479</t>
  </si>
  <si>
    <t>0.169
0.179
0.187
0.198
0.223</t>
  </si>
  <si>
    <t>32
41
50
59
68</t>
  </si>
  <si>
    <t>17.52
19.18
21.05
23.13
26.30</t>
  </si>
  <si>
    <t>4.98
6.64
8.51
10.59
13.76</t>
  </si>
  <si>
    <t>6.426
6.175
5.893
5.571
4.931</t>
  </si>
  <si>
    <t>0.156
0.162
0.170
0.179
0.203</t>
  </si>
  <si>
    <t>35
44
54
64
74</t>
  </si>
  <si>
    <t>17.42
19.24
21.47
23.86
27.50</t>
  </si>
  <si>
    <t>5.72
7.54
9.77
12.16
15.80</t>
  </si>
  <si>
    <t>6.119
5.836
5.568
5.263
4.658</t>
  </si>
  <si>
    <t>0.163
0.171
0.180
0.190
0.215</t>
  </si>
  <si>
    <t>31
40
49
58
67</t>
  </si>
  <si>
    <t>17.29
18.96
20.83
22.92
26.10</t>
  </si>
  <si>
    <t>4.99
6.66
8.53
10.62
13.80</t>
  </si>
  <si>
    <t>6.212
6.006
5.780
5.461
4.833</t>
  </si>
  <si>
    <t>0.161
0.167
0.173
0.183
0.207</t>
  </si>
  <si>
    <t>31
39
48
57
66</t>
  </si>
  <si>
    <t>17.32
19.19
21.46
23.91
27.63</t>
  </si>
  <si>
    <t>5.84
7.71
9.98
12.43
16.15</t>
  </si>
  <si>
    <t>5.308
5.058
4.855
4.586
4.059</t>
  </si>
  <si>
    <t>0.188
0.198
0.206
0.218
0.246</t>
  </si>
  <si>
    <t>36
46
57
67
77</t>
  </si>
  <si>
    <t>17.75
19.67
22.01
24.52
28.35</t>
  </si>
  <si>
    <t>6.00
7.92
10.26
12.77
16.60</t>
  </si>
  <si>
    <t>6.000
5.808
5.551
5.247
4.642</t>
  </si>
  <si>
    <t>0.167
0.172
0.180
0.191
0.215</t>
  </si>
  <si>
    <t>17.21
19.10
21.39
23.86
27.62</t>
  </si>
  <si>
    <t>5.89
7.78
10.07
12.54
16.30</t>
  </si>
  <si>
    <t>5.772
5.527
5.233
4.944
4.374</t>
  </si>
  <si>
    <t>0.173
0.181
0.191
0.202
0.229</t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</si>
  <si>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</si>
  <si>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</si>
  <si>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</si>
  <si>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</si>
  <si>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</si>
  <si>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</si>
  <si>
    <t>(주)우경엔지니어링</t>
    <phoneticPr fontId="7" type="noConversion"/>
  </si>
  <si>
    <t>보령시 주포면 봉당리 647</t>
    <phoneticPr fontId="7" type="noConversion"/>
  </si>
  <si>
    <t>충청도</t>
  </si>
  <si>
    <t>보령</t>
  </si>
  <si>
    <t>금강서해/금강서해</t>
  </si>
  <si>
    <t>2024년도, 지하수 영향조사용역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</si>
  <si>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</si>
  <si>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t>최대</t>
    <phoneticPr fontId="7" type="noConversion"/>
  </si>
  <si>
    <t>최소</t>
    <phoneticPr fontId="7" type="noConversion"/>
  </si>
  <si>
    <t>평균</t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</si>
  <si>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</si>
  <si>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</si>
  <si>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A2_ge_OriginalSaveFile.xlsm</t>
    <phoneticPr fontId="7" type="noConversion"/>
  </si>
  <si>
    <t>A3_ge_OriginalSaveFile.xlsm</t>
    <phoneticPr fontId="7" type="noConversion"/>
  </si>
  <si>
    <t>W2</t>
    <phoneticPr fontId="7" type="noConversion"/>
  </si>
  <si>
    <t>W3</t>
    <phoneticPr fontId="7" type="noConversion"/>
  </si>
  <si>
    <t>5년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</si>
  <si>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</si>
  <si>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</si>
  <si>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</si>
  <si>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수리상수산정결과</t>
    <phoneticPr fontId="7" type="noConversion"/>
  </si>
  <si>
    <t>대웅엔지니어링 주식회사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</si>
</sst>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00\ &quot;m&quot;"/>
  </numFmts>
  <fonts count="63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1"/>
      <color theme="0" tint="-0.14999847407452621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</fonts>
  <fills count="32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1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669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3" applyFont="1" applyFill="1" applyBorder="1" applyAlignment="1">
      <alignment horizontal="center" vertical="center"/>
    </xf>
    <xf numFmtId="0" fontId="18" fillId="12" borderId="55" xfId="23" applyFont="1" applyFill="1" applyBorder="1" applyAlignment="1">
      <alignment horizontal="center" vertical="center"/>
    </xf>
    <xf numFmtId="0" fontId="18" fillId="12" borderId="56" xfId="23" applyFont="1" applyFill="1" applyBorder="1" applyAlignment="1">
      <alignment horizontal="center" vertical="center"/>
    </xf>
    <xf numFmtId="0" fontId="18" fillId="0" borderId="49" xfId="23" applyFont="1" applyBorder="1" applyAlignment="1">
      <alignment horizontal="center" vertical="center"/>
    </xf>
    <xf numFmtId="0" fontId="18" fillId="0" borderId="19" xfId="23" applyFont="1" applyBorder="1" applyAlignment="1">
      <alignment horizontal="center" vertical="center"/>
    </xf>
    <xf numFmtId="0" fontId="18" fillId="0" borderId="50" xfId="23" applyFont="1" applyBorder="1" applyAlignment="1">
      <alignment horizontal="center" vertical="center"/>
    </xf>
    <xf numFmtId="0" fontId="18" fillId="12" borderId="49" xfId="23" applyFont="1" applyFill="1" applyBorder="1" applyAlignment="1">
      <alignment horizontal="center" vertical="center"/>
    </xf>
    <xf numFmtId="0" fontId="18" fillId="12" borderId="19" xfId="23" applyFont="1" applyFill="1" applyBorder="1" applyAlignment="1">
      <alignment horizontal="center" vertical="center"/>
    </xf>
    <xf numFmtId="0" fontId="18" fillId="12" borderId="50" xfId="23" applyFont="1" applyFill="1" applyBorder="1" applyAlignment="1">
      <alignment horizontal="center" vertical="center"/>
    </xf>
    <xf numFmtId="0" fontId="18" fillId="12" borderId="21" xfId="23" applyFont="1" applyFill="1" applyBorder="1" applyAlignment="1">
      <alignment horizontal="center" vertical="center"/>
    </xf>
    <xf numFmtId="0" fontId="18" fillId="12" borderId="58" xfId="23" applyFont="1" applyFill="1" applyBorder="1" applyAlignment="1">
      <alignment horizontal="center" vertical="center"/>
    </xf>
    <xf numFmtId="0" fontId="18" fillId="0" borderId="57" xfId="23" applyFont="1" applyBorder="1" applyAlignment="1">
      <alignment horizontal="center" vertical="center"/>
    </xf>
    <xf numFmtId="0" fontId="18" fillId="0" borderId="58" xfId="23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3" applyFont="1" applyFill="1" applyBorder="1" applyAlignment="1">
      <alignment horizontal="center" vertical="center"/>
    </xf>
    <xf numFmtId="0" fontId="18" fillId="13" borderId="18" xfId="23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3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200" fontId="25" fillId="0" borderId="0" xfId="0" applyNumberFormat="1" applyFont="1" applyAlignment="1">
      <alignment horizontal="center" vertical="center"/>
    </xf>
    <xf numFmtId="199" fontId="25" fillId="0" borderId="0" xfId="24" applyNumberFormat="1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2" fontId="25" fillId="0" borderId="0" xfId="0" applyNumberFormat="1" applyFont="1" applyAlignment="1">
      <alignment horizontal="center" vertical="center"/>
    </xf>
    <xf numFmtId="199" fontId="25" fillId="0" borderId="0" xfId="24" applyNumberFormat="1" applyFont="1" applyAlignment="1">
      <alignment horizontal="center"/>
    </xf>
    <xf numFmtId="200" fontId="25" fillId="0" borderId="0" xfId="0" applyNumberFormat="1" applyFont="1" applyAlignment="1">
      <alignment horizontal="center"/>
    </xf>
    <xf numFmtId="2" fontId="25" fillId="0" borderId="0" xfId="0" applyNumberFormat="1" applyFont="1"/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3" borderId="8" xfId="0" applyFont="1" applyFill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 wrapText="1"/>
    </xf>
    <xf numFmtId="0" fontId="28" fillId="13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20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1" fontId="46" fillId="0" borderId="26" xfId="0" applyNumberFormat="1" applyFont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29" fillId="6" borderId="9" xfId="0" applyFont="1" applyFill="1" applyBorder="1" applyAlignment="1">
      <alignment horizontal="center" vertical="center"/>
    </xf>
    <xf numFmtId="0" fontId="29" fillId="6" borderId="10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68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93" fontId="47" fillId="0" borderId="4" xfId="0" applyNumberFormat="1" applyFont="1" applyBorder="1" applyAlignment="1">
      <alignment horizontal="center" vertical="center"/>
    </xf>
    <xf numFmtId="202" fontId="47" fillId="0" borderId="68" xfId="0" applyNumberFormat="1" applyFont="1" applyBorder="1" applyAlignment="1">
      <alignment horizontal="center" vertical="center"/>
    </xf>
    <xf numFmtId="203" fontId="28" fillId="23" borderId="8" xfId="0" applyNumberFormat="1" applyFont="1" applyFill="1" applyBorder="1" applyAlignment="1">
      <alignment horizontal="center" vertical="center"/>
    </xf>
    <xf numFmtId="203" fontId="28" fillId="23" borderId="9" xfId="0" applyNumberFormat="1" applyFont="1" applyFill="1" applyBorder="1" applyAlignment="1">
      <alignment horizontal="center" vertical="center"/>
    </xf>
    <xf numFmtId="203" fontId="28" fillId="23" borderId="10" xfId="0" applyNumberFormat="1" applyFont="1" applyFill="1" applyBorder="1" applyAlignment="1">
      <alignment horizontal="center" vertical="center"/>
    </xf>
    <xf numFmtId="0" fontId="47" fillId="0" borderId="67" xfId="0" applyFont="1" applyBorder="1" applyAlignment="1">
      <alignment horizontal="center" vertical="center"/>
    </xf>
    <xf numFmtId="2" fontId="47" fillId="0" borderId="68" xfId="0" applyNumberFormat="1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2" fontId="47" fillId="0" borderId="67" xfId="0" applyNumberFormat="1" applyFont="1" applyBorder="1" applyAlignment="1">
      <alignment horizontal="center" vertical="center"/>
    </xf>
    <xf numFmtId="2" fontId="47" fillId="0" borderId="4" xfId="0" applyNumberFormat="1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199" fontId="28" fillId="17" borderId="9" xfId="24" applyNumberFormat="1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8" fillId="6" borderId="8" xfId="0" applyFont="1" applyFill="1" applyBorder="1" applyAlignment="1">
      <alignment horizontal="center" vertical="center"/>
    </xf>
    <xf numFmtId="0" fontId="28" fillId="6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" fontId="28" fillId="6" borderId="9" xfId="0" applyNumberFormat="1" applyFont="1" applyFill="1" applyBorder="1" applyAlignment="1">
      <alignment horizontal="center" vertical="center"/>
    </xf>
    <xf numFmtId="0" fontId="42" fillId="19" borderId="8" xfId="16" applyFont="1" applyFill="1" applyBorder="1" applyAlignment="1">
      <alignment horizontal="center" vertical="center"/>
    </xf>
    <xf numFmtId="0" fontId="42" fillId="19" borderId="9" xfId="16" applyFont="1" applyFill="1" applyBorder="1" applyAlignment="1">
      <alignment horizontal="center" vertical="center"/>
    </xf>
    <xf numFmtId="200" fontId="42" fillId="19" borderId="9" xfId="16" applyNumberFormat="1" applyFont="1" applyFill="1" applyBorder="1" applyAlignment="1">
      <alignment horizontal="center" vertical="center"/>
    </xf>
    <xf numFmtId="199" fontId="42" fillId="19" borderId="10" xfId="24" applyNumberFormat="1" applyFont="1" applyFill="1" applyBorder="1" applyAlignment="1">
      <alignment horizontal="center" vertical="center"/>
    </xf>
    <xf numFmtId="188" fontId="47" fillId="0" borderId="4" xfId="0" applyNumberFormat="1" applyFont="1" applyBorder="1" applyAlignment="1">
      <alignment horizontal="center" vertical="center"/>
    </xf>
    <xf numFmtId="199" fontId="47" fillId="0" borderId="68" xfId="0" applyNumberFormat="1" applyFont="1" applyBorder="1" applyAlignment="1">
      <alignment horizontal="center" vertical="center"/>
    </xf>
    <xf numFmtId="199" fontId="42" fillId="19" borderId="8" xfId="24" applyNumberFormat="1" applyFont="1" applyFill="1" applyBorder="1" applyAlignment="1">
      <alignment horizontal="center" vertical="center"/>
    </xf>
    <xf numFmtId="199" fontId="42" fillId="19" borderId="9" xfId="24" applyNumberFormat="1" applyFont="1" applyFill="1" applyBorder="1" applyAlignment="1">
      <alignment horizontal="center" vertical="center"/>
    </xf>
    <xf numFmtId="199" fontId="42" fillId="19" borderId="67" xfId="24" applyNumberFormat="1" applyFont="1" applyFill="1" applyBorder="1" applyAlignment="1">
      <alignment horizontal="center" vertical="center"/>
    </xf>
    <xf numFmtId="199" fontId="49" fillId="0" borderId="4" xfId="24" applyNumberFormat="1" applyFont="1" applyBorder="1" applyAlignment="1">
      <alignment horizontal="center" vertical="center"/>
    </xf>
    <xf numFmtId="199" fontId="49" fillId="0" borderId="68" xfId="24" applyNumberFormat="1" applyFont="1" applyBorder="1" applyAlignment="1">
      <alignment horizontal="center" vertical="center"/>
    </xf>
    <xf numFmtId="200" fontId="49" fillId="0" borderId="4" xfId="0" applyNumberFormat="1" applyFont="1" applyBorder="1" applyAlignment="1">
      <alignment horizontal="center" vertical="center"/>
    </xf>
    <xf numFmtId="200" fontId="49" fillId="0" borderId="68" xfId="0" applyNumberFormat="1" applyFont="1" applyBorder="1" applyAlignment="1">
      <alignment horizontal="center" vertical="center"/>
    </xf>
    <xf numFmtId="199" fontId="42" fillId="19" borderId="24" xfId="24" applyNumberFormat="1" applyFont="1" applyFill="1" applyBorder="1" applyAlignment="1">
      <alignment horizontal="center" vertical="center"/>
    </xf>
    <xf numFmtId="0" fontId="49" fillId="0" borderId="25" xfId="0" applyFont="1" applyBorder="1" applyAlignment="1">
      <alignment horizontal="center" vertical="center"/>
    </xf>
    <xf numFmtId="0" fontId="49" fillId="0" borderId="26" xfId="0" applyFont="1" applyBorder="1" applyAlignment="1">
      <alignment horizontal="center" vertical="center"/>
    </xf>
    <xf numFmtId="199" fontId="49" fillId="0" borderId="67" xfId="24" applyNumberFormat="1" applyFont="1" applyBorder="1" applyAlignment="1">
      <alignment horizontal="center" vertical="center"/>
    </xf>
    <xf numFmtId="0" fontId="49" fillId="0" borderId="4" xfId="24" applyNumberFormat="1" applyFont="1" applyBorder="1" applyAlignment="1">
      <alignment horizontal="center" vertical="center"/>
    </xf>
    <xf numFmtId="0" fontId="49" fillId="0" borderId="68" xfId="24" applyNumberFormat="1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188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193" fontId="47" fillId="0" borderId="4" xfId="0" applyNumberFormat="1" applyFont="1" applyBorder="1" applyAlignment="1">
      <alignment horizontal="center"/>
    </xf>
    <xf numFmtId="0" fontId="47" fillId="0" borderId="25" xfId="0" applyFont="1" applyBorder="1" applyAlignment="1">
      <alignment horizontal="center"/>
    </xf>
    <xf numFmtId="193" fontId="46" fillId="0" borderId="4" xfId="0" applyNumberFormat="1" applyFont="1" applyBorder="1" applyAlignment="1">
      <alignment horizontal="center" vertical="center"/>
    </xf>
    <xf numFmtId="0" fontId="6" fillId="0" borderId="0" xfId="0" applyFont="1"/>
    <xf numFmtId="0" fontId="52" fillId="0" borderId="0" xfId="16" applyFont="1">
      <alignment vertical="center"/>
    </xf>
    <xf numFmtId="0" fontId="53" fillId="0" borderId="67" xfId="0" applyFont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68" xfId="23" applyFont="1" applyBorder="1" applyAlignment="1">
      <alignment horizontal="center" vertical="center"/>
    </xf>
    <xf numFmtId="0" fontId="18" fillId="0" borderId="25" xfId="23" applyFont="1" applyBorder="1" applyAlignment="1">
      <alignment horizontal="center" vertical="center"/>
    </xf>
    <xf numFmtId="0" fontId="18" fillId="0" borderId="26" xfId="23" applyFont="1" applyBorder="1" applyAlignment="1">
      <alignment horizontal="center" vertical="center"/>
    </xf>
    <xf numFmtId="0" fontId="18" fillId="0" borderId="89" xfId="23" applyFont="1" applyBorder="1" applyAlignment="1">
      <alignment horizontal="center" vertical="center"/>
    </xf>
    <xf numFmtId="0" fontId="18" fillId="0" borderId="90" xfId="23" applyFont="1" applyBorder="1" applyAlignment="1">
      <alignment horizontal="center" vertical="center"/>
    </xf>
    <xf numFmtId="185" fontId="18" fillId="0" borderId="94" xfId="23" applyNumberFormat="1" applyFont="1" applyBorder="1" applyAlignment="1">
      <alignment horizontal="center" vertical="center"/>
    </xf>
    <xf numFmtId="0" fontId="18" fillId="0" borderId="94" xfId="23" applyFont="1" applyBorder="1" applyAlignment="1">
      <alignment horizontal="center" vertical="center"/>
    </xf>
    <xf numFmtId="0" fontId="18" fillId="0" borderId="95" xfId="23" applyFont="1" applyBorder="1" applyAlignment="1">
      <alignment horizontal="center" vertical="center"/>
    </xf>
    <xf numFmtId="0" fontId="30" fillId="0" borderId="25" xfId="23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3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1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185" fontId="18" fillId="0" borderId="96" xfId="23" applyNumberFormat="1" applyFont="1" applyBorder="1" applyAlignment="1">
      <alignment horizontal="center" vertical="center"/>
    </xf>
    <xf numFmtId="0" fontId="18" fillId="13" borderId="27" xfId="23" applyFont="1" applyFill="1" applyBorder="1" applyAlignment="1">
      <alignment horizontal="center" vertical="center"/>
    </xf>
    <xf numFmtId="0" fontId="18" fillId="13" borderId="30" xfId="23" applyFont="1" applyFill="1" applyBorder="1" applyAlignment="1">
      <alignment horizontal="center" vertical="center"/>
    </xf>
    <xf numFmtId="0" fontId="30" fillId="13" borderId="30" xfId="23" applyFont="1" applyFill="1" applyBorder="1" applyAlignment="1">
      <alignment horizontal="center" vertical="center"/>
    </xf>
    <xf numFmtId="0" fontId="18" fillId="13" borderId="38" xfId="23" applyFont="1" applyFill="1" applyBorder="1" applyAlignment="1">
      <alignment horizontal="center" vertical="center"/>
    </xf>
    <xf numFmtId="0" fontId="18" fillId="13" borderId="39" xfId="23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3" applyFont="1" applyFill="1" applyBorder="1" applyAlignment="1">
      <alignment horizontal="center" vertical="center"/>
    </xf>
    <xf numFmtId="0" fontId="18" fillId="10" borderId="19" xfId="23" applyFont="1" applyFill="1" applyBorder="1" applyAlignment="1">
      <alignment horizontal="center" vertical="center"/>
    </xf>
    <xf numFmtId="0" fontId="18" fillId="10" borderId="50" xfId="23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5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4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199" fontId="18" fillId="0" borderId="68" xfId="16" applyNumberFormat="1" applyFont="1" applyBorder="1" applyAlignment="1">
      <alignment horizontal="center" vertical="center"/>
    </xf>
    <xf numFmtId="10" fontId="31" fillId="18" borderId="25" xfId="24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7" borderId="0" xfId="16" applyFont="1" applyFill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0" fontId="29" fillId="6" borderId="8" xfId="0" applyFont="1" applyFill="1" applyBorder="1" applyAlignment="1">
      <alignment horizontal="center" vertical="center"/>
    </xf>
    <xf numFmtId="0" fontId="57" fillId="0" borderId="0" xfId="0" applyFont="1"/>
    <xf numFmtId="0" fontId="25" fillId="0" borderId="100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10" borderId="83" xfId="0" applyFont="1" applyFill="1" applyBorder="1" applyAlignment="1">
      <alignment horizontal="center" vertical="center"/>
    </xf>
    <xf numFmtId="0" fontId="25" fillId="10" borderId="48" xfId="0" applyFont="1" applyFill="1" applyBorder="1" applyAlignment="1">
      <alignment horizontal="center" vertical="center"/>
    </xf>
    <xf numFmtId="0" fontId="25" fillId="10" borderId="20" xfId="0" applyFont="1" applyFill="1" applyBorder="1" applyAlignment="1">
      <alignment horizontal="center" vertical="center"/>
    </xf>
    <xf numFmtId="0" fontId="25" fillId="10" borderId="50" xfId="0" applyFont="1" applyFill="1" applyBorder="1" applyAlignment="1">
      <alignment horizontal="center" vertical="center"/>
    </xf>
    <xf numFmtId="0" fontId="25" fillId="10" borderId="60" xfId="0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0" fontId="25" fillId="10" borderId="59" xfId="0" applyFont="1" applyFill="1" applyBorder="1" applyAlignment="1">
      <alignment horizontal="center" vertical="center"/>
    </xf>
    <xf numFmtId="0" fontId="25" fillId="10" borderId="56" xfId="0" applyFont="1" applyFill="1" applyBorder="1" applyAlignment="1">
      <alignment horizontal="center" vertical="center"/>
    </xf>
    <xf numFmtId="0" fontId="25" fillId="10" borderId="20" xfId="17" applyNumberFormat="1" applyFont="1" applyFill="1" applyBorder="1" applyAlignment="1">
      <alignment horizontal="center" vertical="center"/>
    </xf>
    <xf numFmtId="0" fontId="25" fillId="10" borderId="50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25" fillId="10" borderId="58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62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5" fillId="0" borderId="46" xfId="0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 wrapText="1"/>
    </xf>
    <xf numFmtId="0" fontId="25" fillId="0" borderId="48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 wrapText="1"/>
    </xf>
    <xf numFmtId="0" fontId="25" fillId="0" borderId="50" xfId="17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2" xfId="17" applyNumberFormat="1" applyFont="1" applyBorder="1" applyAlignment="1">
      <alignment horizontal="center" vertical="center"/>
    </xf>
    <xf numFmtId="0" fontId="25" fillId="0" borderId="53" xfId="17" applyNumberFormat="1" applyFont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0" fontId="25" fillId="10" borderId="55" xfId="0" applyFont="1" applyFill="1" applyBorder="1" applyAlignment="1">
      <alignment horizontal="center" vertical="center"/>
    </xf>
    <xf numFmtId="0" fontId="25" fillId="10" borderId="49" xfId="0" applyFont="1" applyFill="1" applyBorder="1" applyAlignment="1">
      <alignment horizontal="center" vertical="center"/>
    </xf>
    <xf numFmtId="0" fontId="25" fillId="10" borderId="19" xfId="0" applyFont="1" applyFill="1" applyBorder="1" applyAlignment="1">
      <alignment horizontal="center" vertical="center"/>
    </xf>
    <xf numFmtId="0" fontId="25" fillId="10" borderId="57" xfId="0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58" xfId="0" applyFont="1" applyFill="1" applyBorder="1" applyAlignment="1">
      <alignment horizontal="center" vertical="center"/>
    </xf>
    <xf numFmtId="0" fontId="25" fillId="10" borderId="49" xfId="17" applyNumberFormat="1" applyFont="1" applyFill="1" applyBorder="1" applyAlignment="1">
      <alignment horizontal="center" vertical="center"/>
    </xf>
    <xf numFmtId="0" fontId="25" fillId="10" borderId="19" xfId="17" applyNumberFormat="1" applyFont="1" applyFill="1" applyBorder="1" applyAlignment="1">
      <alignment horizontal="center" vertical="center"/>
    </xf>
    <xf numFmtId="0" fontId="25" fillId="10" borderId="57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3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left" vertical="center"/>
    </xf>
    <xf numFmtId="0" fontId="20" fillId="0" borderId="0" xfId="16" applyFont="1" applyAlignment="1">
      <alignment horizontal="center" vertical="center"/>
    </xf>
    <xf numFmtId="0" fontId="30" fillId="13" borderId="29" xfId="23" applyFont="1" applyFill="1" applyBorder="1" applyAlignment="1">
      <alignment horizontal="center" vertical="center"/>
    </xf>
    <xf numFmtId="0" fontId="30" fillId="13" borderId="9" xfId="23" applyFont="1" applyFill="1" applyBorder="1" applyAlignment="1">
      <alignment horizontal="center" vertical="center"/>
    </xf>
    <xf numFmtId="0" fontId="30" fillId="13" borderId="10" xfId="23" applyFont="1" applyFill="1" applyBorder="1" applyAlignment="1">
      <alignment horizontal="center" vertical="center"/>
    </xf>
    <xf numFmtId="0" fontId="18" fillId="0" borderId="0" xfId="20" applyNumberFormat="1" applyFont="1">
      <alignment vertical="center"/>
    </xf>
    <xf numFmtId="0" fontId="30" fillId="13" borderId="29" xfId="20" applyNumberFormat="1" applyFont="1" applyFill="1" applyBorder="1" applyAlignment="1">
      <alignment horizontal="center" vertical="center"/>
    </xf>
    <xf numFmtId="0" fontId="30" fillId="0" borderId="12" xfId="20" applyNumberFormat="1" applyFont="1" applyBorder="1" applyAlignment="1">
      <alignment horizontal="center" vertical="center"/>
    </xf>
    <xf numFmtId="0" fontId="18" fillId="0" borderId="12" xfId="20" applyNumberFormat="1" applyFont="1" applyBorder="1" applyAlignment="1">
      <alignment horizontal="center" vertical="center"/>
    </xf>
    <xf numFmtId="0" fontId="30" fillId="0" borderId="15" xfId="20" applyNumberFormat="1" applyFont="1" applyBorder="1" applyAlignment="1">
      <alignment horizontal="center" vertical="center"/>
    </xf>
    <xf numFmtId="0" fontId="30" fillId="9" borderId="12" xfId="20" applyNumberFormat="1" applyFont="1" applyFill="1" applyBorder="1" applyAlignment="1">
      <alignment horizontal="center" vertical="center"/>
    </xf>
    <xf numFmtId="0" fontId="30" fillId="0" borderId="41" xfId="20" applyNumberFormat="1" applyFont="1" applyBorder="1" applyAlignment="1">
      <alignment horizontal="center" vertical="center"/>
    </xf>
    <xf numFmtId="0" fontId="55" fillId="0" borderId="0" xfId="20" applyNumberFormat="1" applyFont="1" applyAlignment="1">
      <alignment horizontal="center" vertical="center"/>
    </xf>
    <xf numFmtId="0" fontId="30" fillId="11" borderId="96" xfId="20" applyNumberFormat="1" applyFont="1" applyFill="1" applyBorder="1" applyAlignment="1">
      <alignment horizontal="center" vertical="center"/>
    </xf>
    <xf numFmtId="0" fontId="28" fillId="7" borderId="38" xfId="0" applyFont="1" applyFill="1" applyBorder="1" applyAlignment="1">
      <alignment horizontal="center" vertical="center"/>
    </xf>
    <xf numFmtId="10" fontId="30" fillId="12" borderId="4" xfId="16" applyNumberFormat="1" applyFont="1" applyFill="1" applyBorder="1" applyAlignment="1">
      <alignment horizontal="center" vertical="center"/>
    </xf>
    <xf numFmtId="10" fontId="30" fillId="12" borderId="68" xfId="16" applyNumberFormat="1" applyFont="1" applyFill="1" applyBorder="1" applyAlignment="1">
      <alignment horizontal="center" vertical="center"/>
    </xf>
    <xf numFmtId="10" fontId="36" fillId="29" borderId="9" xfId="16" applyNumberFormat="1" applyFont="1" applyFill="1" applyBorder="1" applyAlignment="1">
      <alignment horizontal="center" vertical="center"/>
    </xf>
    <xf numFmtId="10" fontId="36" fillId="29" borderId="10" xfId="16" applyNumberFormat="1" applyFont="1" applyFill="1" applyBorder="1" applyAlignment="1">
      <alignment horizontal="center" vertical="center"/>
    </xf>
    <xf numFmtId="10" fontId="36" fillId="30" borderId="25" xfId="16" applyNumberFormat="1" applyFont="1" applyFill="1" applyBorder="1" applyAlignment="1">
      <alignment horizontal="center" vertical="center"/>
    </xf>
    <xf numFmtId="10" fontId="36" fillId="30" borderId="26" xfId="16" applyNumberFormat="1" applyFont="1" applyFill="1" applyBorder="1" applyAlignment="1">
      <alignment horizontal="center" vertical="center"/>
    </xf>
    <xf numFmtId="185" fontId="38" fillId="19" borderId="27" xfId="18" applyNumberFormat="1" applyFont="1" applyFill="1" applyBorder="1" applyAlignment="1">
      <alignment horizontal="center" vertical="center"/>
    </xf>
    <xf numFmtId="185" fontId="38" fillId="19" borderId="38" xfId="18" applyNumberFormat="1" applyFont="1" applyFill="1" applyBorder="1" applyAlignment="1">
      <alignment horizontal="center" vertical="center"/>
    </xf>
    <xf numFmtId="185" fontId="38" fillId="28" borderId="30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9" fillId="7" borderId="97" xfId="0" applyFont="1" applyFill="1" applyBorder="1" applyAlignment="1">
      <alignment horizontal="center" vertical="center"/>
    </xf>
    <xf numFmtId="0" fontId="29" fillId="7" borderId="98" xfId="0" applyFont="1" applyFill="1" applyBorder="1" applyAlignment="1">
      <alignment horizontal="center" vertical="center"/>
    </xf>
    <xf numFmtId="0" fontId="29" fillId="7" borderId="99" xfId="0" applyFont="1" applyFill="1" applyBorder="1" applyAlignment="1">
      <alignment horizontal="center" vertical="center"/>
    </xf>
    <xf numFmtId="0" fontId="29" fillId="7" borderId="102" xfId="0" applyFont="1" applyFill="1" applyBorder="1" applyAlignment="1">
      <alignment horizontal="center" vertical="center"/>
    </xf>
    <xf numFmtId="0" fontId="28" fillId="7" borderId="54" xfId="17" applyNumberFormat="1" applyFont="1" applyFill="1" applyBorder="1" applyAlignment="1">
      <alignment horizontal="center" vertical="center"/>
    </xf>
    <xf numFmtId="0" fontId="28" fillId="7" borderId="55" xfId="17" applyNumberFormat="1" applyFont="1" applyFill="1" applyBorder="1" applyAlignment="1">
      <alignment horizontal="center" vertical="center"/>
    </xf>
    <xf numFmtId="0" fontId="28" fillId="7" borderId="56" xfId="17" applyNumberFormat="1" applyFont="1" applyFill="1" applyBorder="1" applyAlignment="1">
      <alignment horizontal="center" vertical="center"/>
    </xf>
    <xf numFmtId="0" fontId="28" fillId="7" borderId="59" xfId="17" applyNumberFormat="1" applyFont="1" applyFill="1" applyBorder="1" applyAlignment="1">
      <alignment horizontal="center" vertical="center"/>
    </xf>
    <xf numFmtId="198" fontId="46" fillId="24" borderId="0" xfId="0" applyNumberFormat="1" applyFont="1" applyFill="1" applyAlignment="1">
      <alignment horizontal="center" vertical="center"/>
    </xf>
    <xf numFmtId="0" fontId="58" fillId="31" borderId="64" xfId="0" applyFont="1" applyFill="1" applyBorder="1" applyAlignment="1">
      <alignment horizontal="center" vertical="center"/>
    </xf>
    <xf numFmtId="0" fontId="58" fillId="31" borderId="27" xfId="0" applyFont="1" applyFill="1" applyBorder="1" applyAlignment="1">
      <alignment horizontal="center" vertical="center"/>
    </xf>
    <xf numFmtId="0" fontId="59" fillId="0" borderId="101" xfId="0" applyFont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28" fillId="10" borderId="23" xfId="17" applyNumberFormat="1" applyFont="1" applyFill="1" applyBorder="1" applyAlignment="1">
      <alignment horizontal="center" vertical="center"/>
    </xf>
    <xf numFmtId="206" fontId="15" fillId="13" borderId="17" xfId="18" applyNumberFormat="1" applyFont="1" applyFill="1" applyBorder="1" applyAlignment="1">
      <alignment horizontal="center" vertical="center"/>
    </xf>
    <xf numFmtId="0" fontId="57" fillId="0" borderId="0" xfId="16" applyFont="1" applyAlignment="1">
      <alignment horizontal="center" vertical="center"/>
    </xf>
    <xf numFmtId="0" fontId="25" fillId="4" borderId="35" xfId="0" applyFont="1" applyFill="1" applyBorder="1" applyAlignment="1">
      <alignment horizontal="center" vertical="center"/>
    </xf>
    <xf numFmtId="2" fontId="48" fillId="0" borderId="4" xfId="0" applyNumberFormat="1" applyFont="1" applyBorder="1" applyAlignment="1">
      <alignment horizontal="center" vertical="center"/>
    </xf>
    <xf numFmtId="204" fontId="48" fillId="0" borderId="68" xfId="0" applyNumberFormat="1" applyFont="1" applyBorder="1" applyAlignment="1">
      <alignment horizontal="center" vertical="center"/>
    </xf>
    <xf numFmtId="2" fontId="53" fillId="0" borderId="4" xfId="0" applyNumberFormat="1" applyFont="1" applyBorder="1" applyAlignment="1">
      <alignment horizontal="center" vertical="center"/>
    </xf>
    <xf numFmtId="193" fontId="53" fillId="0" borderId="4" xfId="0" applyNumberFormat="1" applyFont="1" applyBorder="1" applyAlignment="1">
      <alignment horizontal="center" vertical="center"/>
    </xf>
    <xf numFmtId="204" fontId="53" fillId="0" borderId="68" xfId="0" applyNumberFormat="1" applyFont="1" applyBorder="1" applyAlignment="1">
      <alignment horizontal="center" vertical="center"/>
    </xf>
    <xf numFmtId="2" fontId="28" fillId="0" borderId="4" xfId="0" applyNumberFormat="1" applyFont="1" applyBorder="1" applyAlignment="1">
      <alignment horizontal="center" vertical="center"/>
    </xf>
    <xf numFmtId="193" fontId="16" fillId="25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204" fontId="16" fillId="0" borderId="30" xfId="18" applyNumberFormat="1" applyFont="1" applyBorder="1" applyAlignment="1">
      <alignment horizontal="center" vertical="center" wrapText="1"/>
    </xf>
    <xf numFmtId="204" fontId="47" fillId="0" borderId="4" xfId="0" applyNumberFormat="1" applyFont="1" applyBorder="1" applyAlignment="1">
      <alignment horizontal="center" vertical="center"/>
    </xf>
    <xf numFmtId="204" fontId="47" fillId="0" borderId="68" xfId="0" applyNumberFormat="1" applyFont="1" applyBorder="1" applyAlignment="1">
      <alignment horizontal="center" vertical="center"/>
    </xf>
    <xf numFmtId="204" fontId="46" fillId="0" borderId="68" xfId="0" applyNumberFormat="1" applyFont="1" applyBorder="1" applyAlignment="1">
      <alignment horizontal="center" vertical="center"/>
    </xf>
    <xf numFmtId="188" fontId="25" fillId="0" borderId="67" xfId="0" applyNumberFormat="1" applyFont="1" applyBorder="1" applyAlignment="1">
      <alignment horizontal="center" vertical="center"/>
    </xf>
    <xf numFmtId="188" fontId="25" fillId="0" borderId="68" xfId="0" applyNumberFormat="1" applyFont="1" applyBorder="1" applyAlignment="1">
      <alignment horizontal="center" vertical="center"/>
    </xf>
    <xf numFmtId="204" fontId="47" fillId="0" borderId="4" xfId="0" applyNumberFormat="1" applyFont="1" applyBorder="1" applyAlignment="1">
      <alignment horizontal="center"/>
    </xf>
    <xf numFmtId="2" fontId="47" fillId="0" borderId="4" xfId="0" applyNumberFormat="1" applyFont="1" applyBorder="1" applyAlignment="1">
      <alignment horizontal="center"/>
    </xf>
    <xf numFmtId="199" fontId="47" fillId="0" borderId="68" xfId="24" applyNumberFormat="1" applyFont="1" applyBorder="1" applyAlignment="1">
      <alignment horizontal="center" vertical="center"/>
    </xf>
    <xf numFmtId="0" fontId="47" fillId="0" borderId="9" xfId="0" applyFont="1" applyBorder="1" applyAlignment="1">
      <alignment horizontal="center" vertical="center"/>
    </xf>
    <xf numFmtId="204" fontId="25" fillId="0" borderId="68" xfId="0" applyNumberFormat="1" applyFont="1" applyBorder="1" applyAlignment="1">
      <alignment horizontal="center" vertical="center"/>
    </xf>
    <xf numFmtId="193" fontId="28" fillId="0" borderId="25" xfId="0" applyNumberFormat="1" applyFont="1" applyBorder="1" applyAlignment="1">
      <alignment horizontal="center" vertical="center"/>
    </xf>
    <xf numFmtId="204" fontId="28" fillId="0" borderId="26" xfId="0" applyNumberFormat="1" applyFont="1" applyBorder="1" applyAlignment="1">
      <alignment horizontal="center" vertical="center"/>
    </xf>
    <xf numFmtId="0" fontId="47" fillId="13" borderId="67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2" fontId="47" fillId="13" borderId="68" xfId="0" applyNumberFormat="1" applyFont="1" applyFill="1" applyBorder="1" applyAlignment="1">
      <alignment horizontal="center" vertical="center"/>
    </xf>
    <xf numFmtId="0" fontId="47" fillId="13" borderId="25" xfId="0" applyFont="1" applyFill="1" applyBorder="1" applyAlignment="1">
      <alignment horizontal="center" vertical="center"/>
    </xf>
    <xf numFmtId="0" fontId="47" fillId="13" borderId="68" xfId="0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 vertical="center"/>
    </xf>
    <xf numFmtId="204" fontId="47" fillId="13" borderId="4" xfId="0" applyNumberFormat="1" applyFont="1" applyFill="1" applyBorder="1" applyAlignment="1">
      <alignment horizontal="center" vertical="center"/>
    </xf>
    <xf numFmtId="2" fontId="47" fillId="13" borderId="4" xfId="0" applyNumberFormat="1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/>
    </xf>
    <xf numFmtId="204" fontId="47" fillId="13" borderId="4" xfId="0" applyNumberFormat="1" applyFont="1" applyFill="1" applyBorder="1" applyAlignment="1">
      <alignment horizontal="center"/>
    </xf>
    <xf numFmtId="2" fontId="47" fillId="13" borderId="4" xfId="0" applyNumberFormat="1" applyFont="1" applyFill="1" applyBorder="1" applyAlignment="1">
      <alignment horizontal="center"/>
    </xf>
    <xf numFmtId="0" fontId="47" fillId="13" borderId="25" xfId="0" applyFont="1" applyFill="1" applyBorder="1" applyAlignment="1">
      <alignment horizontal="center"/>
    </xf>
    <xf numFmtId="0" fontId="25" fillId="13" borderId="4" xfId="0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204" fontId="47" fillId="13" borderId="68" xfId="0" applyNumberFormat="1" applyFont="1" applyFill="1" applyBorder="1" applyAlignment="1">
      <alignment horizontal="center" vertical="center"/>
    </xf>
    <xf numFmtId="193" fontId="46" fillId="13" borderId="4" xfId="0" applyNumberFormat="1" applyFont="1" applyFill="1" applyBorder="1" applyAlignment="1">
      <alignment horizontal="center" vertical="center"/>
    </xf>
    <xf numFmtId="204" fontId="46" fillId="13" borderId="68" xfId="0" applyNumberFormat="1" applyFont="1" applyFill="1" applyBorder="1" applyAlignment="1">
      <alignment horizontal="center" vertical="center"/>
    </xf>
    <xf numFmtId="188" fontId="25" fillId="13" borderId="67" xfId="0" applyNumberFormat="1" applyFont="1" applyFill="1" applyBorder="1" applyAlignment="1">
      <alignment horizontal="center" vertical="center"/>
    </xf>
    <xf numFmtId="188" fontId="47" fillId="13" borderId="4" xfId="0" applyNumberFormat="1" applyFont="1" applyFill="1" applyBorder="1" applyAlignment="1">
      <alignment horizontal="center" vertical="center"/>
    </xf>
    <xf numFmtId="188" fontId="25" fillId="13" borderId="68" xfId="0" applyNumberFormat="1" applyFont="1" applyFill="1" applyBorder="1" applyAlignment="1">
      <alignment horizontal="center" vertical="center"/>
    </xf>
    <xf numFmtId="0" fontId="25" fillId="13" borderId="67" xfId="0" applyFont="1" applyFill="1" applyBorder="1" applyAlignment="1">
      <alignment horizontal="center" vertical="center"/>
    </xf>
    <xf numFmtId="202" fontId="47" fillId="13" borderId="68" xfId="0" applyNumberFormat="1" applyFont="1" applyFill="1" applyBorder="1" applyAlignment="1">
      <alignment horizontal="center" vertical="center"/>
    </xf>
    <xf numFmtId="199" fontId="47" fillId="13" borderId="68" xfId="0" applyNumberFormat="1" applyFont="1" applyFill="1" applyBorder="1" applyAlignment="1">
      <alignment horizontal="center" vertical="center"/>
    </xf>
    <xf numFmtId="199" fontId="47" fillId="13" borderId="68" xfId="24" applyNumberFormat="1" applyFont="1" applyFill="1" applyBorder="1" applyAlignment="1">
      <alignment horizontal="center" vertical="center"/>
    </xf>
    <xf numFmtId="199" fontId="49" fillId="13" borderId="67" xfId="24" applyNumberFormat="1" applyFont="1" applyFill="1" applyBorder="1" applyAlignment="1">
      <alignment horizontal="center" vertical="center"/>
    </xf>
    <xf numFmtId="0" fontId="49" fillId="13" borderId="4" xfId="24" applyNumberFormat="1" applyFont="1" applyFill="1" applyBorder="1" applyAlignment="1">
      <alignment horizontal="center" vertical="center"/>
    </xf>
    <xf numFmtId="0" fontId="49" fillId="13" borderId="68" xfId="24" applyNumberFormat="1" applyFont="1" applyFill="1" applyBorder="1" applyAlignment="1">
      <alignment horizontal="center" vertical="center"/>
    </xf>
    <xf numFmtId="2" fontId="48" fillId="0" borderId="25" xfId="0" applyNumberFormat="1" applyFont="1" applyBorder="1" applyAlignment="1">
      <alignment horizontal="center" vertical="center"/>
    </xf>
    <xf numFmtId="193" fontId="48" fillId="0" borderId="25" xfId="0" applyNumberFormat="1" applyFont="1" applyBorder="1" applyAlignment="1">
      <alignment horizontal="center" vertical="center"/>
    </xf>
    <xf numFmtId="204" fontId="48" fillId="0" borderId="26" xfId="0" applyNumberFormat="1" applyFont="1" applyBorder="1" applyAlignment="1">
      <alignment horizontal="center" vertical="center"/>
    </xf>
    <xf numFmtId="2" fontId="25" fillId="0" borderId="25" xfId="0" applyNumberFormat="1" applyFont="1" applyBorder="1" applyAlignment="1">
      <alignment horizontal="center" vertical="center"/>
    </xf>
    <xf numFmtId="0" fontId="60" fillId="0" borderId="0" xfId="0" applyFont="1" applyAlignment="1">
      <alignment horizontal="center" vertical="center"/>
    </xf>
    <xf numFmtId="0" fontId="45" fillId="0" borderId="27" xfId="0" applyFont="1" applyBorder="1" applyAlignment="1">
      <alignment horizontal="center" vertical="center"/>
    </xf>
    <xf numFmtId="0" fontId="45" fillId="0" borderId="38" xfId="0" applyFont="1" applyBorder="1" applyAlignment="1">
      <alignment horizontal="center" vertical="center"/>
    </xf>
    <xf numFmtId="195" fontId="43" fillId="21" borderId="50" xfId="16" applyNumberFormat="1" applyFont="1" applyFill="1" applyBorder="1" applyAlignment="1">
      <alignment horizontal="center" vertical="center"/>
    </xf>
    <xf numFmtId="195" fontId="49" fillId="22" borderId="35" xfId="16" applyNumberFormat="1" applyFont="1" applyFill="1" applyBorder="1">
      <alignment vertical="center"/>
    </xf>
    <xf numFmtId="188" fontId="48" fillId="0" borderId="4" xfId="0" applyNumberFormat="1" applyFont="1" applyBorder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30" fillId="13" borderId="38" xfId="23" applyFont="1" applyFill="1" applyBorder="1" applyAlignment="1">
      <alignment horizontal="center" vertical="center"/>
    </xf>
    <xf numFmtId="0" fontId="0" fillId="0" borderId="25" xfId="0" applyBorder="1"/>
    <xf numFmtId="0" fontId="0" fillId="0" borderId="26" xfId="0" applyBorder="1"/>
    <xf numFmtId="193" fontId="28" fillId="0" borderId="4" xfId="0" applyNumberFormat="1" applyFont="1" applyBorder="1" applyAlignment="1">
      <alignment horizontal="center" vertical="center"/>
    </xf>
    <xf numFmtId="204" fontId="28" fillId="0" borderId="68" xfId="0" applyNumberFormat="1" applyFont="1" applyBorder="1" applyAlignment="1">
      <alignment horizontal="center" vertical="center"/>
    </xf>
    <xf numFmtId="2" fontId="25" fillId="0" borderId="26" xfId="0" applyNumberFormat="1" applyFont="1" applyBorder="1" applyAlignment="1">
      <alignment horizontal="center" vertical="center"/>
    </xf>
    <xf numFmtId="0" fontId="25" fillId="13" borderId="68" xfId="0" applyFont="1" applyFill="1" applyBorder="1" applyAlignment="1">
      <alignment horizontal="center" vertical="center"/>
    </xf>
    <xf numFmtId="0" fontId="25" fillId="0" borderId="26" xfId="0" applyFont="1" applyBorder="1"/>
    <xf numFmtId="0" fontId="42" fillId="19" borderId="14" xfId="16" applyFont="1" applyFill="1" applyBorder="1" applyAlignment="1">
      <alignment horizontal="center" vertical="center"/>
    </xf>
    <xf numFmtId="0" fontId="42" fillId="19" borderId="65" xfId="16" applyFont="1" applyFill="1" applyBorder="1" applyAlignment="1">
      <alignment horizontal="center" vertical="center"/>
    </xf>
    <xf numFmtId="0" fontId="42" fillId="19" borderId="16" xfId="16" applyFont="1" applyFill="1" applyBorder="1" applyAlignment="1">
      <alignment horizontal="center" vertical="center"/>
    </xf>
    <xf numFmtId="0" fontId="62" fillId="0" borderId="0" xfId="0" applyFont="1" applyAlignment="1">
      <alignment vertical="center"/>
    </xf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5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9" fillId="4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0" fontId="34" fillId="0" borderId="107" xfId="0" applyFont="1" applyBorder="1" applyAlignment="1">
      <alignment horizontal="center" vertical="center"/>
    </xf>
    <xf numFmtId="17" fontId="34" fillId="0" borderId="107" xfId="0" applyNumberFormat="1" applyFont="1" applyBorder="1" applyAlignment="1">
      <alignment horizontal="center" vertical="center"/>
    </xf>
    <xf numFmtId="0" fontId="15" fillId="0" borderId="107" xfId="0" applyFont="1" applyBorder="1" applyAlignment="1">
      <alignment horizontal="center" vertical="center" wrapText="1"/>
    </xf>
    <xf numFmtId="188" fontId="15" fillId="0" borderId="107" xfId="0" applyNumberFormat="1" applyFont="1" applyBorder="1" applyAlignment="1">
      <alignment horizontal="center" vertical="center"/>
    </xf>
    <xf numFmtId="41" fontId="34" fillId="0" borderId="107" xfId="20" applyFont="1" applyBorder="1">
      <alignment vertical="center"/>
    </xf>
    <xf numFmtId="0" fontId="34" fillId="0" borderId="108" xfId="0" applyFont="1" applyBorder="1" applyAlignment="1">
      <alignment horizontal="center" vertical="center"/>
    </xf>
    <xf numFmtId="0" fontId="34" fillId="0" borderId="109" xfId="0" applyFont="1" applyBorder="1" applyAlignment="1">
      <alignment horizontal="center" vertical="center"/>
    </xf>
    <xf numFmtId="0" fontId="34" fillId="0" borderId="110" xfId="0" applyFont="1" applyBorder="1" applyAlignment="1">
      <alignment horizontal="center" vertical="center"/>
    </xf>
    <xf numFmtId="17" fontId="34" fillId="0" borderId="110" xfId="0" applyNumberFormat="1" applyFont="1" applyBorder="1" applyAlignment="1">
      <alignment horizontal="center" vertical="center"/>
    </xf>
    <xf numFmtId="0" fontId="15" fillId="0" borderId="110" xfId="0" applyFont="1" applyBorder="1" applyAlignment="1">
      <alignment horizontal="center" vertical="center" wrapText="1"/>
    </xf>
    <xf numFmtId="188" fontId="15" fillId="0" borderId="110" xfId="0" applyNumberFormat="1" applyFont="1" applyBorder="1" applyAlignment="1">
      <alignment horizontal="center" vertical="center"/>
    </xf>
    <xf numFmtId="41" fontId="34" fillId="0" borderId="110" xfId="20" applyFont="1" applyBorder="1">
      <alignment vertical="center"/>
    </xf>
    <xf numFmtId="0" fontId="34" fillId="0" borderId="111" xfId="0" applyFont="1" applyBorder="1" applyAlignment="1">
      <alignment horizontal="center" vertical="center"/>
    </xf>
    <xf numFmtId="2" fontId="15" fillId="25" borderId="87" xfId="18" applyNumberFormat="1" applyFont="1" applyFill="1" applyBorder="1" applyAlignment="1">
      <alignment horizontal="center" vertical="center"/>
    </xf>
    <xf numFmtId="2" fontId="15" fillId="25" borderId="32" xfId="18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5" fillId="3" borderId="42" xfId="0" applyNumberFormat="1" applyFont="1" applyFill="1" applyBorder="1" applyAlignment="1">
      <alignment horizontal="center" vertical="center"/>
    </xf>
    <xf numFmtId="0" fontId="25" fillId="3" borderId="90" xfId="0" applyFont="1" applyFill="1" applyBorder="1" applyAlignment="1">
      <alignment horizontal="center" vertical="center"/>
    </xf>
    <xf numFmtId="191" fontId="25" fillId="3" borderId="27" xfId="0" applyNumberFormat="1" applyFont="1" applyFill="1" applyBorder="1" applyAlignment="1">
      <alignment horizontal="center" vertical="center"/>
    </xf>
    <xf numFmtId="188" fontId="25" fillId="3" borderId="38" xfId="0" applyNumberFormat="1" applyFont="1" applyFill="1" applyBorder="1" applyAlignment="1">
      <alignment horizontal="center" vertical="center"/>
    </xf>
    <xf numFmtId="184" fontId="25" fillId="3" borderId="1" xfId="0" applyNumberFormat="1" applyFont="1" applyFill="1" applyBorder="1" applyAlignment="1">
      <alignment horizontal="center" vertical="center"/>
    </xf>
    <xf numFmtId="0" fontId="25" fillId="3" borderId="89" xfId="0" applyFont="1" applyFill="1" applyBorder="1" applyAlignment="1">
      <alignment horizontal="center" vertical="center"/>
    </xf>
    <xf numFmtId="0" fontId="25" fillId="3" borderId="33" xfId="0" applyFont="1" applyFill="1" applyBorder="1" applyAlignment="1">
      <alignment horizontal="center" vertical="center"/>
    </xf>
    <xf numFmtId="0" fontId="25" fillId="3" borderId="70" xfId="0" applyFont="1" applyFill="1" applyBorder="1" applyAlignment="1">
      <alignment horizontal="center" vertical="center"/>
    </xf>
    <xf numFmtId="0" fontId="42" fillId="29" borderId="8" xfId="16" applyFont="1" applyFill="1" applyBorder="1" applyAlignment="1">
      <alignment horizontal="center" vertical="center"/>
    </xf>
    <xf numFmtId="0" fontId="42" fillId="29" borderId="9" xfId="16" applyFont="1" applyFill="1" applyBorder="1" applyAlignment="1">
      <alignment horizontal="center" vertical="center"/>
    </xf>
    <xf numFmtId="0" fontId="19" fillId="12" borderId="67" xfId="16" applyFont="1" applyFill="1" applyBorder="1" applyAlignment="1">
      <alignment horizontal="center" vertical="center"/>
    </xf>
    <xf numFmtId="0" fontId="19" fillId="12" borderId="4" xfId="16" applyFont="1" applyFill="1" applyBorder="1" applyAlignment="1">
      <alignment horizontal="center" vertical="center"/>
    </xf>
    <xf numFmtId="0" fontId="42" fillId="30" borderId="24" xfId="16" applyFont="1" applyFill="1" applyBorder="1" applyAlignment="1">
      <alignment horizontal="center" vertical="center"/>
    </xf>
    <xf numFmtId="0" fontId="42" fillId="30" borderId="25" xfId="16" applyFont="1" applyFill="1" applyBorder="1" applyAlignment="1">
      <alignment horizontal="center" vertical="center"/>
    </xf>
    <xf numFmtId="0" fontId="29" fillId="6" borderId="104" xfId="0" applyFont="1" applyFill="1" applyBorder="1" applyAlignment="1">
      <alignment horizontal="center" vertical="center"/>
    </xf>
    <xf numFmtId="0" fontId="29" fillId="6" borderId="107" xfId="0" applyFont="1" applyFill="1" applyBorder="1" applyAlignment="1">
      <alignment horizontal="center" vertical="center"/>
    </xf>
    <xf numFmtId="0" fontId="29" fillId="6" borderId="105" xfId="0" applyFont="1" applyFill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/>
    </xf>
    <xf numFmtId="0" fontId="29" fillId="6" borderId="104" xfId="0" applyFont="1" applyFill="1" applyBorder="1" applyAlignment="1">
      <alignment horizontal="center" vertical="center" wrapText="1"/>
    </xf>
    <xf numFmtId="0" fontId="29" fillId="6" borderId="107" xfId="0" applyFont="1" applyFill="1" applyBorder="1" applyAlignment="1">
      <alignment horizontal="center" vertical="center" wrapText="1"/>
    </xf>
    <xf numFmtId="41" fontId="29" fillId="6" borderId="104" xfId="20" applyFont="1" applyFill="1" applyBorder="1" applyAlignment="1">
      <alignment horizontal="center" vertical="center" wrapText="1"/>
    </xf>
    <xf numFmtId="41" fontId="29" fillId="6" borderId="107" xfId="20" applyFont="1" applyFill="1" applyBorder="1" applyAlignment="1">
      <alignment horizontal="center" vertical="center" wrapText="1"/>
    </xf>
    <xf numFmtId="0" fontId="44" fillId="6" borderId="104" xfId="21" applyFont="1" applyFill="1" applyBorder="1" applyAlignment="1">
      <alignment horizontal="center" vertical="center" wrapText="1"/>
    </xf>
    <xf numFmtId="0" fontId="44" fillId="6" borderId="107" xfId="21" applyFont="1" applyFill="1" applyBorder="1" applyAlignment="1">
      <alignment horizontal="center" vertical="center" wrapText="1"/>
    </xf>
    <xf numFmtId="0" fontId="29" fillId="6" borderId="103" xfId="0" applyFont="1" applyFill="1" applyBorder="1" applyAlignment="1">
      <alignment horizontal="center" vertical="center"/>
    </xf>
    <xf numFmtId="0" fontId="29" fillId="6" borderId="106" xfId="0" applyFont="1" applyFill="1" applyBorder="1" applyAlignment="1">
      <alignment horizontal="center" vertical="center"/>
    </xf>
    <xf numFmtId="0" fontId="47" fillId="0" borderId="9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200" fontId="47" fillId="0" borderId="10" xfId="0" applyNumberFormat="1" applyFont="1" applyBorder="1" applyAlignment="1">
      <alignment horizontal="center" vertical="center"/>
    </xf>
    <xf numFmtId="200" fontId="47" fillId="0" borderId="68" xfId="0" applyNumberFormat="1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200" fontId="25" fillId="0" borderId="68" xfId="0" applyNumberFormat="1" applyFont="1" applyBorder="1" applyAlignment="1">
      <alignment horizontal="center" vertical="center"/>
    </xf>
    <xf numFmtId="0" fontId="28" fillId="0" borderId="67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00" fontId="25" fillId="0" borderId="26" xfId="0" applyNumberFormat="1" applyFont="1" applyBorder="1" applyAlignment="1">
      <alignment horizontal="center" vertical="center"/>
    </xf>
    <xf numFmtId="0" fontId="28" fillId="13" borderId="67" xfId="0" applyFont="1" applyFill="1" applyBorder="1" applyAlignment="1">
      <alignment horizontal="center" vertical="center"/>
    </xf>
    <xf numFmtId="0" fontId="48" fillId="0" borderId="88" xfId="0" applyFont="1" applyBorder="1" applyAlignment="1">
      <alignment horizontal="center" vertical="center"/>
    </xf>
    <xf numFmtId="0" fontId="48" fillId="0" borderId="113" xfId="0" applyFont="1" applyBorder="1" applyAlignment="1">
      <alignment horizontal="center" vertical="center"/>
    </xf>
    <xf numFmtId="0" fontId="48" fillId="0" borderId="90" xfId="0" applyFont="1" applyBorder="1" applyAlignment="1">
      <alignment horizontal="center" vertical="center"/>
    </xf>
    <xf numFmtId="0" fontId="48" fillId="0" borderId="5" xfId="0" applyFont="1" applyBorder="1" applyAlignment="1">
      <alignment horizontal="center" vertical="center"/>
    </xf>
    <xf numFmtId="0" fontId="48" fillId="0" borderId="112" xfId="0" applyFont="1" applyBorder="1" applyAlignment="1">
      <alignment horizontal="center" vertical="center"/>
    </xf>
    <xf numFmtId="0" fontId="48" fillId="0" borderId="89" xfId="0" applyFont="1" applyBorder="1" applyAlignment="1">
      <alignment horizontal="center" vertical="center"/>
    </xf>
    <xf numFmtId="193" fontId="48" fillId="0" borderId="5" xfId="0" applyNumberFormat="1" applyFont="1" applyBorder="1" applyAlignment="1">
      <alignment horizontal="center" vertical="center"/>
    </xf>
    <xf numFmtId="193" fontId="48" fillId="0" borderId="112" xfId="0" applyNumberFormat="1" applyFont="1" applyBorder="1" applyAlignment="1">
      <alignment horizontal="center" vertical="center"/>
    </xf>
    <xf numFmtId="193" fontId="48" fillId="0" borderId="89" xfId="0" applyNumberFormat="1" applyFont="1" applyBorder="1" applyAlignment="1">
      <alignment horizontal="center" vertical="center"/>
    </xf>
    <xf numFmtId="188" fontId="48" fillId="0" borderId="5" xfId="0" applyNumberFormat="1" applyFont="1" applyBorder="1" applyAlignment="1">
      <alignment horizontal="center" vertical="center"/>
    </xf>
    <xf numFmtId="188" fontId="48" fillId="0" borderId="112" xfId="0" applyNumberFormat="1" applyFont="1" applyBorder="1" applyAlignment="1">
      <alignment horizontal="center" vertical="center"/>
    </xf>
    <xf numFmtId="188" fontId="48" fillId="0" borderId="89" xfId="0" applyNumberFormat="1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1010.1</c:v>
                </c:pt>
                <c:pt idx="1">
                  <c:v>785.4</c:v>
                </c:pt>
                <c:pt idx="2">
                  <c:v>792.8</c:v>
                </c:pt>
                <c:pt idx="3">
                  <c:v>856.2</c:v>
                </c:pt>
                <c:pt idx="4">
                  <c:v>1337.2</c:v>
                </c:pt>
                <c:pt idx="5">
                  <c:v>821.9</c:v>
                </c:pt>
                <c:pt idx="6">
                  <c:v>1301.9000000000001</c:v>
                </c:pt>
                <c:pt idx="7">
                  <c:v>1107.9000000000001</c:v>
                </c:pt>
                <c:pt idx="8">
                  <c:v>1348.4</c:v>
                </c:pt>
                <c:pt idx="9">
                  <c:v>1724.8</c:v>
                </c:pt>
                <c:pt idx="10">
                  <c:v>1108.7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flip="none" rotWithShape="1">
              <a:gsLst>
                <a:gs pos="0">
                  <a:schemeClr val="dk1">
                    <a:tint val="88500"/>
                  </a:schemeClr>
                </a:gs>
                <a:gs pos="75000">
                  <a:schemeClr val="dk1">
                    <a:tint val="88500"/>
                    <a:lumMod val="60000"/>
                    <a:lumOff val="40000"/>
                  </a:schemeClr>
                </a:gs>
                <a:gs pos="51000">
                  <a:schemeClr val="dk1">
                    <a:tint val="88500"/>
                    <a:alpha val="75000"/>
                  </a:schemeClr>
                </a:gs>
                <a:gs pos="100000">
                  <a:schemeClr val="dk1">
                    <a:tint val="88500"/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1269</c:v>
                </c:pt>
                <c:pt idx="1">
                  <c:v>1459.5</c:v>
                </c:pt>
                <c:pt idx="2">
                  <c:v>899.6</c:v>
                </c:pt>
                <c:pt idx="3">
                  <c:v>1442.3</c:v>
                </c:pt>
                <c:pt idx="4">
                  <c:v>1397.2</c:v>
                </c:pt>
                <c:pt idx="5">
                  <c:v>1284.0999999999999</c:v>
                </c:pt>
                <c:pt idx="6">
                  <c:v>1515.4</c:v>
                </c:pt>
                <c:pt idx="7">
                  <c:v>903.7</c:v>
                </c:pt>
                <c:pt idx="8">
                  <c:v>1453.2</c:v>
                </c:pt>
                <c:pt idx="9">
                  <c:v>1343.7</c:v>
                </c:pt>
                <c:pt idx="10">
                  <c:v>1216.2</c:v>
                </c:pt>
                <c:pt idx="11">
                  <c:v>1266.5</c:v>
                </c:pt>
                <c:pt idx="12">
                  <c:v>831.4</c:v>
                </c:pt>
                <c:pt idx="13">
                  <c:v>1295.8</c:v>
                </c:pt>
                <c:pt idx="14">
                  <c:v>813.5</c:v>
                </c:pt>
                <c:pt idx="15">
                  <c:v>1081.4000000000001</c:v>
                </c:pt>
                <c:pt idx="16">
                  <c:v>1502.3</c:v>
                </c:pt>
                <c:pt idx="17">
                  <c:v>1743</c:v>
                </c:pt>
                <c:pt idx="18">
                  <c:v>1319</c:v>
                </c:pt>
                <c:pt idx="19">
                  <c:v>1387.7</c:v>
                </c:pt>
                <c:pt idx="20">
                  <c:v>1010.1</c:v>
                </c:pt>
                <c:pt idx="21">
                  <c:v>785.4</c:v>
                </c:pt>
                <c:pt idx="22">
                  <c:v>792.8</c:v>
                </c:pt>
                <c:pt idx="23">
                  <c:v>856.2</c:v>
                </c:pt>
                <c:pt idx="24">
                  <c:v>1337.2</c:v>
                </c:pt>
                <c:pt idx="25">
                  <c:v>821.9</c:v>
                </c:pt>
                <c:pt idx="26">
                  <c:v>1301.9000000000001</c:v>
                </c:pt>
                <c:pt idx="27">
                  <c:v>1107.9000000000001</c:v>
                </c:pt>
                <c:pt idx="28">
                  <c:v>1348.4</c:v>
                </c:pt>
                <c:pt idx="29">
                  <c:v>1724.8</c:v>
                </c:pt>
                <c:pt idx="30">
                  <c:v>1217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18.2</c:v>
                </c:pt>
                <c:pt idx="1">
                  <c:v>27.9</c:v>
                </c:pt>
                <c:pt idx="2">
                  <c:v>39.799999999999997</c:v>
                </c:pt>
                <c:pt idx="3">
                  <c:v>70</c:v>
                </c:pt>
                <c:pt idx="4">
                  <c:v>82.6</c:v>
                </c:pt>
                <c:pt idx="5">
                  <c:v>89.6</c:v>
                </c:pt>
                <c:pt idx="6">
                  <c:v>245.8</c:v>
                </c:pt>
                <c:pt idx="7">
                  <c:v>210.5</c:v>
                </c:pt>
                <c:pt idx="8">
                  <c:v>138.9</c:v>
                </c:pt>
                <c:pt idx="9">
                  <c:v>79.3</c:v>
                </c:pt>
                <c:pt idx="10">
                  <c:v>63.6</c:v>
                </c:pt>
                <c:pt idx="11">
                  <c:v>42.6</c:v>
                </c:pt>
                <c:pt idx="12">
                  <c:v>92.4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png"/><Relationship Id="rId13" Type="http://schemas.openxmlformats.org/officeDocument/2006/relationships/image" Target="../media/image29.png"/><Relationship Id="rId18" Type="http://schemas.openxmlformats.org/officeDocument/2006/relationships/image" Target="../media/image34.png"/><Relationship Id="rId26" Type="http://schemas.openxmlformats.org/officeDocument/2006/relationships/image" Target="../media/image42.png"/><Relationship Id="rId3" Type="http://schemas.openxmlformats.org/officeDocument/2006/relationships/image" Target="../media/image19.png"/><Relationship Id="rId21" Type="http://schemas.openxmlformats.org/officeDocument/2006/relationships/image" Target="../media/image37.png"/><Relationship Id="rId7" Type="http://schemas.openxmlformats.org/officeDocument/2006/relationships/image" Target="../media/image23.png"/><Relationship Id="rId12" Type="http://schemas.openxmlformats.org/officeDocument/2006/relationships/image" Target="../media/image28.png"/><Relationship Id="rId17" Type="http://schemas.openxmlformats.org/officeDocument/2006/relationships/image" Target="../media/image33.png"/><Relationship Id="rId25" Type="http://schemas.openxmlformats.org/officeDocument/2006/relationships/image" Target="../media/image41.png"/><Relationship Id="rId2" Type="http://schemas.openxmlformats.org/officeDocument/2006/relationships/image" Target="../media/image18.png"/><Relationship Id="rId16" Type="http://schemas.openxmlformats.org/officeDocument/2006/relationships/image" Target="../media/image32.png"/><Relationship Id="rId20" Type="http://schemas.openxmlformats.org/officeDocument/2006/relationships/image" Target="../media/image36.png"/><Relationship Id="rId1" Type="http://schemas.openxmlformats.org/officeDocument/2006/relationships/image" Target="../media/image17.png"/><Relationship Id="rId6" Type="http://schemas.openxmlformats.org/officeDocument/2006/relationships/image" Target="../media/image22.png"/><Relationship Id="rId11" Type="http://schemas.openxmlformats.org/officeDocument/2006/relationships/image" Target="../media/image27.png"/><Relationship Id="rId24" Type="http://schemas.openxmlformats.org/officeDocument/2006/relationships/image" Target="../media/image40.png"/><Relationship Id="rId5" Type="http://schemas.openxmlformats.org/officeDocument/2006/relationships/image" Target="../media/image21.png"/><Relationship Id="rId15" Type="http://schemas.openxmlformats.org/officeDocument/2006/relationships/image" Target="../media/image31.png"/><Relationship Id="rId23" Type="http://schemas.openxmlformats.org/officeDocument/2006/relationships/image" Target="../media/image39.png"/><Relationship Id="rId10" Type="http://schemas.openxmlformats.org/officeDocument/2006/relationships/image" Target="../media/image26.png"/><Relationship Id="rId19" Type="http://schemas.openxmlformats.org/officeDocument/2006/relationships/image" Target="../media/image35.png"/><Relationship Id="rId4" Type="http://schemas.openxmlformats.org/officeDocument/2006/relationships/image" Target="../media/image20.png"/><Relationship Id="rId9" Type="http://schemas.openxmlformats.org/officeDocument/2006/relationships/image" Target="../media/image25.png"/><Relationship Id="rId14" Type="http://schemas.openxmlformats.org/officeDocument/2006/relationships/image" Target="../media/image30.png"/><Relationship Id="rId22" Type="http://schemas.openxmlformats.org/officeDocument/2006/relationships/image" Target="../media/image38.png"/><Relationship Id="rId27" Type="http://schemas.openxmlformats.org/officeDocument/2006/relationships/image" Target="../media/image4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5.emf"/><Relationship Id="rId1" Type="http://schemas.openxmlformats.org/officeDocument/2006/relationships/image" Target="../media/image46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8.emf"/><Relationship Id="rId1" Type="http://schemas.openxmlformats.org/officeDocument/2006/relationships/image" Target="../media/image47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57.emf"/><Relationship Id="rId13" Type="http://schemas.openxmlformats.org/officeDocument/2006/relationships/image" Target="../media/image61.emf"/><Relationship Id="rId3" Type="http://schemas.openxmlformats.org/officeDocument/2006/relationships/image" Target="../media/image53.emf"/><Relationship Id="rId7" Type="http://schemas.openxmlformats.org/officeDocument/2006/relationships/image" Target="../media/image50.emf"/><Relationship Id="rId12" Type="http://schemas.openxmlformats.org/officeDocument/2006/relationships/image" Target="../media/image49.emf"/><Relationship Id="rId2" Type="http://schemas.openxmlformats.org/officeDocument/2006/relationships/image" Target="../media/image54.emf"/><Relationship Id="rId1" Type="http://schemas.openxmlformats.org/officeDocument/2006/relationships/image" Target="../media/image55.emf"/><Relationship Id="rId6" Type="http://schemas.openxmlformats.org/officeDocument/2006/relationships/image" Target="../media/image56.emf"/><Relationship Id="rId11" Type="http://schemas.openxmlformats.org/officeDocument/2006/relationships/image" Target="../media/image60.emf"/><Relationship Id="rId5" Type="http://schemas.openxmlformats.org/officeDocument/2006/relationships/image" Target="../media/image51.emf"/><Relationship Id="rId10" Type="http://schemas.openxmlformats.org/officeDocument/2006/relationships/image" Target="../media/image59.emf"/><Relationship Id="rId4" Type="http://schemas.openxmlformats.org/officeDocument/2006/relationships/image" Target="../media/image52.emf"/><Relationship Id="rId9" Type="http://schemas.openxmlformats.org/officeDocument/2006/relationships/image" Target="../media/image58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3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64.emf"/><Relationship Id="rId1" Type="http://schemas.openxmlformats.org/officeDocument/2006/relationships/image" Target="../media/image65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66.emf"/><Relationship Id="rId1" Type="http://schemas.openxmlformats.org/officeDocument/2006/relationships/image" Target="../media/image67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70.emf"/><Relationship Id="rId1" Type="http://schemas.openxmlformats.org/officeDocument/2006/relationships/image" Target="../media/image69.emf"/><Relationship Id="rId4" Type="http://schemas.openxmlformats.org/officeDocument/2006/relationships/image" Target="../media/image71.png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3.emf"/><Relationship Id="rId1" Type="http://schemas.openxmlformats.org/officeDocument/2006/relationships/image" Target="../media/image74.emf"/><Relationship Id="rId5" Type="http://schemas.openxmlformats.org/officeDocument/2006/relationships/image" Target="../media/image76.emf"/><Relationship Id="rId4" Type="http://schemas.openxmlformats.org/officeDocument/2006/relationships/image" Target="../media/image75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8.emf"/><Relationship Id="rId2" Type="http://schemas.openxmlformats.org/officeDocument/2006/relationships/image" Target="../media/image79.emf"/><Relationship Id="rId1" Type="http://schemas.openxmlformats.org/officeDocument/2006/relationships/image" Target="../media/image80.emf"/><Relationship Id="rId4" Type="http://schemas.openxmlformats.org/officeDocument/2006/relationships/image" Target="../media/image77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82.emf"/><Relationship Id="rId2" Type="http://schemas.openxmlformats.org/officeDocument/2006/relationships/image" Target="../media/image83.emf"/><Relationship Id="rId1" Type="http://schemas.openxmlformats.org/officeDocument/2006/relationships/image" Target="../media/image84.emf"/><Relationship Id="rId4" Type="http://schemas.openxmlformats.org/officeDocument/2006/relationships/image" Target="../media/image81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87.emf"/><Relationship Id="rId2" Type="http://schemas.openxmlformats.org/officeDocument/2006/relationships/image" Target="../media/image85.emf"/><Relationship Id="rId1" Type="http://schemas.openxmlformats.org/officeDocument/2006/relationships/image" Target="../media/image86.emf"/><Relationship Id="rId4" Type="http://schemas.openxmlformats.org/officeDocument/2006/relationships/image" Target="../media/image88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91.emf"/><Relationship Id="rId2" Type="http://schemas.openxmlformats.org/officeDocument/2006/relationships/image" Target="../media/image90.emf"/><Relationship Id="rId1" Type="http://schemas.openxmlformats.org/officeDocument/2006/relationships/image" Target="../media/image89.emf"/><Relationship Id="rId4" Type="http://schemas.openxmlformats.org/officeDocument/2006/relationships/image" Target="../media/image92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96.emf"/><Relationship Id="rId2" Type="http://schemas.openxmlformats.org/officeDocument/2006/relationships/image" Target="../media/image95.emf"/><Relationship Id="rId1" Type="http://schemas.openxmlformats.org/officeDocument/2006/relationships/image" Target="../media/image94.emf"/><Relationship Id="rId4" Type="http://schemas.openxmlformats.org/officeDocument/2006/relationships/image" Target="../media/image9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3</xdr:row>
          <xdr:rowOff>361950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0</xdr:rowOff>
        </xdr:from>
        <xdr:to>
          <xdr:col>17</xdr:col>
          <xdr:colOff>895350</xdr:colOff>
          <xdr:row>5</xdr:row>
          <xdr:rowOff>66675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296994" name="그림 296993">
          <a:extLst>
            <a:ext uri="{FF2B5EF4-FFF2-40B4-BE49-F238E27FC236}">
              <a16:creationId xmlns:a16="http://schemas.microsoft.com/office/drawing/2014/main" id="{00000000-0008-0000-0700-000022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296996" name="그림 296995">
          <a:extLst>
            <a:ext uri="{FF2B5EF4-FFF2-40B4-BE49-F238E27FC236}">
              <a16:creationId xmlns:a16="http://schemas.microsoft.com/office/drawing/2014/main" id="{00000000-0008-0000-0700-00002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296998" name="그림 296997">
          <a:extLst>
            <a:ext uri="{FF2B5EF4-FFF2-40B4-BE49-F238E27FC236}">
              <a16:creationId xmlns:a16="http://schemas.microsoft.com/office/drawing/2014/main" id="{00000000-0008-0000-0700-000026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30</xdr:row>
      <xdr:rowOff>152400</xdr:rowOff>
    </xdr:to>
    <xdr:pic>
      <xdr:nvPicPr>
        <xdr:cNvPr id="297000" name="그림 296999">
          <a:extLst>
            <a:ext uri="{FF2B5EF4-FFF2-40B4-BE49-F238E27FC236}">
              <a16:creationId xmlns:a16="http://schemas.microsoft.com/office/drawing/2014/main" id="{00000000-0008-0000-0700-000028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30</xdr:row>
      <xdr:rowOff>161925</xdr:rowOff>
    </xdr:to>
    <xdr:pic>
      <xdr:nvPicPr>
        <xdr:cNvPr id="297002" name="그림 297001">
          <a:extLst>
            <a:ext uri="{FF2B5EF4-FFF2-40B4-BE49-F238E27FC236}">
              <a16:creationId xmlns:a16="http://schemas.microsoft.com/office/drawing/2014/main" id="{00000000-0008-0000-0700-00002A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30</xdr:row>
      <xdr:rowOff>142875</xdr:rowOff>
    </xdr:to>
    <xdr:pic>
      <xdr:nvPicPr>
        <xdr:cNvPr id="297004" name="그림 297003">
          <a:extLst>
            <a:ext uri="{FF2B5EF4-FFF2-40B4-BE49-F238E27FC236}">
              <a16:creationId xmlns:a16="http://schemas.microsoft.com/office/drawing/2014/main" id="{00000000-0008-0000-0700-00002C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9</xdr:col>
      <xdr:colOff>161925</xdr:colOff>
      <xdr:row>46</xdr:row>
      <xdr:rowOff>152400</xdr:rowOff>
    </xdr:to>
    <xdr:pic>
      <xdr:nvPicPr>
        <xdr:cNvPr id="297006" name="그림 297005">
          <a:extLst>
            <a:ext uri="{FF2B5EF4-FFF2-40B4-BE49-F238E27FC236}">
              <a16:creationId xmlns:a16="http://schemas.microsoft.com/office/drawing/2014/main" id="{00000000-0008-0000-0700-00002E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15</xdr:col>
      <xdr:colOff>104775</xdr:colOff>
      <xdr:row>46</xdr:row>
      <xdr:rowOff>161925</xdr:rowOff>
    </xdr:to>
    <xdr:pic>
      <xdr:nvPicPr>
        <xdr:cNvPr id="297008" name="그림 297007">
          <a:extLst>
            <a:ext uri="{FF2B5EF4-FFF2-40B4-BE49-F238E27FC236}">
              <a16:creationId xmlns:a16="http://schemas.microsoft.com/office/drawing/2014/main" id="{00000000-0008-0000-0700-000030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485775</xdr:colOff>
      <xdr:row>46</xdr:row>
      <xdr:rowOff>142875</xdr:rowOff>
    </xdr:to>
    <xdr:pic>
      <xdr:nvPicPr>
        <xdr:cNvPr id="297010" name="그림 297009">
          <a:extLst>
            <a:ext uri="{FF2B5EF4-FFF2-40B4-BE49-F238E27FC236}">
              <a16:creationId xmlns:a16="http://schemas.microsoft.com/office/drawing/2014/main" id="{00000000-0008-0000-0700-000032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50</xdr:row>
      <xdr:rowOff>0</xdr:rowOff>
    </xdr:from>
    <xdr:to>
      <xdr:col>9</xdr:col>
      <xdr:colOff>161925</xdr:colOff>
      <xdr:row>62</xdr:row>
      <xdr:rowOff>152400</xdr:rowOff>
    </xdr:to>
    <xdr:pic>
      <xdr:nvPicPr>
        <xdr:cNvPr id="297012" name="그림 297011">
          <a:extLst>
            <a:ext uri="{FF2B5EF4-FFF2-40B4-BE49-F238E27FC236}">
              <a16:creationId xmlns:a16="http://schemas.microsoft.com/office/drawing/2014/main" id="{00000000-0008-0000-0700-00003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85725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50</xdr:row>
      <xdr:rowOff>0</xdr:rowOff>
    </xdr:from>
    <xdr:to>
      <xdr:col>15</xdr:col>
      <xdr:colOff>104775</xdr:colOff>
      <xdr:row>62</xdr:row>
      <xdr:rowOff>161925</xdr:rowOff>
    </xdr:to>
    <xdr:pic>
      <xdr:nvPicPr>
        <xdr:cNvPr id="297014" name="그림 297013">
          <a:extLst>
            <a:ext uri="{FF2B5EF4-FFF2-40B4-BE49-F238E27FC236}">
              <a16:creationId xmlns:a16="http://schemas.microsoft.com/office/drawing/2014/main" id="{00000000-0008-0000-0700-000036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85725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50</xdr:row>
      <xdr:rowOff>0</xdr:rowOff>
    </xdr:from>
    <xdr:to>
      <xdr:col>22</xdr:col>
      <xdr:colOff>485775</xdr:colOff>
      <xdr:row>62</xdr:row>
      <xdr:rowOff>142875</xdr:rowOff>
    </xdr:to>
    <xdr:pic>
      <xdr:nvPicPr>
        <xdr:cNvPr id="297016" name="그림 297015">
          <a:extLst>
            <a:ext uri="{FF2B5EF4-FFF2-40B4-BE49-F238E27FC236}">
              <a16:creationId xmlns:a16="http://schemas.microsoft.com/office/drawing/2014/main" id="{00000000-0008-0000-0700-000038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85725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9</xdr:col>
      <xdr:colOff>161925</xdr:colOff>
      <xdr:row>78</xdr:row>
      <xdr:rowOff>152400</xdr:rowOff>
    </xdr:to>
    <xdr:pic>
      <xdr:nvPicPr>
        <xdr:cNvPr id="297018" name="그림 297017">
          <a:extLst>
            <a:ext uri="{FF2B5EF4-FFF2-40B4-BE49-F238E27FC236}">
              <a16:creationId xmlns:a16="http://schemas.microsoft.com/office/drawing/2014/main" id="{00000000-0008-0000-0700-00003A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13157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66</xdr:row>
      <xdr:rowOff>0</xdr:rowOff>
    </xdr:from>
    <xdr:to>
      <xdr:col>15</xdr:col>
      <xdr:colOff>104775</xdr:colOff>
      <xdr:row>78</xdr:row>
      <xdr:rowOff>161925</xdr:rowOff>
    </xdr:to>
    <xdr:pic>
      <xdr:nvPicPr>
        <xdr:cNvPr id="297020" name="그림 297019">
          <a:extLst>
            <a:ext uri="{FF2B5EF4-FFF2-40B4-BE49-F238E27FC236}">
              <a16:creationId xmlns:a16="http://schemas.microsoft.com/office/drawing/2014/main" id="{00000000-0008-0000-0700-00003C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13157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66</xdr:row>
      <xdr:rowOff>0</xdr:rowOff>
    </xdr:from>
    <xdr:to>
      <xdr:col>22</xdr:col>
      <xdr:colOff>485775</xdr:colOff>
      <xdr:row>78</xdr:row>
      <xdr:rowOff>142875</xdr:rowOff>
    </xdr:to>
    <xdr:pic>
      <xdr:nvPicPr>
        <xdr:cNvPr id="297022" name="그림 297021">
          <a:extLst>
            <a:ext uri="{FF2B5EF4-FFF2-40B4-BE49-F238E27FC236}">
              <a16:creationId xmlns:a16="http://schemas.microsoft.com/office/drawing/2014/main" id="{00000000-0008-0000-0700-00003E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13157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82</xdr:row>
      <xdr:rowOff>0</xdr:rowOff>
    </xdr:from>
    <xdr:to>
      <xdr:col>9</xdr:col>
      <xdr:colOff>161925</xdr:colOff>
      <xdr:row>94</xdr:row>
      <xdr:rowOff>152400</xdr:rowOff>
    </xdr:to>
    <xdr:pic>
      <xdr:nvPicPr>
        <xdr:cNvPr id="297024" name="그림 297023">
          <a:extLst>
            <a:ext uri="{FF2B5EF4-FFF2-40B4-BE49-F238E27FC236}">
              <a16:creationId xmlns:a16="http://schemas.microsoft.com/office/drawing/2014/main" id="{00000000-0008-0000-0700-000040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4058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9525</xdr:colOff>
      <xdr:row>82</xdr:row>
      <xdr:rowOff>28575</xdr:rowOff>
    </xdr:from>
    <xdr:to>
      <xdr:col>15</xdr:col>
      <xdr:colOff>114300</xdr:colOff>
      <xdr:row>95</xdr:row>
      <xdr:rowOff>19050</xdr:rowOff>
    </xdr:to>
    <xdr:pic>
      <xdr:nvPicPr>
        <xdr:cNvPr id="297026" name="그림 297025">
          <a:extLst>
            <a:ext uri="{FF2B5EF4-FFF2-40B4-BE49-F238E27FC236}">
              <a16:creationId xmlns:a16="http://schemas.microsoft.com/office/drawing/2014/main" id="{00000000-0008-0000-0700-000042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7525" y="14087475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82</xdr:row>
      <xdr:rowOff>0</xdr:rowOff>
    </xdr:from>
    <xdr:to>
      <xdr:col>22</xdr:col>
      <xdr:colOff>485775</xdr:colOff>
      <xdr:row>94</xdr:row>
      <xdr:rowOff>142875</xdr:rowOff>
    </xdr:to>
    <xdr:pic>
      <xdr:nvPicPr>
        <xdr:cNvPr id="297028" name="그림 297027">
          <a:extLst>
            <a:ext uri="{FF2B5EF4-FFF2-40B4-BE49-F238E27FC236}">
              <a16:creationId xmlns:a16="http://schemas.microsoft.com/office/drawing/2014/main" id="{00000000-0008-0000-0700-00004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4058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98</xdr:row>
      <xdr:rowOff>0</xdr:rowOff>
    </xdr:from>
    <xdr:to>
      <xdr:col>9</xdr:col>
      <xdr:colOff>161925</xdr:colOff>
      <xdr:row>110</xdr:row>
      <xdr:rowOff>152400</xdr:rowOff>
    </xdr:to>
    <xdr:pic>
      <xdr:nvPicPr>
        <xdr:cNvPr id="297030" name="그림 297029">
          <a:extLst>
            <a:ext uri="{FF2B5EF4-FFF2-40B4-BE49-F238E27FC236}">
              <a16:creationId xmlns:a16="http://schemas.microsoft.com/office/drawing/2014/main" id="{00000000-0008-0000-0700-000046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6802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98</xdr:row>
      <xdr:rowOff>0</xdr:rowOff>
    </xdr:from>
    <xdr:to>
      <xdr:col>15</xdr:col>
      <xdr:colOff>104775</xdr:colOff>
      <xdr:row>110</xdr:row>
      <xdr:rowOff>161925</xdr:rowOff>
    </xdr:to>
    <xdr:pic>
      <xdr:nvPicPr>
        <xdr:cNvPr id="297032" name="그림 297031">
          <a:extLst>
            <a:ext uri="{FF2B5EF4-FFF2-40B4-BE49-F238E27FC236}">
              <a16:creationId xmlns:a16="http://schemas.microsoft.com/office/drawing/2014/main" id="{00000000-0008-0000-0700-000048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6802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98</xdr:row>
      <xdr:rowOff>0</xdr:rowOff>
    </xdr:from>
    <xdr:to>
      <xdr:col>22</xdr:col>
      <xdr:colOff>485775</xdr:colOff>
      <xdr:row>110</xdr:row>
      <xdr:rowOff>142875</xdr:rowOff>
    </xdr:to>
    <xdr:pic>
      <xdr:nvPicPr>
        <xdr:cNvPr id="297034" name="그림 297033">
          <a:extLst>
            <a:ext uri="{FF2B5EF4-FFF2-40B4-BE49-F238E27FC236}">
              <a16:creationId xmlns:a16="http://schemas.microsoft.com/office/drawing/2014/main" id="{00000000-0008-0000-0700-00004A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68021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114</xdr:row>
      <xdr:rowOff>0</xdr:rowOff>
    </xdr:from>
    <xdr:to>
      <xdr:col>9</xdr:col>
      <xdr:colOff>161925</xdr:colOff>
      <xdr:row>126</xdr:row>
      <xdr:rowOff>152400</xdr:rowOff>
    </xdr:to>
    <xdr:pic>
      <xdr:nvPicPr>
        <xdr:cNvPr id="297036" name="그림 297035">
          <a:extLst>
            <a:ext uri="{FF2B5EF4-FFF2-40B4-BE49-F238E27FC236}">
              <a16:creationId xmlns:a16="http://schemas.microsoft.com/office/drawing/2014/main" id="{00000000-0008-0000-0700-00004C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95453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114</xdr:row>
      <xdr:rowOff>0</xdr:rowOff>
    </xdr:from>
    <xdr:to>
      <xdr:col>15</xdr:col>
      <xdr:colOff>104775</xdr:colOff>
      <xdr:row>126</xdr:row>
      <xdr:rowOff>161925</xdr:rowOff>
    </xdr:to>
    <xdr:pic>
      <xdr:nvPicPr>
        <xdr:cNvPr id="297038" name="그림 297037">
          <a:extLst>
            <a:ext uri="{FF2B5EF4-FFF2-40B4-BE49-F238E27FC236}">
              <a16:creationId xmlns:a16="http://schemas.microsoft.com/office/drawing/2014/main" id="{00000000-0008-0000-0700-00004E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95453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114</xdr:row>
      <xdr:rowOff>0</xdr:rowOff>
    </xdr:from>
    <xdr:to>
      <xdr:col>22</xdr:col>
      <xdr:colOff>485775</xdr:colOff>
      <xdr:row>126</xdr:row>
      <xdr:rowOff>142875</xdr:rowOff>
    </xdr:to>
    <xdr:pic>
      <xdr:nvPicPr>
        <xdr:cNvPr id="297040" name="그림 297039">
          <a:extLst>
            <a:ext uri="{FF2B5EF4-FFF2-40B4-BE49-F238E27FC236}">
              <a16:creationId xmlns:a16="http://schemas.microsoft.com/office/drawing/2014/main" id="{00000000-0008-0000-0700-000050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95453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130</xdr:row>
      <xdr:rowOff>0</xdr:rowOff>
    </xdr:from>
    <xdr:to>
      <xdr:col>9</xdr:col>
      <xdr:colOff>161925</xdr:colOff>
      <xdr:row>142</xdr:row>
      <xdr:rowOff>152400</xdr:rowOff>
    </xdr:to>
    <xdr:pic>
      <xdr:nvPicPr>
        <xdr:cNvPr id="297042" name="그림 297041">
          <a:extLst>
            <a:ext uri="{FF2B5EF4-FFF2-40B4-BE49-F238E27FC236}">
              <a16:creationId xmlns:a16="http://schemas.microsoft.com/office/drawing/2014/main" id="{00000000-0008-0000-0700-000052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222885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130</xdr:row>
      <xdr:rowOff>0</xdr:rowOff>
    </xdr:from>
    <xdr:to>
      <xdr:col>15</xdr:col>
      <xdr:colOff>104775</xdr:colOff>
      <xdr:row>142</xdr:row>
      <xdr:rowOff>161925</xdr:rowOff>
    </xdr:to>
    <xdr:pic>
      <xdr:nvPicPr>
        <xdr:cNvPr id="297044" name="그림 297043">
          <a:extLst>
            <a:ext uri="{FF2B5EF4-FFF2-40B4-BE49-F238E27FC236}">
              <a16:creationId xmlns:a16="http://schemas.microsoft.com/office/drawing/2014/main" id="{00000000-0008-0000-0700-00005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222885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130</xdr:row>
      <xdr:rowOff>0</xdr:rowOff>
    </xdr:from>
    <xdr:to>
      <xdr:col>22</xdr:col>
      <xdr:colOff>485775</xdr:colOff>
      <xdr:row>142</xdr:row>
      <xdr:rowOff>142875</xdr:rowOff>
    </xdr:to>
    <xdr:pic>
      <xdr:nvPicPr>
        <xdr:cNvPr id="297046" name="그림 297045">
          <a:extLst>
            <a:ext uri="{FF2B5EF4-FFF2-40B4-BE49-F238E27FC236}">
              <a16:creationId xmlns:a16="http://schemas.microsoft.com/office/drawing/2014/main" id="{00000000-0008-0000-0700-000056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222885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161925</xdr:rowOff>
        </xdr:from>
        <xdr:to>
          <xdr:col>2</xdr:col>
          <xdr:colOff>66675</xdr:colOff>
          <xdr:row>2</xdr:row>
          <xdr:rowOff>95250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171450</xdr:rowOff>
        </xdr:from>
        <xdr:to>
          <xdr:col>5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A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1</xdr:col>
          <xdr:colOff>1181100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A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276225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A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A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A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A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A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A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A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A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A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A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A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8</xdr:col>
      <xdr:colOff>238125</xdr:colOff>
      <xdr:row>27</xdr:row>
      <xdr:rowOff>180975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8F74ACC-F93E-42EE-8E9A-36DB298E649A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1777" name="CommandButton5" hidden="1">
              <a:extLst>
                <a:ext uri="{63B3BB69-23CF-44E3-9099-C40C66FF867C}">
                  <a14:compatExt spid="_x0000_s331777"/>
                </a:ext>
                <a:ext uri="{FF2B5EF4-FFF2-40B4-BE49-F238E27FC236}">
                  <a16:creationId xmlns:a16="http://schemas.microsoft.com/office/drawing/2014/main" id="{00000000-0008-0000-1000-000001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1778" name="Frame1" hidden="1">
              <a:extLst>
                <a:ext uri="{63B3BB69-23CF-44E3-9099-C40C66FF867C}">
                  <a14:compatExt spid="_x0000_s331778"/>
                </a:ext>
                <a:ext uri="{FF2B5EF4-FFF2-40B4-BE49-F238E27FC236}">
                  <a16:creationId xmlns:a16="http://schemas.microsoft.com/office/drawing/2014/main" id="{00000000-0008-0000-1000-000002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1779" name="CommandButton6" hidden="1">
              <a:extLst>
                <a:ext uri="{63B3BB69-23CF-44E3-9099-C40C66FF867C}">
                  <a14:compatExt spid="_x0000_s331779"/>
                </a:ext>
                <a:ext uri="{FF2B5EF4-FFF2-40B4-BE49-F238E27FC236}">
                  <a16:creationId xmlns:a16="http://schemas.microsoft.com/office/drawing/2014/main" id="{00000000-0008-0000-1000-000003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1781" name="CommandButton8" hidden="1">
              <a:extLst>
                <a:ext uri="{63B3BB69-23CF-44E3-9099-C40C66FF867C}">
                  <a14:compatExt spid="_x0000_s331781"/>
                </a:ext>
                <a:ext uri="{FF2B5EF4-FFF2-40B4-BE49-F238E27FC236}">
                  <a16:creationId xmlns:a16="http://schemas.microsoft.com/office/drawing/2014/main" id="{00000000-0008-0000-1000-000005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2801" name="CommandButton5" hidden="1">
              <a:extLst>
                <a:ext uri="{63B3BB69-23CF-44E3-9099-C40C66FF867C}">
                  <a14:compatExt spid="_x0000_s332801"/>
                </a:ext>
                <a:ext uri="{FF2B5EF4-FFF2-40B4-BE49-F238E27FC236}">
                  <a16:creationId xmlns:a16="http://schemas.microsoft.com/office/drawing/2014/main" id="{00000000-0008-0000-1100-000001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2802" name="Frame1" hidden="1">
              <a:extLst>
                <a:ext uri="{63B3BB69-23CF-44E3-9099-C40C66FF867C}">
                  <a14:compatExt spid="_x0000_s332802"/>
                </a:ext>
                <a:ext uri="{FF2B5EF4-FFF2-40B4-BE49-F238E27FC236}">
                  <a16:creationId xmlns:a16="http://schemas.microsoft.com/office/drawing/2014/main" id="{00000000-0008-0000-1100-000002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2803" name="CommandButton6" hidden="1">
              <a:extLst>
                <a:ext uri="{63B3BB69-23CF-44E3-9099-C40C66FF867C}">
                  <a14:compatExt spid="_x0000_s332803"/>
                </a:ext>
                <a:ext uri="{FF2B5EF4-FFF2-40B4-BE49-F238E27FC236}">
                  <a16:creationId xmlns:a16="http://schemas.microsoft.com/office/drawing/2014/main" id="{00000000-0008-0000-1100-000003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2804" name="CommandButton8" hidden="1">
              <a:extLst>
                <a:ext uri="{63B3BB69-23CF-44E3-9099-C40C66FF867C}">
                  <a14:compatExt spid="_x0000_s332804"/>
                </a:ext>
                <a:ext uri="{FF2B5EF4-FFF2-40B4-BE49-F238E27FC236}">
                  <a16:creationId xmlns:a16="http://schemas.microsoft.com/office/drawing/2014/main" id="{00000000-0008-0000-1100-000004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2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2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2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2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3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3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3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3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4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4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4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4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2" totalsRowShown="0" headerRowDxfId="7" dataDxfId="6">
  <autoFilter ref="D19:D22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6.emf"/><Relationship Id="rId5" Type="http://schemas.openxmlformats.org/officeDocument/2006/relationships/control" Target="../activeX/activeX15.xml"/><Relationship Id="rId4" Type="http://schemas.openxmlformats.org/officeDocument/2006/relationships/image" Target="../media/image15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45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7.xml"/><Relationship Id="rId5" Type="http://schemas.openxmlformats.org/officeDocument/2006/relationships/image" Target="../media/image44.emf"/><Relationship Id="rId10" Type="http://schemas.openxmlformats.org/officeDocument/2006/relationships/comments" Target="../comments3.xml"/><Relationship Id="rId4" Type="http://schemas.openxmlformats.org/officeDocument/2006/relationships/control" Target="../activeX/activeX16.xml"/><Relationship Id="rId9" Type="http://schemas.openxmlformats.org/officeDocument/2006/relationships/image" Target="../media/image46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48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0.xml"/><Relationship Id="rId5" Type="http://schemas.openxmlformats.org/officeDocument/2006/relationships/image" Target="../media/image47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53.emf"/><Relationship Id="rId18" Type="http://schemas.openxmlformats.org/officeDocument/2006/relationships/control" Target="../activeX/activeX28.xml"/><Relationship Id="rId26" Type="http://schemas.openxmlformats.org/officeDocument/2006/relationships/control" Target="../activeX/activeX32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57.emf"/><Relationship Id="rId7" Type="http://schemas.openxmlformats.org/officeDocument/2006/relationships/image" Target="../media/image50.emf"/><Relationship Id="rId12" Type="http://schemas.openxmlformats.org/officeDocument/2006/relationships/control" Target="../activeX/activeX25.xml"/><Relationship Id="rId17" Type="http://schemas.openxmlformats.org/officeDocument/2006/relationships/image" Target="../media/image55.emf"/><Relationship Id="rId25" Type="http://schemas.openxmlformats.org/officeDocument/2006/relationships/image" Target="../media/image59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27.xml"/><Relationship Id="rId20" Type="http://schemas.openxmlformats.org/officeDocument/2006/relationships/control" Target="../activeX/activeX29.xml"/><Relationship Id="rId29" Type="http://schemas.openxmlformats.org/officeDocument/2006/relationships/image" Target="../media/image61.emf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2.xml"/><Relationship Id="rId11" Type="http://schemas.openxmlformats.org/officeDocument/2006/relationships/image" Target="../media/image52.emf"/><Relationship Id="rId24" Type="http://schemas.openxmlformats.org/officeDocument/2006/relationships/control" Target="../activeX/activeX31.xml"/><Relationship Id="rId5" Type="http://schemas.openxmlformats.org/officeDocument/2006/relationships/image" Target="../media/image49.emf"/><Relationship Id="rId15" Type="http://schemas.openxmlformats.org/officeDocument/2006/relationships/image" Target="../media/image54.emf"/><Relationship Id="rId23" Type="http://schemas.openxmlformats.org/officeDocument/2006/relationships/image" Target="../media/image58.emf"/><Relationship Id="rId28" Type="http://schemas.openxmlformats.org/officeDocument/2006/relationships/control" Target="../activeX/activeX33.xml"/><Relationship Id="rId10" Type="http://schemas.openxmlformats.org/officeDocument/2006/relationships/control" Target="../activeX/activeX24.xml"/><Relationship Id="rId19" Type="http://schemas.openxmlformats.org/officeDocument/2006/relationships/image" Target="../media/image56.emf"/><Relationship Id="rId4" Type="http://schemas.openxmlformats.org/officeDocument/2006/relationships/control" Target="../activeX/activeX21.xml"/><Relationship Id="rId9" Type="http://schemas.openxmlformats.org/officeDocument/2006/relationships/image" Target="../media/image51.emf"/><Relationship Id="rId14" Type="http://schemas.openxmlformats.org/officeDocument/2006/relationships/control" Target="../activeX/activeX26.xml"/><Relationship Id="rId22" Type="http://schemas.openxmlformats.org/officeDocument/2006/relationships/control" Target="../activeX/activeX30.xml"/><Relationship Id="rId27" Type="http://schemas.openxmlformats.org/officeDocument/2006/relationships/image" Target="../media/image60.emf"/><Relationship Id="rId30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63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5.xml"/><Relationship Id="rId5" Type="http://schemas.openxmlformats.org/officeDocument/2006/relationships/image" Target="../media/image62.emf"/><Relationship Id="rId4" Type="http://schemas.openxmlformats.org/officeDocument/2006/relationships/control" Target="../activeX/activeX3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65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7.xml"/><Relationship Id="rId5" Type="http://schemas.openxmlformats.org/officeDocument/2006/relationships/image" Target="../media/image64.emf"/><Relationship Id="rId4" Type="http://schemas.openxmlformats.org/officeDocument/2006/relationships/control" Target="../activeX/activeX3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67.emf"/><Relationship Id="rId5" Type="http://schemas.openxmlformats.org/officeDocument/2006/relationships/control" Target="../activeX/activeX39.xml"/><Relationship Id="rId4" Type="http://schemas.openxmlformats.org/officeDocument/2006/relationships/image" Target="../media/image66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69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68.emf"/><Relationship Id="rId10" Type="http://schemas.openxmlformats.org/officeDocument/2006/relationships/comments" Target="../comments5.xml"/><Relationship Id="rId4" Type="http://schemas.openxmlformats.org/officeDocument/2006/relationships/control" Target="../activeX/activeX40.xml"/><Relationship Id="rId9" Type="http://schemas.openxmlformats.org/officeDocument/2006/relationships/image" Target="../media/image70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76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73.emf"/><Relationship Id="rId12" Type="http://schemas.openxmlformats.org/officeDocument/2006/relationships/control" Target="../activeX/activeX4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4.xml"/><Relationship Id="rId11" Type="http://schemas.openxmlformats.org/officeDocument/2006/relationships/image" Target="../media/image75.emf"/><Relationship Id="rId5" Type="http://schemas.openxmlformats.org/officeDocument/2006/relationships/image" Target="../media/image72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74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78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9.xml"/><Relationship Id="rId11" Type="http://schemas.openxmlformats.org/officeDocument/2006/relationships/image" Target="../media/image80.emf"/><Relationship Id="rId5" Type="http://schemas.openxmlformats.org/officeDocument/2006/relationships/image" Target="../media/image77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79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82.emf"/><Relationship Id="rId12" Type="http://schemas.openxmlformats.org/officeDocument/2006/relationships/comments" Target="../comments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3.xml"/><Relationship Id="rId11" Type="http://schemas.openxmlformats.org/officeDocument/2006/relationships/image" Target="../media/image84.emf"/><Relationship Id="rId5" Type="http://schemas.openxmlformats.org/officeDocument/2006/relationships/image" Target="../media/image81.emf"/><Relationship Id="rId10" Type="http://schemas.openxmlformats.org/officeDocument/2006/relationships/control" Target="../activeX/activeX55.xml"/><Relationship Id="rId4" Type="http://schemas.openxmlformats.org/officeDocument/2006/relationships/control" Target="../activeX/activeX52.xml"/><Relationship Id="rId9" Type="http://schemas.openxmlformats.org/officeDocument/2006/relationships/image" Target="../media/image83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86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7.xml"/><Relationship Id="rId11" Type="http://schemas.openxmlformats.org/officeDocument/2006/relationships/image" Target="../media/image88.emf"/><Relationship Id="rId5" Type="http://schemas.openxmlformats.org/officeDocument/2006/relationships/image" Target="../media/image85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87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2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90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1.xml"/><Relationship Id="rId11" Type="http://schemas.openxmlformats.org/officeDocument/2006/relationships/image" Target="../media/image92.emf"/><Relationship Id="rId5" Type="http://schemas.openxmlformats.org/officeDocument/2006/relationships/image" Target="../media/image89.emf"/><Relationship Id="rId10" Type="http://schemas.openxmlformats.org/officeDocument/2006/relationships/control" Target="../activeX/activeX63.xml"/><Relationship Id="rId4" Type="http://schemas.openxmlformats.org/officeDocument/2006/relationships/control" Target="../activeX/activeX60.xml"/><Relationship Id="rId9" Type="http://schemas.openxmlformats.org/officeDocument/2006/relationships/image" Target="../media/image91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94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65.xml"/><Relationship Id="rId11" Type="http://schemas.openxmlformats.org/officeDocument/2006/relationships/image" Target="../media/image96.emf"/><Relationship Id="rId5" Type="http://schemas.openxmlformats.org/officeDocument/2006/relationships/image" Target="../media/image93.emf"/><Relationship Id="rId10" Type="http://schemas.openxmlformats.org/officeDocument/2006/relationships/control" Target="../activeX/activeX67.xml"/><Relationship Id="rId4" Type="http://schemas.openxmlformats.org/officeDocument/2006/relationships/control" Target="../activeX/activeX64.xml"/><Relationship Id="rId9" Type="http://schemas.openxmlformats.org/officeDocument/2006/relationships/image" Target="../media/image95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Q29" sqref="Q29"/>
    </sheetView>
  </sheetViews>
  <sheetFormatPr defaultRowHeight="16.5"/>
  <cols>
    <col min="1" max="1" width="11.5546875" style="409" customWidth="1"/>
    <col min="2" max="2" width="16.5546875" style="409" customWidth="1"/>
    <col min="3" max="3" width="7.5546875" style="409" customWidth="1"/>
    <col min="4" max="4" width="7.33203125" style="409" bestFit="1" customWidth="1"/>
    <col min="5" max="5" width="3.21875" style="409" customWidth="1"/>
    <col min="6" max="6" width="8.88671875" style="409"/>
    <col min="7" max="7" width="15.77734375" style="409" customWidth="1"/>
    <col min="8" max="9" width="6.77734375" style="409" customWidth="1"/>
    <col min="10" max="10" width="3.44140625" style="409" customWidth="1"/>
    <col min="11" max="11" width="8.88671875" style="409"/>
    <col min="12" max="12" width="18.77734375" style="409" customWidth="1"/>
    <col min="13" max="14" width="6" style="409" customWidth="1"/>
    <col min="15" max="15" width="3.21875" style="409" customWidth="1"/>
    <col min="16" max="16" width="10.5546875" style="409" customWidth="1"/>
    <col min="17" max="17" width="10.44140625" style="409" customWidth="1"/>
    <col min="18" max="18" width="6.88671875" style="409" customWidth="1"/>
    <col min="19" max="19" width="3.6640625" style="409" customWidth="1"/>
    <col min="20" max="21" width="8.88671875" style="409"/>
    <col min="22" max="22" width="6.44140625" style="409" customWidth="1"/>
    <col min="23" max="23" width="6.5546875" style="409" customWidth="1"/>
    <col min="24" max="24" width="4.21875" style="409" customWidth="1"/>
    <col min="25" max="26" width="8.88671875" style="409"/>
    <col min="27" max="27" width="6.33203125" style="409" customWidth="1"/>
    <col min="28" max="28" width="6.21875" style="409" customWidth="1"/>
    <col min="29" max="29" width="4.77734375" style="409" customWidth="1"/>
    <col min="30" max="30" width="8.88671875" style="409"/>
    <col min="31" max="31" width="7.109375" style="409" customWidth="1"/>
    <col min="32" max="16384" width="8.88671875" style="409"/>
  </cols>
  <sheetData>
    <row r="1" spans="1:17">
      <c r="A1" s="409" t="s">
        <v>388</v>
      </c>
      <c r="B1" s="409" t="s">
        <v>197</v>
      </c>
      <c r="C1" s="409" t="s">
        <v>522</v>
      </c>
      <c r="D1" s="409" t="s">
        <v>521</v>
      </c>
      <c r="F1" s="409" t="s">
        <v>388</v>
      </c>
      <c r="G1" s="409" t="s">
        <v>197</v>
      </c>
      <c r="H1" s="409" t="s">
        <v>522</v>
      </c>
      <c r="I1" s="409" t="s">
        <v>521</v>
      </c>
      <c r="K1" s="409" t="s">
        <v>388</v>
      </c>
      <c r="L1" s="409" t="s">
        <v>197</v>
      </c>
      <c r="M1" s="409" t="s">
        <v>522</v>
      </c>
      <c r="N1" s="409" t="s">
        <v>521</v>
      </c>
      <c r="P1" s="409" t="s">
        <v>388</v>
      </c>
      <c r="Q1" s="409" t="s">
        <v>522</v>
      </c>
    </row>
    <row r="2" spans="1:17">
      <c r="A2" s="409" t="s">
        <v>610</v>
      </c>
      <c r="B2" s="409" t="s">
        <v>609</v>
      </c>
      <c r="C2" s="409">
        <v>116</v>
      </c>
      <c r="D2" s="409">
        <v>14</v>
      </c>
      <c r="F2" s="409" t="s">
        <v>608</v>
      </c>
      <c r="G2" s="409" t="s">
        <v>607</v>
      </c>
      <c r="H2" s="409">
        <v>105</v>
      </c>
      <c r="I2" s="409">
        <v>38</v>
      </c>
      <c r="K2" s="409" t="s">
        <v>606</v>
      </c>
      <c r="L2" s="409" t="s">
        <v>605</v>
      </c>
      <c r="M2" s="409">
        <v>226</v>
      </c>
      <c r="N2" s="409">
        <v>54</v>
      </c>
      <c r="P2" s="409" t="s">
        <v>604</v>
      </c>
      <c r="Q2" s="409" t="s">
        <v>603</v>
      </c>
    </row>
    <row r="3" spans="1:17">
      <c r="A3" s="409" t="s">
        <v>602</v>
      </c>
      <c r="B3" s="409" t="s">
        <v>601</v>
      </c>
      <c r="C3" s="409">
        <v>108</v>
      </c>
      <c r="D3" s="409">
        <v>14</v>
      </c>
      <c r="F3" s="409" t="s">
        <v>600</v>
      </c>
      <c r="G3" s="409" t="s">
        <v>599</v>
      </c>
      <c r="H3" s="409">
        <v>100</v>
      </c>
      <c r="I3" s="409">
        <v>38</v>
      </c>
      <c r="K3" s="409" t="s">
        <v>598</v>
      </c>
      <c r="L3" s="409" t="s">
        <v>597</v>
      </c>
      <c r="M3" s="409">
        <v>221</v>
      </c>
      <c r="N3" s="409">
        <v>54</v>
      </c>
      <c r="P3" s="409" t="s">
        <v>596</v>
      </c>
      <c r="Q3" s="409" t="s">
        <v>595</v>
      </c>
    </row>
    <row r="4" spans="1:17">
      <c r="A4" s="409" t="s">
        <v>594</v>
      </c>
      <c r="B4" s="409" t="s">
        <v>593</v>
      </c>
      <c r="C4" s="409">
        <v>201</v>
      </c>
      <c r="D4" s="409">
        <v>22</v>
      </c>
      <c r="F4" s="409" t="s">
        <v>592</v>
      </c>
      <c r="G4" s="409" t="s">
        <v>591</v>
      </c>
      <c r="H4" s="409">
        <v>106</v>
      </c>
      <c r="I4" s="409">
        <v>38</v>
      </c>
      <c r="K4" s="409" t="s">
        <v>590</v>
      </c>
      <c r="L4" s="409" t="s">
        <v>589</v>
      </c>
      <c r="M4" s="409">
        <v>131</v>
      </c>
      <c r="N4" s="409">
        <v>54</v>
      </c>
      <c r="P4" s="409" t="s">
        <v>588</v>
      </c>
      <c r="Q4" s="409" t="s">
        <v>587</v>
      </c>
    </row>
    <row r="5" spans="1:17">
      <c r="A5" s="409" t="s">
        <v>586</v>
      </c>
      <c r="B5" s="409" t="s">
        <v>585</v>
      </c>
      <c r="C5" s="409">
        <v>102</v>
      </c>
      <c r="D5" s="409">
        <v>22</v>
      </c>
      <c r="F5" s="409" t="s">
        <v>584</v>
      </c>
      <c r="G5" s="409" t="s">
        <v>583</v>
      </c>
      <c r="H5" s="409">
        <v>104</v>
      </c>
      <c r="I5" s="409">
        <v>38</v>
      </c>
      <c r="K5" s="409" t="s">
        <v>582</v>
      </c>
      <c r="L5" s="409" t="s">
        <v>581</v>
      </c>
      <c r="M5" s="409">
        <v>135</v>
      </c>
      <c r="N5" s="409">
        <v>54</v>
      </c>
      <c r="P5" s="409" t="s">
        <v>580</v>
      </c>
      <c r="Q5" s="409" t="s">
        <v>579</v>
      </c>
    </row>
    <row r="6" spans="1:17">
      <c r="A6" s="409" t="s">
        <v>578</v>
      </c>
      <c r="B6" s="409" t="s">
        <v>577</v>
      </c>
      <c r="C6" s="409">
        <v>112</v>
      </c>
      <c r="D6" s="409">
        <v>22</v>
      </c>
      <c r="F6" s="409" t="s">
        <v>576</v>
      </c>
      <c r="G6" s="409" t="s">
        <v>575</v>
      </c>
      <c r="H6" s="409">
        <v>93</v>
      </c>
      <c r="I6" s="409">
        <v>38</v>
      </c>
      <c r="K6" s="409" t="s">
        <v>574</v>
      </c>
      <c r="L6" s="409" t="s">
        <v>573</v>
      </c>
      <c r="M6" s="409">
        <v>127</v>
      </c>
      <c r="N6" s="409">
        <v>54</v>
      </c>
      <c r="P6" s="409" t="s">
        <v>572</v>
      </c>
      <c r="Q6" s="409" t="s">
        <v>571</v>
      </c>
    </row>
    <row r="7" spans="1:17">
      <c r="A7" s="409" t="s">
        <v>570</v>
      </c>
      <c r="B7" s="409" t="s">
        <v>569</v>
      </c>
      <c r="C7" s="409">
        <v>98</v>
      </c>
      <c r="D7" s="409">
        <v>32</v>
      </c>
      <c r="F7" s="409" t="s">
        <v>568</v>
      </c>
      <c r="G7" s="409" t="s">
        <v>567</v>
      </c>
      <c r="H7" s="409">
        <v>214</v>
      </c>
      <c r="I7" s="409">
        <v>38</v>
      </c>
      <c r="K7" s="409" t="s">
        <v>566</v>
      </c>
      <c r="L7" s="409" t="s">
        <v>565</v>
      </c>
      <c r="M7" s="409">
        <v>133</v>
      </c>
      <c r="N7" s="409">
        <v>28</v>
      </c>
      <c r="P7" s="409" t="s">
        <v>564</v>
      </c>
      <c r="Q7" s="409" t="s">
        <v>563</v>
      </c>
    </row>
    <row r="8" spans="1:17">
      <c r="A8" s="409" t="s">
        <v>562</v>
      </c>
      <c r="B8" s="409" t="s">
        <v>561</v>
      </c>
      <c r="C8" s="409">
        <v>119</v>
      </c>
      <c r="D8" s="409">
        <v>32</v>
      </c>
      <c r="F8" s="409" t="s">
        <v>560</v>
      </c>
      <c r="G8" s="409" t="s">
        <v>559</v>
      </c>
      <c r="H8" s="409">
        <v>90</v>
      </c>
      <c r="I8" s="409">
        <v>38</v>
      </c>
      <c r="K8" s="409" t="s">
        <v>558</v>
      </c>
      <c r="L8" s="409" t="s">
        <v>557</v>
      </c>
      <c r="M8" s="409">
        <v>239</v>
      </c>
      <c r="N8" s="409">
        <v>132</v>
      </c>
    </row>
    <row r="9" spans="1:17">
      <c r="A9" s="409" t="s">
        <v>556</v>
      </c>
      <c r="B9" s="409" t="s">
        <v>555</v>
      </c>
      <c r="C9" s="409">
        <v>202</v>
      </c>
      <c r="D9" s="409">
        <v>32</v>
      </c>
      <c r="F9" s="409" t="s">
        <v>554</v>
      </c>
      <c r="G9" s="409" t="s">
        <v>553</v>
      </c>
      <c r="H9" s="409">
        <v>121</v>
      </c>
      <c r="I9" s="409">
        <v>38</v>
      </c>
      <c r="K9" s="409" t="s">
        <v>552</v>
      </c>
      <c r="L9" s="409" t="s">
        <v>551</v>
      </c>
      <c r="M9" s="409">
        <v>238</v>
      </c>
      <c r="N9" s="409">
        <v>60</v>
      </c>
    </row>
    <row r="10" spans="1:17">
      <c r="A10" s="409" t="s">
        <v>550</v>
      </c>
      <c r="B10" s="409" t="s">
        <v>549</v>
      </c>
      <c r="C10" s="409">
        <v>203</v>
      </c>
      <c r="D10" s="409">
        <v>32</v>
      </c>
      <c r="F10" s="409" t="s">
        <v>548</v>
      </c>
      <c r="G10" s="409" t="s">
        <v>547</v>
      </c>
      <c r="H10" s="409">
        <v>114</v>
      </c>
      <c r="I10" s="409">
        <v>38</v>
      </c>
      <c r="K10" s="409" t="s">
        <v>546</v>
      </c>
      <c r="L10" s="409" t="s">
        <v>545</v>
      </c>
      <c r="M10" s="409">
        <v>235</v>
      </c>
      <c r="N10" s="409">
        <v>60</v>
      </c>
    </row>
    <row r="11" spans="1:17">
      <c r="A11" s="409" t="s">
        <v>544</v>
      </c>
      <c r="B11" s="409" t="s">
        <v>543</v>
      </c>
      <c r="C11" s="409">
        <v>99</v>
      </c>
      <c r="D11" s="409">
        <v>32</v>
      </c>
      <c r="F11" s="409" t="s">
        <v>542</v>
      </c>
      <c r="G11" s="409" t="s">
        <v>541</v>
      </c>
      <c r="H11" s="409">
        <v>211</v>
      </c>
      <c r="I11" s="409">
        <v>38</v>
      </c>
      <c r="K11" s="409" t="s">
        <v>540</v>
      </c>
      <c r="L11" s="409" t="s">
        <v>539</v>
      </c>
      <c r="M11" s="409">
        <v>236</v>
      </c>
      <c r="N11" s="409">
        <v>60</v>
      </c>
    </row>
    <row r="12" spans="1:17">
      <c r="F12" s="409" t="s">
        <v>538</v>
      </c>
      <c r="G12" s="409" t="s">
        <v>537</v>
      </c>
      <c r="H12" s="409">
        <v>217</v>
      </c>
      <c r="I12" s="409">
        <v>38</v>
      </c>
      <c r="K12" s="409" t="s">
        <v>536</v>
      </c>
      <c r="L12" s="409" t="s">
        <v>535</v>
      </c>
      <c r="M12" s="409">
        <v>129</v>
      </c>
      <c r="N12" s="409">
        <v>60</v>
      </c>
    </row>
    <row r="13" spans="1:17">
      <c r="F13" s="409" t="s">
        <v>534</v>
      </c>
      <c r="G13" s="409" t="s">
        <v>533</v>
      </c>
      <c r="H13" s="409">
        <v>95</v>
      </c>
      <c r="I13" s="409">
        <v>38</v>
      </c>
      <c r="K13" s="409" t="s">
        <v>532</v>
      </c>
      <c r="L13" s="409" t="s">
        <v>531</v>
      </c>
      <c r="M13" s="409">
        <v>232</v>
      </c>
      <c r="N13" s="409">
        <v>60</v>
      </c>
    </row>
    <row r="14" spans="1:17">
      <c r="F14" s="409" t="s">
        <v>530</v>
      </c>
      <c r="G14" s="409" t="s">
        <v>529</v>
      </c>
      <c r="H14" s="409">
        <v>101</v>
      </c>
      <c r="I14" s="409">
        <v>38</v>
      </c>
      <c r="K14" s="409" t="s">
        <v>528</v>
      </c>
      <c r="L14" s="409" t="s">
        <v>527</v>
      </c>
      <c r="M14" s="409">
        <v>177</v>
      </c>
      <c r="N14" s="409">
        <v>60</v>
      </c>
    </row>
    <row r="15" spans="1:17">
      <c r="F15" s="409" t="s">
        <v>526</v>
      </c>
      <c r="G15" s="409" t="s">
        <v>525</v>
      </c>
      <c r="H15" s="409">
        <v>216</v>
      </c>
      <c r="I15" s="409">
        <v>38</v>
      </c>
    </row>
    <row r="16" spans="1:17">
      <c r="F16" s="409" t="s">
        <v>524</v>
      </c>
      <c r="G16" s="409" t="s">
        <v>523</v>
      </c>
      <c r="H16" s="409">
        <v>212</v>
      </c>
      <c r="I16" s="409">
        <v>38</v>
      </c>
    </row>
    <row r="22" spans="1:14">
      <c r="A22" s="409" t="s">
        <v>388</v>
      </c>
      <c r="B22" s="409" t="s">
        <v>197</v>
      </c>
      <c r="C22" s="409" t="s">
        <v>522</v>
      </c>
      <c r="D22" s="409" t="s">
        <v>521</v>
      </c>
      <c r="F22" s="409" t="s">
        <v>388</v>
      </c>
      <c r="G22" s="409" t="s">
        <v>197</v>
      </c>
      <c r="H22" s="409" t="s">
        <v>522</v>
      </c>
      <c r="I22" s="409" t="s">
        <v>521</v>
      </c>
      <c r="K22" s="409" t="s">
        <v>388</v>
      </c>
      <c r="L22" s="409" t="s">
        <v>197</v>
      </c>
      <c r="M22" s="409" t="s">
        <v>522</v>
      </c>
      <c r="N22" s="409" t="s">
        <v>521</v>
      </c>
    </row>
    <row r="23" spans="1:14">
      <c r="A23" s="409" t="s">
        <v>520</v>
      </c>
      <c r="B23" s="409" t="s">
        <v>519</v>
      </c>
      <c r="C23" s="409">
        <v>156</v>
      </c>
      <c r="D23" s="409">
        <v>26</v>
      </c>
      <c r="F23" s="409" t="s">
        <v>518</v>
      </c>
      <c r="G23" s="409" t="s">
        <v>517</v>
      </c>
      <c r="H23" s="409">
        <v>143</v>
      </c>
      <c r="I23" s="409">
        <v>19</v>
      </c>
      <c r="K23" s="409" t="s">
        <v>516</v>
      </c>
      <c r="L23" s="409" t="s">
        <v>515</v>
      </c>
      <c r="M23" s="409">
        <v>185</v>
      </c>
      <c r="N23" s="409">
        <v>125</v>
      </c>
    </row>
    <row r="24" spans="1:14">
      <c r="A24" s="409" t="s">
        <v>514</v>
      </c>
      <c r="B24" s="409" t="s">
        <v>513</v>
      </c>
      <c r="C24" s="409">
        <v>172</v>
      </c>
      <c r="D24" s="409">
        <v>67</v>
      </c>
      <c r="F24" s="409" t="s">
        <v>512</v>
      </c>
      <c r="G24" s="409" t="s">
        <v>511</v>
      </c>
      <c r="H24" s="409">
        <v>176</v>
      </c>
      <c r="I24" s="409">
        <v>19</v>
      </c>
      <c r="K24" s="409" t="s">
        <v>510</v>
      </c>
      <c r="L24" s="409" t="s">
        <v>509</v>
      </c>
      <c r="M24" s="409">
        <v>189</v>
      </c>
      <c r="N24" s="409">
        <v>125</v>
      </c>
    </row>
    <row r="25" spans="1:14">
      <c r="A25" s="409" t="s">
        <v>508</v>
      </c>
      <c r="B25" s="409" t="s">
        <v>507</v>
      </c>
      <c r="C25" s="409">
        <v>251</v>
      </c>
      <c r="D25" s="409">
        <v>67</v>
      </c>
      <c r="F25" s="409" t="s">
        <v>506</v>
      </c>
      <c r="G25" s="409" t="s">
        <v>505</v>
      </c>
      <c r="H25" s="409">
        <v>152</v>
      </c>
      <c r="I25" s="409">
        <v>30</v>
      </c>
      <c r="K25" s="409" t="s">
        <v>499</v>
      </c>
      <c r="L25" s="409" t="s">
        <v>504</v>
      </c>
      <c r="M25" s="409">
        <v>188</v>
      </c>
      <c r="N25" s="409">
        <v>125</v>
      </c>
    </row>
    <row r="26" spans="1:14">
      <c r="A26" s="409" t="s">
        <v>503</v>
      </c>
      <c r="B26" s="409" t="s">
        <v>502</v>
      </c>
      <c r="C26" s="409">
        <v>140</v>
      </c>
      <c r="D26" s="409">
        <v>67</v>
      </c>
      <c r="F26" s="409" t="s">
        <v>501</v>
      </c>
      <c r="G26" s="409" t="s">
        <v>500</v>
      </c>
      <c r="H26" s="409">
        <v>159</v>
      </c>
      <c r="I26" s="409">
        <v>17</v>
      </c>
      <c r="K26" s="409" t="s">
        <v>632</v>
      </c>
      <c r="L26" s="409" t="s">
        <v>498</v>
      </c>
      <c r="M26" s="409">
        <v>187</v>
      </c>
      <c r="N26" s="409">
        <v>125</v>
      </c>
    </row>
    <row r="27" spans="1:14">
      <c r="A27" s="409" t="s">
        <v>497</v>
      </c>
      <c r="B27" s="409" t="s">
        <v>496</v>
      </c>
      <c r="C27" s="409">
        <v>247</v>
      </c>
      <c r="D27" s="409">
        <v>67</v>
      </c>
      <c r="F27" s="409" t="s">
        <v>495</v>
      </c>
      <c r="G27" s="409" t="s">
        <v>494</v>
      </c>
      <c r="H27" s="409">
        <v>283</v>
      </c>
      <c r="I27" s="409">
        <v>95</v>
      </c>
      <c r="K27" s="409" t="s">
        <v>493</v>
      </c>
      <c r="L27" s="409" t="s">
        <v>492</v>
      </c>
      <c r="M27" s="409">
        <v>265</v>
      </c>
      <c r="N27" s="409">
        <v>125</v>
      </c>
    </row>
    <row r="28" spans="1:14">
      <c r="A28" s="409" t="s">
        <v>491</v>
      </c>
      <c r="B28" s="409" t="s">
        <v>490</v>
      </c>
      <c r="C28" s="409">
        <v>243</v>
      </c>
      <c r="D28" s="409">
        <v>67</v>
      </c>
      <c r="F28" s="409" t="s">
        <v>489</v>
      </c>
      <c r="G28" s="409" t="s">
        <v>488</v>
      </c>
      <c r="H28" s="409">
        <v>279</v>
      </c>
      <c r="I28" s="409">
        <v>95</v>
      </c>
      <c r="K28" s="409" t="s">
        <v>487</v>
      </c>
      <c r="L28" s="409" t="s">
        <v>486</v>
      </c>
      <c r="M28" s="409">
        <v>184</v>
      </c>
      <c r="N28" s="409">
        <v>125</v>
      </c>
    </row>
    <row r="29" spans="1:14">
      <c r="A29" s="409" t="s">
        <v>485</v>
      </c>
      <c r="B29" s="409" t="s">
        <v>484</v>
      </c>
      <c r="C29" s="409">
        <v>254</v>
      </c>
      <c r="D29" s="409">
        <v>67</v>
      </c>
      <c r="F29" s="409" t="s">
        <v>483</v>
      </c>
      <c r="G29" s="409" t="s">
        <v>482</v>
      </c>
      <c r="H29" s="409">
        <v>273</v>
      </c>
      <c r="I29" s="409">
        <v>95</v>
      </c>
    </row>
    <row r="30" spans="1:14">
      <c r="A30" s="409" t="s">
        <v>481</v>
      </c>
      <c r="B30" s="409" t="s">
        <v>480</v>
      </c>
      <c r="C30" s="409">
        <v>244</v>
      </c>
      <c r="D30" s="409">
        <v>67</v>
      </c>
      <c r="F30" s="409" t="s">
        <v>479</v>
      </c>
      <c r="G30" s="409" t="s">
        <v>478</v>
      </c>
      <c r="H30" s="409">
        <v>271</v>
      </c>
      <c r="I30" s="409">
        <v>95</v>
      </c>
    </row>
    <row r="31" spans="1:14">
      <c r="A31" s="409" t="s">
        <v>477</v>
      </c>
      <c r="B31" s="409" t="s">
        <v>476</v>
      </c>
      <c r="C31" s="409">
        <v>248</v>
      </c>
      <c r="D31" s="409">
        <v>67</v>
      </c>
      <c r="F31" s="409" t="s">
        <v>475</v>
      </c>
      <c r="G31" s="409" t="s">
        <v>474</v>
      </c>
      <c r="H31" s="409">
        <v>137</v>
      </c>
      <c r="I31" s="409">
        <v>95</v>
      </c>
    </row>
    <row r="32" spans="1:14">
      <c r="A32" s="409" t="s">
        <v>473</v>
      </c>
      <c r="B32" s="409" t="s">
        <v>472</v>
      </c>
      <c r="C32" s="409">
        <v>146</v>
      </c>
      <c r="D32" s="409">
        <v>67</v>
      </c>
      <c r="F32" s="409" t="s">
        <v>471</v>
      </c>
      <c r="G32" s="409" t="s">
        <v>470</v>
      </c>
      <c r="H32" s="409">
        <v>136</v>
      </c>
      <c r="I32" s="409">
        <v>95</v>
      </c>
    </row>
    <row r="33" spans="1:9">
      <c r="A33" s="409" t="s">
        <v>469</v>
      </c>
      <c r="B33" s="409" t="s">
        <v>468</v>
      </c>
      <c r="C33" s="409">
        <v>245</v>
      </c>
      <c r="D33" s="409">
        <v>67</v>
      </c>
      <c r="F33" s="409" t="s">
        <v>467</v>
      </c>
      <c r="G33" s="409" t="s">
        <v>466</v>
      </c>
      <c r="H33" s="409">
        <v>277</v>
      </c>
      <c r="I33" s="409">
        <v>95</v>
      </c>
    </row>
    <row r="34" spans="1:9">
      <c r="A34" s="409" t="s">
        <v>465</v>
      </c>
      <c r="B34" s="409" t="s">
        <v>464</v>
      </c>
      <c r="C34" s="409">
        <v>259</v>
      </c>
      <c r="D34" s="409">
        <v>78</v>
      </c>
      <c r="F34" s="409" t="s">
        <v>463</v>
      </c>
      <c r="G34" s="409" t="s">
        <v>462</v>
      </c>
      <c r="H34" s="409">
        <v>272</v>
      </c>
      <c r="I34" s="409">
        <v>95</v>
      </c>
    </row>
    <row r="35" spans="1:9">
      <c r="A35" s="409" t="s">
        <v>461</v>
      </c>
      <c r="B35" s="409" t="s">
        <v>460</v>
      </c>
      <c r="C35" s="409">
        <v>262</v>
      </c>
      <c r="D35" s="409">
        <v>78</v>
      </c>
      <c r="F35" s="409" t="s">
        <v>459</v>
      </c>
      <c r="G35" s="409" t="s">
        <v>458</v>
      </c>
      <c r="H35" s="409">
        <v>281</v>
      </c>
      <c r="I35" s="409">
        <v>95</v>
      </c>
    </row>
    <row r="36" spans="1:9">
      <c r="A36" s="409" t="s">
        <v>457</v>
      </c>
      <c r="B36" s="409" t="s">
        <v>456</v>
      </c>
      <c r="C36" s="409">
        <v>266</v>
      </c>
      <c r="D36" s="409">
        <v>78</v>
      </c>
      <c r="F36" s="409" t="s">
        <v>455</v>
      </c>
      <c r="G36" s="409" t="s">
        <v>454</v>
      </c>
      <c r="H36" s="409">
        <v>115</v>
      </c>
      <c r="I36" s="409">
        <v>95</v>
      </c>
    </row>
    <row r="37" spans="1:9">
      <c r="A37" s="409" t="s">
        <v>453</v>
      </c>
      <c r="B37" s="409" t="s">
        <v>452</v>
      </c>
      <c r="C37" s="409">
        <v>165</v>
      </c>
      <c r="D37" s="409">
        <v>78</v>
      </c>
      <c r="F37" s="409" t="s">
        <v>451</v>
      </c>
      <c r="G37" s="409" t="s">
        <v>450</v>
      </c>
      <c r="H37" s="409">
        <v>130</v>
      </c>
      <c r="I37" s="409">
        <v>95</v>
      </c>
    </row>
    <row r="38" spans="1:9">
      <c r="A38" s="409" t="s">
        <v>449</v>
      </c>
      <c r="B38" s="409" t="s">
        <v>448</v>
      </c>
      <c r="C38" s="409">
        <v>164</v>
      </c>
      <c r="D38" s="409">
        <v>78</v>
      </c>
      <c r="F38" s="409" t="s">
        <v>447</v>
      </c>
      <c r="G38" s="409" t="s">
        <v>446</v>
      </c>
      <c r="H38" s="409">
        <v>278</v>
      </c>
      <c r="I38" s="409">
        <v>95</v>
      </c>
    </row>
    <row r="39" spans="1:9">
      <c r="A39" s="409" t="s">
        <v>445</v>
      </c>
      <c r="B39" s="409" t="s">
        <v>444</v>
      </c>
      <c r="C39" s="409">
        <v>258</v>
      </c>
      <c r="D39" s="409">
        <v>78</v>
      </c>
      <c r="F39" s="409" t="s">
        <v>443</v>
      </c>
      <c r="G39" s="409" t="s">
        <v>442</v>
      </c>
      <c r="H39" s="409">
        <v>276</v>
      </c>
      <c r="I39" s="409">
        <v>95</v>
      </c>
    </row>
    <row r="40" spans="1:9">
      <c r="A40" s="409" t="s">
        <v>441</v>
      </c>
      <c r="B40" s="409" t="s">
        <v>440</v>
      </c>
      <c r="C40" s="409">
        <v>174</v>
      </c>
      <c r="D40" s="409">
        <v>78</v>
      </c>
      <c r="F40" s="409" t="s">
        <v>439</v>
      </c>
      <c r="G40" s="409" t="s">
        <v>438</v>
      </c>
      <c r="H40" s="409">
        <v>138</v>
      </c>
      <c r="I40" s="409">
        <v>95</v>
      </c>
    </row>
    <row r="41" spans="1:9">
      <c r="A41" s="409" t="s">
        <v>437</v>
      </c>
      <c r="B41" s="409" t="s">
        <v>436</v>
      </c>
      <c r="C41" s="409">
        <v>168</v>
      </c>
      <c r="D41" s="409">
        <v>78</v>
      </c>
      <c r="F41" s="409" t="s">
        <v>435</v>
      </c>
      <c r="G41" s="409" t="s">
        <v>434</v>
      </c>
      <c r="H41" s="409">
        <v>294</v>
      </c>
      <c r="I41" s="409">
        <v>110</v>
      </c>
    </row>
    <row r="42" spans="1:9">
      <c r="A42" s="409" t="s">
        <v>433</v>
      </c>
      <c r="B42" s="409" t="s">
        <v>432</v>
      </c>
      <c r="C42" s="409">
        <v>252</v>
      </c>
      <c r="D42" s="409">
        <v>78</v>
      </c>
      <c r="F42" s="409" t="s">
        <v>431</v>
      </c>
      <c r="G42" s="409" t="s">
        <v>430</v>
      </c>
      <c r="H42" s="409">
        <v>284</v>
      </c>
      <c r="I42" s="409">
        <v>110</v>
      </c>
    </row>
    <row r="43" spans="1:9">
      <c r="A43" s="409" t="s">
        <v>429</v>
      </c>
      <c r="B43" s="409" t="s">
        <v>428</v>
      </c>
      <c r="C43" s="409">
        <v>170</v>
      </c>
      <c r="D43" s="409">
        <v>78</v>
      </c>
      <c r="F43" s="409" t="s">
        <v>427</v>
      </c>
      <c r="G43" s="409" t="s">
        <v>426</v>
      </c>
      <c r="H43" s="409">
        <v>253</v>
      </c>
      <c r="I43" s="409">
        <v>110</v>
      </c>
    </row>
    <row r="44" spans="1:9">
      <c r="A44" s="409" t="s">
        <v>425</v>
      </c>
      <c r="B44" s="409" t="s">
        <v>424</v>
      </c>
      <c r="C44" s="409">
        <v>260</v>
      </c>
      <c r="D44" s="409">
        <v>78</v>
      </c>
      <c r="F44" s="409" t="s">
        <v>423</v>
      </c>
      <c r="G44" s="409" t="s">
        <v>422</v>
      </c>
      <c r="H44" s="409">
        <v>295</v>
      </c>
      <c r="I44" s="409">
        <v>110</v>
      </c>
    </row>
    <row r="45" spans="1:9">
      <c r="A45" s="409" t="s">
        <v>421</v>
      </c>
      <c r="B45" s="409" t="s">
        <v>420</v>
      </c>
      <c r="C45" s="409">
        <v>256</v>
      </c>
      <c r="D45" s="409">
        <v>78</v>
      </c>
      <c r="F45" s="409" t="s">
        <v>419</v>
      </c>
      <c r="G45" s="409" t="s">
        <v>418</v>
      </c>
      <c r="H45" s="409">
        <v>288</v>
      </c>
      <c r="I45" s="409">
        <v>110</v>
      </c>
    </row>
    <row r="46" spans="1:9">
      <c r="A46" s="409" t="s">
        <v>417</v>
      </c>
      <c r="B46" s="409" t="s">
        <v>416</v>
      </c>
      <c r="C46" s="409">
        <v>175</v>
      </c>
      <c r="D46" s="409">
        <v>78</v>
      </c>
      <c r="F46" s="409" t="s">
        <v>415</v>
      </c>
      <c r="G46" s="409" t="s">
        <v>414</v>
      </c>
      <c r="H46" s="409">
        <v>255</v>
      </c>
      <c r="I46" s="409">
        <v>110</v>
      </c>
    </row>
    <row r="47" spans="1:9">
      <c r="A47" s="409" t="s">
        <v>413</v>
      </c>
      <c r="B47" s="409" t="s">
        <v>412</v>
      </c>
      <c r="C47" s="409">
        <v>268</v>
      </c>
      <c r="D47" s="409">
        <v>78</v>
      </c>
      <c r="F47" s="409" t="s">
        <v>411</v>
      </c>
      <c r="G47" s="409" t="s">
        <v>410</v>
      </c>
      <c r="H47" s="409">
        <v>289</v>
      </c>
      <c r="I47" s="409">
        <v>110</v>
      </c>
    </row>
    <row r="48" spans="1:9">
      <c r="A48" s="409" t="s">
        <v>409</v>
      </c>
      <c r="B48" s="409" t="s">
        <v>408</v>
      </c>
      <c r="C48" s="409">
        <v>261</v>
      </c>
      <c r="D48" s="409">
        <v>78</v>
      </c>
      <c r="F48" s="409" t="s">
        <v>407</v>
      </c>
      <c r="G48" s="409" t="s">
        <v>406</v>
      </c>
      <c r="H48" s="409">
        <v>257</v>
      </c>
      <c r="I48" s="409">
        <v>110</v>
      </c>
    </row>
    <row r="49" spans="1:9">
      <c r="A49" s="409" t="s">
        <v>405</v>
      </c>
      <c r="B49" s="409" t="s">
        <v>404</v>
      </c>
      <c r="C49" s="409">
        <v>169</v>
      </c>
      <c r="D49" s="409">
        <v>78</v>
      </c>
      <c r="F49" s="409" t="s">
        <v>403</v>
      </c>
      <c r="G49" s="409" t="s">
        <v>402</v>
      </c>
      <c r="H49" s="409">
        <v>263</v>
      </c>
      <c r="I49" s="409">
        <v>110</v>
      </c>
    </row>
    <row r="50" spans="1:9">
      <c r="F50" s="409" t="s">
        <v>401</v>
      </c>
      <c r="G50" s="409" t="s">
        <v>400</v>
      </c>
      <c r="H50" s="409">
        <v>192</v>
      </c>
      <c r="I50" s="409">
        <v>110</v>
      </c>
    </row>
    <row r="51" spans="1:9">
      <c r="F51" s="409" t="s">
        <v>399</v>
      </c>
      <c r="G51" s="409" t="s">
        <v>398</v>
      </c>
      <c r="H51" s="409">
        <v>155</v>
      </c>
      <c r="I51" s="409">
        <v>110</v>
      </c>
    </row>
    <row r="52" spans="1:9">
      <c r="F52" s="409" t="s">
        <v>397</v>
      </c>
      <c r="G52" s="409" t="s">
        <v>396</v>
      </c>
      <c r="H52" s="409">
        <v>162</v>
      </c>
      <c r="I52" s="409">
        <v>110</v>
      </c>
    </row>
    <row r="53" spans="1:9">
      <c r="F53" s="409" t="s">
        <v>395</v>
      </c>
      <c r="G53" s="409" t="s">
        <v>394</v>
      </c>
      <c r="H53" s="409">
        <v>264</v>
      </c>
      <c r="I53" s="409">
        <v>110</v>
      </c>
    </row>
    <row r="54" spans="1:9">
      <c r="F54" s="409" t="s">
        <v>393</v>
      </c>
      <c r="G54" s="409" t="s">
        <v>392</v>
      </c>
      <c r="H54" s="409">
        <v>285</v>
      </c>
      <c r="I54" s="409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topLeftCell="A16" zoomScaleNormal="100" workbookViewId="0">
      <selection activeCell="F41" sqref="F41"/>
    </sheetView>
  </sheetViews>
  <sheetFormatPr defaultRowHeight="16.5"/>
  <cols>
    <col min="1" max="1" width="8.88671875" style="31"/>
    <col min="2" max="2" width="5.88671875" style="30" customWidth="1"/>
    <col min="3" max="8" width="5.77734375" style="30" customWidth="1"/>
    <col min="9" max="9" width="7.44140625" style="30" customWidth="1"/>
    <col min="10" max="10" width="6.77734375" style="30" customWidth="1"/>
    <col min="11" max="11" width="5.77734375" style="30" customWidth="1"/>
    <col min="12" max="12" width="5.6640625" style="30" customWidth="1"/>
    <col min="13" max="14" width="5.77734375" style="30" customWidth="1"/>
    <col min="15" max="15" width="8.109375" style="30" customWidth="1"/>
    <col min="16" max="16" width="6.44140625" style="30" customWidth="1"/>
    <col min="17" max="17" width="12.21875" style="31" bestFit="1" customWidth="1"/>
    <col min="18" max="18" width="13" style="31" customWidth="1"/>
    <col min="19" max="19" width="17.88671875" style="31" customWidth="1"/>
    <col min="20" max="20" width="21.21875" style="31" customWidth="1"/>
    <col min="21" max="21" width="21.88671875" style="31" customWidth="1"/>
    <col min="22" max="16384" width="8.88671875" style="31"/>
  </cols>
  <sheetData>
    <row r="2" spans="2:23" ht="26.25" customHeight="1">
      <c r="B2" s="451" t="s">
        <v>381</v>
      </c>
      <c r="C2" s="426"/>
      <c r="D2" s="426"/>
      <c r="E2" s="426"/>
      <c r="F2" s="426"/>
      <c r="G2" s="426"/>
      <c r="H2" s="427"/>
      <c r="I2" s="427"/>
      <c r="J2" s="427"/>
      <c r="K2" s="427"/>
      <c r="L2" s="427"/>
      <c r="S2" s="104" t="s">
        <v>638</v>
      </c>
      <c r="T2" s="490" t="s">
        <v>637</v>
      </c>
    </row>
    <row r="3" spans="2:23" ht="17.25" thickBot="1">
      <c r="I3" s="155"/>
      <c r="J3" s="155"/>
      <c r="K3" s="155"/>
    </row>
    <row r="4" spans="2:23" s="67" customFormat="1" ht="30.75" customHeight="1">
      <c r="B4" s="482" t="s">
        <v>41</v>
      </c>
      <c r="C4" s="483" t="s">
        <v>42</v>
      </c>
      <c r="D4" s="483" t="s">
        <v>615</v>
      </c>
      <c r="E4" s="483" t="s">
        <v>616</v>
      </c>
      <c r="F4" s="483" t="s">
        <v>617</v>
      </c>
      <c r="G4" s="483" t="s">
        <v>618</v>
      </c>
      <c r="H4" s="483" t="s">
        <v>619</v>
      </c>
      <c r="I4" s="483" t="s">
        <v>620</v>
      </c>
      <c r="J4" s="483" t="s">
        <v>621</v>
      </c>
      <c r="K4" s="483" t="s">
        <v>622</v>
      </c>
      <c r="L4" s="483" t="s">
        <v>623</v>
      </c>
      <c r="M4" s="483" t="s">
        <v>624</v>
      </c>
      <c r="N4" s="484" t="s">
        <v>625</v>
      </c>
      <c r="O4" s="485" t="s">
        <v>44</v>
      </c>
      <c r="P4" s="484" t="s">
        <v>45</v>
      </c>
      <c r="S4" s="491" t="s">
        <v>611</v>
      </c>
      <c r="T4" s="492" t="s">
        <v>612</v>
      </c>
    </row>
    <row r="5" spans="2:23" ht="22.5" customHeight="1">
      <c r="B5" s="428">
        <v>1994</v>
      </c>
      <c r="C5" s="429">
        <v>17.899999999999999</v>
      </c>
      <c r="D5" s="429">
        <v>6</v>
      </c>
      <c r="E5" s="429">
        <v>58.2</v>
      </c>
      <c r="F5" s="429">
        <v>51.5</v>
      </c>
      <c r="G5" s="429">
        <v>135.5</v>
      </c>
      <c r="H5" s="429">
        <v>207</v>
      </c>
      <c r="I5" s="429">
        <v>137</v>
      </c>
      <c r="J5" s="430">
        <v>443.5</v>
      </c>
      <c r="K5" s="429">
        <v>21</v>
      </c>
      <c r="L5" s="429">
        <v>155</v>
      </c>
      <c r="M5" s="429">
        <v>17.5</v>
      </c>
      <c r="N5" s="431">
        <v>18.899999999999999</v>
      </c>
      <c r="O5" s="412">
        <f>ROUND(SUM(C5:N5),1)</f>
        <v>1269</v>
      </c>
      <c r="P5" s="413">
        <f>ROUND(O5/12,1)</f>
        <v>105.8</v>
      </c>
      <c r="Q5" s="68"/>
      <c r="R5" s="133"/>
      <c r="S5" s="410" t="s">
        <v>695</v>
      </c>
      <c r="T5" s="411" t="s">
        <v>696</v>
      </c>
      <c r="V5" s="133"/>
      <c r="W5" s="132"/>
    </row>
    <row r="6" spans="2:23" ht="22.5" customHeight="1" thickBot="1">
      <c r="B6" s="61">
        <v>1995</v>
      </c>
      <c r="C6" s="432">
        <v>15.7</v>
      </c>
      <c r="D6" s="432">
        <v>11</v>
      </c>
      <c r="E6" s="432">
        <v>19.600000000000001</v>
      </c>
      <c r="F6" s="432">
        <v>65.5</v>
      </c>
      <c r="G6" s="432">
        <v>49.5</v>
      </c>
      <c r="H6" s="432">
        <v>26.5</v>
      </c>
      <c r="I6" s="432">
        <v>144.5</v>
      </c>
      <c r="J6" s="433">
        <v>996.5</v>
      </c>
      <c r="K6" s="432">
        <v>70.5</v>
      </c>
      <c r="L6" s="432">
        <v>24.5</v>
      </c>
      <c r="M6" s="432">
        <v>23</v>
      </c>
      <c r="N6" s="434">
        <v>12.7</v>
      </c>
      <c r="O6" s="414">
        <f t="shared" ref="O6:O34" si="0">ROUND(SUM(C6:N6),1)</f>
        <v>1459.5</v>
      </c>
      <c r="P6" s="415">
        <f t="shared" ref="P6:P34" si="1">ROUND(O6/12,1)</f>
        <v>121.6</v>
      </c>
      <c r="Q6" s="68"/>
      <c r="R6" s="133"/>
      <c r="S6" s="493" t="str">
        <f>VLOOKUP(S5, tblLocation[], 2, FALSE)</f>
        <v>Table3</v>
      </c>
      <c r="T6" s="465" t="str" cm="1">
        <f t="array" aca="1" ref="T6" ca="1">IFERROR(UppercaseString(VLOOKUP(T5, INDIRECT(S6), 2,0)), " 지역설정")</f>
        <v>BORYUNG</v>
      </c>
      <c r="V6" s="133"/>
      <c r="W6" s="132"/>
    </row>
    <row r="7" spans="2:23" ht="22.5" customHeight="1">
      <c r="B7" s="61">
        <v>1996</v>
      </c>
      <c r="C7" s="432">
        <v>33.4</v>
      </c>
      <c r="D7" s="432">
        <v>6.8</v>
      </c>
      <c r="E7" s="432">
        <v>104.5</v>
      </c>
      <c r="F7" s="432">
        <v>34</v>
      </c>
      <c r="G7" s="432">
        <v>22.5</v>
      </c>
      <c r="H7" s="432">
        <v>235</v>
      </c>
      <c r="I7" s="432">
        <v>192.5</v>
      </c>
      <c r="J7" s="432">
        <v>44.5</v>
      </c>
      <c r="K7" s="432">
        <v>14</v>
      </c>
      <c r="L7" s="432">
        <v>106.5</v>
      </c>
      <c r="M7" s="432">
        <v>74.2</v>
      </c>
      <c r="N7" s="434">
        <v>31.7</v>
      </c>
      <c r="O7" s="414">
        <f t="shared" si="0"/>
        <v>899.6</v>
      </c>
      <c r="P7" s="415">
        <f t="shared" si="1"/>
        <v>75</v>
      </c>
      <c r="Q7" s="68"/>
      <c r="R7" s="133"/>
      <c r="T7"/>
      <c r="V7" s="133"/>
      <c r="W7" s="132"/>
    </row>
    <row r="8" spans="2:23" ht="22.5" customHeight="1">
      <c r="B8" s="61">
        <v>1997</v>
      </c>
      <c r="C8" s="432">
        <v>15.1</v>
      </c>
      <c r="D8" s="432">
        <v>38.4</v>
      </c>
      <c r="E8" s="432">
        <v>30.5</v>
      </c>
      <c r="F8" s="432">
        <v>57.5</v>
      </c>
      <c r="G8" s="432">
        <v>203</v>
      </c>
      <c r="H8" s="432">
        <v>272</v>
      </c>
      <c r="I8" s="432">
        <v>353.5</v>
      </c>
      <c r="J8" s="432">
        <v>211.5</v>
      </c>
      <c r="K8" s="432">
        <v>23</v>
      </c>
      <c r="L8" s="432">
        <v>10</v>
      </c>
      <c r="M8" s="432">
        <v>193.5</v>
      </c>
      <c r="N8" s="434">
        <v>34.299999999999997</v>
      </c>
      <c r="O8" s="414">
        <f t="shared" si="0"/>
        <v>1442.3</v>
      </c>
      <c r="P8" s="415">
        <f t="shared" si="1"/>
        <v>120.2</v>
      </c>
      <c r="Q8" s="68"/>
      <c r="T8"/>
      <c r="V8" s="133"/>
      <c r="W8" s="132"/>
    </row>
    <row r="9" spans="2:23" ht="22.5" customHeight="1">
      <c r="B9" s="61">
        <v>1998</v>
      </c>
      <c r="C9" s="432">
        <v>29.9</v>
      </c>
      <c r="D9" s="432">
        <v>40.200000000000003</v>
      </c>
      <c r="E9" s="432">
        <v>30.5</v>
      </c>
      <c r="F9" s="432">
        <v>138</v>
      </c>
      <c r="G9" s="432">
        <v>100</v>
      </c>
      <c r="H9" s="432">
        <v>209.5</v>
      </c>
      <c r="I9" s="432">
        <v>263</v>
      </c>
      <c r="J9" s="432">
        <v>341.7</v>
      </c>
      <c r="K9" s="432">
        <v>150.30000000000001</v>
      </c>
      <c r="L9" s="432">
        <v>61</v>
      </c>
      <c r="M9" s="432">
        <v>29.3</v>
      </c>
      <c r="N9" s="434">
        <v>3.8</v>
      </c>
      <c r="O9" s="414">
        <f t="shared" si="0"/>
        <v>1397.2</v>
      </c>
      <c r="P9" s="415">
        <f t="shared" si="1"/>
        <v>116.4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61">
        <v>1999</v>
      </c>
      <c r="C10" s="432">
        <v>7.9</v>
      </c>
      <c r="D10" s="432">
        <v>9.5</v>
      </c>
      <c r="E10" s="432">
        <v>71</v>
      </c>
      <c r="F10" s="432">
        <v>88.5</v>
      </c>
      <c r="G10" s="432">
        <v>124.5</v>
      </c>
      <c r="H10" s="432">
        <v>192.5</v>
      </c>
      <c r="I10" s="432">
        <v>98</v>
      </c>
      <c r="J10" s="432">
        <v>180</v>
      </c>
      <c r="K10" s="432">
        <v>292.5</v>
      </c>
      <c r="L10" s="432">
        <v>169</v>
      </c>
      <c r="M10" s="432">
        <v>24.9</v>
      </c>
      <c r="N10" s="434">
        <v>25.8</v>
      </c>
      <c r="O10" s="414">
        <f t="shared" si="0"/>
        <v>1284.0999999999999</v>
      </c>
      <c r="P10" s="415">
        <f t="shared" si="1"/>
        <v>107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61">
        <v>2000</v>
      </c>
      <c r="C11" s="432">
        <v>42.1</v>
      </c>
      <c r="D11" s="432">
        <v>3.2</v>
      </c>
      <c r="E11" s="432">
        <v>7</v>
      </c>
      <c r="F11" s="432">
        <v>35</v>
      </c>
      <c r="G11" s="432">
        <v>53.5</v>
      </c>
      <c r="H11" s="432">
        <v>159.5</v>
      </c>
      <c r="I11" s="432">
        <v>155</v>
      </c>
      <c r="J11" s="432">
        <v>701.5</v>
      </c>
      <c r="K11" s="432">
        <v>241</v>
      </c>
      <c r="L11" s="432">
        <v>46</v>
      </c>
      <c r="M11" s="432">
        <v>39.5</v>
      </c>
      <c r="N11" s="434">
        <v>32.1</v>
      </c>
      <c r="O11" s="414">
        <f t="shared" si="0"/>
        <v>1515.4</v>
      </c>
      <c r="P11" s="415">
        <f t="shared" si="1"/>
        <v>126.3</v>
      </c>
      <c r="R11" s="133"/>
      <c r="S11" s="132"/>
      <c r="T11" s="133"/>
      <c r="U11" s="132"/>
      <c r="V11" s="133"/>
      <c r="W11" s="132"/>
    </row>
    <row r="12" spans="2:23" ht="22.5" customHeight="1">
      <c r="B12" s="61">
        <v>2001</v>
      </c>
      <c r="C12" s="432">
        <v>73.3</v>
      </c>
      <c r="D12" s="432">
        <v>46</v>
      </c>
      <c r="E12" s="432">
        <v>15.9</v>
      </c>
      <c r="F12" s="432">
        <v>26</v>
      </c>
      <c r="G12" s="432">
        <v>17</v>
      </c>
      <c r="H12" s="432">
        <v>129</v>
      </c>
      <c r="I12" s="432">
        <v>286.5</v>
      </c>
      <c r="J12" s="432">
        <v>170</v>
      </c>
      <c r="K12" s="432">
        <v>10</v>
      </c>
      <c r="L12" s="432">
        <v>85</v>
      </c>
      <c r="M12" s="432">
        <v>13</v>
      </c>
      <c r="N12" s="434">
        <v>32</v>
      </c>
      <c r="O12" s="414">
        <f t="shared" si="0"/>
        <v>903.7</v>
      </c>
      <c r="P12" s="415">
        <f t="shared" si="1"/>
        <v>75.3</v>
      </c>
      <c r="R12" s="133"/>
      <c r="S12" s="132"/>
      <c r="T12" s="133"/>
      <c r="U12" s="132"/>
      <c r="V12" s="133"/>
      <c r="W12" s="132"/>
    </row>
    <row r="13" spans="2:23" ht="22.5" customHeight="1">
      <c r="B13" s="61">
        <v>2002</v>
      </c>
      <c r="C13" s="432">
        <v>50.8</v>
      </c>
      <c r="D13" s="432">
        <v>5.5</v>
      </c>
      <c r="E13" s="432">
        <v>32</v>
      </c>
      <c r="F13" s="432">
        <v>169</v>
      </c>
      <c r="G13" s="432">
        <v>155.5</v>
      </c>
      <c r="H13" s="432">
        <v>72</v>
      </c>
      <c r="I13" s="432">
        <v>217.5</v>
      </c>
      <c r="J13" s="432">
        <v>477</v>
      </c>
      <c r="K13" s="432">
        <v>27</v>
      </c>
      <c r="L13" s="432">
        <v>134</v>
      </c>
      <c r="M13" s="432">
        <v>61.1</v>
      </c>
      <c r="N13" s="434">
        <v>51.8</v>
      </c>
      <c r="O13" s="414">
        <f t="shared" si="0"/>
        <v>1453.2</v>
      </c>
      <c r="P13" s="415">
        <f t="shared" si="1"/>
        <v>121.1</v>
      </c>
      <c r="R13" s="133"/>
      <c r="S13" s="132"/>
      <c r="T13" s="133"/>
      <c r="U13" s="132"/>
      <c r="V13" s="133"/>
      <c r="W13" s="132"/>
    </row>
    <row r="14" spans="2:23" ht="22.5" customHeight="1">
      <c r="B14" s="61">
        <v>2003</v>
      </c>
      <c r="C14" s="432">
        <v>30.7</v>
      </c>
      <c r="D14" s="432">
        <v>44.5</v>
      </c>
      <c r="E14" s="432">
        <v>39.5</v>
      </c>
      <c r="F14" s="432">
        <v>168.5</v>
      </c>
      <c r="G14" s="432">
        <v>78.5</v>
      </c>
      <c r="H14" s="432">
        <v>153</v>
      </c>
      <c r="I14" s="432">
        <v>309.5</v>
      </c>
      <c r="J14" s="432">
        <v>310</v>
      </c>
      <c r="K14" s="432">
        <v>128</v>
      </c>
      <c r="L14" s="432">
        <v>23</v>
      </c>
      <c r="M14" s="432">
        <v>45.5</v>
      </c>
      <c r="N14" s="434">
        <v>13</v>
      </c>
      <c r="O14" s="414">
        <f t="shared" si="0"/>
        <v>1343.7</v>
      </c>
      <c r="P14" s="415">
        <f t="shared" si="1"/>
        <v>112</v>
      </c>
      <c r="R14" s="133"/>
      <c r="S14" s="132"/>
      <c r="T14" s="133"/>
      <c r="U14" s="132"/>
      <c r="V14" s="133"/>
      <c r="W14" s="132"/>
    </row>
    <row r="15" spans="2:23" ht="22.5" customHeight="1">
      <c r="B15" s="61">
        <v>2004</v>
      </c>
      <c r="C15" s="432">
        <v>22.1</v>
      </c>
      <c r="D15" s="432">
        <v>28.5</v>
      </c>
      <c r="E15" s="432">
        <v>45.7</v>
      </c>
      <c r="F15" s="432">
        <v>58</v>
      </c>
      <c r="G15" s="432">
        <v>105.5</v>
      </c>
      <c r="H15" s="432">
        <v>234.5</v>
      </c>
      <c r="I15" s="432">
        <v>263.5</v>
      </c>
      <c r="J15" s="432">
        <v>164</v>
      </c>
      <c r="K15" s="432">
        <v>195</v>
      </c>
      <c r="L15" s="432">
        <v>4</v>
      </c>
      <c r="M15" s="432">
        <v>56.5</v>
      </c>
      <c r="N15" s="434">
        <v>38.9</v>
      </c>
      <c r="O15" s="414">
        <f t="shared" si="0"/>
        <v>1216.2</v>
      </c>
      <c r="P15" s="415">
        <f t="shared" si="1"/>
        <v>101.4</v>
      </c>
    </row>
    <row r="16" spans="2:23" ht="22.5" customHeight="1">
      <c r="B16" s="61">
        <v>2005</v>
      </c>
      <c r="C16" s="432">
        <v>5.8</v>
      </c>
      <c r="D16" s="432">
        <v>35.799999999999997</v>
      </c>
      <c r="E16" s="432">
        <v>30</v>
      </c>
      <c r="F16" s="432">
        <v>73.5</v>
      </c>
      <c r="G16" s="432">
        <v>48.5</v>
      </c>
      <c r="H16" s="432">
        <v>156</v>
      </c>
      <c r="I16" s="432">
        <v>260.5</v>
      </c>
      <c r="J16" s="432">
        <v>291.5</v>
      </c>
      <c r="K16" s="432">
        <v>282.5</v>
      </c>
      <c r="L16" s="432">
        <v>21</v>
      </c>
      <c r="M16" s="432">
        <v>18</v>
      </c>
      <c r="N16" s="434">
        <v>43.4</v>
      </c>
      <c r="O16" s="414">
        <f t="shared" si="0"/>
        <v>1266.5</v>
      </c>
      <c r="P16" s="415">
        <f t="shared" si="1"/>
        <v>105.5</v>
      </c>
    </row>
    <row r="17" spans="2:16" ht="22.5" customHeight="1">
      <c r="B17" s="61">
        <v>2006</v>
      </c>
      <c r="C17" s="432">
        <v>27</v>
      </c>
      <c r="D17" s="432">
        <v>25.9</v>
      </c>
      <c r="E17" s="432">
        <v>10.6</v>
      </c>
      <c r="F17" s="432">
        <v>81.5</v>
      </c>
      <c r="G17" s="432">
        <v>94.5</v>
      </c>
      <c r="H17" s="432">
        <v>114.5</v>
      </c>
      <c r="I17" s="432">
        <v>321</v>
      </c>
      <c r="J17" s="432">
        <v>21.5</v>
      </c>
      <c r="K17" s="432">
        <v>23.5</v>
      </c>
      <c r="L17" s="432">
        <v>24.5</v>
      </c>
      <c r="M17" s="432">
        <v>61.5</v>
      </c>
      <c r="N17" s="434">
        <v>25.4</v>
      </c>
      <c r="O17" s="414">
        <f t="shared" si="0"/>
        <v>831.4</v>
      </c>
      <c r="P17" s="415">
        <f t="shared" si="1"/>
        <v>69.3</v>
      </c>
    </row>
    <row r="18" spans="2:16" ht="22.5" customHeight="1">
      <c r="B18" s="61">
        <v>2007</v>
      </c>
      <c r="C18" s="432">
        <v>23.4</v>
      </c>
      <c r="D18" s="432">
        <v>29.8</v>
      </c>
      <c r="E18" s="432">
        <v>102</v>
      </c>
      <c r="F18" s="432">
        <v>29.5</v>
      </c>
      <c r="G18" s="432">
        <v>79</v>
      </c>
      <c r="H18" s="432">
        <v>85</v>
      </c>
      <c r="I18" s="432">
        <v>214</v>
      </c>
      <c r="J18" s="432">
        <v>239.5</v>
      </c>
      <c r="K18" s="432">
        <v>384</v>
      </c>
      <c r="L18" s="432">
        <v>59</v>
      </c>
      <c r="M18" s="432">
        <v>17.5</v>
      </c>
      <c r="N18" s="434">
        <v>33.1</v>
      </c>
      <c r="O18" s="414">
        <f t="shared" si="0"/>
        <v>1295.8</v>
      </c>
      <c r="P18" s="415">
        <f t="shared" si="1"/>
        <v>108</v>
      </c>
    </row>
    <row r="19" spans="2:16" ht="22.5" customHeight="1">
      <c r="B19" s="61">
        <v>2008</v>
      </c>
      <c r="C19" s="432">
        <v>20.9</v>
      </c>
      <c r="D19" s="432">
        <v>10.8</v>
      </c>
      <c r="E19" s="432">
        <v>48.2</v>
      </c>
      <c r="F19" s="432">
        <v>40.5</v>
      </c>
      <c r="G19" s="432">
        <v>78.900000000000006</v>
      </c>
      <c r="H19" s="432">
        <v>101.3</v>
      </c>
      <c r="I19" s="432">
        <v>257.2</v>
      </c>
      <c r="J19" s="432">
        <v>119.5</v>
      </c>
      <c r="K19" s="432">
        <v>46.9</v>
      </c>
      <c r="L19" s="432">
        <v>26.7</v>
      </c>
      <c r="M19" s="432">
        <v>37.6</v>
      </c>
      <c r="N19" s="434">
        <v>25</v>
      </c>
      <c r="O19" s="414">
        <f t="shared" si="0"/>
        <v>813.5</v>
      </c>
      <c r="P19" s="415">
        <f t="shared" si="1"/>
        <v>67.8</v>
      </c>
    </row>
    <row r="20" spans="2:16" ht="22.5" customHeight="1">
      <c r="B20" s="61">
        <v>2009</v>
      </c>
      <c r="C20" s="432">
        <v>18.5</v>
      </c>
      <c r="D20" s="432">
        <v>23.3</v>
      </c>
      <c r="E20" s="432">
        <v>55.1</v>
      </c>
      <c r="F20" s="432">
        <v>41.5</v>
      </c>
      <c r="G20" s="432">
        <v>154.5</v>
      </c>
      <c r="H20" s="432">
        <v>115.1</v>
      </c>
      <c r="I20" s="432">
        <v>320.89999999999998</v>
      </c>
      <c r="J20" s="432">
        <v>176.6</v>
      </c>
      <c r="K20" s="432">
        <v>25.5</v>
      </c>
      <c r="L20" s="432">
        <v>39.5</v>
      </c>
      <c r="M20" s="432">
        <v>52.9</v>
      </c>
      <c r="N20" s="434">
        <v>58</v>
      </c>
      <c r="O20" s="414">
        <f t="shared" si="0"/>
        <v>1081.4000000000001</v>
      </c>
      <c r="P20" s="415">
        <f t="shared" si="1"/>
        <v>90.1</v>
      </c>
    </row>
    <row r="21" spans="2:16" ht="22.5" customHeight="1">
      <c r="B21" s="61">
        <v>2010</v>
      </c>
      <c r="C21" s="432">
        <v>30.1</v>
      </c>
      <c r="D21" s="432">
        <v>73.5</v>
      </c>
      <c r="E21" s="432">
        <v>75.900000000000006</v>
      </c>
      <c r="F21" s="432">
        <v>58.5</v>
      </c>
      <c r="G21" s="432">
        <v>122.8</v>
      </c>
      <c r="H21" s="432">
        <v>60.8</v>
      </c>
      <c r="I21" s="432">
        <v>396.5</v>
      </c>
      <c r="J21" s="432">
        <v>402.7</v>
      </c>
      <c r="K21" s="432">
        <v>213.1</v>
      </c>
      <c r="L21" s="432">
        <v>19.2</v>
      </c>
      <c r="M21" s="432">
        <v>16.3</v>
      </c>
      <c r="N21" s="434">
        <v>32.9</v>
      </c>
      <c r="O21" s="414">
        <f t="shared" si="0"/>
        <v>1502.3</v>
      </c>
      <c r="P21" s="415">
        <f t="shared" si="1"/>
        <v>125.2</v>
      </c>
    </row>
    <row r="22" spans="2:16" ht="22.5" customHeight="1">
      <c r="B22" s="61">
        <v>2011</v>
      </c>
      <c r="C22" s="432">
        <v>11.1</v>
      </c>
      <c r="D22" s="432">
        <v>37.5</v>
      </c>
      <c r="E22" s="432">
        <v>18</v>
      </c>
      <c r="F22" s="432">
        <v>72.099999999999994</v>
      </c>
      <c r="G22" s="432">
        <v>115.3</v>
      </c>
      <c r="H22" s="432">
        <v>318</v>
      </c>
      <c r="I22" s="432">
        <v>723.1</v>
      </c>
      <c r="J22" s="432">
        <v>289.39999999999998</v>
      </c>
      <c r="K22" s="432">
        <v>70.8</v>
      </c>
      <c r="L22" s="432">
        <v>13.9</v>
      </c>
      <c r="M22" s="432">
        <v>61.3</v>
      </c>
      <c r="N22" s="434">
        <v>12.5</v>
      </c>
      <c r="O22" s="414">
        <f t="shared" si="0"/>
        <v>1743</v>
      </c>
      <c r="P22" s="415">
        <f t="shared" si="1"/>
        <v>145.30000000000001</v>
      </c>
    </row>
    <row r="23" spans="2:16" ht="22.5" customHeight="1">
      <c r="B23" s="61">
        <v>2012</v>
      </c>
      <c r="C23" s="432">
        <v>24.2</v>
      </c>
      <c r="D23" s="432">
        <v>9.1999999999999993</v>
      </c>
      <c r="E23" s="432">
        <v>45</v>
      </c>
      <c r="F23" s="432">
        <v>68.900000000000006</v>
      </c>
      <c r="G23" s="432">
        <v>14.6</v>
      </c>
      <c r="H23" s="432">
        <v>76.8</v>
      </c>
      <c r="I23" s="432">
        <v>231.1</v>
      </c>
      <c r="J23" s="432">
        <v>450.2</v>
      </c>
      <c r="K23" s="432">
        <v>207.7</v>
      </c>
      <c r="L23" s="432">
        <v>65</v>
      </c>
      <c r="M23" s="432">
        <v>61.1</v>
      </c>
      <c r="N23" s="434">
        <v>65.2</v>
      </c>
      <c r="O23" s="414">
        <f t="shared" si="0"/>
        <v>1319</v>
      </c>
      <c r="P23" s="415">
        <f t="shared" si="1"/>
        <v>109.9</v>
      </c>
    </row>
    <row r="24" spans="2:16" ht="22.5" customHeight="1">
      <c r="B24" s="61">
        <v>2013</v>
      </c>
      <c r="C24" s="432">
        <v>28.4</v>
      </c>
      <c r="D24" s="432">
        <v>40.700000000000003</v>
      </c>
      <c r="E24" s="432">
        <v>53.4</v>
      </c>
      <c r="F24" s="432">
        <v>68.2</v>
      </c>
      <c r="G24" s="432">
        <v>116.6</v>
      </c>
      <c r="H24" s="432">
        <v>159.9</v>
      </c>
      <c r="I24" s="432">
        <v>267.5</v>
      </c>
      <c r="J24" s="432">
        <v>214.6</v>
      </c>
      <c r="K24" s="432">
        <v>320</v>
      </c>
      <c r="L24" s="432">
        <v>10.9</v>
      </c>
      <c r="M24" s="432">
        <v>81.099999999999994</v>
      </c>
      <c r="N24" s="434">
        <v>26.4</v>
      </c>
      <c r="O24" s="414">
        <f t="shared" si="0"/>
        <v>1387.7</v>
      </c>
      <c r="P24" s="415">
        <f t="shared" si="1"/>
        <v>115.6</v>
      </c>
    </row>
    <row r="25" spans="2:16" ht="22.5" customHeight="1">
      <c r="B25" s="61">
        <v>2014</v>
      </c>
      <c r="C25" s="432">
        <v>3.4</v>
      </c>
      <c r="D25" s="432">
        <v>20.5</v>
      </c>
      <c r="E25" s="432">
        <v>56.3</v>
      </c>
      <c r="F25" s="432">
        <v>70</v>
      </c>
      <c r="G25" s="432">
        <v>47.1</v>
      </c>
      <c r="H25" s="432">
        <v>125.8</v>
      </c>
      <c r="I25" s="432">
        <v>104</v>
      </c>
      <c r="J25" s="432">
        <v>168.5</v>
      </c>
      <c r="K25" s="432">
        <v>152</v>
      </c>
      <c r="L25" s="432">
        <v>156</v>
      </c>
      <c r="M25" s="432">
        <v>39.9</v>
      </c>
      <c r="N25" s="434">
        <v>66.599999999999994</v>
      </c>
      <c r="O25" s="414">
        <f t="shared" si="0"/>
        <v>1010.1</v>
      </c>
      <c r="P25" s="415">
        <f t="shared" si="1"/>
        <v>84.2</v>
      </c>
    </row>
    <row r="26" spans="2:16" ht="22.5" customHeight="1">
      <c r="B26" s="61">
        <v>2015</v>
      </c>
      <c r="C26" s="432">
        <v>29.9</v>
      </c>
      <c r="D26" s="432">
        <v>23.4</v>
      </c>
      <c r="E26" s="432">
        <v>30.9</v>
      </c>
      <c r="F26" s="432">
        <v>129.69999999999999</v>
      </c>
      <c r="G26" s="432">
        <v>38.799999999999997</v>
      </c>
      <c r="H26" s="432">
        <v>83.9</v>
      </c>
      <c r="I26" s="432">
        <v>94.7</v>
      </c>
      <c r="J26" s="432">
        <v>30.2</v>
      </c>
      <c r="K26" s="432">
        <v>13.3</v>
      </c>
      <c r="L26" s="432">
        <v>90</v>
      </c>
      <c r="M26" s="432">
        <v>155.6</v>
      </c>
      <c r="N26" s="434">
        <v>65</v>
      </c>
      <c r="O26" s="414">
        <f t="shared" si="0"/>
        <v>785.4</v>
      </c>
      <c r="P26" s="415">
        <f t="shared" si="1"/>
        <v>65.5</v>
      </c>
    </row>
    <row r="27" spans="2:16" ht="22.5" customHeight="1">
      <c r="B27" s="61">
        <v>2016</v>
      </c>
      <c r="C27" s="432">
        <v>7.8</v>
      </c>
      <c r="D27" s="432">
        <v>54.2</v>
      </c>
      <c r="E27" s="432">
        <v>18.7</v>
      </c>
      <c r="F27" s="432">
        <v>105.1</v>
      </c>
      <c r="G27" s="432">
        <v>146.5</v>
      </c>
      <c r="H27" s="432">
        <v>23.7</v>
      </c>
      <c r="I27" s="432">
        <v>200.2</v>
      </c>
      <c r="J27" s="432">
        <v>5.0999999999999996</v>
      </c>
      <c r="K27" s="432">
        <v>73.400000000000006</v>
      </c>
      <c r="L27" s="432">
        <v>108</v>
      </c>
      <c r="M27" s="432">
        <v>5.6</v>
      </c>
      <c r="N27" s="434">
        <v>44.5</v>
      </c>
      <c r="O27" s="414">
        <f t="shared" si="0"/>
        <v>792.8</v>
      </c>
      <c r="P27" s="415">
        <f t="shared" si="1"/>
        <v>66.099999999999994</v>
      </c>
    </row>
    <row r="28" spans="2:16" ht="22.5" customHeight="1">
      <c r="B28" s="61">
        <v>2017</v>
      </c>
      <c r="C28" s="432">
        <v>14.8</v>
      </c>
      <c r="D28" s="432">
        <v>30.2</v>
      </c>
      <c r="E28" s="432">
        <v>14.4</v>
      </c>
      <c r="F28" s="432">
        <v>57.6</v>
      </c>
      <c r="G28" s="432">
        <v>58.9</v>
      </c>
      <c r="H28" s="432">
        <v>21.1</v>
      </c>
      <c r="I28" s="432">
        <v>278.10000000000002</v>
      </c>
      <c r="J28" s="432">
        <v>210</v>
      </c>
      <c r="K28" s="432">
        <v>90</v>
      </c>
      <c r="L28" s="432">
        <v>26.6</v>
      </c>
      <c r="M28" s="432">
        <v>15.9</v>
      </c>
      <c r="N28" s="434">
        <v>38.6</v>
      </c>
      <c r="O28" s="414">
        <f t="shared" si="0"/>
        <v>856.2</v>
      </c>
      <c r="P28" s="415">
        <f t="shared" si="1"/>
        <v>71.400000000000006</v>
      </c>
    </row>
    <row r="29" spans="2:16" ht="22.5" customHeight="1">
      <c r="B29" s="61">
        <v>2018</v>
      </c>
      <c r="C29" s="432">
        <v>15</v>
      </c>
      <c r="D29" s="432">
        <v>33.6</v>
      </c>
      <c r="E29" s="432">
        <v>92</v>
      </c>
      <c r="F29" s="432">
        <v>128.1</v>
      </c>
      <c r="G29" s="432">
        <v>104.5</v>
      </c>
      <c r="H29" s="432">
        <v>71</v>
      </c>
      <c r="I29" s="432">
        <v>262.7</v>
      </c>
      <c r="J29" s="432">
        <v>239.6</v>
      </c>
      <c r="K29" s="432">
        <v>158.19999999999999</v>
      </c>
      <c r="L29" s="432">
        <v>154.69999999999999</v>
      </c>
      <c r="M29" s="432">
        <v>46.7</v>
      </c>
      <c r="N29" s="434">
        <v>31.1</v>
      </c>
      <c r="O29" s="414">
        <f t="shared" si="0"/>
        <v>1337.2</v>
      </c>
      <c r="P29" s="415">
        <f t="shared" si="1"/>
        <v>111.4</v>
      </c>
    </row>
    <row r="30" spans="2:16" ht="22.5" customHeight="1">
      <c r="B30" s="61">
        <v>2019</v>
      </c>
      <c r="C30" s="432">
        <v>1.9</v>
      </c>
      <c r="D30" s="432">
        <v>17.8</v>
      </c>
      <c r="E30" s="432">
        <v>18.2</v>
      </c>
      <c r="F30" s="432">
        <v>71.900000000000006</v>
      </c>
      <c r="G30" s="432">
        <v>31.3</v>
      </c>
      <c r="H30" s="432">
        <v>56</v>
      </c>
      <c r="I30" s="432">
        <v>149</v>
      </c>
      <c r="J30" s="432">
        <v>131.30000000000001</v>
      </c>
      <c r="K30" s="432">
        <v>118.7</v>
      </c>
      <c r="L30" s="432">
        <v>63.9</v>
      </c>
      <c r="M30" s="432">
        <v>130.6</v>
      </c>
      <c r="N30" s="434">
        <v>31.3</v>
      </c>
      <c r="O30" s="414">
        <f t="shared" si="0"/>
        <v>821.9</v>
      </c>
      <c r="P30" s="415">
        <f t="shared" si="1"/>
        <v>68.5</v>
      </c>
    </row>
    <row r="31" spans="2:16" ht="22.5" customHeight="1">
      <c r="B31" s="61">
        <v>2020</v>
      </c>
      <c r="C31" s="432">
        <v>49.4</v>
      </c>
      <c r="D31" s="432">
        <v>75.3</v>
      </c>
      <c r="E31" s="432">
        <v>22.8</v>
      </c>
      <c r="F31" s="432">
        <v>16.5</v>
      </c>
      <c r="G31" s="432">
        <v>92.4</v>
      </c>
      <c r="H31" s="432">
        <v>139.69999999999999</v>
      </c>
      <c r="I31" s="432">
        <v>345.9</v>
      </c>
      <c r="J31" s="432">
        <v>321.5</v>
      </c>
      <c r="K31" s="432">
        <v>177.1</v>
      </c>
      <c r="L31" s="432">
        <v>16.2</v>
      </c>
      <c r="M31" s="432">
        <v>35.4</v>
      </c>
      <c r="N31" s="434">
        <v>9.6999999999999993</v>
      </c>
      <c r="O31" s="414">
        <f t="shared" si="0"/>
        <v>1301.9000000000001</v>
      </c>
      <c r="P31" s="415">
        <f t="shared" si="1"/>
        <v>108.5</v>
      </c>
    </row>
    <row r="32" spans="2:16" ht="22.5" customHeight="1">
      <c r="B32" s="61">
        <v>2021</v>
      </c>
      <c r="C32" s="432">
        <v>32</v>
      </c>
      <c r="D32" s="432">
        <v>18.7</v>
      </c>
      <c r="E32" s="432">
        <v>76.099999999999994</v>
      </c>
      <c r="F32" s="432">
        <v>43.4</v>
      </c>
      <c r="G32" s="432">
        <v>110</v>
      </c>
      <c r="H32" s="432">
        <v>55</v>
      </c>
      <c r="I32" s="432">
        <v>131.30000000000001</v>
      </c>
      <c r="J32" s="432">
        <v>253.7</v>
      </c>
      <c r="K32" s="432">
        <v>215.9</v>
      </c>
      <c r="L32" s="432">
        <v>39.6</v>
      </c>
      <c r="M32" s="432">
        <v>117.8</v>
      </c>
      <c r="N32" s="434">
        <v>14.4</v>
      </c>
      <c r="O32" s="414">
        <f t="shared" si="0"/>
        <v>1107.9000000000001</v>
      </c>
      <c r="P32" s="415">
        <f t="shared" si="1"/>
        <v>92.3</v>
      </c>
    </row>
    <row r="33" spans="2:16" ht="22.5" customHeight="1">
      <c r="B33" s="61">
        <v>2022</v>
      </c>
      <c r="C33" s="432">
        <v>8.4</v>
      </c>
      <c r="D33" s="432">
        <v>5.3</v>
      </c>
      <c r="E33" s="432">
        <v>60.9</v>
      </c>
      <c r="F33" s="432">
        <v>34.799999999999997</v>
      </c>
      <c r="G33" s="432">
        <v>5.7</v>
      </c>
      <c r="H33" s="432">
        <v>225</v>
      </c>
      <c r="I33" s="432">
        <v>119.9</v>
      </c>
      <c r="J33" s="432">
        <v>637.1</v>
      </c>
      <c r="K33" s="432">
        <v>102</v>
      </c>
      <c r="L33" s="432">
        <v>112</v>
      </c>
      <c r="M33" s="432">
        <v>23.3</v>
      </c>
      <c r="N33" s="434">
        <v>14</v>
      </c>
      <c r="O33" s="414">
        <f t="shared" si="0"/>
        <v>1348.4</v>
      </c>
      <c r="P33" s="415">
        <f t="shared" si="1"/>
        <v>112.4</v>
      </c>
    </row>
    <row r="34" spans="2:16" ht="22.5" customHeight="1" thickBot="1">
      <c r="B34" s="435">
        <v>2023</v>
      </c>
      <c r="C34" s="436">
        <v>19.2</v>
      </c>
      <c r="D34" s="436">
        <v>0.4</v>
      </c>
      <c r="E34" s="436">
        <v>7.2</v>
      </c>
      <c r="F34" s="436">
        <v>42.4</v>
      </c>
      <c r="G34" s="436">
        <v>190.8</v>
      </c>
      <c r="H34" s="436">
        <v>95.1</v>
      </c>
      <c r="I34" s="436">
        <v>772.2</v>
      </c>
      <c r="J34" s="436">
        <v>107.8</v>
      </c>
      <c r="K34" s="436">
        <v>288.39999999999998</v>
      </c>
      <c r="L34" s="436">
        <v>25.5</v>
      </c>
      <c r="M34" s="436">
        <v>65.2</v>
      </c>
      <c r="N34" s="437">
        <v>110.6</v>
      </c>
      <c r="O34" s="416">
        <f t="shared" si="0"/>
        <v>1724.8</v>
      </c>
      <c r="P34" s="417">
        <f t="shared" si="1"/>
        <v>143.69999999999999</v>
      </c>
    </row>
    <row r="35" spans="2:16" ht="22.5" customHeight="1">
      <c r="B35" s="438" t="s">
        <v>36</v>
      </c>
      <c r="C35" s="439">
        <f>MAX(C5:C34)</f>
        <v>73.3</v>
      </c>
      <c r="D35" s="439">
        <f t="shared" ref="D35:N35" si="2">MAX(D5:D34)</f>
        <v>75.3</v>
      </c>
      <c r="E35" s="439">
        <f t="shared" si="2"/>
        <v>104.5</v>
      </c>
      <c r="F35" s="439">
        <f t="shared" si="2"/>
        <v>169</v>
      </c>
      <c r="G35" s="439">
        <f t="shared" si="2"/>
        <v>203</v>
      </c>
      <c r="H35" s="439">
        <f t="shared" si="2"/>
        <v>318</v>
      </c>
      <c r="I35" s="439">
        <f t="shared" si="2"/>
        <v>772.2</v>
      </c>
      <c r="J35" s="439">
        <f t="shared" si="2"/>
        <v>996.5</v>
      </c>
      <c r="K35" s="439">
        <f t="shared" si="2"/>
        <v>384</v>
      </c>
      <c r="L35" s="439">
        <f t="shared" si="2"/>
        <v>169</v>
      </c>
      <c r="M35" s="439">
        <f t="shared" si="2"/>
        <v>193.5</v>
      </c>
      <c r="N35" s="419">
        <f t="shared" si="2"/>
        <v>110.6</v>
      </c>
      <c r="O35" s="418">
        <f t="shared" ref="O35" si="3">MAX(O5:O34)</f>
        <v>1743</v>
      </c>
      <c r="P35" s="419">
        <f>MAX(P5:P34)</f>
        <v>145.30000000000001</v>
      </c>
    </row>
    <row r="36" spans="2:16" ht="22.5" customHeight="1">
      <c r="B36" s="440" t="s">
        <v>37</v>
      </c>
      <c r="C36" s="441">
        <f>ROUND(MIN(C5:C34),1)</f>
        <v>1.9</v>
      </c>
      <c r="D36" s="441">
        <f t="shared" ref="D36:N36" si="4">ROUND(MIN(D5:D34),1)</f>
        <v>0.4</v>
      </c>
      <c r="E36" s="441">
        <f t="shared" si="4"/>
        <v>7</v>
      </c>
      <c r="F36" s="441">
        <f t="shared" si="4"/>
        <v>16.5</v>
      </c>
      <c r="G36" s="441">
        <f t="shared" si="4"/>
        <v>5.7</v>
      </c>
      <c r="H36" s="441">
        <f t="shared" si="4"/>
        <v>21.1</v>
      </c>
      <c r="I36" s="441">
        <f t="shared" si="4"/>
        <v>94.7</v>
      </c>
      <c r="J36" s="441">
        <f t="shared" si="4"/>
        <v>5.0999999999999996</v>
      </c>
      <c r="K36" s="441">
        <f t="shared" si="4"/>
        <v>10</v>
      </c>
      <c r="L36" s="441">
        <f t="shared" si="4"/>
        <v>4</v>
      </c>
      <c r="M36" s="441">
        <f t="shared" si="4"/>
        <v>5.6</v>
      </c>
      <c r="N36" s="415">
        <f t="shared" si="4"/>
        <v>3.8</v>
      </c>
      <c r="O36" s="420">
        <f>ROUND(MIN(O5:O34),1)</f>
        <v>785.4</v>
      </c>
      <c r="P36" s="421">
        <f>ROUND(MIN(P5:P34),1)</f>
        <v>65.5</v>
      </c>
    </row>
    <row r="37" spans="2:16" ht="22.5" customHeight="1" thickBot="1">
      <c r="B37" s="442" t="s">
        <v>45</v>
      </c>
      <c r="C37" s="443">
        <f>ROUND(AVERAGE(C5:C34),1)</f>
        <v>23.7</v>
      </c>
      <c r="D37" s="443">
        <f t="shared" ref="D37:N37" si="5">ROUND(AVERAGE(D5:D34),1)</f>
        <v>26.9</v>
      </c>
      <c r="E37" s="443">
        <f t="shared" si="5"/>
        <v>43</v>
      </c>
      <c r="F37" s="443">
        <f t="shared" si="5"/>
        <v>70.8</v>
      </c>
      <c r="G37" s="443">
        <f t="shared" si="5"/>
        <v>89.9</v>
      </c>
      <c r="H37" s="443">
        <f t="shared" si="5"/>
        <v>132.5</v>
      </c>
      <c r="I37" s="443">
        <f t="shared" si="5"/>
        <v>262.3</v>
      </c>
      <c r="J37" s="443">
        <f t="shared" si="5"/>
        <v>278.39999999999998</v>
      </c>
      <c r="K37" s="443">
        <f t="shared" si="5"/>
        <v>137.80000000000001</v>
      </c>
      <c r="L37" s="443">
        <f t="shared" si="5"/>
        <v>63</v>
      </c>
      <c r="M37" s="443">
        <f t="shared" si="5"/>
        <v>54</v>
      </c>
      <c r="N37" s="444">
        <f t="shared" si="5"/>
        <v>34.799999999999997</v>
      </c>
      <c r="O37" s="496">
        <f>ROUND(AVERAGE(O5:O34),1)</f>
        <v>1217</v>
      </c>
      <c r="P37" s="423">
        <f>ROUND(AVERAGE(P5:P34),1)</f>
        <v>101.4</v>
      </c>
    </row>
    <row r="38" spans="2:16" ht="21.95" customHeight="1"/>
    <row r="39" spans="2:16" ht="21.95" customHeight="1" thickBot="1"/>
    <row r="40" spans="2:16" ht="34.5" customHeight="1">
      <c r="B40" s="486" t="s">
        <v>40</v>
      </c>
      <c r="C40" s="487" t="s">
        <v>31</v>
      </c>
      <c r="D40" s="487" t="s">
        <v>32</v>
      </c>
      <c r="E40" s="487" t="s">
        <v>33</v>
      </c>
      <c r="F40" s="487" t="s">
        <v>34</v>
      </c>
      <c r="G40" s="487" t="s">
        <v>35</v>
      </c>
      <c r="H40" s="487" t="s">
        <v>12</v>
      </c>
      <c r="I40" s="487" t="s">
        <v>13</v>
      </c>
      <c r="J40" s="487" t="s">
        <v>14</v>
      </c>
      <c r="K40" s="487" t="s">
        <v>15</v>
      </c>
      <c r="L40" s="487" t="s">
        <v>16</v>
      </c>
      <c r="M40" s="487" t="s">
        <v>17</v>
      </c>
      <c r="N40" s="488" t="s">
        <v>18</v>
      </c>
      <c r="O40" s="489" t="s">
        <v>43</v>
      </c>
      <c r="P40" s="488" t="s">
        <v>30</v>
      </c>
    </row>
    <row r="41" spans="2:16" ht="22.5" customHeight="1">
      <c r="B41" s="445">
        <f>B25</f>
        <v>2014</v>
      </c>
      <c r="C41" s="446">
        <f t="shared" ref="C41:N41" si="6">C25</f>
        <v>3.4</v>
      </c>
      <c r="D41" s="446">
        <f t="shared" si="6"/>
        <v>20.5</v>
      </c>
      <c r="E41" s="446">
        <f t="shared" si="6"/>
        <v>56.3</v>
      </c>
      <c r="F41" s="446">
        <f t="shared" si="6"/>
        <v>70</v>
      </c>
      <c r="G41" s="446">
        <f t="shared" si="6"/>
        <v>47.1</v>
      </c>
      <c r="H41" s="446">
        <f t="shared" si="6"/>
        <v>125.8</v>
      </c>
      <c r="I41" s="446">
        <f t="shared" si="6"/>
        <v>104</v>
      </c>
      <c r="J41" s="446">
        <f t="shared" si="6"/>
        <v>168.5</v>
      </c>
      <c r="K41" s="446">
        <f t="shared" si="6"/>
        <v>152</v>
      </c>
      <c r="L41" s="446">
        <f t="shared" si="6"/>
        <v>156</v>
      </c>
      <c r="M41" s="446">
        <f t="shared" si="6"/>
        <v>39.9</v>
      </c>
      <c r="N41" s="421">
        <f t="shared" si="6"/>
        <v>66.599999999999994</v>
      </c>
      <c r="O41" s="420">
        <f>ROUND(SUM(C41:N41),1)</f>
        <v>1010.1</v>
      </c>
      <c r="P41" s="421">
        <f>ROUND(O41/12,1)</f>
        <v>84.2</v>
      </c>
    </row>
    <row r="42" spans="2:16" ht="22.5" customHeight="1">
      <c r="B42" s="445">
        <f t="shared" ref="B42:N42" si="7">B26</f>
        <v>2015</v>
      </c>
      <c r="C42" s="446">
        <f t="shared" si="7"/>
        <v>29.9</v>
      </c>
      <c r="D42" s="446">
        <f t="shared" si="7"/>
        <v>23.4</v>
      </c>
      <c r="E42" s="446">
        <f t="shared" si="7"/>
        <v>30.9</v>
      </c>
      <c r="F42" s="446">
        <f t="shared" si="7"/>
        <v>129.69999999999999</v>
      </c>
      <c r="G42" s="446">
        <f t="shared" si="7"/>
        <v>38.799999999999997</v>
      </c>
      <c r="H42" s="446">
        <f t="shared" si="7"/>
        <v>83.9</v>
      </c>
      <c r="I42" s="446">
        <f t="shared" si="7"/>
        <v>94.7</v>
      </c>
      <c r="J42" s="446">
        <f t="shared" si="7"/>
        <v>30.2</v>
      </c>
      <c r="K42" s="446">
        <f t="shared" si="7"/>
        <v>13.3</v>
      </c>
      <c r="L42" s="446">
        <f t="shared" si="7"/>
        <v>90</v>
      </c>
      <c r="M42" s="446">
        <f t="shared" si="7"/>
        <v>155.6</v>
      </c>
      <c r="N42" s="421">
        <f t="shared" si="7"/>
        <v>65</v>
      </c>
      <c r="O42" s="420">
        <f t="shared" ref="O42:O50" si="8">ROUND(SUM(C42:N42),1)</f>
        <v>785.4</v>
      </c>
      <c r="P42" s="421">
        <f t="shared" ref="P42:P50" si="9">ROUND(O42/12,1)</f>
        <v>65.5</v>
      </c>
    </row>
    <row r="43" spans="2:16" ht="22.5" customHeight="1">
      <c r="B43" s="445">
        <f t="shared" ref="B43:N43" si="10">B27</f>
        <v>2016</v>
      </c>
      <c r="C43" s="446">
        <f t="shared" si="10"/>
        <v>7.8</v>
      </c>
      <c r="D43" s="446">
        <f t="shared" si="10"/>
        <v>54.2</v>
      </c>
      <c r="E43" s="446">
        <f t="shared" si="10"/>
        <v>18.7</v>
      </c>
      <c r="F43" s="446">
        <f t="shared" si="10"/>
        <v>105.1</v>
      </c>
      <c r="G43" s="446">
        <f t="shared" si="10"/>
        <v>146.5</v>
      </c>
      <c r="H43" s="446">
        <f t="shared" si="10"/>
        <v>23.7</v>
      </c>
      <c r="I43" s="446">
        <f t="shared" si="10"/>
        <v>200.2</v>
      </c>
      <c r="J43" s="446">
        <f t="shared" si="10"/>
        <v>5.0999999999999996</v>
      </c>
      <c r="K43" s="446">
        <f t="shared" si="10"/>
        <v>73.400000000000006</v>
      </c>
      <c r="L43" s="446">
        <f t="shared" si="10"/>
        <v>108</v>
      </c>
      <c r="M43" s="446">
        <f t="shared" si="10"/>
        <v>5.6</v>
      </c>
      <c r="N43" s="421">
        <f t="shared" si="10"/>
        <v>44.5</v>
      </c>
      <c r="O43" s="420">
        <f t="shared" si="8"/>
        <v>792.8</v>
      </c>
      <c r="P43" s="421">
        <f t="shared" si="9"/>
        <v>66.099999999999994</v>
      </c>
    </row>
    <row r="44" spans="2:16" ht="22.5" customHeight="1">
      <c r="B44" s="445">
        <f t="shared" ref="B44:N44" si="11">B28</f>
        <v>2017</v>
      </c>
      <c r="C44" s="446">
        <f t="shared" si="11"/>
        <v>14.8</v>
      </c>
      <c r="D44" s="446">
        <f t="shared" si="11"/>
        <v>30.2</v>
      </c>
      <c r="E44" s="446">
        <f t="shared" si="11"/>
        <v>14.4</v>
      </c>
      <c r="F44" s="446">
        <f t="shared" si="11"/>
        <v>57.6</v>
      </c>
      <c r="G44" s="446">
        <f t="shared" si="11"/>
        <v>58.9</v>
      </c>
      <c r="H44" s="446">
        <f t="shared" si="11"/>
        <v>21.1</v>
      </c>
      <c r="I44" s="446">
        <f t="shared" si="11"/>
        <v>278.10000000000002</v>
      </c>
      <c r="J44" s="446">
        <f t="shared" si="11"/>
        <v>210</v>
      </c>
      <c r="K44" s="446">
        <f t="shared" si="11"/>
        <v>90</v>
      </c>
      <c r="L44" s="446">
        <f t="shared" si="11"/>
        <v>26.6</v>
      </c>
      <c r="M44" s="446">
        <f t="shared" si="11"/>
        <v>15.9</v>
      </c>
      <c r="N44" s="421">
        <f t="shared" si="11"/>
        <v>38.6</v>
      </c>
      <c r="O44" s="420">
        <f t="shared" si="8"/>
        <v>856.2</v>
      </c>
      <c r="P44" s="421">
        <f t="shared" si="9"/>
        <v>71.400000000000006</v>
      </c>
    </row>
    <row r="45" spans="2:16" ht="22.5" customHeight="1">
      <c r="B45" s="445">
        <f t="shared" ref="B45:N45" si="12">B29</f>
        <v>2018</v>
      </c>
      <c r="C45" s="446">
        <f t="shared" si="12"/>
        <v>15</v>
      </c>
      <c r="D45" s="446">
        <f t="shared" si="12"/>
        <v>33.6</v>
      </c>
      <c r="E45" s="446">
        <f t="shared" si="12"/>
        <v>92</v>
      </c>
      <c r="F45" s="446">
        <f t="shared" si="12"/>
        <v>128.1</v>
      </c>
      <c r="G45" s="446">
        <f t="shared" si="12"/>
        <v>104.5</v>
      </c>
      <c r="H45" s="446">
        <f t="shared" si="12"/>
        <v>71</v>
      </c>
      <c r="I45" s="446">
        <f t="shared" si="12"/>
        <v>262.7</v>
      </c>
      <c r="J45" s="446">
        <f t="shared" si="12"/>
        <v>239.6</v>
      </c>
      <c r="K45" s="446">
        <f t="shared" si="12"/>
        <v>158.19999999999999</v>
      </c>
      <c r="L45" s="446">
        <f t="shared" si="12"/>
        <v>154.69999999999999</v>
      </c>
      <c r="M45" s="446">
        <f t="shared" si="12"/>
        <v>46.7</v>
      </c>
      <c r="N45" s="421">
        <f t="shared" si="12"/>
        <v>31.1</v>
      </c>
      <c r="O45" s="420">
        <f t="shared" si="8"/>
        <v>1337.2</v>
      </c>
      <c r="P45" s="421">
        <f t="shared" si="9"/>
        <v>111.4</v>
      </c>
    </row>
    <row r="46" spans="2:16" ht="22.5" customHeight="1">
      <c r="B46" s="445">
        <f t="shared" ref="B46:N46" si="13">B30</f>
        <v>2019</v>
      </c>
      <c r="C46" s="446">
        <f t="shared" si="13"/>
        <v>1.9</v>
      </c>
      <c r="D46" s="446">
        <f t="shared" si="13"/>
        <v>17.8</v>
      </c>
      <c r="E46" s="446">
        <f t="shared" si="13"/>
        <v>18.2</v>
      </c>
      <c r="F46" s="446">
        <f t="shared" si="13"/>
        <v>71.900000000000006</v>
      </c>
      <c r="G46" s="446">
        <f t="shared" si="13"/>
        <v>31.3</v>
      </c>
      <c r="H46" s="446">
        <f t="shared" si="13"/>
        <v>56</v>
      </c>
      <c r="I46" s="446">
        <f t="shared" si="13"/>
        <v>149</v>
      </c>
      <c r="J46" s="446">
        <f t="shared" si="13"/>
        <v>131.30000000000001</v>
      </c>
      <c r="K46" s="446">
        <f t="shared" si="13"/>
        <v>118.7</v>
      </c>
      <c r="L46" s="446">
        <f t="shared" si="13"/>
        <v>63.9</v>
      </c>
      <c r="M46" s="446">
        <f t="shared" si="13"/>
        <v>130.6</v>
      </c>
      <c r="N46" s="421">
        <f t="shared" si="13"/>
        <v>31.3</v>
      </c>
      <c r="O46" s="420">
        <f t="shared" si="8"/>
        <v>821.9</v>
      </c>
      <c r="P46" s="421">
        <f t="shared" si="9"/>
        <v>68.5</v>
      </c>
    </row>
    <row r="47" spans="2:16" ht="22.5" customHeight="1">
      <c r="B47" s="445">
        <f t="shared" ref="B47:N47" si="14">B31</f>
        <v>2020</v>
      </c>
      <c r="C47" s="446">
        <f t="shared" si="14"/>
        <v>49.4</v>
      </c>
      <c r="D47" s="446">
        <f t="shared" si="14"/>
        <v>75.3</v>
      </c>
      <c r="E47" s="446">
        <f t="shared" si="14"/>
        <v>22.8</v>
      </c>
      <c r="F47" s="446">
        <f t="shared" si="14"/>
        <v>16.5</v>
      </c>
      <c r="G47" s="446">
        <f t="shared" si="14"/>
        <v>92.4</v>
      </c>
      <c r="H47" s="446">
        <f t="shared" si="14"/>
        <v>139.69999999999999</v>
      </c>
      <c r="I47" s="446">
        <f t="shared" si="14"/>
        <v>345.9</v>
      </c>
      <c r="J47" s="446">
        <f t="shared" si="14"/>
        <v>321.5</v>
      </c>
      <c r="K47" s="446">
        <f t="shared" si="14"/>
        <v>177.1</v>
      </c>
      <c r="L47" s="446">
        <f t="shared" si="14"/>
        <v>16.2</v>
      </c>
      <c r="M47" s="446">
        <f t="shared" si="14"/>
        <v>35.4</v>
      </c>
      <c r="N47" s="421">
        <f t="shared" si="14"/>
        <v>9.6999999999999993</v>
      </c>
      <c r="O47" s="420">
        <f t="shared" si="8"/>
        <v>1301.9000000000001</v>
      </c>
      <c r="P47" s="421">
        <f t="shared" si="9"/>
        <v>108.5</v>
      </c>
    </row>
    <row r="48" spans="2:16" ht="22.5" customHeight="1">
      <c r="B48" s="445">
        <f t="shared" ref="B48:N48" si="15">B32</f>
        <v>2021</v>
      </c>
      <c r="C48" s="446">
        <f t="shared" si="15"/>
        <v>32</v>
      </c>
      <c r="D48" s="446">
        <f t="shared" si="15"/>
        <v>18.7</v>
      </c>
      <c r="E48" s="446">
        <f t="shared" si="15"/>
        <v>76.099999999999994</v>
      </c>
      <c r="F48" s="446">
        <f t="shared" si="15"/>
        <v>43.4</v>
      </c>
      <c r="G48" s="446">
        <f t="shared" si="15"/>
        <v>110</v>
      </c>
      <c r="H48" s="446">
        <f t="shared" si="15"/>
        <v>55</v>
      </c>
      <c r="I48" s="446">
        <f t="shared" si="15"/>
        <v>131.30000000000001</v>
      </c>
      <c r="J48" s="446">
        <f t="shared" si="15"/>
        <v>253.7</v>
      </c>
      <c r="K48" s="446">
        <f t="shared" si="15"/>
        <v>215.9</v>
      </c>
      <c r="L48" s="446">
        <f t="shared" si="15"/>
        <v>39.6</v>
      </c>
      <c r="M48" s="446">
        <f t="shared" si="15"/>
        <v>117.8</v>
      </c>
      <c r="N48" s="421">
        <f t="shared" si="15"/>
        <v>14.4</v>
      </c>
      <c r="O48" s="420">
        <f t="shared" si="8"/>
        <v>1107.9000000000001</v>
      </c>
      <c r="P48" s="421">
        <f t="shared" si="9"/>
        <v>92.3</v>
      </c>
    </row>
    <row r="49" spans="2:16" ht="22.5" customHeight="1">
      <c r="B49" s="445">
        <f t="shared" ref="B49:N49" si="16">B33</f>
        <v>2022</v>
      </c>
      <c r="C49" s="446">
        <f t="shared" si="16"/>
        <v>8.4</v>
      </c>
      <c r="D49" s="446">
        <f t="shared" si="16"/>
        <v>5.3</v>
      </c>
      <c r="E49" s="446">
        <f t="shared" si="16"/>
        <v>60.9</v>
      </c>
      <c r="F49" s="446">
        <f t="shared" si="16"/>
        <v>34.799999999999997</v>
      </c>
      <c r="G49" s="446">
        <f t="shared" si="16"/>
        <v>5.7</v>
      </c>
      <c r="H49" s="446">
        <f t="shared" si="16"/>
        <v>225</v>
      </c>
      <c r="I49" s="446">
        <f t="shared" si="16"/>
        <v>119.9</v>
      </c>
      <c r="J49" s="446">
        <f t="shared" si="16"/>
        <v>637.1</v>
      </c>
      <c r="K49" s="446">
        <f t="shared" si="16"/>
        <v>102</v>
      </c>
      <c r="L49" s="446">
        <f t="shared" si="16"/>
        <v>112</v>
      </c>
      <c r="M49" s="446">
        <f t="shared" si="16"/>
        <v>23.3</v>
      </c>
      <c r="N49" s="421">
        <f t="shared" si="16"/>
        <v>14</v>
      </c>
      <c r="O49" s="420">
        <f t="shared" si="8"/>
        <v>1348.4</v>
      </c>
      <c r="P49" s="421">
        <f t="shared" si="9"/>
        <v>112.4</v>
      </c>
    </row>
    <row r="50" spans="2:16" ht="22.5" customHeight="1" thickBot="1">
      <c r="B50" s="447">
        <f t="shared" ref="B50:N50" si="17">B34</f>
        <v>2023</v>
      </c>
      <c r="C50" s="448">
        <f t="shared" si="17"/>
        <v>19.2</v>
      </c>
      <c r="D50" s="448">
        <f t="shared" si="17"/>
        <v>0.4</v>
      </c>
      <c r="E50" s="448">
        <f>E34</f>
        <v>7.2</v>
      </c>
      <c r="F50" s="448">
        <f t="shared" si="17"/>
        <v>42.4</v>
      </c>
      <c r="G50" s="448">
        <f t="shared" si="17"/>
        <v>190.8</v>
      </c>
      <c r="H50" s="448">
        <f t="shared" si="17"/>
        <v>95.1</v>
      </c>
      <c r="I50" s="448">
        <f t="shared" si="17"/>
        <v>772.2</v>
      </c>
      <c r="J50" s="448">
        <f t="shared" si="17"/>
        <v>107.8</v>
      </c>
      <c r="K50" s="448">
        <f t="shared" si="17"/>
        <v>288.39999999999998</v>
      </c>
      <c r="L50" s="448">
        <f t="shared" si="17"/>
        <v>25.5</v>
      </c>
      <c r="M50" s="448">
        <f t="shared" si="17"/>
        <v>65.2</v>
      </c>
      <c r="N50" s="423">
        <f t="shared" si="17"/>
        <v>110.6</v>
      </c>
      <c r="O50" s="422">
        <f t="shared" si="8"/>
        <v>1724.8</v>
      </c>
      <c r="P50" s="423">
        <f t="shared" si="9"/>
        <v>143.69999999999999</v>
      </c>
    </row>
    <row r="51" spans="2:16" ht="22.5" customHeight="1">
      <c r="B51" s="449" t="s">
        <v>46</v>
      </c>
      <c r="C51" s="450">
        <f>MAX(C41:C50)</f>
        <v>49.4</v>
      </c>
      <c r="D51" s="450">
        <f t="shared" ref="D51:P51" si="18">MAX(D41:D50)</f>
        <v>75.3</v>
      </c>
      <c r="E51" s="450">
        <f t="shared" si="18"/>
        <v>92</v>
      </c>
      <c r="F51" s="450">
        <f t="shared" si="18"/>
        <v>129.69999999999999</v>
      </c>
      <c r="G51" s="450">
        <f t="shared" si="18"/>
        <v>190.8</v>
      </c>
      <c r="H51" s="450">
        <f t="shared" si="18"/>
        <v>225</v>
      </c>
      <c r="I51" s="450">
        <f t="shared" si="18"/>
        <v>772.2</v>
      </c>
      <c r="J51" s="450">
        <f t="shared" si="18"/>
        <v>637.1</v>
      </c>
      <c r="K51" s="450">
        <f t="shared" si="18"/>
        <v>288.39999999999998</v>
      </c>
      <c r="L51" s="450">
        <f t="shared" si="18"/>
        <v>156</v>
      </c>
      <c r="M51" s="450">
        <f t="shared" si="18"/>
        <v>155.6</v>
      </c>
      <c r="N51" s="425">
        <f t="shared" si="18"/>
        <v>110.6</v>
      </c>
      <c r="O51" s="424">
        <f t="shared" si="18"/>
        <v>1724.8</v>
      </c>
      <c r="P51" s="425">
        <f t="shared" si="18"/>
        <v>143.69999999999999</v>
      </c>
    </row>
    <row r="52" spans="2:16" ht="22.5" customHeight="1">
      <c r="B52" s="445" t="s">
        <v>47</v>
      </c>
      <c r="C52" s="446">
        <f>MIN(C41:C50)</f>
        <v>1.9</v>
      </c>
      <c r="D52" s="446">
        <f t="shared" ref="D52:P52" si="19">MIN(D41:D50)</f>
        <v>0.4</v>
      </c>
      <c r="E52" s="446">
        <f t="shared" si="19"/>
        <v>7.2</v>
      </c>
      <c r="F52" s="446">
        <f t="shared" si="19"/>
        <v>16.5</v>
      </c>
      <c r="G52" s="446">
        <f t="shared" si="19"/>
        <v>5.7</v>
      </c>
      <c r="H52" s="446">
        <f t="shared" si="19"/>
        <v>21.1</v>
      </c>
      <c r="I52" s="446">
        <f t="shared" si="19"/>
        <v>94.7</v>
      </c>
      <c r="J52" s="446">
        <f t="shared" si="19"/>
        <v>5.0999999999999996</v>
      </c>
      <c r="K52" s="446">
        <f t="shared" si="19"/>
        <v>13.3</v>
      </c>
      <c r="L52" s="446">
        <f t="shared" si="19"/>
        <v>16.2</v>
      </c>
      <c r="M52" s="446">
        <f t="shared" si="19"/>
        <v>5.6</v>
      </c>
      <c r="N52" s="421">
        <f t="shared" si="19"/>
        <v>9.6999999999999993</v>
      </c>
      <c r="O52" s="420">
        <f>MIN(O41:O50)</f>
        <v>785.4</v>
      </c>
      <c r="P52" s="421">
        <f t="shared" si="19"/>
        <v>65.5</v>
      </c>
    </row>
    <row r="53" spans="2:16" ht="22.5" customHeight="1" thickBot="1">
      <c r="B53" s="447" t="s">
        <v>30</v>
      </c>
      <c r="C53" s="448">
        <f>ROUND(AVERAGE(C41:C50),1)</f>
        <v>18.2</v>
      </c>
      <c r="D53" s="448">
        <f t="shared" ref="D53:N53" si="20">ROUND(AVERAGE(D41:D50),1)</f>
        <v>27.9</v>
      </c>
      <c r="E53" s="448">
        <f t="shared" si="20"/>
        <v>39.799999999999997</v>
      </c>
      <c r="F53" s="448">
        <f t="shared" si="20"/>
        <v>70</v>
      </c>
      <c r="G53" s="448">
        <f t="shared" si="20"/>
        <v>82.6</v>
      </c>
      <c r="H53" s="448">
        <f t="shared" si="20"/>
        <v>89.6</v>
      </c>
      <c r="I53" s="448">
        <f t="shared" si="20"/>
        <v>245.8</v>
      </c>
      <c r="J53" s="448">
        <f t="shared" si="20"/>
        <v>210.5</v>
      </c>
      <c r="K53" s="448">
        <f t="shared" si="20"/>
        <v>138.9</v>
      </c>
      <c r="L53" s="448">
        <f t="shared" si="20"/>
        <v>79.3</v>
      </c>
      <c r="M53" s="448">
        <f t="shared" si="20"/>
        <v>63.6</v>
      </c>
      <c r="N53" s="423">
        <f t="shared" si="20"/>
        <v>42.6</v>
      </c>
      <c r="O53" s="496">
        <f>ROUND(AVERAGE(O41:O50),1)</f>
        <v>1108.7</v>
      </c>
      <c r="P53" s="423">
        <f>ROUND(AVERAGE(P41:P50),1)</f>
        <v>92.4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autoPict="0" r:id="rId5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3</xdr:row>
                <xdr:rowOff>361950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209550</xdr:colOff>
                <xdr:row>4</xdr:row>
                <xdr:rowOff>0</xdr:rowOff>
              </from>
              <to>
                <xdr:col>17</xdr:col>
                <xdr:colOff>895350</xdr:colOff>
                <xdr:row>5</xdr:row>
                <xdr:rowOff>66675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9" workbookViewId="0">
      <selection activeCell="R56" sqref="R56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 ht="24" customHeight="1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1994</v>
      </c>
      <c r="C3" s="75">
        <f>All!C5</f>
        <v>17.899999999999999</v>
      </c>
      <c r="D3" s="75">
        <f>All!D5</f>
        <v>6</v>
      </c>
      <c r="E3" s="75">
        <f>All!E5</f>
        <v>58.2</v>
      </c>
      <c r="F3" s="75">
        <f>All!F5</f>
        <v>51.5</v>
      </c>
      <c r="G3" s="75">
        <f>All!G5</f>
        <v>135.5</v>
      </c>
      <c r="H3" s="75">
        <f>All!H5</f>
        <v>207</v>
      </c>
      <c r="I3" s="75">
        <f>All!I5</f>
        <v>137</v>
      </c>
      <c r="J3" s="75">
        <f>All!J5</f>
        <v>443.5</v>
      </c>
      <c r="K3" s="75">
        <f>All!K5</f>
        <v>21</v>
      </c>
      <c r="L3" s="75">
        <f>All!L5</f>
        <v>155</v>
      </c>
      <c r="M3" s="75">
        <f>All!M5</f>
        <v>17.5</v>
      </c>
      <c r="N3" s="75">
        <f>All!N5</f>
        <v>18.899999999999999</v>
      </c>
      <c r="O3" s="75">
        <f>All!O5</f>
        <v>1269</v>
      </c>
      <c r="P3" s="76">
        <f>All!P5</f>
        <v>105.8</v>
      </c>
    </row>
    <row r="4" spans="2:16">
      <c r="B4" s="74">
        <f>All!B6</f>
        <v>1995</v>
      </c>
      <c r="C4" s="75">
        <f>All!C6</f>
        <v>15.7</v>
      </c>
      <c r="D4" s="75">
        <f>All!D6</f>
        <v>11</v>
      </c>
      <c r="E4" s="75">
        <f>All!E6</f>
        <v>19.600000000000001</v>
      </c>
      <c r="F4" s="75">
        <f>All!F6</f>
        <v>65.5</v>
      </c>
      <c r="G4" s="75">
        <f>All!G6</f>
        <v>49.5</v>
      </c>
      <c r="H4" s="75">
        <f>All!H6</f>
        <v>26.5</v>
      </c>
      <c r="I4" s="75">
        <f>All!I6</f>
        <v>144.5</v>
      </c>
      <c r="J4" s="75">
        <f>All!J6</f>
        <v>996.5</v>
      </c>
      <c r="K4" s="75">
        <f>All!K6</f>
        <v>70.5</v>
      </c>
      <c r="L4" s="75">
        <f>All!L6</f>
        <v>24.5</v>
      </c>
      <c r="M4" s="75">
        <f>All!M6</f>
        <v>23</v>
      </c>
      <c r="N4" s="75">
        <f>All!N6</f>
        <v>12.7</v>
      </c>
      <c r="O4" s="75">
        <f>All!O6</f>
        <v>1459.5</v>
      </c>
      <c r="P4" s="76">
        <f>All!P6</f>
        <v>121.6</v>
      </c>
    </row>
    <row r="5" spans="2:16">
      <c r="B5" s="74">
        <f>All!B7</f>
        <v>1996</v>
      </c>
      <c r="C5" s="75">
        <f>All!C7</f>
        <v>33.4</v>
      </c>
      <c r="D5" s="75">
        <f>All!D7</f>
        <v>6.8</v>
      </c>
      <c r="E5" s="75">
        <f>All!E7</f>
        <v>104.5</v>
      </c>
      <c r="F5" s="75">
        <f>All!F7</f>
        <v>34</v>
      </c>
      <c r="G5" s="75">
        <f>All!G7</f>
        <v>22.5</v>
      </c>
      <c r="H5" s="75">
        <f>All!H7</f>
        <v>235</v>
      </c>
      <c r="I5" s="75">
        <f>All!I7</f>
        <v>192.5</v>
      </c>
      <c r="J5" s="75">
        <f>All!J7</f>
        <v>44.5</v>
      </c>
      <c r="K5" s="75">
        <f>All!K7</f>
        <v>14</v>
      </c>
      <c r="L5" s="75">
        <f>All!L7</f>
        <v>106.5</v>
      </c>
      <c r="M5" s="75">
        <f>All!M7</f>
        <v>74.2</v>
      </c>
      <c r="N5" s="75">
        <f>All!N7</f>
        <v>31.7</v>
      </c>
      <c r="O5" s="75">
        <f>All!O7</f>
        <v>899.6</v>
      </c>
      <c r="P5" s="76">
        <f>All!P7</f>
        <v>75</v>
      </c>
    </row>
    <row r="6" spans="2:16">
      <c r="B6" s="74">
        <f>All!B8</f>
        <v>1997</v>
      </c>
      <c r="C6" s="75">
        <f>All!C8</f>
        <v>15.1</v>
      </c>
      <c r="D6" s="75">
        <f>All!D8</f>
        <v>38.4</v>
      </c>
      <c r="E6" s="75">
        <f>All!E8</f>
        <v>30.5</v>
      </c>
      <c r="F6" s="75">
        <f>All!F8</f>
        <v>57.5</v>
      </c>
      <c r="G6" s="75">
        <f>All!G8</f>
        <v>203</v>
      </c>
      <c r="H6" s="75">
        <f>All!H8</f>
        <v>272</v>
      </c>
      <c r="I6" s="75">
        <f>All!I8</f>
        <v>353.5</v>
      </c>
      <c r="J6" s="75">
        <f>All!J8</f>
        <v>211.5</v>
      </c>
      <c r="K6" s="75">
        <f>All!K8</f>
        <v>23</v>
      </c>
      <c r="L6" s="75">
        <f>All!L8</f>
        <v>10</v>
      </c>
      <c r="M6" s="75">
        <f>All!M8</f>
        <v>193.5</v>
      </c>
      <c r="N6" s="75">
        <f>All!N8</f>
        <v>34.299999999999997</v>
      </c>
      <c r="O6" s="75">
        <f>All!O8</f>
        <v>1442.3</v>
      </c>
      <c r="P6" s="76">
        <f>All!P8</f>
        <v>120.2</v>
      </c>
    </row>
    <row r="7" spans="2:16">
      <c r="B7" s="74">
        <f>All!B9</f>
        <v>1998</v>
      </c>
      <c r="C7" s="75">
        <f>All!C9</f>
        <v>29.9</v>
      </c>
      <c r="D7" s="75">
        <f>All!D9</f>
        <v>40.200000000000003</v>
      </c>
      <c r="E7" s="75">
        <f>All!E9</f>
        <v>30.5</v>
      </c>
      <c r="F7" s="75">
        <f>All!F9</f>
        <v>138</v>
      </c>
      <c r="G7" s="75">
        <f>All!G9</f>
        <v>100</v>
      </c>
      <c r="H7" s="75">
        <f>All!H9</f>
        <v>209.5</v>
      </c>
      <c r="I7" s="75">
        <f>All!I9</f>
        <v>263</v>
      </c>
      <c r="J7" s="75">
        <f>All!J9</f>
        <v>341.7</v>
      </c>
      <c r="K7" s="75">
        <f>All!K9</f>
        <v>150.30000000000001</v>
      </c>
      <c r="L7" s="75">
        <f>All!L9</f>
        <v>61</v>
      </c>
      <c r="M7" s="75">
        <f>All!M9</f>
        <v>29.3</v>
      </c>
      <c r="N7" s="75">
        <f>All!N9</f>
        <v>3.8</v>
      </c>
      <c r="O7" s="75">
        <f>All!O9</f>
        <v>1397.2</v>
      </c>
      <c r="P7" s="76">
        <f>All!P9</f>
        <v>116.4</v>
      </c>
    </row>
    <row r="8" spans="2:16">
      <c r="B8" s="74">
        <f>All!B10</f>
        <v>1999</v>
      </c>
      <c r="C8" s="75">
        <f>All!C10</f>
        <v>7.9</v>
      </c>
      <c r="D8" s="75">
        <f>All!D10</f>
        <v>9.5</v>
      </c>
      <c r="E8" s="75">
        <f>All!E10</f>
        <v>71</v>
      </c>
      <c r="F8" s="75">
        <f>All!F10</f>
        <v>88.5</v>
      </c>
      <c r="G8" s="75">
        <f>All!G10</f>
        <v>124.5</v>
      </c>
      <c r="H8" s="75">
        <f>All!H10</f>
        <v>192.5</v>
      </c>
      <c r="I8" s="75">
        <f>All!I10</f>
        <v>98</v>
      </c>
      <c r="J8" s="75">
        <f>All!J10</f>
        <v>180</v>
      </c>
      <c r="K8" s="75">
        <f>All!K10</f>
        <v>292.5</v>
      </c>
      <c r="L8" s="75">
        <f>All!L10</f>
        <v>169</v>
      </c>
      <c r="M8" s="75">
        <f>All!M10</f>
        <v>24.9</v>
      </c>
      <c r="N8" s="75">
        <f>All!N10</f>
        <v>25.8</v>
      </c>
      <c r="O8" s="75">
        <f>All!O10</f>
        <v>1284.0999999999999</v>
      </c>
      <c r="P8" s="76">
        <f>All!P10</f>
        <v>107</v>
      </c>
    </row>
    <row r="9" spans="2:16">
      <c r="B9" s="74">
        <f>All!B11</f>
        <v>2000</v>
      </c>
      <c r="C9" s="75">
        <f>All!C11</f>
        <v>42.1</v>
      </c>
      <c r="D9" s="75">
        <f>All!D11</f>
        <v>3.2</v>
      </c>
      <c r="E9" s="75">
        <f>All!E11</f>
        <v>7</v>
      </c>
      <c r="F9" s="75">
        <f>All!F11</f>
        <v>35</v>
      </c>
      <c r="G9" s="75">
        <f>All!G11</f>
        <v>53.5</v>
      </c>
      <c r="H9" s="75">
        <f>All!H11</f>
        <v>159.5</v>
      </c>
      <c r="I9" s="75">
        <f>All!I11</f>
        <v>155</v>
      </c>
      <c r="J9" s="75">
        <f>All!J11</f>
        <v>701.5</v>
      </c>
      <c r="K9" s="75">
        <f>All!K11</f>
        <v>241</v>
      </c>
      <c r="L9" s="75">
        <f>All!L11</f>
        <v>46</v>
      </c>
      <c r="M9" s="75">
        <f>All!M11</f>
        <v>39.5</v>
      </c>
      <c r="N9" s="75">
        <f>All!N11</f>
        <v>32.1</v>
      </c>
      <c r="O9" s="75">
        <f>All!O11</f>
        <v>1515.4</v>
      </c>
      <c r="P9" s="76">
        <f>All!P11</f>
        <v>126.3</v>
      </c>
    </row>
    <row r="10" spans="2:16">
      <c r="B10" s="74">
        <f>All!B12</f>
        <v>2001</v>
      </c>
      <c r="C10" s="75">
        <f>All!C12</f>
        <v>73.3</v>
      </c>
      <c r="D10" s="75">
        <f>All!D12</f>
        <v>46</v>
      </c>
      <c r="E10" s="75">
        <f>All!E12</f>
        <v>15.9</v>
      </c>
      <c r="F10" s="75">
        <f>All!F12</f>
        <v>26</v>
      </c>
      <c r="G10" s="75">
        <f>All!G12</f>
        <v>17</v>
      </c>
      <c r="H10" s="75">
        <f>All!H12</f>
        <v>129</v>
      </c>
      <c r="I10" s="75">
        <f>All!I12</f>
        <v>286.5</v>
      </c>
      <c r="J10" s="75">
        <f>All!J12</f>
        <v>170</v>
      </c>
      <c r="K10" s="75">
        <f>All!K12</f>
        <v>10</v>
      </c>
      <c r="L10" s="75">
        <f>All!L12</f>
        <v>85</v>
      </c>
      <c r="M10" s="75">
        <f>All!M12</f>
        <v>13</v>
      </c>
      <c r="N10" s="75">
        <f>All!N12</f>
        <v>32</v>
      </c>
      <c r="O10" s="75">
        <f>All!O12</f>
        <v>903.7</v>
      </c>
      <c r="P10" s="76">
        <f>All!P12</f>
        <v>75.3</v>
      </c>
    </row>
    <row r="11" spans="2:16">
      <c r="B11" s="74">
        <f>All!B13</f>
        <v>2002</v>
      </c>
      <c r="C11" s="75">
        <f>All!C13</f>
        <v>50.8</v>
      </c>
      <c r="D11" s="75">
        <f>All!D13</f>
        <v>5.5</v>
      </c>
      <c r="E11" s="75">
        <f>All!E13</f>
        <v>32</v>
      </c>
      <c r="F11" s="75">
        <f>All!F13</f>
        <v>169</v>
      </c>
      <c r="G11" s="75">
        <f>All!G13</f>
        <v>155.5</v>
      </c>
      <c r="H11" s="75">
        <f>All!H13</f>
        <v>72</v>
      </c>
      <c r="I11" s="75">
        <f>All!I13</f>
        <v>217.5</v>
      </c>
      <c r="J11" s="75">
        <f>All!J13</f>
        <v>477</v>
      </c>
      <c r="K11" s="75">
        <f>All!K13</f>
        <v>27</v>
      </c>
      <c r="L11" s="75">
        <f>All!L13</f>
        <v>134</v>
      </c>
      <c r="M11" s="75">
        <f>All!M13</f>
        <v>61.1</v>
      </c>
      <c r="N11" s="75">
        <f>All!N13</f>
        <v>51.8</v>
      </c>
      <c r="O11" s="75">
        <f>All!O13</f>
        <v>1453.2</v>
      </c>
      <c r="P11" s="76">
        <f>All!P13</f>
        <v>121.1</v>
      </c>
    </row>
    <row r="12" spans="2:16">
      <c r="B12" s="74">
        <f>All!B14</f>
        <v>2003</v>
      </c>
      <c r="C12" s="75">
        <f>All!C14</f>
        <v>30.7</v>
      </c>
      <c r="D12" s="75">
        <f>All!D14</f>
        <v>44.5</v>
      </c>
      <c r="E12" s="75">
        <f>All!E14</f>
        <v>39.5</v>
      </c>
      <c r="F12" s="75">
        <f>All!F14</f>
        <v>168.5</v>
      </c>
      <c r="G12" s="75">
        <f>All!G14</f>
        <v>78.5</v>
      </c>
      <c r="H12" s="75">
        <f>All!H14</f>
        <v>153</v>
      </c>
      <c r="I12" s="75">
        <f>All!I14</f>
        <v>309.5</v>
      </c>
      <c r="J12" s="75">
        <f>All!J14</f>
        <v>310</v>
      </c>
      <c r="K12" s="75">
        <f>All!K14</f>
        <v>128</v>
      </c>
      <c r="L12" s="75">
        <f>All!L14</f>
        <v>23</v>
      </c>
      <c r="M12" s="75">
        <f>All!M14</f>
        <v>45.5</v>
      </c>
      <c r="N12" s="75">
        <f>All!N14</f>
        <v>13</v>
      </c>
      <c r="O12" s="75">
        <f>All!O14</f>
        <v>1343.7</v>
      </c>
      <c r="P12" s="76">
        <f>All!P14</f>
        <v>112</v>
      </c>
    </row>
    <row r="13" spans="2:16">
      <c r="B13" s="74">
        <f>All!B15</f>
        <v>2004</v>
      </c>
      <c r="C13" s="75">
        <f>All!C15</f>
        <v>22.1</v>
      </c>
      <c r="D13" s="75">
        <f>All!D15</f>
        <v>28.5</v>
      </c>
      <c r="E13" s="75">
        <f>All!E15</f>
        <v>45.7</v>
      </c>
      <c r="F13" s="75">
        <f>All!F15</f>
        <v>58</v>
      </c>
      <c r="G13" s="75">
        <f>All!G15</f>
        <v>105.5</v>
      </c>
      <c r="H13" s="75">
        <f>All!H15</f>
        <v>234.5</v>
      </c>
      <c r="I13" s="75">
        <f>All!I15</f>
        <v>263.5</v>
      </c>
      <c r="J13" s="75">
        <f>All!J15</f>
        <v>164</v>
      </c>
      <c r="K13" s="75">
        <f>All!K15</f>
        <v>195</v>
      </c>
      <c r="L13" s="75">
        <f>All!L15</f>
        <v>4</v>
      </c>
      <c r="M13" s="75">
        <f>All!M15</f>
        <v>56.5</v>
      </c>
      <c r="N13" s="75">
        <f>All!N15</f>
        <v>38.9</v>
      </c>
      <c r="O13" s="75">
        <f>All!O15</f>
        <v>1216.2</v>
      </c>
      <c r="P13" s="76">
        <f>All!P15</f>
        <v>101.4</v>
      </c>
    </row>
    <row r="14" spans="2:16">
      <c r="B14" s="74">
        <f>All!B16</f>
        <v>2005</v>
      </c>
      <c r="C14" s="75">
        <f>All!C16</f>
        <v>5.8</v>
      </c>
      <c r="D14" s="75">
        <f>All!D16</f>
        <v>35.799999999999997</v>
      </c>
      <c r="E14" s="75">
        <f>All!E16</f>
        <v>30</v>
      </c>
      <c r="F14" s="75">
        <f>All!F16</f>
        <v>73.5</v>
      </c>
      <c r="G14" s="75">
        <f>All!G16</f>
        <v>48.5</v>
      </c>
      <c r="H14" s="75">
        <f>All!H16</f>
        <v>156</v>
      </c>
      <c r="I14" s="75">
        <f>All!I16</f>
        <v>260.5</v>
      </c>
      <c r="J14" s="75">
        <f>All!J16</f>
        <v>291.5</v>
      </c>
      <c r="K14" s="75">
        <f>All!K16</f>
        <v>282.5</v>
      </c>
      <c r="L14" s="75">
        <f>All!L16</f>
        <v>21</v>
      </c>
      <c r="M14" s="75">
        <f>All!M16</f>
        <v>18</v>
      </c>
      <c r="N14" s="75">
        <f>All!N16</f>
        <v>43.4</v>
      </c>
      <c r="O14" s="75">
        <f>All!O16</f>
        <v>1266.5</v>
      </c>
      <c r="P14" s="76">
        <f>All!P16</f>
        <v>105.5</v>
      </c>
    </row>
    <row r="15" spans="2:16">
      <c r="B15" s="74">
        <f>All!B17</f>
        <v>2006</v>
      </c>
      <c r="C15" s="75">
        <f>All!C17</f>
        <v>27</v>
      </c>
      <c r="D15" s="75">
        <f>All!D17</f>
        <v>25.9</v>
      </c>
      <c r="E15" s="75">
        <f>All!E17</f>
        <v>10.6</v>
      </c>
      <c r="F15" s="75">
        <f>All!F17</f>
        <v>81.5</v>
      </c>
      <c r="G15" s="75">
        <f>All!G17</f>
        <v>94.5</v>
      </c>
      <c r="H15" s="75">
        <f>All!H17</f>
        <v>114.5</v>
      </c>
      <c r="I15" s="75">
        <f>All!I17</f>
        <v>321</v>
      </c>
      <c r="J15" s="75">
        <f>All!J17</f>
        <v>21.5</v>
      </c>
      <c r="K15" s="75">
        <f>All!K17</f>
        <v>23.5</v>
      </c>
      <c r="L15" s="75">
        <f>All!L17</f>
        <v>24.5</v>
      </c>
      <c r="M15" s="75">
        <f>All!M17</f>
        <v>61.5</v>
      </c>
      <c r="N15" s="75">
        <f>All!N17</f>
        <v>25.4</v>
      </c>
      <c r="O15" s="75">
        <f>All!O17</f>
        <v>831.4</v>
      </c>
      <c r="P15" s="76">
        <f>All!P17</f>
        <v>69.3</v>
      </c>
    </row>
    <row r="16" spans="2:16">
      <c r="B16" s="74">
        <f>All!B18</f>
        <v>2007</v>
      </c>
      <c r="C16" s="75">
        <f>All!C18</f>
        <v>23.4</v>
      </c>
      <c r="D16" s="75">
        <f>All!D18</f>
        <v>29.8</v>
      </c>
      <c r="E16" s="75">
        <f>All!E18</f>
        <v>102</v>
      </c>
      <c r="F16" s="75">
        <f>All!F18</f>
        <v>29.5</v>
      </c>
      <c r="G16" s="75">
        <f>All!G18</f>
        <v>79</v>
      </c>
      <c r="H16" s="75">
        <f>All!H18</f>
        <v>85</v>
      </c>
      <c r="I16" s="75">
        <f>All!I18</f>
        <v>214</v>
      </c>
      <c r="J16" s="75">
        <f>All!J18</f>
        <v>239.5</v>
      </c>
      <c r="K16" s="75">
        <f>All!K18</f>
        <v>384</v>
      </c>
      <c r="L16" s="75">
        <f>All!L18</f>
        <v>59</v>
      </c>
      <c r="M16" s="75">
        <f>All!M18</f>
        <v>17.5</v>
      </c>
      <c r="N16" s="75">
        <f>All!N18</f>
        <v>33.1</v>
      </c>
      <c r="O16" s="75">
        <f>All!O18</f>
        <v>1295.8</v>
      </c>
      <c r="P16" s="76">
        <f>All!P18</f>
        <v>108</v>
      </c>
    </row>
    <row r="17" spans="2:16">
      <c r="B17" s="74">
        <f>All!B19</f>
        <v>2008</v>
      </c>
      <c r="C17" s="75">
        <f>All!C19</f>
        <v>20.9</v>
      </c>
      <c r="D17" s="75">
        <f>All!D19</f>
        <v>10.8</v>
      </c>
      <c r="E17" s="75">
        <f>All!E19</f>
        <v>48.2</v>
      </c>
      <c r="F17" s="75">
        <f>All!F19</f>
        <v>40.5</v>
      </c>
      <c r="G17" s="75">
        <f>All!G19</f>
        <v>78.900000000000006</v>
      </c>
      <c r="H17" s="75">
        <f>All!H19</f>
        <v>101.3</v>
      </c>
      <c r="I17" s="75">
        <f>All!I19</f>
        <v>257.2</v>
      </c>
      <c r="J17" s="75">
        <f>All!J19</f>
        <v>119.5</v>
      </c>
      <c r="K17" s="75">
        <f>All!K19</f>
        <v>46.9</v>
      </c>
      <c r="L17" s="75">
        <f>All!L19</f>
        <v>26.7</v>
      </c>
      <c r="M17" s="75">
        <f>All!M19</f>
        <v>37.6</v>
      </c>
      <c r="N17" s="75">
        <f>All!N19</f>
        <v>25</v>
      </c>
      <c r="O17" s="75">
        <f>All!O19</f>
        <v>813.5</v>
      </c>
      <c r="P17" s="76">
        <f>All!P19</f>
        <v>67.8</v>
      </c>
    </row>
    <row r="18" spans="2:16">
      <c r="B18" s="74">
        <f>All!B20</f>
        <v>2009</v>
      </c>
      <c r="C18" s="75">
        <f>All!C20</f>
        <v>18.5</v>
      </c>
      <c r="D18" s="75">
        <f>All!D20</f>
        <v>23.3</v>
      </c>
      <c r="E18" s="75">
        <f>All!E20</f>
        <v>55.1</v>
      </c>
      <c r="F18" s="75">
        <f>All!F20</f>
        <v>41.5</v>
      </c>
      <c r="G18" s="75">
        <f>All!G20</f>
        <v>154.5</v>
      </c>
      <c r="H18" s="75">
        <f>All!H20</f>
        <v>115.1</v>
      </c>
      <c r="I18" s="75">
        <f>All!I20</f>
        <v>320.89999999999998</v>
      </c>
      <c r="J18" s="75">
        <f>All!J20</f>
        <v>176.6</v>
      </c>
      <c r="K18" s="75">
        <f>All!K20</f>
        <v>25.5</v>
      </c>
      <c r="L18" s="75">
        <f>All!L20</f>
        <v>39.5</v>
      </c>
      <c r="M18" s="75">
        <f>All!M20</f>
        <v>52.9</v>
      </c>
      <c r="N18" s="75">
        <f>All!N20</f>
        <v>58</v>
      </c>
      <c r="O18" s="75">
        <f>All!O20</f>
        <v>1081.4000000000001</v>
      </c>
      <c r="P18" s="76">
        <f>All!P20</f>
        <v>90.1</v>
      </c>
    </row>
    <row r="19" spans="2:16">
      <c r="B19" s="74">
        <f>All!B21</f>
        <v>2010</v>
      </c>
      <c r="C19" s="75">
        <f>All!C21</f>
        <v>30.1</v>
      </c>
      <c r="D19" s="75">
        <f>All!D21</f>
        <v>73.5</v>
      </c>
      <c r="E19" s="75">
        <f>All!E21</f>
        <v>75.900000000000006</v>
      </c>
      <c r="F19" s="75">
        <f>All!F21</f>
        <v>58.5</v>
      </c>
      <c r="G19" s="75">
        <f>All!G21</f>
        <v>122.8</v>
      </c>
      <c r="H19" s="75">
        <f>All!H21</f>
        <v>60.8</v>
      </c>
      <c r="I19" s="75">
        <f>All!I21</f>
        <v>396.5</v>
      </c>
      <c r="J19" s="75">
        <f>All!J21</f>
        <v>402.7</v>
      </c>
      <c r="K19" s="75">
        <f>All!K21</f>
        <v>213.1</v>
      </c>
      <c r="L19" s="75">
        <f>All!L21</f>
        <v>19.2</v>
      </c>
      <c r="M19" s="75">
        <f>All!M21</f>
        <v>16.3</v>
      </c>
      <c r="N19" s="75">
        <f>All!N21</f>
        <v>32.9</v>
      </c>
      <c r="O19" s="75">
        <f>All!O21</f>
        <v>1502.3</v>
      </c>
      <c r="P19" s="76">
        <f>All!P21</f>
        <v>125.2</v>
      </c>
    </row>
    <row r="20" spans="2:16">
      <c r="B20" s="74">
        <f>All!B22</f>
        <v>2011</v>
      </c>
      <c r="C20" s="75">
        <f>All!C22</f>
        <v>11.1</v>
      </c>
      <c r="D20" s="75">
        <f>All!D22</f>
        <v>37.5</v>
      </c>
      <c r="E20" s="75">
        <f>All!E22</f>
        <v>18</v>
      </c>
      <c r="F20" s="75">
        <f>All!F22</f>
        <v>72.099999999999994</v>
      </c>
      <c r="G20" s="75">
        <f>All!G22</f>
        <v>115.3</v>
      </c>
      <c r="H20" s="75">
        <f>All!H22</f>
        <v>318</v>
      </c>
      <c r="I20" s="75">
        <f>All!I22</f>
        <v>723.1</v>
      </c>
      <c r="J20" s="75">
        <f>All!J22</f>
        <v>289.39999999999998</v>
      </c>
      <c r="K20" s="75">
        <f>All!K22</f>
        <v>70.8</v>
      </c>
      <c r="L20" s="75">
        <f>All!L22</f>
        <v>13.9</v>
      </c>
      <c r="M20" s="75">
        <f>All!M22</f>
        <v>61.3</v>
      </c>
      <c r="N20" s="75">
        <f>All!N22</f>
        <v>12.5</v>
      </c>
      <c r="O20" s="75">
        <f>All!O22</f>
        <v>1743</v>
      </c>
      <c r="P20" s="76">
        <f>All!P22</f>
        <v>145.30000000000001</v>
      </c>
    </row>
    <row r="21" spans="2:16">
      <c r="B21" s="74">
        <f>All!B23</f>
        <v>2012</v>
      </c>
      <c r="C21" s="75">
        <f>All!C23</f>
        <v>24.2</v>
      </c>
      <c r="D21" s="75">
        <f>All!D23</f>
        <v>9.1999999999999993</v>
      </c>
      <c r="E21" s="75">
        <f>All!E23</f>
        <v>45</v>
      </c>
      <c r="F21" s="75">
        <f>All!F23</f>
        <v>68.900000000000006</v>
      </c>
      <c r="G21" s="75">
        <f>All!G23</f>
        <v>14.6</v>
      </c>
      <c r="H21" s="75">
        <f>All!H23</f>
        <v>76.8</v>
      </c>
      <c r="I21" s="75">
        <f>All!I23</f>
        <v>231.1</v>
      </c>
      <c r="J21" s="75">
        <f>All!J23</f>
        <v>450.2</v>
      </c>
      <c r="K21" s="75">
        <f>All!K23</f>
        <v>207.7</v>
      </c>
      <c r="L21" s="75">
        <f>All!L23</f>
        <v>65</v>
      </c>
      <c r="M21" s="75">
        <f>All!M23</f>
        <v>61.1</v>
      </c>
      <c r="N21" s="75">
        <f>All!N23</f>
        <v>65.2</v>
      </c>
      <c r="O21" s="75">
        <f>All!O23</f>
        <v>1319</v>
      </c>
      <c r="P21" s="76">
        <f>All!P23</f>
        <v>109.9</v>
      </c>
    </row>
    <row r="22" spans="2:16">
      <c r="B22" s="74">
        <f>All!B24</f>
        <v>2013</v>
      </c>
      <c r="C22" s="75">
        <f>All!C24</f>
        <v>28.4</v>
      </c>
      <c r="D22" s="75">
        <f>All!D24</f>
        <v>40.700000000000003</v>
      </c>
      <c r="E22" s="75">
        <f>All!E24</f>
        <v>53.4</v>
      </c>
      <c r="F22" s="75">
        <f>All!F24</f>
        <v>68.2</v>
      </c>
      <c r="G22" s="75">
        <f>All!G24</f>
        <v>116.6</v>
      </c>
      <c r="H22" s="75">
        <f>All!H24</f>
        <v>159.9</v>
      </c>
      <c r="I22" s="75">
        <f>All!I24</f>
        <v>267.5</v>
      </c>
      <c r="J22" s="75">
        <f>All!J24</f>
        <v>214.6</v>
      </c>
      <c r="K22" s="75">
        <f>All!K24</f>
        <v>320</v>
      </c>
      <c r="L22" s="75">
        <f>All!L24</f>
        <v>10.9</v>
      </c>
      <c r="M22" s="75">
        <f>All!M24</f>
        <v>81.099999999999994</v>
      </c>
      <c r="N22" s="75">
        <f>All!N24</f>
        <v>26.4</v>
      </c>
      <c r="O22" s="75">
        <f>All!O24</f>
        <v>1387.7</v>
      </c>
      <c r="P22" s="76">
        <f>All!P24</f>
        <v>115.6</v>
      </c>
    </row>
    <row r="23" spans="2:16" s="340" customFormat="1">
      <c r="B23" s="337">
        <f>All!B25</f>
        <v>2014</v>
      </c>
      <c r="C23" s="338">
        <f>All!C25</f>
        <v>3.4</v>
      </c>
      <c r="D23" s="338">
        <f>All!D25</f>
        <v>20.5</v>
      </c>
      <c r="E23" s="338">
        <f>All!E25</f>
        <v>56.3</v>
      </c>
      <c r="F23" s="338">
        <f>All!F25</f>
        <v>70</v>
      </c>
      <c r="G23" s="338">
        <f>All!G25</f>
        <v>47.1</v>
      </c>
      <c r="H23" s="338">
        <f>All!H25</f>
        <v>125.8</v>
      </c>
      <c r="I23" s="338">
        <f>All!I25</f>
        <v>104</v>
      </c>
      <c r="J23" s="338">
        <f>All!J25</f>
        <v>168.5</v>
      </c>
      <c r="K23" s="338">
        <f>All!K25</f>
        <v>152</v>
      </c>
      <c r="L23" s="338">
        <f>All!L25</f>
        <v>156</v>
      </c>
      <c r="M23" s="338">
        <f>All!M25</f>
        <v>39.9</v>
      </c>
      <c r="N23" s="338">
        <f>All!N25</f>
        <v>66.599999999999994</v>
      </c>
      <c r="O23" s="338">
        <f>All!O25</f>
        <v>1010.1</v>
      </c>
      <c r="P23" s="339">
        <f>All!P25</f>
        <v>84.2</v>
      </c>
    </row>
    <row r="24" spans="2:16">
      <c r="B24" s="74">
        <f>All!B26</f>
        <v>2015</v>
      </c>
      <c r="C24" s="75">
        <f>All!C26</f>
        <v>29.9</v>
      </c>
      <c r="D24" s="75">
        <f>All!D26</f>
        <v>23.4</v>
      </c>
      <c r="E24" s="75">
        <f>All!E26</f>
        <v>30.9</v>
      </c>
      <c r="F24" s="75">
        <f>All!F26</f>
        <v>129.69999999999999</v>
      </c>
      <c r="G24" s="75">
        <f>All!G26</f>
        <v>38.799999999999997</v>
      </c>
      <c r="H24" s="75">
        <f>All!H26</f>
        <v>83.9</v>
      </c>
      <c r="I24" s="75">
        <f>All!I26</f>
        <v>94.7</v>
      </c>
      <c r="J24" s="75">
        <f>All!J26</f>
        <v>30.2</v>
      </c>
      <c r="K24" s="75">
        <f>All!K26</f>
        <v>13.3</v>
      </c>
      <c r="L24" s="75">
        <f>All!L26</f>
        <v>90</v>
      </c>
      <c r="M24" s="75">
        <f>All!M26</f>
        <v>155.6</v>
      </c>
      <c r="N24" s="75">
        <f>All!N26</f>
        <v>65</v>
      </c>
      <c r="O24" s="75">
        <f>All!O26</f>
        <v>785.4</v>
      </c>
      <c r="P24" s="76">
        <f>All!P26</f>
        <v>65.5</v>
      </c>
    </row>
    <row r="25" spans="2:16">
      <c r="B25" s="74">
        <f>All!B27</f>
        <v>2016</v>
      </c>
      <c r="C25" s="75">
        <f>All!C27</f>
        <v>7.8</v>
      </c>
      <c r="D25" s="75">
        <f>All!D27</f>
        <v>54.2</v>
      </c>
      <c r="E25" s="75">
        <f>All!E27</f>
        <v>18.7</v>
      </c>
      <c r="F25" s="75">
        <f>All!F27</f>
        <v>105.1</v>
      </c>
      <c r="G25" s="75">
        <f>All!G27</f>
        <v>146.5</v>
      </c>
      <c r="H25" s="75">
        <f>All!H27</f>
        <v>23.7</v>
      </c>
      <c r="I25" s="75">
        <f>All!I27</f>
        <v>200.2</v>
      </c>
      <c r="J25" s="75">
        <f>All!J27</f>
        <v>5.0999999999999996</v>
      </c>
      <c r="K25" s="75">
        <f>All!K27</f>
        <v>73.400000000000006</v>
      </c>
      <c r="L25" s="75">
        <f>All!L27</f>
        <v>108</v>
      </c>
      <c r="M25" s="75">
        <f>All!M27</f>
        <v>5.6</v>
      </c>
      <c r="N25" s="75">
        <f>All!N27</f>
        <v>44.5</v>
      </c>
      <c r="O25" s="75">
        <f>All!O27</f>
        <v>792.8</v>
      </c>
      <c r="P25" s="76">
        <f>All!P27</f>
        <v>66.099999999999994</v>
      </c>
    </row>
    <row r="26" spans="2:16">
      <c r="B26" s="74">
        <f>All!B28</f>
        <v>2017</v>
      </c>
      <c r="C26" s="75">
        <f>All!C28</f>
        <v>14.8</v>
      </c>
      <c r="D26" s="75">
        <f>All!D28</f>
        <v>30.2</v>
      </c>
      <c r="E26" s="75">
        <f>All!E28</f>
        <v>14.4</v>
      </c>
      <c r="F26" s="75">
        <f>All!F28</f>
        <v>57.6</v>
      </c>
      <c r="G26" s="75">
        <f>All!G28</f>
        <v>58.9</v>
      </c>
      <c r="H26" s="75">
        <f>All!H28</f>
        <v>21.1</v>
      </c>
      <c r="I26" s="75">
        <f>All!I28</f>
        <v>278.10000000000002</v>
      </c>
      <c r="J26" s="75">
        <f>All!J28</f>
        <v>210</v>
      </c>
      <c r="K26" s="75">
        <f>All!K28</f>
        <v>90</v>
      </c>
      <c r="L26" s="75">
        <f>All!L28</f>
        <v>26.6</v>
      </c>
      <c r="M26" s="75">
        <f>All!M28</f>
        <v>15.9</v>
      </c>
      <c r="N26" s="75">
        <f>All!N28</f>
        <v>38.6</v>
      </c>
      <c r="O26" s="75">
        <f>All!O28</f>
        <v>856.2</v>
      </c>
      <c r="P26" s="76">
        <f>All!P28</f>
        <v>71.400000000000006</v>
      </c>
    </row>
    <row r="27" spans="2:16">
      <c r="B27" s="74">
        <f>All!B29</f>
        <v>2018</v>
      </c>
      <c r="C27" s="75">
        <f>All!C29</f>
        <v>15</v>
      </c>
      <c r="D27" s="75">
        <f>All!D29</f>
        <v>33.6</v>
      </c>
      <c r="E27" s="75">
        <f>All!E29</f>
        <v>92</v>
      </c>
      <c r="F27" s="75">
        <f>All!F29</f>
        <v>128.1</v>
      </c>
      <c r="G27" s="75">
        <f>All!G29</f>
        <v>104.5</v>
      </c>
      <c r="H27" s="75">
        <f>All!H29</f>
        <v>71</v>
      </c>
      <c r="I27" s="75">
        <f>All!I29</f>
        <v>262.7</v>
      </c>
      <c r="J27" s="75">
        <f>All!J29</f>
        <v>239.6</v>
      </c>
      <c r="K27" s="75">
        <f>All!K29</f>
        <v>158.19999999999999</v>
      </c>
      <c r="L27" s="75">
        <f>All!L29</f>
        <v>154.69999999999999</v>
      </c>
      <c r="M27" s="75">
        <f>All!M29</f>
        <v>46.7</v>
      </c>
      <c r="N27" s="75">
        <f>All!N29</f>
        <v>31.1</v>
      </c>
      <c r="O27" s="75">
        <f>All!O29</f>
        <v>1337.2</v>
      </c>
      <c r="P27" s="76">
        <f>All!P29</f>
        <v>111.4</v>
      </c>
    </row>
    <row r="28" spans="2:16">
      <c r="B28" s="74">
        <f>All!B30</f>
        <v>2019</v>
      </c>
      <c r="C28" s="75">
        <f>All!C30</f>
        <v>1.9</v>
      </c>
      <c r="D28" s="75">
        <f>All!D30</f>
        <v>17.8</v>
      </c>
      <c r="E28" s="75">
        <f>All!E30</f>
        <v>18.2</v>
      </c>
      <c r="F28" s="75">
        <f>All!F30</f>
        <v>71.900000000000006</v>
      </c>
      <c r="G28" s="75">
        <f>All!G30</f>
        <v>31.3</v>
      </c>
      <c r="H28" s="75">
        <f>All!H30</f>
        <v>56</v>
      </c>
      <c r="I28" s="75">
        <f>All!I30</f>
        <v>149</v>
      </c>
      <c r="J28" s="75">
        <f>All!J30</f>
        <v>131.30000000000001</v>
      </c>
      <c r="K28" s="75">
        <f>All!K30</f>
        <v>118.7</v>
      </c>
      <c r="L28" s="75">
        <f>All!L30</f>
        <v>63.9</v>
      </c>
      <c r="M28" s="75">
        <f>All!M30</f>
        <v>130.6</v>
      </c>
      <c r="N28" s="75">
        <f>All!N30</f>
        <v>31.3</v>
      </c>
      <c r="O28" s="75">
        <f>All!O30</f>
        <v>821.9</v>
      </c>
      <c r="P28" s="76">
        <f>All!P30</f>
        <v>68.5</v>
      </c>
    </row>
    <row r="29" spans="2:16">
      <c r="B29" s="74">
        <f>All!B31</f>
        <v>2020</v>
      </c>
      <c r="C29" s="75">
        <f>All!C31</f>
        <v>49.4</v>
      </c>
      <c r="D29" s="75">
        <f>All!D31</f>
        <v>75.3</v>
      </c>
      <c r="E29" s="75">
        <f>All!E31</f>
        <v>22.8</v>
      </c>
      <c r="F29" s="75">
        <f>All!F31</f>
        <v>16.5</v>
      </c>
      <c r="G29" s="75">
        <f>All!G31</f>
        <v>92.4</v>
      </c>
      <c r="H29" s="75">
        <f>All!H31</f>
        <v>139.69999999999999</v>
      </c>
      <c r="I29" s="75">
        <f>All!I31</f>
        <v>345.9</v>
      </c>
      <c r="J29" s="75">
        <f>All!J31</f>
        <v>321.5</v>
      </c>
      <c r="K29" s="75">
        <f>All!K31</f>
        <v>177.1</v>
      </c>
      <c r="L29" s="75">
        <f>All!L31</f>
        <v>16.2</v>
      </c>
      <c r="M29" s="75">
        <f>All!M31</f>
        <v>35.4</v>
      </c>
      <c r="N29" s="75">
        <f>All!N31</f>
        <v>9.6999999999999993</v>
      </c>
      <c r="O29" s="75">
        <f>All!O31</f>
        <v>1301.9000000000001</v>
      </c>
      <c r="P29" s="76">
        <f>All!P31</f>
        <v>108.5</v>
      </c>
    </row>
    <row r="30" spans="2:16">
      <c r="B30" s="74">
        <f>All!B32</f>
        <v>2021</v>
      </c>
      <c r="C30" s="75">
        <f>All!C32</f>
        <v>32</v>
      </c>
      <c r="D30" s="75">
        <f>All!D32</f>
        <v>18.7</v>
      </c>
      <c r="E30" s="75">
        <f>All!E32</f>
        <v>76.099999999999994</v>
      </c>
      <c r="F30" s="75">
        <f>All!F32</f>
        <v>43.4</v>
      </c>
      <c r="G30" s="75">
        <f>All!G32</f>
        <v>110</v>
      </c>
      <c r="H30" s="75">
        <f>All!H32</f>
        <v>55</v>
      </c>
      <c r="I30" s="75">
        <f>All!I32</f>
        <v>131.30000000000001</v>
      </c>
      <c r="J30" s="75">
        <f>All!J32</f>
        <v>253.7</v>
      </c>
      <c r="K30" s="75">
        <f>All!K32</f>
        <v>215.9</v>
      </c>
      <c r="L30" s="75">
        <f>All!L32</f>
        <v>39.6</v>
      </c>
      <c r="M30" s="75">
        <f>All!M32</f>
        <v>117.8</v>
      </c>
      <c r="N30" s="75">
        <f>All!N32</f>
        <v>14.4</v>
      </c>
      <c r="O30" s="75">
        <f>All!O32</f>
        <v>1107.9000000000001</v>
      </c>
      <c r="P30" s="76">
        <f>All!P32</f>
        <v>92.3</v>
      </c>
    </row>
    <row r="31" spans="2:16">
      <c r="B31" s="74">
        <f>All!B33</f>
        <v>2022</v>
      </c>
      <c r="C31" s="75">
        <f>All!C33</f>
        <v>8.4</v>
      </c>
      <c r="D31" s="75">
        <f>All!D33</f>
        <v>5.3</v>
      </c>
      <c r="E31" s="75">
        <f>All!E33</f>
        <v>60.9</v>
      </c>
      <c r="F31" s="75">
        <f>All!F33</f>
        <v>34.799999999999997</v>
      </c>
      <c r="G31" s="75">
        <f>All!G33</f>
        <v>5.7</v>
      </c>
      <c r="H31" s="75">
        <f>All!H33</f>
        <v>225</v>
      </c>
      <c r="I31" s="75">
        <f>All!I33</f>
        <v>119.9</v>
      </c>
      <c r="J31" s="75">
        <f>All!J33</f>
        <v>637.1</v>
      </c>
      <c r="K31" s="75">
        <f>All!K33</f>
        <v>102</v>
      </c>
      <c r="L31" s="75">
        <f>All!L33</f>
        <v>112</v>
      </c>
      <c r="M31" s="75">
        <f>All!M33</f>
        <v>23.3</v>
      </c>
      <c r="N31" s="75">
        <f>All!N33</f>
        <v>14</v>
      </c>
      <c r="O31" s="75">
        <f>All!O33</f>
        <v>1348.4</v>
      </c>
      <c r="P31" s="76">
        <f>All!P33</f>
        <v>112.4</v>
      </c>
    </row>
    <row r="32" spans="2:16">
      <c r="B32" s="74">
        <f>All!B34</f>
        <v>2023</v>
      </c>
      <c r="C32" s="75">
        <f>All!C34</f>
        <v>19.2</v>
      </c>
      <c r="D32" s="75">
        <f>All!D34</f>
        <v>0.4</v>
      </c>
      <c r="E32" s="75">
        <f>All!E34</f>
        <v>7.2</v>
      </c>
      <c r="F32" s="75">
        <f>All!F34</f>
        <v>42.4</v>
      </c>
      <c r="G32" s="75">
        <f>All!G34</f>
        <v>190.8</v>
      </c>
      <c r="H32" s="75">
        <f>All!H34</f>
        <v>95.1</v>
      </c>
      <c r="I32" s="75">
        <f>All!I34</f>
        <v>772.2</v>
      </c>
      <c r="J32" s="75">
        <f>All!J34</f>
        <v>107.8</v>
      </c>
      <c r="K32" s="75">
        <f>All!K34</f>
        <v>288.39999999999998</v>
      </c>
      <c r="L32" s="75">
        <f>All!L34</f>
        <v>25.5</v>
      </c>
      <c r="M32" s="75">
        <f>All!M34</f>
        <v>65.2</v>
      </c>
      <c r="N32" s="75">
        <f>All!N34</f>
        <v>110.6</v>
      </c>
      <c r="O32" s="75">
        <f>All!O34</f>
        <v>1724.8</v>
      </c>
      <c r="P32" s="76">
        <f>All!P34</f>
        <v>143.69999999999999</v>
      </c>
    </row>
    <row r="33" spans="2:17">
      <c r="B33" s="77" t="s">
        <v>172</v>
      </c>
      <c r="C33" s="78">
        <f>ROUND(SUM(C23:C32)/10,1)</f>
        <v>18.2</v>
      </c>
      <c r="D33" s="78">
        <f t="shared" ref="D33:P33" si="0">ROUND(SUM(D23:D32)/10,1)</f>
        <v>27.9</v>
      </c>
      <c r="E33" s="78">
        <f t="shared" si="0"/>
        <v>39.799999999999997</v>
      </c>
      <c r="F33" s="78">
        <f t="shared" si="0"/>
        <v>70</v>
      </c>
      <c r="G33" s="78">
        <f t="shared" si="0"/>
        <v>82.6</v>
      </c>
      <c r="H33" s="78">
        <f t="shared" si="0"/>
        <v>89.6</v>
      </c>
      <c r="I33" s="78">
        <f t="shared" si="0"/>
        <v>245.8</v>
      </c>
      <c r="J33" s="78">
        <f t="shared" si="0"/>
        <v>210.5</v>
      </c>
      <c r="K33" s="78">
        <f t="shared" si="0"/>
        <v>138.9</v>
      </c>
      <c r="L33" s="78">
        <f t="shared" si="0"/>
        <v>79.3</v>
      </c>
      <c r="M33" s="78">
        <f t="shared" si="0"/>
        <v>63.6</v>
      </c>
      <c r="N33" s="78">
        <f t="shared" si="0"/>
        <v>42.6</v>
      </c>
      <c r="O33" s="78">
        <f t="shared" si="0"/>
        <v>1108.7</v>
      </c>
      <c r="P33" s="79">
        <f t="shared" si="0"/>
        <v>92.4</v>
      </c>
    </row>
    <row r="34" spans="2:17" ht="17.25" thickBot="1">
      <c r="B34" s="116" t="s">
        <v>171</v>
      </c>
      <c r="C34" s="80">
        <f>All!C37</f>
        <v>23.7</v>
      </c>
      <c r="D34" s="80">
        <f>All!D37</f>
        <v>26.9</v>
      </c>
      <c r="E34" s="80">
        <f>All!E37</f>
        <v>43</v>
      </c>
      <c r="F34" s="80">
        <f>All!F37</f>
        <v>70.8</v>
      </c>
      <c r="G34" s="80">
        <f>All!G37</f>
        <v>89.9</v>
      </c>
      <c r="H34" s="80">
        <f>All!H37</f>
        <v>132.5</v>
      </c>
      <c r="I34" s="80">
        <f>All!I37</f>
        <v>262.3</v>
      </c>
      <c r="J34" s="80">
        <f>All!J37</f>
        <v>278.39999999999998</v>
      </c>
      <c r="K34" s="80">
        <f>All!K37</f>
        <v>137.80000000000001</v>
      </c>
      <c r="L34" s="80">
        <f>All!L37</f>
        <v>63</v>
      </c>
      <c r="M34" s="80">
        <f>All!M37</f>
        <v>54</v>
      </c>
      <c r="N34" s="80">
        <f>All!N37</f>
        <v>34.799999999999997</v>
      </c>
      <c r="O34" s="80">
        <f>All!O37</f>
        <v>1217</v>
      </c>
      <c r="P34" s="81">
        <f>All!P37</f>
        <v>101.4</v>
      </c>
    </row>
    <row r="36" spans="2:17" ht="17.25" thickBot="1"/>
    <row r="37" spans="2:17" ht="26.25" customHeight="1">
      <c r="B37" s="71" t="s">
        <v>29</v>
      </c>
      <c r="C37" s="73" t="s">
        <v>158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2014</v>
      </c>
      <c r="C38" s="76">
        <f>O23</f>
        <v>1010.1</v>
      </c>
      <c r="D38" s="88" t="s">
        <v>30</v>
      </c>
      <c r="E38" s="89">
        <f>All!C53</f>
        <v>18.2</v>
      </c>
      <c r="F38" s="89">
        <f>All!D53</f>
        <v>27.9</v>
      </c>
      <c r="G38" s="89">
        <f>All!E53</f>
        <v>39.799999999999997</v>
      </c>
      <c r="H38" s="89">
        <f>All!F53</f>
        <v>70</v>
      </c>
      <c r="I38" s="89">
        <f>All!G53</f>
        <v>82.6</v>
      </c>
      <c r="J38" s="89">
        <f>All!H53</f>
        <v>89.6</v>
      </c>
      <c r="K38" s="89">
        <f>All!I53</f>
        <v>245.8</v>
      </c>
      <c r="L38" s="89">
        <f>All!J53</f>
        <v>210.5</v>
      </c>
      <c r="M38" s="89">
        <f>All!K53</f>
        <v>138.9</v>
      </c>
      <c r="N38" s="89">
        <f>All!L53</f>
        <v>79.3</v>
      </c>
      <c r="O38" s="89">
        <f>All!M53</f>
        <v>63.6</v>
      </c>
      <c r="P38" s="89">
        <f>All!N53</f>
        <v>42.6</v>
      </c>
      <c r="Q38" s="140">
        <f>All!P53</f>
        <v>92.4</v>
      </c>
    </row>
    <row r="39" spans="2:17">
      <c r="B39" s="74">
        <f t="shared" ref="B39:B48" si="1">B24</f>
        <v>2015</v>
      </c>
      <c r="C39" s="76">
        <f t="shared" ref="C39:C48" si="2">O24</f>
        <v>785.4</v>
      </c>
    </row>
    <row r="40" spans="2:17">
      <c r="B40" s="74">
        <f t="shared" si="1"/>
        <v>2016</v>
      </c>
      <c r="C40" s="76">
        <f t="shared" si="2"/>
        <v>792.8</v>
      </c>
    </row>
    <row r="41" spans="2:17">
      <c r="B41" s="74">
        <f t="shared" si="1"/>
        <v>2017</v>
      </c>
      <c r="C41" s="76">
        <f t="shared" si="2"/>
        <v>856.2</v>
      </c>
    </row>
    <row r="42" spans="2:17">
      <c r="B42" s="74">
        <f t="shared" si="1"/>
        <v>2018</v>
      </c>
      <c r="C42" s="76">
        <f t="shared" si="2"/>
        <v>1337.2</v>
      </c>
    </row>
    <row r="43" spans="2:17">
      <c r="B43" s="74">
        <f t="shared" si="1"/>
        <v>2019</v>
      </c>
      <c r="C43" s="76">
        <f t="shared" si="2"/>
        <v>821.9</v>
      </c>
    </row>
    <row r="44" spans="2:17">
      <c r="B44" s="74">
        <f t="shared" si="1"/>
        <v>2020</v>
      </c>
      <c r="C44" s="76">
        <f t="shared" si="2"/>
        <v>1301.9000000000001</v>
      </c>
    </row>
    <row r="45" spans="2:17">
      <c r="B45" s="74">
        <f t="shared" si="1"/>
        <v>2021</v>
      </c>
      <c r="C45" s="76">
        <f t="shared" si="2"/>
        <v>1107.9000000000001</v>
      </c>
    </row>
    <row r="46" spans="2:17">
      <c r="B46" s="74">
        <f t="shared" si="1"/>
        <v>2022</v>
      </c>
      <c r="C46" s="76">
        <f t="shared" si="2"/>
        <v>1348.4</v>
      </c>
    </row>
    <row r="47" spans="2:17">
      <c r="B47" s="74">
        <f t="shared" si="1"/>
        <v>2023</v>
      </c>
      <c r="C47" s="76">
        <f t="shared" si="2"/>
        <v>1724.8</v>
      </c>
    </row>
    <row r="48" spans="2:17" ht="17.25" thickBot="1">
      <c r="B48" s="82" t="str">
        <f t="shared" si="1"/>
        <v>10년평균</v>
      </c>
      <c r="C48" s="83">
        <f t="shared" si="2"/>
        <v>1108.7</v>
      </c>
    </row>
    <row r="50" spans="2:3" ht="17.25" thickBot="1"/>
    <row r="51" spans="2:3">
      <c r="B51" s="114" t="s">
        <v>173</v>
      </c>
      <c r="C51" s="115" t="s">
        <v>158</v>
      </c>
    </row>
    <row r="52" spans="2:3">
      <c r="B52" s="111">
        <f>B3</f>
        <v>1994</v>
      </c>
      <c r="C52" s="112">
        <f>O3</f>
        <v>1269</v>
      </c>
    </row>
    <row r="53" spans="2:3">
      <c r="B53" s="111">
        <f t="shared" ref="B53:B81" si="3">B4</f>
        <v>1995</v>
      </c>
      <c r="C53" s="112">
        <f t="shared" ref="C53:C81" si="4">O4</f>
        <v>1459.5</v>
      </c>
    </row>
    <row r="54" spans="2:3">
      <c r="B54" s="111">
        <f t="shared" si="3"/>
        <v>1996</v>
      </c>
      <c r="C54" s="112">
        <f t="shared" si="4"/>
        <v>899.6</v>
      </c>
    </row>
    <row r="55" spans="2:3">
      <c r="B55" s="111">
        <f t="shared" si="3"/>
        <v>1997</v>
      </c>
      <c r="C55" s="112">
        <f t="shared" si="4"/>
        <v>1442.3</v>
      </c>
    </row>
    <row r="56" spans="2:3">
      <c r="B56" s="111">
        <f t="shared" si="3"/>
        <v>1998</v>
      </c>
      <c r="C56" s="112">
        <f t="shared" si="4"/>
        <v>1397.2</v>
      </c>
    </row>
    <row r="57" spans="2:3">
      <c r="B57" s="111">
        <f t="shared" si="3"/>
        <v>1999</v>
      </c>
      <c r="C57" s="112">
        <f t="shared" si="4"/>
        <v>1284.0999999999999</v>
      </c>
    </row>
    <row r="58" spans="2:3">
      <c r="B58" s="111">
        <f t="shared" si="3"/>
        <v>2000</v>
      </c>
      <c r="C58" s="112">
        <f t="shared" si="4"/>
        <v>1515.4</v>
      </c>
    </row>
    <row r="59" spans="2:3">
      <c r="B59" s="111">
        <f t="shared" si="3"/>
        <v>2001</v>
      </c>
      <c r="C59" s="112">
        <f t="shared" si="4"/>
        <v>903.7</v>
      </c>
    </row>
    <row r="60" spans="2:3">
      <c r="B60" s="111">
        <f t="shared" si="3"/>
        <v>2002</v>
      </c>
      <c r="C60" s="112">
        <f t="shared" si="4"/>
        <v>1453.2</v>
      </c>
    </row>
    <row r="61" spans="2:3">
      <c r="B61" s="111">
        <f t="shared" si="3"/>
        <v>2003</v>
      </c>
      <c r="C61" s="112">
        <f t="shared" si="4"/>
        <v>1343.7</v>
      </c>
    </row>
    <row r="62" spans="2:3">
      <c r="B62" s="111">
        <f t="shared" si="3"/>
        <v>2004</v>
      </c>
      <c r="C62" s="112">
        <f t="shared" si="4"/>
        <v>1216.2</v>
      </c>
    </row>
    <row r="63" spans="2:3">
      <c r="B63" s="111">
        <f t="shared" si="3"/>
        <v>2005</v>
      </c>
      <c r="C63" s="112">
        <f t="shared" si="4"/>
        <v>1266.5</v>
      </c>
    </row>
    <row r="64" spans="2:3">
      <c r="B64" s="111">
        <f t="shared" si="3"/>
        <v>2006</v>
      </c>
      <c r="C64" s="112">
        <f t="shared" si="4"/>
        <v>831.4</v>
      </c>
    </row>
    <row r="65" spans="2:3">
      <c r="B65" s="111">
        <f t="shared" si="3"/>
        <v>2007</v>
      </c>
      <c r="C65" s="112">
        <f t="shared" si="4"/>
        <v>1295.8</v>
      </c>
    </row>
    <row r="66" spans="2:3">
      <c r="B66" s="111">
        <f t="shared" si="3"/>
        <v>2008</v>
      </c>
      <c r="C66" s="112">
        <f t="shared" si="4"/>
        <v>813.5</v>
      </c>
    </row>
    <row r="67" spans="2:3">
      <c r="B67" s="111">
        <f t="shared" si="3"/>
        <v>2009</v>
      </c>
      <c r="C67" s="112">
        <f t="shared" si="4"/>
        <v>1081.4000000000001</v>
      </c>
    </row>
    <row r="68" spans="2:3">
      <c r="B68" s="111">
        <f t="shared" si="3"/>
        <v>2010</v>
      </c>
      <c r="C68" s="112">
        <f t="shared" si="4"/>
        <v>1502.3</v>
      </c>
    </row>
    <row r="69" spans="2:3">
      <c r="B69" s="111">
        <f t="shared" si="3"/>
        <v>2011</v>
      </c>
      <c r="C69" s="112">
        <f t="shared" si="4"/>
        <v>1743</v>
      </c>
    </row>
    <row r="70" spans="2:3">
      <c r="B70" s="111">
        <f t="shared" si="3"/>
        <v>2012</v>
      </c>
      <c r="C70" s="112">
        <f t="shared" si="4"/>
        <v>1319</v>
      </c>
    </row>
    <row r="71" spans="2:3">
      <c r="B71" s="111">
        <f t="shared" si="3"/>
        <v>2013</v>
      </c>
      <c r="C71" s="112">
        <f t="shared" si="4"/>
        <v>1387.7</v>
      </c>
    </row>
    <row r="72" spans="2:3">
      <c r="B72" s="111">
        <f t="shared" si="3"/>
        <v>2014</v>
      </c>
      <c r="C72" s="112">
        <f t="shared" si="4"/>
        <v>1010.1</v>
      </c>
    </row>
    <row r="73" spans="2:3">
      <c r="B73" s="111">
        <f t="shared" si="3"/>
        <v>2015</v>
      </c>
      <c r="C73" s="112">
        <f t="shared" si="4"/>
        <v>785.4</v>
      </c>
    </row>
    <row r="74" spans="2:3">
      <c r="B74" s="111">
        <f t="shared" si="3"/>
        <v>2016</v>
      </c>
      <c r="C74" s="112">
        <f t="shared" si="4"/>
        <v>792.8</v>
      </c>
    </row>
    <row r="75" spans="2:3">
      <c r="B75" s="111">
        <f t="shared" si="3"/>
        <v>2017</v>
      </c>
      <c r="C75" s="112">
        <f t="shared" si="4"/>
        <v>856.2</v>
      </c>
    </row>
    <row r="76" spans="2:3">
      <c r="B76" s="111">
        <f t="shared" si="3"/>
        <v>2018</v>
      </c>
      <c r="C76" s="112">
        <f t="shared" si="4"/>
        <v>1337.2</v>
      </c>
    </row>
    <row r="77" spans="2:3">
      <c r="B77" s="111">
        <f t="shared" si="3"/>
        <v>2019</v>
      </c>
      <c r="C77" s="112">
        <f t="shared" si="4"/>
        <v>821.9</v>
      </c>
    </row>
    <row r="78" spans="2:3">
      <c r="B78" s="111">
        <f>B29</f>
        <v>2020</v>
      </c>
      <c r="C78" s="112">
        <f t="shared" si="4"/>
        <v>1301.9000000000001</v>
      </c>
    </row>
    <row r="79" spans="2:3">
      <c r="B79" s="111">
        <f t="shared" si="3"/>
        <v>2021</v>
      </c>
      <c r="C79" s="112">
        <f t="shared" si="4"/>
        <v>1107.9000000000001</v>
      </c>
    </row>
    <row r="80" spans="2:3">
      <c r="B80" s="111">
        <f t="shared" si="3"/>
        <v>2022</v>
      </c>
      <c r="C80" s="112">
        <f t="shared" si="4"/>
        <v>1348.4</v>
      </c>
    </row>
    <row r="81" spans="2:3">
      <c r="B81" s="111">
        <f t="shared" si="3"/>
        <v>2023</v>
      </c>
      <c r="C81" s="112">
        <f t="shared" si="4"/>
        <v>1724.8</v>
      </c>
    </row>
    <row r="82" spans="2:3" ht="17.25" thickBot="1">
      <c r="B82" s="88" t="str">
        <f>B34</f>
        <v>30년평균</v>
      </c>
      <c r="C82" s="113">
        <f>O34</f>
        <v>1217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425"/>
  <sheetViews>
    <sheetView zoomScaleNormal="100" workbookViewId="0">
      <selection activeCell="S28" sqref="S28"/>
    </sheetView>
  </sheetViews>
  <sheetFormatPr defaultColWidth="8.88671875" defaultRowHeight="16.5"/>
  <cols>
    <col min="1" max="1" width="17" style="69" customWidth="1"/>
    <col min="2" max="2" width="19.21875" style="69" customWidth="1"/>
    <col min="3" max="14" width="8.77734375" style="69" customWidth="1"/>
    <col min="15" max="15" width="8.77734375" style="456" customWidth="1"/>
    <col min="16" max="16" width="8.77734375" style="69" customWidth="1"/>
    <col min="17" max="16384" width="8.88671875" style="69"/>
  </cols>
  <sheetData>
    <row r="2" spans="2:16" ht="20.25" customHeight="1">
      <c r="B2" s="452" t="str">
        <f>All!B2</f>
        <v>보령기상청</v>
      </c>
      <c r="C2" s="70" t="s">
        <v>356</v>
      </c>
    </row>
    <row r="3" spans="2:16" ht="17.25" thickBot="1">
      <c r="I3" s="256"/>
      <c r="J3" s="256"/>
      <c r="K3" s="256"/>
    </row>
    <row r="4" spans="2:16" ht="29.25" customHeight="1">
      <c r="B4" s="328"/>
      <c r="C4" s="453" t="s">
        <v>7</v>
      </c>
      <c r="D4" s="454" t="s">
        <v>8</v>
      </c>
      <c r="E4" s="454" t="s">
        <v>9</v>
      </c>
      <c r="F4" s="454" t="s">
        <v>10</v>
      </c>
      <c r="G4" s="454" t="s">
        <v>11</v>
      </c>
      <c r="H4" s="454" t="s">
        <v>12</v>
      </c>
      <c r="I4" s="454" t="s">
        <v>13</v>
      </c>
      <c r="J4" s="454" t="s">
        <v>14</v>
      </c>
      <c r="K4" s="454" t="s">
        <v>15</v>
      </c>
      <c r="L4" s="454" t="s">
        <v>16</v>
      </c>
      <c r="M4" s="454" t="s">
        <v>17</v>
      </c>
      <c r="N4" s="455" t="s">
        <v>18</v>
      </c>
      <c r="O4" s="457" t="s">
        <v>19</v>
      </c>
      <c r="P4" s="455" t="s">
        <v>20</v>
      </c>
    </row>
    <row r="5" spans="2:16" ht="22.15" customHeight="1">
      <c r="B5" s="329">
        <f>All!B41</f>
        <v>2014</v>
      </c>
      <c r="C5" s="324">
        <f>All!C41</f>
        <v>3.4</v>
      </c>
      <c r="D5" s="312">
        <f>All!D41</f>
        <v>20.5</v>
      </c>
      <c r="E5" s="312">
        <f>All!E41</f>
        <v>56.3</v>
      </c>
      <c r="F5" s="312">
        <f>All!F41</f>
        <v>70</v>
      </c>
      <c r="G5" s="312">
        <f>All!G41</f>
        <v>47.1</v>
      </c>
      <c r="H5" s="312">
        <f>All!H41</f>
        <v>125.8</v>
      </c>
      <c r="I5" s="312">
        <f>All!I41</f>
        <v>104</v>
      </c>
      <c r="J5" s="312">
        <f>All!J41</f>
        <v>168.5</v>
      </c>
      <c r="K5" s="312">
        <f>All!K41</f>
        <v>152</v>
      </c>
      <c r="L5" s="312">
        <f>All!L41</f>
        <v>156</v>
      </c>
      <c r="M5" s="312">
        <f>All!M41</f>
        <v>39.9</v>
      </c>
      <c r="N5" s="313">
        <f>All!N41</f>
        <v>66.599999999999994</v>
      </c>
      <c r="O5" s="459">
        <f>All!O41</f>
        <v>1010.1</v>
      </c>
      <c r="P5" s="313">
        <f>All!P41</f>
        <v>84.2</v>
      </c>
    </row>
    <row r="6" spans="2:16" ht="22.15" customHeight="1">
      <c r="B6" s="330">
        <f>All!B42</f>
        <v>2015</v>
      </c>
      <c r="C6" s="324">
        <f>All!C42</f>
        <v>29.9</v>
      </c>
      <c r="D6" s="312">
        <f>All!D42</f>
        <v>23.4</v>
      </c>
      <c r="E6" s="312">
        <f>All!E42</f>
        <v>30.9</v>
      </c>
      <c r="F6" s="312">
        <f>All!F42</f>
        <v>129.69999999999999</v>
      </c>
      <c r="G6" s="312">
        <f>All!G42</f>
        <v>38.799999999999997</v>
      </c>
      <c r="H6" s="312">
        <f>All!H42</f>
        <v>83.9</v>
      </c>
      <c r="I6" s="312">
        <f>All!I42</f>
        <v>94.7</v>
      </c>
      <c r="J6" s="312">
        <f>All!J42</f>
        <v>30.2</v>
      </c>
      <c r="K6" s="312">
        <f>All!K42</f>
        <v>13.3</v>
      </c>
      <c r="L6" s="312">
        <f>All!L42</f>
        <v>90</v>
      </c>
      <c r="M6" s="312">
        <f>All!M42</f>
        <v>155.6</v>
      </c>
      <c r="N6" s="313">
        <f>All!N42</f>
        <v>65</v>
      </c>
      <c r="O6" s="458">
        <f>All!O42</f>
        <v>785.4</v>
      </c>
      <c r="P6" s="313">
        <f>All!P42</f>
        <v>65.5</v>
      </c>
    </row>
    <row r="7" spans="2:16" ht="22.15" customHeight="1">
      <c r="B7" s="329">
        <f>All!B43</f>
        <v>2016</v>
      </c>
      <c r="C7" s="324">
        <f>All!C43</f>
        <v>7.8</v>
      </c>
      <c r="D7" s="312">
        <f>All!D43</f>
        <v>54.2</v>
      </c>
      <c r="E7" s="312">
        <f>All!E43</f>
        <v>18.7</v>
      </c>
      <c r="F7" s="312">
        <f>All!F43</f>
        <v>105.1</v>
      </c>
      <c r="G7" s="312">
        <f>All!G43</f>
        <v>146.5</v>
      </c>
      <c r="H7" s="312">
        <f>All!H43</f>
        <v>23.7</v>
      </c>
      <c r="I7" s="312">
        <f>All!I43</f>
        <v>200.2</v>
      </c>
      <c r="J7" s="312">
        <f>All!J43</f>
        <v>5.0999999999999996</v>
      </c>
      <c r="K7" s="312">
        <f>All!K43</f>
        <v>73.400000000000006</v>
      </c>
      <c r="L7" s="312">
        <f>All!L43</f>
        <v>108</v>
      </c>
      <c r="M7" s="312">
        <f>All!M43</f>
        <v>5.6</v>
      </c>
      <c r="N7" s="313">
        <f>All!N43</f>
        <v>44.5</v>
      </c>
      <c r="O7" s="459">
        <f>All!O43</f>
        <v>792.8</v>
      </c>
      <c r="P7" s="313">
        <f>All!P43</f>
        <v>66.099999999999994</v>
      </c>
    </row>
    <row r="8" spans="2:16" ht="22.15" customHeight="1">
      <c r="B8" s="329">
        <f>All!B44</f>
        <v>2017</v>
      </c>
      <c r="C8" s="324">
        <f>All!C44</f>
        <v>14.8</v>
      </c>
      <c r="D8" s="312">
        <f>All!D44</f>
        <v>30.2</v>
      </c>
      <c r="E8" s="312">
        <f>All!E44</f>
        <v>14.4</v>
      </c>
      <c r="F8" s="312">
        <f>All!F44</f>
        <v>57.6</v>
      </c>
      <c r="G8" s="312">
        <f>All!G44</f>
        <v>58.9</v>
      </c>
      <c r="H8" s="312">
        <f>All!H44</f>
        <v>21.1</v>
      </c>
      <c r="I8" s="312">
        <f>All!I44</f>
        <v>278.10000000000002</v>
      </c>
      <c r="J8" s="312">
        <f>All!J44</f>
        <v>210</v>
      </c>
      <c r="K8" s="312">
        <f>All!K44</f>
        <v>90</v>
      </c>
      <c r="L8" s="312">
        <f>All!L44</f>
        <v>26.6</v>
      </c>
      <c r="M8" s="312">
        <f>All!M44</f>
        <v>15.9</v>
      </c>
      <c r="N8" s="313">
        <f>All!N44</f>
        <v>38.6</v>
      </c>
      <c r="O8" s="459">
        <f>All!O44</f>
        <v>856.2</v>
      </c>
      <c r="P8" s="313">
        <f>All!P44</f>
        <v>71.400000000000006</v>
      </c>
    </row>
    <row r="9" spans="2:16" ht="22.15" customHeight="1">
      <c r="B9" s="329">
        <f>All!B45</f>
        <v>2018</v>
      </c>
      <c r="C9" s="324">
        <f>All!C45</f>
        <v>15</v>
      </c>
      <c r="D9" s="312">
        <f>All!D45</f>
        <v>33.6</v>
      </c>
      <c r="E9" s="312">
        <f>All!E45</f>
        <v>92</v>
      </c>
      <c r="F9" s="312">
        <f>All!F45</f>
        <v>128.1</v>
      </c>
      <c r="G9" s="312">
        <f>All!G45</f>
        <v>104.5</v>
      </c>
      <c r="H9" s="312">
        <f>All!H45</f>
        <v>71</v>
      </c>
      <c r="I9" s="312">
        <f>All!I45</f>
        <v>262.7</v>
      </c>
      <c r="J9" s="312">
        <f>All!J45</f>
        <v>239.6</v>
      </c>
      <c r="K9" s="312">
        <f>All!K45</f>
        <v>158.19999999999999</v>
      </c>
      <c r="L9" s="312">
        <f>All!L45</f>
        <v>154.69999999999999</v>
      </c>
      <c r="M9" s="312">
        <f>All!M45</f>
        <v>46.7</v>
      </c>
      <c r="N9" s="313">
        <f>All!N45</f>
        <v>31.1</v>
      </c>
      <c r="O9" s="459">
        <f>All!O45</f>
        <v>1337.2</v>
      </c>
      <c r="P9" s="313">
        <f>All!P45</f>
        <v>111.4</v>
      </c>
    </row>
    <row r="10" spans="2:16" ht="22.15" customHeight="1">
      <c r="B10" s="329">
        <f>All!B46</f>
        <v>2019</v>
      </c>
      <c r="C10" s="324">
        <f>All!C46</f>
        <v>1.9</v>
      </c>
      <c r="D10" s="312">
        <f>All!D46</f>
        <v>17.8</v>
      </c>
      <c r="E10" s="312">
        <f>All!E46</f>
        <v>18.2</v>
      </c>
      <c r="F10" s="312">
        <f>All!F46</f>
        <v>71.900000000000006</v>
      </c>
      <c r="G10" s="312">
        <f>All!G46</f>
        <v>31.3</v>
      </c>
      <c r="H10" s="312">
        <f>All!H46</f>
        <v>56</v>
      </c>
      <c r="I10" s="312">
        <f>All!I46</f>
        <v>149</v>
      </c>
      <c r="J10" s="312">
        <f>All!J46</f>
        <v>131.30000000000001</v>
      </c>
      <c r="K10" s="312">
        <f>All!K46</f>
        <v>118.7</v>
      </c>
      <c r="L10" s="312">
        <f>All!L46</f>
        <v>63.9</v>
      </c>
      <c r="M10" s="312">
        <f>All!M46</f>
        <v>130.6</v>
      </c>
      <c r="N10" s="313">
        <f>All!N46</f>
        <v>31.3</v>
      </c>
      <c r="O10" s="459">
        <f>All!O46</f>
        <v>821.9</v>
      </c>
      <c r="P10" s="313">
        <f>All!P46</f>
        <v>68.5</v>
      </c>
    </row>
    <row r="11" spans="2:16" ht="22.15" customHeight="1">
      <c r="B11" s="329">
        <f>All!B47</f>
        <v>2020</v>
      </c>
      <c r="C11" s="324">
        <f>All!C47</f>
        <v>49.4</v>
      </c>
      <c r="D11" s="312">
        <f>All!D47</f>
        <v>75.3</v>
      </c>
      <c r="E11" s="312">
        <f>All!E47</f>
        <v>22.8</v>
      </c>
      <c r="F11" s="312">
        <f>All!F47</f>
        <v>16.5</v>
      </c>
      <c r="G11" s="312">
        <f>All!G47</f>
        <v>92.4</v>
      </c>
      <c r="H11" s="312">
        <f>All!H47</f>
        <v>139.69999999999999</v>
      </c>
      <c r="I11" s="312">
        <f>All!I47</f>
        <v>345.9</v>
      </c>
      <c r="J11" s="312">
        <f>All!J47</f>
        <v>321.5</v>
      </c>
      <c r="K11" s="312">
        <f>All!K47</f>
        <v>177.1</v>
      </c>
      <c r="L11" s="312">
        <f>All!L47</f>
        <v>16.2</v>
      </c>
      <c r="M11" s="312">
        <f>All!M47</f>
        <v>35.4</v>
      </c>
      <c r="N11" s="313">
        <f>All!N47</f>
        <v>9.6999999999999993</v>
      </c>
      <c r="O11" s="459">
        <f>All!O47</f>
        <v>1301.9000000000001</v>
      </c>
      <c r="P11" s="313">
        <f>All!P47</f>
        <v>108.5</v>
      </c>
    </row>
    <row r="12" spans="2:16" ht="22.15" customHeight="1">
      <c r="B12" s="329">
        <f>All!B48</f>
        <v>2021</v>
      </c>
      <c r="C12" s="324">
        <f>All!C48</f>
        <v>32</v>
      </c>
      <c r="D12" s="312">
        <f>All!D48</f>
        <v>18.7</v>
      </c>
      <c r="E12" s="312">
        <f>All!E48</f>
        <v>76.099999999999994</v>
      </c>
      <c r="F12" s="312">
        <f>All!F48</f>
        <v>43.4</v>
      </c>
      <c r="G12" s="312">
        <f>All!G48</f>
        <v>110</v>
      </c>
      <c r="H12" s="312">
        <f>All!H48</f>
        <v>55</v>
      </c>
      <c r="I12" s="312">
        <f>All!I48</f>
        <v>131.30000000000001</v>
      </c>
      <c r="J12" s="312">
        <f>All!J48</f>
        <v>253.7</v>
      </c>
      <c r="K12" s="312">
        <f>All!K48</f>
        <v>215.9</v>
      </c>
      <c r="L12" s="312">
        <f>All!L48</f>
        <v>39.6</v>
      </c>
      <c r="M12" s="312">
        <f>All!M48</f>
        <v>117.8</v>
      </c>
      <c r="N12" s="313">
        <f>All!N48</f>
        <v>14.4</v>
      </c>
      <c r="O12" s="459">
        <f>All!O48</f>
        <v>1107.9000000000001</v>
      </c>
      <c r="P12" s="313">
        <f>All!P48</f>
        <v>92.3</v>
      </c>
    </row>
    <row r="13" spans="2:16" ht="22.15" customHeight="1">
      <c r="B13" s="329">
        <f>All!B49</f>
        <v>2022</v>
      </c>
      <c r="C13" s="324">
        <f>All!C49</f>
        <v>8.4</v>
      </c>
      <c r="D13" s="312">
        <f>All!D49</f>
        <v>5.3</v>
      </c>
      <c r="E13" s="312">
        <f>All!E49</f>
        <v>60.9</v>
      </c>
      <c r="F13" s="312">
        <f>All!F49</f>
        <v>34.799999999999997</v>
      </c>
      <c r="G13" s="312">
        <f>All!G49</f>
        <v>5.7</v>
      </c>
      <c r="H13" s="312">
        <f>All!H49</f>
        <v>225</v>
      </c>
      <c r="I13" s="312">
        <f>All!I49</f>
        <v>119.9</v>
      </c>
      <c r="J13" s="312">
        <f>All!J49</f>
        <v>637.1</v>
      </c>
      <c r="K13" s="312">
        <f>All!K49</f>
        <v>102</v>
      </c>
      <c r="L13" s="312">
        <f>All!L49</f>
        <v>112</v>
      </c>
      <c r="M13" s="312">
        <f>All!M49</f>
        <v>23.3</v>
      </c>
      <c r="N13" s="313">
        <f>All!N49</f>
        <v>14</v>
      </c>
      <c r="O13" s="459">
        <f>All!O49</f>
        <v>1348.4</v>
      </c>
      <c r="P13" s="313">
        <f>All!P49</f>
        <v>112.4</v>
      </c>
    </row>
    <row r="14" spans="2:16" ht="22.15" customHeight="1" thickBot="1">
      <c r="B14" s="559">
        <f>All!B50</f>
        <v>2023</v>
      </c>
      <c r="C14" s="325">
        <f>All!C50</f>
        <v>19.2</v>
      </c>
      <c r="D14" s="314">
        <f>All!D50</f>
        <v>0.4</v>
      </c>
      <c r="E14" s="314">
        <f>All!E50</f>
        <v>7.2</v>
      </c>
      <c r="F14" s="314">
        <f>All!F50</f>
        <v>42.4</v>
      </c>
      <c r="G14" s="314">
        <f>All!G50</f>
        <v>190.8</v>
      </c>
      <c r="H14" s="314">
        <f>All!H50</f>
        <v>95.1</v>
      </c>
      <c r="I14" s="314">
        <f>All!I50</f>
        <v>772.2</v>
      </c>
      <c r="J14" s="314">
        <f>All!J50</f>
        <v>107.8</v>
      </c>
      <c r="K14" s="314">
        <f>All!K50</f>
        <v>288.39999999999998</v>
      </c>
      <c r="L14" s="314">
        <f>All!L50</f>
        <v>25.5</v>
      </c>
      <c r="M14" s="314">
        <f>All!M50</f>
        <v>65.2</v>
      </c>
      <c r="N14" s="315">
        <f>All!N50</f>
        <v>110.6</v>
      </c>
      <c r="O14" s="462">
        <f>All!O50</f>
        <v>1724.8</v>
      </c>
      <c r="P14" s="315">
        <f>All!P50</f>
        <v>143.69999999999999</v>
      </c>
    </row>
    <row r="15" spans="2:16" ht="22.15" customHeight="1">
      <c r="B15" s="332" t="s">
        <v>21</v>
      </c>
      <c r="C15" s="326">
        <f>All!C51</f>
        <v>49.4</v>
      </c>
      <c r="D15" s="316">
        <f>All!D51</f>
        <v>75.3</v>
      </c>
      <c r="E15" s="316">
        <f>All!E51</f>
        <v>92</v>
      </c>
      <c r="F15" s="316">
        <f>All!F51</f>
        <v>129.69999999999999</v>
      </c>
      <c r="G15" s="316">
        <f>All!G51</f>
        <v>190.8</v>
      </c>
      <c r="H15" s="316">
        <f>All!H51</f>
        <v>225</v>
      </c>
      <c r="I15" s="316">
        <f>All!I51</f>
        <v>772.2</v>
      </c>
      <c r="J15" s="316">
        <f>All!J51</f>
        <v>637.1</v>
      </c>
      <c r="K15" s="316">
        <f>All!K51</f>
        <v>288.39999999999998</v>
      </c>
      <c r="L15" s="316">
        <f>All!L51</f>
        <v>156</v>
      </c>
      <c r="M15" s="316">
        <f>All!M51</f>
        <v>155.6</v>
      </c>
      <c r="N15" s="317">
        <f>All!N51</f>
        <v>110.6</v>
      </c>
      <c r="O15" s="460">
        <f>All!O51</f>
        <v>1724.8</v>
      </c>
      <c r="P15" s="317">
        <f>All!P51</f>
        <v>143.69999999999999</v>
      </c>
    </row>
    <row r="16" spans="2:16" ht="22.15" customHeight="1">
      <c r="B16" s="329" t="s">
        <v>22</v>
      </c>
      <c r="C16" s="324">
        <f>All!C52</f>
        <v>1.9</v>
      </c>
      <c r="D16" s="312">
        <f>All!D52</f>
        <v>0.4</v>
      </c>
      <c r="E16" s="312">
        <f>All!E52</f>
        <v>7.2</v>
      </c>
      <c r="F16" s="312">
        <f>All!F52</f>
        <v>16.5</v>
      </c>
      <c r="G16" s="312">
        <f>All!G52</f>
        <v>5.7</v>
      </c>
      <c r="H16" s="312">
        <f>All!H52</f>
        <v>21.1</v>
      </c>
      <c r="I16" s="312">
        <f>All!I52</f>
        <v>94.7</v>
      </c>
      <c r="J16" s="312">
        <f>All!J52</f>
        <v>5.0999999999999996</v>
      </c>
      <c r="K16" s="312">
        <f>All!K52</f>
        <v>13.3</v>
      </c>
      <c r="L16" s="312">
        <f>All!L52</f>
        <v>16.2</v>
      </c>
      <c r="M16" s="312">
        <f>All!M52</f>
        <v>5.6</v>
      </c>
      <c r="N16" s="313">
        <f>All!N52</f>
        <v>9.6999999999999993</v>
      </c>
      <c r="O16" s="461">
        <f>All!O52</f>
        <v>785.4</v>
      </c>
      <c r="P16" s="313">
        <f>All!P52</f>
        <v>65.5</v>
      </c>
    </row>
    <row r="17" spans="1:16" ht="22.15" customHeight="1" thickBot="1">
      <c r="B17" s="331" t="s">
        <v>20</v>
      </c>
      <c r="C17" s="325">
        <f>All!C53</f>
        <v>18.2</v>
      </c>
      <c r="D17" s="314">
        <f>All!D53</f>
        <v>27.9</v>
      </c>
      <c r="E17" s="321">
        <f>All!E53</f>
        <v>39.799999999999997</v>
      </c>
      <c r="F17" s="314">
        <f>All!F53</f>
        <v>70</v>
      </c>
      <c r="G17" s="322">
        <f>All!G53</f>
        <v>82.6</v>
      </c>
      <c r="H17" s="322">
        <f>All!H53</f>
        <v>89.6</v>
      </c>
      <c r="I17" s="322">
        <f>All!I53</f>
        <v>245.8</v>
      </c>
      <c r="J17" s="322">
        <f>All!J53</f>
        <v>210.5</v>
      </c>
      <c r="K17" s="322">
        <f>All!K53</f>
        <v>138.9</v>
      </c>
      <c r="L17" s="314">
        <f>All!L53</f>
        <v>79.3</v>
      </c>
      <c r="M17" s="314">
        <f>All!M53</f>
        <v>63.6</v>
      </c>
      <c r="N17" s="315">
        <f>All!N53</f>
        <v>42.6</v>
      </c>
      <c r="O17" s="462">
        <f>All!O53</f>
        <v>1108.7</v>
      </c>
      <c r="P17" s="323">
        <f>All!P53</f>
        <v>92.4</v>
      </c>
    </row>
    <row r="18" spans="1:16" ht="29.25" customHeight="1" thickBot="1">
      <c r="B18" s="91" t="s">
        <v>23</v>
      </c>
      <c r="C18" s="327">
        <f>All!C37</f>
        <v>23.7</v>
      </c>
      <c r="D18" s="318">
        <f>All!D37</f>
        <v>26.9</v>
      </c>
      <c r="E18" s="318">
        <f>All!E37</f>
        <v>43</v>
      </c>
      <c r="F18" s="318">
        <f>All!F37</f>
        <v>70.8</v>
      </c>
      <c r="G18" s="318">
        <f>All!G37</f>
        <v>89.9</v>
      </c>
      <c r="H18" s="318">
        <f>All!H37</f>
        <v>132.5</v>
      </c>
      <c r="I18" s="319">
        <f>All!I37</f>
        <v>262.3</v>
      </c>
      <c r="J18" s="319">
        <f>All!J37</f>
        <v>278.39999999999998</v>
      </c>
      <c r="K18" s="319">
        <f>All!K37</f>
        <v>137.80000000000001</v>
      </c>
      <c r="L18" s="319">
        <f>All!L37</f>
        <v>63</v>
      </c>
      <c r="M18" s="319">
        <f>All!M37</f>
        <v>54</v>
      </c>
      <c r="N18" s="320">
        <f>All!N37</f>
        <v>34.799999999999997</v>
      </c>
      <c r="O18" s="464">
        <f>All!O37</f>
        <v>1217</v>
      </c>
      <c r="P18" s="320">
        <f>All!P37</f>
        <v>101.4</v>
      </c>
    </row>
    <row r="19" spans="1:16" ht="22.15" customHeight="1" thickBot="1"/>
    <row r="20" spans="1:16">
      <c r="B20" s="333" t="s">
        <v>24</v>
      </c>
      <c r="C20" s="125"/>
      <c r="D20" s="128">
        <f>SUM(G17:K17)</f>
        <v>767.4</v>
      </c>
      <c r="F20" s="92"/>
    </row>
    <row r="21" spans="1:16">
      <c r="B21" s="334" t="s">
        <v>164</v>
      </c>
      <c r="D21" s="129">
        <f>O17</f>
        <v>1108.7</v>
      </c>
    </row>
    <row r="22" spans="1:16" ht="17.25" thickBot="1">
      <c r="B22" s="126"/>
      <c r="C22" s="127"/>
      <c r="D22" s="130">
        <f>D20/D21</f>
        <v>0.69216199152160185</v>
      </c>
    </row>
    <row r="23" spans="1:16" ht="33.75" customHeight="1" thickBot="1">
      <c r="C23" s="306" t="s">
        <v>185</v>
      </c>
      <c r="D23" s="306" t="s">
        <v>186</v>
      </c>
      <c r="E23" s="306" t="s">
        <v>187</v>
      </c>
    </row>
    <row r="24" spans="1:16" ht="21.95" customHeight="1">
      <c r="B24" s="307" t="s">
        <v>93</v>
      </c>
      <c r="C24" s="357">
        <f>O16</f>
        <v>785.4</v>
      </c>
      <c r="D24" s="358"/>
      <c r="E24" s="359"/>
      <c r="H24" s="336" t="s">
        <v>182</v>
      </c>
      <c r="I24" s="607" t="s">
        <v>697</v>
      </c>
      <c r="J24" s="608"/>
      <c r="K24" s="468">
        <f>INDEX(Location[recharge], MATCH(I24,Location[name],0))</f>
        <v>0.17499999999999999</v>
      </c>
      <c r="L24" s="469">
        <f>INDEX(Location[ratio], MATCH(I24,Location[name],0))</f>
        <v>0.67</v>
      </c>
    </row>
    <row r="25" spans="1:16" ht="21.95" customHeight="1">
      <c r="B25" s="308" t="s">
        <v>25</v>
      </c>
      <c r="C25" s="360">
        <f>O18</f>
        <v>1217</v>
      </c>
      <c r="D25" s="361"/>
      <c r="E25" s="362"/>
      <c r="H25" s="336" t="s">
        <v>183</v>
      </c>
      <c r="I25" s="609" t="s">
        <v>192</v>
      </c>
      <c r="J25" s="610"/>
      <c r="K25" s="466">
        <f>INDEX(Location[recharge], MATCH(I25,Location[name],0))</f>
        <v>0.16600000000000001</v>
      </c>
      <c r="L25" s="467">
        <f>INDEX(Location[ratio], MATCH(I25,Location[name],0))</f>
        <v>0.64</v>
      </c>
    </row>
    <row r="26" spans="1:16" ht="21.95" customHeight="1" thickBot="1">
      <c r="B26" s="309" t="s">
        <v>163</v>
      </c>
      <c r="C26" s="363">
        <f>L24</f>
        <v>0.67</v>
      </c>
      <c r="D26" s="364">
        <f>L25</f>
        <v>0.64</v>
      </c>
      <c r="E26" s="365">
        <f>L26</f>
        <v>0.65</v>
      </c>
      <c r="H26" s="336" t="s">
        <v>184</v>
      </c>
      <c r="I26" s="611" t="s">
        <v>254</v>
      </c>
      <c r="J26" s="612"/>
      <c r="K26" s="470">
        <f>INDEX(Location[recharge], MATCH(I26,Location[name],0))</f>
        <v>0.127</v>
      </c>
      <c r="L26" s="471">
        <f>INDEX(Location[ratio], MATCH(I26,Location[name],0))</f>
        <v>0.65</v>
      </c>
    </row>
    <row r="27" spans="1:16" ht="21.95" customHeight="1">
      <c r="B27" s="308" t="s">
        <v>26</v>
      </c>
      <c r="C27" s="366">
        <f>Well!P4</f>
        <v>3778182</v>
      </c>
      <c r="D27" s="361"/>
      <c r="E27" s="367"/>
    </row>
    <row r="28" spans="1:16" ht="21.95" customHeight="1" thickBot="1">
      <c r="B28" s="310" t="s">
        <v>27</v>
      </c>
      <c r="C28" s="368">
        <f>K24</f>
        <v>0.17499999999999999</v>
      </c>
      <c r="D28" s="369">
        <f>K25</f>
        <v>0.16600000000000001</v>
      </c>
      <c r="E28" s="370">
        <f>K26</f>
        <v>0.127</v>
      </c>
    </row>
    <row r="29" spans="1:16" ht="17.25" thickBot="1">
      <c r="E29" s="93"/>
    </row>
    <row r="30" spans="1:16" ht="22.15" customHeight="1" thickBot="1">
      <c r="B30" s="311" t="s">
        <v>165</v>
      </c>
      <c r="C30" s="123">
        <f>max*rf_1/10</f>
        <v>21.297499999999999</v>
      </c>
      <c r="D30" s="123">
        <f>max*rf_2/10</f>
        <v>20.202200000000001</v>
      </c>
      <c r="E30" s="124">
        <f>max*rf_3/10</f>
        <v>15.4559</v>
      </c>
    </row>
    <row r="31" spans="1:16" ht="22.15" customHeight="1">
      <c r="E31" s="93"/>
      <c r="I31" s="404" t="s">
        <v>367</v>
      </c>
    </row>
    <row r="32" spans="1:16" ht="17.25" customHeight="1">
      <c r="A32" s="335" t="s">
        <v>166</v>
      </c>
      <c r="B32" s="256"/>
      <c r="C32" s="256"/>
      <c r="D32" s="256"/>
    </row>
    <row r="33" spans="1:6" ht="17.25" customHeight="1">
      <c r="A33" s="335" t="s">
        <v>167</v>
      </c>
    </row>
    <row r="34" spans="1:6" ht="17.25" customHeight="1">
      <c r="C34" s="256"/>
      <c r="D34" s="256"/>
    </row>
    <row r="35" spans="1:6" ht="17.25" customHeight="1"/>
    <row r="4139" spans="15:15" s="403" customFormat="1" ht="17.25">
      <c r="O4139" s="463"/>
    </row>
    <row r="4425" spans="2430:2430">
      <c r="COL4425" s="257"/>
    </row>
  </sheetData>
  <dataConsolidate/>
  <mergeCells count="3">
    <mergeCell ref="I24:J24"/>
    <mergeCell ref="I25:J25"/>
    <mergeCell ref="I26:J26"/>
  </mergeCells>
  <phoneticPr fontId="7" type="noConversion"/>
  <dataValidations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autoPict="0" r:id="rId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autoPict="0" r:id="rId11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topLeftCell="A4" workbookViewId="0">
      <selection activeCell="G35" sqref="G35"/>
    </sheetView>
  </sheetViews>
  <sheetFormatPr defaultRowHeight="16.5"/>
  <cols>
    <col min="1" max="1" width="28.5546875" style="35" customWidth="1"/>
    <col min="2" max="2" width="14.5546875" style="30" customWidth="1"/>
    <col min="3" max="3" width="4.77734375" customWidth="1"/>
    <col min="4" max="4" width="31.5546875" style="35" customWidth="1"/>
    <col min="5" max="5" width="8.88671875" style="36"/>
    <col min="7" max="7" width="36" style="35" customWidth="1"/>
    <col min="8" max="8" width="8.88671875" style="35"/>
    <col min="10" max="10" width="23.21875" customWidth="1"/>
    <col min="85" max="16384" width="8.88671875" style="35"/>
  </cols>
  <sheetData>
    <row r="2" spans="1:84" s="44" customFormat="1">
      <c r="A2" s="44" t="s">
        <v>148</v>
      </c>
      <c r="B2" s="45" t="s">
        <v>144</v>
      </c>
      <c r="C2"/>
      <c r="D2" s="44" t="s">
        <v>147</v>
      </c>
      <c r="E2" s="46" t="s">
        <v>145</v>
      </c>
      <c r="F2"/>
      <c r="G2" s="44" t="s">
        <v>146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35" t="s">
        <v>120</v>
      </c>
    </row>
    <row r="4" spans="1:84" s="40" customFormat="1">
      <c r="A4" s="39" t="s">
        <v>131</v>
      </c>
      <c r="B4" s="47">
        <v>2</v>
      </c>
      <c r="C4"/>
      <c r="D4" s="39" t="s">
        <v>133</v>
      </c>
      <c r="E4" s="51">
        <v>10</v>
      </c>
      <c r="F4"/>
      <c r="G4" s="39" t="s">
        <v>149</v>
      </c>
      <c r="H4" s="55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37" t="s">
        <v>122</v>
      </c>
      <c r="B5" s="48">
        <v>3</v>
      </c>
      <c r="D5" s="37" t="s">
        <v>134</v>
      </c>
      <c r="E5" s="52">
        <v>10</v>
      </c>
      <c r="G5" s="37" t="s">
        <v>150</v>
      </c>
      <c r="H5" s="56">
        <v>3</v>
      </c>
    </row>
    <row r="6" spans="1:84" s="40" customFormat="1">
      <c r="A6" s="41" t="s">
        <v>123</v>
      </c>
      <c r="B6" s="49">
        <v>4</v>
      </c>
      <c r="C6"/>
      <c r="D6" s="41" t="s">
        <v>135</v>
      </c>
      <c r="E6" s="53">
        <v>9</v>
      </c>
      <c r="F6"/>
      <c r="G6" s="41" t="s">
        <v>121</v>
      </c>
      <c r="H6" s="57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37" t="s">
        <v>124</v>
      </c>
      <c r="B7" s="48">
        <v>5</v>
      </c>
      <c r="D7" s="37" t="s">
        <v>136</v>
      </c>
      <c r="E7" s="52">
        <v>8</v>
      </c>
      <c r="G7" s="37" t="s">
        <v>126</v>
      </c>
      <c r="H7" s="56">
        <v>6</v>
      </c>
    </row>
    <row r="8" spans="1:84" s="40" customFormat="1">
      <c r="A8" s="41" t="s">
        <v>125</v>
      </c>
      <c r="B8" s="49">
        <v>6</v>
      </c>
      <c r="C8"/>
      <c r="D8" s="41" t="s">
        <v>137</v>
      </c>
      <c r="E8" s="53">
        <v>7</v>
      </c>
      <c r="F8"/>
      <c r="G8" s="41" t="s">
        <v>151</v>
      </c>
      <c r="H8" s="57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37" t="s">
        <v>132</v>
      </c>
      <c r="B9" s="48">
        <v>6</v>
      </c>
      <c r="D9" s="37" t="s">
        <v>138</v>
      </c>
      <c r="E9" s="52">
        <v>6</v>
      </c>
      <c r="G9" s="37" t="s">
        <v>152</v>
      </c>
      <c r="H9" s="56">
        <v>6</v>
      </c>
    </row>
    <row r="10" spans="1:84" s="40" customFormat="1">
      <c r="A10" s="41" t="s">
        <v>130</v>
      </c>
      <c r="B10" s="49">
        <v>6</v>
      </c>
      <c r="C10"/>
      <c r="D10" s="41" t="s">
        <v>139</v>
      </c>
      <c r="E10" s="53">
        <v>5</v>
      </c>
      <c r="F10"/>
      <c r="G10" s="41" t="s">
        <v>153</v>
      </c>
      <c r="H10" s="57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37" t="s">
        <v>127</v>
      </c>
      <c r="B11" s="48">
        <v>8</v>
      </c>
      <c r="D11" s="37" t="s">
        <v>140</v>
      </c>
      <c r="E11" s="52">
        <v>4</v>
      </c>
      <c r="G11" s="37" t="s">
        <v>122</v>
      </c>
      <c r="H11" s="56">
        <v>4</v>
      </c>
    </row>
    <row r="12" spans="1:84" s="40" customFormat="1">
      <c r="A12" s="41" t="s">
        <v>128</v>
      </c>
      <c r="B12" s="49">
        <v>9</v>
      </c>
      <c r="C12"/>
      <c r="D12" s="41" t="s">
        <v>141</v>
      </c>
      <c r="E12" s="53">
        <v>3</v>
      </c>
      <c r="F12"/>
      <c r="G12" s="41" t="s">
        <v>127</v>
      </c>
      <c r="H12" s="57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8" t="s">
        <v>129</v>
      </c>
      <c r="B13" s="50">
        <v>10</v>
      </c>
      <c r="D13" s="37" t="s">
        <v>142</v>
      </c>
      <c r="E13" s="52">
        <v>2</v>
      </c>
      <c r="G13" s="37" t="s">
        <v>128</v>
      </c>
      <c r="H13" s="56">
        <v>9</v>
      </c>
    </row>
    <row r="14" spans="1:84" s="40" customFormat="1">
      <c r="B14" s="42"/>
      <c r="C14"/>
      <c r="D14" s="43" t="s">
        <v>143</v>
      </c>
      <c r="E14" s="54">
        <v>1</v>
      </c>
      <c r="F14"/>
      <c r="G14" s="43" t="s">
        <v>129</v>
      </c>
      <c r="H14" s="58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252" t="s">
        <v>347</v>
      </c>
    </row>
    <row r="19" spans="1:7">
      <c r="A19" s="30" t="s">
        <v>388</v>
      </c>
      <c r="D19" s="30" t="s">
        <v>613</v>
      </c>
      <c r="G19" s="407" t="s">
        <v>369</v>
      </c>
    </row>
    <row r="20" spans="1:7">
      <c r="A20" s="30" t="s">
        <v>381</v>
      </c>
      <c r="D20" s="30">
        <v>150</v>
      </c>
      <c r="G20" s="407" t="s">
        <v>370</v>
      </c>
    </row>
    <row r="21" spans="1:7">
      <c r="A21" s="30" t="s">
        <v>382</v>
      </c>
      <c r="D21" s="30">
        <v>200</v>
      </c>
      <c r="G21" s="407" t="s">
        <v>371</v>
      </c>
    </row>
    <row r="22" spans="1:7">
      <c r="A22" s="30" t="s">
        <v>383</v>
      </c>
      <c r="D22" s="30">
        <v>250</v>
      </c>
      <c r="G22" s="407" t="s">
        <v>372</v>
      </c>
    </row>
    <row r="23" spans="1:7">
      <c r="A23" s="30" t="s">
        <v>384</v>
      </c>
      <c r="G23" s="407" t="s">
        <v>373</v>
      </c>
    </row>
    <row r="24" spans="1:7">
      <c r="A24" s="30" t="s">
        <v>385</v>
      </c>
      <c r="G24" s="407" t="s">
        <v>374</v>
      </c>
    </row>
    <row r="25" spans="1:7">
      <c r="A25" s="30" t="s">
        <v>386</v>
      </c>
      <c r="G25" s="407" t="s">
        <v>375</v>
      </c>
    </row>
    <row r="26" spans="1:7">
      <c r="A26" s="30" t="s">
        <v>387</v>
      </c>
      <c r="G26" s="407" t="s">
        <v>376</v>
      </c>
    </row>
    <row r="27" spans="1:7">
      <c r="G27" s="407" t="s">
        <v>377</v>
      </c>
    </row>
    <row r="28" spans="1:7">
      <c r="G28" s="407" t="s">
        <v>378</v>
      </c>
    </row>
    <row r="29" spans="1:7">
      <c r="G29" s="407" t="s">
        <v>379</v>
      </c>
    </row>
    <row r="30" spans="1:7">
      <c r="G30" s="407" t="s">
        <v>380</v>
      </c>
    </row>
    <row r="31" spans="1:7">
      <c r="G31" s="498" t="s">
        <v>634</v>
      </c>
    </row>
    <row r="32" spans="1:7">
      <c r="G32" s="407" t="s">
        <v>693</v>
      </c>
    </row>
    <row r="33" spans="7:7">
      <c r="G33" s="407" t="s">
        <v>699</v>
      </c>
    </row>
    <row r="34" spans="7:7">
      <c r="G34" s="407" t="s">
        <v>714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F29" sqref="F29"/>
    </sheetView>
  </sheetViews>
  <sheetFormatPr defaultRowHeight="18" customHeight="1"/>
  <cols>
    <col min="1" max="1" width="21" style="141" customWidth="1"/>
    <col min="2" max="2" width="11.5546875" style="141" customWidth="1"/>
    <col min="3" max="3" width="13" style="141" customWidth="1"/>
    <col min="4" max="16384" width="8.88671875" style="145"/>
  </cols>
  <sheetData>
    <row r="1" spans="1:12" ht="18" customHeight="1">
      <c r="A1" s="141" t="s">
        <v>197</v>
      </c>
      <c r="B1" s="141" t="s">
        <v>198</v>
      </c>
      <c r="C1" s="141" t="s">
        <v>199</v>
      </c>
    </row>
    <row r="2" spans="1:12" ht="18" customHeight="1">
      <c r="A2" s="141" t="s">
        <v>196</v>
      </c>
      <c r="B2" s="144">
        <v>0.13600000000000001</v>
      </c>
      <c r="C2" s="144">
        <v>0.66</v>
      </c>
    </row>
    <row r="3" spans="1:12" ht="18" customHeight="1">
      <c r="A3" s="141" t="s">
        <v>188</v>
      </c>
      <c r="B3" s="144">
        <v>0.151</v>
      </c>
      <c r="C3" s="144">
        <v>0.65</v>
      </c>
    </row>
    <row r="4" spans="1:12" ht="18" customHeight="1">
      <c r="A4" s="141" t="s">
        <v>178</v>
      </c>
      <c r="B4" s="144">
        <v>0.16700000000000001</v>
      </c>
      <c r="C4" s="144">
        <v>0.65</v>
      </c>
      <c r="J4" s="145" t="s">
        <v>190</v>
      </c>
      <c r="K4" s="145">
        <f>INDEX(Location[recharge],MATCH(J4,Location[name],0))</f>
        <v>0.16600000000000001</v>
      </c>
      <c r="L4" s="145">
        <f>INDEX(Location[ratio], MATCH(J4,Location[name]))</f>
        <v>0.65</v>
      </c>
    </row>
    <row r="5" spans="1:12" ht="18" customHeight="1">
      <c r="A5" s="141" t="s">
        <v>179</v>
      </c>
      <c r="B5" s="144">
        <v>0.17299999999999999</v>
      </c>
      <c r="C5" s="144">
        <v>0.66849999999999998</v>
      </c>
    </row>
    <row r="6" spans="1:12" ht="18" customHeight="1">
      <c r="A6" s="141" t="s">
        <v>189</v>
      </c>
      <c r="B6" s="144">
        <v>0.16300000000000001</v>
      </c>
      <c r="C6" s="144">
        <v>0.67</v>
      </c>
    </row>
    <row r="7" spans="1:12" ht="18" customHeight="1">
      <c r="A7" s="141" t="s">
        <v>191</v>
      </c>
      <c r="B7" s="144">
        <v>0.16600000000000001</v>
      </c>
      <c r="C7" s="144">
        <v>0.64</v>
      </c>
      <c r="E7" s="145" t="s">
        <v>200</v>
      </c>
    </row>
    <row r="8" spans="1:12" ht="18" customHeight="1">
      <c r="A8" s="141" t="s">
        <v>192</v>
      </c>
      <c r="B8" s="144">
        <v>0.16600000000000001</v>
      </c>
      <c r="C8" s="144">
        <v>0.64</v>
      </c>
    </row>
    <row r="9" spans="1:12" ht="18" customHeight="1">
      <c r="A9" s="141" t="s">
        <v>180</v>
      </c>
      <c r="B9" s="144">
        <v>0.125</v>
      </c>
      <c r="C9" s="144">
        <v>0.67</v>
      </c>
    </row>
    <row r="10" spans="1:12" ht="18" customHeight="1">
      <c r="A10" s="141" t="s">
        <v>193</v>
      </c>
      <c r="B10" s="144">
        <v>0.127</v>
      </c>
      <c r="C10" s="144">
        <v>0.65</v>
      </c>
    </row>
    <row r="11" spans="1:12" ht="18" customHeight="1">
      <c r="A11" s="141" t="s">
        <v>194</v>
      </c>
      <c r="B11" s="144">
        <v>0.128</v>
      </c>
      <c r="C11" s="144">
        <v>0.64</v>
      </c>
    </row>
    <row r="12" spans="1:12" ht="18" customHeight="1">
      <c r="A12" s="141" t="s">
        <v>195</v>
      </c>
      <c r="B12" s="144">
        <v>0.17499999999999999</v>
      </c>
      <c r="C12" s="144">
        <v>0.67</v>
      </c>
    </row>
    <row r="13" spans="1:12" ht="18" customHeight="1">
      <c r="A13" s="141" t="s">
        <v>208</v>
      </c>
      <c r="B13" s="144">
        <v>0.13</v>
      </c>
      <c r="C13" s="144">
        <v>0.63</v>
      </c>
    </row>
    <row r="14" spans="1:12" ht="18" customHeight="1">
      <c r="A14" s="141" t="s">
        <v>209</v>
      </c>
      <c r="B14" s="144">
        <v>0.13400000000000001</v>
      </c>
      <c r="C14" s="144">
        <v>0.65</v>
      </c>
    </row>
    <row r="15" spans="1:12" ht="18" customHeight="1">
      <c r="A15" s="141" t="s">
        <v>210</v>
      </c>
      <c r="B15" s="144">
        <v>0.16500000000000001</v>
      </c>
      <c r="C15" s="144">
        <v>0.62</v>
      </c>
    </row>
    <row r="16" spans="1:12" ht="18" customHeight="1">
      <c r="A16" s="141" t="s">
        <v>255</v>
      </c>
      <c r="B16" s="144">
        <v>0.16300000000000001</v>
      </c>
      <c r="C16" s="144">
        <v>0.223</v>
      </c>
    </row>
    <row r="17" spans="1:3" ht="18" customHeight="1">
      <c r="A17" s="141" t="s">
        <v>354</v>
      </c>
      <c r="B17" s="144">
        <v>0.114</v>
      </c>
      <c r="C17" s="144">
        <v>0.68</v>
      </c>
    </row>
    <row r="18" spans="1:3" ht="18" customHeight="1">
      <c r="B18" s="144"/>
      <c r="C18" s="14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19"/>
  <sheetViews>
    <sheetView workbookViewId="0">
      <selection activeCell="C19" sqref="C19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48" t="s">
        <v>309</v>
      </c>
    </row>
    <row r="4" spans="3:11" ht="40.5" customHeight="1">
      <c r="C4" s="475" t="s">
        <v>302</v>
      </c>
      <c r="D4" s="476" t="s">
        <v>276</v>
      </c>
      <c r="E4" s="476" t="s">
        <v>303</v>
      </c>
      <c r="F4" s="477" t="s">
        <v>308</v>
      </c>
      <c r="G4" s="476" t="s">
        <v>294</v>
      </c>
      <c r="H4" s="476" t="s">
        <v>304</v>
      </c>
      <c r="I4" s="476" t="s">
        <v>305</v>
      </c>
      <c r="J4" s="476" t="s">
        <v>306</v>
      </c>
      <c r="K4" s="478" t="s">
        <v>307</v>
      </c>
    </row>
    <row r="5" spans="3:11" ht="97.5" customHeight="1">
      <c r="C5" s="169" t="s">
        <v>227</v>
      </c>
      <c r="D5" s="245" t="s">
        <v>310</v>
      </c>
      <c r="E5" s="245" t="s">
        <v>311</v>
      </c>
      <c r="F5" s="245" t="s">
        <v>312</v>
      </c>
      <c r="G5" s="245" t="s">
        <v>643</v>
      </c>
      <c r="H5" s="245" t="s">
        <v>644</v>
      </c>
      <c r="I5" s="245" t="s">
        <v>645</v>
      </c>
      <c r="J5" s="245" t="s">
        <v>646</v>
      </c>
      <c r="K5" s="246" t="s">
        <v>647</v>
      </c>
    </row>
    <row r="6" spans="3:11" ht="97.5" customHeight="1">
      <c r="C6" s="169" t="s">
        <v>228</v>
      </c>
      <c r="D6" s="245" t="s">
        <v>310</v>
      </c>
      <c r="E6" s="245" t="s">
        <v>311</v>
      </c>
      <c r="F6" s="245" t="s">
        <v>312</v>
      </c>
      <c r="G6" s="245" t="s">
        <v>648</v>
      </c>
      <c r="H6" s="245" t="s">
        <v>649</v>
      </c>
      <c r="I6" s="245" t="s">
        <v>650</v>
      </c>
      <c r="J6" s="245" t="s">
        <v>651</v>
      </c>
      <c r="K6" s="246" t="s">
        <v>652</v>
      </c>
    </row>
    <row r="7" spans="3:11" ht="97.5" customHeight="1">
      <c r="C7" s="169" t="s">
        <v>229</v>
      </c>
      <c r="D7" s="245" t="s">
        <v>310</v>
      </c>
      <c r="E7" s="245" t="s">
        <v>311</v>
      </c>
      <c r="F7" s="245" t="s">
        <v>312</v>
      </c>
      <c r="G7" s="245" t="s">
        <v>653</v>
      </c>
      <c r="H7" s="245" t="s">
        <v>654</v>
      </c>
      <c r="I7" s="245" t="s">
        <v>655</v>
      </c>
      <c r="J7" s="245" t="s">
        <v>656</v>
      </c>
      <c r="K7" s="246" t="s">
        <v>657</v>
      </c>
    </row>
    <row r="8" spans="3:11" ht="97.5" customHeight="1">
      <c r="C8" s="169" t="s">
        <v>351</v>
      </c>
      <c r="D8" s="245" t="s">
        <v>310</v>
      </c>
      <c r="E8" s="245" t="s">
        <v>311</v>
      </c>
      <c r="F8" s="245" t="s">
        <v>312</v>
      </c>
      <c r="G8" s="245" t="s">
        <v>658</v>
      </c>
      <c r="H8" s="245" t="s">
        <v>659</v>
      </c>
      <c r="I8" s="245" t="s">
        <v>660</v>
      </c>
      <c r="J8" s="245" t="s">
        <v>661</v>
      </c>
      <c r="K8" s="246" t="s">
        <v>662</v>
      </c>
    </row>
    <row r="9" spans="3:11" ht="97.5" customHeight="1">
      <c r="C9" s="169" t="s">
        <v>352</v>
      </c>
      <c r="D9" s="245" t="s">
        <v>310</v>
      </c>
      <c r="E9" s="245" t="s">
        <v>311</v>
      </c>
      <c r="F9" s="245" t="s">
        <v>312</v>
      </c>
      <c r="G9" s="245" t="s">
        <v>663</v>
      </c>
      <c r="H9" s="245" t="s">
        <v>664</v>
      </c>
      <c r="I9" s="245" t="s">
        <v>665</v>
      </c>
      <c r="J9" s="245" t="s">
        <v>666</v>
      </c>
      <c r="K9" s="246" t="s">
        <v>667</v>
      </c>
    </row>
    <row r="10" spans="3:11" ht="97.5" customHeight="1">
      <c r="C10" s="169" t="s">
        <v>353</v>
      </c>
      <c r="D10" s="245" t="s">
        <v>310</v>
      </c>
      <c r="E10" s="245" t="s">
        <v>311</v>
      </c>
      <c r="F10" s="245" t="s">
        <v>312</v>
      </c>
      <c r="G10" s="245" t="s">
        <v>668</v>
      </c>
      <c r="H10" s="245" t="s">
        <v>669</v>
      </c>
      <c r="I10" s="245" t="s">
        <v>670</v>
      </c>
      <c r="J10" s="245" t="s">
        <v>671</v>
      </c>
      <c r="K10" s="246" t="s">
        <v>672</v>
      </c>
    </row>
    <row r="11" spans="3:11" ht="97.5" customHeight="1">
      <c r="C11" s="169" t="s">
        <v>639</v>
      </c>
      <c r="D11" s="245" t="s">
        <v>310</v>
      </c>
      <c r="E11" s="245" t="s">
        <v>311</v>
      </c>
      <c r="F11" s="245" t="s">
        <v>312</v>
      </c>
      <c r="G11" s="245" t="s">
        <v>673</v>
      </c>
      <c r="H11" s="245" t="s">
        <v>674</v>
      </c>
      <c r="I11" s="245" t="s">
        <v>675</v>
      </c>
      <c r="J11" s="245" t="s">
        <v>676</v>
      </c>
      <c r="K11" s="246" t="s">
        <v>677</v>
      </c>
    </row>
    <row r="12" spans="3:11" ht="97.5" customHeight="1">
      <c r="C12" s="169" t="s">
        <v>640</v>
      </c>
      <c r="D12" s="245" t="s">
        <v>310</v>
      </c>
      <c r="E12" s="245" t="s">
        <v>311</v>
      </c>
      <c r="F12" s="245" t="s">
        <v>312</v>
      </c>
      <c r="G12" s="245" t="s">
        <v>678</v>
      </c>
      <c r="H12" s="245" t="s">
        <v>679</v>
      </c>
      <c r="I12" s="245" t="s">
        <v>680</v>
      </c>
      <c r="J12" s="245" t="s">
        <v>681</v>
      </c>
      <c r="K12" s="246" t="s">
        <v>682</v>
      </c>
    </row>
    <row r="13" spans="3:11" ht="97.5" customHeight="1">
      <c r="C13" s="169" t="s">
        <v>641</v>
      </c>
      <c r="D13" s="245" t="s">
        <v>310</v>
      </c>
      <c r="E13" s="245" t="s">
        <v>311</v>
      </c>
      <c r="F13" s="245" t="s">
        <v>312</v>
      </c>
      <c r="G13" s="245" t="s">
        <v>653</v>
      </c>
      <c r="H13" s="245" t="s">
        <v>683</v>
      </c>
      <c r="I13" s="245" t="s">
        <v>684</v>
      </c>
      <c r="J13" s="245" t="s">
        <v>685</v>
      </c>
      <c r="K13" s="246" t="s">
        <v>686</v>
      </c>
    </row>
    <row r="14" spans="3:11" ht="97.5" customHeight="1">
      <c r="C14" s="169"/>
      <c r="D14" s="245"/>
      <c r="E14" s="245"/>
      <c r="F14" s="245"/>
      <c r="G14" s="245"/>
      <c r="H14" s="245"/>
      <c r="I14" s="245"/>
      <c r="J14" s="245"/>
      <c r="K14" s="246"/>
    </row>
    <row r="15" spans="3:11" ht="97.5" customHeight="1">
      <c r="C15" s="169"/>
      <c r="D15" s="245"/>
      <c r="E15" s="245"/>
      <c r="F15" s="245"/>
      <c r="G15" s="245"/>
      <c r="H15" s="245"/>
      <c r="I15" s="245"/>
      <c r="J15" s="245"/>
      <c r="K15" s="246"/>
    </row>
    <row r="16" spans="3:11" ht="97.5" customHeight="1">
      <c r="C16" s="169"/>
      <c r="D16" s="245"/>
      <c r="E16" s="245"/>
      <c r="F16" s="245"/>
      <c r="G16" s="245"/>
      <c r="H16" s="245"/>
      <c r="I16" s="245"/>
      <c r="J16" s="245"/>
      <c r="K16" s="246"/>
    </row>
    <row r="17" spans="3:11" ht="97.5" customHeight="1">
      <c r="C17" s="169"/>
      <c r="D17" s="245"/>
      <c r="E17" s="245"/>
      <c r="F17" s="245"/>
      <c r="G17" s="245"/>
      <c r="H17" s="245"/>
      <c r="I17" s="245"/>
      <c r="J17" s="245"/>
      <c r="K17" s="246"/>
    </row>
    <row r="18" spans="3:11" ht="97.5" customHeight="1">
      <c r="C18" s="169"/>
      <c r="D18" s="219"/>
      <c r="E18" s="219"/>
      <c r="F18" s="219"/>
      <c r="G18" s="219"/>
      <c r="H18" s="219"/>
      <c r="I18" s="219"/>
      <c r="J18" s="219"/>
      <c r="K18" s="243"/>
    </row>
    <row r="19" spans="3:11" ht="97.5" customHeight="1" thickBot="1">
      <c r="C19" s="170"/>
      <c r="D19" s="220"/>
      <c r="E19" s="220"/>
      <c r="F19" s="220"/>
      <c r="G19" s="220"/>
      <c r="H19" s="220"/>
      <c r="I19" s="220"/>
      <c r="J19" s="220"/>
      <c r="K19" s="244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G148" sqref="G148"/>
    </sheetView>
  </sheetViews>
  <sheetFormatPr defaultRowHeight="13.5"/>
  <sheetData/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61" r:id="rId3" name="CommandButton1">
          <controlPr defaultSize="0" autoLine="0" r:id="rId4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3" name="CommandButton1"/>
      </mc:Fallback>
    </mc:AlternateContent>
    <mc:AlternateContent xmlns:mc="http://schemas.openxmlformats.org/markup-compatibility/2006">
      <mc:Choice Requires="x14">
        <control shapeId="296962" r:id="rId5" name="CommandButton2">
          <controlPr defaultSize="0" autoLine="0" r:id="rId6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5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38"/>
  <sheetViews>
    <sheetView workbookViewId="0">
      <selection activeCell="A19" sqref="A19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40" ht="18" customHeight="1" thickBot="1"/>
    <row r="4" spans="1:40" s="95" customFormat="1" ht="72.75" customHeight="1">
      <c r="A4" s="173" t="s">
        <v>282</v>
      </c>
      <c r="B4" s="495" t="s">
        <v>322</v>
      </c>
      <c r="C4" s="495" t="s">
        <v>323</v>
      </c>
      <c r="D4" s="495" t="s">
        <v>332</v>
      </c>
      <c r="E4" s="495" t="s">
        <v>340</v>
      </c>
      <c r="F4" s="495" t="s">
        <v>339</v>
      </c>
      <c r="G4" s="495" t="s">
        <v>324</v>
      </c>
      <c r="H4" s="183" t="s">
        <v>314</v>
      </c>
      <c r="I4" s="495" t="s">
        <v>325</v>
      </c>
      <c r="J4" s="495" t="s">
        <v>326</v>
      </c>
      <c r="K4" s="495" t="s">
        <v>330</v>
      </c>
      <c r="L4" s="495" t="s">
        <v>329</v>
      </c>
      <c r="M4" s="495" t="s">
        <v>327</v>
      </c>
      <c r="N4" s="495" t="s">
        <v>320</v>
      </c>
      <c r="O4" s="183" t="s">
        <v>315</v>
      </c>
      <c r="P4" s="183" t="s">
        <v>316</v>
      </c>
      <c r="Q4" s="495" t="s">
        <v>328</v>
      </c>
      <c r="R4" s="495" t="s">
        <v>333</v>
      </c>
      <c r="S4" s="495" t="s">
        <v>334</v>
      </c>
      <c r="T4" s="183" t="s">
        <v>319</v>
      </c>
      <c r="U4" s="495" t="s">
        <v>331</v>
      </c>
      <c r="V4" s="183" t="s">
        <v>317</v>
      </c>
      <c r="W4" s="183" t="s">
        <v>318</v>
      </c>
      <c r="X4" s="183" t="s">
        <v>321</v>
      </c>
      <c r="Y4" s="495" t="s">
        <v>337</v>
      </c>
      <c r="Z4" s="495" t="s">
        <v>338</v>
      </c>
      <c r="AA4" s="495" t="s">
        <v>345</v>
      </c>
      <c r="AB4" s="495" t="s">
        <v>346</v>
      </c>
      <c r="AC4" s="495" t="s">
        <v>341</v>
      </c>
      <c r="AD4" s="495" t="s">
        <v>335</v>
      </c>
      <c r="AE4" s="495" t="s">
        <v>336</v>
      </c>
      <c r="AF4" s="495" t="s">
        <v>342</v>
      </c>
      <c r="AG4" s="183" t="s">
        <v>343</v>
      </c>
      <c r="AH4" s="183" t="s">
        <v>344</v>
      </c>
      <c r="AI4" s="183" t="s">
        <v>627</v>
      </c>
      <c r="AJ4" s="183" t="s">
        <v>626</v>
      </c>
      <c r="AK4" s="183" t="s">
        <v>628</v>
      </c>
      <c r="AL4" s="183" t="s">
        <v>629</v>
      </c>
      <c r="AM4" s="183" t="s">
        <v>630</v>
      </c>
      <c r="AN4" s="175" t="s">
        <v>631</v>
      </c>
    </row>
    <row r="5" spans="1:40" ht="23.1" customHeight="1">
      <c r="A5" s="169" t="s">
        <v>227</v>
      </c>
      <c r="B5" s="219">
        <v>12.03</v>
      </c>
      <c r="C5" s="219">
        <v>26.47</v>
      </c>
      <c r="D5" s="250">
        <v>13.735742375279642</v>
      </c>
      <c r="E5" s="250">
        <v>12.734257624720357</v>
      </c>
      <c r="F5" s="250">
        <v>14.44</v>
      </c>
      <c r="G5" s="219">
        <v>200</v>
      </c>
      <c r="H5" s="219">
        <v>0.1</v>
      </c>
      <c r="I5" s="219">
        <v>500</v>
      </c>
      <c r="J5" s="219">
        <v>30</v>
      </c>
      <c r="K5" s="219">
        <v>53</v>
      </c>
      <c r="L5" s="250">
        <v>1.3796441648969833</v>
      </c>
      <c r="M5" s="219">
        <v>5</v>
      </c>
      <c r="N5" s="219">
        <v>470</v>
      </c>
      <c r="O5" s="248">
        <v>2.5489999999999999</v>
      </c>
      <c r="P5" s="248">
        <v>1.95</v>
      </c>
      <c r="Q5" s="248">
        <v>2.2494999999999998</v>
      </c>
      <c r="R5" s="219">
        <v>9.7610000000000002E-2</v>
      </c>
      <c r="S5" s="251">
        <v>2.8430000000000003E-4</v>
      </c>
      <c r="T5" s="248">
        <v>4.7800000000000004E-3</v>
      </c>
      <c r="U5" s="219">
        <v>0.54159999999999997</v>
      </c>
      <c r="V5" s="249">
        <v>28.1</v>
      </c>
      <c r="W5" s="249">
        <v>34.4</v>
      </c>
      <c r="X5" s="249">
        <v>98.2</v>
      </c>
      <c r="Y5" s="219">
        <v>-2.9195000000000002</v>
      </c>
      <c r="Z5" s="248">
        <v>1.853</v>
      </c>
      <c r="AA5" s="219">
        <v>60</v>
      </c>
      <c r="AB5" s="219">
        <v>54.59</v>
      </c>
      <c r="AC5" s="219">
        <v>33</v>
      </c>
      <c r="AD5" s="219">
        <v>6.04</v>
      </c>
      <c r="AE5" s="219">
        <v>12.85</v>
      </c>
      <c r="AF5" s="219">
        <v>1.1566E-3</v>
      </c>
      <c r="AG5" s="219">
        <v>0.1440215</v>
      </c>
      <c r="AH5" s="494">
        <v>0.9</v>
      </c>
      <c r="AI5" s="219">
        <v>1.855</v>
      </c>
      <c r="AJ5" s="219">
        <v>5.0000000000000001E-4</v>
      </c>
      <c r="AK5" s="219" t="s">
        <v>283</v>
      </c>
      <c r="AL5" s="219">
        <v>4.9185999999999996</v>
      </c>
      <c r="AM5" s="219">
        <v>4.9223999999999997</v>
      </c>
      <c r="AN5" s="243">
        <v>1.3972</v>
      </c>
    </row>
    <row r="6" spans="1:40" ht="23.1" customHeight="1">
      <c r="A6" s="169" t="s">
        <v>228</v>
      </c>
      <c r="B6" s="219">
        <v>11.89</v>
      </c>
      <c r="C6" s="219">
        <v>25.37</v>
      </c>
      <c r="D6" s="250">
        <v>13.572433775680697</v>
      </c>
      <c r="E6" s="250">
        <v>11.797566224319304</v>
      </c>
      <c r="F6" s="250">
        <v>13.48</v>
      </c>
      <c r="G6" s="219">
        <v>200</v>
      </c>
      <c r="H6" s="219">
        <v>0.1</v>
      </c>
      <c r="I6" s="219">
        <v>500</v>
      </c>
      <c r="J6" s="219">
        <v>30</v>
      </c>
      <c r="K6" s="219">
        <v>55</v>
      </c>
      <c r="L6" s="250">
        <v>1.3455826890221456</v>
      </c>
      <c r="M6" s="219">
        <v>5</v>
      </c>
      <c r="N6" s="219">
        <v>470</v>
      </c>
      <c r="O6" s="248">
        <v>2.859</v>
      </c>
      <c r="P6" s="248">
        <v>1.8819999999999999</v>
      </c>
      <c r="Q6" s="248">
        <v>2.3704999999999998</v>
      </c>
      <c r="R6" s="219">
        <v>0.1012</v>
      </c>
      <c r="S6" s="251">
        <v>2.7480000000000001E-4</v>
      </c>
      <c r="T6" s="248">
        <v>5.0400000000000002E-3</v>
      </c>
      <c r="U6" s="219">
        <v>0.54159999999999997</v>
      </c>
      <c r="V6" s="249">
        <v>28.3</v>
      </c>
      <c r="W6" s="249">
        <v>34.700000000000003</v>
      </c>
      <c r="X6" s="249">
        <v>102.5</v>
      </c>
      <c r="Y6" s="219">
        <v>-2.9542000000000002</v>
      </c>
      <c r="Z6" s="248">
        <v>1.919</v>
      </c>
      <c r="AA6" s="219">
        <v>63</v>
      </c>
      <c r="AB6" s="219">
        <v>56.21</v>
      </c>
      <c r="AC6" s="219">
        <v>34</v>
      </c>
      <c r="AD6" s="219">
        <v>5.64</v>
      </c>
      <c r="AE6" s="219">
        <v>11.99</v>
      </c>
      <c r="AF6" s="219">
        <v>8.4979999999999995E-4</v>
      </c>
      <c r="AG6" s="219">
        <v>0.1354022</v>
      </c>
      <c r="AH6" s="494">
        <v>0.88888888888888884</v>
      </c>
      <c r="AI6" s="219">
        <v>1.855</v>
      </c>
      <c r="AJ6" s="219">
        <v>5.0000000000000001E-4</v>
      </c>
      <c r="AK6" s="219" t="s">
        <v>283</v>
      </c>
      <c r="AL6" s="219">
        <v>5.4386000000000001</v>
      </c>
      <c r="AM6" s="219">
        <v>5.4425999999999997</v>
      </c>
      <c r="AN6" s="243">
        <v>1.4227000000000001</v>
      </c>
    </row>
    <row r="7" spans="1:40" ht="23.1" customHeight="1">
      <c r="A7" s="169" t="s">
        <v>229</v>
      </c>
      <c r="B7" s="219">
        <v>11.75</v>
      </c>
      <c r="C7" s="219">
        <v>25.52</v>
      </c>
      <c r="D7" s="250">
        <v>13.439611232529069</v>
      </c>
      <c r="E7" s="250">
        <v>12.08038876747093</v>
      </c>
      <c r="F7" s="250">
        <v>13.77</v>
      </c>
      <c r="G7" s="219">
        <v>200</v>
      </c>
      <c r="H7" s="219">
        <v>0.1</v>
      </c>
      <c r="I7" s="219">
        <v>500</v>
      </c>
      <c r="J7" s="219">
        <v>30</v>
      </c>
      <c r="K7" s="219">
        <v>54</v>
      </c>
      <c r="L7" s="250">
        <v>1.3514598577653809</v>
      </c>
      <c r="M7" s="219">
        <v>5</v>
      </c>
      <c r="N7" s="219">
        <v>470</v>
      </c>
      <c r="O7" s="248">
        <v>2.738</v>
      </c>
      <c r="P7" s="248">
        <v>2.1669999999999998</v>
      </c>
      <c r="Q7" s="248">
        <v>2.4524999999999997</v>
      </c>
      <c r="R7" s="219">
        <v>0.1002</v>
      </c>
      <c r="S7" s="251">
        <v>2.789E-4</v>
      </c>
      <c r="T7" s="248">
        <v>5.2100000000000002E-3</v>
      </c>
      <c r="U7" s="219">
        <v>0.54159999999999997</v>
      </c>
      <c r="V7" s="249">
        <v>28.9</v>
      </c>
      <c r="W7" s="249">
        <v>35.4</v>
      </c>
      <c r="X7" s="249">
        <v>103.5</v>
      </c>
      <c r="Y7" s="219">
        <v>-2.9416000000000002</v>
      </c>
      <c r="Z7" s="248">
        <v>1.895</v>
      </c>
      <c r="AA7" s="219">
        <v>62</v>
      </c>
      <c r="AB7" s="219">
        <v>56.23</v>
      </c>
      <c r="AC7" s="219">
        <v>34</v>
      </c>
      <c r="AD7" s="219">
        <v>5.76</v>
      </c>
      <c r="AE7" s="219">
        <v>12.25</v>
      </c>
      <c r="AF7" s="219">
        <v>9.881E-4</v>
      </c>
      <c r="AG7" s="219">
        <v>0.1357246</v>
      </c>
      <c r="AH7" s="494">
        <v>0.90322580645161288</v>
      </c>
      <c r="AI7" s="219">
        <v>1.855</v>
      </c>
      <c r="AJ7" s="219">
        <v>5.0000000000000001E-4</v>
      </c>
      <c r="AK7" s="219" t="s">
        <v>283</v>
      </c>
      <c r="AL7" s="219">
        <v>5.4181999999999997</v>
      </c>
      <c r="AM7" s="219">
        <v>5.4222000000000001</v>
      </c>
      <c r="AN7" s="243">
        <v>1.4156</v>
      </c>
    </row>
    <row r="8" spans="1:40" ht="23.1" customHeight="1">
      <c r="A8" s="169" t="s">
        <v>351</v>
      </c>
      <c r="B8" s="219">
        <v>12.54</v>
      </c>
      <c r="C8" s="219">
        <v>24.45</v>
      </c>
      <c r="D8" s="250">
        <v>14.181278771427989</v>
      </c>
      <c r="E8" s="250">
        <v>10.26872122857201</v>
      </c>
      <c r="F8" s="250">
        <v>11.91</v>
      </c>
      <c r="G8" s="219">
        <v>200</v>
      </c>
      <c r="H8" s="219">
        <v>0.1</v>
      </c>
      <c r="I8" s="219">
        <v>500</v>
      </c>
      <c r="J8" s="219">
        <v>30</v>
      </c>
      <c r="K8" s="219">
        <v>52</v>
      </c>
      <c r="L8" s="250">
        <v>1.1463010777523692</v>
      </c>
      <c r="M8" s="219">
        <v>5</v>
      </c>
      <c r="N8" s="219">
        <v>470</v>
      </c>
      <c r="O8" s="248">
        <v>3.0750000000000002</v>
      </c>
      <c r="P8" s="248">
        <v>1.9790000000000001</v>
      </c>
      <c r="Q8" s="248">
        <v>2.5270000000000001</v>
      </c>
      <c r="R8" s="219">
        <v>0.10390000000000001</v>
      </c>
      <c r="S8" s="251">
        <v>2.5530000000000003E-4</v>
      </c>
      <c r="T8" s="248">
        <v>5.3699999999999998E-3</v>
      </c>
      <c r="U8" s="219">
        <v>0.54159999999999997</v>
      </c>
      <c r="V8" s="249">
        <v>28.5</v>
      </c>
      <c r="W8" s="249">
        <v>34.9</v>
      </c>
      <c r="X8" s="249">
        <v>109.8</v>
      </c>
      <c r="Y8" s="219">
        <v>-3.0042</v>
      </c>
      <c r="Z8" s="248">
        <v>2.0169999999999999</v>
      </c>
      <c r="AA8" s="219">
        <v>59</v>
      </c>
      <c r="AB8" s="219">
        <v>52.92</v>
      </c>
      <c r="AC8" s="219">
        <v>32</v>
      </c>
      <c r="AD8" s="219">
        <v>4.9800000000000004</v>
      </c>
      <c r="AE8" s="219">
        <v>10.59</v>
      </c>
      <c r="AF8" s="219">
        <v>8.7969999999999997E-4</v>
      </c>
      <c r="AG8" s="219">
        <v>0.12663079999999999</v>
      </c>
      <c r="AH8" s="494">
        <v>0.88135593220338981</v>
      </c>
      <c r="AI8" s="219">
        <v>1.855</v>
      </c>
      <c r="AJ8" s="219">
        <v>5.0000000000000001E-4</v>
      </c>
      <c r="AK8" s="219" t="s">
        <v>283</v>
      </c>
      <c r="AL8" s="219">
        <v>6.0244</v>
      </c>
      <c r="AM8" s="219">
        <v>6.0284000000000004</v>
      </c>
      <c r="AN8" s="243">
        <v>1.4415</v>
      </c>
    </row>
    <row r="9" spans="1:40" ht="23.1" customHeight="1">
      <c r="A9" s="169" t="s">
        <v>352</v>
      </c>
      <c r="B9" s="219">
        <v>11.7</v>
      </c>
      <c r="C9" s="219">
        <v>25.37</v>
      </c>
      <c r="D9" s="250">
        <v>13.387150025816638</v>
      </c>
      <c r="E9" s="250">
        <v>11.982849974183363</v>
      </c>
      <c r="F9" s="250">
        <v>13.670000000000002</v>
      </c>
      <c r="G9" s="219">
        <v>200</v>
      </c>
      <c r="H9" s="219">
        <v>0.1</v>
      </c>
      <c r="I9" s="219">
        <v>500</v>
      </c>
      <c r="J9" s="219">
        <v>30</v>
      </c>
      <c r="K9" s="219">
        <v>56</v>
      </c>
      <c r="L9" s="250">
        <v>1.3637777401133182</v>
      </c>
      <c r="M9" s="219">
        <v>5</v>
      </c>
      <c r="N9" s="219">
        <v>470</v>
      </c>
      <c r="O9" s="248">
        <v>2.87</v>
      </c>
      <c r="P9" s="248">
        <v>2.8029999999999999</v>
      </c>
      <c r="Q9" s="248">
        <v>2.8365</v>
      </c>
      <c r="R9" s="219">
        <v>0.1018</v>
      </c>
      <c r="S9" s="251">
        <v>2.7520000000000002E-4</v>
      </c>
      <c r="T9" s="248">
        <v>6.0299999999999998E-3</v>
      </c>
      <c r="U9" s="219">
        <v>0.54159999999999997</v>
      </c>
      <c r="V9" s="249">
        <v>31.2</v>
      </c>
      <c r="W9" s="249">
        <v>38.200000000000003</v>
      </c>
      <c r="X9" s="249">
        <v>112.1</v>
      </c>
      <c r="Y9" s="219">
        <v>-2.9565000000000001</v>
      </c>
      <c r="Z9" s="248">
        <v>1.923</v>
      </c>
      <c r="AA9" s="219">
        <v>64</v>
      </c>
      <c r="AB9" s="219">
        <v>57.87</v>
      </c>
      <c r="AC9" s="219">
        <v>35</v>
      </c>
      <c r="AD9" s="219">
        <v>5.72</v>
      </c>
      <c r="AE9" s="219">
        <v>12.16</v>
      </c>
      <c r="AF9" s="219">
        <v>8.8219999999999998E-4</v>
      </c>
      <c r="AG9" s="219">
        <v>0.13301689999999999</v>
      </c>
      <c r="AH9" s="494">
        <v>0.890625</v>
      </c>
      <c r="AI9" s="219">
        <v>1.855</v>
      </c>
      <c r="AJ9" s="219">
        <v>5.0000000000000001E-4</v>
      </c>
      <c r="AK9" s="219" t="s">
        <v>283</v>
      </c>
      <c r="AL9" s="219">
        <v>5.5919999999999996</v>
      </c>
      <c r="AM9" s="219">
        <v>5.5960000000000001</v>
      </c>
      <c r="AN9" s="243">
        <v>1.4269000000000001</v>
      </c>
    </row>
    <row r="10" spans="1:40" ht="23.1" customHeight="1">
      <c r="A10" s="169" t="s">
        <v>353</v>
      </c>
      <c r="B10" s="219">
        <v>12.3</v>
      </c>
      <c r="C10" s="219">
        <v>24.24</v>
      </c>
      <c r="D10" s="250">
        <v>13.942104780286888</v>
      </c>
      <c r="E10" s="250">
        <v>10.29789521971311</v>
      </c>
      <c r="F10" s="250">
        <v>11.939999999999998</v>
      </c>
      <c r="G10" s="219">
        <v>200</v>
      </c>
      <c r="H10" s="219">
        <v>0.1</v>
      </c>
      <c r="I10" s="219">
        <v>500</v>
      </c>
      <c r="J10" s="219">
        <v>30</v>
      </c>
      <c r="K10" s="219">
        <v>51</v>
      </c>
      <c r="L10" s="250">
        <v>1.2255349733297856</v>
      </c>
      <c r="M10" s="219">
        <v>5</v>
      </c>
      <c r="N10" s="219">
        <v>470</v>
      </c>
      <c r="O10" s="248">
        <v>3.0059999999999998</v>
      </c>
      <c r="P10" s="248">
        <v>2.6789999999999998</v>
      </c>
      <c r="Q10" s="248">
        <v>2.8424999999999998</v>
      </c>
      <c r="R10" s="219">
        <v>0.1024</v>
      </c>
      <c r="S10" s="251">
        <v>2.7250000000000001E-4</v>
      </c>
      <c r="T10" s="248">
        <v>6.0400000000000002E-3</v>
      </c>
      <c r="U10" s="219">
        <v>0.54159999999999997</v>
      </c>
      <c r="V10" s="249">
        <v>29.3</v>
      </c>
      <c r="W10" s="249">
        <v>35.9</v>
      </c>
      <c r="X10" s="249">
        <v>112.7</v>
      </c>
      <c r="Y10" s="219">
        <v>-2.9649000000000001</v>
      </c>
      <c r="Z10" s="248">
        <v>1.9390000000000001</v>
      </c>
      <c r="AA10" s="219">
        <v>58</v>
      </c>
      <c r="AB10" s="219">
        <v>51.29</v>
      </c>
      <c r="AC10" s="219">
        <v>31</v>
      </c>
      <c r="AD10" s="219">
        <v>4.99</v>
      </c>
      <c r="AE10" s="219">
        <v>10.62</v>
      </c>
      <c r="AF10" s="219">
        <v>8.2600000000000002E-4</v>
      </c>
      <c r="AG10" s="219">
        <v>0.1336408</v>
      </c>
      <c r="AH10" s="494">
        <v>0.87931034482758619</v>
      </c>
      <c r="AI10" s="219">
        <v>1.855</v>
      </c>
      <c r="AJ10" s="219">
        <v>5.0000000000000001E-4</v>
      </c>
      <c r="AK10" s="219" t="s">
        <v>283</v>
      </c>
      <c r="AL10" s="219">
        <v>5.5514999999999999</v>
      </c>
      <c r="AM10" s="219">
        <v>5.5555000000000003</v>
      </c>
      <c r="AN10" s="243">
        <v>1.4311</v>
      </c>
    </row>
    <row r="11" spans="1:40" ht="23.1" customHeight="1">
      <c r="A11" s="169" t="s">
        <v>639</v>
      </c>
      <c r="B11" s="219">
        <v>11.48</v>
      </c>
      <c r="C11" s="219">
        <v>25.45</v>
      </c>
      <c r="D11" s="250">
        <v>13.174491057450327</v>
      </c>
      <c r="E11" s="250">
        <v>12.275508942549672</v>
      </c>
      <c r="F11" s="250">
        <v>13.969999999999999</v>
      </c>
      <c r="G11" s="219">
        <v>200</v>
      </c>
      <c r="H11" s="219">
        <v>0.1</v>
      </c>
      <c r="I11" s="219">
        <v>500</v>
      </c>
      <c r="J11" s="219">
        <v>30</v>
      </c>
      <c r="K11" s="219">
        <v>50</v>
      </c>
      <c r="L11" s="250">
        <v>1.3208877685237106</v>
      </c>
      <c r="M11" s="219">
        <v>5</v>
      </c>
      <c r="N11" s="219">
        <v>470</v>
      </c>
      <c r="O11" s="248">
        <v>2.4790000000000001</v>
      </c>
      <c r="P11" s="248">
        <v>1.663</v>
      </c>
      <c r="Q11" s="248">
        <v>2.0710000000000002</v>
      </c>
      <c r="R11" s="219">
        <v>9.7239999999999993E-2</v>
      </c>
      <c r="S11" s="251">
        <v>2.878E-4</v>
      </c>
      <c r="T11" s="248">
        <v>4.4000000000000003E-3</v>
      </c>
      <c r="U11" s="219">
        <v>0.54159999999999997</v>
      </c>
      <c r="V11" s="249">
        <v>26.3</v>
      </c>
      <c r="W11" s="249">
        <v>32.299999999999997</v>
      </c>
      <c r="X11" s="249">
        <v>93.6</v>
      </c>
      <c r="Y11" s="219">
        <v>-2.911</v>
      </c>
      <c r="Z11" s="248">
        <v>1.8380000000000001</v>
      </c>
      <c r="AA11" s="219">
        <v>57</v>
      </c>
      <c r="AB11" s="219">
        <v>51.29</v>
      </c>
      <c r="AC11" s="219">
        <v>31</v>
      </c>
      <c r="AD11" s="219">
        <v>5.84</v>
      </c>
      <c r="AE11" s="219">
        <v>12.43</v>
      </c>
      <c r="AF11" s="219">
        <v>1.0855999999999999E-3</v>
      </c>
      <c r="AG11" s="219">
        <v>0.15543119999999999</v>
      </c>
      <c r="AH11" s="494">
        <v>0.89473684210526316</v>
      </c>
      <c r="AI11" s="219">
        <v>1.855</v>
      </c>
      <c r="AJ11" s="219">
        <v>5.0000000000000001E-4</v>
      </c>
      <c r="AK11" s="219" t="s">
        <v>283</v>
      </c>
      <c r="AL11" s="219">
        <v>4.3059000000000003</v>
      </c>
      <c r="AM11" s="219">
        <v>4.3094000000000001</v>
      </c>
      <c r="AN11" s="243">
        <v>1.3946000000000001</v>
      </c>
    </row>
    <row r="12" spans="1:40" ht="23.1" customHeight="1">
      <c r="A12" s="169" t="s">
        <v>640</v>
      </c>
      <c r="B12" s="219">
        <v>11.75</v>
      </c>
      <c r="C12" s="219">
        <v>26.1</v>
      </c>
      <c r="D12" s="250">
        <v>13.453610782756019</v>
      </c>
      <c r="E12" s="250">
        <v>12.646389217243982</v>
      </c>
      <c r="F12" s="250">
        <v>14.350000000000001</v>
      </c>
      <c r="G12" s="219">
        <v>200</v>
      </c>
      <c r="H12" s="219">
        <v>0.1</v>
      </c>
      <c r="I12" s="219">
        <v>410</v>
      </c>
      <c r="J12" s="219">
        <v>30</v>
      </c>
      <c r="K12" s="219">
        <v>59</v>
      </c>
      <c r="L12" s="250">
        <v>1.430765427372948</v>
      </c>
      <c r="M12" s="219">
        <v>5</v>
      </c>
      <c r="N12" s="219">
        <v>380</v>
      </c>
      <c r="O12" s="248">
        <v>2.883</v>
      </c>
      <c r="P12" s="248">
        <v>2.4809999999999999</v>
      </c>
      <c r="Q12" s="248">
        <v>2.6819999999999999</v>
      </c>
      <c r="R12" s="219">
        <v>0.1016</v>
      </c>
      <c r="S12" s="251">
        <v>2.7349999999999998E-4</v>
      </c>
      <c r="T12" s="248">
        <v>7.0499999999999998E-3</v>
      </c>
      <c r="U12" s="219">
        <v>0.54159999999999997</v>
      </c>
      <c r="V12" s="249">
        <v>34.700000000000003</v>
      </c>
      <c r="W12" s="249">
        <v>42.5</v>
      </c>
      <c r="X12" s="249">
        <v>109.3</v>
      </c>
      <c r="Y12" s="219">
        <v>-2.9586000000000001</v>
      </c>
      <c r="Z12" s="248">
        <v>1.927</v>
      </c>
      <c r="AA12" s="219">
        <v>67</v>
      </c>
      <c r="AB12" s="219">
        <v>59.57</v>
      </c>
      <c r="AC12" s="219">
        <v>36</v>
      </c>
      <c r="AD12" s="219">
        <v>6</v>
      </c>
      <c r="AE12" s="219">
        <v>12.77</v>
      </c>
      <c r="AF12" s="219">
        <v>7.6729999999999995E-4</v>
      </c>
      <c r="AG12" s="219">
        <v>0.13789190000000001</v>
      </c>
      <c r="AH12" s="494">
        <v>0.88059701492537312</v>
      </c>
      <c r="AI12" s="219">
        <v>1.855</v>
      </c>
      <c r="AJ12" s="219">
        <v>5.0000000000000001E-4</v>
      </c>
      <c r="AK12" s="219" t="s">
        <v>283</v>
      </c>
      <c r="AL12" s="219">
        <v>5.2830000000000004</v>
      </c>
      <c r="AM12" s="219">
        <v>5.2869000000000002</v>
      </c>
      <c r="AN12" s="243">
        <v>1.4255</v>
      </c>
    </row>
    <row r="13" spans="1:40" ht="23.1" customHeight="1">
      <c r="A13" s="169" t="s">
        <v>641</v>
      </c>
      <c r="B13" s="219">
        <v>11.32</v>
      </c>
      <c r="C13" s="219">
        <v>25.42</v>
      </c>
      <c r="D13" s="250">
        <v>12.969355191161402</v>
      </c>
      <c r="E13" s="250">
        <v>12.4506448088386</v>
      </c>
      <c r="F13" s="250">
        <v>14.100000000000001</v>
      </c>
      <c r="G13" s="219">
        <v>200</v>
      </c>
      <c r="H13" s="219">
        <v>0.1</v>
      </c>
      <c r="I13" s="219">
        <v>410</v>
      </c>
      <c r="J13" s="219">
        <v>30</v>
      </c>
      <c r="K13" s="219">
        <v>54</v>
      </c>
      <c r="L13" s="250">
        <v>0.39232794237853885</v>
      </c>
      <c r="M13" s="219">
        <v>5</v>
      </c>
      <c r="N13" s="219">
        <v>380</v>
      </c>
      <c r="O13" s="248">
        <v>2.883</v>
      </c>
      <c r="P13" s="248">
        <v>2.645</v>
      </c>
      <c r="Q13" s="248">
        <v>2.7640000000000002</v>
      </c>
      <c r="R13" s="219">
        <v>0.1613</v>
      </c>
      <c r="S13" s="251">
        <v>2.7720000000000002E-4</v>
      </c>
      <c r="T13" s="248">
        <v>7.2700000000000004E-3</v>
      </c>
      <c r="U13" s="219">
        <v>0.54159999999999997</v>
      </c>
      <c r="V13" s="249">
        <v>34.700000000000003</v>
      </c>
      <c r="W13" s="249">
        <v>42.5</v>
      </c>
      <c r="X13" s="249">
        <v>110.2</v>
      </c>
      <c r="Y13" s="219">
        <v>-3.2663000000000002</v>
      </c>
      <c r="Z13" s="248">
        <v>2.621</v>
      </c>
      <c r="AA13" s="219">
        <v>62</v>
      </c>
      <c r="AB13" s="219">
        <v>56.27</v>
      </c>
      <c r="AC13" s="219">
        <v>34</v>
      </c>
      <c r="AD13" s="219">
        <v>5.89</v>
      </c>
      <c r="AE13" s="219">
        <v>12.54</v>
      </c>
      <c r="AF13" s="219">
        <v>1.0380999999999999E-3</v>
      </c>
      <c r="AG13" s="219">
        <v>0.13712340000000001</v>
      </c>
      <c r="AH13" s="494">
        <v>0.90322580645161288</v>
      </c>
      <c r="AI13" s="219">
        <v>1.855</v>
      </c>
      <c r="AJ13" s="219">
        <v>5.0000000000000001E-4</v>
      </c>
      <c r="AK13" s="219" t="s">
        <v>283</v>
      </c>
      <c r="AL13" s="219">
        <v>5.3305999999999996</v>
      </c>
      <c r="AM13" s="219">
        <v>5.3345000000000002</v>
      </c>
      <c r="AN13" s="243">
        <v>1.7961</v>
      </c>
    </row>
    <row r="14" spans="1:40" ht="23.1" customHeight="1">
      <c r="A14" s="169"/>
      <c r="B14" s="219"/>
      <c r="C14" s="219"/>
      <c r="D14" s="250"/>
      <c r="E14" s="250"/>
      <c r="F14" s="250"/>
      <c r="G14" s="219"/>
      <c r="H14" s="219"/>
      <c r="I14" s="219"/>
      <c r="J14" s="219"/>
      <c r="K14" s="219"/>
      <c r="L14" s="250"/>
      <c r="M14" s="219"/>
      <c r="N14" s="219"/>
      <c r="O14" s="248"/>
      <c r="P14" s="248"/>
      <c r="Q14" s="248"/>
      <c r="R14" s="219"/>
      <c r="S14" s="251"/>
      <c r="T14" s="248"/>
      <c r="U14" s="219"/>
      <c r="V14" s="249"/>
      <c r="W14" s="249"/>
      <c r="X14" s="249"/>
      <c r="Y14" s="219"/>
      <c r="Z14" s="248"/>
      <c r="AA14" s="219"/>
      <c r="AB14" s="219"/>
      <c r="AC14" s="219"/>
      <c r="AD14" s="219"/>
      <c r="AE14" s="219"/>
      <c r="AF14" s="219"/>
      <c r="AG14" s="219"/>
      <c r="AH14" s="494"/>
      <c r="AI14" s="219"/>
      <c r="AJ14" s="219"/>
      <c r="AK14" s="219"/>
      <c r="AL14" s="219"/>
      <c r="AM14" s="219"/>
      <c r="AN14" s="243"/>
    </row>
    <row r="15" spans="1:40" ht="23.1" customHeight="1">
      <c r="A15" s="169"/>
      <c r="B15" s="219"/>
      <c r="C15" s="219"/>
      <c r="D15" s="250"/>
      <c r="E15" s="250"/>
      <c r="F15" s="250"/>
      <c r="G15" s="219"/>
      <c r="H15" s="219"/>
      <c r="I15" s="219"/>
      <c r="J15" s="219"/>
      <c r="K15" s="219"/>
      <c r="L15" s="250"/>
      <c r="M15" s="219"/>
      <c r="N15" s="219"/>
      <c r="O15" s="248"/>
      <c r="P15" s="248"/>
      <c r="Q15" s="248"/>
      <c r="R15" s="219"/>
      <c r="S15" s="251"/>
      <c r="T15" s="248"/>
      <c r="U15" s="219"/>
      <c r="V15" s="249"/>
      <c r="W15" s="249"/>
      <c r="X15" s="249"/>
      <c r="Y15" s="219"/>
      <c r="Z15" s="248"/>
      <c r="AA15" s="219"/>
      <c r="AB15" s="219"/>
      <c r="AC15" s="219"/>
      <c r="AD15" s="219"/>
      <c r="AE15" s="219"/>
      <c r="AF15" s="219"/>
      <c r="AG15" s="219"/>
      <c r="AH15" s="494"/>
      <c r="AI15" s="219"/>
      <c r="AJ15" s="219"/>
      <c r="AK15" s="219"/>
      <c r="AL15" s="219"/>
      <c r="AM15" s="219"/>
      <c r="AN15" s="243"/>
    </row>
    <row r="16" spans="1:40" ht="23.1" customHeight="1">
      <c r="A16" s="169"/>
      <c r="B16" s="219"/>
      <c r="C16" s="219"/>
      <c r="D16" s="250"/>
      <c r="E16" s="250"/>
      <c r="F16" s="250"/>
      <c r="G16" s="219"/>
      <c r="H16" s="219"/>
      <c r="I16" s="219"/>
      <c r="J16" s="219"/>
      <c r="K16" s="219"/>
      <c r="L16" s="250"/>
      <c r="M16" s="219"/>
      <c r="N16" s="219"/>
      <c r="O16" s="248"/>
      <c r="P16" s="248"/>
      <c r="Q16" s="248"/>
      <c r="R16" s="219"/>
      <c r="S16" s="251"/>
      <c r="T16" s="248"/>
      <c r="U16" s="219"/>
      <c r="V16" s="249"/>
      <c r="W16" s="249"/>
      <c r="X16" s="249"/>
      <c r="Y16" s="219"/>
      <c r="Z16" s="248"/>
      <c r="AA16" s="219"/>
      <c r="AB16" s="219"/>
      <c r="AC16" s="219"/>
      <c r="AD16" s="219"/>
      <c r="AE16" s="219"/>
      <c r="AF16" s="219"/>
      <c r="AG16" s="219"/>
      <c r="AH16" s="494"/>
      <c r="AI16" s="219"/>
      <c r="AJ16" s="219"/>
      <c r="AK16" s="219"/>
      <c r="AL16" s="219"/>
      <c r="AM16" s="219"/>
      <c r="AN16" s="243"/>
    </row>
    <row r="17" spans="1:40" ht="23.1" customHeight="1">
      <c r="A17" s="169"/>
      <c r="B17" s="219"/>
      <c r="C17" s="219"/>
      <c r="D17" s="250"/>
      <c r="E17" s="250"/>
      <c r="F17" s="250"/>
      <c r="G17" s="219"/>
      <c r="H17" s="219"/>
      <c r="I17" s="219"/>
      <c r="J17" s="219"/>
      <c r="K17" s="219"/>
      <c r="L17" s="250"/>
      <c r="M17" s="219"/>
      <c r="N17" s="219"/>
      <c r="O17" s="248"/>
      <c r="P17" s="248"/>
      <c r="Q17" s="248"/>
      <c r="R17" s="219"/>
      <c r="S17" s="251"/>
      <c r="T17" s="248"/>
      <c r="U17" s="219"/>
      <c r="V17" s="249"/>
      <c r="W17" s="249"/>
      <c r="X17" s="249"/>
      <c r="Y17" s="219"/>
      <c r="Z17" s="248"/>
      <c r="AA17" s="219"/>
      <c r="AB17" s="219"/>
      <c r="AC17" s="219"/>
      <c r="AD17" s="219"/>
      <c r="AE17" s="219"/>
      <c r="AF17" s="219"/>
      <c r="AG17" s="219"/>
      <c r="AH17" s="494"/>
      <c r="AI17" s="219"/>
      <c r="AJ17" s="219"/>
      <c r="AK17" s="219"/>
      <c r="AL17" s="219"/>
      <c r="AM17" s="219"/>
      <c r="AN17" s="243"/>
    </row>
    <row r="18" spans="1:40" ht="23.1" customHeight="1">
      <c r="A18" s="169"/>
      <c r="B18" s="219"/>
      <c r="C18" s="219"/>
      <c r="D18" s="219"/>
      <c r="E18" s="219"/>
      <c r="F18" s="219"/>
      <c r="G18" s="219"/>
      <c r="H18" s="219"/>
      <c r="I18" s="219"/>
      <c r="J18" s="219"/>
      <c r="K18" s="219"/>
      <c r="L18" s="219"/>
      <c r="M18" s="219"/>
      <c r="N18" s="219"/>
      <c r="O18" s="219"/>
      <c r="P18" s="219"/>
      <c r="Q18" s="219"/>
      <c r="R18" s="219"/>
      <c r="S18" s="219"/>
      <c r="T18" s="219"/>
      <c r="U18" s="219"/>
      <c r="V18" s="219"/>
      <c r="W18" s="219"/>
      <c r="X18" s="219"/>
      <c r="Y18" s="219"/>
      <c r="Z18" s="219"/>
      <c r="AA18" s="219"/>
      <c r="AB18" s="219"/>
      <c r="AC18" s="219"/>
      <c r="AD18" s="219"/>
      <c r="AE18" s="219"/>
      <c r="AF18" s="219"/>
      <c r="AG18" s="219"/>
      <c r="AH18" s="219"/>
      <c r="AI18" s="219"/>
      <c r="AJ18" s="219"/>
      <c r="AK18" s="219"/>
      <c r="AL18" s="219"/>
      <c r="AM18" s="219"/>
      <c r="AN18" s="243"/>
    </row>
    <row r="19" spans="1:40" ht="23.1" customHeight="1" thickBot="1">
      <c r="A19" s="170"/>
      <c r="B19" s="220"/>
      <c r="C19" s="220"/>
      <c r="D19" s="220"/>
      <c r="E19" s="220"/>
      <c r="F19" s="220"/>
      <c r="G19" s="220"/>
      <c r="H19" s="220"/>
      <c r="I19" s="220"/>
      <c r="J19" s="220"/>
      <c r="K19" s="220"/>
      <c r="L19" s="220"/>
      <c r="M19" s="220"/>
      <c r="N19" s="220"/>
      <c r="O19" s="220"/>
      <c r="P19" s="220"/>
      <c r="Q19" s="220"/>
      <c r="R19" s="220"/>
      <c r="S19" s="220"/>
      <c r="T19" s="220"/>
      <c r="U19" s="220"/>
      <c r="V19" s="220"/>
      <c r="W19" s="220"/>
      <c r="X19" s="220"/>
      <c r="Y19" s="220"/>
      <c r="Z19" s="220"/>
      <c r="AA19" s="220"/>
      <c r="AB19" s="220"/>
      <c r="AC19" s="220"/>
      <c r="AD19" s="220"/>
      <c r="AE19" s="220"/>
      <c r="AF19" s="220"/>
      <c r="AG19" s="220"/>
      <c r="AH19" s="220"/>
      <c r="AI19" s="220"/>
      <c r="AJ19" s="220"/>
      <c r="AK19" s="220"/>
      <c r="AL19" s="220"/>
      <c r="AM19" s="220"/>
      <c r="AN19" s="244"/>
    </row>
    <row r="20" spans="1:40" ht="23.1" customHeight="1"/>
    <row r="21" spans="1:40" ht="23.1" customHeight="1"/>
    <row r="22" spans="1:40" ht="23.1" customHeight="1"/>
    <row r="23" spans="1:40" ht="23.1" customHeight="1"/>
    <row r="24" spans="1:40" ht="23.1" customHeight="1"/>
    <row r="25" spans="1:40" ht="23.1" customHeight="1"/>
    <row r="26" spans="1:40" ht="23.1" customHeight="1"/>
    <row r="27" spans="1:40" ht="23.1" customHeight="1"/>
    <row r="28" spans="1:40" ht="23.1" customHeight="1"/>
    <row r="29" spans="1:40" ht="23.1" customHeight="1"/>
    <row r="30" spans="1:40" ht="23.1" customHeight="1"/>
    <row r="31" spans="1:40" ht="23.1" customHeight="1"/>
    <row r="32" spans="1:40" ht="23.1" customHeight="1"/>
    <row r="33" ht="23.1" customHeight="1"/>
    <row r="34" ht="23.1" customHeight="1"/>
    <row r="35" ht="23.1" customHeight="1"/>
    <row r="36" ht="23.1" customHeight="1"/>
    <row r="37" ht="23.1" customHeight="1"/>
    <row r="38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4</xdr:col>
                <xdr:colOff>114300</xdr:colOff>
                <xdr:row>0</xdr:row>
                <xdr:rowOff>171450</xdr:rowOff>
              </from>
              <to>
                <xdr:col>5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161925</xdr:rowOff>
              </from>
              <to>
                <xdr:col>2</xdr:col>
                <xdr:colOff>66675</xdr:colOff>
                <xdr:row>2</xdr:row>
                <xdr:rowOff>95250</xdr:rowOff>
              </to>
            </anchor>
          </controlPr>
        </control>
      </mc:Choice>
      <mc:Fallback>
        <control shapeId="310273" r:id="rId8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F20" sqref="F19:F20"/>
    </sheetView>
  </sheetViews>
  <sheetFormatPr defaultRowHeight="20.100000000000001" customHeight="1"/>
  <cols>
    <col min="1" max="16384" width="8.88671875" style="155"/>
  </cols>
  <sheetData>
    <row r="1" spans="1:12" ht="27.75" customHeight="1">
      <c r="A1" s="394"/>
    </row>
    <row r="5" spans="1:12" ht="20.100000000000001" customHeight="1" thickBot="1"/>
    <row r="6" spans="1:12" ht="20.100000000000001" customHeight="1">
      <c r="D6" s="385" t="s">
        <v>276</v>
      </c>
      <c r="E6" s="386" t="s">
        <v>361</v>
      </c>
      <c r="F6" s="386"/>
      <c r="G6" s="386" t="s">
        <v>362</v>
      </c>
      <c r="H6" s="386"/>
      <c r="I6" s="386" t="s">
        <v>363</v>
      </c>
      <c r="J6" s="386"/>
      <c r="K6" s="386" t="s">
        <v>364</v>
      </c>
      <c r="L6" s="387"/>
    </row>
    <row r="7" spans="1:12" ht="20.100000000000001" customHeight="1">
      <c r="D7" s="388" t="s">
        <v>365</v>
      </c>
      <c r="E7" s="389">
        <v>42</v>
      </c>
      <c r="F7" s="389">
        <v>130.63</v>
      </c>
      <c r="G7" s="389">
        <v>23</v>
      </c>
      <c r="H7" s="389">
        <v>41.32</v>
      </c>
      <c r="I7" s="389">
        <v>19</v>
      </c>
      <c r="J7" s="389">
        <v>89.309999999999988</v>
      </c>
      <c r="K7" s="389">
        <v>0</v>
      </c>
      <c r="L7" s="390">
        <v>0</v>
      </c>
    </row>
    <row r="8" spans="1:12" ht="20.100000000000001" customHeight="1" thickBot="1">
      <c r="D8" s="391" t="s">
        <v>366</v>
      </c>
      <c r="E8" s="392">
        <v>13</v>
      </c>
      <c r="F8" s="392">
        <v>24.810000000000002</v>
      </c>
      <c r="G8" s="392">
        <v>10</v>
      </c>
      <c r="H8" s="392">
        <v>11.130000000000003</v>
      </c>
      <c r="I8" s="392">
        <v>3</v>
      </c>
      <c r="J8" s="392">
        <v>13.68</v>
      </c>
      <c r="K8" s="392">
        <v>0</v>
      </c>
      <c r="L8" s="393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7"/>
  <sheetViews>
    <sheetView tabSelected="1" zoomScaleNormal="100" workbookViewId="0">
      <selection activeCell="E22" sqref="E22"/>
    </sheetView>
  </sheetViews>
  <sheetFormatPr defaultColWidth="8.88671875" defaultRowHeight="16.5"/>
  <cols>
    <col min="1" max="1" width="5.21875" style="31" customWidth="1"/>
    <col min="2" max="2" width="15.33203125" style="30" customWidth="1"/>
    <col min="3" max="3" width="9.109375" style="30" customWidth="1"/>
    <col min="4" max="4" width="26.6640625" style="30" customWidth="1"/>
    <col min="5" max="5" width="16.44140625" style="30" customWidth="1"/>
    <col min="6" max="6" width="10.33203125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698</v>
      </c>
      <c r="F1" s="32"/>
      <c r="J1" s="60"/>
    </row>
    <row r="2" spans="1:18" s="67" customFormat="1" ht="23.1" customHeight="1">
      <c r="A2" s="623" t="s">
        <v>0</v>
      </c>
      <c r="B2" s="613" t="s">
        <v>39</v>
      </c>
      <c r="C2" s="613" t="s">
        <v>6</v>
      </c>
      <c r="D2" s="613" t="s">
        <v>38</v>
      </c>
      <c r="E2" s="613" t="s">
        <v>202</v>
      </c>
      <c r="F2" s="613" t="s">
        <v>201</v>
      </c>
      <c r="G2" s="617" t="s">
        <v>1</v>
      </c>
      <c r="H2" s="617" t="s">
        <v>2</v>
      </c>
      <c r="I2" s="617" t="s">
        <v>170</v>
      </c>
      <c r="J2" s="621" t="s">
        <v>270</v>
      </c>
      <c r="K2" s="617" t="s">
        <v>269</v>
      </c>
      <c r="L2" s="617" t="s">
        <v>3</v>
      </c>
      <c r="M2" s="617" t="s">
        <v>4</v>
      </c>
      <c r="N2" s="617" t="s">
        <v>5</v>
      </c>
      <c r="O2" s="617" t="s">
        <v>268</v>
      </c>
      <c r="P2" s="619" t="s">
        <v>267</v>
      </c>
      <c r="Q2" s="613" t="s">
        <v>157</v>
      </c>
      <c r="R2" s="615" t="s">
        <v>91</v>
      </c>
    </row>
    <row r="3" spans="1:18" s="67" customFormat="1" ht="27" customHeight="1">
      <c r="A3" s="624"/>
      <c r="B3" s="614"/>
      <c r="C3" s="614"/>
      <c r="D3" s="614"/>
      <c r="E3" s="614"/>
      <c r="F3" s="614"/>
      <c r="G3" s="618"/>
      <c r="H3" s="618"/>
      <c r="I3" s="618"/>
      <c r="J3" s="622"/>
      <c r="K3" s="618"/>
      <c r="L3" s="618"/>
      <c r="M3" s="618"/>
      <c r="N3" s="618"/>
      <c r="O3" s="618"/>
      <c r="P3" s="620"/>
      <c r="Q3" s="614"/>
      <c r="R3" s="616"/>
    </row>
    <row r="4" spans="1:18" ht="23.1" customHeight="1">
      <c r="A4" s="582" t="s">
        <v>355</v>
      </c>
      <c r="B4" s="583" t="s">
        <v>692</v>
      </c>
      <c r="C4" s="584"/>
      <c r="D4" s="583" t="s">
        <v>694</v>
      </c>
      <c r="E4" s="583" t="str">
        <f>Recharge!$I$24</f>
        <v>금강서해/금강서해</v>
      </c>
      <c r="F4" s="583" t="str">
        <f>All!$B$2</f>
        <v>보령기상청</v>
      </c>
      <c r="G4" s="583">
        <v>200</v>
      </c>
      <c r="H4" s="583">
        <v>500</v>
      </c>
      <c r="I4" s="583">
        <v>15</v>
      </c>
      <c r="J4" s="583">
        <v>53</v>
      </c>
      <c r="K4" s="583">
        <v>372</v>
      </c>
      <c r="L4" s="583">
        <v>5</v>
      </c>
      <c r="M4" s="583">
        <v>50</v>
      </c>
      <c r="N4" s="585">
        <v>50</v>
      </c>
      <c r="O4" s="586">
        <f>ROUND(water!$F$7, 1)</f>
        <v>130.6</v>
      </c>
      <c r="P4" s="587">
        <v>3778182</v>
      </c>
      <c r="Q4" s="583"/>
      <c r="R4" s="588"/>
    </row>
    <row r="5" spans="1:18" ht="23.1" customHeight="1">
      <c r="A5" s="582" t="s">
        <v>707</v>
      </c>
      <c r="B5" s="583" t="s">
        <v>692</v>
      </c>
      <c r="C5" s="584"/>
      <c r="D5" s="583" t="s">
        <v>694</v>
      </c>
      <c r="E5" s="583" t="str">
        <f>Recharge!$I$24</f>
        <v>금강서해/금강서해</v>
      </c>
      <c r="F5" s="583" t="str">
        <f>All!$B$2</f>
        <v>보령기상청</v>
      </c>
      <c r="G5" s="583">
        <v>200</v>
      </c>
      <c r="H5" s="583">
        <v>500</v>
      </c>
      <c r="I5" s="583">
        <v>15</v>
      </c>
      <c r="J5" s="583">
        <v>53</v>
      </c>
      <c r="K5" s="583">
        <v>372</v>
      </c>
      <c r="L5" s="583">
        <v>5</v>
      </c>
      <c r="M5" s="583">
        <v>50</v>
      </c>
      <c r="N5" s="585">
        <v>50</v>
      </c>
      <c r="O5" s="586">
        <f>ROUND(water!$F$7, 1)</f>
        <v>130.6</v>
      </c>
      <c r="P5" s="587">
        <v>3778182</v>
      </c>
      <c r="Q5" s="583"/>
      <c r="R5" s="588"/>
    </row>
    <row r="6" spans="1:18" ht="23.1" customHeight="1" thickBot="1">
      <c r="A6" s="589" t="s">
        <v>708</v>
      </c>
      <c r="B6" s="590" t="s">
        <v>692</v>
      </c>
      <c r="C6" s="591"/>
      <c r="D6" s="590" t="s">
        <v>694</v>
      </c>
      <c r="E6" s="590" t="str">
        <f>Recharge!$I$24</f>
        <v>금강서해/금강서해</v>
      </c>
      <c r="F6" s="590" t="str">
        <f>All!$B$2</f>
        <v>보령기상청</v>
      </c>
      <c r="G6" s="590">
        <v>200</v>
      </c>
      <c r="H6" s="590">
        <v>500</v>
      </c>
      <c r="I6" s="590">
        <v>15</v>
      </c>
      <c r="J6" s="590">
        <v>53</v>
      </c>
      <c r="K6" s="590">
        <v>372</v>
      </c>
      <c r="L6" s="590">
        <v>5</v>
      </c>
      <c r="M6" s="590">
        <v>50</v>
      </c>
      <c r="N6" s="592">
        <v>50</v>
      </c>
      <c r="O6" s="593">
        <f>ROUND(water!$F$7, 1)</f>
        <v>130.6</v>
      </c>
      <c r="P6" s="594">
        <v>3778182</v>
      </c>
      <c r="Q6" s="590"/>
      <c r="R6" s="595"/>
    </row>
    <row r="7" spans="1:18" ht="23.25" customHeight="1" thickBot="1">
      <c r="A7" s="141"/>
      <c r="J7" s="171"/>
      <c r="P7" s="172"/>
    </row>
    <row r="8" spans="1:18" ht="23.25" customHeight="1" thickBot="1">
      <c r="I8" s="499">
        <f>SUM(I4:I7)</f>
        <v>45</v>
      </c>
    </row>
    <row r="12" spans="1:18">
      <c r="Q12" s="30" t="s">
        <v>120</v>
      </c>
    </row>
    <row r="17" spans="14:14">
      <c r="N17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count="4">
    <dataValidation type="list" allowBlank="1" showInputMessage="1" showErrorMessage="1" sqref="B4:B6" xr:uid="{B2261965-51D7-45F9-AD84-152F1D918652}">
      <formula1>INDIRECT("Tcorp[조사자]")</formula1>
    </dataValidation>
    <dataValidation type="list" allowBlank="1" showInputMessage="1" showErrorMessage="1" sqref="E4:E6" xr:uid="{1C43CA58-80ED-4863-92C6-111B6F8E9D4A}">
      <formula1>INDIRECT("Location[name]")</formula1>
    </dataValidation>
    <dataValidation type="list" allowBlank="1" showInputMessage="1" showErrorMessage="1" sqref="F4:F6" xr:uid="{86E7334F-50DD-4E9B-B5F1-0282EBF2B8DC}">
      <formula1>INDIRECT("Tarea[area]")</formula1>
    </dataValidation>
    <dataValidation type="list" allowBlank="1" showInputMessage="1" showErrorMessage="1" sqref="G4:G6" xr:uid="{972553DB-E52B-4489-A5AF-82BEA44257B6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1" r:id="rId4" name="CommandButton11">
          <controlPr defaultSize="0" autoLine="0" r:id="rId5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4" name="CommandButton11"/>
      </mc:Fallback>
    </mc:AlternateContent>
    <mc:AlternateContent xmlns:mc="http://schemas.openxmlformats.org/markup-compatibility/2006">
      <mc:Choice Requires="x14">
        <control shapeId="99342" r:id="rId6" name="CommandButton7">
          <controlPr defaultSize="0" autoLine="0" r:id="rId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6" name="CommandButton7"/>
      </mc:Fallback>
    </mc:AlternateContent>
    <mc:AlternateContent xmlns:mc="http://schemas.openxmlformats.org/markup-compatibility/2006">
      <mc:Choice Requires="x14">
        <control shapeId="99335" r:id="rId8" name="CommandButton5">
          <controlPr defaultSize="0" autoLine="0" r:id="rId9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8" name="CommandButton5"/>
      </mc:Fallback>
    </mc:AlternateContent>
    <mc:AlternateContent xmlns:mc="http://schemas.openxmlformats.org/markup-compatibility/2006">
      <mc:Choice Requires="x14">
        <control shapeId="99334" r:id="rId10" name="SingleColor">
          <controlPr defaultSize="0" autoLine="0" r:id="rId11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276225</xdr:colOff>
                <xdr:row>0</xdr:row>
                <xdr:rowOff>381000</xdr:rowOff>
              </to>
            </anchor>
          </controlPr>
        </control>
      </mc:Choice>
      <mc:Fallback>
        <control shapeId="99334" r:id="rId10" name="SingleColor"/>
      </mc:Fallback>
    </mc:AlternateContent>
    <mc:AlternateContent xmlns:mc="http://schemas.openxmlformats.org/markup-compatibility/2006">
      <mc:Choice Requires="x14">
        <control shapeId="99332" r:id="rId12" name="CommandButton4">
          <controlPr defaultSize="0" autoLine="0" r:id="rId13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12" name="CommandButton4"/>
      </mc:Fallback>
    </mc:AlternateContent>
    <mc:AlternateContent xmlns:mc="http://schemas.openxmlformats.org/markup-compatibility/2006">
      <mc:Choice Requires="x14">
        <control shapeId="99330" r:id="rId14" name="CommandButton2">
          <controlPr defaultSize="0" autoLine="0" r:id="rId15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1</xdr:col>
                <xdr:colOff>1181100</xdr:colOff>
                <xdr:row>0</xdr:row>
                <xdr:rowOff>714375</xdr:rowOff>
              </to>
            </anchor>
          </controlPr>
        </control>
      </mc:Choice>
      <mc:Fallback>
        <control shapeId="99330" r:id="rId14" name="CommandButton2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6" r:id="rId18" name="CommandButton6">
          <controlPr defaultSize="0" autoLine="0" r:id="rId19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8" name="CommandButton6"/>
      </mc:Fallback>
    </mc:AlternateContent>
    <mc:AlternateContent xmlns:mc="http://schemas.openxmlformats.org/markup-compatibility/2006">
      <mc:Choice Requires="x14">
        <control shapeId="99346" r:id="rId20" name="CommandButton3">
          <controlPr defaultSize="0" autoLine="0" r:id="rId21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20" name="CommandButton3"/>
      </mc:Fallback>
    </mc:AlternateContent>
    <mc:AlternateContent xmlns:mc="http://schemas.openxmlformats.org/markup-compatibility/2006">
      <mc:Choice Requires="x14">
        <control shapeId="99353" r:id="rId22" name="CommandButton8">
          <controlPr defaultSize="0" autoLine="0" autoPict="0" r:id="rId23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22" name="CommandButton8"/>
      </mc:Fallback>
    </mc:AlternateContent>
    <mc:AlternateContent xmlns:mc="http://schemas.openxmlformats.org/markup-compatibility/2006">
      <mc:Choice Requires="x14">
        <control shapeId="99359" r:id="rId24" name="CommandButton9">
          <controlPr defaultSize="0" autoLine="0" r:id="rId25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24" name="CommandButton9"/>
      </mc:Fallback>
    </mc:AlternateContent>
    <mc:AlternateContent xmlns:mc="http://schemas.openxmlformats.org/markup-compatibility/2006">
      <mc:Choice Requires="x14">
        <control shapeId="99360" r:id="rId26" name="CommandButton10">
          <controlPr defaultSize="0" autoLine="0" r:id="rId2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26" name="CommandButton10"/>
      </mc:Fallback>
    </mc:AlternateContent>
    <mc:AlternateContent xmlns:mc="http://schemas.openxmlformats.org/markup-compatibility/2006">
      <mc:Choice Requires="x14">
        <control shapeId="99366" r:id="rId28" name="CommandButton12">
          <controlPr defaultSize="0" autoLine="0" r:id="rId29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28" name="CommandButton1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69"/>
  <sheetViews>
    <sheetView topLeftCell="B1" workbookViewId="0">
      <selection activeCell="O22" sqref="O22"/>
    </sheetView>
  </sheetViews>
  <sheetFormatPr defaultRowHeight="20.100000000000001" customHeight="1"/>
  <cols>
    <col min="1" max="1" width="0" style="30" hidden="1" customWidth="1"/>
    <col min="2" max="3" width="8.88671875" style="30"/>
    <col min="4" max="5" width="0" style="30" hidden="1" customWidth="1"/>
    <col min="6" max="6" width="8.88671875" style="30"/>
    <col min="7" max="7" width="16.88671875" style="30" customWidth="1"/>
    <col min="8" max="8" width="11.77734375" style="30" customWidth="1"/>
    <col min="9" max="9" width="11.77734375" style="146" customWidth="1"/>
    <col min="10" max="10" width="11.77734375" style="30" customWidth="1"/>
    <col min="11" max="11" width="11.77734375" style="147" customWidth="1"/>
    <col min="12" max="17" width="11.77734375" style="30" customWidth="1"/>
    <col min="18" max="18" width="14" style="30" customWidth="1"/>
    <col min="19" max="19" width="15" style="30" customWidth="1"/>
    <col min="20" max="16384" width="8.88671875" style="30"/>
  </cols>
  <sheetData>
    <row r="1" spans="7:19" ht="36" customHeight="1" thickBot="1">
      <c r="G1" s="45" t="s">
        <v>231</v>
      </c>
    </row>
    <row r="2" spans="7:19" ht="29.25" customHeight="1">
      <c r="G2" s="222" t="s">
        <v>207</v>
      </c>
      <c r="H2" s="223" t="s">
        <v>204</v>
      </c>
      <c r="I2" s="224" t="s">
        <v>213</v>
      </c>
      <c r="J2" s="223" t="s">
        <v>205</v>
      </c>
      <c r="K2" s="225" t="s">
        <v>206</v>
      </c>
      <c r="M2" s="228"/>
      <c r="N2" s="229" t="s">
        <v>211</v>
      </c>
      <c r="O2" s="225" t="s">
        <v>212</v>
      </c>
      <c r="Q2" s="222" t="s">
        <v>207</v>
      </c>
      <c r="R2" s="229" t="s">
        <v>215</v>
      </c>
      <c r="S2" s="225" t="s">
        <v>216</v>
      </c>
    </row>
    <row r="3" spans="7:19" ht="20.100000000000001" customHeight="1">
      <c r="G3" s="207" t="s">
        <v>227</v>
      </c>
      <c r="H3" s="195">
        <v>60</v>
      </c>
      <c r="I3" s="226">
        <v>54.59</v>
      </c>
      <c r="J3" s="195">
        <v>53</v>
      </c>
      <c r="K3" s="227">
        <v>0.9</v>
      </c>
      <c r="M3" s="230" t="s">
        <v>206</v>
      </c>
      <c r="N3" s="231">
        <v>0.87931034482758619</v>
      </c>
      <c r="O3" s="232">
        <v>0.90322580645161288</v>
      </c>
      <c r="Q3" s="238" t="s">
        <v>227</v>
      </c>
      <c r="R3" s="239">
        <v>1.1566E-3</v>
      </c>
      <c r="S3" s="240">
        <v>0.1440215</v>
      </c>
    </row>
    <row r="4" spans="7:19" ht="20.100000000000001" customHeight="1">
      <c r="G4" s="521" t="s">
        <v>228</v>
      </c>
      <c r="H4" s="522">
        <v>63</v>
      </c>
      <c r="I4" s="539">
        <v>56.21</v>
      </c>
      <c r="J4" s="522">
        <v>55</v>
      </c>
      <c r="K4" s="543">
        <v>0.88888888888888884</v>
      </c>
      <c r="M4" s="230" t="s">
        <v>213</v>
      </c>
      <c r="N4" s="233">
        <v>51.29</v>
      </c>
      <c r="O4" s="234">
        <v>59.57</v>
      </c>
      <c r="Q4" s="545" t="s">
        <v>228</v>
      </c>
      <c r="R4" s="546">
        <v>8.4979999999999995E-4</v>
      </c>
      <c r="S4" s="547">
        <v>0.1354022</v>
      </c>
    </row>
    <row r="5" spans="7:19" ht="20.100000000000001" customHeight="1" thickBot="1">
      <c r="G5" s="207" t="s">
        <v>229</v>
      </c>
      <c r="H5" s="195">
        <v>62</v>
      </c>
      <c r="I5" s="226">
        <v>56.23</v>
      </c>
      <c r="J5" s="195">
        <v>54</v>
      </c>
      <c r="K5" s="227">
        <v>0.90322580645161288</v>
      </c>
      <c r="M5" s="235" t="s">
        <v>214</v>
      </c>
      <c r="N5" s="236">
        <v>50</v>
      </c>
      <c r="O5" s="237">
        <v>59</v>
      </c>
      <c r="Q5" s="238" t="s">
        <v>229</v>
      </c>
      <c r="R5" s="239">
        <v>9.881E-4</v>
      </c>
      <c r="S5" s="240">
        <v>0.1357246</v>
      </c>
    </row>
    <row r="6" spans="7:19" ht="20.100000000000001" customHeight="1">
      <c r="G6" s="521" t="s">
        <v>351</v>
      </c>
      <c r="H6" s="522">
        <v>59</v>
      </c>
      <c r="I6" s="539">
        <v>52.92</v>
      </c>
      <c r="J6" s="522">
        <v>52</v>
      </c>
      <c r="K6" s="544">
        <v>0.88135593220338981</v>
      </c>
      <c r="Q6" s="545" t="s">
        <v>351</v>
      </c>
      <c r="R6" s="546">
        <v>8.7969999999999997E-4</v>
      </c>
      <c r="S6" s="547">
        <v>0.12663079999999999</v>
      </c>
    </row>
    <row r="7" spans="7:19" ht="20.100000000000001" customHeight="1">
      <c r="G7" s="207" t="s">
        <v>352</v>
      </c>
      <c r="H7" s="195">
        <v>64</v>
      </c>
      <c r="I7" s="226">
        <v>57.87</v>
      </c>
      <c r="J7" s="195">
        <v>56</v>
      </c>
      <c r="K7" s="516">
        <v>0.890625</v>
      </c>
      <c r="Q7" s="238" t="s">
        <v>352</v>
      </c>
      <c r="R7" s="239">
        <v>8.8219999999999998E-4</v>
      </c>
      <c r="S7" s="240">
        <v>0.13301689999999999</v>
      </c>
    </row>
    <row r="8" spans="7:19" ht="20.100000000000001" customHeight="1">
      <c r="G8" s="521" t="s">
        <v>353</v>
      </c>
      <c r="H8" s="522">
        <v>58</v>
      </c>
      <c r="I8" s="539">
        <v>51.29</v>
      </c>
      <c r="J8" s="522">
        <v>51</v>
      </c>
      <c r="K8" s="544">
        <v>0.87931034482758619</v>
      </c>
      <c r="Q8" s="521" t="s">
        <v>353</v>
      </c>
      <c r="R8" s="522">
        <v>8.2600000000000002E-4</v>
      </c>
      <c r="S8" s="525">
        <v>0.1336408</v>
      </c>
    </row>
    <row r="9" spans="7:19" ht="20.100000000000001" customHeight="1">
      <c r="G9" s="207" t="s">
        <v>639</v>
      </c>
      <c r="H9" s="195">
        <v>57</v>
      </c>
      <c r="I9" s="226">
        <v>51.29</v>
      </c>
      <c r="J9" s="195">
        <v>50</v>
      </c>
      <c r="K9" s="516">
        <v>0.89473684210526316</v>
      </c>
      <c r="Q9" s="207" t="s">
        <v>639</v>
      </c>
      <c r="R9" s="195">
        <v>1.0855999999999999E-3</v>
      </c>
      <c r="S9" s="196">
        <v>0.15543119999999999</v>
      </c>
    </row>
    <row r="10" spans="7:19" ht="20.100000000000001" customHeight="1">
      <c r="G10" s="521" t="s">
        <v>640</v>
      </c>
      <c r="H10" s="522">
        <v>67</v>
      </c>
      <c r="I10" s="539">
        <v>59.57</v>
      </c>
      <c r="J10" s="522">
        <v>59</v>
      </c>
      <c r="K10" s="544">
        <v>0.88059701492537312</v>
      </c>
      <c r="Q10" s="521" t="s">
        <v>640</v>
      </c>
      <c r="R10" s="522">
        <v>7.6729999999999995E-4</v>
      </c>
      <c r="S10" s="525">
        <v>0.13789190000000001</v>
      </c>
    </row>
    <row r="11" spans="7:19" ht="20.100000000000001" customHeight="1">
      <c r="G11" s="207" t="s">
        <v>641</v>
      </c>
      <c r="H11" s="195">
        <v>62</v>
      </c>
      <c r="I11" s="226">
        <v>56.27</v>
      </c>
      <c r="J11" s="195">
        <v>54</v>
      </c>
      <c r="K11" s="516">
        <v>0.90322580645161288</v>
      </c>
      <c r="Q11" s="207" t="s">
        <v>641</v>
      </c>
      <c r="R11" s="195">
        <v>1.0380999999999999E-3</v>
      </c>
      <c r="S11" s="196">
        <v>0.13712340000000001</v>
      </c>
    </row>
    <row r="12" spans="7:19" ht="20.100000000000001" customHeight="1">
      <c r="G12" s="521"/>
      <c r="H12" s="522"/>
      <c r="I12" s="539"/>
      <c r="J12" s="522"/>
      <c r="K12" s="544"/>
      <c r="Q12" s="521"/>
      <c r="R12" s="522"/>
      <c r="S12" s="525"/>
    </row>
    <row r="13" spans="7:19" ht="20.100000000000001" customHeight="1">
      <c r="G13" s="207"/>
      <c r="H13" s="195"/>
      <c r="I13" s="226"/>
      <c r="J13" s="195"/>
      <c r="K13" s="516"/>
      <c r="Q13" s="207"/>
      <c r="R13" s="195"/>
      <c r="S13" s="196"/>
    </row>
    <row r="14" spans="7:19" ht="20.100000000000001" customHeight="1">
      <c r="G14" s="521"/>
      <c r="H14" s="522"/>
      <c r="I14" s="539"/>
      <c r="J14" s="522"/>
      <c r="K14" s="544"/>
      <c r="Q14" s="521"/>
      <c r="R14" s="522"/>
      <c r="S14" s="525"/>
    </row>
    <row r="15" spans="7:19" ht="20.100000000000001" customHeight="1">
      <c r="G15" s="207"/>
      <c r="H15" s="195"/>
      <c r="I15" s="226"/>
      <c r="J15" s="195"/>
      <c r="K15" s="516"/>
      <c r="Q15" s="207"/>
      <c r="R15" s="195"/>
      <c r="S15" s="196"/>
    </row>
    <row r="16" spans="7:19" ht="20.100000000000001" customHeight="1">
      <c r="G16" s="521"/>
      <c r="H16" s="522"/>
      <c r="I16" s="522"/>
      <c r="J16" s="522"/>
      <c r="K16" s="525"/>
      <c r="Q16" s="521"/>
      <c r="R16" s="522"/>
      <c r="S16" s="525"/>
    </row>
    <row r="17" spans="6:19" ht="20.100000000000001" customHeight="1">
      <c r="G17" s="207"/>
      <c r="H17" s="195"/>
      <c r="I17" s="195"/>
      <c r="J17" s="195"/>
      <c r="K17" s="196"/>
      <c r="Q17" s="207"/>
      <c r="R17" s="195"/>
      <c r="S17" s="196"/>
    </row>
    <row r="18" spans="6:19" ht="20.100000000000001" customHeight="1">
      <c r="G18" s="521"/>
      <c r="H18" s="522"/>
      <c r="I18" s="522"/>
      <c r="J18" s="522"/>
      <c r="K18" s="525"/>
      <c r="Q18" s="521"/>
      <c r="R18" s="522"/>
      <c r="S18" s="525"/>
    </row>
    <row r="19" spans="6:19" ht="20.100000000000001" customHeight="1" thickBot="1">
      <c r="G19" s="209"/>
      <c r="H19" s="188"/>
      <c r="I19" s="188"/>
      <c r="J19" s="188"/>
      <c r="K19" s="189"/>
      <c r="Q19" s="209"/>
      <c r="R19" s="188"/>
      <c r="S19" s="189"/>
    </row>
    <row r="22" spans="6:19" ht="20.100000000000001" customHeight="1">
      <c r="M22" s="146"/>
      <c r="N22" s="146"/>
      <c r="O22" s="146"/>
      <c r="P22" s="146"/>
      <c r="Q22" s="146"/>
      <c r="R22" s="146"/>
      <c r="S22" s="146"/>
    </row>
    <row r="23" spans="6:19" ht="20.100000000000001" customHeight="1">
      <c r="M23"/>
      <c r="N23"/>
      <c r="O23"/>
      <c r="P23"/>
      <c r="Q23"/>
      <c r="R23" s="146"/>
      <c r="S23" s="146"/>
    </row>
    <row r="24" spans="6:19" ht="20.100000000000001" customHeight="1">
      <c r="M24"/>
      <c r="N24"/>
      <c r="O24"/>
      <c r="P24"/>
      <c r="Q24"/>
      <c r="R24" s="146"/>
      <c r="S24" s="146"/>
    </row>
    <row r="25" spans="6:19" ht="20.100000000000001" customHeight="1" thickBot="1">
      <c r="M25" s="146"/>
      <c r="N25" s="146"/>
      <c r="O25" s="146"/>
      <c r="P25" s="146"/>
      <c r="Q25" s="146"/>
      <c r="R25" s="146"/>
      <c r="S25" s="146"/>
    </row>
    <row r="26" spans="6:19" ht="27" customHeight="1" thickBot="1">
      <c r="G26" s="567" t="s">
        <v>238</v>
      </c>
      <c r="H26" s="568"/>
      <c r="I26" s="569"/>
    </row>
    <row r="27" spans="6:19" ht="15.95" customHeight="1">
      <c r="F27" s="629" t="s">
        <v>227</v>
      </c>
      <c r="G27" s="625">
        <v>33</v>
      </c>
      <c r="H27" s="517">
        <v>12.85</v>
      </c>
      <c r="I27" s="627">
        <v>54.59</v>
      </c>
    </row>
    <row r="28" spans="6:19" ht="15.95" customHeight="1">
      <c r="F28" s="630"/>
      <c r="G28" s="626"/>
      <c r="H28" s="195">
        <v>6.04</v>
      </c>
      <c r="I28" s="628"/>
      <c r="K28" s="30"/>
    </row>
    <row r="29" spans="6:19" ht="15.95" customHeight="1">
      <c r="F29" s="630" t="s">
        <v>228</v>
      </c>
      <c r="G29" s="626">
        <v>34</v>
      </c>
      <c r="H29" s="195">
        <v>11.99</v>
      </c>
      <c r="I29" s="628">
        <v>56.21</v>
      </c>
    </row>
    <row r="30" spans="6:19" ht="15.95" customHeight="1">
      <c r="F30" s="630"/>
      <c r="G30" s="626"/>
      <c r="H30" s="195">
        <v>5.64</v>
      </c>
      <c r="I30" s="628"/>
    </row>
    <row r="31" spans="6:19" ht="15.95" customHeight="1">
      <c r="F31" s="630" t="s">
        <v>229</v>
      </c>
      <c r="G31" s="626">
        <v>34</v>
      </c>
      <c r="H31" s="195">
        <v>12.25</v>
      </c>
      <c r="I31" s="628">
        <v>56.23</v>
      </c>
    </row>
    <row r="32" spans="6:19" ht="15.95" customHeight="1">
      <c r="F32" s="630"/>
      <c r="G32" s="626"/>
      <c r="H32" s="195">
        <v>5.76</v>
      </c>
      <c r="I32" s="628"/>
    </row>
    <row r="33" spans="6:9" ht="15.95" customHeight="1">
      <c r="F33" s="630" t="s">
        <v>351</v>
      </c>
      <c r="G33" s="626">
        <v>32</v>
      </c>
      <c r="H33" s="195">
        <v>10.59</v>
      </c>
      <c r="I33" s="628">
        <v>52.92</v>
      </c>
    </row>
    <row r="34" spans="6:9" ht="15.95" customHeight="1">
      <c r="F34" s="630"/>
      <c r="G34" s="626"/>
      <c r="H34" s="195">
        <v>4.9800000000000004</v>
      </c>
      <c r="I34" s="628"/>
    </row>
    <row r="35" spans="6:9" ht="15.95" customHeight="1">
      <c r="F35" s="630" t="s">
        <v>352</v>
      </c>
      <c r="G35" s="626">
        <v>35</v>
      </c>
      <c r="H35" s="195">
        <v>12.16</v>
      </c>
      <c r="I35" s="628">
        <v>57.87</v>
      </c>
    </row>
    <row r="36" spans="6:9" ht="15.95" customHeight="1">
      <c r="F36" s="630"/>
      <c r="G36" s="626"/>
      <c r="H36" s="195">
        <v>5.72</v>
      </c>
      <c r="I36" s="628"/>
    </row>
    <row r="37" spans="6:9" ht="15.95" customHeight="1">
      <c r="F37" s="630" t="s">
        <v>353</v>
      </c>
      <c r="G37" s="626">
        <v>31</v>
      </c>
      <c r="H37" s="195">
        <v>10.62</v>
      </c>
      <c r="I37" s="628">
        <v>51.29</v>
      </c>
    </row>
    <row r="38" spans="6:9" ht="15.95" customHeight="1">
      <c r="F38" s="630"/>
      <c r="G38" s="626"/>
      <c r="H38" s="195">
        <v>4.99</v>
      </c>
      <c r="I38" s="628"/>
    </row>
    <row r="39" spans="6:9" ht="15.95" customHeight="1">
      <c r="F39" s="630" t="s">
        <v>639</v>
      </c>
      <c r="G39" s="626">
        <v>31</v>
      </c>
      <c r="H39" s="195">
        <v>12.43</v>
      </c>
      <c r="I39" s="628">
        <v>51.29</v>
      </c>
    </row>
    <row r="40" spans="6:9" ht="15.95" customHeight="1">
      <c r="F40" s="630"/>
      <c r="G40" s="626"/>
      <c r="H40" s="195">
        <v>5.84</v>
      </c>
      <c r="I40" s="628"/>
    </row>
    <row r="41" spans="6:9" ht="15.95" customHeight="1">
      <c r="F41" s="630" t="s">
        <v>640</v>
      </c>
      <c r="G41" s="626">
        <v>36</v>
      </c>
      <c r="H41" s="195">
        <v>12.77</v>
      </c>
      <c r="I41" s="628">
        <v>59.57</v>
      </c>
    </row>
    <row r="42" spans="6:9" ht="15.95" customHeight="1">
      <c r="F42" s="630"/>
      <c r="G42" s="626"/>
      <c r="H42" s="195">
        <v>6</v>
      </c>
      <c r="I42" s="628"/>
    </row>
    <row r="43" spans="6:9" ht="15.95" customHeight="1">
      <c r="F43" s="630" t="s">
        <v>641</v>
      </c>
      <c r="G43" s="626">
        <v>34</v>
      </c>
      <c r="H43" s="195">
        <v>12.54</v>
      </c>
      <c r="I43" s="628">
        <v>56.27</v>
      </c>
    </row>
    <row r="44" spans="6:9" ht="15.95" customHeight="1">
      <c r="F44" s="630"/>
      <c r="G44" s="626"/>
      <c r="H44" s="195">
        <v>5.89</v>
      </c>
      <c r="I44" s="628"/>
    </row>
    <row r="45" spans="6:9" ht="15.95" customHeight="1">
      <c r="F45" s="630"/>
      <c r="G45" s="626"/>
      <c r="H45" s="195"/>
      <c r="I45" s="628"/>
    </row>
    <row r="46" spans="6:9" ht="15.95" customHeight="1">
      <c r="F46" s="630"/>
      <c r="G46" s="626"/>
      <c r="H46" s="195"/>
      <c r="I46" s="628"/>
    </row>
    <row r="47" spans="6:9" ht="15.95" customHeight="1">
      <c r="F47" s="630"/>
      <c r="G47" s="626"/>
      <c r="H47" s="195"/>
      <c r="I47" s="628"/>
    </row>
    <row r="48" spans="6:9" ht="15.95" customHeight="1">
      <c r="F48" s="630"/>
      <c r="G48" s="626"/>
      <c r="H48" s="195"/>
      <c r="I48" s="628"/>
    </row>
    <row r="49" spans="6:9" ht="15.95" customHeight="1">
      <c r="F49" s="630"/>
      <c r="G49" s="626"/>
      <c r="H49" s="195"/>
      <c r="I49" s="628"/>
    </row>
    <row r="50" spans="6:9" ht="15.95" customHeight="1">
      <c r="F50" s="630"/>
      <c r="G50" s="626"/>
      <c r="H50" s="195"/>
      <c r="I50" s="628"/>
    </row>
    <row r="51" spans="6:9" ht="15.95" customHeight="1">
      <c r="F51" s="632"/>
      <c r="G51" s="633"/>
      <c r="H51" s="219"/>
      <c r="I51" s="631"/>
    </row>
    <row r="52" spans="6:9" ht="15.95" customHeight="1">
      <c r="F52" s="632"/>
      <c r="G52" s="633"/>
      <c r="H52" s="219"/>
      <c r="I52" s="631"/>
    </row>
    <row r="53" spans="6:9" ht="15.95" customHeight="1">
      <c r="F53" s="632"/>
      <c r="G53" s="633"/>
      <c r="H53" s="219"/>
      <c r="I53" s="631"/>
    </row>
    <row r="54" spans="6:9" ht="15.95" customHeight="1">
      <c r="F54" s="632"/>
      <c r="G54" s="633"/>
      <c r="H54" s="219"/>
      <c r="I54" s="631"/>
    </row>
    <row r="55" spans="6:9" ht="15.95" customHeight="1">
      <c r="F55" s="632"/>
      <c r="G55" s="633"/>
      <c r="H55" s="219"/>
      <c r="I55" s="631"/>
    </row>
    <row r="56" spans="6:9" ht="15.95" customHeight="1" thickBot="1">
      <c r="F56" s="634"/>
      <c r="G56" s="635"/>
      <c r="H56" s="220"/>
      <c r="I56" s="636"/>
    </row>
    <row r="57" spans="6:9" ht="15.95" customHeight="1"/>
    <row r="58" spans="6:9" ht="15.95" customHeight="1"/>
    <row r="59" spans="6:9" ht="15.95" customHeight="1"/>
    <row r="60" spans="6:9" ht="15.95" customHeight="1"/>
    <row r="61" spans="6:9" ht="15.95" customHeight="1"/>
    <row r="62" spans="6:9" ht="15.95" customHeight="1"/>
    <row r="63" spans="6:9" ht="15.95" customHeight="1"/>
    <row r="64" spans="6:9" ht="15.95" customHeight="1"/>
    <row r="65" ht="15.95" customHeight="1"/>
    <row r="66" ht="15.95" customHeight="1"/>
    <row r="67" ht="15.95" customHeight="1"/>
    <row r="68" ht="15.95" customHeight="1"/>
    <row r="69" ht="15.95" customHeight="1"/>
  </sheetData>
  <mergeCells count="45">
    <mergeCell ref="F53:F54"/>
    <mergeCell ref="G53:G54"/>
    <mergeCell ref="I53:I54"/>
    <mergeCell ref="F55:F56"/>
    <mergeCell ref="G55:G56"/>
    <mergeCell ref="I55:I56"/>
    <mergeCell ref="I51:I52"/>
    <mergeCell ref="F51:F52"/>
    <mergeCell ref="G51:G52"/>
    <mergeCell ref="F47:F48"/>
    <mergeCell ref="G47:G48"/>
    <mergeCell ref="I47:I48"/>
    <mergeCell ref="F49:F50"/>
    <mergeCell ref="G49:G50"/>
    <mergeCell ref="I49:I50"/>
    <mergeCell ref="F43:F44"/>
    <mergeCell ref="G43:G44"/>
    <mergeCell ref="I43:I44"/>
    <mergeCell ref="F45:F46"/>
    <mergeCell ref="G45:G46"/>
    <mergeCell ref="I45:I46"/>
    <mergeCell ref="F39:F40"/>
    <mergeCell ref="G39:G40"/>
    <mergeCell ref="I39:I40"/>
    <mergeCell ref="F41:F42"/>
    <mergeCell ref="G41:G42"/>
    <mergeCell ref="I41:I42"/>
    <mergeCell ref="F35:F36"/>
    <mergeCell ref="G35:G36"/>
    <mergeCell ref="I35:I36"/>
    <mergeCell ref="F37:F38"/>
    <mergeCell ref="G37:G38"/>
    <mergeCell ref="I37:I38"/>
    <mergeCell ref="F31:F32"/>
    <mergeCell ref="G31:G32"/>
    <mergeCell ref="I31:I32"/>
    <mergeCell ref="F33:F34"/>
    <mergeCell ref="G33:G34"/>
    <mergeCell ref="I33:I34"/>
    <mergeCell ref="G27:G28"/>
    <mergeCell ref="I27:I28"/>
    <mergeCell ref="F27:F28"/>
    <mergeCell ref="F29:F30"/>
    <mergeCell ref="G29:G30"/>
    <mergeCell ref="I29:I3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76"/>
  <sheetViews>
    <sheetView workbookViewId="0">
      <selection activeCell="D13" sqref="D13"/>
    </sheetView>
  </sheetViews>
  <sheetFormatPr defaultRowHeight="20.100000000000001" customHeight="1"/>
  <cols>
    <col min="1" max="1" width="5.109375" style="35" customWidth="1"/>
    <col min="2" max="2" width="15.33203125" style="35" customWidth="1"/>
    <col min="3" max="3" width="13.6640625" style="35" customWidth="1"/>
    <col min="4" max="4" width="15.88671875" style="35" customWidth="1"/>
    <col min="5" max="5" width="10.109375" style="35" customWidth="1"/>
    <col min="6" max="6" width="10.33203125" style="35" customWidth="1"/>
    <col min="7" max="7" width="10.109375" style="35" customWidth="1"/>
    <col min="8" max="8" width="10.21875" style="35" customWidth="1"/>
    <col min="9" max="9" width="11.109375" style="35" customWidth="1"/>
    <col min="10" max="10" width="11" style="35" customWidth="1"/>
    <col min="11" max="11" width="10.88671875" style="35" customWidth="1"/>
    <col min="12" max="12" width="10" style="35" customWidth="1"/>
    <col min="13" max="13" width="9.44140625" style="35" bestFit="1" customWidth="1"/>
    <col min="14" max="14" width="9.88671875" style="35" customWidth="1"/>
    <col min="15" max="15" width="9.44140625" style="35" customWidth="1"/>
    <col min="16" max="16" width="11.109375" style="35" customWidth="1"/>
    <col min="17" max="17" width="13" style="35" customWidth="1"/>
    <col min="18" max="18" width="12.33203125" style="35" customWidth="1"/>
    <col min="19" max="16384" width="8.88671875" style="35"/>
  </cols>
  <sheetData>
    <row r="1" spans="3:21" ht="20.100000000000001" customHeight="1" thickBot="1">
      <c r="C1" s="148" t="s">
        <v>313</v>
      </c>
      <c r="L1" s="148" t="s">
        <v>234</v>
      </c>
      <c r="S1" s="148" t="s">
        <v>235</v>
      </c>
    </row>
    <row r="2" spans="3:21" ht="36.75" customHeight="1">
      <c r="C2" s="204" t="s">
        <v>217</v>
      </c>
      <c r="D2" s="205" t="s">
        <v>710</v>
      </c>
      <c r="E2" s="205" t="s">
        <v>214</v>
      </c>
      <c r="F2" s="205" t="s">
        <v>221</v>
      </c>
      <c r="G2" s="205" t="s">
        <v>222</v>
      </c>
      <c r="H2" s="205" t="s">
        <v>162</v>
      </c>
      <c r="I2" s="205" t="s">
        <v>223</v>
      </c>
      <c r="J2" s="206" t="s">
        <v>224</v>
      </c>
      <c r="L2" s="204" t="s">
        <v>214</v>
      </c>
      <c r="M2" s="205" t="s">
        <v>218</v>
      </c>
      <c r="N2" s="205" t="s">
        <v>219</v>
      </c>
      <c r="O2" s="205" t="s">
        <v>220</v>
      </c>
      <c r="P2" s="205" t="s">
        <v>236</v>
      </c>
      <c r="Q2" s="206" t="s">
        <v>237</v>
      </c>
      <c r="S2" s="204" t="s">
        <v>222</v>
      </c>
      <c r="T2" s="205" t="s">
        <v>225</v>
      </c>
      <c r="U2" s="206" t="s">
        <v>226</v>
      </c>
    </row>
    <row r="3" spans="3:21" ht="20.100000000000001" customHeight="1">
      <c r="C3" s="207" t="s">
        <v>227</v>
      </c>
      <c r="D3" s="195">
        <v>2880</v>
      </c>
      <c r="E3" s="195">
        <v>53</v>
      </c>
      <c r="F3" s="195">
        <v>12.03</v>
      </c>
      <c r="G3" s="195">
        <v>26.47</v>
      </c>
      <c r="H3" s="195">
        <v>14.44</v>
      </c>
      <c r="I3" s="195">
        <v>0.1</v>
      </c>
      <c r="J3" s="208">
        <v>1.3796441648969833</v>
      </c>
      <c r="K3" s="30"/>
      <c r="L3" s="207">
        <v>53</v>
      </c>
      <c r="M3" s="195">
        <v>0.1</v>
      </c>
      <c r="N3" s="195">
        <v>0.1</v>
      </c>
      <c r="O3" s="195">
        <v>470</v>
      </c>
      <c r="P3" s="195">
        <v>2.5489999999999999</v>
      </c>
      <c r="Q3" s="196">
        <v>9.7610000000000002E-2</v>
      </c>
      <c r="S3" s="210">
        <v>26.47</v>
      </c>
      <c r="T3" s="211">
        <v>13.735742375279642</v>
      </c>
      <c r="U3" s="208">
        <v>12.734257624720357</v>
      </c>
    </row>
    <row r="4" spans="3:21" ht="20.100000000000001" customHeight="1">
      <c r="C4" s="521" t="s">
        <v>228</v>
      </c>
      <c r="D4" s="522">
        <v>2880</v>
      </c>
      <c r="E4" s="522">
        <v>55</v>
      </c>
      <c r="F4" s="522">
        <v>11.89</v>
      </c>
      <c r="G4" s="522">
        <v>25.37</v>
      </c>
      <c r="H4" s="522">
        <v>13.48</v>
      </c>
      <c r="I4" s="522">
        <v>0.1</v>
      </c>
      <c r="J4" s="523">
        <v>1.3455826890221456</v>
      </c>
      <c r="K4" s="30"/>
      <c r="L4" s="521">
        <v>55</v>
      </c>
      <c r="M4" s="522">
        <v>0.1</v>
      </c>
      <c r="N4" s="522">
        <v>0.1</v>
      </c>
      <c r="O4" s="522">
        <v>470</v>
      </c>
      <c r="P4" s="522">
        <v>2.859</v>
      </c>
      <c r="Q4" s="525">
        <v>0.1012</v>
      </c>
      <c r="S4" s="210">
        <v>25.37</v>
      </c>
      <c r="T4" s="211">
        <v>13.572433775680697</v>
      </c>
      <c r="U4" s="208">
        <v>11.797566224319304</v>
      </c>
    </row>
    <row r="5" spans="3:21" ht="20.100000000000001" customHeight="1">
      <c r="C5" s="207" t="s">
        <v>229</v>
      </c>
      <c r="D5" s="195">
        <v>2880</v>
      </c>
      <c r="E5" s="195">
        <v>54</v>
      </c>
      <c r="F5" s="195">
        <v>11.75</v>
      </c>
      <c r="G5" s="195">
        <v>25.52</v>
      </c>
      <c r="H5" s="195">
        <v>13.77</v>
      </c>
      <c r="I5" s="195">
        <v>0.1</v>
      </c>
      <c r="J5" s="208">
        <v>1.3514598577653809</v>
      </c>
      <c r="K5" s="30"/>
      <c r="L5" s="207">
        <v>54</v>
      </c>
      <c r="M5" s="195">
        <v>0.1</v>
      </c>
      <c r="N5" s="195">
        <v>0.1</v>
      </c>
      <c r="O5" s="195">
        <v>470</v>
      </c>
      <c r="P5" s="195">
        <v>2.738</v>
      </c>
      <c r="Q5" s="196">
        <v>0.1002</v>
      </c>
      <c r="S5" s="210">
        <v>25.52</v>
      </c>
      <c r="T5" s="211">
        <v>13.439611232529069</v>
      </c>
      <c r="U5" s="208">
        <v>12.08038876747093</v>
      </c>
    </row>
    <row r="6" spans="3:21" ht="20.100000000000001" customHeight="1">
      <c r="C6" s="521" t="s">
        <v>351</v>
      </c>
      <c r="D6" s="522">
        <v>2880</v>
      </c>
      <c r="E6" s="522">
        <v>52</v>
      </c>
      <c r="F6" s="522">
        <v>12.54</v>
      </c>
      <c r="G6" s="522">
        <v>24.45</v>
      </c>
      <c r="H6" s="522">
        <v>11.91</v>
      </c>
      <c r="I6" s="522">
        <v>0.1</v>
      </c>
      <c r="J6" s="523">
        <v>1.1463010777523692</v>
      </c>
      <c r="K6" s="30"/>
      <c r="L6" s="521">
        <v>52</v>
      </c>
      <c r="M6" s="522">
        <v>0.1</v>
      </c>
      <c r="N6" s="522">
        <v>0.1</v>
      </c>
      <c r="O6" s="522">
        <v>470</v>
      </c>
      <c r="P6" s="522">
        <v>3.0750000000000002</v>
      </c>
      <c r="Q6" s="525">
        <v>0.10390000000000001</v>
      </c>
      <c r="S6" s="210">
        <v>24.45</v>
      </c>
      <c r="T6" s="211">
        <v>14.181278771427989</v>
      </c>
      <c r="U6" s="208">
        <v>10.26872122857201</v>
      </c>
    </row>
    <row r="7" spans="3:21" ht="20.100000000000001" customHeight="1">
      <c r="C7" s="207" t="s">
        <v>352</v>
      </c>
      <c r="D7" s="195">
        <v>2880</v>
      </c>
      <c r="E7" s="195">
        <v>56</v>
      </c>
      <c r="F7" s="195">
        <v>11.7</v>
      </c>
      <c r="G7" s="195">
        <v>25.37</v>
      </c>
      <c r="H7" s="195">
        <v>13.670000000000002</v>
      </c>
      <c r="I7" s="195">
        <v>0.1</v>
      </c>
      <c r="J7" s="208">
        <v>1.3637777401133182</v>
      </c>
      <c r="K7" s="30"/>
      <c r="L7" s="207">
        <v>56</v>
      </c>
      <c r="M7" s="195">
        <v>0.1</v>
      </c>
      <c r="N7" s="195">
        <v>0.1</v>
      </c>
      <c r="O7" s="195">
        <v>470</v>
      </c>
      <c r="P7" s="195">
        <v>2.87</v>
      </c>
      <c r="Q7" s="196">
        <v>0.1018</v>
      </c>
      <c r="S7" s="210">
        <v>25.37</v>
      </c>
      <c r="T7" s="211">
        <v>13.387150025816638</v>
      </c>
      <c r="U7" s="208">
        <v>11.982849974183363</v>
      </c>
    </row>
    <row r="8" spans="3:21" ht="20.100000000000001" customHeight="1">
      <c r="C8" s="521" t="s">
        <v>353</v>
      </c>
      <c r="D8" s="522">
        <v>2880</v>
      </c>
      <c r="E8" s="522">
        <v>51</v>
      </c>
      <c r="F8" s="522">
        <v>12.3</v>
      </c>
      <c r="G8" s="522">
        <v>24.24</v>
      </c>
      <c r="H8" s="522">
        <v>11.939999999999998</v>
      </c>
      <c r="I8" s="522">
        <v>0.1</v>
      </c>
      <c r="J8" s="523">
        <v>1.2255349733297856</v>
      </c>
      <c r="K8" s="30"/>
      <c r="L8" s="521">
        <v>51</v>
      </c>
      <c r="M8" s="522">
        <v>0.1</v>
      </c>
      <c r="N8" s="522">
        <v>0.1</v>
      </c>
      <c r="O8" s="522">
        <v>470</v>
      </c>
      <c r="P8" s="522">
        <v>3.0059999999999998</v>
      </c>
      <c r="Q8" s="525">
        <v>0.1024</v>
      </c>
      <c r="S8" s="207">
        <v>24.24</v>
      </c>
      <c r="T8" s="211">
        <v>13.942104780286888</v>
      </c>
      <c r="U8" s="208">
        <v>10.29789521971311</v>
      </c>
    </row>
    <row r="9" spans="3:21" ht="20.100000000000001" customHeight="1">
      <c r="C9" s="207" t="s">
        <v>639</v>
      </c>
      <c r="D9" s="195">
        <v>2880</v>
      </c>
      <c r="E9" s="195">
        <v>50</v>
      </c>
      <c r="F9" s="195">
        <v>11.48</v>
      </c>
      <c r="G9" s="195">
        <v>25.45</v>
      </c>
      <c r="H9" s="195">
        <v>13.969999999999999</v>
      </c>
      <c r="I9" s="195">
        <v>0.1</v>
      </c>
      <c r="J9" s="208">
        <v>1.3208877685237106</v>
      </c>
      <c r="K9" s="30"/>
      <c r="L9" s="207">
        <v>50</v>
      </c>
      <c r="M9" s="195">
        <v>0.1</v>
      </c>
      <c r="N9" s="195">
        <v>0.1</v>
      </c>
      <c r="O9" s="195">
        <v>470</v>
      </c>
      <c r="P9" s="195">
        <v>2.4790000000000001</v>
      </c>
      <c r="Q9" s="196">
        <v>9.7239999999999993E-2</v>
      </c>
      <c r="S9" s="207">
        <v>25.45</v>
      </c>
      <c r="T9" s="211">
        <v>13.174491057450327</v>
      </c>
      <c r="U9" s="208">
        <v>12.275508942549672</v>
      </c>
    </row>
    <row r="10" spans="3:21" ht="20.100000000000001" customHeight="1">
      <c r="C10" s="521" t="s">
        <v>640</v>
      </c>
      <c r="D10" s="522">
        <v>2880</v>
      </c>
      <c r="E10" s="522">
        <v>59</v>
      </c>
      <c r="F10" s="522">
        <v>11.75</v>
      </c>
      <c r="G10" s="522">
        <v>26.1</v>
      </c>
      <c r="H10" s="522">
        <v>14.350000000000001</v>
      </c>
      <c r="I10" s="522">
        <v>0.1</v>
      </c>
      <c r="J10" s="523">
        <v>1.430765427372948</v>
      </c>
      <c r="K10" s="30"/>
      <c r="L10" s="521">
        <v>59</v>
      </c>
      <c r="M10" s="522">
        <v>0.1</v>
      </c>
      <c r="N10" s="522">
        <v>0.1</v>
      </c>
      <c r="O10" s="522">
        <v>380</v>
      </c>
      <c r="P10" s="522">
        <v>2.883</v>
      </c>
      <c r="Q10" s="525">
        <v>0.1016</v>
      </c>
      <c r="S10" s="207">
        <v>26.1</v>
      </c>
      <c r="T10" s="211">
        <v>13.453610782756019</v>
      </c>
      <c r="U10" s="208">
        <v>12.646389217243982</v>
      </c>
    </row>
    <row r="11" spans="3:21" ht="20.100000000000001" customHeight="1">
      <c r="C11" s="207" t="s">
        <v>641</v>
      </c>
      <c r="D11" s="195">
        <v>2880</v>
      </c>
      <c r="E11" s="195">
        <v>54</v>
      </c>
      <c r="F11" s="195">
        <v>11.32</v>
      </c>
      <c r="G11" s="195">
        <v>25.42</v>
      </c>
      <c r="H11" s="195">
        <v>14.100000000000001</v>
      </c>
      <c r="I11" s="195">
        <v>0.1</v>
      </c>
      <c r="J11" s="208">
        <v>0.39232794237853885</v>
      </c>
      <c r="K11" s="30"/>
      <c r="L11" s="207">
        <v>54</v>
      </c>
      <c r="M11" s="195">
        <v>0.1</v>
      </c>
      <c r="N11" s="195">
        <v>0.1</v>
      </c>
      <c r="O11" s="195">
        <v>380</v>
      </c>
      <c r="P11" s="195">
        <v>2.883</v>
      </c>
      <c r="Q11" s="196">
        <v>0.1613</v>
      </c>
      <c r="S11" s="207">
        <v>25.42</v>
      </c>
      <c r="T11" s="211">
        <v>12.969355191161402</v>
      </c>
      <c r="U11" s="208">
        <v>12.4506448088386</v>
      </c>
    </row>
    <row r="12" spans="3:21" ht="20.100000000000001" customHeight="1">
      <c r="C12" s="541"/>
      <c r="D12" s="522"/>
      <c r="E12" s="522"/>
      <c r="F12" s="522"/>
      <c r="G12" s="522"/>
      <c r="H12" s="522"/>
      <c r="I12" s="522"/>
      <c r="J12" s="523"/>
      <c r="K12" s="30"/>
      <c r="L12" s="521"/>
      <c r="M12" s="522"/>
      <c r="N12" s="522"/>
      <c r="O12" s="522"/>
      <c r="P12" s="522"/>
      <c r="Q12" s="525"/>
      <c r="S12" s="207"/>
      <c r="T12" s="211"/>
      <c r="U12" s="208"/>
    </row>
    <row r="13" spans="3:21" ht="20.100000000000001" customHeight="1">
      <c r="C13" s="169"/>
      <c r="D13" s="195"/>
      <c r="E13" s="195"/>
      <c r="F13" s="195"/>
      <c r="G13" s="195"/>
      <c r="H13" s="195"/>
      <c r="I13" s="195"/>
      <c r="J13" s="208"/>
      <c r="K13" s="30"/>
      <c r="L13" s="207"/>
      <c r="M13" s="195"/>
      <c r="N13" s="195"/>
      <c r="O13" s="195"/>
      <c r="P13" s="195"/>
      <c r="Q13" s="196"/>
      <c r="S13" s="207"/>
      <c r="T13" s="211"/>
      <c r="U13" s="208"/>
    </row>
    <row r="14" spans="3:21" ht="20.100000000000001" customHeight="1">
      <c r="C14" s="541"/>
      <c r="D14" s="522"/>
      <c r="E14" s="522"/>
      <c r="F14" s="522"/>
      <c r="G14" s="522"/>
      <c r="H14" s="522"/>
      <c r="I14" s="522"/>
      <c r="J14" s="523"/>
      <c r="K14" s="30"/>
      <c r="L14" s="521"/>
      <c r="M14" s="522"/>
      <c r="N14" s="522"/>
      <c r="O14" s="522"/>
      <c r="P14" s="522"/>
      <c r="Q14" s="525"/>
      <c r="S14" s="207"/>
      <c r="T14" s="211"/>
      <c r="U14" s="208"/>
    </row>
    <row r="15" spans="3:21" ht="20.100000000000001" customHeight="1">
      <c r="C15" s="169"/>
      <c r="D15" s="195"/>
      <c r="E15" s="195"/>
      <c r="F15" s="195"/>
      <c r="G15" s="195"/>
      <c r="H15" s="195"/>
      <c r="I15" s="195"/>
      <c r="J15" s="208"/>
      <c r="K15" s="30"/>
      <c r="L15" s="207"/>
      <c r="M15" s="195"/>
      <c r="N15" s="195"/>
      <c r="O15" s="195"/>
      <c r="P15" s="195"/>
      <c r="Q15" s="196"/>
      <c r="S15" s="207"/>
      <c r="T15" s="211"/>
      <c r="U15" s="208"/>
    </row>
    <row r="16" spans="3:21" ht="20.100000000000001" customHeight="1">
      <c r="C16" s="541"/>
      <c r="D16" s="522"/>
      <c r="E16" s="522"/>
      <c r="F16" s="522"/>
      <c r="G16" s="522"/>
      <c r="H16" s="522"/>
      <c r="I16" s="522"/>
      <c r="J16" s="523"/>
      <c r="K16" s="30"/>
      <c r="L16" s="521"/>
      <c r="M16" s="522"/>
      <c r="N16" s="522"/>
      <c r="O16" s="522"/>
      <c r="P16" s="522"/>
      <c r="Q16" s="525"/>
      <c r="S16" s="207"/>
      <c r="T16" s="211"/>
      <c r="U16" s="208"/>
    </row>
    <row r="17" spans="3:21" ht="20.100000000000001" customHeight="1" thickBot="1">
      <c r="C17" s="170"/>
      <c r="D17" s="220"/>
      <c r="E17" s="220"/>
      <c r="F17" s="220"/>
      <c r="G17" s="220"/>
      <c r="H17" s="220"/>
      <c r="I17" s="220"/>
      <c r="J17" s="564"/>
      <c r="K17" s="30"/>
      <c r="L17" s="170"/>
      <c r="M17" s="220"/>
      <c r="N17" s="220"/>
      <c r="O17" s="220"/>
      <c r="P17" s="220"/>
      <c r="Q17" s="244"/>
      <c r="S17" s="170"/>
      <c r="T17" s="551"/>
      <c r="U17" s="564"/>
    </row>
    <row r="18" spans="3:21" ht="20.100000000000001" customHeight="1">
      <c r="D18" s="30"/>
      <c r="E18" s="30"/>
      <c r="F18" s="30"/>
      <c r="G18" s="30"/>
      <c r="H18" s="30"/>
      <c r="I18" s="30"/>
      <c r="J18" s="149"/>
      <c r="K18" s="30"/>
      <c r="L18" s="30"/>
      <c r="M18" s="30"/>
      <c r="N18" s="30"/>
      <c r="O18" s="30"/>
      <c r="P18" s="30"/>
      <c r="Q18" s="30"/>
      <c r="S18" s="30"/>
      <c r="T18" s="149"/>
      <c r="U18" s="149"/>
    </row>
    <row r="19" spans="3:21" ht="20.100000000000001" customHeight="1">
      <c r="H19" s="150"/>
      <c r="J19" s="151"/>
      <c r="K19" s="151"/>
      <c r="L19" s="151"/>
      <c r="M19" s="151"/>
      <c r="N19" s="151"/>
      <c r="O19" s="151"/>
      <c r="P19" s="151"/>
      <c r="S19" s="30"/>
      <c r="T19" s="149"/>
      <c r="U19" s="149"/>
    </row>
    <row r="20" spans="3:21" s="30" customFormat="1" ht="26.25" customHeight="1" thickBot="1">
      <c r="D20" s="148" t="s">
        <v>250</v>
      </c>
      <c r="F20" s="45"/>
      <c r="H20" s="147"/>
      <c r="T20" s="149"/>
      <c r="U20" s="149"/>
    </row>
    <row r="21" spans="3:21" s="46" customFormat="1" ht="36" customHeight="1">
      <c r="D21" s="212" t="s">
        <v>278</v>
      </c>
      <c r="E21" s="213" t="s">
        <v>227</v>
      </c>
      <c r="F21" s="213" t="s">
        <v>228</v>
      </c>
      <c r="G21" s="213" t="s">
        <v>229</v>
      </c>
      <c r="H21" s="214" t="s">
        <v>351</v>
      </c>
      <c r="I21" s="213" t="s">
        <v>352</v>
      </c>
      <c r="J21" s="213" t="s">
        <v>353</v>
      </c>
      <c r="K21" s="213" t="s">
        <v>639</v>
      </c>
      <c r="L21" s="213" t="s">
        <v>640</v>
      </c>
      <c r="M21" s="213" t="s">
        <v>641</v>
      </c>
      <c r="N21" s="213"/>
      <c r="O21" s="213"/>
      <c r="P21" s="213"/>
      <c r="Q21" s="213"/>
      <c r="R21" s="213"/>
      <c r="S21" s="215"/>
      <c r="T21" s="153"/>
      <c r="U21" s="153"/>
    </row>
    <row r="22" spans="3:21" s="30" customFormat="1" ht="23.1" customHeight="1">
      <c r="D22" s="241" t="s">
        <v>253</v>
      </c>
      <c r="E22" s="202">
        <v>2.2494999999999998</v>
      </c>
      <c r="F22" s="526">
        <v>2.3704999999999998</v>
      </c>
      <c r="G22" s="202">
        <v>2.4524999999999997</v>
      </c>
      <c r="H22" s="526">
        <v>2.5270000000000001</v>
      </c>
      <c r="I22" s="202">
        <v>2.8365</v>
      </c>
      <c r="J22" s="529">
        <v>2.8424999999999998</v>
      </c>
      <c r="K22" s="253">
        <v>2.0710000000000002</v>
      </c>
      <c r="L22" s="529">
        <v>2.6819999999999999</v>
      </c>
      <c r="M22" s="253">
        <v>2.7640000000000002</v>
      </c>
      <c r="N22" s="529"/>
      <c r="O22" s="253"/>
      <c r="P22" s="529"/>
      <c r="Q22" s="248"/>
      <c r="R22" s="533"/>
      <c r="S22" s="243"/>
      <c r="T22" s="149"/>
      <c r="U22" s="149"/>
    </row>
    <row r="23" spans="3:21" s="30" customFormat="1" ht="23.1" customHeight="1">
      <c r="D23" s="241" t="s">
        <v>232</v>
      </c>
      <c r="E23" s="202">
        <v>4.7800000000000004E-3</v>
      </c>
      <c r="F23" s="526">
        <v>5.0400000000000002E-3</v>
      </c>
      <c r="G23" s="202">
        <v>5.2100000000000002E-3</v>
      </c>
      <c r="H23" s="526">
        <v>5.3699999999999998E-3</v>
      </c>
      <c r="I23" s="202">
        <v>6.0299999999999998E-3</v>
      </c>
      <c r="J23" s="529">
        <v>6.0400000000000002E-3</v>
      </c>
      <c r="K23" s="253">
        <v>4.4000000000000003E-3</v>
      </c>
      <c r="L23" s="529">
        <v>7.0499999999999998E-3</v>
      </c>
      <c r="M23" s="253">
        <v>7.2700000000000004E-3</v>
      </c>
      <c r="N23" s="529"/>
      <c r="O23" s="253"/>
      <c r="P23" s="529"/>
      <c r="Q23" s="248"/>
      <c r="R23" s="533"/>
      <c r="S23" s="243"/>
      <c r="T23" s="149"/>
      <c r="U23" s="149"/>
    </row>
    <row r="24" spans="3:21" s="30" customFormat="1" ht="23.1" customHeight="1">
      <c r="D24" s="241" t="s">
        <v>233</v>
      </c>
      <c r="E24" s="509">
        <v>2.8430000000000003E-4</v>
      </c>
      <c r="F24" s="527">
        <v>2.7480000000000001E-4</v>
      </c>
      <c r="G24" s="509">
        <v>2.789E-4</v>
      </c>
      <c r="H24" s="527">
        <v>2.5530000000000003E-4</v>
      </c>
      <c r="I24" s="509">
        <v>2.7520000000000002E-4</v>
      </c>
      <c r="J24" s="530">
        <v>2.7250000000000001E-4</v>
      </c>
      <c r="K24" s="514">
        <v>2.878E-4</v>
      </c>
      <c r="L24" s="530">
        <v>2.7349999999999998E-4</v>
      </c>
      <c r="M24" s="514">
        <v>2.7720000000000002E-4</v>
      </c>
      <c r="N24" s="530"/>
      <c r="O24" s="514"/>
      <c r="P24" s="530"/>
      <c r="Q24" s="251"/>
      <c r="R24" s="533"/>
      <c r="S24" s="243"/>
      <c r="T24" s="149"/>
      <c r="U24" s="149"/>
    </row>
    <row r="25" spans="3:21" s="30" customFormat="1" ht="23.1" customHeight="1">
      <c r="D25" s="241" t="s">
        <v>711</v>
      </c>
      <c r="E25" s="202">
        <v>0.54159999999999997</v>
      </c>
      <c r="F25" s="526">
        <v>0.54159999999999997</v>
      </c>
      <c r="G25" s="202">
        <v>0.54159999999999997</v>
      </c>
      <c r="H25" s="526">
        <v>0.54159999999999997</v>
      </c>
      <c r="I25" s="202">
        <v>0.54159999999999997</v>
      </c>
      <c r="J25" s="529">
        <v>0.54159999999999997</v>
      </c>
      <c r="K25" s="253">
        <v>0.54159999999999997</v>
      </c>
      <c r="L25" s="529">
        <v>0.54159999999999997</v>
      </c>
      <c r="M25" s="253">
        <v>0.54159999999999997</v>
      </c>
      <c r="N25" s="529"/>
      <c r="O25" s="253"/>
      <c r="P25" s="529"/>
      <c r="Q25" s="248"/>
      <c r="R25" s="533"/>
      <c r="S25" s="243"/>
      <c r="T25" s="149"/>
      <c r="U25" s="149"/>
    </row>
    <row r="26" spans="3:21" s="30" customFormat="1" ht="23.1" customHeight="1">
      <c r="D26" s="241" t="s">
        <v>252</v>
      </c>
      <c r="E26" s="211">
        <v>14.44</v>
      </c>
      <c r="F26" s="528">
        <v>13.48</v>
      </c>
      <c r="G26" s="211">
        <v>13.77</v>
      </c>
      <c r="H26" s="528">
        <v>11.91</v>
      </c>
      <c r="I26" s="211">
        <v>13.670000000000002</v>
      </c>
      <c r="J26" s="531">
        <v>11.939999999999998</v>
      </c>
      <c r="K26" s="515">
        <v>13.969999999999999</v>
      </c>
      <c r="L26" s="531">
        <v>14.350000000000001</v>
      </c>
      <c r="M26" s="515">
        <v>14.100000000000001</v>
      </c>
      <c r="N26" s="531"/>
      <c r="O26" s="515"/>
      <c r="P26" s="531"/>
      <c r="Q26" s="250"/>
      <c r="R26" s="533"/>
      <c r="S26" s="243"/>
      <c r="T26" s="149"/>
      <c r="U26" s="149"/>
    </row>
    <row r="27" spans="3:21" s="30" customFormat="1" ht="23.1" customHeight="1" thickBot="1">
      <c r="D27" s="242" t="s">
        <v>251</v>
      </c>
      <c r="E27" s="188">
        <v>470</v>
      </c>
      <c r="F27" s="524">
        <v>470</v>
      </c>
      <c r="G27" s="188">
        <v>470</v>
      </c>
      <c r="H27" s="524">
        <v>470</v>
      </c>
      <c r="I27" s="188">
        <v>470</v>
      </c>
      <c r="J27" s="532">
        <v>470</v>
      </c>
      <c r="K27" s="254">
        <v>470</v>
      </c>
      <c r="L27" s="532">
        <v>380</v>
      </c>
      <c r="M27" s="254">
        <v>380</v>
      </c>
      <c r="N27" s="532"/>
      <c r="O27" s="254"/>
      <c r="P27" s="532"/>
      <c r="Q27" s="220"/>
      <c r="R27" s="534"/>
      <c r="S27" s="244"/>
      <c r="T27" s="149"/>
      <c r="U27" s="149"/>
    </row>
    <row r="28" spans="3:21" ht="20.100000000000001" customHeight="1">
      <c r="D28" s="36"/>
      <c r="E28" s="36"/>
      <c r="F28" s="151"/>
      <c r="G28" s="36"/>
      <c r="H28" s="150"/>
      <c r="T28" s="152"/>
      <c r="U28" s="152"/>
    </row>
    <row r="29" spans="3:21" ht="20.100000000000001" customHeight="1">
      <c r="D29" s="30"/>
      <c r="E29" s="30"/>
      <c r="F29" s="30"/>
      <c r="G29" s="30"/>
      <c r="H29" s="30"/>
      <c r="I29" s="30"/>
      <c r="J29" s="149"/>
      <c r="K29" s="30"/>
      <c r="L29" s="30"/>
      <c r="M29" s="30"/>
      <c r="N29" s="30"/>
      <c r="O29" s="30"/>
      <c r="P29" s="30"/>
      <c r="Q29" s="30"/>
      <c r="T29" s="152"/>
      <c r="U29" s="152"/>
    </row>
    <row r="30" spans="3:21" ht="32.25" customHeight="1" thickBot="1">
      <c r="C30" s="148" t="s">
        <v>712</v>
      </c>
      <c r="D30" s="30"/>
      <c r="E30" s="30"/>
      <c r="F30" s="30"/>
      <c r="G30" s="30"/>
      <c r="H30" s="45" t="s">
        <v>389</v>
      </c>
      <c r="I30" s="148"/>
      <c r="J30" s="149"/>
      <c r="K30" s="30"/>
      <c r="L30" s="30"/>
      <c r="M30" s="30"/>
      <c r="N30" s="30"/>
      <c r="P30" s="45" t="s">
        <v>390</v>
      </c>
      <c r="Q30" s="30"/>
      <c r="R30" s="30"/>
    </row>
    <row r="31" spans="3:21" s="30" customFormat="1" ht="33.75" customHeight="1">
      <c r="C31" s="216" t="s">
        <v>217</v>
      </c>
      <c r="D31" s="217" t="s">
        <v>713</v>
      </c>
      <c r="E31" s="217" t="s">
        <v>280</v>
      </c>
      <c r="F31" s="218" t="s">
        <v>281</v>
      </c>
      <c r="H31" s="216" t="s">
        <v>256</v>
      </c>
      <c r="I31" s="217" t="s">
        <v>257</v>
      </c>
      <c r="J31" s="221" t="s">
        <v>258</v>
      </c>
      <c r="K31" s="217" t="s">
        <v>259</v>
      </c>
      <c r="L31" s="217" t="s">
        <v>260</v>
      </c>
      <c r="M31" s="217" t="s">
        <v>261</v>
      </c>
      <c r="N31" s="218" t="s">
        <v>211</v>
      </c>
      <c r="P31" s="408" t="s">
        <v>282</v>
      </c>
      <c r="Q31" s="193" t="s">
        <v>283</v>
      </c>
      <c r="R31" s="194" t="s">
        <v>284</v>
      </c>
    </row>
    <row r="32" spans="3:21" ht="20.100000000000001" customHeight="1">
      <c r="C32" s="632" t="s">
        <v>227</v>
      </c>
      <c r="D32" s="219" t="s">
        <v>262</v>
      </c>
      <c r="E32" s="202">
        <v>2.5489999999999999</v>
      </c>
      <c r="F32" s="510">
        <v>2.8430000000000003E-4</v>
      </c>
      <c r="G32" s="30"/>
      <c r="H32" s="512" t="s">
        <v>227</v>
      </c>
      <c r="I32" s="226">
        <v>28.1</v>
      </c>
      <c r="J32" s="226">
        <v>34.4</v>
      </c>
      <c r="K32" s="226">
        <v>98.2</v>
      </c>
      <c r="L32" s="226">
        <v>53.6</v>
      </c>
      <c r="M32" s="226">
        <v>98.2</v>
      </c>
      <c r="N32" s="513">
        <v>28.1</v>
      </c>
      <c r="P32" s="169" t="s">
        <v>227</v>
      </c>
      <c r="Q32" s="202">
        <v>-2.9195000000000002</v>
      </c>
      <c r="R32" s="203">
        <v>1.853</v>
      </c>
    </row>
    <row r="33" spans="3:18" ht="20.100000000000001" customHeight="1">
      <c r="C33" s="632"/>
      <c r="D33" s="219" t="s">
        <v>263</v>
      </c>
      <c r="E33" s="202">
        <v>1.95</v>
      </c>
      <c r="F33" s="196"/>
      <c r="G33" s="30"/>
      <c r="H33" s="538" t="s">
        <v>228</v>
      </c>
      <c r="I33" s="539">
        <v>28.3</v>
      </c>
      <c r="J33" s="539">
        <v>34.700000000000003</v>
      </c>
      <c r="K33" s="539">
        <v>102.5</v>
      </c>
      <c r="L33" s="539">
        <v>55.2</v>
      </c>
      <c r="M33" s="539">
        <v>102.5</v>
      </c>
      <c r="N33" s="540">
        <v>28.3</v>
      </c>
      <c r="P33" s="541" t="s">
        <v>228</v>
      </c>
      <c r="Q33" s="526">
        <v>-2.9542000000000002</v>
      </c>
      <c r="R33" s="542">
        <v>1.919</v>
      </c>
    </row>
    <row r="34" spans="3:18" ht="20.100000000000001" customHeight="1">
      <c r="C34" s="632"/>
      <c r="D34" s="219" t="s">
        <v>264</v>
      </c>
      <c r="E34" s="255">
        <v>2.2494999999999998</v>
      </c>
      <c r="F34" s="511">
        <v>2.8430000000000003E-4</v>
      </c>
      <c r="G34" s="30"/>
      <c r="H34" s="512" t="s">
        <v>229</v>
      </c>
      <c r="I34" s="226">
        <v>28.9</v>
      </c>
      <c r="J34" s="226">
        <v>35.4</v>
      </c>
      <c r="K34" s="226">
        <v>103.5</v>
      </c>
      <c r="L34" s="226">
        <v>55.9</v>
      </c>
      <c r="M34" s="226">
        <v>103.5</v>
      </c>
      <c r="N34" s="513">
        <v>28.9</v>
      </c>
      <c r="P34" s="169" t="s">
        <v>229</v>
      </c>
      <c r="Q34" s="202">
        <v>-2.9416000000000002</v>
      </c>
      <c r="R34" s="203">
        <v>1.895</v>
      </c>
    </row>
    <row r="35" spans="3:18" ht="20.100000000000001" customHeight="1">
      <c r="C35" s="637" t="s">
        <v>228</v>
      </c>
      <c r="D35" s="533" t="s">
        <v>262</v>
      </c>
      <c r="E35" s="526">
        <v>2.859</v>
      </c>
      <c r="F35" s="535">
        <v>2.7480000000000001E-4</v>
      </c>
      <c r="G35" s="30"/>
      <c r="H35" s="538" t="s">
        <v>351</v>
      </c>
      <c r="I35" s="539">
        <v>28.5</v>
      </c>
      <c r="J35" s="539">
        <v>34.9</v>
      </c>
      <c r="K35" s="539">
        <v>109.8</v>
      </c>
      <c r="L35" s="539">
        <v>57.7</v>
      </c>
      <c r="M35" s="539">
        <v>109.8</v>
      </c>
      <c r="N35" s="540">
        <v>28.5</v>
      </c>
      <c r="P35" s="541" t="s">
        <v>351</v>
      </c>
      <c r="Q35" s="526">
        <v>-3.0042</v>
      </c>
      <c r="R35" s="542">
        <v>2.0169999999999999</v>
      </c>
    </row>
    <row r="36" spans="3:18" ht="20.100000000000001" customHeight="1">
      <c r="C36" s="637"/>
      <c r="D36" s="533" t="s">
        <v>263</v>
      </c>
      <c r="E36" s="526">
        <v>1.8819999999999999</v>
      </c>
      <c r="F36" s="525"/>
      <c r="G36" s="30"/>
      <c r="H36" s="512" t="s">
        <v>352</v>
      </c>
      <c r="I36" s="226">
        <v>31.2</v>
      </c>
      <c r="J36" s="226">
        <v>38.200000000000003</v>
      </c>
      <c r="K36" s="226">
        <v>112.1</v>
      </c>
      <c r="L36" s="226">
        <v>60.5</v>
      </c>
      <c r="M36" s="226">
        <v>112.1</v>
      </c>
      <c r="N36" s="513">
        <v>31.2</v>
      </c>
      <c r="P36" s="169" t="s">
        <v>352</v>
      </c>
      <c r="Q36" s="202">
        <v>-2.9565000000000001</v>
      </c>
      <c r="R36" s="203">
        <v>1.923</v>
      </c>
    </row>
    <row r="37" spans="3:18" ht="20.100000000000001" customHeight="1">
      <c r="C37" s="637"/>
      <c r="D37" s="533" t="s">
        <v>264</v>
      </c>
      <c r="E37" s="536">
        <v>2.3704999999999998</v>
      </c>
      <c r="F37" s="537">
        <v>2.7480000000000001E-4</v>
      </c>
      <c r="G37" s="30"/>
      <c r="H37" s="538" t="s">
        <v>353</v>
      </c>
      <c r="I37" s="539">
        <v>29.3</v>
      </c>
      <c r="J37" s="539">
        <v>35.9</v>
      </c>
      <c r="K37" s="539">
        <v>112.7</v>
      </c>
      <c r="L37" s="539">
        <v>59.3</v>
      </c>
      <c r="M37" s="539">
        <v>112.7</v>
      </c>
      <c r="N37" s="540">
        <v>29.3</v>
      </c>
      <c r="P37" s="541" t="s">
        <v>353</v>
      </c>
      <c r="Q37" s="526">
        <v>-2.9649000000000001</v>
      </c>
      <c r="R37" s="542">
        <v>1.9390000000000001</v>
      </c>
    </row>
    <row r="38" spans="3:18" ht="20.100000000000001" customHeight="1">
      <c r="C38" s="632" t="s">
        <v>229</v>
      </c>
      <c r="D38" s="219" t="s">
        <v>262</v>
      </c>
      <c r="E38" s="202">
        <v>2.738</v>
      </c>
      <c r="F38" s="510">
        <v>2.789E-4</v>
      </c>
      <c r="G38" s="30"/>
      <c r="H38" s="512" t="s">
        <v>639</v>
      </c>
      <c r="I38" s="226">
        <v>26.3</v>
      </c>
      <c r="J38" s="226">
        <v>32.299999999999997</v>
      </c>
      <c r="K38" s="226">
        <v>93.6</v>
      </c>
      <c r="L38" s="226">
        <v>50.7</v>
      </c>
      <c r="M38" s="226">
        <v>93.6</v>
      </c>
      <c r="N38" s="513">
        <v>26.3</v>
      </c>
      <c r="P38" s="169" t="s">
        <v>639</v>
      </c>
      <c r="Q38" s="202">
        <v>-2.911</v>
      </c>
      <c r="R38" s="203">
        <v>1.8380000000000001</v>
      </c>
    </row>
    <row r="39" spans="3:18" ht="20.100000000000001" customHeight="1">
      <c r="C39" s="632"/>
      <c r="D39" s="219" t="s">
        <v>263</v>
      </c>
      <c r="E39" s="202">
        <v>2.1669999999999998</v>
      </c>
      <c r="F39" s="196"/>
      <c r="G39" s="30"/>
      <c r="H39" s="538" t="s">
        <v>640</v>
      </c>
      <c r="I39" s="539">
        <v>34.700000000000003</v>
      </c>
      <c r="J39" s="539">
        <v>42.5</v>
      </c>
      <c r="K39" s="539">
        <v>109.3</v>
      </c>
      <c r="L39" s="539">
        <v>62.2</v>
      </c>
      <c r="M39" s="539">
        <v>109.3</v>
      </c>
      <c r="N39" s="540">
        <v>34.700000000000003</v>
      </c>
      <c r="P39" s="541" t="s">
        <v>640</v>
      </c>
      <c r="Q39" s="526">
        <v>-2.9586000000000001</v>
      </c>
      <c r="R39" s="542">
        <v>1.927</v>
      </c>
    </row>
    <row r="40" spans="3:18" ht="20.100000000000001" customHeight="1">
      <c r="C40" s="632"/>
      <c r="D40" s="219" t="s">
        <v>264</v>
      </c>
      <c r="E40" s="255">
        <v>2.4524999999999997</v>
      </c>
      <c r="F40" s="511">
        <v>2.789E-4</v>
      </c>
      <c r="G40" s="30"/>
      <c r="H40" s="512" t="s">
        <v>641</v>
      </c>
      <c r="I40" s="226">
        <v>34.700000000000003</v>
      </c>
      <c r="J40" s="226">
        <v>42.5</v>
      </c>
      <c r="K40" s="226">
        <v>110.2</v>
      </c>
      <c r="L40" s="226">
        <v>62.5</v>
      </c>
      <c r="M40" s="226">
        <v>110.2</v>
      </c>
      <c r="N40" s="513">
        <v>34.700000000000003</v>
      </c>
      <c r="P40" s="169" t="s">
        <v>641</v>
      </c>
      <c r="Q40" s="202">
        <v>-3.2663000000000002</v>
      </c>
      <c r="R40" s="203">
        <v>2.621</v>
      </c>
    </row>
    <row r="41" spans="3:18" ht="20.100000000000001" customHeight="1">
      <c r="C41" s="637" t="s">
        <v>351</v>
      </c>
      <c r="D41" s="533" t="s">
        <v>262</v>
      </c>
      <c r="E41" s="526">
        <v>3.0750000000000002</v>
      </c>
      <c r="F41" s="535">
        <v>2.5530000000000003E-4</v>
      </c>
      <c r="G41" s="30"/>
      <c r="H41" s="538"/>
      <c r="I41" s="539"/>
      <c r="J41" s="539"/>
      <c r="K41" s="539"/>
      <c r="L41" s="539"/>
      <c r="M41" s="539"/>
      <c r="N41" s="540"/>
      <c r="P41" s="541"/>
      <c r="Q41" s="526"/>
      <c r="R41" s="542"/>
    </row>
    <row r="42" spans="3:18" ht="20.100000000000001" customHeight="1">
      <c r="C42" s="637"/>
      <c r="D42" s="533" t="s">
        <v>263</v>
      </c>
      <c r="E42" s="526">
        <v>1.9790000000000001</v>
      </c>
      <c r="F42" s="525"/>
      <c r="G42" s="30"/>
      <c r="H42" s="512"/>
      <c r="I42" s="226"/>
      <c r="J42" s="226"/>
      <c r="K42" s="226"/>
      <c r="L42" s="226"/>
      <c r="M42" s="226"/>
      <c r="N42" s="513"/>
      <c r="P42" s="169"/>
      <c r="Q42" s="202"/>
      <c r="R42" s="203"/>
    </row>
    <row r="43" spans="3:18" ht="20.100000000000001" customHeight="1">
      <c r="C43" s="637"/>
      <c r="D43" s="533" t="s">
        <v>264</v>
      </c>
      <c r="E43" s="536">
        <v>2.5270000000000001</v>
      </c>
      <c r="F43" s="537">
        <v>2.5530000000000003E-4</v>
      </c>
      <c r="G43" s="30"/>
      <c r="H43" s="538"/>
      <c r="I43" s="539"/>
      <c r="J43" s="539"/>
      <c r="K43" s="539"/>
      <c r="L43" s="539"/>
      <c r="M43" s="539"/>
      <c r="N43" s="540"/>
      <c r="P43" s="541"/>
      <c r="Q43" s="526"/>
      <c r="R43" s="542"/>
    </row>
    <row r="44" spans="3:18" ht="20.100000000000001" customHeight="1">
      <c r="C44" s="632" t="s">
        <v>352</v>
      </c>
      <c r="D44" s="219" t="s">
        <v>262</v>
      </c>
      <c r="E44" s="202">
        <v>2.87</v>
      </c>
      <c r="F44" s="510">
        <v>2.7520000000000002E-4</v>
      </c>
      <c r="G44" s="30"/>
      <c r="H44" s="512"/>
      <c r="I44" s="226"/>
      <c r="J44" s="226"/>
      <c r="K44" s="226"/>
      <c r="L44" s="226"/>
      <c r="M44" s="226"/>
      <c r="N44" s="513"/>
      <c r="P44" s="169"/>
      <c r="Q44" s="202"/>
      <c r="R44" s="203"/>
    </row>
    <row r="45" spans="3:18" ht="20.100000000000001" customHeight="1">
      <c r="C45" s="632"/>
      <c r="D45" s="219" t="s">
        <v>263</v>
      </c>
      <c r="E45" s="202">
        <v>2.8029999999999999</v>
      </c>
      <c r="F45" s="196"/>
      <c r="G45" s="30"/>
      <c r="H45" s="541"/>
      <c r="I45" s="522"/>
      <c r="J45" s="522"/>
      <c r="K45" s="522"/>
      <c r="L45" s="522"/>
      <c r="M45" s="522"/>
      <c r="N45" s="565"/>
      <c r="P45" s="541"/>
      <c r="Q45" s="522"/>
      <c r="R45" s="525"/>
    </row>
    <row r="46" spans="3:18" ht="20.100000000000001" customHeight="1" thickBot="1">
      <c r="C46" s="632"/>
      <c r="D46" s="219" t="s">
        <v>264</v>
      </c>
      <c r="E46" s="255">
        <v>2.8365</v>
      </c>
      <c r="F46" s="511">
        <v>2.7520000000000002E-4</v>
      </c>
      <c r="G46" s="30"/>
      <c r="H46" s="170"/>
      <c r="I46" s="220"/>
      <c r="J46" s="220"/>
      <c r="K46" s="220"/>
      <c r="L46" s="220"/>
      <c r="M46" s="220"/>
      <c r="N46" s="244"/>
      <c r="O46" s="30"/>
      <c r="P46" s="170"/>
      <c r="Q46" s="220"/>
      <c r="R46" s="566"/>
    </row>
    <row r="47" spans="3:18" ht="20.100000000000001" customHeight="1">
      <c r="C47" s="637" t="s">
        <v>353</v>
      </c>
      <c r="D47" s="533" t="s">
        <v>262</v>
      </c>
      <c r="E47" s="526">
        <v>3.0059999999999998</v>
      </c>
      <c r="F47" s="535">
        <v>2.7250000000000001E-4</v>
      </c>
    </row>
    <row r="48" spans="3:18" ht="20.100000000000001" customHeight="1">
      <c r="C48" s="637"/>
      <c r="D48" s="533" t="s">
        <v>263</v>
      </c>
      <c r="E48" s="526">
        <v>2.6789999999999998</v>
      </c>
      <c r="F48" s="525"/>
    </row>
    <row r="49" spans="3:6" ht="20.100000000000001" customHeight="1">
      <c r="C49" s="637"/>
      <c r="D49" s="533" t="s">
        <v>264</v>
      </c>
      <c r="E49" s="536">
        <v>2.8424999999999998</v>
      </c>
      <c r="F49" s="537">
        <v>2.7250000000000001E-4</v>
      </c>
    </row>
    <row r="50" spans="3:6" ht="20.100000000000001" customHeight="1">
      <c r="C50" s="632" t="s">
        <v>639</v>
      </c>
      <c r="D50" s="219" t="s">
        <v>262</v>
      </c>
      <c r="E50" s="202">
        <v>2.4790000000000001</v>
      </c>
      <c r="F50" s="510">
        <v>2.878E-4</v>
      </c>
    </row>
    <row r="51" spans="3:6" ht="20.100000000000001" customHeight="1">
      <c r="C51" s="632"/>
      <c r="D51" s="219" t="s">
        <v>263</v>
      </c>
      <c r="E51" s="202">
        <v>1.663</v>
      </c>
      <c r="F51" s="196"/>
    </row>
    <row r="52" spans="3:6" ht="20.100000000000001" customHeight="1">
      <c r="C52" s="632"/>
      <c r="D52" s="219" t="s">
        <v>264</v>
      </c>
      <c r="E52" s="255">
        <v>2.0710000000000002</v>
      </c>
      <c r="F52" s="511">
        <v>2.878E-4</v>
      </c>
    </row>
    <row r="53" spans="3:6" ht="20.100000000000001" customHeight="1">
      <c r="C53" s="637" t="s">
        <v>640</v>
      </c>
      <c r="D53" s="533" t="s">
        <v>262</v>
      </c>
      <c r="E53" s="526">
        <v>2.883</v>
      </c>
      <c r="F53" s="535">
        <v>2.7349999999999998E-4</v>
      </c>
    </row>
    <row r="54" spans="3:6" ht="20.100000000000001" customHeight="1">
      <c r="C54" s="637"/>
      <c r="D54" s="533" t="s">
        <v>263</v>
      </c>
      <c r="E54" s="526">
        <v>2.4809999999999999</v>
      </c>
      <c r="F54" s="525"/>
    </row>
    <row r="55" spans="3:6" ht="20.100000000000001" customHeight="1">
      <c r="C55" s="637"/>
      <c r="D55" s="533" t="s">
        <v>264</v>
      </c>
      <c r="E55" s="536">
        <v>2.6819999999999999</v>
      </c>
      <c r="F55" s="537">
        <v>2.7349999999999998E-4</v>
      </c>
    </row>
    <row r="56" spans="3:6" ht="20.100000000000001" customHeight="1">
      <c r="C56" s="632" t="s">
        <v>641</v>
      </c>
      <c r="D56" s="219" t="s">
        <v>262</v>
      </c>
      <c r="E56" s="202">
        <v>2.883</v>
      </c>
      <c r="F56" s="510">
        <v>2.7720000000000002E-4</v>
      </c>
    </row>
    <row r="57" spans="3:6" ht="20.100000000000001" customHeight="1">
      <c r="C57" s="632"/>
      <c r="D57" s="219" t="s">
        <v>263</v>
      </c>
      <c r="E57" s="202">
        <v>2.645</v>
      </c>
      <c r="F57" s="196"/>
    </row>
    <row r="58" spans="3:6" ht="20.100000000000001" customHeight="1">
      <c r="C58" s="632"/>
      <c r="D58" s="219" t="s">
        <v>264</v>
      </c>
      <c r="E58" s="255">
        <v>2.7640000000000002</v>
      </c>
      <c r="F58" s="511">
        <v>2.7720000000000002E-4</v>
      </c>
    </row>
    <row r="59" spans="3:6" ht="20.100000000000001" customHeight="1">
      <c r="C59" s="637"/>
      <c r="D59" s="533"/>
      <c r="E59" s="526"/>
      <c r="F59" s="535"/>
    </row>
    <row r="60" spans="3:6" ht="20.100000000000001" customHeight="1">
      <c r="C60" s="637"/>
      <c r="D60" s="533"/>
      <c r="E60" s="526"/>
      <c r="F60" s="525"/>
    </row>
    <row r="61" spans="3:6" ht="20.100000000000001" customHeight="1">
      <c r="C61" s="637"/>
      <c r="D61" s="533"/>
      <c r="E61" s="536"/>
      <c r="F61" s="537"/>
    </row>
    <row r="62" spans="3:6" ht="20.100000000000001" customHeight="1">
      <c r="C62" s="632"/>
      <c r="D62" s="219"/>
      <c r="E62" s="202"/>
      <c r="F62" s="510"/>
    </row>
    <row r="63" spans="3:6" ht="20.100000000000001" customHeight="1">
      <c r="C63" s="632"/>
      <c r="D63" s="219"/>
      <c r="E63" s="202"/>
      <c r="F63" s="196"/>
    </row>
    <row r="64" spans="3:6" ht="20.100000000000001" customHeight="1">
      <c r="C64" s="632"/>
      <c r="D64" s="219"/>
      <c r="E64" s="255"/>
      <c r="F64" s="511"/>
    </row>
    <row r="65" spans="3:6" ht="20.100000000000001" customHeight="1">
      <c r="C65" s="637"/>
      <c r="D65" s="533"/>
      <c r="E65" s="526"/>
      <c r="F65" s="535"/>
    </row>
    <row r="66" spans="3:6" ht="20.100000000000001" customHeight="1">
      <c r="C66" s="637"/>
      <c r="D66" s="533"/>
      <c r="E66" s="526"/>
      <c r="F66" s="525"/>
    </row>
    <row r="67" spans="3:6" ht="20.100000000000001" customHeight="1">
      <c r="C67" s="637"/>
      <c r="D67" s="533"/>
      <c r="E67" s="536"/>
      <c r="F67" s="537"/>
    </row>
    <row r="68" spans="3:6" ht="20.100000000000001" customHeight="1">
      <c r="C68" s="632"/>
      <c r="D68" s="219"/>
      <c r="E68" s="248"/>
      <c r="F68" s="518"/>
    </row>
    <row r="69" spans="3:6" ht="20.100000000000001" customHeight="1">
      <c r="C69" s="632"/>
      <c r="D69" s="219"/>
      <c r="E69" s="248"/>
      <c r="F69" s="243"/>
    </row>
    <row r="70" spans="3:6" ht="20.100000000000001" customHeight="1">
      <c r="C70" s="632"/>
      <c r="D70" s="219"/>
      <c r="E70" s="562"/>
      <c r="F70" s="563"/>
    </row>
    <row r="71" spans="3:6" ht="20.100000000000001" customHeight="1">
      <c r="C71" s="632"/>
      <c r="D71" s="219"/>
      <c r="E71" s="248"/>
      <c r="F71" s="518"/>
    </row>
    <row r="72" spans="3:6" ht="20.100000000000001" customHeight="1">
      <c r="C72" s="632"/>
      <c r="D72" s="219"/>
      <c r="E72" s="248"/>
      <c r="F72" s="243"/>
    </row>
    <row r="73" spans="3:6" ht="20.100000000000001" customHeight="1">
      <c r="C73" s="632"/>
      <c r="D73" s="219"/>
      <c r="E73" s="562"/>
      <c r="F73" s="563"/>
    </row>
    <row r="74" spans="3:6" ht="20.100000000000001" customHeight="1">
      <c r="C74" s="632"/>
      <c r="D74" s="219"/>
      <c r="E74" s="248"/>
      <c r="F74" s="518"/>
    </row>
    <row r="75" spans="3:6" ht="20.100000000000001" customHeight="1">
      <c r="C75" s="632"/>
      <c r="D75" s="219"/>
      <c r="E75" s="248"/>
      <c r="F75" s="243"/>
    </row>
    <row r="76" spans="3:6" ht="20.100000000000001" customHeight="1" thickBot="1">
      <c r="C76" s="634"/>
      <c r="D76" s="220"/>
      <c r="E76" s="519"/>
      <c r="F76" s="520"/>
    </row>
  </sheetData>
  <mergeCells count="15">
    <mergeCell ref="C71:C73"/>
    <mergeCell ref="C74:C76"/>
    <mergeCell ref="C68:C70"/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/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154" t="s">
        <v>249</v>
      </c>
    </row>
    <row r="3" spans="3:15" s="45" customFormat="1" ht="28.5" customHeight="1">
      <c r="C3" s="479" t="s">
        <v>217</v>
      </c>
      <c r="D3" s="480" t="s">
        <v>239</v>
      </c>
      <c r="E3" s="480" t="s">
        <v>214</v>
      </c>
      <c r="F3" s="480" t="s">
        <v>240</v>
      </c>
      <c r="G3" s="480" t="s">
        <v>244</v>
      </c>
      <c r="H3" s="480" t="s">
        <v>246</v>
      </c>
      <c r="I3" s="480" t="s">
        <v>220</v>
      </c>
      <c r="J3" s="480" t="s">
        <v>247</v>
      </c>
      <c r="K3" s="480" t="s">
        <v>117</v>
      </c>
      <c r="L3" s="480" t="s">
        <v>245</v>
      </c>
      <c r="M3" s="480" t="s">
        <v>241</v>
      </c>
      <c r="N3" s="480" t="s">
        <v>242</v>
      </c>
      <c r="O3" s="481" t="s">
        <v>243</v>
      </c>
    </row>
    <row r="4" spans="3:15" ht="20.100000000000001" customHeight="1">
      <c r="C4" s="197" t="s">
        <v>227</v>
      </c>
      <c r="D4" s="641" t="s">
        <v>709</v>
      </c>
      <c r="E4" s="198">
        <v>53</v>
      </c>
      <c r="F4" s="198">
        <v>2.2494999999999998</v>
      </c>
      <c r="G4" s="644">
        <v>2.2494999999999998</v>
      </c>
      <c r="H4" s="641">
        <v>0.03</v>
      </c>
      <c r="I4" s="198">
        <v>470</v>
      </c>
      <c r="J4" s="647">
        <v>470</v>
      </c>
      <c r="K4" s="198">
        <v>152</v>
      </c>
      <c r="L4" s="647">
        <v>152</v>
      </c>
      <c r="M4" s="198">
        <v>-1.4E-3</v>
      </c>
      <c r="N4" s="644">
        <v>-1.4E-3</v>
      </c>
      <c r="O4" s="638" t="s">
        <v>248</v>
      </c>
    </row>
    <row r="5" spans="3:15" ht="20.100000000000001" customHeight="1">
      <c r="C5" s="197" t="s">
        <v>228</v>
      </c>
      <c r="D5" s="642"/>
      <c r="E5" s="198">
        <v>53</v>
      </c>
      <c r="F5" s="198">
        <v>2.2494999999999998</v>
      </c>
      <c r="G5" s="645"/>
      <c r="H5" s="642"/>
      <c r="I5" s="198">
        <v>470</v>
      </c>
      <c r="J5" s="648"/>
      <c r="K5" s="198">
        <v>152</v>
      </c>
      <c r="L5" s="648"/>
      <c r="M5" s="198">
        <v>-1.4E-3</v>
      </c>
      <c r="N5" s="645"/>
      <c r="O5" s="639"/>
    </row>
    <row r="6" spans="3:15" ht="20.100000000000001" customHeight="1">
      <c r="C6" s="197" t="s">
        <v>229</v>
      </c>
      <c r="D6" s="642"/>
      <c r="E6" s="198">
        <v>53</v>
      </c>
      <c r="F6" s="198">
        <v>2.2494999999999998</v>
      </c>
      <c r="G6" s="645"/>
      <c r="H6" s="642"/>
      <c r="I6" s="198">
        <v>470</v>
      </c>
      <c r="J6" s="648"/>
      <c r="K6" s="198">
        <v>152</v>
      </c>
      <c r="L6" s="648"/>
      <c r="M6" s="198">
        <v>-1.4E-3</v>
      </c>
      <c r="N6" s="645"/>
      <c r="O6" s="639"/>
    </row>
    <row r="7" spans="3:15" ht="20.100000000000001" customHeight="1">
      <c r="C7" s="197" t="s">
        <v>351</v>
      </c>
      <c r="D7" s="642"/>
      <c r="E7" s="198">
        <v>53</v>
      </c>
      <c r="F7" s="198">
        <v>2.2494999999999998</v>
      </c>
      <c r="G7" s="645"/>
      <c r="H7" s="642"/>
      <c r="I7" s="198">
        <v>470</v>
      </c>
      <c r="J7" s="648"/>
      <c r="K7" s="198">
        <v>152</v>
      </c>
      <c r="L7" s="648"/>
      <c r="M7" s="198">
        <v>-1.4E-3</v>
      </c>
      <c r="N7" s="645"/>
      <c r="O7" s="639"/>
    </row>
    <row r="8" spans="3:15" ht="20.100000000000001" customHeight="1">
      <c r="C8" s="197" t="s">
        <v>352</v>
      </c>
      <c r="D8" s="642"/>
      <c r="E8" s="198">
        <v>53</v>
      </c>
      <c r="F8" s="198">
        <v>2.2494999999999998</v>
      </c>
      <c r="G8" s="645"/>
      <c r="H8" s="642"/>
      <c r="I8" s="198">
        <v>470</v>
      </c>
      <c r="J8" s="648"/>
      <c r="K8" s="198">
        <v>152</v>
      </c>
      <c r="L8" s="648"/>
      <c r="M8" s="198">
        <v>-1.4E-3</v>
      </c>
      <c r="N8" s="645"/>
      <c r="O8" s="639"/>
    </row>
    <row r="9" spans="3:15" ht="20.100000000000001" customHeight="1">
      <c r="C9" s="197" t="s">
        <v>353</v>
      </c>
      <c r="D9" s="642"/>
      <c r="E9" s="198">
        <v>53</v>
      </c>
      <c r="F9" s="198">
        <v>2.2494999999999998</v>
      </c>
      <c r="G9" s="645"/>
      <c r="H9" s="642"/>
      <c r="I9" s="198">
        <v>470</v>
      </c>
      <c r="J9" s="648"/>
      <c r="K9" s="198">
        <v>152</v>
      </c>
      <c r="L9" s="648"/>
      <c r="M9" s="198">
        <v>-1.4E-3</v>
      </c>
      <c r="N9" s="645"/>
      <c r="O9" s="639"/>
    </row>
    <row r="10" spans="3:15" ht="20.100000000000001" customHeight="1">
      <c r="C10" s="197" t="s">
        <v>639</v>
      </c>
      <c r="D10" s="642"/>
      <c r="E10" s="198">
        <v>53</v>
      </c>
      <c r="F10" s="198">
        <v>2.2494999999999998</v>
      </c>
      <c r="G10" s="645"/>
      <c r="H10" s="642"/>
      <c r="I10" s="198">
        <v>470</v>
      </c>
      <c r="J10" s="648"/>
      <c r="K10" s="198">
        <v>152</v>
      </c>
      <c r="L10" s="648"/>
      <c r="M10" s="198">
        <v>-1.4E-3</v>
      </c>
      <c r="N10" s="645"/>
      <c r="O10" s="639"/>
    </row>
    <row r="11" spans="3:15" ht="20.100000000000001" customHeight="1">
      <c r="C11" s="197" t="s">
        <v>640</v>
      </c>
      <c r="D11" s="642"/>
      <c r="E11" s="198">
        <v>53</v>
      </c>
      <c r="F11" s="198">
        <v>2.2494999999999998</v>
      </c>
      <c r="G11" s="645"/>
      <c r="H11" s="642"/>
      <c r="I11" s="198">
        <v>470</v>
      </c>
      <c r="J11" s="648"/>
      <c r="K11" s="198">
        <v>152</v>
      </c>
      <c r="L11" s="648"/>
      <c r="M11" s="198">
        <v>-1.4E-3</v>
      </c>
      <c r="N11" s="645"/>
      <c r="O11" s="639"/>
    </row>
    <row r="12" spans="3:15" ht="20.100000000000001" customHeight="1">
      <c r="C12" s="197" t="s">
        <v>641</v>
      </c>
      <c r="D12" s="643"/>
      <c r="E12" s="198">
        <v>53</v>
      </c>
      <c r="F12" s="198">
        <v>2.2494999999999998</v>
      </c>
      <c r="G12" s="646"/>
      <c r="H12" s="643"/>
      <c r="I12" s="198">
        <v>470</v>
      </c>
      <c r="J12" s="649"/>
      <c r="K12" s="198">
        <v>152</v>
      </c>
      <c r="L12" s="649"/>
      <c r="M12" s="198">
        <v>-1.4E-3</v>
      </c>
      <c r="N12" s="646"/>
      <c r="O12" s="640"/>
    </row>
    <row r="13" spans="3:15" ht="20.100000000000001" customHeight="1">
      <c r="C13" s="197"/>
      <c r="D13" s="198"/>
      <c r="E13" s="198"/>
      <c r="F13" s="198"/>
      <c r="G13" s="296"/>
      <c r="H13" s="198"/>
      <c r="I13" s="198"/>
      <c r="J13" s="557"/>
      <c r="K13" s="198"/>
      <c r="L13" s="557"/>
      <c r="M13" s="198"/>
      <c r="N13" s="296"/>
      <c r="O13" s="199"/>
    </row>
    <row r="14" spans="3:15" ht="20.100000000000001" customHeight="1">
      <c r="C14" s="197"/>
      <c r="D14" s="198"/>
      <c r="E14" s="198"/>
      <c r="F14" s="198"/>
      <c r="G14" s="296"/>
      <c r="H14" s="198"/>
      <c r="I14" s="198"/>
      <c r="J14" s="557"/>
      <c r="K14" s="198"/>
      <c r="L14" s="557"/>
      <c r="M14" s="198"/>
      <c r="N14" s="296"/>
      <c r="O14" s="199"/>
    </row>
    <row r="15" spans="3:15" ht="20.100000000000001" customHeight="1">
      <c r="C15" s="197"/>
      <c r="D15" s="198"/>
      <c r="E15" s="198"/>
      <c r="F15" s="198"/>
      <c r="G15" s="296"/>
      <c r="H15" s="198"/>
      <c r="I15" s="198"/>
      <c r="J15" s="557"/>
      <c r="K15" s="198"/>
      <c r="L15" s="557"/>
      <c r="M15" s="198"/>
      <c r="N15" s="296"/>
      <c r="O15" s="199"/>
    </row>
    <row r="16" spans="3:15" ht="20.100000000000001" customHeight="1">
      <c r="C16" s="197"/>
      <c r="D16" s="198"/>
      <c r="E16" s="198"/>
      <c r="F16" s="198"/>
      <c r="G16" s="296"/>
      <c r="H16" s="198"/>
      <c r="I16" s="198"/>
      <c r="J16" s="557"/>
      <c r="K16" s="198"/>
      <c r="L16" s="557"/>
      <c r="M16" s="198"/>
      <c r="N16" s="296"/>
      <c r="O16" s="199"/>
    </row>
    <row r="17" spans="3:15" ht="20.100000000000001" customHeight="1" thickBot="1">
      <c r="C17" s="191"/>
      <c r="D17" s="396"/>
      <c r="E17" s="192"/>
      <c r="F17" s="192"/>
      <c r="G17" s="396"/>
      <c r="H17" s="396"/>
      <c r="I17" s="192"/>
      <c r="J17" s="396"/>
      <c r="K17" s="192"/>
      <c r="L17" s="396"/>
      <c r="M17" s="192"/>
      <c r="N17" s="396"/>
      <c r="O17" s="397"/>
    </row>
  </sheetData>
  <mergeCells count="7">
    <mergeCell ref="O4:O12"/>
    <mergeCell ref="H4:H12"/>
    <mergeCell ref="D4:D12"/>
    <mergeCell ref="G4:G12"/>
    <mergeCell ref="J4:J12"/>
    <mergeCell ref="L4:L12"/>
    <mergeCell ref="N4:N12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V79"/>
  <sheetViews>
    <sheetView workbookViewId="0">
      <selection activeCell="K43" sqref="K43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</cols>
  <sheetData>
    <row r="2" spans="4:19" s="157" customFormat="1" ht="27.75" customHeight="1" thickBot="1">
      <c r="D2" s="148" t="s">
        <v>266</v>
      </c>
      <c r="M2" s="148" t="s">
        <v>704</v>
      </c>
    </row>
    <row r="3" spans="4:19" s="45" customFormat="1" ht="42.75" customHeight="1">
      <c r="D3" s="159" t="s">
        <v>285</v>
      </c>
      <c r="E3" s="160" t="s">
        <v>286</v>
      </c>
      <c r="F3" s="160" t="s">
        <v>287</v>
      </c>
      <c r="G3" s="160" t="s">
        <v>288</v>
      </c>
      <c r="H3" s="160" t="s">
        <v>289</v>
      </c>
      <c r="I3" s="160" t="s">
        <v>290</v>
      </c>
      <c r="J3" s="160" t="s">
        <v>272</v>
      </c>
      <c r="K3" s="161" t="s">
        <v>273</v>
      </c>
      <c r="M3" s="159" t="s">
        <v>285</v>
      </c>
      <c r="N3" s="160" t="s">
        <v>286</v>
      </c>
      <c r="O3" s="160" t="s">
        <v>287</v>
      </c>
      <c r="P3" s="160" t="s">
        <v>289</v>
      </c>
      <c r="Q3" s="160" t="s">
        <v>290</v>
      </c>
      <c r="R3" s="160" t="s">
        <v>272</v>
      </c>
      <c r="S3" s="161" t="s">
        <v>273</v>
      </c>
    </row>
    <row r="4" spans="4:19" s="158" customFormat="1" ht="33.75" customHeight="1" thickBot="1">
      <c r="D4" s="162">
        <v>3778182</v>
      </c>
      <c r="E4" s="163">
        <v>1217</v>
      </c>
      <c r="F4" s="163">
        <v>2204.5433190410959</v>
      </c>
      <c r="G4" s="164">
        <v>0.67</v>
      </c>
      <c r="H4" s="163">
        <v>1477.0440237575342</v>
      </c>
      <c r="I4" s="165">
        <v>130.6</v>
      </c>
      <c r="J4" s="163">
        <v>15</v>
      </c>
      <c r="K4" s="166">
        <v>1331.4440237575343</v>
      </c>
      <c r="M4" s="162">
        <f>D4</f>
        <v>3778182</v>
      </c>
      <c r="N4" s="163">
        <f>E4</f>
        <v>1217</v>
      </c>
      <c r="O4" s="163">
        <f>F4</f>
        <v>2204.5433190410959</v>
      </c>
      <c r="P4" s="163">
        <f>H4</f>
        <v>1477.0440237575342</v>
      </c>
      <c r="Q4" s="165">
        <f>I4</f>
        <v>130.6</v>
      </c>
      <c r="R4" s="163">
        <f>J4</f>
        <v>15</v>
      </c>
      <c r="S4" s="166">
        <f>K4</f>
        <v>1331.4440237575343</v>
      </c>
    </row>
    <row r="6" spans="4:19" ht="20.100000000000001" customHeight="1" thickBot="1"/>
    <row r="7" spans="4:19" ht="62.25" customHeight="1">
      <c r="D7" s="159" t="s">
        <v>285</v>
      </c>
      <c r="E7" s="160" t="s">
        <v>286</v>
      </c>
      <c r="F7" s="160" t="s">
        <v>287</v>
      </c>
      <c r="G7" s="160" t="s">
        <v>288</v>
      </c>
      <c r="H7" s="160" t="s">
        <v>289</v>
      </c>
      <c r="I7" s="160" t="s">
        <v>290</v>
      </c>
      <c r="J7" s="160" t="s">
        <v>291</v>
      </c>
      <c r="K7" s="161" t="s">
        <v>272</v>
      </c>
    </row>
    <row r="8" spans="4:19" ht="31.5" customHeight="1" thickBot="1">
      <c r="D8" s="162">
        <v>3778182</v>
      </c>
      <c r="E8" s="163">
        <v>1217</v>
      </c>
      <c r="F8" s="163">
        <v>2204.5433190410959</v>
      </c>
      <c r="G8" s="164">
        <v>0.67</v>
      </c>
      <c r="H8" s="163">
        <v>1477.0440237575342</v>
      </c>
      <c r="I8" s="165">
        <v>130.6</v>
      </c>
      <c r="J8" s="163">
        <v>1346.4440237575343</v>
      </c>
      <c r="K8" s="166">
        <v>15</v>
      </c>
    </row>
    <row r="10" spans="4:19" ht="30.75" customHeight="1" thickBot="1">
      <c r="D10" s="148" t="s">
        <v>299</v>
      </c>
    </row>
    <row r="11" spans="4:19" s="45" customFormat="1" ht="39" customHeight="1">
      <c r="D11" s="159" t="s">
        <v>292</v>
      </c>
      <c r="E11" s="167" t="s">
        <v>293</v>
      </c>
      <c r="F11" s="167" t="s">
        <v>294</v>
      </c>
      <c r="G11" s="167" t="s">
        <v>295</v>
      </c>
      <c r="H11" s="167" t="s">
        <v>296</v>
      </c>
      <c r="I11" s="167" t="s">
        <v>297</v>
      </c>
      <c r="J11" s="168" t="s">
        <v>298</v>
      </c>
      <c r="L11" s="159" t="s">
        <v>292</v>
      </c>
      <c r="M11" s="167" t="s">
        <v>293</v>
      </c>
      <c r="N11" s="167" t="s">
        <v>294</v>
      </c>
      <c r="O11" s="167" t="s">
        <v>295</v>
      </c>
      <c r="P11" s="167" t="s">
        <v>296</v>
      </c>
      <c r="Q11" s="167" t="s">
        <v>162</v>
      </c>
      <c r="R11" s="167" t="s">
        <v>297</v>
      </c>
      <c r="S11" s="168" t="s">
        <v>298</v>
      </c>
    </row>
    <row r="12" spans="4:19" s="30" customFormat="1" ht="20.100000000000001" customHeight="1">
      <c r="D12" s="197" t="s">
        <v>227</v>
      </c>
      <c r="E12" s="198">
        <v>500</v>
      </c>
      <c r="F12" s="198">
        <v>53</v>
      </c>
      <c r="G12" s="500">
        <v>12.03</v>
      </c>
      <c r="H12" s="500">
        <v>26.47</v>
      </c>
      <c r="I12" s="296">
        <v>2.2494999999999998</v>
      </c>
      <c r="J12" s="501">
        <v>2.8430000000000003E-4</v>
      </c>
      <c r="L12" s="197" t="s">
        <v>227</v>
      </c>
      <c r="M12" s="198">
        <v>500</v>
      </c>
      <c r="N12" s="198">
        <v>53</v>
      </c>
      <c r="O12" s="500">
        <v>12.03</v>
      </c>
      <c r="P12" s="500">
        <v>26.47</v>
      </c>
      <c r="Q12" s="211">
        <v>14.44</v>
      </c>
      <c r="R12" s="296">
        <v>2.2494999999999998</v>
      </c>
      <c r="S12" s="501">
        <v>2.8430000000000003E-4</v>
      </c>
    </row>
    <row r="13" spans="4:19" s="30" customFormat="1" ht="20.100000000000001" customHeight="1">
      <c r="D13" s="258"/>
      <c r="E13" s="259"/>
      <c r="F13" s="259"/>
      <c r="G13" s="502"/>
      <c r="H13" s="502"/>
      <c r="I13" s="503"/>
      <c r="J13" s="504"/>
      <c r="L13" s="258"/>
      <c r="M13" s="259"/>
      <c r="N13" s="259"/>
      <c r="O13" s="502"/>
      <c r="P13" s="502"/>
      <c r="Q13" s="505"/>
      <c r="R13" s="503"/>
      <c r="S13" s="504"/>
    </row>
    <row r="14" spans="4:19" s="30" customFormat="1" ht="20.100000000000001" customHeight="1">
      <c r="D14" s="197"/>
      <c r="E14" s="198"/>
      <c r="F14" s="198"/>
      <c r="G14" s="500"/>
      <c r="H14" s="500"/>
      <c r="I14" s="296"/>
      <c r="J14" s="501"/>
      <c r="L14" s="197"/>
      <c r="M14" s="198"/>
      <c r="N14" s="198"/>
      <c r="O14" s="500"/>
      <c r="P14" s="500"/>
      <c r="Q14" s="250"/>
      <c r="R14" s="296"/>
      <c r="S14" s="501"/>
    </row>
    <row r="15" spans="4:19" s="30" customFormat="1" ht="20.100000000000001" customHeight="1">
      <c r="D15" s="258"/>
      <c r="E15" s="259"/>
      <c r="F15" s="259"/>
      <c r="G15" s="502"/>
      <c r="H15" s="502"/>
      <c r="I15" s="503"/>
      <c r="J15" s="504"/>
      <c r="L15" s="258"/>
      <c r="M15" s="259"/>
      <c r="N15" s="259"/>
      <c r="O15" s="502"/>
      <c r="P15" s="502"/>
      <c r="Q15" s="505"/>
      <c r="R15" s="503"/>
      <c r="S15" s="504"/>
    </row>
    <row r="16" spans="4:19" s="30" customFormat="1" ht="20.100000000000001" customHeight="1">
      <c r="D16" s="197"/>
      <c r="E16" s="198"/>
      <c r="F16" s="198"/>
      <c r="G16" s="500"/>
      <c r="H16" s="500"/>
      <c r="I16" s="296"/>
      <c r="J16" s="501"/>
      <c r="L16" s="197"/>
      <c r="M16" s="198"/>
      <c r="N16" s="198"/>
      <c r="O16" s="500"/>
      <c r="P16" s="500"/>
      <c r="Q16" s="250"/>
      <c r="R16" s="296"/>
      <c r="S16" s="501"/>
    </row>
    <row r="17" spans="4:19" s="30" customFormat="1" ht="20.100000000000001" customHeight="1">
      <c r="D17" s="258"/>
      <c r="E17" s="259"/>
      <c r="F17" s="259"/>
      <c r="G17" s="502"/>
      <c r="H17" s="502"/>
      <c r="I17" s="503"/>
      <c r="J17" s="504"/>
      <c r="L17" s="258"/>
      <c r="M17" s="259"/>
      <c r="N17" s="259"/>
      <c r="O17" s="502"/>
      <c r="P17" s="502"/>
      <c r="Q17" s="505"/>
      <c r="R17" s="503"/>
      <c r="S17" s="504"/>
    </row>
    <row r="18" spans="4:19" s="30" customFormat="1" ht="20.100000000000001" customHeight="1">
      <c r="D18" s="197"/>
      <c r="E18" s="198"/>
      <c r="F18" s="198"/>
      <c r="G18" s="500"/>
      <c r="H18" s="500"/>
      <c r="I18" s="296"/>
      <c r="J18" s="501"/>
      <c r="L18" s="197"/>
      <c r="M18" s="198"/>
      <c r="N18" s="198"/>
      <c r="O18" s="500"/>
      <c r="P18" s="500"/>
      <c r="Q18" s="250"/>
      <c r="R18" s="296"/>
      <c r="S18" s="501"/>
    </row>
    <row r="19" spans="4:19" s="30" customFormat="1" ht="20.100000000000001" customHeight="1">
      <c r="D19" s="258"/>
      <c r="E19" s="259"/>
      <c r="F19" s="259"/>
      <c r="G19" s="502"/>
      <c r="H19" s="502"/>
      <c r="I19" s="503"/>
      <c r="J19" s="504"/>
      <c r="L19" s="258"/>
      <c r="M19" s="259"/>
      <c r="N19" s="259"/>
      <c r="O19" s="502"/>
      <c r="P19" s="502"/>
      <c r="Q19" s="505"/>
      <c r="R19" s="503"/>
      <c r="S19" s="504"/>
    </row>
    <row r="20" spans="4:19" s="30" customFormat="1" ht="20.100000000000001" customHeight="1">
      <c r="D20" s="197"/>
      <c r="E20" s="198"/>
      <c r="F20" s="198"/>
      <c r="G20" s="500"/>
      <c r="H20" s="500"/>
      <c r="I20" s="296"/>
      <c r="J20" s="501"/>
      <c r="L20" s="197"/>
      <c r="M20" s="198"/>
      <c r="N20" s="198"/>
      <c r="O20" s="500"/>
      <c r="P20" s="500"/>
      <c r="Q20" s="250"/>
      <c r="R20" s="296"/>
      <c r="S20" s="501"/>
    </row>
    <row r="21" spans="4:19" s="30" customFormat="1" ht="20.100000000000001" customHeight="1">
      <c r="D21" s="258"/>
      <c r="E21" s="259"/>
      <c r="F21" s="259"/>
      <c r="G21" s="502"/>
      <c r="H21" s="502"/>
      <c r="I21" s="503"/>
      <c r="J21" s="504"/>
      <c r="L21" s="258"/>
      <c r="M21" s="259"/>
      <c r="N21" s="259"/>
      <c r="O21" s="502"/>
      <c r="P21" s="502"/>
      <c r="Q21" s="505"/>
      <c r="R21" s="503"/>
      <c r="S21" s="504"/>
    </row>
    <row r="22" spans="4:19" s="30" customFormat="1" ht="20.100000000000001" customHeight="1">
      <c r="D22" s="197"/>
      <c r="E22" s="198"/>
      <c r="F22" s="198"/>
      <c r="G22" s="500"/>
      <c r="H22" s="500"/>
      <c r="I22" s="296"/>
      <c r="J22" s="501"/>
      <c r="L22" s="197"/>
      <c r="M22" s="198"/>
      <c r="N22" s="198"/>
      <c r="O22" s="500"/>
      <c r="P22" s="500"/>
      <c r="Q22" s="250"/>
      <c r="R22" s="296"/>
      <c r="S22" s="501"/>
    </row>
    <row r="23" spans="4:19" s="30" customFormat="1" ht="20.100000000000001" customHeight="1">
      <c r="D23" s="258"/>
      <c r="E23" s="259"/>
      <c r="F23" s="259"/>
      <c r="G23" s="502"/>
      <c r="H23" s="502"/>
      <c r="I23" s="503"/>
      <c r="J23" s="504"/>
      <c r="L23" s="258"/>
      <c r="M23" s="259"/>
      <c r="N23" s="259"/>
      <c r="O23" s="502"/>
      <c r="P23" s="502"/>
      <c r="Q23" s="505"/>
      <c r="R23" s="503"/>
      <c r="S23" s="504"/>
    </row>
    <row r="24" spans="4:19" s="30" customFormat="1" ht="20.100000000000001" customHeight="1">
      <c r="D24" s="197"/>
      <c r="E24" s="198"/>
      <c r="F24" s="198"/>
      <c r="G24" s="500"/>
      <c r="H24" s="500"/>
      <c r="I24" s="296"/>
      <c r="J24" s="501"/>
      <c r="L24" s="197"/>
      <c r="M24" s="198"/>
      <c r="N24" s="198"/>
      <c r="O24" s="500"/>
      <c r="P24" s="500"/>
      <c r="Q24" s="250"/>
      <c r="R24" s="296"/>
      <c r="S24" s="501"/>
    </row>
    <row r="25" spans="4:19" s="30" customFormat="1" ht="20.100000000000001" customHeight="1">
      <c r="D25" s="197"/>
      <c r="E25" s="198"/>
      <c r="F25" s="198"/>
      <c r="G25" s="500"/>
      <c r="H25" s="500"/>
      <c r="I25" s="296"/>
      <c r="J25" s="501"/>
      <c r="L25" s="197"/>
      <c r="M25" s="198"/>
      <c r="N25" s="198"/>
      <c r="O25" s="500"/>
      <c r="P25" s="500"/>
      <c r="Q25" s="250"/>
      <c r="R25" s="296"/>
      <c r="S25" s="501"/>
    </row>
    <row r="26" spans="4:19" s="30" customFormat="1" ht="20.100000000000001" customHeight="1" thickBot="1">
      <c r="D26" s="191"/>
      <c r="E26" s="192"/>
      <c r="F26" s="192"/>
      <c r="G26" s="548"/>
      <c r="H26" s="548"/>
      <c r="I26" s="549"/>
      <c r="J26" s="550"/>
      <c r="L26" s="191"/>
      <c r="M26" s="192"/>
      <c r="N26" s="192"/>
      <c r="O26" s="548"/>
      <c r="P26" s="548"/>
      <c r="Q26" s="551"/>
      <c r="R26" s="549"/>
      <c r="S26" s="550"/>
    </row>
    <row r="27" spans="4:19" s="30" customFormat="1" ht="20.100000000000001" customHeight="1">
      <c r="D27" s="201"/>
      <c r="E27" s="201"/>
      <c r="F27" s="201"/>
      <c r="G27" s="201"/>
      <c r="H27" s="201"/>
      <c r="I27" s="201"/>
      <c r="J27" s="201"/>
    </row>
    <row r="28" spans="4:19" ht="20.100000000000001" customHeight="1" thickBot="1">
      <c r="M28" s="570" t="s">
        <v>703</v>
      </c>
    </row>
    <row r="29" spans="4:19" ht="31.5" customHeight="1">
      <c r="D29" s="159" t="s">
        <v>276</v>
      </c>
      <c r="E29" s="167" t="s">
        <v>274</v>
      </c>
      <c r="F29" s="167" t="s">
        <v>275</v>
      </c>
      <c r="G29" s="168" t="s">
        <v>359</v>
      </c>
      <c r="I29" s="159" t="s">
        <v>276</v>
      </c>
      <c r="J29" s="167" t="s">
        <v>300</v>
      </c>
      <c r="K29" s="168" t="s">
        <v>301</v>
      </c>
      <c r="M29" s="159" t="s">
        <v>700</v>
      </c>
      <c r="N29" s="167" t="s">
        <v>701</v>
      </c>
      <c r="O29" s="168" t="s">
        <v>702</v>
      </c>
    </row>
    <row r="30" spans="4:19" s="30" customFormat="1" ht="20.100000000000001" customHeight="1" thickBot="1">
      <c r="D30" s="197" t="s">
        <v>227</v>
      </c>
      <c r="E30" s="198">
        <v>98.2</v>
      </c>
      <c r="F30" s="198">
        <v>119</v>
      </c>
      <c r="G30" s="199">
        <v>0</v>
      </c>
      <c r="I30" s="197" t="s">
        <v>227</v>
      </c>
      <c r="J30" s="198">
        <v>105</v>
      </c>
      <c r="K30" s="199">
        <v>129</v>
      </c>
      <c r="M30" s="197">
        <v>98.2</v>
      </c>
      <c r="N30" s="198">
        <v>28.1</v>
      </c>
      <c r="O30" s="199">
        <v>53.6</v>
      </c>
    </row>
    <row r="31" spans="4:19" s="30" customFormat="1" ht="20.100000000000001" customHeight="1">
      <c r="D31" s="197"/>
      <c r="E31" s="198"/>
      <c r="F31" s="198"/>
      <c r="G31" s="199"/>
      <c r="I31" s="197"/>
      <c r="J31" s="198"/>
      <c r="K31" s="199"/>
      <c r="M31" s="197"/>
      <c r="N31" s="198"/>
      <c r="O31" s="199"/>
      <c r="Q31" s="405">
        <f>MIN(J30:J44)</f>
        <v>105</v>
      </c>
      <c r="R31" s="406" t="s">
        <v>633</v>
      </c>
    </row>
    <row r="32" spans="4:19" s="30" customFormat="1" ht="20.100000000000001" customHeight="1" thickBot="1">
      <c r="D32" s="197"/>
      <c r="E32" s="198"/>
      <c r="F32" s="198"/>
      <c r="G32" s="199"/>
      <c r="I32" s="197"/>
      <c r="J32" s="198"/>
      <c r="K32" s="199"/>
      <c r="M32" s="197"/>
      <c r="N32" s="198"/>
      <c r="O32" s="199"/>
      <c r="Q32" s="170">
        <f>MAX(K30:K44)</f>
        <v>129</v>
      </c>
      <c r="R32" s="244" t="s">
        <v>687</v>
      </c>
    </row>
    <row r="33" spans="4:18" s="30" customFormat="1" ht="20.100000000000001" customHeight="1">
      <c r="D33" s="197"/>
      <c r="E33" s="198"/>
      <c r="F33" s="198"/>
      <c r="G33" s="199"/>
      <c r="I33" s="197"/>
      <c r="J33" s="198"/>
      <c r="K33" s="199"/>
      <c r="M33" s="197"/>
      <c r="N33" s="198"/>
      <c r="O33" s="199"/>
    </row>
    <row r="34" spans="4:18" s="30" customFormat="1" ht="20.100000000000001" customHeight="1">
      <c r="D34" s="197"/>
      <c r="E34" s="198"/>
      <c r="F34" s="198"/>
      <c r="G34" s="199"/>
      <c r="I34" s="197"/>
      <c r="J34" s="198"/>
      <c r="K34" s="199"/>
      <c r="M34" s="197"/>
      <c r="N34" s="198"/>
      <c r="O34" s="199"/>
    </row>
    <row r="35" spans="4:18" s="30" customFormat="1" ht="20.100000000000001" customHeight="1">
      <c r="D35" s="197"/>
      <c r="E35" s="198"/>
      <c r="F35" s="198"/>
      <c r="G35" s="199"/>
      <c r="I35" s="197"/>
      <c r="J35" s="198"/>
      <c r="K35" s="199"/>
      <c r="M35" s="197"/>
      <c r="N35" s="198"/>
      <c r="O35" s="199"/>
      <c r="Q35" s="45" t="s">
        <v>368</v>
      </c>
    </row>
    <row r="36" spans="4:18" s="30" customFormat="1" ht="20.100000000000001" customHeight="1" thickBot="1">
      <c r="D36" s="197"/>
      <c r="E36" s="198"/>
      <c r="F36" s="198"/>
      <c r="G36" s="199"/>
      <c r="I36" s="197"/>
      <c r="J36" s="198"/>
      <c r="K36" s="199"/>
      <c r="M36" s="197"/>
      <c r="N36" s="198"/>
      <c r="O36" s="199"/>
    </row>
    <row r="37" spans="4:18" s="30" customFormat="1" ht="20.100000000000001" customHeight="1">
      <c r="D37" s="197"/>
      <c r="E37" s="198"/>
      <c r="F37" s="198"/>
      <c r="G37" s="199"/>
      <c r="I37" s="197"/>
      <c r="J37" s="198"/>
      <c r="K37" s="199"/>
      <c r="M37" s="197"/>
      <c r="N37" s="198"/>
      <c r="O37" s="199"/>
      <c r="Q37" s="405" t="s">
        <v>688</v>
      </c>
      <c r="R37" s="406">
        <f>MAX(E30:E44)</f>
        <v>98.2</v>
      </c>
    </row>
    <row r="38" spans="4:18" s="30" customFormat="1" ht="20.100000000000001" customHeight="1" thickBot="1">
      <c r="D38" s="197"/>
      <c r="E38" s="198"/>
      <c r="F38" s="198"/>
      <c r="G38" s="199"/>
      <c r="I38" s="197"/>
      <c r="J38" s="198"/>
      <c r="K38" s="199"/>
      <c r="M38" s="197"/>
      <c r="N38" s="198"/>
      <c r="O38" s="199"/>
      <c r="Q38" s="170" t="s">
        <v>689</v>
      </c>
      <c r="R38" s="244">
        <f>MIN(E30:E44)</f>
        <v>98.2</v>
      </c>
    </row>
    <row r="39" spans="4:18" s="30" customFormat="1" ht="20.100000000000001" customHeight="1">
      <c r="D39" s="197"/>
      <c r="E39" s="198"/>
      <c r="F39" s="198"/>
      <c r="G39" s="199"/>
      <c r="I39" s="197"/>
      <c r="J39" s="198"/>
      <c r="K39" s="199"/>
      <c r="M39" s="197"/>
      <c r="N39" s="198"/>
      <c r="O39" s="199"/>
    </row>
    <row r="40" spans="4:18" s="30" customFormat="1" ht="20.100000000000001" customHeight="1" thickBot="1">
      <c r="D40" s="197"/>
      <c r="E40" s="198"/>
      <c r="F40" s="198"/>
      <c r="G40" s="199"/>
      <c r="I40" s="197"/>
      <c r="J40" s="198"/>
      <c r="K40" s="199"/>
      <c r="M40" s="197"/>
      <c r="N40" s="198"/>
      <c r="O40" s="199"/>
    </row>
    <row r="41" spans="4:18" s="30" customFormat="1" ht="20.100000000000001" customHeight="1">
      <c r="D41" s="197"/>
      <c r="E41" s="198"/>
      <c r="F41" s="198"/>
      <c r="G41" s="199"/>
      <c r="I41" s="197"/>
      <c r="J41" s="198"/>
      <c r="K41" s="199"/>
      <c r="M41" s="197"/>
      <c r="N41" s="198"/>
      <c r="O41" s="199"/>
      <c r="Q41" s="405" t="s">
        <v>690</v>
      </c>
      <c r="R41" s="406">
        <f>MAX(F30:F44)</f>
        <v>119</v>
      </c>
    </row>
    <row r="42" spans="4:18" s="30" customFormat="1" ht="19.5" customHeight="1" thickBot="1">
      <c r="D42" s="197"/>
      <c r="E42" s="198"/>
      <c r="F42" s="198"/>
      <c r="G42" s="199"/>
      <c r="I42" s="197"/>
      <c r="J42" s="198"/>
      <c r="K42" s="199"/>
      <c r="M42" s="197"/>
      <c r="N42" s="198"/>
      <c r="O42" s="199"/>
      <c r="Q42" s="170" t="s">
        <v>691</v>
      </c>
      <c r="R42" s="244">
        <f>MIN(F30:F44)</f>
        <v>119</v>
      </c>
    </row>
    <row r="43" spans="4:18" s="30" customFormat="1" ht="19.5" customHeight="1">
      <c r="D43" s="197"/>
      <c r="E43" s="198"/>
      <c r="F43" s="198"/>
      <c r="G43" s="199"/>
      <c r="I43" s="197"/>
      <c r="J43" s="198"/>
      <c r="K43" s="199"/>
      <c r="M43" s="197"/>
      <c r="N43" s="198"/>
      <c r="O43" s="199"/>
    </row>
    <row r="44" spans="4:18" s="30" customFormat="1" ht="19.5" customHeight="1" thickBot="1">
      <c r="D44" s="191"/>
      <c r="E44" s="192"/>
      <c r="F44" s="192"/>
      <c r="G44" s="200"/>
      <c r="I44" s="191"/>
      <c r="J44" s="192"/>
      <c r="K44" s="200"/>
      <c r="M44" s="191"/>
      <c r="N44" s="192"/>
      <c r="O44" s="200"/>
    </row>
    <row r="45" spans="4:18" ht="20.100000000000001" customHeight="1">
      <c r="D45" s="155"/>
      <c r="L45" s="252"/>
    </row>
    <row r="46" spans="4:18" ht="20.100000000000001" customHeight="1">
      <c r="D46" s="155"/>
    </row>
    <row r="47" spans="4:18" ht="20.100000000000001" customHeight="1" thickBot="1">
      <c r="D47" s="156" t="s">
        <v>265</v>
      </c>
    </row>
    <row r="48" spans="4:18" s="30" customFormat="1" ht="31.5" customHeight="1">
      <c r="D48" s="159" t="s">
        <v>227</v>
      </c>
      <c r="E48" s="167"/>
      <c r="F48" s="167"/>
      <c r="G48" s="167"/>
      <c r="H48" s="167"/>
      <c r="I48" s="167"/>
      <c r="J48" s="167"/>
      <c r="K48" s="167"/>
      <c r="L48" s="167"/>
      <c r="M48" s="167"/>
      <c r="N48" s="167"/>
      <c r="O48" s="167"/>
      <c r="P48" s="167"/>
      <c r="Q48" s="167"/>
      <c r="R48" s="168"/>
    </row>
    <row r="49" spans="4:18" s="190" customFormat="1" ht="30" customHeight="1" thickBot="1">
      <c r="D49" s="191">
        <v>15</v>
      </c>
      <c r="E49" s="192"/>
      <c r="F49" s="192"/>
      <c r="G49" s="188"/>
      <c r="H49" s="188"/>
      <c r="I49" s="188"/>
      <c r="J49" s="188"/>
      <c r="K49" s="188"/>
      <c r="L49" s="188"/>
      <c r="M49" s="188"/>
      <c r="N49" s="188"/>
      <c r="O49" s="188"/>
      <c r="P49" s="188"/>
      <c r="Q49" s="188"/>
      <c r="R49" s="189"/>
    </row>
    <row r="50" spans="4:18" ht="19.5" customHeight="1">
      <c r="D50" s="155"/>
    </row>
    <row r="51" spans="4:18" ht="20.100000000000001" customHeight="1">
      <c r="D51" s="155"/>
    </row>
    <row r="52" spans="4:18" ht="22.5" customHeight="1" thickBot="1">
      <c r="D52" s="156" t="s">
        <v>277</v>
      </c>
    </row>
    <row r="53" spans="4:18" s="30" customFormat="1" ht="36.75" customHeight="1">
      <c r="D53" s="159" t="s">
        <v>227</v>
      </c>
      <c r="E53" s="167"/>
      <c r="F53" s="167"/>
      <c r="G53" s="167"/>
      <c r="H53" s="167"/>
      <c r="I53" s="167"/>
      <c r="J53" s="167"/>
      <c r="K53" s="167"/>
      <c r="L53" s="167"/>
      <c r="M53" s="167"/>
      <c r="N53" s="167"/>
      <c r="O53" s="167"/>
      <c r="P53" s="167"/>
      <c r="Q53" s="167"/>
      <c r="R53" s="168"/>
    </row>
    <row r="54" spans="4:18" s="190" customFormat="1" ht="30" customHeight="1" thickBot="1">
      <c r="D54" s="191">
        <v>500</v>
      </c>
      <c r="E54" s="192"/>
      <c r="F54" s="192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9"/>
    </row>
    <row r="55" spans="4:18" ht="20.100000000000001" customHeight="1">
      <c r="D55" s="155"/>
    </row>
    <row r="56" spans="4:18" ht="20.100000000000001" customHeight="1">
      <c r="D56" s="155"/>
    </row>
    <row r="57" spans="4:18" ht="20.100000000000001" customHeight="1" thickBot="1">
      <c r="D57" s="156" t="s">
        <v>279</v>
      </c>
    </row>
    <row r="58" spans="4:18" s="30" customFormat="1" ht="40.5" customHeight="1">
      <c r="D58" s="159" t="s">
        <v>227</v>
      </c>
      <c r="E58" s="167"/>
      <c r="F58" s="167"/>
      <c r="G58" s="167"/>
      <c r="H58" s="167"/>
      <c r="I58" s="167"/>
      <c r="J58" s="167"/>
      <c r="K58" s="167"/>
      <c r="L58" s="167"/>
      <c r="M58" s="167"/>
      <c r="N58" s="167"/>
      <c r="O58" s="167"/>
      <c r="P58" s="167"/>
      <c r="Q58" s="167"/>
      <c r="R58" s="168"/>
    </row>
    <row r="59" spans="4:18" s="190" customFormat="1" ht="30" customHeight="1" thickBot="1">
      <c r="D59" s="191">
        <v>5</v>
      </c>
      <c r="E59" s="192"/>
      <c r="F59" s="192"/>
      <c r="G59" s="188"/>
      <c r="H59" s="188"/>
      <c r="I59" s="188"/>
      <c r="J59" s="188"/>
      <c r="K59" s="188"/>
      <c r="L59" s="188"/>
      <c r="M59" s="188"/>
      <c r="N59" s="188"/>
      <c r="O59" s="188"/>
      <c r="P59" s="188"/>
      <c r="Q59" s="188"/>
      <c r="R59" s="189"/>
    </row>
    <row r="62" spans="4:18" ht="20.100000000000001" customHeight="1" thickBot="1">
      <c r="D62" s="156" t="s">
        <v>221</v>
      </c>
      <c r="E62" s="558">
        <f>MIN(D64:R64)</f>
        <v>12.03</v>
      </c>
      <c r="F62" s="558">
        <f>MAX(D64:R64)</f>
        <v>12.03</v>
      </c>
    </row>
    <row r="63" spans="4:18" ht="36.75" customHeight="1">
      <c r="D63" s="159" t="s">
        <v>227</v>
      </c>
      <c r="E63" s="167"/>
      <c r="F63" s="167"/>
      <c r="G63" s="167"/>
      <c r="H63" s="167"/>
      <c r="I63" s="167"/>
      <c r="J63" s="167"/>
      <c r="K63" s="167"/>
      <c r="L63" s="167"/>
      <c r="M63" s="167"/>
      <c r="N63" s="167"/>
      <c r="O63" s="167"/>
      <c r="P63" s="167"/>
      <c r="Q63" s="167"/>
      <c r="R63" s="168"/>
    </row>
    <row r="64" spans="4:18" ht="30" customHeight="1" thickBot="1">
      <c r="D64" s="191">
        <v>12.03</v>
      </c>
      <c r="E64" s="192"/>
      <c r="F64" s="192"/>
      <c r="G64" s="188"/>
      <c r="H64" s="188"/>
      <c r="I64" s="188"/>
      <c r="J64" s="188"/>
      <c r="K64" s="188"/>
      <c r="L64" s="188"/>
      <c r="M64" s="188"/>
      <c r="N64" s="188"/>
      <c r="O64" s="188"/>
      <c r="P64" s="188"/>
      <c r="Q64" s="560"/>
      <c r="R64" s="561"/>
    </row>
    <row r="67" spans="4:22" ht="20.100000000000001" customHeight="1" thickBot="1">
      <c r="D67" s="156" t="s">
        <v>222</v>
      </c>
      <c r="E67" s="558">
        <f>MIN(D69:R69)</f>
        <v>26.47</v>
      </c>
      <c r="F67" s="558">
        <f>MAX(D69:R69)</f>
        <v>26.47</v>
      </c>
      <c r="V67" s="552" t="s">
        <v>642</v>
      </c>
    </row>
    <row r="68" spans="4:22" ht="36.75" customHeight="1">
      <c r="D68" s="159" t="s">
        <v>227</v>
      </c>
      <c r="E68" s="167"/>
      <c r="F68" s="167"/>
      <c r="G68" s="167"/>
      <c r="H68" s="167"/>
      <c r="I68" s="167"/>
      <c r="J68" s="167"/>
      <c r="K68" s="167"/>
      <c r="L68" s="167"/>
      <c r="M68" s="167"/>
      <c r="N68" s="167"/>
      <c r="O68" s="167"/>
      <c r="P68" s="167"/>
      <c r="Q68" s="167"/>
      <c r="R68" s="168"/>
      <c r="V68" s="553">
        <f>MAX(D69:P69)</f>
        <v>26.47</v>
      </c>
    </row>
    <row r="69" spans="4:22" ht="30" customHeight="1" thickBot="1">
      <c r="D69" s="191">
        <v>26.47</v>
      </c>
      <c r="E69" s="192"/>
      <c r="F69" s="192"/>
      <c r="G69" s="188"/>
      <c r="H69" s="188"/>
      <c r="I69" s="188"/>
      <c r="J69" s="188"/>
      <c r="K69" s="188"/>
      <c r="L69" s="188"/>
      <c r="M69" s="188"/>
      <c r="N69" s="188"/>
      <c r="O69" s="188"/>
      <c r="P69" s="188"/>
      <c r="Q69" s="560"/>
      <c r="R69" s="561"/>
      <c r="V69" s="554">
        <f>MIN(D69:P69)</f>
        <v>26.47</v>
      </c>
    </row>
    <row r="72" spans="4:22" ht="20.100000000000001" customHeight="1" thickBot="1">
      <c r="D72" s="156" t="s">
        <v>635</v>
      </c>
    </row>
    <row r="73" spans="4:22" ht="36.75" customHeight="1">
      <c r="D73" s="159" t="s">
        <v>227</v>
      </c>
      <c r="E73" s="167"/>
      <c r="F73" s="167"/>
      <c r="G73" s="167"/>
      <c r="H73" s="167"/>
      <c r="I73" s="167"/>
      <c r="J73" s="167"/>
      <c r="K73" s="167"/>
      <c r="L73" s="167"/>
      <c r="M73" s="167"/>
      <c r="N73" s="167"/>
      <c r="O73" s="167"/>
      <c r="P73" s="167"/>
      <c r="Q73" s="167"/>
      <c r="R73" s="168"/>
    </row>
    <row r="74" spans="4:22" ht="30" customHeight="1" thickBot="1">
      <c r="D74" s="191">
        <v>50</v>
      </c>
      <c r="E74" s="192"/>
      <c r="F74" s="192"/>
      <c r="G74" s="188"/>
      <c r="H74" s="188"/>
      <c r="I74" s="188"/>
      <c r="J74" s="188"/>
      <c r="K74" s="188"/>
      <c r="L74" s="188"/>
      <c r="M74" s="188"/>
      <c r="N74" s="188"/>
      <c r="O74" s="188"/>
      <c r="P74" s="188"/>
      <c r="Q74" s="560"/>
      <c r="R74" s="561"/>
    </row>
    <row r="77" spans="4:22" ht="20.100000000000001" customHeight="1" thickBot="1">
      <c r="D77" s="156" t="s">
        <v>636</v>
      </c>
    </row>
    <row r="78" spans="4:22" ht="36.75" customHeight="1">
      <c r="D78" s="159" t="s">
        <v>227</v>
      </c>
      <c r="E78" s="167"/>
      <c r="F78" s="167"/>
      <c r="G78" s="167"/>
      <c r="H78" s="167"/>
      <c r="I78" s="167"/>
      <c r="J78" s="167"/>
      <c r="K78" s="167"/>
      <c r="L78" s="167"/>
      <c r="M78" s="167"/>
      <c r="N78" s="167"/>
      <c r="O78" s="167"/>
      <c r="P78" s="167"/>
      <c r="Q78" s="167"/>
      <c r="R78" s="168"/>
    </row>
    <row r="79" spans="4:22" ht="30" customHeight="1" thickBot="1">
      <c r="D79" s="191">
        <v>50</v>
      </c>
      <c r="E79" s="192"/>
      <c r="F79" s="192"/>
      <c r="G79" s="188"/>
      <c r="H79" s="188"/>
      <c r="I79" s="188"/>
      <c r="J79" s="188"/>
      <c r="K79" s="188"/>
      <c r="L79" s="188"/>
      <c r="M79" s="188"/>
      <c r="N79" s="188"/>
      <c r="O79" s="188"/>
      <c r="P79" s="188"/>
      <c r="Q79" s="560"/>
      <c r="R79" s="561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154</v>
      </c>
      <c r="C2" s="395" t="str">
        <f>Well!D4</f>
        <v>보령시 주포면 봉당리 647</v>
      </c>
      <c r="H2"/>
      <c r="I2" s="138" t="s">
        <v>203</v>
      </c>
      <c r="J2"/>
      <c r="K2"/>
      <c r="L2"/>
      <c r="M2"/>
    </row>
    <row r="3" spans="1:13" ht="20.100000000000001" customHeight="1">
      <c r="B3" s="2" t="s">
        <v>48</v>
      </c>
      <c r="C3" s="571">
        <f>Well!C4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72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72">
        <f>Well!Q4</f>
        <v>0</v>
      </c>
      <c r="D5" s="7" t="s">
        <v>53</v>
      </c>
      <c r="E5" s="506">
        <v>2.5489999999999999</v>
      </c>
      <c r="F5" s="28">
        <f>$E$5/$C$14</f>
        <v>5.4234042553191484E-3</v>
      </c>
      <c r="G5" s="508">
        <v>2.8430000000000003E-4</v>
      </c>
      <c r="H5"/>
      <c r="I5"/>
      <c r="J5" s="382" t="s">
        <v>360</v>
      </c>
      <c r="K5"/>
      <c r="L5"/>
      <c r="M5"/>
    </row>
    <row r="6" spans="1:13" ht="20.100000000000001" customHeight="1" thickBot="1">
      <c r="B6" s="6" t="s">
        <v>54</v>
      </c>
      <c r="C6" s="573" t="str">
        <f>Well!D4</f>
        <v>보령시 주포면 봉당리 647</v>
      </c>
      <c r="D6" s="7" t="s">
        <v>56</v>
      </c>
      <c r="E6" s="507">
        <v>1.95</v>
      </c>
      <c r="F6" s="28">
        <f>$E$6/$C$14</f>
        <v>4.1489361702127655E-3</v>
      </c>
      <c r="G6" s="10">
        <v>20.04</v>
      </c>
      <c r="H6" s="355">
        <v>1.853</v>
      </c>
      <c r="I6"/>
      <c r="J6" s="383" t="s">
        <v>358</v>
      </c>
      <c r="K6" s="380">
        <v>119</v>
      </c>
      <c r="L6"/>
      <c r="M6"/>
    </row>
    <row r="7" spans="1:13" ht="20.100000000000001" customHeight="1" thickBot="1">
      <c r="B7" s="6" t="s">
        <v>55</v>
      </c>
      <c r="C7" s="574">
        <f>Well!H4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356">
        <f>G5</f>
        <v>2.8430000000000003E-4</v>
      </c>
      <c r="H7" s="351">
        <v>9.7610000000000002E-2</v>
      </c>
      <c r="I7"/>
      <c r="J7" s="384" t="s">
        <v>359</v>
      </c>
      <c r="K7" s="381">
        <v>0</v>
      </c>
      <c r="L7"/>
      <c r="M7"/>
    </row>
    <row r="8" spans="1:13" ht="20.100000000000001" customHeight="1" thickBot="1">
      <c r="B8" s="6" t="s">
        <v>57</v>
      </c>
      <c r="C8" s="575">
        <f>Well!G4</f>
        <v>200</v>
      </c>
    </row>
    <row r="9" spans="1:13" ht="20.100000000000001" customHeight="1" thickBot="1">
      <c r="B9" s="6" t="s">
        <v>59</v>
      </c>
      <c r="C9" s="576">
        <f>C10+C11</f>
        <v>30</v>
      </c>
      <c r="D9" s="11"/>
      <c r="E9" s="352" t="s">
        <v>107</v>
      </c>
      <c r="F9" s="353" t="s">
        <v>108</v>
      </c>
      <c r="G9" s="373" t="s">
        <v>109</v>
      </c>
      <c r="H9" s="472">
        <f>MAX(E10,F10,G10)</f>
        <v>98.2</v>
      </c>
    </row>
    <row r="10" spans="1:13" ht="20.100000000000001" customHeight="1" thickBot="1">
      <c r="B10" s="6" t="s">
        <v>60</v>
      </c>
      <c r="C10" s="577">
        <v>5</v>
      </c>
      <c r="D10" s="354" t="s">
        <v>61</v>
      </c>
      <c r="E10" s="119">
        <v>28.1</v>
      </c>
      <c r="F10" s="120">
        <v>34.4</v>
      </c>
      <c r="G10" s="374">
        <v>98.2</v>
      </c>
      <c r="H10" s="474">
        <f>MIN(E10,F10,G10)</f>
        <v>28.1</v>
      </c>
      <c r="I10" s="12"/>
    </row>
    <row r="11" spans="1:13" ht="20.100000000000001" customHeight="1" thickBot="1">
      <c r="B11" s="6" t="s">
        <v>62</v>
      </c>
      <c r="C11" s="577">
        <v>25</v>
      </c>
      <c r="D11" s="143" t="s">
        <v>63</v>
      </c>
      <c r="E11" s="121">
        <f>ROUND(AVERAGE(E10:G10),1)</f>
        <v>53.6</v>
      </c>
      <c r="F11" s="350">
        <f>ROUND((E10+F10)/2,1)</f>
        <v>31.3</v>
      </c>
      <c r="H11" s="473">
        <f>ROUND(AVERAGE(E10:G10),1)</f>
        <v>53.6</v>
      </c>
      <c r="I11" s="12"/>
      <c r="J11" s="654" t="s">
        <v>115</v>
      </c>
      <c r="K11" s="655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78">
        <f>C7-C9</f>
        <v>470</v>
      </c>
      <c r="H12" s="14"/>
      <c r="J12" s="371" t="s">
        <v>117</v>
      </c>
      <c r="K12" s="555">
        <v>152</v>
      </c>
      <c r="L12" s="55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78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1" t="s">
        <v>110</v>
      </c>
      <c r="K13" s="378">
        <v>2113</v>
      </c>
      <c r="L13" s="375"/>
    </row>
    <row r="14" spans="1:13" ht="20.100000000000001" customHeight="1">
      <c r="B14" s="6" t="s">
        <v>66</v>
      </c>
      <c r="C14" s="576">
        <f>C7-IF(C20&gt;C9,C20,C9)</f>
        <v>470</v>
      </c>
      <c r="G14" s="122">
        <f>max</f>
        <v>1217</v>
      </c>
      <c r="H14" s="15"/>
      <c r="J14" s="371" t="s">
        <v>111</v>
      </c>
      <c r="K14" s="378">
        <v>16</v>
      </c>
      <c r="L14" s="375"/>
    </row>
    <row r="15" spans="1:13" ht="20.100000000000001" customHeight="1" thickBot="1">
      <c r="B15" s="6" t="s">
        <v>67</v>
      </c>
      <c r="C15" s="574">
        <f>Well!I4</f>
        <v>15</v>
      </c>
      <c r="E15" s="34">
        <v>1</v>
      </c>
      <c r="J15" s="371" t="s">
        <v>112</v>
      </c>
      <c r="K15" s="378">
        <v>7</v>
      </c>
      <c r="L15" s="375"/>
    </row>
    <row r="16" spans="1:13" ht="20.100000000000001" customHeight="1">
      <c r="B16" s="6" t="s">
        <v>68</v>
      </c>
      <c r="C16" s="579">
        <f>Well!J4</f>
        <v>53</v>
      </c>
      <c r="E16" s="108" t="s">
        <v>271</v>
      </c>
      <c r="F16" s="109" t="s">
        <v>95</v>
      </c>
      <c r="G16" s="110" t="s">
        <v>94</v>
      </c>
      <c r="H16" s="15"/>
      <c r="J16" s="371" t="s">
        <v>118</v>
      </c>
      <c r="K16" s="379">
        <f>K14-C20</f>
        <v>3.9700000000000006</v>
      </c>
      <c r="L16" s="375"/>
    </row>
    <row r="17" spans="2:12" ht="20.100000000000001" customHeight="1" thickBot="1">
      <c r="B17" s="6" t="s">
        <v>69</v>
      </c>
      <c r="C17" s="574">
        <f>Well!L4</f>
        <v>5</v>
      </c>
      <c r="E17" s="297">
        <f>Well!P4</f>
        <v>3778182</v>
      </c>
      <c r="F17" s="137">
        <f>(max*rf_1*E17/1000)</f>
        <v>804658.31144999992</v>
      </c>
      <c r="G17" s="136">
        <f>F17*allow_ratio</f>
        <v>539121.06867149996</v>
      </c>
      <c r="J17" s="371" t="s">
        <v>113</v>
      </c>
      <c r="K17" s="379">
        <f>K16-K15</f>
        <v>-3.0299999999999994</v>
      </c>
      <c r="L17" s="375"/>
    </row>
    <row r="18" spans="2:12" ht="20.100000000000001" customHeight="1" thickBot="1">
      <c r="B18" s="6" t="s">
        <v>70</v>
      </c>
      <c r="C18" s="574">
        <f>Well!M4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2" t="s">
        <v>114</v>
      </c>
      <c r="K18" s="376">
        <f>(K17/K13)</f>
        <v>-1.433980123047799E-3</v>
      </c>
      <c r="L18" s="377">
        <f>K18*100</f>
        <v>-0.14339801230477989</v>
      </c>
    </row>
    <row r="19" spans="2:12" ht="20.100000000000001" customHeight="1" thickBot="1">
      <c r="B19" s="17" t="s">
        <v>74</v>
      </c>
      <c r="C19" s="580">
        <f>Well!N4</f>
        <v>50</v>
      </c>
      <c r="E19" s="297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596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97">
        <v>26.47</v>
      </c>
      <c r="D21" s="13"/>
      <c r="E21" s="298">
        <f>Well!$I$8</f>
        <v>45</v>
      </c>
      <c r="F21" s="299">
        <f>Well!O4</f>
        <v>130.6</v>
      </c>
      <c r="G21" s="136">
        <f>G19-E21-F21</f>
        <v>1301.4440237575343</v>
      </c>
    </row>
    <row r="22" spans="2:12" ht="20.100000000000001" customHeight="1" thickBot="1">
      <c r="B22" s="27" t="s">
        <v>162</v>
      </c>
      <c r="C22" s="581">
        <f>C21-C20</f>
        <v>14.44</v>
      </c>
      <c r="E22" s="656">
        <f>E21+F21</f>
        <v>175.6</v>
      </c>
      <c r="F22" s="657"/>
      <c r="G22" s="16"/>
      <c r="I22" s="15"/>
    </row>
    <row r="23" spans="2:12" ht="20.100000000000001" customHeight="1" thickBot="1">
      <c r="B23" s="247" t="s">
        <v>230</v>
      </c>
      <c r="C23" s="497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50" t="s">
        <v>614</v>
      </c>
      <c r="C25" s="651"/>
      <c r="D25" s="398" t="s">
        <v>104</v>
      </c>
      <c r="E25" s="398" t="s">
        <v>105</v>
      </c>
      <c r="F25" s="398" t="s">
        <v>96</v>
      </c>
      <c r="G25" s="398" t="s">
        <v>97</v>
      </c>
      <c r="H25" s="398" t="s">
        <v>119</v>
      </c>
      <c r="I25" s="398" t="s">
        <v>98</v>
      </c>
      <c r="J25" s="300" t="s">
        <v>99</v>
      </c>
      <c r="K25" s="399" t="s">
        <v>100</v>
      </c>
    </row>
    <row r="26" spans="2:12" ht="25.5" customHeight="1">
      <c r="B26" s="652" t="s">
        <v>101</v>
      </c>
      <c r="C26" s="400" t="s">
        <v>102</v>
      </c>
      <c r="D26" s="345">
        <f>C20</f>
        <v>12.03</v>
      </c>
      <c r="E26" s="346">
        <f>Recharge!C30</f>
        <v>21.297499999999999</v>
      </c>
      <c r="F26" s="347" t="s">
        <v>181</v>
      </c>
      <c r="G26" s="345" t="s">
        <v>391</v>
      </c>
      <c r="H26" s="348">
        <f>L18</f>
        <v>-0.14339801230477989</v>
      </c>
      <c r="I26" s="345" t="s">
        <v>181</v>
      </c>
      <c r="J26" s="349">
        <f>(E7/C14)/864</f>
        <v>5.5395488573680059E-6</v>
      </c>
      <c r="K26" s="344" t="s">
        <v>633</v>
      </c>
    </row>
    <row r="27" spans="2:12" ht="25.5" customHeight="1">
      <c r="B27" s="652"/>
      <c r="C27" s="301" t="s">
        <v>103</v>
      </c>
      <c r="D27" s="301">
        <v>5</v>
      </c>
      <c r="E27" s="301">
        <v>8</v>
      </c>
      <c r="F27" s="301">
        <v>3</v>
      </c>
      <c r="G27" s="301">
        <v>3</v>
      </c>
      <c r="H27" s="301">
        <v>10</v>
      </c>
      <c r="I27" s="301">
        <v>4</v>
      </c>
      <c r="J27" s="301">
        <v>1</v>
      </c>
      <c r="K27" s="344" t="s">
        <v>687</v>
      </c>
    </row>
    <row r="28" spans="2:12" ht="25.5" customHeight="1">
      <c r="B28" s="652"/>
      <c r="C28" s="401" t="s">
        <v>174</v>
      </c>
      <c r="D28" s="341">
        <v>5</v>
      </c>
      <c r="E28" s="341">
        <v>4</v>
      </c>
      <c r="F28" s="341">
        <v>3</v>
      </c>
      <c r="G28" s="341">
        <v>2</v>
      </c>
      <c r="H28" s="341">
        <v>1</v>
      </c>
      <c r="I28" s="341">
        <v>5</v>
      </c>
      <c r="J28" s="341">
        <v>3</v>
      </c>
      <c r="K28" s="342"/>
    </row>
    <row r="29" spans="2:12" ht="25.5" customHeight="1">
      <c r="B29" s="652"/>
      <c r="C29" s="401" t="s">
        <v>175</v>
      </c>
      <c r="D29" s="343">
        <v>5</v>
      </c>
      <c r="E29" s="343">
        <v>4</v>
      </c>
      <c r="F29" s="343">
        <v>3</v>
      </c>
      <c r="G29" s="343">
        <v>5</v>
      </c>
      <c r="H29" s="343">
        <v>3</v>
      </c>
      <c r="I29" s="343">
        <v>4</v>
      </c>
      <c r="J29" s="343">
        <v>2</v>
      </c>
      <c r="K29" s="342"/>
    </row>
    <row r="30" spans="2:12" ht="25.5" customHeight="1">
      <c r="B30" s="652"/>
      <c r="C30" s="400" t="s">
        <v>176</v>
      </c>
      <c r="D30" s="302">
        <f>D27*D28</f>
        <v>25</v>
      </c>
      <c r="E30" s="302">
        <f t="shared" ref="E30:J30" si="0">E27*E28</f>
        <v>32</v>
      </c>
      <c r="F30" s="302">
        <f t="shared" si="0"/>
        <v>9</v>
      </c>
      <c r="G30" s="302">
        <f t="shared" si="0"/>
        <v>6</v>
      </c>
      <c r="H30" s="302">
        <f t="shared" si="0"/>
        <v>10</v>
      </c>
      <c r="I30" s="302">
        <f t="shared" si="0"/>
        <v>20</v>
      </c>
      <c r="J30" s="302">
        <f t="shared" si="0"/>
        <v>3</v>
      </c>
      <c r="K30" s="303">
        <f>SUM(D30:J30)</f>
        <v>105</v>
      </c>
    </row>
    <row r="31" spans="2:12" ht="25.5" customHeight="1" thickBot="1">
      <c r="B31" s="653"/>
      <c r="C31" s="402" t="s">
        <v>177</v>
      </c>
      <c r="D31" s="304">
        <f t="shared" ref="D31:J31" si="1">D27*D29</f>
        <v>25</v>
      </c>
      <c r="E31" s="304">
        <f t="shared" si="1"/>
        <v>32</v>
      </c>
      <c r="F31" s="304">
        <f t="shared" si="1"/>
        <v>9</v>
      </c>
      <c r="G31" s="304">
        <f t="shared" si="1"/>
        <v>15</v>
      </c>
      <c r="H31" s="304">
        <f t="shared" si="1"/>
        <v>30</v>
      </c>
      <c r="I31" s="304">
        <f t="shared" si="1"/>
        <v>16</v>
      </c>
      <c r="J31" s="304">
        <f t="shared" si="1"/>
        <v>2</v>
      </c>
      <c r="K31" s="305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3CD36-657F-4FC0-91F1-7D30CFCBDB92}">
  <sheetPr codeName="Sheet_W2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155</v>
      </c>
      <c r="C2" s="395" t="str">
        <f>Well!D5</f>
        <v>보령시 주포면 봉당리 647</v>
      </c>
      <c r="H2"/>
      <c r="I2" s="138" t="s">
        <v>705</v>
      </c>
      <c r="J2"/>
      <c r="K2"/>
      <c r="L2"/>
      <c r="M2"/>
    </row>
    <row r="3" spans="1:13" ht="20.100000000000001" customHeight="1">
      <c r="B3" s="2" t="s">
        <v>6</v>
      </c>
      <c r="C3" s="571">
        <f>Well!C5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72">
        <f>Well!R5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72">
        <f>Well!Q5</f>
        <v>0</v>
      </c>
      <c r="D5" s="7" t="s">
        <v>53</v>
      </c>
      <c r="E5" s="506">
        <v>2.859</v>
      </c>
      <c r="F5" s="28">
        <f>$E$5/$C$14</f>
        <v>6.0829787234042551E-3</v>
      </c>
      <c r="G5" s="508">
        <v>2.7480000000000001E-4</v>
      </c>
      <c r="H5"/>
      <c r="I5"/>
      <c r="J5" s="382" t="s">
        <v>360</v>
      </c>
      <c r="K5"/>
      <c r="L5"/>
      <c r="M5"/>
    </row>
    <row r="6" spans="1:13" ht="20.100000000000001" customHeight="1" thickBot="1">
      <c r="B6" s="6" t="s">
        <v>54</v>
      </c>
      <c r="C6" s="573" t="str">
        <f>Well!D5</f>
        <v>보령시 주포면 봉당리 647</v>
      </c>
      <c r="D6" s="7" t="s">
        <v>56</v>
      </c>
      <c r="E6" s="507">
        <v>1.8819999999999999</v>
      </c>
      <c r="F6" s="28">
        <f>$E$6/$C$14</f>
        <v>4.0042553191489355E-3</v>
      </c>
      <c r="G6" s="10">
        <v>33.47</v>
      </c>
      <c r="H6" s="355">
        <v>1.919</v>
      </c>
      <c r="I6"/>
      <c r="J6" s="383" t="s">
        <v>358</v>
      </c>
      <c r="K6" s="380">
        <v>119</v>
      </c>
      <c r="L6"/>
      <c r="M6"/>
    </row>
    <row r="7" spans="1:13" ht="20.100000000000001" customHeight="1" thickBot="1">
      <c r="B7" s="6" t="s">
        <v>55</v>
      </c>
      <c r="C7" s="574">
        <f>Well!H5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6">
        <f>G5</f>
        <v>2.7480000000000001E-4</v>
      </c>
      <c r="H7" s="351">
        <v>0.1012</v>
      </c>
      <c r="I7"/>
      <c r="J7" s="384" t="s">
        <v>359</v>
      </c>
      <c r="K7" s="381">
        <v>0</v>
      </c>
      <c r="L7"/>
      <c r="M7"/>
    </row>
    <row r="8" spans="1:13" ht="20.100000000000001" customHeight="1" thickBot="1">
      <c r="B8" s="6" t="s">
        <v>57</v>
      </c>
      <c r="C8" s="575">
        <f>Well!G5</f>
        <v>200</v>
      </c>
    </row>
    <row r="9" spans="1:13" ht="20.100000000000001" customHeight="1" thickBot="1">
      <c r="B9" s="6" t="s">
        <v>59</v>
      </c>
      <c r="C9" s="576">
        <f>C10+C11</f>
        <v>30</v>
      </c>
      <c r="D9" s="11"/>
      <c r="E9" s="352" t="s">
        <v>107</v>
      </c>
      <c r="F9" s="353" t="s">
        <v>108</v>
      </c>
      <c r="G9" s="373" t="s">
        <v>109</v>
      </c>
      <c r="H9" s="472">
        <f>MAX(E10,F10,G10)</f>
        <v>102.5</v>
      </c>
    </row>
    <row r="10" spans="1:13" ht="20.100000000000001" customHeight="1" thickBot="1">
      <c r="B10" s="6" t="s">
        <v>60</v>
      </c>
      <c r="C10" s="577">
        <v>5</v>
      </c>
      <c r="D10" s="354" t="s">
        <v>61</v>
      </c>
      <c r="E10" s="119">
        <v>28.3</v>
      </c>
      <c r="F10" s="120">
        <v>34.700000000000003</v>
      </c>
      <c r="G10" s="374">
        <v>102.5</v>
      </c>
      <c r="H10" s="474">
        <f>MIN(E10,F10,G10)</f>
        <v>28.3</v>
      </c>
      <c r="I10" s="12"/>
    </row>
    <row r="11" spans="1:13" ht="20.100000000000001" customHeight="1" thickBot="1">
      <c r="B11" s="6" t="s">
        <v>62</v>
      </c>
      <c r="C11" s="577">
        <v>25</v>
      </c>
      <c r="D11" s="143" t="s">
        <v>63</v>
      </c>
      <c r="E11" s="121">
        <f>ROUND(AVERAGE(E10:G10),1)</f>
        <v>55.2</v>
      </c>
      <c r="F11" s="350">
        <f>ROUND((E10+F10)/2,1)</f>
        <v>31.5</v>
      </c>
      <c r="H11" s="473">
        <f>ROUND(AVERAGE(E10:G10),1)</f>
        <v>55.2</v>
      </c>
      <c r="I11" s="12"/>
      <c r="J11" s="654" t="s">
        <v>115</v>
      </c>
      <c r="K11" s="655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78">
        <f>C7-C9</f>
        <v>470</v>
      </c>
      <c r="H12" s="14"/>
      <c r="J12" s="371" t="s">
        <v>117</v>
      </c>
      <c r="K12" s="555">
        <v>152</v>
      </c>
      <c r="L12" s="55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78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1" t="s">
        <v>110</v>
      </c>
      <c r="K13" s="378">
        <v>2113</v>
      </c>
      <c r="L13" s="375"/>
    </row>
    <row r="14" spans="1:13" ht="20.100000000000001" customHeight="1">
      <c r="B14" s="6" t="s">
        <v>66</v>
      </c>
      <c r="C14" s="576">
        <f>C7-IF(C20&gt;C9,C20,C9)</f>
        <v>470</v>
      </c>
      <c r="G14" s="122">
        <f>max</f>
        <v>1217</v>
      </c>
      <c r="H14" s="15"/>
      <c r="J14" s="371" t="s">
        <v>111</v>
      </c>
      <c r="K14" s="378">
        <v>16</v>
      </c>
      <c r="L14" s="375"/>
    </row>
    <row r="15" spans="1:13" ht="20.100000000000001" customHeight="1" thickBot="1">
      <c r="B15" s="6" t="s">
        <v>67</v>
      </c>
      <c r="C15" s="574">
        <f>Well!I5</f>
        <v>15</v>
      </c>
      <c r="E15" s="34">
        <v>2</v>
      </c>
      <c r="J15" s="371" t="s">
        <v>112</v>
      </c>
      <c r="K15" s="378">
        <v>7</v>
      </c>
      <c r="L15" s="375"/>
    </row>
    <row r="16" spans="1:13" ht="20.100000000000001" customHeight="1">
      <c r="B16" s="6" t="s">
        <v>68</v>
      </c>
      <c r="C16" s="579">
        <f>Well!J5</f>
        <v>53</v>
      </c>
      <c r="E16" s="108" t="s">
        <v>271</v>
      </c>
      <c r="F16" s="109" t="s">
        <v>95</v>
      </c>
      <c r="G16" s="110" t="s">
        <v>94</v>
      </c>
      <c r="H16" s="15"/>
      <c r="J16" s="371" t="s">
        <v>118</v>
      </c>
      <c r="K16" s="379">
        <f>K14-C20</f>
        <v>4.1099999999999994</v>
      </c>
      <c r="L16" s="375"/>
    </row>
    <row r="17" spans="2:12" ht="20.100000000000001" customHeight="1" thickBot="1">
      <c r="B17" s="6" t="s">
        <v>69</v>
      </c>
      <c r="C17" s="574">
        <f>Well!L5</f>
        <v>5</v>
      </c>
      <c r="E17" s="297">
        <f>Well!P5</f>
        <v>3778182</v>
      </c>
      <c r="F17" s="137">
        <f>(max*rf_1*E17/1000)</f>
        <v>804658.31144999992</v>
      </c>
      <c r="G17" s="136">
        <f>F17*allow_ratio</f>
        <v>539121.06867149996</v>
      </c>
      <c r="J17" s="371" t="s">
        <v>113</v>
      </c>
      <c r="K17" s="379">
        <f>K16-K15</f>
        <v>-2.8900000000000006</v>
      </c>
      <c r="L17" s="375"/>
    </row>
    <row r="18" spans="2:12" ht="20.100000000000001" customHeight="1" thickBot="1">
      <c r="B18" s="6" t="s">
        <v>70</v>
      </c>
      <c r="C18" s="574">
        <f>Well!M5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2" t="s">
        <v>114</v>
      </c>
      <c r="K18" s="376">
        <f>(K17/K13)</f>
        <v>-1.3677236157122578E-3</v>
      </c>
      <c r="L18" s="377">
        <f>K18*100</f>
        <v>-0.13677236157122577</v>
      </c>
    </row>
    <row r="19" spans="2:12" ht="20.100000000000001" customHeight="1" thickBot="1">
      <c r="B19" s="17" t="s">
        <v>74</v>
      </c>
      <c r="C19" s="580">
        <f>Well!N5</f>
        <v>50</v>
      </c>
      <c r="E19" s="297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596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97">
        <v>25.37</v>
      </c>
      <c r="D21" s="13"/>
      <c r="E21" s="298">
        <f>Well!$I$8</f>
        <v>45</v>
      </c>
      <c r="F21" s="299">
        <f>Well!O5</f>
        <v>130.6</v>
      </c>
      <c r="G21" s="136">
        <f>G19-E21-F21</f>
        <v>1301.4440237575343</v>
      </c>
    </row>
    <row r="22" spans="2:12" ht="20.100000000000001" customHeight="1" thickBot="1">
      <c r="B22" s="27" t="s">
        <v>162</v>
      </c>
      <c r="C22" s="581">
        <f>C21-C20</f>
        <v>13.48</v>
      </c>
      <c r="E22" s="656">
        <f>E21+F21</f>
        <v>175.6</v>
      </c>
      <c r="F22" s="657"/>
      <c r="G22" s="16"/>
      <c r="I22" s="15"/>
    </row>
    <row r="23" spans="2:12" ht="20.100000000000001" customHeight="1" thickBot="1">
      <c r="B23" s="247" t="s">
        <v>230</v>
      </c>
      <c r="C23" s="497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50" t="s">
        <v>614</v>
      </c>
      <c r="C25" s="651"/>
      <c r="D25" s="398" t="s">
        <v>104</v>
      </c>
      <c r="E25" s="398" t="s">
        <v>105</v>
      </c>
      <c r="F25" s="398" t="s">
        <v>96</v>
      </c>
      <c r="G25" s="398" t="s">
        <v>97</v>
      </c>
      <c r="H25" s="398" t="s">
        <v>119</v>
      </c>
      <c r="I25" s="398" t="s">
        <v>98</v>
      </c>
      <c r="J25" s="300" t="s">
        <v>99</v>
      </c>
      <c r="K25" s="399" t="s">
        <v>100</v>
      </c>
    </row>
    <row r="26" spans="2:12" ht="25.5" customHeight="1">
      <c r="B26" s="652" t="s">
        <v>49</v>
      </c>
      <c r="C26" s="400" t="s">
        <v>102</v>
      </c>
      <c r="D26" s="345">
        <f>C20</f>
        <v>11.89</v>
      </c>
      <c r="E26" s="346">
        <f>Recharge!C30</f>
        <v>21.297499999999999</v>
      </c>
      <c r="F26" s="347" t="s">
        <v>181</v>
      </c>
      <c r="G26" s="345" t="s">
        <v>391</v>
      </c>
      <c r="H26" s="348">
        <f>L18</f>
        <v>-0.13677236157122577</v>
      </c>
      <c r="I26" s="345" t="s">
        <v>181</v>
      </c>
      <c r="J26" s="349">
        <f>(E7/C14)/864</f>
        <v>5.8375197005516153E-6</v>
      </c>
      <c r="K26" s="344" t="s">
        <v>633</v>
      </c>
    </row>
    <row r="27" spans="2:12" ht="25.5" customHeight="1">
      <c r="B27" s="652"/>
      <c r="C27" s="301" t="s">
        <v>103</v>
      </c>
      <c r="D27" s="301">
        <v>5</v>
      </c>
      <c r="E27" s="301">
        <v>8</v>
      </c>
      <c r="F27" s="301">
        <v>3</v>
      </c>
      <c r="G27" s="301">
        <v>3</v>
      </c>
      <c r="H27" s="301">
        <v>10</v>
      </c>
      <c r="I27" s="301">
        <v>4</v>
      </c>
      <c r="J27" s="301">
        <v>1</v>
      </c>
      <c r="K27" s="344" t="s">
        <v>687</v>
      </c>
    </row>
    <row r="28" spans="2:12" ht="25.5" customHeight="1">
      <c r="B28" s="652"/>
      <c r="C28" s="401" t="s">
        <v>174</v>
      </c>
      <c r="D28" s="341">
        <v>5</v>
      </c>
      <c r="E28" s="341">
        <v>4</v>
      </c>
      <c r="F28" s="341">
        <v>3</v>
      </c>
      <c r="G28" s="341">
        <v>2</v>
      </c>
      <c r="H28" s="341">
        <v>1</v>
      </c>
      <c r="I28" s="341">
        <v>5</v>
      </c>
      <c r="J28" s="341">
        <v>3</v>
      </c>
      <c r="K28" s="342"/>
    </row>
    <row r="29" spans="2:12" ht="25.5" customHeight="1">
      <c r="B29" s="652"/>
      <c r="C29" s="401" t="s">
        <v>175</v>
      </c>
      <c r="D29" s="343">
        <v>5</v>
      </c>
      <c r="E29" s="343">
        <v>4</v>
      </c>
      <c r="F29" s="343">
        <v>3</v>
      </c>
      <c r="G29" s="343">
        <v>5</v>
      </c>
      <c r="H29" s="343">
        <v>3</v>
      </c>
      <c r="I29" s="343">
        <v>4</v>
      </c>
      <c r="J29" s="343">
        <v>2</v>
      </c>
      <c r="K29" s="342"/>
    </row>
    <row r="30" spans="2:12" ht="25.5" customHeight="1">
      <c r="B30" s="652"/>
      <c r="C30" s="400" t="s">
        <v>176</v>
      </c>
      <c r="D30" s="302">
        <f>D27*D28</f>
        <v>25</v>
      </c>
      <c r="E30" s="302">
        <f t="shared" ref="E30:J30" si="0">E27*E28</f>
        <v>32</v>
      </c>
      <c r="F30" s="302">
        <f t="shared" si="0"/>
        <v>9</v>
      </c>
      <c r="G30" s="302">
        <f t="shared" si="0"/>
        <v>6</v>
      </c>
      <c r="H30" s="302">
        <f t="shared" si="0"/>
        <v>10</v>
      </c>
      <c r="I30" s="302">
        <f t="shared" si="0"/>
        <v>20</v>
      </c>
      <c r="J30" s="302">
        <f t="shared" si="0"/>
        <v>3</v>
      </c>
      <c r="K30" s="303">
        <f>SUM(D30:J30)</f>
        <v>105</v>
      </c>
    </row>
    <row r="31" spans="2:12" ht="25.5" customHeight="1" thickBot="1">
      <c r="B31" s="653"/>
      <c r="C31" s="402" t="s">
        <v>177</v>
      </c>
      <c r="D31" s="304">
        <f t="shared" ref="D31:J31" si="1">D27*D29</f>
        <v>25</v>
      </c>
      <c r="E31" s="304">
        <f t="shared" si="1"/>
        <v>32</v>
      </c>
      <c r="F31" s="304">
        <f t="shared" si="1"/>
        <v>9</v>
      </c>
      <c r="G31" s="304">
        <f t="shared" si="1"/>
        <v>15</v>
      </c>
      <c r="H31" s="304">
        <f t="shared" si="1"/>
        <v>30</v>
      </c>
      <c r="I31" s="304">
        <f t="shared" si="1"/>
        <v>16</v>
      </c>
      <c r="J31" s="304">
        <f t="shared" si="1"/>
        <v>2</v>
      </c>
      <c r="K31" s="305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1781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1781" r:id="rId4" name="CommandButton8"/>
      </mc:Fallback>
    </mc:AlternateContent>
    <mc:AlternateContent xmlns:mc="http://schemas.openxmlformats.org/markup-compatibility/2006">
      <mc:Choice Requires="x14">
        <control shapeId="33177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1779" r:id="rId6" name="CommandButton6"/>
      </mc:Fallback>
    </mc:AlternateContent>
    <mc:AlternateContent xmlns:mc="http://schemas.openxmlformats.org/markup-compatibility/2006">
      <mc:Choice Requires="x14">
        <control shapeId="33177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1778" r:id="rId8" name="Frame1"/>
      </mc:Fallback>
    </mc:AlternateContent>
    <mc:AlternateContent xmlns:mc="http://schemas.openxmlformats.org/markup-compatibility/2006">
      <mc:Choice Requires="x14">
        <control shapeId="33177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177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24D6DB6-EF44-4D92-83C1-7759E21F3A94}">
          <x14:formula1>
            <xm:f>drastic!$G$4:$G$14</xm:f>
          </x14:formula1>
          <xm:sqref>I26</xm:sqref>
        </x14:dataValidation>
        <x14:dataValidation type="list" allowBlank="1" showInputMessage="1" showErrorMessage="1" xr:uid="{82B5350C-FC14-451D-B67C-A86F4369248A}">
          <x14:formula1>
            <xm:f>drastic!$D$4:$D$14</xm:f>
          </x14:formula1>
          <xm:sqref>G26</xm:sqref>
        </x14:dataValidation>
        <x14:dataValidation type="list" allowBlank="1" showInputMessage="1" showErrorMessage="1" xr:uid="{9B7EA1FA-4E26-4865-AF9A-6350079A8695}">
          <x14:formula1>
            <xm:f>drastic!$A$4:$A$13</xm:f>
          </x14:formula1>
          <xm:sqref>F26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B395AD-941E-4BBB-808F-6D700736FF5C}">
  <sheetPr codeName="Sheet_W3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156</v>
      </c>
      <c r="C2" s="395" t="str">
        <f>Well!D6</f>
        <v>보령시 주포면 봉당리 647</v>
      </c>
      <c r="H2"/>
      <c r="I2" s="138" t="s">
        <v>706</v>
      </c>
      <c r="J2"/>
      <c r="K2"/>
      <c r="L2"/>
      <c r="M2"/>
    </row>
    <row r="3" spans="1:13" ht="20.100000000000001" customHeight="1">
      <c r="B3" s="2" t="s">
        <v>6</v>
      </c>
      <c r="C3" s="571">
        <f>Well!C6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72">
        <f>Well!R6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72">
        <f>Well!Q6</f>
        <v>0</v>
      </c>
      <c r="D5" s="7" t="s">
        <v>53</v>
      </c>
      <c r="E5" s="506">
        <v>2.738</v>
      </c>
      <c r="F5" s="28">
        <f>$E$5/$C$14</f>
        <v>5.8255319148936167E-3</v>
      </c>
      <c r="G5" s="508">
        <v>2.789E-4</v>
      </c>
      <c r="H5"/>
      <c r="I5"/>
      <c r="J5" s="382" t="s">
        <v>360</v>
      </c>
      <c r="K5"/>
      <c r="L5"/>
      <c r="M5"/>
    </row>
    <row r="6" spans="1:13" ht="20.100000000000001" customHeight="1" thickBot="1">
      <c r="B6" s="6" t="s">
        <v>54</v>
      </c>
      <c r="C6" s="573" t="str">
        <f>Well!D6</f>
        <v>보령시 주포면 봉당리 647</v>
      </c>
      <c r="D6" s="7" t="s">
        <v>56</v>
      </c>
      <c r="E6" s="507">
        <v>2.1669999999999998</v>
      </c>
      <c r="F6" s="28">
        <f>$E$6/$C$14</f>
        <v>4.6106382978723399E-3</v>
      </c>
      <c r="G6" s="10">
        <v>18.18</v>
      </c>
      <c r="H6" s="355">
        <v>1.895</v>
      </c>
      <c r="I6"/>
      <c r="J6" s="383" t="s">
        <v>358</v>
      </c>
      <c r="K6" s="380">
        <v>119</v>
      </c>
      <c r="L6"/>
      <c r="M6"/>
    </row>
    <row r="7" spans="1:13" ht="20.100000000000001" customHeight="1" thickBot="1">
      <c r="B7" s="6" t="s">
        <v>55</v>
      </c>
      <c r="C7" s="574">
        <f>Well!H6</f>
        <v>500</v>
      </c>
      <c r="D7" s="142" t="s">
        <v>58</v>
      </c>
      <c r="E7" s="139">
        <f>ROUND((E5+E6)/2,4)</f>
        <v>2.4525000000000001</v>
      </c>
      <c r="F7" s="29">
        <f>$E$7/$C$14</f>
        <v>5.2180851063829787E-3</v>
      </c>
      <c r="G7" s="356">
        <f>G5</f>
        <v>2.789E-4</v>
      </c>
      <c r="H7" s="351">
        <v>0.1002</v>
      </c>
      <c r="I7"/>
      <c r="J7" s="384" t="s">
        <v>359</v>
      </c>
      <c r="K7" s="381">
        <v>0</v>
      </c>
      <c r="L7"/>
      <c r="M7"/>
    </row>
    <row r="8" spans="1:13" ht="20.100000000000001" customHeight="1" thickBot="1">
      <c r="B8" s="6" t="s">
        <v>57</v>
      </c>
      <c r="C8" s="575">
        <f>Well!G6</f>
        <v>200</v>
      </c>
    </row>
    <row r="9" spans="1:13" ht="20.100000000000001" customHeight="1" thickBot="1">
      <c r="B9" s="6" t="s">
        <v>59</v>
      </c>
      <c r="C9" s="576">
        <f>C10+C11</f>
        <v>30</v>
      </c>
      <c r="D9" s="11"/>
      <c r="E9" s="352" t="s">
        <v>107</v>
      </c>
      <c r="F9" s="353" t="s">
        <v>108</v>
      </c>
      <c r="G9" s="373" t="s">
        <v>109</v>
      </c>
      <c r="H9" s="472">
        <f>MAX(E10,F10,G10)</f>
        <v>103.5</v>
      </c>
    </row>
    <row r="10" spans="1:13" ht="20.100000000000001" customHeight="1" thickBot="1">
      <c r="B10" s="6" t="s">
        <v>60</v>
      </c>
      <c r="C10" s="577">
        <v>5</v>
      </c>
      <c r="D10" s="354" t="s">
        <v>61</v>
      </c>
      <c r="E10" s="119">
        <v>28.9</v>
      </c>
      <c r="F10" s="120">
        <v>35.4</v>
      </c>
      <c r="G10" s="374">
        <v>103.5</v>
      </c>
      <c r="H10" s="474">
        <f>MIN(E10,F10,G10)</f>
        <v>28.9</v>
      </c>
      <c r="I10" s="12"/>
    </row>
    <row r="11" spans="1:13" ht="20.100000000000001" customHeight="1" thickBot="1">
      <c r="B11" s="6" t="s">
        <v>62</v>
      </c>
      <c r="C11" s="577">
        <v>25</v>
      </c>
      <c r="D11" s="143" t="s">
        <v>63</v>
      </c>
      <c r="E11" s="121">
        <f>ROUND(AVERAGE(E10:G10),1)</f>
        <v>55.9</v>
      </c>
      <c r="F11" s="350">
        <f>ROUND((E10+F10)/2,1)</f>
        <v>32.200000000000003</v>
      </c>
      <c r="H11" s="473">
        <f>ROUND(AVERAGE(E10:G10),1)</f>
        <v>55.9</v>
      </c>
      <c r="I11" s="12"/>
      <c r="J11" s="654" t="s">
        <v>115</v>
      </c>
      <c r="K11" s="655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78">
        <f>C7-C9</f>
        <v>470</v>
      </c>
      <c r="H12" s="14"/>
      <c r="J12" s="371" t="s">
        <v>117</v>
      </c>
      <c r="K12" s="555">
        <v>152</v>
      </c>
      <c r="L12" s="55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78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1" t="s">
        <v>110</v>
      </c>
      <c r="K13" s="378">
        <v>2113</v>
      </c>
      <c r="L13" s="375"/>
    </row>
    <row r="14" spans="1:13" ht="20.100000000000001" customHeight="1">
      <c r="B14" s="6" t="s">
        <v>66</v>
      </c>
      <c r="C14" s="576">
        <f>C7-IF(C20&gt;C9,C20,C9)</f>
        <v>470</v>
      </c>
      <c r="G14" s="122">
        <f>max</f>
        <v>1217</v>
      </c>
      <c r="H14" s="15"/>
      <c r="J14" s="371" t="s">
        <v>111</v>
      </c>
      <c r="K14" s="378">
        <v>16</v>
      </c>
      <c r="L14" s="375"/>
    </row>
    <row r="15" spans="1:13" ht="20.100000000000001" customHeight="1" thickBot="1">
      <c r="B15" s="6" t="s">
        <v>67</v>
      </c>
      <c r="C15" s="574">
        <f>Well!I6</f>
        <v>15</v>
      </c>
      <c r="E15" s="34">
        <v>3</v>
      </c>
      <c r="J15" s="371" t="s">
        <v>112</v>
      </c>
      <c r="K15" s="378">
        <v>7</v>
      </c>
      <c r="L15" s="375"/>
    </row>
    <row r="16" spans="1:13" ht="20.100000000000001" customHeight="1">
      <c r="B16" s="6" t="s">
        <v>68</v>
      </c>
      <c r="C16" s="579">
        <f>Well!J6</f>
        <v>53</v>
      </c>
      <c r="E16" s="108" t="s">
        <v>271</v>
      </c>
      <c r="F16" s="109" t="s">
        <v>95</v>
      </c>
      <c r="G16" s="110" t="s">
        <v>94</v>
      </c>
      <c r="H16" s="15"/>
      <c r="J16" s="371" t="s">
        <v>118</v>
      </c>
      <c r="K16" s="379">
        <f>K14-C20</f>
        <v>4.25</v>
      </c>
      <c r="L16" s="375"/>
    </row>
    <row r="17" spans="2:12" ht="20.100000000000001" customHeight="1" thickBot="1">
      <c r="B17" s="6" t="s">
        <v>69</v>
      </c>
      <c r="C17" s="574">
        <f>Well!L6</f>
        <v>5</v>
      </c>
      <c r="E17" s="297">
        <f>Well!P6</f>
        <v>3778182</v>
      </c>
      <c r="F17" s="137">
        <f>(max*rf_1*E17/1000)</f>
        <v>804658.31144999992</v>
      </c>
      <c r="G17" s="136">
        <f>F17*allow_ratio</f>
        <v>539121.06867149996</v>
      </c>
      <c r="J17" s="371" t="s">
        <v>113</v>
      </c>
      <c r="K17" s="379">
        <f>K16-K15</f>
        <v>-2.75</v>
      </c>
      <c r="L17" s="375"/>
    </row>
    <row r="18" spans="2:12" ht="20.100000000000001" customHeight="1" thickBot="1">
      <c r="B18" s="6" t="s">
        <v>70</v>
      </c>
      <c r="C18" s="574">
        <f>Well!M6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2" t="s">
        <v>114</v>
      </c>
      <c r="K18" s="376">
        <f>(K17/K13)</f>
        <v>-1.3014671083767155E-3</v>
      </c>
      <c r="L18" s="377">
        <f>K18*100</f>
        <v>-0.13014671083767154</v>
      </c>
    </row>
    <row r="19" spans="2:12" ht="20.100000000000001" customHeight="1" thickBot="1">
      <c r="B19" s="17" t="s">
        <v>74</v>
      </c>
      <c r="C19" s="580">
        <f>Well!N6</f>
        <v>50</v>
      </c>
      <c r="E19" s="297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596">
        <v>11.75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97">
        <v>25.52</v>
      </c>
      <c r="D21" s="13"/>
      <c r="E21" s="298">
        <f>Well!$I$8</f>
        <v>45</v>
      </c>
      <c r="F21" s="299">
        <f>Well!O6</f>
        <v>130.6</v>
      </c>
      <c r="G21" s="136">
        <f>G19-E21-F21</f>
        <v>1301.4440237575343</v>
      </c>
    </row>
    <row r="22" spans="2:12" ht="20.100000000000001" customHeight="1" thickBot="1">
      <c r="B22" s="27" t="s">
        <v>162</v>
      </c>
      <c r="C22" s="581">
        <f>C21-C20</f>
        <v>13.77</v>
      </c>
      <c r="E22" s="656">
        <f>E21+F21</f>
        <v>175.6</v>
      </c>
      <c r="F22" s="657"/>
      <c r="G22" s="16"/>
      <c r="I22" s="15"/>
    </row>
    <row r="23" spans="2:12" ht="20.100000000000001" customHeight="1" thickBot="1">
      <c r="B23" s="247" t="s">
        <v>230</v>
      </c>
      <c r="C23" s="497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50" t="s">
        <v>614</v>
      </c>
      <c r="C25" s="651"/>
      <c r="D25" s="398" t="s">
        <v>104</v>
      </c>
      <c r="E25" s="398" t="s">
        <v>105</v>
      </c>
      <c r="F25" s="398" t="s">
        <v>96</v>
      </c>
      <c r="G25" s="398" t="s">
        <v>97</v>
      </c>
      <c r="H25" s="398" t="s">
        <v>119</v>
      </c>
      <c r="I25" s="398" t="s">
        <v>98</v>
      </c>
      <c r="J25" s="300" t="s">
        <v>99</v>
      </c>
      <c r="K25" s="399" t="s">
        <v>100</v>
      </c>
    </row>
    <row r="26" spans="2:12" ht="25.5" customHeight="1">
      <c r="B26" s="652" t="s">
        <v>49</v>
      </c>
      <c r="C26" s="400" t="s">
        <v>102</v>
      </c>
      <c r="D26" s="345">
        <f>C20</f>
        <v>11.75</v>
      </c>
      <c r="E26" s="346">
        <f>Recharge!C30</f>
        <v>21.297499999999999</v>
      </c>
      <c r="F26" s="347" t="s">
        <v>181</v>
      </c>
      <c r="G26" s="345" t="s">
        <v>391</v>
      </c>
      <c r="H26" s="348">
        <f>L18</f>
        <v>-0.13014671083767154</v>
      </c>
      <c r="I26" s="345" t="s">
        <v>181</v>
      </c>
      <c r="J26" s="349">
        <f>(E7/C14)/864</f>
        <v>6.0394503546099294E-6</v>
      </c>
      <c r="K26" s="344" t="s">
        <v>633</v>
      </c>
    </row>
    <row r="27" spans="2:12" ht="25.5" customHeight="1">
      <c r="B27" s="652"/>
      <c r="C27" s="301" t="s">
        <v>103</v>
      </c>
      <c r="D27" s="301">
        <v>5</v>
      </c>
      <c r="E27" s="301">
        <v>8</v>
      </c>
      <c r="F27" s="301">
        <v>3</v>
      </c>
      <c r="G27" s="301">
        <v>3</v>
      </c>
      <c r="H27" s="301">
        <v>10</v>
      </c>
      <c r="I27" s="301">
        <v>4</v>
      </c>
      <c r="J27" s="301">
        <v>1</v>
      </c>
      <c r="K27" s="344" t="s">
        <v>687</v>
      </c>
    </row>
    <row r="28" spans="2:12" ht="25.5" customHeight="1">
      <c r="B28" s="652"/>
      <c r="C28" s="401" t="s">
        <v>174</v>
      </c>
      <c r="D28" s="341">
        <v>5</v>
      </c>
      <c r="E28" s="341">
        <v>4</v>
      </c>
      <c r="F28" s="341">
        <v>3</v>
      </c>
      <c r="G28" s="341">
        <v>2</v>
      </c>
      <c r="H28" s="341">
        <v>1</v>
      </c>
      <c r="I28" s="341">
        <v>5</v>
      </c>
      <c r="J28" s="341">
        <v>3</v>
      </c>
      <c r="K28" s="342"/>
    </row>
    <row r="29" spans="2:12" ht="25.5" customHeight="1">
      <c r="B29" s="652"/>
      <c r="C29" s="401" t="s">
        <v>175</v>
      </c>
      <c r="D29" s="343">
        <v>5</v>
      </c>
      <c r="E29" s="343">
        <v>4</v>
      </c>
      <c r="F29" s="343">
        <v>3</v>
      </c>
      <c r="G29" s="343">
        <v>5</v>
      </c>
      <c r="H29" s="343">
        <v>3</v>
      </c>
      <c r="I29" s="343">
        <v>4</v>
      </c>
      <c r="J29" s="343">
        <v>2</v>
      </c>
      <c r="K29" s="342"/>
    </row>
    <row r="30" spans="2:12" ht="25.5" customHeight="1">
      <c r="B30" s="652"/>
      <c r="C30" s="400" t="s">
        <v>176</v>
      </c>
      <c r="D30" s="302">
        <f>D27*D28</f>
        <v>25</v>
      </c>
      <c r="E30" s="302">
        <f t="shared" ref="E30:J30" si="0">E27*E28</f>
        <v>32</v>
      </c>
      <c r="F30" s="302">
        <f t="shared" si="0"/>
        <v>9</v>
      </c>
      <c r="G30" s="302">
        <f t="shared" si="0"/>
        <v>6</v>
      </c>
      <c r="H30" s="302">
        <f t="shared" si="0"/>
        <v>10</v>
      </c>
      <c r="I30" s="302">
        <f t="shared" si="0"/>
        <v>20</v>
      </c>
      <c r="J30" s="302">
        <f t="shared" si="0"/>
        <v>3</v>
      </c>
      <c r="K30" s="303">
        <f>SUM(D30:J30)</f>
        <v>105</v>
      </c>
    </row>
    <row r="31" spans="2:12" ht="25.5" customHeight="1" thickBot="1">
      <c r="B31" s="653"/>
      <c r="C31" s="402" t="s">
        <v>177</v>
      </c>
      <c r="D31" s="304">
        <f t="shared" ref="D31:J31" si="1">D27*D29</f>
        <v>25</v>
      </c>
      <c r="E31" s="304">
        <f t="shared" si="1"/>
        <v>32</v>
      </c>
      <c r="F31" s="304">
        <f t="shared" si="1"/>
        <v>9</v>
      </c>
      <c r="G31" s="304">
        <f t="shared" si="1"/>
        <v>15</v>
      </c>
      <c r="H31" s="304">
        <f t="shared" si="1"/>
        <v>30</v>
      </c>
      <c r="I31" s="304">
        <f t="shared" si="1"/>
        <v>16</v>
      </c>
      <c r="J31" s="304">
        <f t="shared" si="1"/>
        <v>2</v>
      </c>
      <c r="K31" s="305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2804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2804" r:id="rId4" name="CommandButton8"/>
      </mc:Fallback>
    </mc:AlternateContent>
    <mc:AlternateContent xmlns:mc="http://schemas.openxmlformats.org/markup-compatibility/2006">
      <mc:Choice Requires="x14">
        <control shapeId="332803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2803" r:id="rId6" name="CommandButton6"/>
      </mc:Fallback>
    </mc:AlternateContent>
    <mc:AlternateContent xmlns:mc="http://schemas.openxmlformats.org/markup-compatibility/2006">
      <mc:Choice Requires="x14">
        <control shapeId="332802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2802" r:id="rId8" name="Frame1"/>
      </mc:Fallback>
    </mc:AlternateContent>
    <mc:AlternateContent xmlns:mc="http://schemas.openxmlformats.org/markup-compatibility/2006">
      <mc:Choice Requires="x14">
        <control shapeId="332801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2801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CFD72B-47E1-4131-9E3E-38375FC7A59D}">
          <x14:formula1>
            <xm:f>drastic!$A$4:$A$13</xm:f>
          </x14:formula1>
          <xm:sqref>F26</xm:sqref>
        </x14:dataValidation>
        <x14:dataValidation type="list" allowBlank="1" showInputMessage="1" showErrorMessage="1" xr:uid="{224CAB94-ED04-4F9D-AD86-3B958C7EF499}">
          <x14:formula1>
            <xm:f>drastic!$D$4:$D$14</xm:f>
          </x14:formula1>
          <xm:sqref>G26</xm:sqref>
        </x14:dataValidation>
        <x14:dataValidation type="list" allowBlank="1" showInputMessage="1" showErrorMessage="1" xr:uid="{0F3F71FE-9AAF-4627-BB09-21E63DCF2ABF}">
          <x14:formula1>
            <xm:f>drastic!$G$4:$G$14</xm:f>
          </x14:formula1>
          <xm:sqref>I26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G13" sqref="G13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79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348</v>
      </c>
      <c r="C4" s="105" t="s">
        <v>85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73" t="s">
        <v>80</v>
      </c>
      <c r="C6" s="185">
        <v>45187.430555555555</v>
      </c>
      <c r="D6" s="94"/>
      <c r="E6" s="30"/>
      <c r="F6" s="30"/>
    </row>
    <row r="7" spans="2:14" s="31" customFormat="1" ht="26.1" customHeight="1" thickBot="1">
      <c r="B7" s="176" t="s">
        <v>81</v>
      </c>
      <c r="C7" s="181">
        <v>14.8</v>
      </c>
      <c r="D7" s="94"/>
      <c r="E7" s="30"/>
      <c r="F7" s="30"/>
    </row>
    <row r="8" spans="2:14" s="31" customFormat="1" ht="26.1" customHeight="1">
      <c r="B8" s="173" t="s">
        <v>82</v>
      </c>
      <c r="C8" s="186">
        <v>215</v>
      </c>
      <c r="D8" s="94"/>
      <c r="E8" s="30"/>
      <c r="F8" s="30"/>
    </row>
    <row r="9" spans="2:14" s="31" customFormat="1" ht="26.1" customHeight="1" thickBot="1">
      <c r="B9" s="176" t="s">
        <v>83</v>
      </c>
      <c r="C9" s="187">
        <v>6.9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660" t="s">
        <v>84</v>
      </c>
      <c r="C12" s="661"/>
      <c r="D12" s="662" t="s">
        <v>85</v>
      </c>
      <c r="E12" s="663"/>
      <c r="F12" s="661"/>
      <c r="H12" s="660" t="s">
        <v>85</v>
      </c>
      <c r="I12" s="663"/>
      <c r="J12" s="661"/>
      <c r="L12"/>
      <c r="M12"/>
      <c r="N12"/>
    </row>
    <row r="13" spans="2:14" s="30" customFormat="1" ht="26.1" customHeight="1">
      <c r="B13" s="260" t="s">
        <v>80</v>
      </c>
      <c r="C13" s="261" t="s">
        <v>86</v>
      </c>
      <c r="D13" s="283" t="s">
        <v>87</v>
      </c>
      <c r="E13" s="284" t="s">
        <v>88</v>
      </c>
      <c r="F13" s="261" t="s">
        <v>89</v>
      </c>
      <c r="H13" s="97" t="s">
        <v>87</v>
      </c>
      <c r="I13" s="99" t="s">
        <v>88</v>
      </c>
      <c r="J13" s="98" t="s">
        <v>89</v>
      </c>
      <c r="L13"/>
      <c r="M13"/>
      <c r="N13"/>
    </row>
    <row r="14" spans="2:14" s="30" customFormat="1" ht="26.1" customHeight="1">
      <c r="B14" s="285">
        <f>$C$6+C14/1440</f>
        <v>45187.434027777774</v>
      </c>
      <c r="C14" s="266">
        <v>5</v>
      </c>
      <c r="D14" s="286">
        <f t="shared" ref="D14:D20" si="0">baseTemp+H14</f>
        <v>15.100000000000001</v>
      </c>
      <c r="E14" s="287">
        <f>$C$8+I14</f>
        <v>221</v>
      </c>
      <c r="F14" s="288">
        <f>$C$9+J14</f>
        <v>7.0100000000000007</v>
      </c>
      <c r="H14" s="61">
        <v>0.3</v>
      </c>
      <c r="I14" s="62">
        <v>6</v>
      </c>
      <c r="J14" s="63">
        <v>0.11</v>
      </c>
      <c r="L14"/>
      <c r="M14"/>
      <c r="N14"/>
    </row>
    <row r="15" spans="2:14" s="30" customFormat="1" ht="26.1" customHeight="1">
      <c r="B15" s="289">
        <f t="shared" ref="B15:B23" si="1">$C$6+C15/1440</f>
        <v>45187.451388888891</v>
      </c>
      <c r="C15" s="272">
        <v>30</v>
      </c>
      <c r="D15" s="290">
        <f t="shared" si="0"/>
        <v>14.5</v>
      </c>
      <c r="E15" s="291">
        <f t="shared" ref="E15:E20" si="2">$C$8+I15</f>
        <v>231</v>
      </c>
      <c r="F15" s="292">
        <f t="shared" ref="F15:F20" si="3">$C$9+J15</f>
        <v>6.99</v>
      </c>
      <c r="H15" s="61">
        <v>-0.3</v>
      </c>
      <c r="I15" s="62">
        <v>16</v>
      </c>
      <c r="J15" s="63">
        <v>0.09</v>
      </c>
      <c r="L15"/>
      <c r="M15"/>
      <c r="N15"/>
    </row>
    <row r="16" spans="2:14" s="30" customFormat="1" ht="26.1" customHeight="1">
      <c r="B16" s="289">
        <f t="shared" si="1"/>
        <v>45187.472222222219</v>
      </c>
      <c r="C16" s="272">
        <v>60</v>
      </c>
      <c r="D16" s="290">
        <f t="shared" si="0"/>
        <v>14.600000000000001</v>
      </c>
      <c r="E16" s="291">
        <f t="shared" si="2"/>
        <v>217</v>
      </c>
      <c r="F16" s="292">
        <f t="shared" si="3"/>
        <v>6.8100000000000005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289">
        <f t="shared" si="1"/>
        <v>45187.513888888891</v>
      </c>
      <c r="C17" s="272">
        <v>120</v>
      </c>
      <c r="D17" s="290">
        <f t="shared" si="0"/>
        <v>15</v>
      </c>
      <c r="E17" s="291">
        <f t="shared" si="2"/>
        <v>204</v>
      </c>
      <c r="F17" s="292">
        <f t="shared" si="3"/>
        <v>6.98</v>
      </c>
      <c r="H17" s="61">
        <v>0.2</v>
      </c>
      <c r="I17" s="62">
        <v>-11</v>
      </c>
      <c r="J17" s="63">
        <v>0.08</v>
      </c>
      <c r="L17"/>
      <c r="M17"/>
      <c r="N17"/>
    </row>
    <row r="18" spans="2:14" s="30" customFormat="1" ht="26.1" customHeight="1">
      <c r="B18" s="289">
        <f t="shared" si="1"/>
        <v>45187.597222222219</v>
      </c>
      <c r="C18" s="272">
        <v>240</v>
      </c>
      <c r="D18" s="290">
        <f t="shared" si="0"/>
        <v>14.9</v>
      </c>
      <c r="E18" s="291">
        <f t="shared" si="2"/>
        <v>208</v>
      </c>
      <c r="F18" s="292">
        <f t="shared" si="3"/>
        <v>6.78</v>
      </c>
      <c r="H18" s="61">
        <v>0.1</v>
      </c>
      <c r="I18" s="62">
        <v>-7</v>
      </c>
      <c r="J18" s="63">
        <v>-0.12</v>
      </c>
      <c r="L18"/>
      <c r="M18"/>
      <c r="N18"/>
    </row>
    <row r="19" spans="2:14" s="30" customFormat="1" ht="26.1" customHeight="1">
      <c r="B19" s="289">
        <f t="shared" si="1"/>
        <v>45187.763888888891</v>
      </c>
      <c r="C19" s="272">
        <v>480</v>
      </c>
      <c r="D19" s="293">
        <f t="shared" si="0"/>
        <v>14.600000000000001</v>
      </c>
      <c r="E19" s="291">
        <f t="shared" si="2"/>
        <v>230</v>
      </c>
      <c r="F19" s="292">
        <f t="shared" si="3"/>
        <v>6.78</v>
      </c>
      <c r="H19" s="61">
        <v>-0.2</v>
      </c>
      <c r="I19" s="62">
        <v>15</v>
      </c>
      <c r="J19" s="63">
        <v>-0.12</v>
      </c>
      <c r="L19"/>
      <c r="M19"/>
      <c r="N19"/>
    </row>
    <row r="20" spans="2:14" s="31" customFormat="1" ht="26.1" customHeight="1">
      <c r="B20" s="289">
        <f t="shared" si="1"/>
        <v>45188.430555555555</v>
      </c>
      <c r="C20" s="272">
        <v>1440</v>
      </c>
      <c r="D20" s="290">
        <f t="shared" si="0"/>
        <v>14.600000000000001</v>
      </c>
      <c r="E20" s="291">
        <f t="shared" si="2"/>
        <v>207</v>
      </c>
      <c r="F20" s="292">
        <f t="shared" si="3"/>
        <v>6.82</v>
      </c>
      <c r="H20" s="61">
        <v>-0.2</v>
      </c>
      <c r="I20" s="62">
        <v>-8</v>
      </c>
      <c r="J20" s="63">
        <v>-0.08</v>
      </c>
      <c r="L20"/>
      <c r="M20"/>
      <c r="N20"/>
    </row>
    <row r="21" spans="2:14" s="31" customFormat="1" ht="26.1" customHeight="1">
      <c r="B21" s="289">
        <f t="shared" si="1"/>
        <v>45188.597222222219</v>
      </c>
      <c r="C21" s="272">
        <v>1680</v>
      </c>
      <c r="D21" s="290">
        <f>$D$20</f>
        <v>14.600000000000001</v>
      </c>
      <c r="E21" s="291">
        <f>$E$20</f>
        <v>207</v>
      </c>
      <c r="F21" s="292">
        <f>$F$20</f>
        <v>6.82</v>
      </c>
      <c r="H21" s="61">
        <v>-0.3</v>
      </c>
      <c r="I21" s="62">
        <v>-14</v>
      </c>
      <c r="J21" s="63">
        <v>0.11</v>
      </c>
      <c r="L21"/>
      <c r="M21"/>
      <c r="N21"/>
    </row>
    <row r="22" spans="2:14" s="31" customFormat="1" ht="26.1" customHeight="1">
      <c r="B22" s="289">
        <f t="shared" si="1"/>
        <v>45188.763888888891</v>
      </c>
      <c r="C22" s="272">
        <v>1920</v>
      </c>
      <c r="D22" s="290">
        <f t="shared" ref="D22:D23" si="4">$D$20</f>
        <v>14.600000000000001</v>
      </c>
      <c r="E22" s="291">
        <f t="shared" ref="E22:E23" si="5">$E$20</f>
        <v>207</v>
      </c>
      <c r="F22" s="292">
        <f t="shared" ref="F22:F23" si="6">$F$20</f>
        <v>6.82</v>
      </c>
      <c r="H22" s="61">
        <v>-0.2</v>
      </c>
      <c r="I22" s="62">
        <v>-17</v>
      </c>
      <c r="J22" s="63">
        <v>0.08</v>
      </c>
      <c r="L22"/>
      <c r="M22"/>
      <c r="N22"/>
    </row>
    <row r="23" spans="2:14" s="31" customFormat="1" ht="26.1" customHeight="1" thickBot="1">
      <c r="B23" s="289">
        <f t="shared" si="1"/>
        <v>45189.430555555555</v>
      </c>
      <c r="C23" s="272">
        <v>2880</v>
      </c>
      <c r="D23" s="290">
        <f t="shared" si="4"/>
        <v>14.600000000000001</v>
      </c>
      <c r="E23" s="291">
        <f t="shared" si="5"/>
        <v>207</v>
      </c>
      <c r="F23" s="292">
        <f t="shared" si="6"/>
        <v>6.82</v>
      </c>
      <c r="H23" s="66">
        <v>-0.2</v>
      </c>
      <c r="I23" s="64">
        <v>3</v>
      </c>
      <c r="J23" s="65">
        <v>-0.09</v>
      </c>
      <c r="L23"/>
      <c r="M23"/>
      <c r="N23"/>
    </row>
    <row r="24" spans="2:14" s="31" customFormat="1" ht="26.1" customHeight="1">
      <c r="B24" s="664" t="s">
        <v>36</v>
      </c>
      <c r="C24" s="665"/>
      <c r="D24" s="283">
        <f>MAX(D14:D23)</f>
        <v>15.100000000000001</v>
      </c>
      <c r="E24" s="284">
        <f t="shared" ref="E24:F24" si="7">MAX(E14:E23)</f>
        <v>231</v>
      </c>
      <c r="F24" s="261">
        <f t="shared" si="7"/>
        <v>7.0100000000000007</v>
      </c>
      <c r="H24" s="30"/>
      <c r="I24" s="30"/>
      <c r="J24" s="30"/>
    </row>
    <row r="25" spans="2:14" s="31" customFormat="1" ht="26.1" customHeight="1">
      <c r="B25" s="664" t="s">
        <v>37</v>
      </c>
      <c r="C25" s="665"/>
      <c r="D25" s="283">
        <f>MIN(D14:D23)</f>
        <v>14.5</v>
      </c>
      <c r="E25" s="284">
        <f t="shared" ref="E25:F25" si="8">MIN(E14:E23)</f>
        <v>204</v>
      </c>
      <c r="F25" s="261">
        <f t="shared" si="8"/>
        <v>6.78</v>
      </c>
      <c r="H25" s="30"/>
      <c r="I25" s="30"/>
      <c r="J25" s="30"/>
    </row>
    <row r="26" spans="2:14" s="31" customFormat="1" ht="26.1" customHeight="1" thickBot="1">
      <c r="B26" s="658" t="s">
        <v>90</v>
      </c>
      <c r="C26" s="659"/>
      <c r="D26" s="294">
        <f>D24-D25</f>
        <v>0.60000000000000142</v>
      </c>
      <c r="E26" s="295">
        <f t="shared" ref="E26:F26" si="9">E24-E25</f>
        <v>27</v>
      </c>
      <c r="F26" s="275">
        <f t="shared" si="9"/>
        <v>0.23000000000000043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7" r:id="rId4" name="CommandButton3">
          <controlPr defaultSize="0" autoLine="0" r:id="rId5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4" name="CommandButton3"/>
      </mc:Fallback>
    </mc:AlternateContent>
    <mc:AlternateContent xmlns:mc="http://schemas.openxmlformats.org/markup-compatibility/2006">
      <mc:Choice Requires="x14">
        <control shapeId="129026" r:id="rId6" name="CommandButton2">
          <controlPr defaultSize="0" autoLine="0" r:id="rId7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6" name="CommandButton2"/>
      </mc:Fallback>
    </mc:AlternateContent>
    <mc:AlternateContent xmlns:mc="http://schemas.openxmlformats.org/markup-compatibility/2006">
      <mc:Choice Requires="x14">
        <control shapeId="129028" r:id="rId8" name="CommandButton4">
          <controlPr defaultSize="0" autoLine="0" r:id="rId9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8" name="CommandButton4"/>
      </mc:Fallback>
    </mc:AlternateContent>
    <mc:AlternateContent xmlns:mc="http://schemas.openxmlformats.org/markup-compatibility/2006">
      <mc:Choice Requires="x14">
        <control shapeId="129029" r:id="rId10" name="CommandButton5">
          <controlPr defaultSize="0" autoLine="0" r:id="rId11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10" name="CommandButton5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topLeftCell="A4" workbookViewId="0">
      <selection activeCell="D7" sqref="D7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79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349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79" t="s">
        <v>80</v>
      </c>
      <c r="C6" s="598">
        <v>44753.861111111109</v>
      </c>
      <c r="D6" s="601"/>
      <c r="E6" s="30"/>
      <c r="F6" s="30"/>
    </row>
    <row r="7" spans="2:9" s="31" customFormat="1" ht="26.1" customHeight="1" thickBot="1">
      <c r="B7" s="176" t="s">
        <v>81</v>
      </c>
      <c r="C7" s="599">
        <v>14</v>
      </c>
      <c r="D7" s="602">
        <v>14</v>
      </c>
      <c r="E7" s="30"/>
      <c r="F7" s="30"/>
    </row>
    <row r="8" spans="2:9" s="31" customFormat="1" ht="26.1" customHeight="1">
      <c r="B8" s="173" t="s">
        <v>82</v>
      </c>
      <c r="C8" s="174">
        <v>226</v>
      </c>
      <c r="D8" s="600">
        <v>229</v>
      </c>
      <c r="E8" s="30"/>
      <c r="F8" s="30"/>
    </row>
    <row r="9" spans="2:9" s="31" customFormat="1" ht="26.1" customHeight="1" thickBot="1">
      <c r="B9" s="176" t="s">
        <v>83</v>
      </c>
      <c r="C9" s="177">
        <v>7.9</v>
      </c>
      <c r="D9" s="178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660" t="s">
        <v>84</v>
      </c>
      <c r="C12" s="661"/>
      <c r="D12" s="660" t="s">
        <v>85</v>
      </c>
      <c r="E12" s="663"/>
      <c r="F12" s="661"/>
      <c r="G12" s="666" t="s">
        <v>155</v>
      </c>
      <c r="H12" s="667"/>
      <c r="I12" s="668"/>
    </row>
    <row r="13" spans="2:9" s="30" customFormat="1" ht="26.1" customHeight="1">
      <c r="B13" s="260" t="s">
        <v>80</v>
      </c>
      <c r="C13" s="261" t="s">
        <v>86</v>
      </c>
      <c r="D13" s="279" t="s">
        <v>87</v>
      </c>
      <c r="E13" s="280" t="s">
        <v>88</v>
      </c>
      <c r="F13" s="281" t="s">
        <v>89</v>
      </c>
      <c r="G13" s="262" t="s">
        <v>87</v>
      </c>
      <c r="H13" s="263" t="s">
        <v>88</v>
      </c>
      <c r="I13" s="264" t="s">
        <v>89</v>
      </c>
    </row>
    <row r="14" spans="2:9" s="30" customFormat="1" ht="26.1" customHeight="1">
      <c r="B14" s="265">
        <f>$C$6+C14/1440</f>
        <v>44753.864583333328</v>
      </c>
      <c r="C14" s="266">
        <v>5</v>
      </c>
      <c r="D14" s="270">
        <f t="shared" ref="D14:D23" si="0">baseTemp+D31</f>
        <v>14</v>
      </c>
      <c r="E14" s="268">
        <f t="shared" ref="E14:E20" si="1">$C$8+E31</f>
        <v>223</v>
      </c>
      <c r="F14" s="269">
        <f t="shared" ref="F14:F20" si="2">$C$9+F31</f>
        <v>7.83</v>
      </c>
      <c r="G14" s="270">
        <f t="shared" ref="G14:G23" si="3">baseTemp2+H31</f>
        <v>14</v>
      </c>
      <c r="H14" s="268">
        <f>$D$8+I31</f>
        <v>232</v>
      </c>
      <c r="I14" s="269">
        <f>$D$9+J31</f>
        <v>7.89</v>
      </c>
    </row>
    <row r="15" spans="2:9" s="30" customFormat="1" ht="26.1" customHeight="1">
      <c r="B15" s="271">
        <f t="shared" ref="B15:B23" si="4">$C$6+C15/1440</f>
        <v>44753.881944444445</v>
      </c>
      <c r="C15" s="272">
        <v>30</v>
      </c>
      <c r="D15" s="270">
        <f t="shared" si="0"/>
        <v>14.1</v>
      </c>
      <c r="E15" s="268">
        <f t="shared" si="1"/>
        <v>224</v>
      </c>
      <c r="F15" s="269">
        <f t="shared" si="2"/>
        <v>7.82</v>
      </c>
      <c r="G15" s="270">
        <f t="shared" si="3"/>
        <v>14</v>
      </c>
      <c r="H15" s="268">
        <f t="shared" ref="H15:H20" si="5">$D$8+I32</f>
        <v>226</v>
      </c>
      <c r="I15" s="269">
        <f t="shared" ref="I15:I20" si="6">$D$9+J32</f>
        <v>7.71</v>
      </c>
    </row>
    <row r="16" spans="2:9" s="30" customFormat="1" ht="26.1" customHeight="1">
      <c r="B16" s="271">
        <f t="shared" si="4"/>
        <v>44753.902777777774</v>
      </c>
      <c r="C16" s="272">
        <v>60</v>
      </c>
      <c r="D16" s="270">
        <f t="shared" si="0"/>
        <v>14</v>
      </c>
      <c r="E16" s="268">
        <f t="shared" si="1"/>
        <v>228</v>
      </c>
      <c r="F16" s="269">
        <f t="shared" si="2"/>
        <v>8.01</v>
      </c>
      <c r="G16" s="270">
        <f t="shared" si="3"/>
        <v>13.9</v>
      </c>
      <c r="H16" s="268">
        <f t="shared" si="5"/>
        <v>232</v>
      </c>
      <c r="I16" s="269">
        <f t="shared" si="6"/>
        <v>7.7</v>
      </c>
    </row>
    <row r="17" spans="2:10" s="30" customFormat="1" ht="26.1" customHeight="1">
      <c r="B17" s="271">
        <f t="shared" si="4"/>
        <v>44753.944444444445</v>
      </c>
      <c r="C17" s="272">
        <v>120</v>
      </c>
      <c r="D17" s="270">
        <f t="shared" si="0"/>
        <v>14</v>
      </c>
      <c r="E17" s="268">
        <f t="shared" si="1"/>
        <v>228</v>
      </c>
      <c r="F17" s="269">
        <f t="shared" si="2"/>
        <v>8.01</v>
      </c>
      <c r="G17" s="270">
        <f t="shared" si="3"/>
        <v>13.9</v>
      </c>
      <c r="H17" s="268">
        <f t="shared" si="5"/>
        <v>228</v>
      </c>
      <c r="I17" s="269">
        <f t="shared" si="6"/>
        <v>7.7</v>
      </c>
    </row>
    <row r="18" spans="2:10" s="30" customFormat="1" ht="26.1" customHeight="1">
      <c r="B18" s="271">
        <f t="shared" si="4"/>
        <v>44754.027777777774</v>
      </c>
      <c r="C18" s="272">
        <v>240</v>
      </c>
      <c r="D18" s="270">
        <f t="shared" si="0"/>
        <v>14.1</v>
      </c>
      <c r="E18" s="268">
        <f t="shared" si="1"/>
        <v>227</v>
      </c>
      <c r="F18" s="269">
        <f t="shared" si="2"/>
        <v>8.01</v>
      </c>
      <c r="G18" s="270">
        <f t="shared" si="3"/>
        <v>13.9</v>
      </c>
      <c r="H18" s="268">
        <f t="shared" si="5"/>
        <v>230</v>
      </c>
      <c r="I18" s="269">
        <f t="shared" si="6"/>
        <v>7.7</v>
      </c>
    </row>
    <row r="19" spans="2:10" s="30" customFormat="1" ht="26.1" customHeight="1">
      <c r="B19" s="271">
        <f t="shared" si="4"/>
        <v>44754.194444444445</v>
      </c>
      <c r="C19" s="272">
        <v>480</v>
      </c>
      <c r="D19" s="270">
        <f t="shared" si="0"/>
        <v>14</v>
      </c>
      <c r="E19" s="268">
        <f t="shared" si="1"/>
        <v>225</v>
      </c>
      <c r="F19" s="269">
        <f t="shared" si="2"/>
        <v>7.78</v>
      </c>
      <c r="G19" s="270">
        <f t="shared" si="3"/>
        <v>13.9</v>
      </c>
      <c r="H19" s="268">
        <f t="shared" si="5"/>
        <v>228</v>
      </c>
      <c r="I19" s="269">
        <f t="shared" si="6"/>
        <v>7.92</v>
      </c>
    </row>
    <row r="20" spans="2:10" s="31" customFormat="1" ht="26.1" customHeight="1">
      <c r="B20" s="271">
        <f t="shared" si="4"/>
        <v>44754.861111111109</v>
      </c>
      <c r="C20" s="272">
        <v>1440</v>
      </c>
      <c r="D20" s="270">
        <f t="shared" si="0"/>
        <v>14.1</v>
      </c>
      <c r="E20" s="268">
        <f t="shared" si="1"/>
        <v>227</v>
      </c>
      <c r="F20" s="269">
        <f t="shared" si="2"/>
        <v>7.9700000000000006</v>
      </c>
      <c r="G20" s="270">
        <f t="shared" si="3"/>
        <v>13.9</v>
      </c>
      <c r="H20" s="268">
        <f t="shared" si="5"/>
        <v>227</v>
      </c>
      <c r="I20" s="269">
        <f t="shared" si="6"/>
        <v>7.7299999999999995</v>
      </c>
    </row>
    <row r="21" spans="2:10" s="31" customFormat="1" ht="26.1" customHeight="1">
      <c r="B21" s="271">
        <f t="shared" si="4"/>
        <v>44755.027777777774</v>
      </c>
      <c r="C21" s="272">
        <v>1680</v>
      </c>
      <c r="D21" s="270">
        <f t="shared" si="0"/>
        <v>14</v>
      </c>
      <c r="E21" s="268">
        <f>$E$20</f>
        <v>227</v>
      </c>
      <c r="F21" s="269">
        <f>$F$20</f>
        <v>7.9700000000000006</v>
      </c>
      <c r="G21" s="270">
        <f t="shared" si="3"/>
        <v>14.1</v>
      </c>
      <c r="H21" s="268">
        <f>$H$20</f>
        <v>227</v>
      </c>
      <c r="I21" s="269">
        <f>$I$20</f>
        <v>7.7299999999999995</v>
      </c>
    </row>
    <row r="22" spans="2:10" s="31" customFormat="1" ht="26.1" customHeight="1">
      <c r="B22" s="271">
        <f t="shared" si="4"/>
        <v>44755.194444444445</v>
      </c>
      <c r="C22" s="272">
        <v>1920</v>
      </c>
      <c r="D22" s="270">
        <f t="shared" si="0"/>
        <v>14</v>
      </c>
      <c r="E22" s="268">
        <f t="shared" ref="E22:E23" si="7">$E$20</f>
        <v>227</v>
      </c>
      <c r="F22" s="269">
        <f t="shared" ref="F22:F23" si="8">$F$20</f>
        <v>7.9700000000000006</v>
      </c>
      <c r="G22" s="270">
        <f t="shared" si="3"/>
        <v>13.9</v>
      </c>
      <c r="H22" s="268">
        <f t="shared" ref="H22:H23" si="9">$H$20</f>
        <v>227</v>
      </c>
      <c r="I22" s="269">
        <f t="shared" ref="I22:I23" si="10">$I$20</f>
        <v>7.7299999999999995</v>
      </c>
    </row>
    <row r="23" spans="2:10" s="31" customFormat="1" ht="26.1" customHeight="1">
      <c r="B23" s="273">
        <f t="shared" si="4"/>
        <v>44755.861111111109</v>
      </c>
      <c r="C23" s="274">
        <v>2880</v>
      </c>
      <c r="D23" s="270">
        <f t="shared" si="0"/>
        <v>14</v>
      </c>
      <c r="E23" s="268">
        <f t="shared" si="7"/>
        <v>227</v>
      </c>
      <c r="F23" s="269">
        <f t="shared" si="8"/>
        <v>7.9700000000000006</v>
      </c>
      <c r="G23" s="270">
        <f t="shared" si="3"/>
        <v>13.9</v>
      </c>
      <c r="H23" s="268">
        <f t="shared" si="9"/>
        <v>227</v>
      </c>
      <c r="I23" s="269">
        <f t="shared" si="10"/>
        <v>7.7299999999999995</v>
      </c>
    </row>
    <row r="24" spans="2:10" s="31" customFormat="1" ht="26.1" customHeight="1">
      <c r="B24" s="664" t="s">
        <v>36</v>
      </c>
      <c r="C24" s="665"/>
      <c r="D24" s="262">
        <f>MAX(D14:D23)</f>
        <v>14.1</v>
      </c>
      <c r="E24" s="263">
        <f t="shared" ref="E24:F24" si="11">MAX(E14:E23)</f>
        <v>228</v>
      </c>
      <c r="F24" s="264">
        <f t="shared" si="11"/>
        <v>8.01</v>
      </c>
      <c r="G24" s="262">
        <f>MAX(G14:G23)</f>
        <v>14.1</v>
      </c>
      <c r="H24" s="263">
        <f t="shared" ref="H24:I24" si="12">MAX(H14:H23)</f>
        <v>232</v>
      </c>
      <c r="I24" s="264">
        <f t="shared" si="12"/>
        <v>7.92</v>
      </c>
      <c r="J24" s="30"/>
    </row>
    <row r="25" spans="2:10" s="31" customFormat="1" ht="26.1" customHeight="1">
      <c r="B25" s="664" t="s">
        <v>37</v>
      </c>
      <c r="C25" s="665"/>
      <c r="D25" s="262">
        <f>MIN(D14:D23)</f>
        <v>14</v>
      </c>
      <c r="E25" s="263">
        <f t="shared" ref="E25:F25" si="13">MIN(E14:E23)</f>
        <v>223</v>
      </c>
      <c r="F25" s="282">
        <f t="shared" si="13"/>
        <v>7.78</v>
      </c>
      <c r="G25" s="262">
        <f>MIN(G14:G23)</f>
        <v>13.9</v>
      </c>
      <c r="H25" s="263">
        <f t="shared" ref="H25:I25" si="14">MIN(H14:H23)</f>
        <v>226</v>
      </c>
      <c r="I25" s="264">
        <f t="shared" si="14"/>
        <v>7.7</v>
      </c>
      <c r="J25" s="30"/>
    </row>
    <row r="26" spans="2:10" s="31" customFormat="1" ht="26.1" customHeight="1" thickBot="1">
      <c r="B26" s="658" t="s">
        <v>90</v>
      </c>
      <c r="C26" s="659"/>
      <c r="D26" s="276">
        <f>D24-D25</f>
        <v>9.9999999999999645E-2</v>
      </c>
      <c r="E26" s="277">
        <f t="shared" ref="E26:F26" si="15">E24-E25</f>
        <v>5</v>
      </c>
      <c r="F26" s="278">
        <f t="shared" si="15"/>
        <v>0.22999999999999954</v>
      </c>
      <c r="G26" s="276">
        <f>G24-G25</f>
        <v>0.19999999999999929</v>
      </c>
      <c r="H26" s="277">
        <f t="shared" ref="H26:I26" si="16">H24-H25</f>
        <v>6</v>
      </c>
      <c r="I26" s="278">
        <f t="shared" si="16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660" t="s">
        <v>85</v>
      </c>
      <c r="E29" s="663"/>
      <c r="F29" s="661"/>
      <c r="H29" s="660" t="s">
        <v>155</v>
      </c>
      <c r="I29" s="663"/>
      <c r="J29" s="661"/>
    </row>
    <row r="30" spans="2:10" s="31" customFormat="1" ht="18" customHeight="1">
      <c r="D30" s="97" t="s">
        <v>87</v>
      </c>
      <c r="E30" s="99" t="s">
        <v>88</v>
      </c>
      <c r="F30" s="98" t="s">
        <v>89</v>
      </c>
      <c r="H30" s="97" t="s">
        <v>87</v>
      </c>
      <c r="I30" s="99" t="s">
        <v>88</v>
      </c>
      <c r="J30" s="98" t="s">
        <v>89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79" t="s">
        <v>80</v>
      </c>
      <c r="C6" s="180">
        <v>44717.430555555555</v>
      </c>
      <c r="D6" s="94"/>
      <c r="E6" s="94"/>
      <c r="F6" s="30"/>
    </row>
    <row r="7" spans="2:12" s="31" customFormat="1" ht="26.1" customHeight="1" thickBot="1">
      <c r="B7" s="182" t="s">
        <v>81</v>
      </c>
      <c r="C7" s="603">
        <v>14.7</v>
      </c>
      <c r="D7" s="605">
        <v>14.8</v>
      </c>
      <c r="E7" s="606">
        <v>14.9</v>
      </c>
      <c r="F7" s="30"/>
    </row>
    <row r="8" spans="2:12" s="31" customFormat="1" ht="26.1" customHeight="1">
      <c r="B8" s="173" t="s">
        <v>82</v>
      </c>
      <c r="C8" s="174">
        <v>197</v>
      </c>
      <c r="D8" s="604">
        <v>197</v>
      </c>
      <c r="E8" s="600">
        <v>194</v>
      </c>
      <c r="F8" s="30"/>
    </row>
    <row r="9" spans="2:12" s="31" customFormat="1" ht="26.1" customHeight="1" thickBot="1">
      <c r="B9" s="176" t="s">
        <v>83</v>
      </c>
      <c r="C9" s="177">
        <v>8.4</v>
      </c>
      <c r="D9" s="184">
        <v>8.3000000000000007</v>
      </c>
      <c r="E9" s="178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660" t="s">
        <v>84</v>
      </c>
      <c r="C12" s="661"/>
      <c r="D12" s="666" t="s">
        <v>85</v>
      </c>
      <c r="E12" s="667"/>
      <c r="F12" s="668"/>
      <c r="G12" s="666" t="s">
        <v>155</v>
      </c>
      <c r="H12" s="667"/>
      <c r="I12" s="668"/>
      <c r="J12" s="666" t="s">
        <v>156</v>
      </c>
      <c r="K12" s="667"/>
      <c r="L12" s="668"/>
    </row>
    <row r="13" spans="2:12" s="30" customFormat="1" ht="26.1" customHeight="1">
      <c r="B13" s="260" t="s">
        <v>80</v>
      </c>
      <c r="C13" s="261" t="s">
        <v>86</v>
      </c>
      <c r="D13" s="262" t="s">
        <v>159</v>
      </c>
      <c r="E13" s="263" t="s">
        <v>168</v>
      </c>
      <c r="F13" s="264" t="s">
        <v>89</v>
      </c>
      <c r="G13" s="262" t="s">
        <v>159</v>
      </c>
      <c r="H13" s="263" t="s">
        <v>168</v>
      </c>
      <c r="I13" s="264" t="s">
        <v>89</v>
      </c>
      <c r="J13" s="262" t="s">
        <v>159</v>
      </c>
      <c r="K13" s="263" t="s">
        <v>168</v>
      </c>
      <c r="L13" s="264" t="s">
        <v>89</v>
      </c>
    </row>
    <row r="14" spans="2:12" s="30" customFormat="1" ht="26.1" customHeight="1">
      <c r="B14" s="265">
        <f>$C$6+C14/1440</f>
        <v>44717.434027777774</v>
      </c>
      <c r="C14" s="266">
        <v>5</v>
      </c>
      <c r="D14" s="267">
        <f t="shared" ref="D14:D20" si="0">baseTemp+D31</f>
        <v>14.7</v>
      </c>
      <c r="E14" s="268">
        <f t="shared" ref="E14:E20" si="1">$C$8+E31</f>
        <v>194</v>
      </c>
      <c r="F14" s="269">
        <f t="shared" ref="F14:F20" si="2">$C$9+F31</f>
        <v>8.33</v>
      </c>
      <c r="G14" s="270">
        <f t="shared" ref="G14:G20" si="3">bTemp2+H31</f>
        <v>14.8</v>
      </c>
      <c r="H14" s="268">
        <f>$D$8+I31</f>
        <v>200</v>
      </c>
      <c r="I14" s="269">
        <f>$D$9+J31</f>
        <v>8.39</v>
      </c>
      <c r="J14" s="270">
        <f t="shared" ref="J14:J20" si="4">bTemp3+L31</f>
        <v>14.9</v>
      </c>
      <c r="K14" s="268">
        <f>$E$8+M31</f>
        <v>195</v>
      </c>
      <c r="L14" s="269">
        <f>$E$9+N31</f>
        <v>8.2800000000000011</v>
      </c>
    </row>
    <row r="15" spans="2:12" s="30" customFormat="1" ht="26.1" customHeight="1">
      <c r="B15" s="271">
        <f t="shared" ref="B15:B23" si="5">$C$6+C15/1440</f>
        <v>44717.451388888891</v>
      </c>
      <c r="C15" s="272">
        <v>30</v>
      </c>
      <c r="D15" s="267">
        <f t="shared" si="0"/>
        <v>14.799999999999999</v>
      </c>
      <c r="E15" s="268">
        <f t="shared" si="1"/>
        <v>195</v>
      </c>
      <c r="F15" s="269">
        <f t="shared" si="2"/>
        <v>8.32</v>
      </c>
      <c r="G15" s="270">
        <f t="shared" si="3"/>
        <v>14.8</v>
      </c>
      <c r="H15" s="268">
        <f t="shared" ref="H15:H20" si="6">$D$8+I32</f>
        <v>194</v>
      </c>
      <c r="I15" s="269">
        <f t="shared" ref="I15:I20" si="7">$D$9+J32</f>
        <v>8.2100000000000009</v>
      </c>
      <c r="J15" s="270">
        <f t="shared" si="4"/>
        <v>14.9</v>
      </c>
      <c r="K15" s="268">
        <f t="shared" ref="K15:K20" si="8">$E$8+M32</f>
        <v>192</v>
      </c>
      <c r="L15" s="269">
        <f t="shared" ref="L15:L20" si="9">$E$9+N32</f>
        <v>8.49</v>
      </c>
    </row>
    <row r="16" spans="2:12" s="30" customFormat="1" ht="26.1" customHeight="1">
      <c r="B16" s="271">
        <f t="shared" si="5"/>
        <v>44717.472222222219</v>
      </c>
      <c r="C16" s="272">
        <v>60</v>
      </c>
      <c r="D16" s="267">
        <f t="shared" si="0"/>
        <v>14.7</v>
      </c>
      <c r="E16" s="268">
        <f t="shared" si="1"/>
        <v>199</v>
      </c>
      <c r="F16" s="269">
        <f t="shared" si="2"/>
        <v>8.51</v>
      </c>
      <c r="G16" s="270">
        <f t="shared" si="3"/>
        <v>14.700000000000001</v>
      </c>
      <c r="H16" s="268">
        <f t="shared" si="6"/>
        <v>200</v>
      </c>
      <c r="I16" s="269">
        <f t="shared" si="7"/>
        <v>8.2000000000000011</v>
      </c>
      <c r="J16" s="270">
        <f t="shared" si="4"/>
        <v>15</v>
      </c>
      <c r="K16" s="268">
        <f t="shared" si="8"/>
        <v>193</v>
      </c>
      <c r="L16" s="269">
        <f t="shared" si="9"/>
        <v>8.51</v>
      </c>
    </row>
    <row r="17" spans="2:14" s="30" customFormat="1" ht="26.1" customHeight="1">
      <c r="B17" s="271">
        <f t="shared" si="5"/>
        <v>44717.513888888891</v>
      </c>
      <c r="C17" s="272">
        <v>120</v>
      </c>
      <c r="D17" s="267">
        <f t="shared" si="0"/>
        <v>14.7</v>
      </c>
      <c r="E17" s="268">
        <f t="shared" si="1"/>
        <v>199</v>
      </c>
      <c r="F17" s="269">
        <f t="shared" si="2"/>
        <v>8.51</v>
      </c>
      <c r="G17" s="270">
        <f t="shared" si="3"/>
        <v>14.700000000000001</v>
      </c>
      <c r="H17" s="268">
        <f t="shared" si="6"/>
        <v>196</v>
      </c>
      <c r="I17" s="269">
        <f t="shared" si="7"/>
        <v>8.2000000000000011</v>
      </c>
      <c r="J17" s="270">
        <f t="shared" si="4"/>
        <v>15</v>
      </c>
      <c r="K17" s="268">
        <f t="shared" si="8"/>
        <v>196</v>
      </c>
      <c r="L17" s="269">
        <f t="shared" si="9"/>
        <v>8.3000000000000007</v>
      </c>
    </row>
    <row r="18" spans="2:14" s="30" customFormat="1" ht="26.1" customHeight="1">
      <c r="B18" s="271">
        <f t="shared" si="5"/>
        <v>44717.597222222219</v>
      </c>
      <c r="C18" s="272">
        <v>240</v>
      </c>
      <c r="D18" s="267">
        <f t="shared" si="0"/>
        <v>14.799999999999999</v>
      </c>
      <c r="E18" s="268">
        <f t="shared" si="1"/>
        <v>198</v>
      </c>
      <c r="F18" s="269">
        <f t="shared" si="2"/>
        <v>8.51</v>
      </c>
      <c r="G18" s="270">
        <f t="shared" si="3"/>
        <v>14.700000000000001</v>
      </c>
      <c r="H18" s="268">
        <f t="shared" si="6"/>
        <v>198</v>
      </c>
      <c r="I18" s="269">
        <f t="shared" si="7"/>
        <v>8.2000000000000011</v>
      </c>
      <c r="J18" s="270">
        <f t="shared" si="4"/>
        <v>14.8</v>
      </c>
      <c r="K18" s="268">
        <f t="shared" si="8"/>
        <v>196</v>
      </c>
      <c r="L18" s="269">
        <f t="shared" si="9"/>
        <v>8.52</v>
      </c>
    </row>
    <row r="19" spans="2:14" s="30" customFormat="1" ht="26.1" customHeight="1">
      <c r="B19" s="271">
        <f t="shared" si="5"/>
        <v>44717.763888888891</v>
      </c>
      <c r="C19" s="272">
        <v>480</v>
      </c>
      <c r="D19" s="267">
        <f t="shared" si="0"/>
        <v>14.7</v>
      </c>
      <c r="E19" s="268">
        <f t="shared" si="1"/>
        <v>196</v>
      </c>
      <c r="F19" s="269">
        <f t="shared" si="2"/>
        <v>8.2800000000000011</v>
      </c>
      <c r="G19" s="270">
        <f t="shared" si="3"/>
        <v>14.700000000000001</v>
      </c>
      <c r="H19" s="268">
        <f t="shared" si="6"/>
        <v>196</v>
      </c>
      <c r="I19" s="269">
        <f t="shared" si="7"/>
        <v>8.42</v>
      </c>
      <c r="J19" s="270">
        <f t="shared" si="4"/>
        <v>15</v>
      </c>
      <c r="K19" s="268">
        <f t="shared" si="8"/>
        <v>191</v>
      </c>
      <c r="L19" s="269">
        <f t="shared" si="9"/>
        <v>8.2800000000000011</v>
      </c>
    </row>
    <row r="20" spans="2:14" s="31" customFormat="1" ht="26.1" customHeight="1">
      <c r="B20" s="271">
        <f t="shared" si="5"/>
        <v>44718.430555555555</v>
      </c>
      <c r="C20" s="272">
        <v>1440</v>
      </c>
      <c r="D20" s="267">
        <f t="shared" si="0"/>
        <v>14.799999999999999</v>
      </c>
      <c r="E20" s="268">
        <f t="shared" si="1"/>
        <v>198</v>
      </c>
      <c r="F20" s="269">
        <f t="shared" si="2"/>
        <v>8.4700000000000006</v>
      </c>
      <c r="G20" s="270">
        <f t="shared" si="3"/>
        <v>14.700000000000001</v>
      </c>
      <c r="H20" s="268">
        <f t="shared" si="6"/>
        <v>195</v>
      </c>
      <c r="I20" s="269">
        <f t="shared" si="7"/>
        <v>8.23</v>
      </c>
      <c r="J20" s="270">
        <f t="shared" si="4"/>
        <v>14.8</v>
      </c>
      <c r="K20" s="268">
        <f t="shared" si="8"/>
        <v>191</v>
      </c>
      <c r="L20" s="269">
        <f t="shared" si="9"/>
        <v>8.33</v>
      </c>
    </row>
    <row r="21" spans="2:14" s="31" customFormat="1" ht="26.1" customHeight="1">
      <c r="B21" s="271">
        <f t="shared" si="5"/>
        <v>44718.597222222219</v>
      </c>
      <c r="C21" s="272">
        <v>1680</v>
      </c>
      <c r="D21" s="267">
        <f>$D$20</f>
        <v>14.799999999999999</v>
      </c>
      <c r="E21" s="268">
        <f>$E$20</f>
        <v>198</v>
      </c>
      <c r="F21" s="269">
        <f>$F$20</f>
        <v>8.4700000000000006</v>
      </c>
      <c r="G21" s="270">
        <f>$G$20</f>
        <v>14.700000000000001</v>
      </c>
      <c r="H21" s="268">
        <f>$H$20</f>
        <v>195</v>
      </c>
      <c r="I21" s="269">
        <f>$I$20</f>
        <v>8.23</v>
      </c>
      <c r="J21" s="270">
        <f>$J$20</f>
        <v>14.8</v>
      </c>
      <c r="K21" s="268">
        <f>$K$20</f>
        <v>191</v>
      </c>
      <c r="L21" s="269">
        <f>$L$20</f>
        <v>8.33</v>
      </c>
    </row>
    <row r="22" spans="2:14" s="31" customFormat="1" ht="26.1" customHeight="1">
      <c r="B22" s="271">
        <f t="shared" si="5"/>
        <v>44718.763888888891</v>
      </c>
      <c r="C22" s="272">
        <v>1920</v>
      </c>
      <c r="D22" s="267">
        <f t="shared" ref="D22:D23" si="10">$D$20</f>
        <v>14.799999999999999</v>
      </c>
      <c r="E22" s="268">
        <f t="shared" ref="E22:E23" si="11">$E$20</f>
        <v>198</v>
      </c>
      <c r="F22" s="269">
        <f t="shared" ref="F22:F23" si="12">$F$20</f>
        <v>8.4700000000000006</v>
      </c>
      <c r="G22" s="270">
        <f t="shared" ref="G22:G23" si="13">$G$20</f>
        <v>14.700000000000001</v>
      </c>
      <c r="H22" s="268">
        <f t="shared" ref="H22:H23" si="14">$H$20</f>
        <v>195</v>
      </c>
      <c r="I22" s="269">
        <f t="shared" ref="I22:I23" si="15">$I$20</f>
        <v>8.23</v>
      </c>
      <c r="J22" s="270">
        <f t="shared" ref="J22:J23" si="16">$J$20</f>
        <v>14.8</v>
      </c>
      <c r="K22" s="268">
        <f t="shared" ref="K22:K23" si="17">$K$20</f>
        <v>191</v>
      </c>
      <c r="L22" s="269">
        <f t="shared" ref="L22:L23" si="18">$L$20</f>
        <v>8.33</v>
      </c>
    </row>
    <row r="23" spans="2:14" s="31" customFormat="1" ht="26.1" customHeight="1">
      <c r="B23" s="273">
        <f t="shared" si="5"/>
        <v>44719.430555555555</v>
      </c>
      <c r="C23" s="274">
        <v>2880</v>
      </c>
      <c r="D23" s="267">
        <f t="shared" si="10"/>
        <v>14.799999999999999</v>
      </c>
      <c r="E23" s="268">
        <f t="shared" si="11"/>
        <v>198</v>
      </c>
      <c r="F23" s="269">
        <f t="shared" si="12"/>
        <v>8.4700000000000006</v>
      </c>
      <c r="G23" s="270">
        <f t="shared" si="13"/>
        <v>14.700000000000001</v>
      </c>
      <c r="H23" s="268">
        <f t="shared" si="14"/>
        <v>195</v>
      </c>
      <c r="I23" s="269">
        <f t="shared" si="15"/>
        <v>8.23</v>
      </c>
      <c r="J23" s="270">
        <f t="shared" si="16"/>
        <v>14.8</v>
      </c>
      <c r="K23" s="268">
        <f t="shared" si="17"/>
        <v>191</v>
      </c>
      <c r="L23" s="269">
        <f t="shared" si="18"/>
        <v>8.33</v>
      </c>
    </row>
    <row r="24" spans="2:14" s="31" customFormat="1" ht="26.1" customHeight="1">
      <c r="B24" s="664" t="s">
        <v>36</v>
      </c>
      <c r="C24" s="665"/>
      <c r="D24" s="262">
        <f>MAX(D14:D23)</f>
        <v>14.799999999999999</v>
      </c>
      <c r="E24" s="263">
        <f t="shared" ref="E24:F24" si="19">MAX(E14:E23)</f>
        <v>199</v>
      </c>
      <c r="F24" s="264">
        <f t="shared" si="19"/>
        <v>8.51</v>
      </c>
      <c r="G24" s="262">
        <f>MAX(G14:G23)</f>
        <v>14.8</v>
      </c>
      <c r="H24" s="263">
        <f t="shared" ref="H24:I24" si="20">MAX(H14:H23)</f>
        <v>200</v>
      </c>
      <c r="I24" s="264">
        <f t="shared" si="20"/>
        <v>8.42</v>
      </c>
      <c r="J24" s="262">
        <f>MAX(J14:J23)</f>
        <v>15</v>
      </c>
      <c r="K24" s="263">
        <f t="shared" ref="K24:L24" si="21">MAX(K14:K23)</f>
        <v>196</v>
      </c>
      <c r="L24" s="264">
        <f t="shared" si="21"/>
        <v>8.52</v>
      </c>
    </row>
    <row r="25" spans="2:14" s="31" customFormat="1" ht="26.1" customHeight="1">
      <c r="B25" s="664" t="s">
        <v>37</v>
      </c>
      <c r="C25" s="665"/>
      <c r="D25" s="262">
        <f>MIN(D14:D23)</f>
        <v>14.7</v>
      </c>
      <c r="E25" s="263">
        <f t="shared" ref="E25:F25" si="22">MIN(E14:E23)</f>
        <v>194</v>
      </c>
      <c r="F25" s="264">
        <f t="shared" si="22"/>
        <v>8.2800000000000011</v>
      </c>
      <c r="G25" s="262">
        <f>MIN(G14:G23)</f>
        <v>14.700000000000001</v>
      </c>
      <c r="H25" s="263">
        <f t="shared" ref="H25:I25" si="23">MIN(H14:H23)</f>
        <v>194</v>
      </c>
      <c r="I25" s="264">
        <f t="shared" si="23"/>
        <v>8.2000000000000011</v>
      </c>
      <c r="J25" s="262">
        <f>MIN(J14:J23)</f>
        <v>14.8</v>
      </c>
      <c r="K25" s="263">
        <f t="shared" ref="K25:L25" si="24">MIN(K14:K23)</f>
        <v>191</v>
      </c>
      <c r="L25" s="264">
        <f t="shared" si="24"/>
        <v>8.2800000000000011</v>
      </c>
    </row>
    <row r="26" spans="2:14" s="31" customFormat="1" ht="26.1" customHeight="1" thickBot="1">
      <c r="B26" s="658" t="s">
        <v>90</v>
      </c>
      <c r="C26" s="659"/>
      <c r="D26" s="276">
        <f>D24-D25</f>
        <v>9.9999999999999645E-2</v>
      </c>
      <c r="E26" s="277">
        <f t="shared" ref="E26:F26" si="25">E24-E25</f>
        <v>5</v>
      </c>
      <c r="F26" s="278">
        <f t="shared" si="25"/>
        <v>0.22999999999999865</v>
      </c>
      <c r="G26" s="276">
        <f>G24-G25</f>
        <v>9.9999999999999645E-2</v>
      </c>
      <c r="H26" s="277">
        <f t="shared" ref="H26:I26" si="26">H24-H25</f>
        <v>6</v>
      </c>
      <c r="I26" s="278">
        <f t="shared" si="26"/>
        <v>0.21999999999999886</v>
      </c>
      <c r="J26" s="276">
        <f>J24-J25</f>
        <v>0.19999999999999929</v>
      </c>
      <c r="K26" s="277">
        <f t="shared" ref="K26:L26" si="27">K24-K25</f>
        <v>5</v>
      </c>
      <c r="L26" s="278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660" t="s">
        <v>85</v>
      </c>
      <c r="E29" s="663"/>
      <c r="F29" s="661"/>
      <c r="H29" s="660" t="s">
        <v>155</v>
      </c>
      <c r="I29" s="663"/>
      <c r="J29" s="661"/>
      <c r="L29" s="660" t="s">
        <v>156</v>
      </c>
      <c r="M29" s="663"/>
      <c r="N29" s="661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2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 지정된 범위</vt:lpstr>
      </vt:variant>
      <vt:variant>
        <vt:i4>16</vt:i4>
      </vt:variant>
    </vt:vector>
  </HeadingPairs>
  <TitlesOfParts>
    <vt:vector size="37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2</vt:lpstr>
      <vt:lpstr>3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2024-03-10T22:21:38Z</dcterms:modified>
</cp:coreProperties>
</file>