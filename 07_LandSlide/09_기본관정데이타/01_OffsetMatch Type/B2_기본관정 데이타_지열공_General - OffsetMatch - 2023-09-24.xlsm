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A68CD03-6722-4664-AFA3-5990634BE1C1}" xr6:coauthVersionLast="47" xr6:coauthVersionMax="47" xr10:uidLastSave="{00000000-0000-0000-0000-000000000000}"/>
  <bookViews>
    <workbookView xWindow="1665" yWindow="705" windowWidth="28560" windowHeight="19800" tabRatio="589" activeTab="1" xr2:uid="{00000000-000D-0000-FFFF-FFFF00000000}"/>
  </bookViews>
  <sheets>
    <sheet name="AREA" sheetId="191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AreaRange">AREA!$H$2:$H$7</definedName>
    <definedName name="baseTemp" localSheetId="16">'Q1'!$C$7</definedName>
    <definedName name="baseTemp" localSheetId="17">'Q2'!$C$7</definedName>
    <definedName name="baseTemp" localSheetId="18">'Q3'!$C$7</definedName>
    <definedName name="CityRange">OFFSET(AREA!$B$2, MATCH(All!$S$5, tblArea[Area], 0)-1, 1, COUNTIF(tblArea[Area], All!$S$5), 1)</definedName>
    <definedName name="ECityRange">OFFSET(AREA!$B$2, MATCH(All!$S$5, tblArea[Area], 0)-1, 2, COUNTIF(tblArea[Area], All!$S$5), 1)</definedName>
    <definedName name="KorEngMatchRange">tblArea[[City]:[Name]]</definedName>
    <definedName name="list1">OFFSET(AREA!$B$2,MATCH(AREA!XFB1048535,tblArea[[#This Row],[Area]],0)-1,1,COUNTIF(tblArea[[#This Row],[Area]],AREA!XFB1048535),1)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pivotCaches>
    <pivotCache cacheId="8" r:id="rId20"/>
  </pivotCaches>
  <fileRecoveryPr autoRecover="0"/>
</workbook>
</file>

<file path=xl/calcChain.xml><?xml version="1.0" encoding="utf-8"?>
<calcChain xmlns="http://schemas.openxmlformats.org/spreadsheetml/2006/main">
  <c r="T6" i="54" l="1"/>
  <c r="G13" i="55" l="1"/>
  <c r="F13" i="55"/>
  <c r="E13" i="55"/>
  <c r="C15" i="55"/>
  <c r="D13" i="55"/>
  <c r="B2" i="23"/>
  <c r="F4" i="52" l="1"/>
  <c r="E4" i="52"/>
  <c r="O4" i="52"/>
  <c r="E7" i="55" l="1"/>
  <c r="E17" i="55"/>
  <c r="C19" i="55"/>
  <c r="C18" i="55"/>
  <c r="C17" i="55"/>
  <c r="C16" i="55"/>
  <c r="C8" i="55"/>
  <c r="C7" i="55"/>
  <c r="C6" i="55"/>
  <c r="C5" i="55"/>
  <c r="C4" i="55"/>
  <c r="C3" i="55"/>
  <c r="C2" i="55"/>
  <c r="M29" i="175" l="1"/>
  <c r="M28" i="175"/>
  <c r="H9" i="55"/>
  <c r="F21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/>
  <c r="E24" i="100" l="1"/>
  <c r="E26" i="100" s="1"/>
  <c r="F24" i="100"/>
  <c r="D25" i="100"/>
  <c r="D24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T5" authorId="0" shapeId="0" xr:uid="{E1C4D13C-1AB1-441E-8338-A39657849C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=OFFSET(AREA!$B$2, MATCH(All!$S$5, tblArea[Area], 0)-1, 1, COUNTIF(tblArea[Area], All!$S$5), 1)
</t>
        </r>
      </text>
    </comment>
    <comment ref="S6" authorId="0" shapeId="0" xr:uid="{D2DA5AB2-95DA-4483-B5B5-4E461E1D9B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T6" authorId="0" shapeId="0" xr:uid="{97D2069E-B419-47F3-B2D3-E1E4EF81B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지역코드
</t>
        </r>
        <r>
          <rPr>
            <sz val="9"/>
            <color indexed="81"/>
            <rFont val="Tahoma"/>
            <family val="2"/>
          </rPr>
          <t xml:space="preserve">=VLOOKUP(T5, KorEngMatchRange, 2,0)
</t>
        </r>
      </text>
    </comment>
    <comment ref="Q10" authorId="0" shapeId="0" xr:uid="{78FD72F6-58F6-4828-902A-4C69D24537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=OFFSET ($</t>
        </r>
        <r>
          <rPr>
            <sz val="9"/>
            <color indexed="81"/>
            <rFont val="돋움"/>
            <family val="3"/>
            <charset val="129"/>
          </rPr>
          <t>시작셀</t>
        </r>
        <r>
          <rPr>
            <sz val="9"/>
            <color indexed="81"/>
            <rFont val="Tahoma"/>
            <family val="2"/>
          </rPr>
          <t>, MATCH(</t>
        </r>
        <r>
          <rPr>
            <sz val="9"/>
            <color indexed="81"/>
            <rFont val="돋움"/>
            <family val="3"/>
            <charset val="129"/>
          </rPr>
          <t>참조값</t>
        </r>
        <r>
          <rPr>
            <sz val="9"/>
            <color indexed="81"/>
            <rFont val="Tahoma"/>
            <family val="2"/>
          </rPr>
          <t>, $</t>
        </r>
        <r>
          <rPr>
            <sz val="9"/>
            <color indexed="81"/>
            <rFont val="돋움"/>
            <family val="3"/>
            <charset val="129"/>
          </rPr>
          <t>참조범위</t>
        </r>
        <r>
          <rPr>
            <sz val="9"/>
            <color indexed="81"/>
            <rFont val="Tahoma"/>
            <family val="2"/>
          </rPr>
          <t>,0)-1, 1, COUNTIF($</t>
        </r>
        <r>
          <rPr>
            <sz val="9"/>
            <color indexed="81"/>
            <rFont val="돋움"/>
            <family val="3"/>
            <charset val="129"/>
          </rPr>
          <t>참조범위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참조셀</t>
        </r>
        <r>
          <rPr>
            <sz val="9"/>
            <color indexed="81"/>
            <rFont val="Tahoma"/>
            <family val="2"/>
          </rPr>
          <t xml:space="preserve">), 1)
=OFFSET(AREA!$B$2, MATCH(All!$S$5, tblArea[Area], 0)-1, 1, COUNTIF(tblArea[Area], All!$S$5), 1)  --&gt;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CityRange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이름정의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<sst xmlns="http://schemas.openxmlformats.org/spreadsheetml/2006/main" count="1146" uniqueCount="767">
  <si>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</si>
  <si>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</si>
  <si>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</si>
  <si>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</si>
  <si>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</si>
  <si>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</si>
  <si>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</si>
  <si>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</si>
  <si>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</si>
  <si>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</si>
  <si>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</si>
  <si>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</si>
  <si>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</si>
  <si>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</si>
  <si>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</si>
  <si>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</si>
  <si>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</si>
  <si>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</si>
  <si>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</si>
  <si>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</si>
  <si>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</si>
  <si>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</si>
  <si>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</si>
  <si>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</si>
  <si>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</si>
  <si>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</si>
  <si>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</si>
  <si>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</si>
  <si>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</si>
  <si>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</si>
  <si>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</si>
  <si>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</si>
  <si>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</si>
  <si>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</si>
  <si>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</si>
  <si>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</si>
  <si>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</si>
  <si>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</si>
  <si>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</si>
  <si>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</si>
  <si>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</si>
  <si>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</si>
  <si>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</si>
  <si>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</si>
  <si>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</si>
  <si>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</si>
  <si>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</si>
  <si>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</si>
  <si>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</si>
  <si>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</si>
  <si>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</si>
  <si>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</si>
  <si>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</si>
  <si>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</si>
  <si>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</si>
  <si>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</si>
  <si>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</si>
  <si>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</si>
  <si>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</si>
  <si>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</si>
  <si>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</si>
  <si>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</si>
  <si>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</si>
  <si>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</si>
  <si>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</si>
  <si>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</si>
  <si>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</si>
  <si>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</si>
  <si>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</si>
  <si>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</si>
  <si>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</si>
  <si>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</si>
  <si>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</si>
  <si>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</si>
  <si>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</si>
  <si>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</si>
  <si>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</si>
  <si>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</si>
  <si>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</si>
  <si>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</si>
  <si>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</si>
  <si>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</si>
  <si>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</si>
  <si>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</si>
  <si>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</si>
  <si>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</si>
  <si>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</si>
  <si>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</si>
  <si>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</si>
  <si>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</si>
  <si>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</si>
  <si>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</si>
  <si>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</si>
  <si>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</si>
  <si>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</si>
  <si>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</si>
  <si>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</si>
  <si>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</si>
  <si>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</si>
  <si>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</si>
  <si>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</si>
  <si>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</si>
  <si>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</si>
  <si>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</si>
  <si>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</si>
  <si>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</si>
  <si>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</si>
  <si>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</si>
  <si>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</si>
  <si>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</si>
  <si>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</si>
  <si>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</si>
  <si>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</si>
  <si>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</si>
  <si>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</si>
  <si>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</si>
  <si>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</si>
  <si>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</si>
  <si>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</si>
  <si>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</si>
  <si>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</si>
  <si>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</si>
  <si>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</si>
  <si>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</si>
  <si>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</si>
  <si>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</si>
  <si>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</si>
  <si>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</si>
  <si>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</si>
  <si>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</si>
  <si>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</si>
  <si>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</si>
  <si>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</si>
  <si>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</si>
  <si>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</si>
  <si>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</si>
  <si>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</si>
  <si>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</si>
  <si>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</si>
  <si>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</si>
  <si>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</si>
  <si>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</si>
  <si>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</si>
  <si>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</si>
  <si>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</si>
  <si>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</si>
  <si>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</si>
  <si>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</si>
  <si>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</si>
  <si>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</si>
  <si>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</si>
  <si>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</si>
  <si>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</si>
  <si>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</si>
  <si>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</si>
  <si>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</si>
  <si>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</si>
  <si>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</si>
  <si>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</si>
  <si>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</si>
  <si>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</si>
  <si>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</si>
  <si>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</si>
  <si>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</si>
  <si>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</si>
  <si>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</si>
  <si>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</si>
  <si>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</si>
  <si>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</si>
  <si>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</si>
  <si>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</si>
  <si>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</si>
  <si>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</si>
  <si>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</si>
  <si>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</si>
  <si>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</si>
  <si>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</si>
  <si>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</si>
  <si>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</si>
  <si>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</si>
  <si>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</si>
  <si>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</si>
  <si>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</si>
  <si>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</si>
  <si>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</si>
  <si>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</si>
  <si>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</si>
  <si>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</si>
  <si>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</si>
  <si>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</si>
  <si>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</si>
  <si>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</si>
  <si>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</si>
  <si>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</si>
  <si>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</si>
  <si>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</si>
  <si>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</si>
  <si>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</si>
  <si>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</si>
  <si>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</si>
  <si>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</si>
  <si>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</si>
  <si>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</si>
  <si>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</si>
  <si>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</si>
  <si>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</si>
  <si>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</si>
  <si>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</si>
  <si>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</si>
  <si>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</si>
  <si>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</si>
  <si>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</si>
  <si>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</si>
  <si>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</si>
  <si>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</si>
  <si>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</si>
  <si>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</si>
  <si>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</si>
  <si>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</si>
  <si>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</si>
  <si>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</si>
  <si>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</si>
  <si>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</si>
  <si>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</si>
  <si>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</si>
  <si>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</si>
  <si>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</si>
  <si>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</si>
  <si>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</si>
  <si>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</si>
  <si>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</si>
  <si>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</si>
  <si>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</si>
  <si>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</si>
  <si>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</si>
  <si>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</si>
  <si>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</si>
  <si>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</si>
  <si>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</si>
  <si>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</si>
  <si>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</si>
  <si>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</si>
  <si>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</si>
  <si>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</si>
  <si>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</si>
  <si>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</si>
  <si>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</si>
  <si>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</si>
  <si>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</si>
  <si>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</si>
  <si>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</si>
  <si>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</si>
  <si>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</si>
  <si>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</si>
  <si>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</si>
  <si>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</si>
  <si>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</si>
  <si>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</si>
  <si>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</si>
  <si>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</si>
  <si>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</si>
  <si>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</si>
  <si>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</si>
  <si>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</si>
  <si>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</si>
  <si>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</si>
  <si>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</si>
  <si>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</si>
  <si>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</si>
  <si>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</si>
  <si>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</si>
  <si>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</si>
  <si>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</si>
  <si>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</si>
  <si>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</si>
  <si>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</si>
  <si>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</si>
  <si>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</si>
  <si>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</si>
  <si>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</si>
  <si>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</si>
  <si>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</si>
  <si>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</si>
  <si>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</si>
  <si>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</si>
  <si>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</si>
  <si>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</si>
  <si>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</si>
  <si>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</si>
  <si>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</si>
  <si>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</si>
  <si>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</si>
  <si>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</si>
  <si>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</si>
  <si>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</si>
  <si>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</si>
  <si>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</si>
  <si>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</si>
  <si>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</si>
  <si>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</si>
  <si>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</si>
  <si>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</si>
  <si>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</si>
  <si>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</si>
  <si>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</si>
  <si>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</si>
  <si>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</si>
  <si>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</si>
  <si>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</si>
  <si>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</si>
  <si>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</si>
  <si>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</si>
  <si>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</si>
  <si>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</si>
  <si>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</si>
  <si>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</si>
  <si>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</si>
  <si>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</si>
  <si>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</si>
  <si>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</si>
  <si>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</si>
  <si>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</si>
  <si>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</si>
  <si>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</si>
  <si>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</si>
  <si>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</si>
  <si>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</si>
  <si>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</si>
  <si>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</si>
  <si>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</si>
  <si>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</si>
  <si>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</si>
  <si>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</si>
  <si>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</si>
  <si>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</si>
  <si>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</si>
  <si>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</si>
  <si>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</si>
  <si>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</si>
  <si>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</si>
  <si>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</si>
  <si>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</si>
  <si>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</si>
  <si>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</si>
  <si>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</si>
  <si>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</si>
  <si>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</si>
  <si>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</si>
  <si>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</si>
  <si>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</si>
  <si>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</si>
  <si>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</si>
  <si>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</si>
  <si>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</si>
  <si>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</si>
  <si>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</si>
  <si>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</si>
  <si>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</si>
  <si>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</si>
  <si>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</si>
  <si>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</si>
  <si>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</si>
  <si>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</si>
  <si>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</si>
  <si>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</si>
  <si>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</si>
  <si>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</si>
  <si>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</si>
  <si>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</si>
  <si>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</si>
  <si>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</si>
  <si>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</si>
  <si>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</si>
  <si>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</si>
  <si>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</si>
  <si>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</si>
  <si>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</si>
  <si>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</si>
  <si>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</si>
  <si>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</si>
  <si>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</si>
  <si>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</si>
  <si>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</si>
  <si>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</si>
  <si>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</si>
  <si>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</si>
  <si>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</si>
  <si>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</si>
  <si>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</si>
  <si>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</si>
  <si>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</si>
  <si>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</si>
  <si>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</si>
  <si>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</si>
  <si>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</si>
  <si>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</si>
  <si>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84.9 m</t>
  </si>
  <si>
    <t>129 m</t>
  </si>
  <si>
    <t>110 m</t>
  </si>
  <si>
    <t>21.5 m</t>
  </si>
  <si>
    <t>78.9 m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</si>
  <si>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</si>
  <si>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</si>
  <si>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</si>
  <si>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</si>
  <si>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</si>
  <si>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</si>
  <si>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</si>
  <si>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</si>
  <si>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</si>
  <si>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</si>
  <si>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금강/금강공주</t>
  </si>
  <si>
    <t>중간정도</t>
    <phoneticPr fontId="7" type="noConversion"/>
  </si>
  <si>
    <t>Clay Loam</t>
  </si>
  <si>
    <t xml:space="preserve">04_충남 부여군 규암면 수목리 603-6 </t>
    <phoneticPr fontId="7" type="noConversion"/>
  </si>
  <si>
    <t>04_충남 부여군 규암면 수목리 603-6</t>
    <phoneticPr fontId="7" type="noConversion"/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</si>
  <si>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</si>
  <si>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</si>
  <si>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</si>
  <si>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</si>
  <si>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</si>
  <si>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</si>
  <si>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</si>
  <si>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</si>
  <si>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</si>
  <si>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</si>
  <si>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</si>
  <si>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</si>
  <si>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</si>
  <si>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</si>
  <si>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</si>
  <si>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</si>
  <si>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</si>
  <si>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</si>
  <si>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</si>
  <si>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</si>
  <si>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</si>
  <si>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</si>
  <si>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</si>
  <si>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</si>
  <si>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</si>
  <si>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</si>
  <si>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</si>
  <si>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</si>
  <si>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</si>
  <si>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</si>
  <si>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</si>
  <si>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</si>
  <si>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</si>
  <si>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</si>
  <si>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</si>
  <si>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</si>
  <si>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</si>
  <si>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</si>
  <si>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</si>
  <si>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</si>
  <si>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</si>
  <si>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</si>
  <si>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</si>
  <si>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</si>
  <si>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</si>
  <si>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</si>
  <si>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</si>
  <si>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</si>
  <si>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</si>
  <si>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</si>
  <si>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</si>
  <si>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</si>
  <si>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</si>
  <si>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</si>
  <si>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</si>
  <si>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</si>
  <si>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</si>
  <si>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</si>
  <si>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</si>
  <si>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</si>
  <si>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</si>
  <si>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</si>
  <si>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</si>
  <si>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</si>
  <si>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</si>
  <si>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</si>
  <si>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</si>
  <si>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</si>
  <si>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</si>
  <si>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</si>
  <si>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</si>
  <si>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</si>
  <si>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</si>
  <si>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</si>
  <si>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</si>
  <si>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</si>
  <si>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</si>
  <si>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</si>
  <si>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</si>
  <si>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</si>
  <si>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</si>
  <si>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</si>
  <si>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</si>
  <si>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</si>
  <si>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</si>
  <si>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</si>
  <si>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</si>
  <si>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</si>
  <si>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</si>
  <si>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</si>
  <si>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</si>
  <si>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</si>
  <si>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</si>
  <si>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</si>
  <si>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</si>
  <si>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</si>
  <si>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</si>
  <si>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</si>
  <si>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</si>
  <si>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</si>
  <si>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</si>
  <si>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</si>
  <si>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</si>
  <si>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</si>
  <si>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</si>
  <si>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</si>
  <si>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</si>
  <si>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</si>
  <si>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</si>
  <si>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</si>
  <si>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</si>
  <si>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</si>
  <si>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</si>
  <si>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</si>
  <si>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</si>
  <si>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</si>
  <si>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</si>
  <si>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</si>
  <si>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</si>
  <si>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</si>
  <si>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</si>
  <si>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</si>
  <si>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</si>
  <si>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</si>
  <si>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</si>
  <si>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</si>
  <si>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</si>
  <si>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</si>
  <si>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</si>
  <si>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</si>
  <si>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</si>
  <si>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</si>
  <si>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</si>
  <si>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</si>
  <si>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</si>
  <si>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</si>
  <si>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</si>
  <si>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</si>
  <si>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</si>
  <si>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</si>
  <si>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</si>
  <si>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</si>
  <si>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</si>
  <si>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</si>
  <si>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</si>
  <si>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</si>
  <si>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</si>
  <si>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</si>
  <si>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</si>
  <si>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</si>
  <si>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</si>
  <si>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</si>
  <si>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</si>
  <si>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</si>
  <si>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</si>
  <si>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</si>
  <si>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</si>
  <si>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</si>
  <si>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</si>
  <si>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</si>
  <si>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</si>
  <si>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</si>
  <si>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</si>
  <si>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</si>
  <si>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</si>
  <si>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</si>
  <si>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</si>
  <si>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</si>
  <si>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</si>
  <si>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</si>
  <si>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</si>
  <si>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</si>
  <si>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</si>
  <si>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</si>
  <si>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</si>
  <si>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</si>
  <si>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</si>
  <si>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</si>
  <si>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</si>
  <si>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</si>
  <si>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</si>
  <si>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</si>
  <si>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</si>
  <si>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</si>
  <si>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</si>
  <si>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</si>
  <si>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</si>
  <si>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</si>
  <si>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</si>
  <si>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</si>
  <si>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</si>
  <si>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</si>
  <si>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</si>
  <si>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</si>
  <si>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</si>
  <si>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</si>
  <si>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</si>
  <si>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</si>
  <si>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</si>
  <si>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</si>
  <si>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</si>
  <si>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</si>
  <si>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</si>
  <si>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</si>
  <si>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</si>
  <si>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</si>
  <si>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</si>
  <si>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</si>
  <si>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</si>
  <si>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</si>
  <si>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</si>
  <si>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</si>
  <si>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</si>
  <si>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</si>
  <si>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</si>
  <si>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</si>
  <si>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</si>
  <si>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</si>
  <si>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</si>
  <si>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</si>
  <si>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</si>
  <si>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</si>
  <si>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</si>
  <si>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</si>
  <si>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</si>
  <si>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</si>
  <si>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</si>
  <si>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</si>
  <si>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</si>
  <si>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</si>
  <si>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대전</t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</si>
  <si>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</si>
  <si>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</si>
  <si>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</si>
  <si>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</si>
  <si>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</si>
  <si>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</si>
  <si>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SkinFactor</t>
    <phoneticPr fontId="7" type="noConversion"/>
  </si>
  <si>
    <t>City</t>
    <phoneticPr fontId="7" type="noConversion"/>
  </si>
  <si>
    <t>Name</t>
    <phoneticPr fontId="7" type="noConversion"/>
  </si>
  <si>
    <t>강원도</t>
  </si>
  <si>
    <t>경상도</t>
  </si>
  <si>
    <t>서울경기</t>
  </si>
  <si>
    <t>전라도</t>
  </si>
  <si>
    <t>제주도</t>
  </si>
  <si>
    <t>강릉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</si>
  <si>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</si>
  <si>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</si>
  <si>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</si>
  <si>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</si>
  <si>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</si>
  <si>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</si>
  <si>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</si>
  <si>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</si>
  <si>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</si>
  <si>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</si>
  <si>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</si>
  <si>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</si>
  <si>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</si>
  <si>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</si>
  <si>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거제</t>
  </si>
  <si>
    <t>거창</t>
  </si>
  <si>
    <t>경주시</t>
  </si>
  <si>
    <t>구미</t>
  </si>
  <si>
    <t>김해시</t>
  </si>
  <si>
    <t>남해</t>
  </si>
  <si>
    <t>대구</t>
  </si>
  <si>
    <t>대구(기)</t>
  </si>
  <si>
    <t>문경</t>
  </si>
  <si>
    <t>밀양</t>
  </si>
  <si>
    <t>봉화</t>
  </si>
  <si>
    <t>부산</t>
  </si>
  <si>
    <t>북창원</t>
  </si>
  <si>
    <t>산청</t>
  </si>
  <si>
    <t>상주</t>
  </si>
  <si>
    <t>안동</t>
  </si>
  <si>
    <t>양산시</t>
  </si>
  <si>
    <t>영덕</t>
  </si>
  <si>
    <t>영주</t>
  </si>
  <si>
    <t>영천</t>
  </si>
  <si>
    <t>울릉도</t>
  </si>
  <si>
    <t>울산</t>
  </si>
  <si>
    <t>울진</t>
  </si>
  <si>
    <t>의령군</t>
  </si>
  <si>
    <t>의성</t>
  </si>
  <si>
    <t>진주</t>
  </si>
  <si>
    <t>창원</t>
  </si>
  <si>
    <t>청송군</t>
  </si>
  <si>
    <t>통영</t>
  </si>
  <si>
    <t>포항</t>
  </si>
  <si>
    <t>함양군</t>
  </si>
  <si>
    <t>합천</t>
  </si>
  <si>
    <t>강화</t>
  </si>
  <si>
    <t>관악산</t>
  </si>
  <si>
    <t>동두천</t>
  </si>
  <si>
    <t>백령도</t>
  </si>
  <si>
    <t>서울</t>
  </si>
  <si>
    <t>수원</t>
  </si>
  <si>
    <t>양평</t>
  </si>
  <si>
    <t>이천</t>
  </si>
  <si>
    <t>인천</t>
  </si>
  <si>
    <t>파주</t>
  </si>
  <si>
    <t>강진군</t>
  </si>
  <si>
    <t>고창</t>
  </si>
  <si>
    <t>고창군</t>
  </si>
  <si>
    <t>고흥</t>
  </si>
  <si>
    <t>광양시</t>
  </si>
  <si>
    <t>광주</t>
  </si>
  <si>
    <t>군산</t>
  </si>
  <si>
    <t>남원</t>
  </si>
  <si>
    <t>목포</t>
  </si>
  <si>
    <t>무안</t>
  </si>
  <si>
    <t>보성군</t>
  </si>
  <si>
    <t>부안</t>
  </si>
  <si>
    <t>순창군</t>
  </si>
  <si>
    <t>순천</t>
  </si>
  <si>
    <t>여수</t>
  </si>
  <si>
    <t>영광군</t>
  </si>
  <si>
    <t>완도</t>
  </si>
  <si>
    <t>임실</t>
  </si>
  <si>
    <t>장수</t>
  </si>
  <si>
    <t>장흥</t>
  </si>
  <si>
    <t>전주</t>
  </si>
  <si>
    <t>정읍</t>
  </si>
  <si>
    <t>주암</t>
  </si>
  <si>
    <t>진도(첨철산)</t>
  </si>
  <si>
    <t>진도군</t>
  </si>
  <si>
    <t>해남</t>
  </si>
  <si>
    <t>흑산도</t>
  </si>
  <si>
    <t>고산</t>
  </si>
  <si>
    <t>서귀포</t>
  </si>
  <si>
    <t>성산</t>
  </si>
  <si>
    <t>성산포</t>
  </si>
  <si>
    <t>제주</t>
  </si>
  <si>
    <t>금산</t>
  </si>
  <si>
    <t>보령</t>
  </si>
  <si>
    <t>보은</t>
  </si>
  <si>
    <t>부여</t>
  </si>
  <si>
    <t>서산</t>
  </si>
  <si>
    <t>세종</t>
  </si>
  <si>
    <t>제천</t>
  </si>
  <si>
    <t>천안</t>
  </si>
  <si>
    <t>청주</t>
  </si>
  <si>
    <t>추풍령</t>
  </si>
  <si>
    <t>충주</t>
  </si>
  <si>
    <t>홍성</t>
  </si>
  <si>
    <t>성산1</t>
  </si>
  <si>
    <t>성산1</t>
    <phoneticPr fontId="7" type="noConversion"/>
  </si>
  <si>
    <t>Area</t>
  </si>
  <si>
    <t>City</t>
  </si>
  <si>
    <t>2023/09/24일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</si>
</sst>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\ &quot;m&quot;"/>
    <numFmt numFmtId="207" formatCode="0\ &quot;mm&quot;"/>
    <numFmt numFmtId="208" formatCode="0\ &quot;㎥/일&quot;"/>
    <numFmt numFmtId="209" formatCode="0\ &quot;Hp&quot;"/>
  </numFmts>
  <fonts count="6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9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34" fillId="0" borderId="103" xfId="0" applyFont="1" applyBorder="1" applyAlignment="1">
      <alignment horizontal="center" vertical="center"/>
    </xf>
    <xf numFmtId="0" fontId="34" fillId="0" borderId="104" xfId="0" applyFont="1" applyBorder="1" applyAlignment="1">
      <alignment horizontal="center" vertical="center"/>
    </xf>
    <xf numFmtId="17" fontId="34" fillId="0" borderId="104" xfId="0" applyNumberFormat="1" applyFont="1" applyBorder="1" applyAlignment="1">
      <alignment horizontal="center" vertical="center"/>
    </xf>
    <xf numFmtId="0" fontId="15" fillId="0" borderId="104" xfId="0" applyFont="1" applyBorder="1" applyAlignment="1">
      <alignment horizontal="center" vertical="center" wrapText="1"/>
    </xf>
    <xf numFmtId="188" fontId="15" fillId="0" borderId="104" xfId="0" applyNumberFormat="1" applyFont="1" applyBorder="1" applyAlignment="1">
      <alignment horizontal="center" vertical="center"/>
    </xf>
    <xf numFmtId="41" fontId="34" fillId="0" borderId="104" xfId="20" applyFont="1" applyBorder="1">
      <alignment vertical="center"/>
    </xf>
    <xf numFmtId="0" fontId="34" fillId="0" borderId="10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6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206" fontId="15" fillId="0" borderId="31" xfId="18" applyNumberFormat="1" applyFont="1" applyBorder="1" applyAlignment="1">
      <alignment horizontal="center" vertical="center"/>
    </xf>
    <xf numFmtId="207" fontId="15" fillId="4" borderId="31" xfId="18" applyNumberFormat="1" applyFont="1" applyFill="1" applyBorder="1" applyAlignment="1">
      <alignment horizontal="center" vertical="center"/>
    </xf>
    <xf numFmtId="206" fontId="19" fillId="6" borderId="31" xfId="18" applyNumberFormat="1" applyFont="1" applyFill="1" applyBorder="1" applyAlignment="1">
      <alignment horizontal="center" vertical="center"/>
    </xf>
    <xf numFmtId="206" fontId="19" fillId="25" borderId="31" xfId="18" applyNumberFormat="1" applyFont="1" applyFill="1" applyBorder="1" applyAlignment="1">
      <alignment horizontal="center" vertical="center"/>
    </xf>
    <xf numFmtId="206" fontId="15" fillId="10" borderId="31" xfId="18" applyNumberFormat="1" applyFont="1" applyFill="1" applyBorder="1" applyAlignment="1">
      <alignment horizontal="center" vertical="center"/>
    </xf>
    <xf numFmtId="208" fontId="15" fillId="0" borderId="31" xfId="18" applyNumberFormat="1" applyFont="1" applyBorder="1" applyAlignment="1">
      <alignment horizontal="center" vertical="center"/>
    </xf>
    <xf numFmtId="208" fontId="19" fillId="4" borderId="31" xfId="18" applyNumberFormat="1" applyFont="1" applyFill="1" applyBorder="1" applyAlignment="1">
      <alignment horizontal="center" vertical="center"/>
    </xf>
    <xf numFmtId="209" fontId="15" fillId="0" borderId="31" xfId="18" applyNumberFormat="1" applyFont="1" applyBorder="1" applyAlignment="1">
      <alignment horizontal="center" vertical="center"/>
    </xf>
    <xf numFmtId="207" fontId="15" fillId="0" borderId="32" xfId="18" applyNumberFormat="1" applyFont="1" applyBorder="1" applyAlignment="1">
      <alignment horizontal="center" vertical="center"/>
    </xf>
    <xf numFmtId="206" fontId="15" fillId="25" borderId="87" xfId="18" applyNumberFormat="1" applyFont="1" applyFill="1" applyBorder="1" applyAlignment="1">
      <alignment horizontal="center" vertical="center"/>
    </xf>
    <xf numFmtId="206" fontId="15" fillId="25" borderId="32" xfId="18" applyNumberFormat="1" applyFont="1" applyFill="1" applyBorder="1" applyAlignment="1">
      <alignment horizontal="center" vertical="center"/>
    </xf>
    <xf numFmtId="206" fontId="15" fillId="7" borderId="36" xfId="18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8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9" fillId="31" borderId="64" xfId="0" applyFont="1" applyFill="1" applyBorder="1" applyAlignment="1">
      <alignment horizontal="center" vertical="center"/>
    </xf>
    <xf numFmtId="0" fontId="59" fillId="31" borderId="27" xfId="0" applyFont="1" applyFill="1" applyBorder="1" applyAlignment="1">
      <alignment horizontal="center" vertical="center"/>
    </xf>
    <xf numFmtId="0" fontId="60" fillId="0" borderId="107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97" xfId="0" applyFont="1" applyFill="1" applyBorder="1" applyAlignment="1">
      <alignment horizontal="center" vertical="center"/>
    </xf>
    <xf numFmtId="0" fontId="29" fillId="6" borderId="100" xfId="0" applyFont="1" applyFill="1" applyBorder="1" applyAlignment="1">
      <alignment horizontal="center" vertical="center"/>
    </xf>
    <xf numFmtId="0" fontId="29" fillId="6" borderId="98" xfId="0" applyFont="1" applyFill="1" applyBorder="1" applyAlignment="1">
      <alignment horizontal="center" vertical="center"/>
    </xf>
    <xf numFmtId="0" fontId="29" fillId="6" borderId="101" xfId="0" applyFont="1" applyFill="1" applyBorder="1" applyAlignment="1">
      <alignment horizontal="center" vertical="center"/>
    </xf>
    <xf numFmtId="0" fontId="29" fillId="6" borderId="99" xfId="0" applyFont="1" applyFill="1" applyBorder="1" applyAlignment="1">
      <alignment horizontal="center" vertical="center"/>
    </xf>
    <xf numFmtId="0" fontId="29" fillId="6" borderId="102" xfId="0" applyFont="1" applyFill="1" applyBorder="1" applyAlignment="1">
      <alignment horizontal="center" vertical="center"/>
    </xf>
    <xf numFmtId="0" fontId="29" fillId="6" borderId="98" xfId="0" applyFont="1" applyFill="1" applyBorder="1" applyAlignment="1">
      <alignment horizontal="center" vertical="center" wrapText="1"/>
    </xf>
    <xf numFmtId="0" fontId="29" fillId="6" borderId="101" xfId="0" applyFont="1" applyFill="1" applyBorder="1" applyAlignment="1">
      <alignment horizontal="center" vertical="center" wrapText="1"/>
    </xf>
    <xf numFmtId="41" fontId="29" fillId="6" borderId="98" xfId="20" applyFont="1" applyFill="1" applyBorder="1" applyAlignment="1">
      <alignment horizontal="center" vertical="center" wrapText="1"/>
    </xf>
    <xf numFmtId="41" fontId="29" fillId="6" borderId="101" xfId="20" applyFont="1" applyFill="1" applyBorder="1" applyAlignment="1">
      <alignment horizontal="center" vertical="center" wrapText="1"/>
    </xf>
    <xf numFmtId="0" fontId="44" fillId="6" borderId="98" xfId="21" applyFont="1" applyFill="1" applyBorder="1" applyAlignment="1">
      <alignment horizontal="center" vertical="center" wrapText="1"/>
    </xf>
    <xf numFmtId="0" fontId="44" fillId="6" borderId="101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58" fillId="0" borderId="8" xfId="0" applyFont="1" applyBorder="1" applyAlignment="1">
      <alignment horizontal="center" vertical="center"/>
    </xf>
    <xf numFmtId="0" fontId="5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28" fillId="10" borderId="23" xfId="17" applyNumberFormat="1" applyFont="1" applyFill="1" applyBorder="1" applyAlignment="1">
      <alignment horizontal="center" vertical="center"/>
    </xf>
    <xf numFmtId="0" fontId="28" fillId="10" borderId="22" xfId="17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hwasoo" refreshedDate="45193.497666898147" createdVersion="8" refreshedVersion="8" minRefreshableVersion="3" recordCount="103" xr:uid="{07679835-2508-4F96-9754-C008EBE9820C}">
  <cacheSource type="worksheet">
    <worksheetSource name="tblArea"/>
  </cacheSource>
  <cacheFields count="5">
    <cacheField name="Area" numFmtId="0">
      <sharedItems count="6">
        <s v="서울경기"/>
        <s v="강원도"/>
        <s v="충청도"/>
        <s v="전라도"/>
        <s v="경상도"/>
        <s v="제주도"/>
      </sharedItems>
    </cacheField>
    <cacheField name="City" numFmtId="0">
      <sharedItems count="103">
        <s v="관악산"/>
        <s v="서울"/>
        <s v="강화"/>
        <s v="백령도"/>
        <s v="인천"/>
        <s v="동두천"/>
        <s v="수원"/>
        <s v="양평"/>
        <s v="이천"/>
        <s v="파주"/>
        <s v="강릉"/>
        <s v="대관령"/>
        <s v="동해"/>
        <s v="북강릉"/>
        <s v="북춘천"/>
        <s v="삼척"/>
        <s v="속초"/>
        <s v="영월"/>
        <s v="원주"/>
        <s v="인제"/>
        <s v="정선군"/>
        <s v="철원"/>
        <s v="춘천"/>
        <s v="태백"/>
        <s v="홍천"/>
        <s v="보은"/>
        <s v="제천"/>
        <s v="청주"/>
        <s v="추풍령"/>
        <s v="충주"/>
        <s v="대전"/>
        <s v="세종"/>
        <s v="금산"/>
        <s v="보령"/>
        <s v="부여"/>
        <s v="서산"/>
        <s v="천안"/>
        <s v="홍성"/>
        <s v="광주"/>
        <s v="고창"/>
        <s v="고창군"/>
        <s v="군산"/>
        <s v="남원"/>
        <s v="부안"/>
        <s v="순창군"/>
        <s v="임실"/>
        <s v="장수"/>
        <s v="전주"/>
        <s v="정읍"/>
        <s v="강진군"/>
        <s v="고흥"/>
        <s v="광양시"/>
        <s v="목포"/>
        <s v="무안"/>
        <s v="보성군"/>
        <s v="순천"/>
        <s v="여수"/>
        <s v="영광군"/>
        <s v="완도"/>
        <s v="장흥"/>
        <s v="주암"/>
        <s v="진도(첨철산)"/>
        <s v="진도군"/>
        <s v="해남"/>
        <s v="흑산도"/>
        <s v="대구"/>
        <s v="대구(기)"/>
        <s v="울산"/>
        <s v="부산"/>
        <s v="경주시"/>
        <s v="구미"/>
        <s v="문경"/>
        <s v="봉화"/>
        <s v="상주"/>
        <s v="안동"/>
        <s v="영덕"/>
        <s v="영주"/>
        <s v="영천"/>
        <s v="울릉도"/>
        <s v="울진"/>
        <s v="의성"/>
        <s v="청송군"/>
        <s v="포항"/>
        <s v="거제"/>
        <s v="거창"/>
        <s v="김해시"/>
        <s v="남해"/>
        <s v="밀양"/>
        <s v="북창원"/>
        <s v="산청"/>
        <s v="양산시"/>
        <s v="의령군"/>
        <s v="진주"/>
        <s v="창원"/>
        <s v="통영"/>
        <s v="함양군"/>
        <s v="합천"/>
        <s v="고산"/>
        <s v="서귀포"/>
        <s v="성산"/>
        <s v="성산1"/>
        <s v="성산포"/>
        <s v="제주"/>
      </sharedItems>
    </cacheField>
    <cacheField name="Name" numFmtId="0">
      <sharedItems/>
    </cacheField>
    <cacheField name="Code" numFmtId="0">
      <sharedItems containsSemiMixedTypes="0" containsString="0" containsNumber="1" containsInteger="1" minValue="90" maxValue="295"/>
    </cacheField>
    <cacheField name="Switch" numFmtId="0">
      <sharedItems containsSemiMixedTypes="0" containsString="0" containsNumber="1" containsInteger="1" minValue="14" maxValue="1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">
  <r>
    <x v="0"/>
    <x v="0"/>
    <s v="GwanAkSan"/>
    <n v="116"/>
    <n v="14"/>
  </r>
  <r>
    <x v="0"/>
    <x v="1"/>
    <s v="Seoul"/>
    <n v="108"/>
    <n v="14"/>
  </r>
  <r>
    <x v="0"/>
    <x v="2"/>
    <s v="GangHwa"/>
    <n v="201"/>
    <n v="22"/>
  </r>
  <r>
    <x v="0"/>
    <x v="3"/>
    <s v="BaengNyeongDo"/>
    <n v="102"/>
    <n v="22"/>
  </r>
  <r>
    <x v="0"/>
    <x v="4"/>
    <s v="InCheon"/>
    <n v="112"/>
    <n v="22"/>
  </r>
  <r>
    <x v="0"/>
    <x v="5"/>
    <s v="DongDuCheon"/>
    <n v="98"/>
    <n v="32"/>
  </r>
  <r>
    <x v="0"/>
    <x v="6"/>
    <s v="SuWon"/>
    <n v="119"/>
    <n v="32"/>
  </r>
  <r>
    <x v="0"/>
    <x v="7"/>
    <s v="YangPyung"/>
    <n v="202"/>
    <n v="32"/>
  </r>
  <r>
    <x v="0"/>
    <x v="8"/>
    <s v="LeeCheon"/>
    <n v="203"/>
    <n v="32"/>
  </r>
  <r>
    <x v="0"/>
    <x v="9"/>
    <s v="PaJu"/>
    <n v="99"/>
    <n v="32"/>
  </r>
  <r>
    <x v="1"/>
    <x v="10"/>
    <s v="GangNeung"/>
    <n v="105"/>
    <n v="38"/>
  </r>
  <r>
    <x v="1"/>
    <x v="11"/>
    <s v="DaeGwallYeong"/>
    <n v="100"/>
    <n v="38"/>
  </r>
  <r>
    <x v="1"/>
    <x v="12"/>
    <s v="DongHae"/>
    <n v="106"/>
    <n v="38"/>
  </r>
  <r>
    <x v="1"/>
    <x v="13"/>
    <s v="NorthGangNeung "/>
    <n v="104"/>
    <n v="38"/>
  </r>
  <r>
    <x v="1"/>
    <x v="14"/>
    <s v="BukChunCheon"/>
    <n v="93"/>
    <n v="38"/>
  </r>
  <r>
    <x v="1"/>
    <x v="15"/>
    <s v="Samcheok"/>
    <n v="214"/>
    <n v="38"/>
  </r>
  <r>
    <x v="1"/>
    <x v="16"/>
    <s v="SokCho"/>
    <n v="90"/>
    <n v="38"/>
  </r>
  <r>
    <x v="1"/>
    <x v="17"/>
    <s v="YoungWol"/>
    <n v="121"/>
    <n v="38"/>
  </r>
  <r>
    <x v="1"/>
    <x v="18"/>
    <s v="WonJu"/>
    <n v="114"/>
    <n v="38"/>
  </r>
  <r>
    <x v="1"/>
    <x v="19"/>
    <s v="InJae"/>
    <n v="211"/>
    <n v="38"/>
  </r>
  <r>
    <x v="1"/>
    <x v="20"/>
    <s v="JungSeonGun"/>
    <n v="217"/>
    <n v="38"/>
  </r>
  <r>
    <x v="1"/>
    <x v="21"/>
    <s v="CheolWon"/>
    <n v="95"/>
    <n v="38"/>
  </r>
  <r>
    <x v="1"/>
    <x v="22"/>
    <s v="ChunCheon"/>
    <n v="101"/>
    <n v="38"/>
  </r>
  <r>
    <x v="1"/>
    <x v="23"/>
    <s v="TaeBaeg"/>
    <n v="216"/>
    <n v="38"/>
  </r>
  <r>
    <x v="1"/>
    <x v="24"/>
    <s v="HongCheon"/>
    <n v="212"/>
    <n v="38"/>
  </r>
  <r>
    <x v="2"/>
    <x v="25"/>
    <s v="BoEun"/>
    <n v="226"/>
    <n v="54"/>
  </r>
  <r>
    <x v="2"/>
    <x v="26"/>
    <s v="JaeCheon"/>
    <n v="221"/>
    <n v="54"/>
  </r>
  <r>
    <x v="2"/>
    <x v="27"/>
    <s v="CheongJu"/>
    <n v="131"/>
    <n v="54"/>
  </r>
  <r>
    <x v="2"/>
    <x v="28"/>
    <s v="ChuPungNyeong"/>
    <n v="135"/>
    <n v="54"/>
  </r>
  <r>
    <x v="2"/>
    <x v="29"/>
    <s v="ChungJu"/>
    <n v="127"/>
    <n v="54"/>
  </r>
  <r>
    <x v="2"/>
    <x v="30"/>
    <s v="DaeJeon"/>
    <n v="133"/>
    <n v="28"/>
  </r>
  <r>
    <x v="2"/>
    <x v="31"/>
    <s v="SeJong"/>
    <n v="239"/>
    <n v="132"/>
  </r>
  <r>
    <x v="2"/>
    <x v="32"/>
    <s v="GeumSan"/>
    <n v="238"/>
    <n v="60"/>
  </r>
  <r>
    <x v="2"/>
    <x v="33"/>
    <s v="BoRyung"/>
    <n v="235"/>
    <n v="60"/>
  </r>
  <r>
    <x v="2"/>
    <x v="34"/>
    <s v="BuYeo"/>
    <n v="236"/>
    <n v="60"/>
  </r>
  <r>
    <x v="2"/>
    <x v="35"/>
    <s v="SeoSan"/>
    <n v="129"/>
    <n v="60"/>
  </r>
  <r>
    <x v="2"/>
    <x v="36"/>
    <s v="CheonAn"/>
    <n v="232"/>
    <n v="60"/>
  </r>
  <r>
    <x v="2"/>
    <x v="37"/>
    <s v="HongSung"/>
    <n v="177"/>
    <n v="60"/>
  </r>
  <r>
    <x v="3"/>
    <x v="38"/>
    <s v="GwangJu"/>
    <n v="156"/>
    <n v="26"/>
  </r>
  <r>
    <x v="3"/>
    <x v="39"/>
    <s v="GoChang"/>
    <n v="172"/>
    <n v="67"/>
  </r>
  <r>
    <x v="3"/>
    <x v="40"/>
    <s v="GochangGun"/>
    <n v="251"/>
    <n v="67"/>
  </r>
  <r>
    <x v="3"/>
    <x v="41"/>
    <s v="GunSan"/>
    <n v="140"/>
    <n v="67"/>
  </r>
  <r>
    <x v="3"/>
    <x v="42"/>
    <s v="NamWon"/>
    <n v="247"/>
    <n v="67"/>
  </r>
  <r>
    <x v="3"/>
    <x v="43"/>
    <s v="BuAn"/>
    <n v="243"/>
    <n v="67"/>
  </r>
  <r>
    <x v="3"/>
    <x v="44"/>
    <s v="SunchangGun"/>
    <n v="254"/>
    <n v="67"/>
  </r>
  <r>
    <x v="3"/>
    <x v="45"/>
    <s v="ImSil"/>
    <n v="244"/>
    <n v="67"/>
  </r>
  <r>
    <x v="3"/>
    <x v="46"/>
    <s v="JangSsoo"/>
    <n v="248"/>
    <n v="67"/>
  </r>
  <r>
    <x v="3"/>
    <x v="47"/>
    <s v="JeonJu"/>
    <n v="146"/>
    <n v="67"/>
  </r>
  <r>
    <x v="3"/>
    <x v="48"/>
    <s v="Jungeup"/>
    <n v="245"/>
    <n v="67"/>
  </r>
  <r>
    <x v="3"/>
    <x v="49"/>
    <s v="Gangjingun"/>
    <n v="259"/>
    <n v="78"/>
  </r>
  <r>
    <x v="3"/>
    <x v="50"/>
    <s v="Goheung"/>
    <n v="262"/>
    <n v="78"/>
  </r>
  <r>
    <x v="3"/>
    <x v="51"/>
    <s v="Gwangyang"/>
    <n v="266"/>
    <n v="78"/>
  </r>
  <r>
    <x v="3"/>
    <x v="52"/>
    <s v="MokPo"/>
    <n v="165"/>
    <n v="78"/>
  </r>
  <r>
    <x v="3"/>
    <x v="53"/>
    <s v="MuAn"/>
    <n v="164"/>
    <n v="78"/>
  </r>
  <r>
    <x v="3"/>
    <x v="54"/>
    <s v="BosungGun"/>
    <n v="258"/>
    <n v="78"/>
  </r>
  <r>
    <x v="3"/>
    <x v="55"/>
    <s v="Suncheon"/>
    <n v="174"/>
    <n v="78"/>
  </r>
  <r>
    <x v="3"/>
    <x v="56"/>
    <s v="Yeosu"/>
    <n v="168"/>
    <n v="78"/>
  </r>
  <r>
    <x v="3"/>
    <x v="57"/>
    <s v="YeongGwangGun"/>
    <n v="252"/>
    <n v="78"/>
  </r>
  <r>
    <x v="3"/>
    <x v="58"/>
    <s v="WanDo"/>
    <n v="170"/>
    <n v="78"/>
  </r>
  <r>
    <x v="3"/>
    <x v="59"/>
    <s v="JangHeung"/>
    <n v="260"/>
    <n v="78"/>
  </r>
  <r>
    <x v="3"/>
    <x v="60"/>
    <s v="JuAm"/>
    <n v="256"/>
    <n v="78"/>
  </r>
  <r>
    <x v="3"/>
    <x v="61"/>
    <s v="JinDo"/>
    <n v="175"/>
    <n v="78"/>
  </r>
  <r>
    <x v="3"/>
    <x v="62"/>
    <s v="JinDoGun"/>
    <n v="268"/>
    <n v="78"/>
  </r>
  <r>
    <x v="3"/>
    <x v="63"/>
    <s v="HaeNam"/>
    <n v="261"/>
    <n v="78"/>
  </r>
  <r>
    <x v="3"/>
    <x v="64"/>
    <s v="HeukSanDo"/>
    <n v="169"/>
    <n v="78"/>
  </r>
  <r>
    <x v="4"/>
    <x v="65"/>
    <s v="DaeGu"/>
    <n v="143"/>
    <n v="19"/>
  </r>
  <r>
    <x v="4"/>
    <x v="66"/>
    <s v="DaeGuGi"/>
    <n v="176"/>
    <n v="19"/>
  </r>
  <r>
    <x v="4"/>
    <x v="67"/>
    <s v="WoolSan"/>
    <n v="152"/>
    <n v="30"/>
  </r>
  <r>
    <x v="4"/>
    <x v="68"/>
    <s v="BuSan"/>
    <n v="159"/>
    <n v="17"/>
  </r>
  <r>
    <x v="4"/>
    <x v="69"/>
    <s v="GyungJuSi"/>
    <n v="283"/>
    <n v="95"/>
  </r>
  <r>
    <x v="4"/>
    <x v="70"/>
    <s v="GuMi"/>
    <n v="279"/>
    <n v="95"/>
  </r>
  <r>
    <x v="4"/>
    <x v="71"/>
    <s v="MunGyung"/>
    <n v="273"/>
    <n v="95"/>
  </r>
  <r>
    <x v="4"/>
    <x v="72"/>
    <s v="BongHwa"/>
    <n v="271"/>
    <n v="95"/>
  </r>
  <r>
    <x v="4"/>
    <x v="73"/>
    <s v="SangJu"/>
    <n v="137"/>
    <n v="95"/>
  </r>
  <r>
    <x v="4"/>
    <x v="74"/>
    <s v="AnDong"/>
    <n v="136"/>
    <n v="95"/>
  </r>
  <r>
    <x v="4"/>
    <x v="75"/>
    <s v="YeongDeok"/>
    <n v="277"/>
    <n v="95"/>
  </r>
  <r>
    <x v="4"/>
    <x v="76"/>
    <s v="YeongJu"/>
    <n v="272"/>
    <n v="95"/>
  </r>
  <r>
    <x v="4"/>
    <x v="77"/>
    <s v="YeongCheon"/>
    <n v="281"/>
    <n v="95"/>
  </r>
  <r>
    <x v="4"/>
    <x v="78"/>
    <s v="UlLeungDo"/>
    <n v="115"/>
    <n v="95"/>
  </r>
  <r>
    <x v="4"/>
    <x v="79"/>
    <s v="UlJin"/>
    <n v="130"/>
    <n v="95"/>
  </r>
  <r>
    <x v="4"/>
    <x v="80"/>
    <s v="UiSeong"/>
    <n v="278"/>
    <n v="95"/>
  </r>
  <r>
    <x v="4"/>
    <x v="81"/>
    <s v="CheongSongGun"/>
    <n v="276"/>
    <n v="95"/>
  </r>
  <r>
    <x v="4"/>
    <x v="82"/>
    <s v="PoHang"/>
    <n v="138"/>
    <n v="95"/>
  </r>
  <r>
    <x v="4"/>
    <x v="83"/>
    <s v="GeoJae"/>
    <n v="294"/>
    <n v="110"/>
  </r>
  <r>
    <x v="4"/>
    <x v="84"/>
    <s v="GeoChang"/>
    <n v="284"/>
    <n v="110"/>
  </r>
  <r>
    <x v="4"/>
    <x v="85"/>
    <s v="KimHaeSi"/>
    <n v="253"/>
    <n v="110"/>
  </r>
  <r>
    <x v="4"/>
    <x v="86"/>
    <s v="NamHae"/>
    <n v="295"/>
    <n v="110"/>
  </r>
  <r>
    <x v="4"/>
    <x v="87"/>
    <s v="MilYang"/>
    <n v="288"/>
    <n v="110"/>
  </r>
  <r>
    <x v="4"/>
    <x v="88"/>
    <s v="BukChangWon"/>
    <n v="255"/>
    <n v="110"/>
  </r>
  <r>
    <x v="4"/>
    <x v="89"/>
    <s v="SanCheong"/>
    <n v="289"/>
    <n v="110"/>
  </r>
  <r>
    <x v="4"/>
    <x v="90"/>
    <s v="YangSan"/>
    <n v="257"/>
    <n v="110"/>
  </r>
  <r>
    <x v="4"/>
    <x v="91"/>
    <s v="UiRyung"/>
    <n v="263"/>
    <n v="110"/>
  </r>
  <r>
    <x v="4"/>
    <x v="92"/>
    <s v="JinJu"/>
    <n v="192"/>
    <n v="110"/>
  </r>
  <r>
    <x v="4"/>
    <x v="93"/>
    <s v="ChangWon"/>
    <n v="155"/>
    <n v="110"/>
  </r>
  <r>
    <x v="4"/>
    <x v="94"/>
    <s v="TongYeong"/>
    <n v="162"/>
    <n v="110"/>
  </r>
  <r>
    <x v="4"/>
    <x v="95"/>
    <s v="HamYang"/>
    <n v="264"/>
    <n v="110"/>
  </r>
  <r>
    <x v="4"/>
    <x v="96"/>
    <s v="HapCheon"/>
    <n v="285"/>
    <n v="110"/>
  </r>
  <r>
    <x v="5"/>
    <x v="97"/>
    <s v="GoSan"/>
    <n v="185"/>
    <n v="125"/>
  </r>
  <r>
    <x v="5"/>
    <x v="98"/>
    <s v="SeoGuiPo"/>
    <n v="189"/>
    <n v="125"/>
  </r>
  <r>
    <x v="5"/>
    <x v="99"/>
    <s v="SungSan"/>
    <n v="188"/>
    <n v="125"/>
  </r>
  <r>
    <x v="5"/>
    <x v="100"/>
    <s v="SungSan2"/>
    <n v="187"/>
    <n v="125"/>
  </r>
  <r>
    <x v="5"/>
    <x v="101"/>
    <s v="SungSanPo"/>
    <n v="265"/>
    <n v="125"/>
  </r>
  <r>
    <x v="5"/>
    <x v="102"/>
    <s v="JaeJu"/>
    <n v="184"/>
    <n v="1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3882D4-82FB-4CB6-B60C-F1BD1C9B19E5}" name="PtCity" cacheId="8" applyNumberFormats="0" applyBorderFormats="0" applyFontFormats="0" applyPatternFormats="0" applyAlignmentFormats="0" applyWidthHeightFormats="1" dataCaption="값" updatedVersion="8" minRefreshableVersion="3" showDrill="0" useAutoFormatting="1" rowGrandTotals="0" colGrandTotals="0" itemPrintTitles="1" createdVersion="8" indent="0" compact="0" compactData="0" multipleFieldFilters="0">
  <location ref="J1:K104" firstHeaderRow="1" firstDataRow="1" firstDataCol="2"/>
  <pivotFields count="5">
    <pivotField axis="axisRow" compact="0" outline="0" showAll="0" defaultSubtotal="0">
      <items count="6">
        <item x="1"/>
        <item x="4"/>
        <item x="0"/>
        <item x="3"/>
        <item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3">
        <item x="10"/>
        <item x="49"/>
        <item x="2"/>
        <item x="83"/>
        <item x="84"/>
        <item x="69"/>
        <item x="97"/>
        <item x="39"/>
        <item x="40"/>
        <item x="50"/>
        <item x="0"/>
        <item x="51"/>
        <item x="38"/>
        <item x="70"/>
        <item x="41"/>
        <item x="32"/>
        <item x="85"/>
        <item x="42"/>
        <item x="86"/>
        <item x="11"/>
        <item x="65"/>
        <item x="66"/>
        <item x="30"/>
        <item x="5"/>
        <item x="12"/>
        <item x="52"/>
        <item x="53"/>
        <item x="71"/>
        <item x="87"/>
        <item x="3"/>
        <item x="33"/>
        <item x="54"/>
        <item x="25"/>
        <item x="72"/>
        <item x="68"/>
        <item x="43"/>
        <item x="34"/>
        <item x="13"/>
        <item x="88"/>
        <item x="14"/>
        <item x="89"/>
        <item x="15"/>
        <item x="73"/>
        <item x="98"/>
        <item x="35"/>
        <item x="1"/>
        <item x="99"/>
        <item x="101"/>
        <item x="31"/>
        <item x="16"/>
        <item x="6"/>
        <item x="44"/>
        <item x="55"/>
        <item x="74"/>
        <item x="90"/>
        <item x="7"/>
        <item x="56"/>
        <item x="57"/>
        <item x="75"/>
        <item x="17"/>
        <item x="76"/>
        <item x="77"/>
        <item x="58"/>
        <item x="78"/>
        <item x="67"/>
        <item x="79"/>
        <item x="18"/>
        <item x="91"/>
        <item x="80"/>
        <item x="8"/>
        <item x="19"/>
        <item x="4"/>
        <item x="45"/>
        <item x="46"/>
        <item x="59"/>
        <item x="47"/>
        <item x="20"/>
        <item x="48"/>
        <item x="102"/>
        <item x="26"/>
        <item x="60"/>
        <item x="61"/>
        <item x="62"/>
        <item x="92"/>
        <item x="93"/>
        <item x="36"/>
        <item x="21"/>
        <item x="81"/>
        <item x="27"/>
        <item x="28"/>
        <item x="22"/>
        <item x="29"/>
        <item x="23"/>
        <item x="94"/>
        <item x="9"/>
        <item x="82"/>
        <item x="95"/>
        <item x="96"/>
        <item x="63"/>
        <item x="37"/>
        <item x="24"/>
        <item x="64"/>
        <item x="10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03">
    <i>
      <x/>
      <x/>
    </i>
    <i r="1">
      <x v="19"/>
    </i>
    <i r="1">
      <x v="24"/>
    </i>
    <i r="1">
      <x v="37"/>
    </i>
    <i r="1">
      <x v="39"/>
    </i>
    <i r="1">
      <x v="41"/>
    </i>
    <i r="1">
      <x v="49"/>
    </i>
    <i r="1">
      <x v="59"/>
    </i>
    <i r="1">
      <x v="66"/>
    </i>
    <i r="1">
      <x v="70"/>
    </i>
    <i r="1">
      <x v="76"/>
    </i>
    <i r="1">
      <x v="86"/>
    </i>
    <i r="1">
      <x v="90"/>
    </i>
    <i r="1">
      <x v="92"/>
    </i>
    <i r="1">
      <x v="100"/>
    </i>
    <i>
      <x v="1"/>
      <x v="3"/>
    </i>
    <i r="1">
      <x v="4"/>
    </i>
    <i r="1">
      <x v="5"/>
    </i>
    <i r="1">
      <x v="13"/>
    </i>
    <i r="1">
      <x v="16"/>
    </i>
    <i r="1">
      <x v="18"/>
    </i>
    <i r="1">
      <x v="20"/>
    </i>
    <i r="1">
      <x v="21"/>
    </i>
    <i r="1">
      <x v="27"/>
    </i>
    <i r="1">
      <x v="28"/>
    </i>
    <i r="1">
      <x v="33"/>
    </i>
    <i r="1">
      <x v="34"/>
    </i>
    <i r="1">
      <x v="38"/>
    </i>
    <i r="1">
      <x v="40"/>
    </i>
    <i r="1">
      <x v="42"/>
    </i>
    <i r="1">
      <x v="53"/>
    </i>
    <i r="1">
      <x v="54"/>
    </i>
    <i r="1">
      <x v="58"/>
    </i>
    <i r="1">
      <x v="60"/>
    </i>
    <i r="1">
      <x v="61"/>
    </i>
    <i r="1">
      <x v="63"/>
    </i>
    <i r="1">
      <x v="64"/>
    </i>
    <i r="1">
      <x v="65"/>
    </i>
    <i r="1">
      <x v="67"/>
    </i>
    <i r="1">
      <x v="68"/>
    </i>
    <i r="1">
      <x v="83"/>
    </i>
    <i r="1">
      <x v="84"/>
    </i>
    <i r="1">
      <x v="87"/>
    </i>
    <i r="1">
      <x v="93"/>
    </i>
    <i r="1">
      <x v="95"/>
    </i>
    <i r="1">
      <x v="96"/>
    </i>
    <i r="1">
      <x v="97"/>
    </i>
    <i>
      <x v="2"/>
      <x v="2"/>
    </i>
    <i r="1">
      <x v="10"/>
    </i>
    <i r="1">
      <x v="23"/>
    </i>
    <i r="1">
      <x v="29"/>
    </i>
    <i r="1">
      <x v="45"/>
    </i>
    <i r="1">
      <x v="50"/>
    </i>
    <i r="1">
      <x v="55"/>
    </i>
    <i r="1">
      <x v="69"/>
    </i>
    <i r="1">
      <x v="71"/>
    </i>
    <i r="1">
      <x v="94"/>
    </i>
    <i>
      <x v="3"/>
      <x v="1"/>
    </i>
    <i r="1">
      <x v="7"/>
    </i>
    <i r="1">
      <x v="8"/>
    </i>
    <i r="1">
      <x v="9"/>
    </i>
    <i r="1">
      <x v="11"/>
    </i>
    <i r="1">
      <x v="12"/>
    </i>
    <i r="1">
      <x v="14"/>
    </i>
    <i r="1">
      <x v="17"/>
    </i>
    <i r="1">
      <x v="25"/>
    </i>
    <i r="1">
      <x v="26"/>
    </i>
    <i r="1">
      <x v="31"/>
    </i>
    <i r="1">
      <x v="35"/>
    </i>
    <i r="1">
      <x v="51"/>
    </i>
    <i r="1">
      <x v="52"/>
    </i>
    <i r="1">
      <x v="56"/>
    </i>
    <i r="1">
      <x v="57"/>
    </i>
    <i r="1">
      <x v="62"/>
    </i>
    <i r="1">
      <x v="72"/>
    </i>
    <i r="1">
      <x v="73"/>
    </i>
    <i r="1">
      <x v="74"/>
    </i>
    <i r="1">
      <x v="75"/>
    </i>
    <i r="1">
      <x v="77"/>
    </i>
    <i r="1">
      <x v="80"/>
    </i>
    <i r="1">
      <x v="81"/>
    </i>
    <i r="1">
      <x v="82"/>
    </i>
    <i r="1">
      <x v="98"/>
    </i>
    <i r="1">
      <x v="101"/>
    </i>
    <i>
      <x v="4"/>
      <x v="6"/>
    </i>
    <i r="1">
      <x v="43"/>
    </i>
    <i r="1">
      <x v="46"/>
    </i>
    <i r="1">
      <x v="47"/>
    </i>
    <i r="1">
      <x v="78"/>
    </i>
    <i r="1">
      <x v="102"/>
    </i>
    <i>
      <x v="5"/>
      <x v="15"/>
    </i>
    <i r="1">
      <x v="22"/>
    </i>
    <i r="1">
      <x v="30"/>
    </i>
    <i r="1">
      <x v="32"/>
    </i>
    <i r="1">
      <x v="36"/>
    </i>
    <i r="1">
      <x v="44"/>
    </i>
    <i r="1">
      <x v="48"/>
    </i>
    <i r="1">
      <x v="79"/>
    </i>
    <i r="1">
      <x v="85"/>
    </i>
    <i r="1">
      <x v="88"/>
    </i>
    <i r="1">
      <x v="89"/>
    </i>
    <i r="1">
      <x v="91"/>
    </i>
    <i r="1">
      <x v="99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054CE-F313-4BFE-9B76-6739D2369110}" name="ptArea" cacheId="8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outline="1" outlineData="1" multipleFieldFilters="0" rowHeaderCaption="Area">
  <location ref="H1:H7" firstHeaderRow="1" firstDataRow="1" firstDataCol="1"/>
  <pivotFields count="5">
    <pivotField axis="axisRow" showAll="0">
      <items count="7">
        <item x="1"/>
        <item x="4"/>
        <item x="0"/>
        <item x="3"/>
        <item x="5"/>
        <item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07A473-D389-45B5-A325-A6A3576186BD}" name="tblArea" displayName="tblArea" ref="B1:F104" totalsRowShown="0" headerRowDxfId="20" dataDxfId="19">
  <autoFilter ref="B1:F104" xr:uid="{2007A473-D389-45B5-A325-A6A3576186BD}"/>
  <tableColumns count="5">
    <tableColumn id="1" xr3:uid="{7E5F9B93-AE80-4E17-BB97-6ED413678FE9}" name="Area" dataDxfId="18"/>
    <tableColumn id="2" xr3:uid="{785D122A-2EDE-4C7B-B82E-1882CF3FB421}" name="City" dataDxfId="17"/>
    <tableColumn id="3" xr3:uid="{C7CC1D36-C17A-46E0-AE67-CE98E6CA1F8E}" name="Name" dataDxfId="16"/>
    <tableColumn id="4" xr3:uid="{F2EC7EDD-A9DF-4380-B2C6-685BDB063B72}" name="Code" dataDxfId="15"/>
    <tableColumn id="5" xr3:uid="{8D24B296-10C0-483C-9D62-9F60312642DE}" name="Switch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0" totalsRowShown="0" headerRowDxfId="13" dataDxfId="12" headerRowCellStyle="표준 2" dataCellStyle="표준 2">
  <autoFilter ref="G19:G30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5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B1:M112"/>
  <sheetViews>
    <sheetView workbookViewId="0">
      <selection activeCell="D18" sqref="D18"/>
    </sheetView>
  </sheetViews>
  <sheetFormatPr defaultRowHeight="16.5" outlineLevelCol="1"/>
  <cols>
    <col min="1" max="1" width="8.88671875" style="439"/>
    <col min="2" max="2" width="11.88671875" style="539" customWidth="1"/>
    <col min="3" max="3" width="11.5546875" style="539" customWidth="1"/>
    <col min="4" max="4" width="16.5546875" style="539" customWidth="1"/>
    <col min="5" max="6" width="7.88671875" style="539" customWidth="1"/>
    <col min="7" max="7" width="15.77734375" style="439" customWidth="1" outlineLevel="1"/>
    <col min="8" max="8" width="11.109375" style="539" customWidth="1" outlineLevel="1"/>
    <col min="9" max="9" width="10.33203125" style="439" customWidth="1" outlineLevel="1"/>
    <col min="10" max="10" width="13.109375" style="539" customWidth="1" outlineLevel="1"/>
    <col min="11" max="11" width="11.33203125" style="439" customWidth="1" outlineLevel="1"/>
    <col min="12" max="12" width="15.77734375" style="439" customWidth="1" outlineLevel="1"/>
    <col min="13" max="28" width="15.77734375" style="439" customWidth="1"/>
    <col min="29" max="16384" width="8.88671875" style="439"/>
  </cols>
  <sheetData>
    <row r="1" spans="2:13">
      <c r="B1" s="30" t="s">
        <v>408</v>
      </c>
      <c r="C1" s="30" t="s">
        <v>654</v>
      </c>
      <c r="D1" s="30" t="s">
        <v>655</v>
      </c>
      <c r="E1" s="30" t="s">
        <v>546</v>
      </c>
      <c r="F1" s="30" t="s">
        <v>545</v>
      </c>
      <c r="H1" s="588" t="s">
        <v>764</v>
      </c>
      <c r="I1"/>
      <c r="J1" s="588" t="s">
        <v>764</v>
      </c>
      <c r="K1" s="588" t="s">
        <v>765</v>
      </c>
      <c r="L1"/>
    </row>
    <row r="2" spans="2:13">
      <c r="B2" s="30" t="s">
        <v>622</v>
      </c>
      <c r="C2" s="30" t="s">
        <v>628</v>
      </c>
      <c r="D2" s="30" t="s">
        <v>627</v>
      </c>
      <c r="E2" s="30">
        <v>116</v>
      </c>
      <c r="F2" s="30">
        <v>14</v>
      </c>
      <c r="H2" s="589" t="s">
        <v>656</v>
      </c>
      <c r="I2"/>
      <c r="J2" t="s">
        <v>656</v>
      </c>
      <c r="K2" t="s">
        <v>661</v>
      </c>
      <c r="L2"/>
    </row>
    <row r="3" spans="2:13">
      <c r="B3" s="30" t="s">
        <v>622</v>
      </c>
      <c r="C3" s="30" t="s">
        <v>621</v>
      </c>
      <c r="D3" s="30" t="s">
        <v>620</v>
      </c>
      <c r="E3" s="30">
        <v>108</v>
      </c>
      <c r="F3" s="30">
        <v>14</v>
      </c>
      <c r="H3" s="589" t="s">
        <v>657</v>
      </c>
      <c r="I3"/>
      <c r="J3" t="s">
        <v>656</v>
      </c>
      <c r="K3" t="s">
        <v>662</v>
      </c>
      <c r="L3"/>
      <c r="M3" s="589" t="s">
        <v>656</v>
      </c>
    </row>
    <row r="4" spans="2:13">
      <c r="B4" s="30" t="s">
        <v>622</v>
      </c>
      <c r="C4" s="30" t="s">
        <v>614</v>
      </c>
      <c r="D4" s="30" t="s">
        <v>613</v>
      </c>
      <c r="E4" s="30">
        <v>201</v>
      </c>
      <c r="F4" s="30">
        <v>22</v>
      </c>
      <c r="H4" s="589" t="s">
        <v>658</v>
      </c>
      <c r="I4"/>
      <c r="J4" t="s">
        <v>656</v>
      </c>
      <c r="K4" t="s">
        <v>663</v>
      </c>
      <c r="L4"/>
    </row>
    <row r="5" spans="2:13">
      <c r="B5" s="30" t="s">
        <v>622</v>
      </c>
      <c r="C5" s="30" t="s">
        <v>607</v>
      </c>
      <c r="D5" s="30" t="s">
        <v>606</v>
      </c>
      <c r="E5" s="30">
        <v>102</v>
      </c>
      <c r="F5" s="30">
        <v>22</v>
      </c>
      <c r="H5" s="589" t="s">
        <v>659</v>
      </c>
      <c r="I5"/>
      <c r="J5" t="s">
        <v>656</v>
      </c>
      <c r="K5" t="s">
        <v>664</v>
      </c>
      <c r="L5"/>
    </row>
    <row r="6" spans="2:13">
      <c r="B6" s="30" t="s">
        <v>622</v>
      </c>
      <c r="C6" s="30" t="s">
        <v>600</v>
      </c>
      <c r="D6" s="30" t="s">
        <v>599</v>
      </c>
      <c r="E6" s="30">
        <v>112</v>
      </c>
      <c r="F6" s="30">
        <v>22</v>
      </c>
      <c r="H6" s="589" t="s">
        <v>660</v>
      </c>
      <c r="I6"/>
      <c r="J6" t="s">
        <v>656</v>
      </c>
      <c r="K6" t="s">
        <v>665</v>
      </c>
      <c r="L6"/>
    </row>
    <row r="7" spans="2:13">
      <c r="B7" s="30" t="s">
        <v>622</v>
      </c>
      <c r="C7" s="30" t="s">
        <v>593</v>
      </c>
      <c r="D7" s="30" t="s">
        <v>592</v>
      </c>
      <c r="E7" s="30">
        <v>98</v>
      </c>
      <c r="F7" s="30">
        <v>32</v>
      </c>
      <c r="H7" s="589" t="s">
        <v>631</v>
      </c>
      <c r="I7"/>
      <c r="J7" t="s">
        <v>656</v>
      </c>
      <c r="K7" t="s">
        <v>666</v>
      </c>
      <c r="L7"/>
    </row>
    <row r="8" spans="2:13">
      <c r="B8" s="30" t="s">
        <v>622</v>
      </c>
      <c r="C8" s="30" t="s">
        <v>586</v>
      </c>
      <c r="D8" s="30" t="s">
        <v>585</v>
      </c>
      <c r="E8" s="30">
        <v>119</v>
      </c>
      <c r="F8" s="30">
        <v>32</v>
      </c>
      <c r="H8"/>
      <c r="I8"/>
      <c r="J8" t="s">
        <v>656</v>
      </c>
      <c r="K8" t="s">
        <v>667</v>
      </c>
      <c r="L8"/>
    </row>
    <row r="9" spans="2:13">
      <c r="B9" s="30" t="s">
        <v>622</v>
      </c>
      <c r="C9" s="30" t="s">
        <v>580</v>
      </c>
      <c r="D9" s="30" t="s">
        <v>579</v>
      </c>
      <c r="E9" s="30">
        <v>202</v>
      </c>
      <c r="F9" s="30">
        <v>32</v>
      </c>
      <c r="H9"/>
      <c r="I9"/>
      <c r="J9" t="s">
        <v>656</v>
      </c>
      <c r="K9" t="s">
        <v>668</v>
      </c>
      <c r="L9"/>
    </row>
    <row r="10" spans="2:13">
      <c r="B10" s="30" t="s">
        <v>622</v>
      </c>
      <c r="C10" s="30" t="s">
        <v>574</v>
      </c>
      <c r="D10" s="30" t="s">
        <v>573</v>
      </c>
      <c r="E10" s="30">
        <v>203</v>
      </c>
      <c r="F10" s="30">
        <v>32</v>
      </c>
      <c r="H10"/>
      <c r="I10"/>
      <c r="J10" t="s">
        <v>656</v>
      </c>
      <c r="K10" t="s">
        <v>669</v>
      </c>
      <c r="L10"/>
    </row>
    <row r="11" spans="2:13">
      <c r="B11" s="30" t="s">
        <v>622</v>
      </c>
      <c r="C11" s="30" t="s">
        <v>568</v>
      </c>
      <c r="D11" s="30" t="s">
        <v>567</v>
      </c>
      <c r="E11" s="30">
        <v>99</v>
      </c>
      <c r="F11" s="30">
        <v>32</v>
      </c>
      <c r="H11"/>
      <c r="I11"/>
      <c r="J11" t="s">
        <v>656</v>
      </c>
      <c r="K11" t="s">
        <v>670</v>
      </c>
      <c r="L11"/>
    </row>
    <row r="12" spans="2:13">
      <c r="B12" s="30" t="s">
        <v>615</v>
      </c>
      <c r="C12" s="30" t="s">
        <v>626</v>
      </c>
      <c r="D12" s="30" t="s">
        <v>625</v>
      </c>
      <c r="E12" s="30">
        <v>105</v>
      </c>
      <c r="F12" s="30">
        <v>38</v>
      </c>
      <c r="H12"/>
      <c r="I12"/>
      <c r="J12" t="s">
        <v>656</v>
      </c>
      <c r="K12" t="s">
        <v>671</v>
      </c>
      <c r="L12"/>
    </row>
    <row r="13" spans="2:13">
      <c r="B13" s="30" t="s">
        <v>615</v>
      </c>
      <c r="C13" s="30" t="s">
        <v>619</v>
      </c>
      <c r="D13" s="30" t="s">
        <v>618</v>
      </c>
      <c r="E13" s="30">
        <v>100</v>
      </c>
      <c r="F13" s="30">
        <v>38</v>
      </c>
      <c r="H13"/>
      <c r="I13"/>
      <c r="J13" t="s">
        <v>656</v>
      </c>
      <c r="K13" t="s">
        <v>672</v>
      </c>
      <c r="L13"/>
    </row>
    <row r="14" spans="2:13">
      <c r="B14" s="30" t="s">
        <v>615</v>
      </c>
      <c r="C14" s="30" t="s">
        <v>612</v>
      </c>
      <c r="D14" s="30" t="s">
        <v>611</v>
      </c>
      <c r="E14" s="30">
        <v>106</v>
      </c>
      <c r="F14" s="30">
        <v>38</v>
      </c>
      <c r="H14"/>
      <c r="I14"/>
      <c r="J14" t="s">
        <v>656</v>
      </c>
      <c r="K14" t="s">
        <v>673</v>
      </c>
      <c r="L14"/>
    </row>
    <row r="15" spans="2:13">
      <c r="B15" s="30" t="s">
        <v>615</v>
      </c>
      <c r="C15" s="30" t="s">
        <v>605</v>
      </c>
      <c r="D15" s="30" t="s">
        <v>604</v>
      </c>
      <c r="E15" s="30">
        <v>104</v>
      </c>
      <c r="F15" s="30">
        <v>38</v>
      </c>
      <c r="H15"/>
      <c r="I15"/>
      <c r="J15" t="s">
        <v>656</v>
      </c>
      <c r="K15" t="s">
        <v>674</v>
      </c>
      <c r="L15"/>
    </row>
    <row r="16" spans="2:13">
      <c r="B16" s="30" t="s">
        <v>615</v>
      </c>
      <c r="C16" s="30" t="s">
        <v>598</v>
      </c>
      <c r="D16" s="30" t="s">
        <v>597</v>
      </c>
      <c r="E16" s="30">
        <v>93</v>
      </c>
      <c r="F16" s="30">
        <v>38</v>
      </c>
      <c r="H16"/>
      <c r="I16"/>
      <c r="J16" t="s">
        <v>656</v>
      </c>
      <c r="K16" t="s">
        <v>675</v>
      </c>
      <c r="L16"/>
    </row>
    <row r="17" spans="2:12">
      <c r="B17" s="30" t="s">
        <v>615</v>
      </c>
      <c r="C17" s="30" t="s">
        <v>591</v>
      </c>
      <c r="D17" s="30" t="s">
        <v>590</v>
      </c>
      <c r="E17" s="30">
        <v>214</v>
      </c>
      <c r="F17" s="30">
        <v>38</v>
      </c>
      <c r="H17"/>
      <c r="I17"/>
      <c r="J17" t="s">
        <v>657</v>
      </c>
      <c r="K17" t="s">
        <v>676</v>
      </c>
      <c r="L17"/>
    </row>
    <row r="18" spans="2:12">
      <c r="B18" s="30" t="s">
        <v>615</v>
      </c>
      <c r="C18" s="30" t="s">
        <v>584</v>
      </c>
      <c r="D18" s="30" t="s">
        <v>583</v>
      </c>
      <c r="E18" s="30">
        <v>90</v>
      </c>
      <c r="F18" s="30">
        <v>38</v>
      </c>
      <c r="H18"/>
      <c r="I18"/>
      <c r="J18" t="s">
        <v>657</v>
      </c>
      <c r="K18" t="s">
        <v>677</v>
      </c>
      <c r="L18"/>
    </row>
    <row r="19" spans="2:12">
      <c r="B19" s="30" t="s">
        <v>615</v>
      </c>
      <c r="C19" s="30" t="s">
        <v>578</v>
      </c>
      <c r="D19" s="30" t="s">
        <v>577</v>
      </c>
      <c r="E19" s="30">
        <v>121</v>
      </c>
      <c r="F19" s="30">
        <v>38</v>
      </c>
      <c r="H19"/>
      <c r="I19"/>
      <c r="J19" t="s">
        <v>657</v>
      </c>
      <c r="K19" t="s">
        <v>678</v>
      </c>
      <c r="L19"/>
    </row>
    <row r="20" spans="2:12">
      <c r="B20" s="30" t="s">
        <v>615</v>
      </c>
      <c r="C20" s="30" t="s">
        <v>572</v>
      </c>
      <c r="D20" s="30" t="s">
        <v>571</v>
      </c>
      <c r="E20" s="30">
        <v>114</v>
      </c>
      <c r="F20" s="30">
        <v>38</v>
      </c>
      <c r="H20"/>
      <c r="I20"/>
      <c r="J20" t="s">
        <v>657</v>
      </c>
      <c r="K20" t="s">
        <v>679</v>
      </c>
      <c r="L20"/>
    </row>
    <row r="21" spans="2:12">
      <c r="B21" s="30" t="s">
        <v>615</v>
      </c>
      <c r="C21" s="30" t="s">
        <v>566</v>
      </c>
      <c r="D21" s="30" t="s">
        <v>565</v>
      </c>
      <c r="E21" s="30">
        <v>211</v>
      </c>
      <c r="F21" s="30">
        <v>38</v>
      </c>
      <c r="H21"/>
      <c r="I21"/>
      <c r="J21" t="s">
        <v>657</v>
      </c>
      <c r="K21" t="s">
        <v>680</v>
      </c>
    </row>
    <row r="22" spans="2:12">
      <c r="B22" s="30" t="s">
        <v>615</v>
      </c>
      <c r="C22" s="30" t="s">
        <v>562</v>
      </c>
      <c r="D22" s="30" t="s">
        <v>561</v>
      </c>
      <c r="E22" s="30">
        <v>217</v>
      </c>
      <c r="F22" s="30">
        <v>38</v>
      </c>
      <c r="H22"/>
      <c r="I22"/>
      <c r="J22" t="s">
        <v>657</v>
      </c>
      <c r="K22" t="s">
        <v>681</v>
      </c>
    </row>
    <row r="23" spans="2:12">
      <c r="B23" s="30" t="s">
        <v>615</v>
      </c>
      <c r="C23" s="30" t="s">
        <v>558</v>
      </c>
      <c r="D23" s="30" t="s">
        <v>557</v>
      </c>
      <c r="E23" s="30">
        <v>95</v>
      </c>
      <c r="F23" s="30">
        <v>38</v>
      </c>
      <c r="H23"/>
      <c r="I23"/>
      <c r="J23" t="s">
        <v>657</v>
      </c>
      <c r="K23" t="s">
        <v>682</v>
      </c>
    </row>
    <row r="24" spans="2:12">
      <c r="B24" s="30" t="s">
        <v>615</v>
      </c>
      <c r="C24" s="30" t="s">
        <v>554</v>
      </c>
      <c r="D24" s="30" t="s">
        <v>553</v>
      </c>
      <c r="E24" s="30">
        <v>101</v>
      </c>
      <c r="F24" s="30">
        <v>38</v>
      </c>
      <c r="H24"/>
      <c r="I24"/>
      <c r="J24" t="s">
        <v>657</v>
      </c>
      <c r="K24" t="s">
        <v>683</v>
      </c>
    </row>
    <row r="25" spans="2:12">
      <c r="B25" s="30" t="s">
        <v>615</v>
      </c>
      <c r="C25" s="30" t="s">
        <v>550</v>
      </c>
      <c r="D25" s="30" t="s">
        <v>549</v>
      </c>
      <c r="E25" s="30">
        <v>216</v>
      </c>
      <c r="F25" s="30">
        <v>38</v>
      </c>
      <c r="H25"/>
      <c r="I25"/>
      <c r="J25" t="s">
        <v>657</v>
      </c>
      <c r="K25" t="s">
        <v>684</v>
      </c>
    </row>
    <row r="26" spans="2:12">
      <c r="B26" s="30" t="s">
        <v>615</v>
      </c>
      <c r="C26" s="30" t="s">
        <v>548</v>
      </c>
      <c r="D26" s="30" t="s">
        <v>547</v>
      </c>
      <c r="E26" s="30">
        <v>212</v>
      </c>
      <c r="F26" s="30">
        <v>38</v>
      </c>
      <c r="H26"/>
      <c r="I26"/>
      <c r="J26" t="s">
        <v>657</v>
      </c>
      <c r="K26" t="s">
        <v>685</v>
      </c>
    </row>
    <row r="27" spans="2:12">
      <c r="B27" s="30" t="s">
        <v>608</v>
      </c>
      <c r="C27" s="30" t="s">
        <v>624</v>
      </c>
      <c r="D27" s="30" t="s">
        <v>623</v>
      </c>
      <c r="E27" s="30">
        <v>226</v>
      </c>
      <c r="F27" s="30">
        <v>54</v>
      </c>
      <c r="H27"/>
      <c r="I27"/>
      <c r="J27" t="s">
        <v>657</v>
      </c>
      <c r="K27" t="s">
        <v>686</v>
      </c>
    </row>
    <row r="28" spans="2:12">
      <c r="B28" s="30" t="s">
        <v>608</v>
      </c>
      <c r="C28" s="30" t="s">
        <v>617</v>
      </c>
      <c r="D28" s="30" t="s">
        <v>616</v>
      </c>
      <c r="E28" s="30">
        <v>221</v>
      </c>
      <c r="F28" s="30">
        <v>54</v>
      </c>
      <c r="H28"/>
      <c r="I28"/>
      <c r="J28" t="s">
        <v>657</v>
      </c>
      <c r="K28" t="s">
        <v>687</v>
      </c>
    </row>
    <row r="29" spans="2:12">
      <c r="B29" s="30" t="s">
        <v>608</v>
      </c>
      <c r="C29" s="30" t="s">
        <v>610</v>
      </c>
      <c r="D29" s="30" t="s">
        <v>609</v>
      </c>
      <c r="E29" s="30">
        <v>131</v>
      </c>
      <c r="F29" s="30">
        <v>54</v>
      </c>
      <c r="H29"/>
      <c r="I29"/>
      <c r="J29" t="s">
        <v>657</v>
      </c>
      <c r="K29" t="s">
        <v>688</v>
      </c>
    </row>
    <row r="30" spans="2:12">
      <c r="B30" s="30" t="s">
        <v>608</v>
      </c>
      <c r="C30" s="30" t="s">
        <v>603</v>
      </c>
      <c r="D30" s="30" t="s">
        <v>602</v>
      </c>
      <c r="E30" s="30">
        <v>135</v>
      </c>
      <c r="F30" s="30">
        <v>54</v>
      </c>
      <c r="H30"/>
      <c r="I30"/>
      <c r="J30" t="s">
        <v>657</v>
      </c>
      <c r="K30" t="s">
        <v>689</v>
      </c>
    </row>
    <row r="31" spans="2:12">
      <c r="B31" s="30" t="s">
        <v>608</v>
      </c>
      <c r="C31" s="30" t="s">
        <v>596</v>
      </c>
      <c r="D31" s="30" t="s">
        <v>595</v>
      </c>
      <c r="E31" s="30">
        <v>127</v>
      </c>
      <c r="F31" s="30">
        <v>54</v>
      </c>
      <c r="H31"/>
      <c r="I31"/>
      <c r="J31" t="s">
        <v>657</v>
      </c>
      <c r="K31" t="s">
        <v>690</v>
      </c>
    </row>
    <row r="32" spans="2:12">
      <c r="B32" s="30" t="s">
        <v>608</v>
      </c>
      <c r="C32" s="30" t="s">
        <v>589</v>
      </c>
      <c r="D32" s="30" t="s">
        <v>588</v>
      </c>
      <c r="E32" s="30">
        <v>133</v>
      </c>
      <c r="F32" s="30">
        <v>28</v>
      </c>
      <c r="H32"/>
      <c r="I32"/>
      <c r="J32" t="s">
        <v>657</v>
      </c>
      <c r="K32" t="s">
        <v>691</v>
      </c>
    </row>
    <row r="33" spans="2:11">
      <c r="B33" s="30" t="s">
        <v>608</v>
      </c>
      <c r="C33" s="30" t="s">
        <v>582</v>
      </c>
      <c r="D33" s="30" t="s">
        <v>581</v>
      </c>
      <c r="E33" s="30">
        <v>239</v>
      </c>
      <c r="F33" s="30">
        <v>132</v>
      </c>
      <c r="H33"/>
      <c r="I33"/>
      <c r="J33" t="s">
        <v>657</v>
      </c>
      <c r="K33" t="s">
        <v>692</v>
      </c>
    </row>
    <row r="34" spans="2:11">
      <c r="B34" s="30" t="s">
        <v>608</v>
      </c>
      <c r="C34" s="30" t="s">
        <v>576</v>
      </c>
      <c r="D34" s="30" t="s">
        <v>575</v>
      </c>
      <c r="E34" s="30">
        <v>238</v>
      </c>
      <c r="F34" s="30">
        <v>60</v>
      </c>
      <c r="H34"/>
      <c r="I34"/>
      <c r="J34" t="s">
        <v>657</v>
      </c>
      <c r="K34" t="s">
        <v>693</v>
      </c>
    </row>
    <row r="35" spans="2:11">
      <c r="B35" s="30" t="s">
        <v>608</v>
      </c>
      <c r="C35" s="30" t="s">
        <v>570</v>
      </c>
      <c r="D35" s="30" t="s">
        <v>569</v>
      </c>
      <c r="E35" s="30">
        <v>235</v>
      </c>
      <c r="F35" s="30">
        <v>60</v>
      </c>
      <c r="H35"/>
      <c r="I35"/>
      <c r="J35" t="s">
        <v>657</v>
      </c>
      <c r="K35" t="s">
        <v>694</v>
      </c>
    </row>
    <row r="36" spans="2:11">
      <c r="B36" s="30" t="s">
        <v>608</v>
      </c>
      <c r="C36" s="30" t="s">
        <v>564</v>
      </c>
      <c r="D36" s="30" t="s">
        <v>563</v>
      </c>
      <c r="E36" s="30">
        <v>236</v>
      </c>
      <c r="F36" s="30">
        <v>60</v>
      </c>
      <c r="H36"/>
      <c r="I36"/>
      <c r="J36" t="s">
        <v>657</v>
      </c>
      <c r="K36" t="s">
        <v>695</v>
      </c>
    </row>
    <row r="37" spans="2:11">
      <c r="B37" s="30" t="s">
        <v>608</v>
      </c>
      <c r="C37" s="30" t="s">
        <v>560</v>
      </c>
      <c r="D37" s="30" t="s">
        <v>559</v>
      </c>
      <c r="E37" s="30">
        <v>129</v>
      </c>
      <c r="F37" s="30">
        <v>60</v>
      </c>
      <c r="H37"/>
      <c r="I37"/>
      <c r="J37" t="s">
        <v>657</v>
      </c>
      <c r="K37" t="s">
        <v>696</v>
      </c>
    </row>
    <row r="38" spans="2:11">
      <c r="B38" s="30" t="s">
        <v>608</v>
      </c>
      <c r="C38" s="30" t="s">
        <v>556</v>
      </c>
      <c r="D38" s="30" t="s">
        <v>555</v>
      </c>
      <c r="E38" s="30">
        <v>232</v>
      </c>
      <c r="F38" s="30">
        <v>60</v>
      </c>
      <c r="H38"/>
      <c r="I38"/>
      <c r="J38" t="s">
        <v>657</v>
      </c>
      <c r="K38" t="s">
        <v>697</v>
      </c>
    </row>
    <row r="39" spans="2:11">
      <c r="B39" s="30" t="s">
        <v>608</v>
      </c>
      <c r="C39" s="30" t="s">
        <v>552</v>
      </c>
      <c r="D39" s="30" t="s">
        <v>551</v>
      </c>
      <c r="E39" s="30">
        <v>177</v>
      </c>
      <c r="F39" s="30">
        <v>60</v>
      </c>
      <c r="H39"/>
      <c r="I39"/>
      <c r="J39" t="s">
        <v>657</v>
      </c>
      <c r="K39" t="s">
        <v>698</v>
      </c>
    </row>
    <row r="40" spans="2:11">
      <c r="B40" s="30" t="s">
        <v>601</v>
      </c>
      <c r="C40" s="30" t="s">
        <v>544</v>
      </c>
      <c r="D40" s="30" t="s">
        <v>543</v>
      </c>
      <c r="E40" s="30">
        <v>156</v>
      </c>
      <c r="F40" s="30">
        <v>26</v>
      </c>
      <c r="H40"/>
      <c r="I40"/>
      <c r="J40" t="s">
        <v>657</v>
      </c>
      <c r="K40" t="s">
        <v>699</v>
      </c>
    </row>
    <row r="41" spans="2:11">
      <c r="B41" s="30" t="s">
        <v>601</v>
      </c>
      <c r="C41" s="30" t="s">
        <v>538</v>
      </c>
      <c r="D41" s="30" t="s">
        <v>537</v>
      </c>
      <c r="E41" s="30">
        <v>172</v>
      </c>
      <c r="F41" s="30">
        <v>67</v>
      </c>
      <c r="H41"/>
      <c r="I41"/>
      <c r="J41" t="s">
        <v>657</v>
      </c>
      <c r="K41" t="s">
        <v>700</v>
      </c>
    </row>
    <row r="42" spans="2:11">
      <c r="B42" s="30" t="s">
        <v>601</v>
      </c>
      <c r="C42" s="30" t="s">
        <v>532</v>
      </c>
      <c r="D42" s="30" t="s">
        <v>531</v>
      </c>
      <c r="E42" s="30">
        <v>251</v>
      </c>
      <c r="F42" s="30">
        <v>67</v>
      </c>
      <c r="H42"/>
      <c r="I42"/>
      <c r="J42" t="s">
        <v>657</v>
      </c>
      <c r="K42" t="s">
        <v>701</v>
      </c>
    </row>
    <row r="43" spans="2:11">
      <c r="B43" s="30" t="s">
        <v>601</v>
      </c>
      <c r="C43" s="30" t="s">
        <v>527</v>
      </c>
      <c r="D43" s="30" t="s">
        <v>526</v>
      </c>
      <c r="E43" s="30">
        <v>140</v>
      </c>
      <c r="F43" s="30">
        <v>67</v>
      </c>
      <c r="H43"/>
      <c r="I43"/>
      <c r="J43" t="s">
        <v>657</v>
      </c>
      <c r="K43" t="s">
        <v>702</v>
      </c>
    </row>
    <row r="44" spans="2:11">
      <c r="B44" s="30" t="s">
        <v>601</v>
      </c>
      <c r="C44" s="30" t="s">
        <v>521</v>
      </c>
      <c r="D44" s="30" t="s">
        <v>520</v>
      </c>
      <c r="E44" s="30">
        <v>247</v>
      </c>
      <c r="F44" s="30">
        <v>67</v>
      </c>
      <c r="H44"/>
      <c r="I44"/>
      <c r="J44" t="s">
        <v>657</v>
      </c>
      <c r="K44" t="s">
        <v>703</v>
      </c>
    </row>
    <row r="45" spans="2:11">
      <c r="B45" s="30" t="s">
        <v>601</v>
      </c>
      <c r="C45" s="30" t="s">
        <v>515</v>
      </c>
      <c r="D45" s="30" t="s">
        <v>514</v>
      </c>
      <c r="E45" s="30">
        <v>243</v>
      </c>
      <c r="F45" s="30">
        <v>67</v>
      </c>
      <c r="H45"/>
      <c r="I45"/>
      <c r="J45" t="s">
        <v>657</v>
      </c>
      <c r="K45" t="s">
        <v>704</v>
      </c>
    </row>
    <row r="46" spans="2:11">
      <c r="B46" s="30" t="s">
        <v>601</v>
      </c>
      <c r="C46" s="30" t="s">
        <v>509</v>
      </c>
      <c r="D46" s="30" t="s">
        <v>508</v>
      </c>
      <c r="E46" s="30">
        <v>254</v>
      </c>
      <c r="F46" s="30">
        <v>67</v>
      </c>
      <c r="H46"/>
      <c r="I46"/>
      <c r="J46" t="s">
        <v>657</v>
      </c>
      <c r="K46" t="s">
        <v>705</v>
      </c>
    </row>
    <row r="47" spans="2:11">
      <c r="B47" s="30" t="s">
        <v>601</v>
      </c>
      <c r="C47" s="30" t="s">
        <v>505</v>
      </c>
      <c r="D47" s="30" t="s">
        <v>504</v>
      </c>
      <c r="E47" s="30">
        <v>244</v>
      </c>
      <c r="F47" s="30">
        <v>67</v>
      </c>
      <c r="H47"/>
      <c r="I47"/>
      <c r="J47" t="s">
        <v>657</v>
      </c>
      <c r="K47" t="s">
        <v>706</v>
      </c>
    </row>
    <row r="48" spans="2:11">
      <c r="B48" s="30" t="s">
        <v>601</v>
      </c>
      <c r="C48" s="30" t="s">
        <v>501</v>
      </c>
      <c r="D48" s="30" t="s">
        <v>500</v>
      </c>
      <c r="E48" s="30">
        <v>248</v>
      </c>
      <c r="F48" s="30">
        <v>67</v>
      </c>
      <c r="H48"/>
      <c r="I48"/>
      <c r="J48" t="s">
        <v>657</v>
      </c>
      <c r="K48" t="s">
        <v>707</v>
      </c>
    </row>
    <row r="49" spans="2:11">
      <c r="B49" s="30" t="s">
        <v>601</v>
      </c>
      <c r="C49" s="30" t="s">
        <v>497</v>
      </c>
      <c r="D49" s="30" t="s">
        <v>496</v>
      </c>
      <c r="E49" s="30">
        <v>146</v>
      </c>
      <c r="F49" s="30">
        <v>67</v>
      </c>
      <c r="H49"/>
      <c r="I49"/>
      <c r="J49" t="s">
        <v>658</v>
      </c>
      <c r="K49" t="s">
        <v>708</v>
      </c>
    </row>
    <row r="50" spans="2:11">
      <c r="B50" s="30" t="s">
        <v>601</v>
      </c>
      <c r="C50" s="30" t="s">
        <v>493</v>
      </c>
      <c r="D50" s="30" t="s">
        <v>492</v>
      </c>
      <c r="E50" s="30">
        <v>245</v>
      </c>
      <c r="F50" s="30">
        <v>67</v>
      </c>
      <c r="H50"/>
      <c r="I50"/>
      <c r="J50" t="s">
        <v>658</v>
      </c>
      <c r="K50" t="s">
        <v>709</v>
      </c>
    </row>
    <row r="51" spans="2:11">
      <c r="B51" s="30" t="s">
        <v>601</v>
      </c>
      <c r="C51" s="30" t="s">
        <v>489</v>
      </c>
      <c r="D51" s="30" t="s">
        <v>488</v>
      </c>
      <c r="E51" s="30">
        <v>259</v>
      </c>
      <c r="F51" s="30">
        <v>78</v>
      </c>
      <c r="H51"/>
      <c r="I51"/>
      <c r="J51" t="s">
        <v>658</v>
      </c>
      <c r="K51" t="s">
        <v>710</v>
      </c>
    </row>
    <row r="52" spans="2:11">
      <c r="B52" s="30" t="s">
        <v>601</v>
      </c>
      <c r="C52" s="30" t="s">
        <v>485</v>
      </c>
      <c r="D52" s="30" t="s">
        <v>484</v>
      </c>
      <c r="E52" s="30">
        <v>262</v>
      </c>
      <c r="F52" s="30">
        <v>78</v>
      </c>
      <c r="H52"/>
      <c r="I52"/>
      <c r="J52" t="s">
        <v>658</v>
      </c>
      <c r="K52" t="s">
        <v>711</v>
      </c>
    </row>
    <row r="53" spans="2:11">
      <c r="B53" s="30" t="s">
        <v>601</v>
      </c>
      <c r="C53" s="30" t="s">
        <v>481</v>
      </c>
      <c r="D53" s="30" t="s">
        <v>480</v>
      </c>
      <c r="E53" s="30">
        <v>266</v>
      </c>
      <c r="F53" s="30">
        <v>78</v>
      </c>
      <c r="H53"/>
      <c r="I53"/>
      <c r="J53" t="s">
        <v>658</v>
      </c>
      <c r="K53" t="s">
        <v>712</v>
      </c>
    </row>
    <row r="54" spans="2:11">
      <c r="B54" s="30" t="s">
        <v>601</v>
      </c>
      <c r="C54" s="30" t="s">
        <v>477</v>
      </c>
      <c r="D54" s="30" t="s">
        <v>476</v>
      </c>
      <c r="E54" s="30">
        <v>165</v>
      </c>
      <c r="F54" s="30">
        <v>78</v>
      </c>
      <c r="H54"/>
      <c r="I54"/>
      <c r="J54" t="s">
        <v>658</v>
      </c>
      <c r="K54" t="s">
        <v>713</v>
      </c>
    </row>
    <row r="55" spans="2:11">
      <c r="B55" s="30" t="s">
        <v>601</v>
      </c>
      <c r="C55" s="30" t="s">
        <v>473</v>
      </c>
      <c r="D55" s="30" t="s">
        <v>472</v>
      </c>
      <c r="E55" s="30">
        <v>164</v>
      </c>
      <c r="F55" s="30">
        <v>78</v>
      </c>
      <c r="H55"/>
      <c r="I55"/>
      <c r="J55" t="s">
        <v>658</v>
      </c>
      <c r="K55" t="s">
        <v>714</v>
      </c>
    </row>
    <row r="56" spans="2:11">
      <c r="B56" s="30" t="s">
        <v>601</v>
      </c>
      <c r="C56" s="30" t="s">
        <v>469</v>
      </c>
      <c r="D56" s="30" t="s">
        <v>468</v>
      </c>
      <c r="E56" s="30">
        <v>258</v>
      </c>
      <c r="F56" s="30">
        <v>78</v>
      </c>
      <c r="H56"/>
      <c r="I56"/>
      <c r="J56" t="s">
        <v>658</v>
      </c>
      <c r="K56" t="s">
        <v>715</v>
      </c>
    </row>
    <row r="57" spans="2:11">
      <c r="B57" s="30" t="s">
        <v>601</v>
      </c>
      <c r="C57" s="30" t="s">
        <v>465</v>
      </c>
      <c r="D57" s="30" t="s">
        <v>464</v>
      </c>
      <c r="E57" s="30">
        <v>174</v>
      </c>
      <c r="F57" s="30">
        <v>78</v>
      </c>
      <c r="H57"/>
      <c r="I57"/>
      <c r="J57" t="s">
        <v>658</v>
      </c>
      <c r="K57" t="s">
        <v>716</v>
      </c>
    </row>
    <row r="58" spans="2:11">
      <c r="B58" s="30" t="s">
        <v>601</v>
      </c>
      <c r="C58" s="30" t="s">
        <v>461</v>
      </c>
      <c r="D58" s="30" t="s">
        <v>460</v>
      </c>
      <c r="E58" s="30">
        <v>168</v>
      </c>
      <c r="F58" s="30">
        <v>78</v>
      </c>
      <c r="H58"/>
      <c r="I58"/>
      <c r="J58" t="s">
        <v>658</v>
      </c>
      <c r="K58" t="s">
        <v>717</v>
      </c>
    </row>
    <row r="59" spans="2:11">
      <c r="B59" s="30" t="s">
        <v>601</v>
      </c>
      <c r="C59" s="30" t="s">
        <v>457</v>
      </c>
      <c r="D59" s="30" t="s">
        <v>456</v>
      </c>
      <c r="E59" s="30">
        <v>252</v>
      </c>
      <c r="F59" s="30">
        <v>78</v>
      </c>
      <c r="H59"/>
      <c r="I59"/>
      <c r="J59" t="s">
        <v>659</v>
      </c>
      <c r="K59" t="s">
        <v>718</v>
      </c>
    </row>
    <row r="60" spans="2:11">
      <c r="B60" s="30" t="s">
        <v>601</v>
      </c>
      <c r="C60" s="30" t="s">
        <v>453</v>
      </c>
      <c r="D60" s="30" t="s">
        <v>452</v>
      </c>
      <c r="E60" s="30">
        <v>170</v>
      </c>
      <c r="F60" s="30">
        <v>78</v>
      </c>
      <c r="H60"/>
      <c r="I60"/>
      <c r="J60" t="s">
        <v>659</v>
      </c>
      <c r="K60" t="s">
        <v>719</v>
      </c>
    </row>
    <row r="61" spans="2:11">
      <c r="B61" s="30" t="s">
        <v>601</v>
      </c>
      <c r="C61" s="30" t="s">
        <v>449</v>
      </c>
      <c r="D61" s="30" t="s">
        <v>448</v>
      </c>
      <c r="E61" s="30">
        <v>260</v>
      </c>
      <c r="F61" s="30">
        <v>78</v>
      </c>
      <c r="H61"/>
      <c r="I61"/>
      <c r="J61" t="s">
        <v>659</v>
      </c>
      <c r="K61" t="s">
        <v>720</v>
      </c>
    </row>
    <row r="62" spans="2:11">
      <c r="B62" s="30" t="s">
        <v>601</v>
      </c>
      <c r="C62" s="30" t="s">
        <v>445</v>
      </c>
      <c r="D62" s="30" t="s">
        <v>444</v>
      </c>
      <c r="E62" s="30">
        <v>256</v>
      </c>
      <c r="F62" s="30">
        <v>78</v>
      </c>
      <c r="H62"/>
      <c r="I62"/>
      <c r="J62" t="s">
        <v>659</v>
      </c>
      <c r="K62" t="s">
        <v>721</v>
      </c>
    </row>
    <row r="63" spans="2:11">
      <c r="B63" s="30" t="s">
        <v>601</v>
      </c>
      <c r="C63" s="30" t="s">
        <v>441</v>
      </c>
      <c r="D63" s="30" t="s">
        <v>440</v>
      </c>
      <c r="E63" s="30">
        <v>175</v>
      </c>
      <c r="F63" s="30">
        <v>78</v>
      </c>
      <c r="H63"/>
      <c r="I63"/>
      <c r="J63" t="s">
        <v>659</v>
      </c>
      <c r="K63" t="s">
        <v>722</v>
      </c>
    </row>
    <row r="64" spans="2:11">
      <c r="B64" s="30" t="s">
        <v>601</v>
      </c>
      <c r="C64" s="30" t="s">
        <v>437</v>
      </c>
      <c r="D64" s="30" t="s">
        <v>436</v>
      </c>
      <c r="E64" s="30">
        <v>268</v>
      </c>
      <c r="F64" s="30">
        <v>78</v>
      </c>
      <c r="H64"/>
      <c r="I64"/>
      <c r="J64" t="s">
        <v>659</v>
      </c>
      <c r="K64" t="s">
        <v>723</v>
      </c>
    </row>
    <row r="65" spans="2:11">
      <c r="B65" s="30" t="s">
        <v>601</v>
      </c>
      <c r="C65" s="30" t="s">
        <v>433</v>
      </c>
      <c r="D65" s="30" t="s">
        <v>432</v>
      </c>
      <c r="E65" s="30">
        <v>261</v>
      </c>
      <c r="F65" s="30">
        <v>78</v>
      </c>
      <c r="H65"/>
      <c r="I65"/>
      <c r="J65" t="s">
        <v>659</v>
      </c>
      <c r="K65" t="s">
        <v>724</v>
      </c>
    </row>
    <row r="66" spans="2:11">
      <c r="B66" s="30" t="s">
        <v>601</v>
      </c>
      <c r="C66" s="30" t="s">
        <v>429</v>
      </c>
      <c r="D66" s="30" t="s">
        <v>428</v>
      </c>
      <c r="E66" s="30">
        <v>169</v>
      </c>
      <c r="F66" s="30">
        <v>78</v>
      </c>
      <c r="H66"/>
      <c r="I66"/>
      <c r="J66" t="s">
        <v>659</v>
      </c>
      <c r="K66" t="s">
        <v>725</v>
      </c>
    </row>
    <row r="67" spans="2:11">
      <c r="B67" s="30" t="s">
        <v>594</v>
      </c>
      <c r="C67" s="30" t="s">
        <v>542</v>
      </c>
      <c r="D67" s="30" t="s">
        <v>541</v>
      </c>
      <c r="E67" s="30">
        <v>143</v>
      </c>
      <c r="F67" s="30">
        <v>19</v>
      </c>
      <c r="H67"/>
      <c r="I67"/>
      <c r="J67" t="s">
        <v>659</v>
      </c>
      <c r="K67" t="s">
        <v>726</v>
      </c>
    </row>
    <row r="68" spans="2:11">
      <c r="B68" s="30" t="s">
        <v>594</v>
      </c>
      <c r="C68" s="30" t="s">
        <v>536</v>
      </c>
      <c r="D68" s="30" t="s">
        <v>535</v>
      </c>
      <c r="E68" s="30">
        <v>176</v>
      </c>
      <c r="F68" s="30">
        <v>19</v>
      </c>
      <c r="H68"/>
      <c r="I68"/>
      <c r="J68" t="s">
        <v>659</v>
      </c>
      <c r="K68" t="s">
        <v>727</v>
      </c>
    </row>
    <row r="69" spans="2:11">
      <c r="B69" s="30" t="s">
        <v>594</v>
      </c>
      <c r="C69" s="30" t="s">
        <v>530</v>
      </c>
      <c r="D69" s="30" t="s">
        <v>529</v>
      </c>
      <c r="E69" s="30">
        <v>152</v>
      </c>
      <c r="F69" s="30">
        <v>30</v>
      </c>
      <c r="H69"/>
      <c r="I69"/>
      <c r="J69" t="s">
        <v>659</v>
      </c>
      <c r="K69" t="s">
        <v>728</v>
      </c>
    </row>
    <row r="70" spans="2:11">
      <c r="B70" s="30" t="s">
        <v>594</v>
      </c>
      <c r="C70" s="30" t="s">
        <v>525</v>
      </c>
      <c r="D70" s="30" t="s">
        <v>524</v>
      </c>
      <c r="E70" s="30">
        <v>159</v>
      </c>
      <c r="F70" s="30">
        <v>17</v>
      </c>
      <c r="H70"/>
      <c r="I70"/>
      <c r="J70" t="s">
        <v>659</v>
      </c>
      <c r="K70" t="s">
        <v>729</v>
      </c>
    </row>
    <row r="71" spans="2:11">
      <c r="B71" s="30" t="s">
        <v>594</v>
      </c>
      <c r="C71" s="30" t="s">
        <v>519</v>
      </c>
      <c r="D71" s="30" t="s">
        <v>518</v>
      </c>
      <c r="E71" s="30">
        <v>283</v>
      </c>
      <c r="F71" s="30">
        <v>95</v>
      </c>
      <c r="H71"/>
      <c r="I71"/>
      <c r="J71" t="s">
        <v>659</v>
      </c>
      <c r="K71" t="s">
        <v>730</v>
      </c>
    </row>
    <row r="72" spans="2:11">
      <c r="B72" s="30" t="s">
        <v>594</v>
      </c>
      <c r="C72" s="30" t="s">
        <v>513</v>
      </c>
      <c r="D72" s="30" t="s">
        <v>512</v>
      </c>
      <c r="E72" s="30">
        <v>279</v>
      </c>
      <c r="F72" s="30">
        <v>95</v>
      </c>
      <c r="H72"/>
      <c r="I72"/>
      <c r="J72" t="s">
        <v>659</v>
      </c>
      <c r="K72" t="s">
        <v>731</v>
      </c>
    </row>
    <row r="73" spans="2:11">
      <c r="B73" s="30" t="s">
        <v>594</v>
      </c>
      <c r="C73" s="30" t="s">
        <v>507</v>
      </c>
      <c r="D73" s="30" t="s">
        <v>506</v>
      </c>
      <c r="E73" s="30">
        <v>273</v>
      </c>
      <c r="F73" s="30">
        <v>95</v>
      </c>
      <c r="H73"/>
      <c r="I73"/>
      <c r="J73" t="s">
        <v>659</v>
      </c>
      <c r="K73" t="s">
        <v>732</v>
      </c>
    </row>
    <row r="74" spans="2:11">
      <c r="B74" s="30" t="s">
        <v>594</v>
      </c>
      <c r="C74" s="30" t="s">
        <v>503</v>
      </c>
      <c r="D74" s="30" t="s">
        <v>502</v>
      </c>
      <c r="E74" s="30">
        <v>271</v>
      </c>
      <c r="F74" s="30">
        <v>95</v>
      </c>
      <c r="H74"/>
      <c r="I74"/>
      <c r="J74" t="s">
        <v>659</v>
      </c>
      <c r="K74" t="s">
        <v>733</v>
      </c>
    </row>
    <row r="75" spans="2:11">
      <c r="B75" s="30" t="s">
        <v>594</v>
      </c>
      <c r="C75" s="30" t="s">
        <v>499</v>
      </c>
      <c r="D75" s="30" t="s">
        <v>498</v>
      </c>
      <c r="E75" s="30">
        <v>137</v>
      </c>
      <c r="F75" s="30">
        <v>95</v>
      </c>
      <c r="H75"/>
      <c r="I75"/>
      <c r="J75" t="s">
        <v>659</v>
      </c>
      <c r="K75" t="s">
        <v>734</v>
      </c>
    </row>
    <row r="76" spans="2:11">
      <c r="B76" s="30" t="s">
        <v>594</v>
      </c>
      <c r="C76" s="30" t="s">
        <v>495</v>
      </c>
      <c r="D76" s="30" t="s">
        <v>494</v>
      </c>
      <c r="E76" s="30">
        <v>136</v>
      </c>
      <c r="F76" s="30">
        <v>95</v>
      </c>
      <c r="H76"/>
      <c r="I76"/>
      <c r="J76" t="s">
        <v>659</v>
      </c>
      <c r="K76" t="s">
        <v>735</v>
      </c>
    </row>
    <row r="77" spans="2:11">
      <c r="B77" s="30" t="s">
        <v>594</v>
      </c>
      <c r="C77" s="30" t="s">
        <v>491</v>
      </c>
      <c r="D77" s="30" t="s">
        <v>490</v>
      </c>
      <c r="E77" s="30">
        <v>277</v>
      </c>
      <c r="F77" s="30">
        <v>95</v>
      </c>
      <c r="H77"/>
      <c r="I77"/>
      <c r="J77" t="s">
        <v>659</v>
      </c>
      <c r="K77" t="s">
        <v>736</v>
      </c>
    </row>
    <row r="78" spans="2:11">
      <c r="B78" s="30" t="s">
        <v>594</v>
      </c>
      <c r="C78" s="30" t="s">
        <v>487</v>
      </c>
      <c r="D78" s="30" t="s">
        <v>486</v>
      </c>
      <c r="E78" s="30">
        <v>272</v>
      </c>
      <c r="F78" s="30">
        <v>95</v>
      </c>
      <c r="H78"/>
      <c r="I78"/>
      <c r="J78" t="s">
        <v>659</v>
      </c>
      <c r="K78" t="s">
        <v>737</v>
      </c>
    </row>
    <row r="79" spans="2:11">
      <c r="B79" s="30" t="s">
        <v>594</v>
      </c>
      <c r="C79" s="30" t="s">
        <v>483</v>
      </c>
      <c r="D79" s="30" t="s">
        <v>482</v>
      </c>
      <c r="E79" s="30">
        <v>281</v>
      </c>
      <c r="F79" s="30">
        <v>95</v>
      </c>
      <c r="H79"/>
      <c r="I79"/>
      <c r="J79" t="s">
        <v>659</v>
      </c>
      <c r="K79" t="s">
        <v>738</v>
      </c>
    </row>
    <row r="80" spans="2:11">
      <c r="B80" s="30" t="s">
        <v>594</v>
      </c>
      <c r="C80" s="30" t="s">
        <v>479</v>
      </c>
      <c r="D80" s="30" t="s">
        <v>478</v>
      </c>
      <c r="E80" s="30">
        <v>115</v>
      </c>
      <c r="F80" s="30">
        <v>95</v>
      </c>
      <c r="H80"/>
      <c r="I80"/>
      <c r="J80" t="s">
        <v>659</v>
      </c>
      <c r="K80" t="s">
        <v>739</v>
      </c>
    </row>
    <row r="81" spans="2:11">
      <c r="B81" s="30" t="s">
        <v>594</v>
      </c>
      <c r="C81" s="30" t="s">
        <v>475</v>
      </c>
      <c r="D81" s="30" t="s">
        <v>474</v>
      </c>
      <c r="E81" s="30">
        <v>130</v>
      </c>
      <c r="F81" s="30">
        <v>95</v>
      </c>
      <c r="H81"/>
      <c r="I81"/>
      <c r="J81" t="s">
        <v>659</v>
      </c>
      <c r="K81" t="s">
        <v>740</v>
      </c>
    </row>
    <row r="82" spans="2:11">
      <c r="B82" s="30" t="s">
        <v>594</v>
      </c>
      <c r="C82" s="30" t="s">
        <v>471</v>
      </c>
      <c r="D82" s="30" t="s">
        <v>470</v>
      </c>
      <c r="E82" s="30">
        <v>278</v>
      </c>
      <c r="F82" s="30">
        <v>95</v>
      </c>
      <c r="H82"/>
      <c r="I82"/>
      <c r="J82" t="s">
        <v>659</v>
      </c>
      <c r="K82" t="s">
        <v>741</v>
      </c>
    </row>
    <row r="83" spans="2:11">
      <c r="B83" s="30" t="s">
        <v>594</v>
      </c>
      <c r="C83" s="30" t="s">
        <v>467</v>
      </c>
      <c r="D83" s="30" t="s">
        <v>466</v>
      </c>
      <c r="E83" s="30">
        <v>276</v>
      </c>
      <c r="F83" s="30">
        <v>95</v>
      </c>
      <c r="H83"/>
      <c r="I83"/>
      <c r="J83" t="s">
        <v>659</v>
      </c>
      <c r="K83" t="s">
        <v>742</v>
      </c>
    </row>
    <row r="84" spans="2:11">
      <c r="B84" s="30" t="s">
        <v>594</v>
      </c>
      <c r="C84" s="30" t="s">
        <v>463</v>
      </c>
      <c r="D84" s="30" t="s">
        <v>462</v>
      </c>
      <c r="E84" s="30">
        <v>138</v>
      </c>
      <c r="F84" s="30">
        <v>95</v>
      </c>
      <c r="H84"/>
      <c r="I84"/>
      <c r="J84" t="s">
        <v>659</v>
      </c>
      <c r="K84" t="s">
        <v>743</v>
      </c>
    </row>
    <row r="85" spans="2:11">
      <c r="B85" s="30" t="s">
        <v>594</v>
      </c>
      <c r="C85" s="30" t="s">
        <v>459</v>
      </c>
      <c r="D85" s="30" t="s">
        <v>458</v>
      </c>
      <c r="E85" s="30">
        <v>294</v>
      </c>
      <c r="F85" s="30">
        <v>110</v>
      </c>
      <c r="H85"/>
      <c r="I85"/>
      <c r="J85" t="s">
        <v>659</v>
      </c>
      <c r="K85" t="s">
        <v>744</v>
      </c>
    </row>
    <row r="86" spans="2:11">
      <c r="B86" s="30" t="s">
        <v>594</v>
      </c>
      <c r="C86" s="30" t="s">
        <v>455</v>
      </c>
      <c r="D86" s="30" t="s">
        <v>454</v>
      </c>
      <c r="E86" s="30">
        <v>284</v>
      </c>
      <c r="F86" s="30">
        <v>110</v>
      </c>
      <c r="H86"/>
      <c r="I86"/>
      <c r="J86" t="s">
        <v>660</v>
      </c>
      <c r="K86" t="s">
        <v>745</v>
      </c>
    </row>
    <row r="87" spans="2:11">
      <c r="B87" s="30" t="s">
        <v>594</v>
      </c>
      <c r="C87" s="30" t="s">
        <v>451</v>
      </c>
      <c r="D87" s="30" t="s">
        <v>450</v>
      </c>
      <c r="E87" s="30">
        <v>253</v>
      </c>
      <c r="F87" s="30">
        <v>110</v>
      </c>
      <c r="H87"/>
      <c r="I87"/>
      <c r="J87" t="s">
        <v>660</v>
      </c>
      <c r="K87" t="s">
        <v>746</v>
      </c>
    </row>
    <row r="88" spans="2:11">
      <c r="B88" s="30" t="s">
        <v>594</v>
      </c>
      <c r="C88" s="30" t="s">
        <v>447</v>
      </c>
      <c r="D88" s="30" t="s">
        <v>446</v>
      </c>
      <c r="E88" s="30">
        <v>295</v>
      </c>
      <c r="F88" s="30">
        <v>110</v>
      </c>
      <c r="H88"/>
      <c r="I88"/>
      <c r="J88" t="s">
        <v>660</v>
      </c>
      <c r="K88" t="s">
        <v>747</v>
      </c>
    </row>
    <row r="89" spans="2:11">
      <c r="B89" s="30" t="s">
        <v>594</v>
      </c>
      <c r="C89" s="30" t="s">
        <v>443</v>
      </c>
      <c r="D89" s="30" t="s">
        <v>442</v>
      </c>
      <c r="E89" s="30">
        <v>288</v>
      </c>
      <c r="F89" s="30">
        <v>110</v>
      </c>
      <c r="H89"/>
      <c r="I89"/>
      <c r="J89" t="s">
        <v>660</v>
      </c>
      <c r="K89" t="s">
        <v>748</v>
      </c>
    </row>
    <row r="90" spans="2:11">
      <c r="B90" s="30" t="s">
        <v>594</v>
      </c>
      <c r="C90" s="30" t="s">
        <v>439</v>
      </c>
      <c r="D90" s="30" t="s">
        <v>438</v>
      </c>
      <c r="E90" s="30">
        <v>255</v>
      </c>
      <c r="F90" s="30">
        <v>110</v>
      </c>
      <c r="H90"/>
      <c r="I90"/>
      <c r="J90" t="s">
        <v>660</v>
      </c>
      <c r="K90" t="s">
        <v>749</v>
      </c>
    </row>
    <row r="91" spans="2:11">
      <c r="B91" s="30" t="s">
        <v>594</v>
      </c>
      <c r="C91" s="30" t="s">
        <v>435</v>
      </c>
      <c r="D91" s="30" t="s">
        <v>434</v>
      </c>
      <c r="E91" s="30">
        <v>289</v>
      </c>
      <c r="F91" s="30">
        <v>110</v>
      </c>
      <c r="H91"/>
      <c r="I91"/>
      <c r="J91" t="s">
        <v>660</v>
      </c>
      <c r="K91" t="s">
        <v>762</v>
      </c>
    </row>
    <row r="92" spans="2:11">
      <c r="B92" s="30" t="s">
        <v>594</v>
      </c>
      <c r="C92" s="30" t="s">
        <v>431</v>
      </c>
      <c r="D92" s="30" t="s">
        <v>430</v>
      </c>
      <c r="E92" s="30">
        <v>257</v>
      </c>
      <c r="F92" s="30">
        <v>110</v>
      </c>
      <c r="H92"/>
      <c r="I92"/>
      <c r="J92" t="s">
        <v>631</v>
      </c>
      <c r="K92" t="s">
        <v>750</v>
      </c>
    </row>
    <row r="93" spans="2:11">
      <c r="B93" s="30" t="s">
        <v>594</v>
      </c>
      <c r="C93" s="30" t="s">
        <v>427</v>
      </c>
      <c r="D93" s="30" t="s">
        <v>426</v>
      </c>
      <c r="E93" s="30">
        <v>263</v>
      </c>
      <c r="F93" s="30">
        <v>110</v>
      </c>
      <c r="H93"/>
      <c r="I93"/>
      <c r="J93" t="s">
        <v>631</v>
      </c>
      <c r="K93" t="s">
        <v>646</v>
      </c>
    </row>
    <row r="94" spans="2:11">
      <c r="B94" s="30" t="s">
        <v>594</v>
      </c>
      <c r="C94" s="30" t="s">
        <v>425</v>
      </c>
      <c r="D94" s="30" t="s">
        <v>424</v>
      </c>
      <c r="E94" s="30">
        <v>192</v>
      </c>
      <c r="F94" s="30">
        <v>110</v>
      </c>
      <c r="H94"/>
      <c r="I94"/>
      <c r="J94" t="s">
        <v>631</v>
      </c>
      <c r="K94" t="s">
        <v>751</v>
      </c>
    </row>
    <row r="95" spans="2:11">
      <c r="B95" s="30" t="s">
        <v>594</v>
      </c>
      <c r="C95" s="30" t="s">
        <v>423</v>
      </c>
      <c r="D95" s="30" t="s">
        <v>422</v>
      </c>
      <c r="E95" s="30">
        <v>155</v>
      </c>
      <c r="F95" s="30">
        <v>110</v>
      </c>
      <c r="H95"/>
      <c r="I95"/>
      <c r="J95" t="s">
        <v>631</v>
      </c>
      <c r="K95" t="s">
        <v>752</v>
      </c>
    </row>
    <row r="96" spans="2:11">
      <c r="B96" s="30" t="s">
        <v>594</v>
      </c>
      <c r="C96" s="30" t="s">
        <v>421</v>
      </c>
      <c r="D96" s="30" t="s">
        <v>420</v>
      </c>
      <c r="E96" s="30">
        <v>162</v>
      </c>
      <c r="F96" s="30">
        <v>110</v>
      </c>
      <c r="H96"/>
      <c r="I96"/>
      <c r="J96" t="s">
        <v>631</v>
      </c>
      <c r="K96" t="s">
        <v>753</v>
      </c>
    </row>
    <row r="97" spans="2:11">
      <c r="B97" s="30" t="s">
        <v>594</v>
      </c>
      <c r="C97" s="30" t="s">
        <v>419</v>
      </c>
      <c r="D97" s="30" t="s">
        <v>418</v>
      </c>
      <c r="E97" s="30">
        <v>264</v>
      </c>
      <c r="F97" s="30">
        <v>110</v>
      </c>
      <c r="H97"/>
      <c r="I97"/>
      <c r="J97" t="s">
        <v>631</v>
      </c>
      <c r="K97" t="s">
        <v>754</v>
      </c>
    </row>
    <row r="98" spans="2:11">
      <c r="B98" s="30" t="s">
        <v>594</v>
      </c>
      <c r="C98" s="30" t="s">
        <v>417</v>
      </c>
      <c r="D98" s="30" t="s">
        <v>416</v>
      </c>
      <c r="E98" s="30">
        <v>285</v>
      </c>
      <c r="F98" s="30">
        <v>110</v>
      </c>
      <c r="H98"/>
      <c r="I98"/>
      <c r="J98" t="s">
        <v>631</v>
      </c>
      <c r="K98" t="s">
        <v>755</v>
      </c>
    </row>
    <row r="99" spans="2:11">
      <c r="B99" s="30" t="s">
        <v>587</v>
      </c>
      <c r="C99" s="30" t="s">
        <v>540</v>
      </c>
      <c r="D99" s="30" t="s">
        <v>539</v>
      </c>
      <c r="E99" s="30">
        <v>185</v>
      </c>
      <c r="F99" s="30">
        <v>125</v>
      </c>
      <c r="H99"/>
      <c r="I99"/>
      <c r="J99" t="s">
        <v>631</v>
      </c>
      <c r="K99" t="s">
        <v>756</v>
      </c>
    </row>
    <row r="100" spans="2:11">
      <c r="B100" s="30" t="s">
        <v>587</v>
      </c>
      <c r="C100" s="30" t="s">
        <v>534</v>
      </c>
      <c r="D100" s="30" t="s">
        <v>533</v>
      </c>
      <c r="E100" s="30">
        <v>189</v>
      </c>
      <c r="F100" s="30">
        <v>125</v>
      </c>
      <c r="H100"/>
      <c r="I100"/>
      <c r="J100" t="s">
        <v>631</v>
      </c>
      <c r="K100" t="s">
        <v>757</v>
      </c>
    </row>
    <row r="101" spans="2:11">
      <c r="B101" s="30" t="s">
        <v>587</v>
      </c>
      <c r="C101" s="30" t="s">
        <v>523</v>
      </c>
      <c r="D101" s="30" t="s">
        <v>528</v>
      </c>
      <c r="E101" s="30">
        <v>188</v>
      </c>
      <c r="F101" s="30">
        <v>125</v>
      </c>
      <c r="H101"/>
      <c r="I101"/>
      <c r="J101" t="s">
        <v>631</v>
      </c>
      <c r="K101" t="s">
        <v>758</v>
      </c>
    </row>
    <row r="102" spans="2:11">
      <c r="B102" s="30" t="s">
        <v>587</v>
      </c>
      <c r="C102" s="30" t="s">
        <v>763</v>
      </c>
      <c r="D102" s="30" t="s">
        <v>522</v>
      </c>
      <c r="E102" s="30">
        <v>187</v>
      </c>
      <c r="F102" s="30">
        <v>125</v>
      </c>
      <c r="H102"/>
      <c r="I102"/>
      <c r="J102" t="s">
        <v>631</v>
      </c>
      <c r="K102" t="s">
        <v>759</v>
      </c>
    </row>
    <row r="103" spans="2:11">
      <c r="B103" s="30" t="s">
        <v>587</v>
      </c>
      <c r="C103" s="30" t="s">
        <v>517</v>
      </c>
      <c r="D103" s="30" t="s">
        <v>516</v>
      </c>
      <c r="E103" s="30">
        <v>265</v>
      </c>
      <c r="F103" s="30">
        <v>125</v>
      </c>
      <c r="H103"/>
      <c r="I103"/>
      <c r="J103" t="s">
        <v>631</v>
      </c>
      <c r="K103" t="s">
        <v>760</v>
      </c>
    </row>
    <row r="104" spans="2:11">
      <c r="B104" s="30" t="s">
        <v>587</v>
      </c>
      <c r="C104" s="30" t="s">
        <v>511</v>
      </c>
      <c r="D104" s="30" t="s">
        <v>510</v>
      </c>
      <c r="E104" s="30">
        <v>184</v>
      </c>
      <c r="F104" s="30">
        <v>125</v>
      </c>
      <c r="H104"/>
      <c r="I104"/>
      <c r="J104" t="s">
        <v>631</v>
      </c>
      <c r="K104" t="s">
        <v>761</v>
      </c>
    </row>
    <row r="105" spans="2:11">
      <c r="H105"/>
      <c r="I105"/>
      <c r="J105"/>
      <c r="K105"/>
    </row>
    <row r="106" spans="2:11">
      <c r="H106"/>
      <c r="I106"/>
      <c r="J106"/>
      <c r="K106"/>
    </row>
    <row r="107" spans="2:11">
      <c r="H107"/>
      <c r="I107"/>
      <c r="J107"/>
      <c r="K107"/>
    </row>
    <row r="108" spans="2:11">
      <c r="H108"/>
      <c r="I108"/>
      <c r="J108"/>
      <c r="K108"/>
    </row>
    <row r="109" spans="2:11">
      <c r="H109"/>
      <c r="I109"/>
      <c r="J109"/>
      <c r="K109"/>
    </row>
    <row r="110" spans="2:11">
      <c r="H110"/>
      <c r="I110"/>
      <c r="J110"/>
      <c r="K110"/>
    </row>
    <row r="111" spans="2:11">
      <c r="H111"/>
      <c r="I111"/>
      <c r="J111"/>
      <c r="K111"/>
    </row>
    <row r="112" spans="2:11">
      <c r="H112"/>
      <c r="J112"/>
      <c r="K112"/>
    </row>
  </sheetData>
  <phoneticPr fontId="7" type="noConversion"/>
  <pageMargins left="0.7" right="0.7" top="0.75" bottom="0.75" header="0.3" footer="0.3"/>
  <pageSetup paperSize="9" orientation="portrait"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T15" sqref="T15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80" t="s">
        <v>401</v>
      </c>
      <c r="C2" s="455"/>
      <c r="D2" s="455"/>
      <c r="E2" s="455"/>
      <c r="F2" s="455"/>
      <c r="G2" s="455"/>
      <c r="H2" s="456"/>
      <c r="I2" s="456"/>
      <c r="J2" s="456"/>
      <c r="K2" s="456"/>
      <c r="L2" s="456"/>
      <c r="S2" s="104" t="s">
        <v>632</v>
      </c>
      <c r="T2" s="533" t="s">
        <v>766</v>
      </c>
    </row>
    <row r="3" spans="2:23" ht="17.25" thickBot="1">
      <c r="I3" s="155"/>
      <c r="J3" s="155"/>
      <c r="K3" s="155"/>
    </row>
    <row r="4" spans="2:23" s="67" customFormat="1" ht="30.75" customHeight="1">
      <c r="B4" s="525" t="s">
        <v>41</v>
      </c>
      <c r="C4" s="526" t="s">
        <v>42</v>
      </c>
      <c r="D4" s="526" t="s">
        <v>635</v>
      </c>
      <c r="E4" s="526" t="s">
        <v>636</v>
      </c>
      <c r="F4" s="526" t="s">
        <v>637</v>
      </c>
      <c r="G4" s="526" t="s">
        <v>638</v>
      </c>
      <c r="H4" s="526" t="s">
        <v>639</v>
      </c>
      <c r="I4" s="526" t="s">
        <v>640</v>
      </c>
      <c r="J4" s="526" t="s">
        <v>641</v>
      </c>
      <c r="K4" s="526" t="s">
        <v>642</v>
      </c>
      <c r="L4" s="526" t="s">
        <v>643</v>
      </c>
      <c r="M4" s="526" t="s">
        <v>644</v>
      </c>
      <c r="N4" s="527" t="s">
        <v>645</v>
      </c>
      <c r="O4" s="528" t="s">
        <v>44</v>
      </c>
      <c r="P4" s="527" t="s">
        <v>45</v>
      </c>
      <c r="S4" s="534" t="s">
        <v>629</v>
      </c>
      <c r="T4" s="535" t="s">
        <v>630</v>
      </c>
    </row>
    <row r="5" spans="2:23" ht="22.5" customHeight="1">
      <c r="B5" s="457">
        <v>1993</v>
      </c>
      <c r="C5" s="458">
        <v>4.5999999999999996</v>
      </c>
      <c r="D5" s="458">
        <v>66.7</v>
      </c>
      <c r="E5" s="458">
        <v>21.6</v>
      </c>
      <c r="F5" s="458">
        <v>32.6</v>
      </c>
      <c r="G5" s="458">
        <v>68.5</v>
      </c>
      <c r="H5" s="458">
        <v>225.5</v>
      </c>
      <c r="I5" s="458">
        <v>241.5</v>
      </c>
      <c r="J5" s="459">
        <v>206.5</v>
      </c>
      <c r="K5" s="458">
        <v>141.5</v>
      </c>
      <c r="L5" s="458">
        <v>32</v>
      </c>
      <c r="M5" s="458">
        <v>87.4</v>
      </c>
      <c r="N5" s="460">
        <v>33.700000000000003</v>
      </c>
      <c r="O5" s="442">
        <f>ROUND(SUM(C5:N5),1)</f>
        <v>1162.0999999999999</v>
      </c>
      <c r="P5" s="443">
        <f>ROUND(O5/12,1)</f>
        <v>96.8</v>
      </c>
      <c r="Q5" s="68"/>
      <c r="R5" s="133"/>
      <c r="S5" s="440" t="s">
        <v>658</v>
      </c>
      <c r="T5" s="441" t="s">
        <v>712</v>
      </c>
      <c r="V5" s="133"/>
      <c r="W5" s="132"/>
    </row>
    <row r="6" spans="2:23" ht="22.5" customHeight="1" thickBot="1">
      <c r="B6" s="61">
        <v>1994</v>
      </c>
      <c r="C6" s="461">
        <v>17.899999999999999</v>
      </c>
      <c r="D6" s="461">
        <v>6</v>
      </c>
      <c r="E6" s="461">
        <v>58.2</v>
      </c>
      <c r="F6" s="461">
        <v>51.5</v>
      </c>
      <c r="G6" s="461">
        <v>135.5</v>
      </c>
      <c r="H6" s="461">
        <v>207</v>
      </c>
      <c r="I6" s="461">
        <v>137</v>
      </c>
      <c r="J6" s="462">
        <v>443.5</v>
      </c>
      <c r="K6" s="461">
        <v>21</v>
      </c>
      <c r="L6" s="461">
        <v>155</v>
      </c>
      <c r="M6" s="461">
        <v>17.5</v>
      </c>
      <c r="N6" s="463">
        <v>18.899999999999999</v>
      </c>
      <c r="O6" s="444">
        <f t="shared" ref="O6:O34" si="0">ROUND(SUM(C6:N6),1)</f>
        <v>1269</v>
      </c>
      <c r="P6" s="445">
        <f t="shared" ref="P6:P34" si="1">ROUND(O6/12,1)</f>
        <v>105.8</v>
      </c>
      <c r="Q6" s="68"/>
      <c r="R6" s="133"/>
      <c r="S6" s="536"/>
      <c r="T6" s="508" t="str">
        <f>VLOOKUP(T5, KorEngMatchRange, 2,0)</f>
        <v>Seoul</v>
      </c>
      <c r="V6" s="133"/>
      <c r="W6" s="132"/>
    </row>
    <row r="7" spans="2:23" ht="22.5" customHeight="1">
      <c r="B7" s="61">
        <v>1995</v>
      </c>
      <c r="C7" s="461">
        <v>15.7</v>
      </c>
      <c r="D7" s="461">
        <v>11</v>
      </c>
      <c r="E7" s="461">
        <v>19.600000000000001</v>
      </c>
      <c r="F7" s="461">
        <v>65.5</v>
      </c>
      <c r="G7" s="461">
        <v>49.5</v>
      </c>
      <c r="H7" s="461">
        <v>26.5</v>
      </c>
      <c r="I7" s="461">
        <v>144.5</v>
      </c>
      <c r="J7" s="461">
        <v>996.5</v>
      </c>
      <c r="K7" s="461">
        <v>70.5</v>
      </c>
      <c r="L7" s="461">
        <v>24.5</v>
      </c>
      <c r="M7" s="461">
        <v>23</v>
      </c>
      <c r="N7" s="463">
        <v>12.7</v>
      </c>
      <c r="O7" s="444">
        <f t="shared" si="0"/>
        <v>1459.5</v>
      </c>
      <c r="P7" s="445">
        <f t="shared" si="1"/>
        <v>121.6</v>
      </c>
      <c r="Q7" s="68"/>
      <c r="R7" s="133"/>
      <c r="T7"/>
      <c r="V7" s="133"/>
      <c r="W7" s="132"/>
    </row>
    <row r="8" spans="2:23" ht="22.5" customHeight="1">
      <c r="B8" s="61">
        <v>1996</v>
      </c>
      <c r="C8" s="461">
        <v>33.4</v>
      </c>
      <c r="D8" s="461">
        <v>6.8</v>
      </c>
      <c r="E8" s="461">
        <v>104.5</v>
      </c>
      <c r="F8" s="461">
        <v>34</v>
      </c>
      <c r="G8" s="461">
        <v>22.5</v>
      </c>
      <c r="H8" s="461">
        <v>235</v>
      </c>
      <c r="I8" s="461">
        <v>192.5</v>
      </c>
      <c r="J8" s="461">
        <v>44.5</v>
      </c>
      <c r="K8" s="461">
        <v>14</v>
      </c>
      <c r="L8" s="461">
        <v>106.5</v>
      </c>
      <c r="M8" s="461">
        <v>74.2</v>
      </c>
      <c r="N8" s="463">
        <v>31.7</v>
      </c>
      <c r="O8" s="444">
        <f t="shared" si="0"/>
        <v>899.6</v>
      </c>
      <c r="P8" s="445">
        <f t="shared" si="1"/>
        <v>75</v>
      </c>
      <c r="Q8" s="68"/>
      <c r="T8"/>
      <c r="V8" s="133"/>
      <c r="W8" s="132"/>
    </row>
    <row r="9" spans="2:23" ht="22.5" customHeight="1">
      <c r="B9" s="61">
        <v>1997</v>
      </c>
      <c r="C9" s="461">
        <v>15.1</v>
      </c>
      <c r="D9" s="461">
        <v>38.4</v>
      </c>
      <c r="E9" s="461">
        <v>30.5</v>
      </c>
      <c r="F9" s="461">
        <v>57.5</v>
      </c>
      <c r="G9" s="461">
        <v>203</v>
      </c>
      <c r="H9" s="461">
        <v>272</v>
      </c>
      <c r="I9" s="461">
        <v>353.5</v>
      </c>
      <c r="J9" s="461">
        <v>211.5</v>
      </c>
      <c r="K9" s="461">
        <v>23</v>
      </c>
      <c r="L9" s="461">
        <v>10</v>
      </c>
      <c r="M9" s="461">
        <v>193.5</v>
      </c>
      <c r="N9" s="463">
        <v>34.299999999999997</v>
      </c>
      <c r="O9" s="444">
        <f t="shared" si="0"/>
        <v>1442.3</v>
      </c>
      <c r="P9" s="445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61">
        <v>29.9</v>
      </c>
      <c r="D10" s="461">
        <v>40.200000000000003</v>
      </c>
      <c r="E10" s="461">
        <v>30.5</v>
      </c>
      <c r="F10" s="461">
        <v>138</v>
      </c>
      <c r="G10" s="461">
        <v>100</v>
      </c>
      <c r="H10" s="461">
        <v>209.5</v>
      </c>
      <c r="I10" s="461">
        <v>263</v>
      </c>
      <c r="J10" s="461">
        <v>341.7</v>
      </c>
      <c r="K10" s="461">
        <v>150.30000000000001</v>
      </c>
      <c r="L10" s="461">
        <v>61</v>
      </c>
      <c r="M10" s="461">
        <v>29.3</v>
      </c>
      <c r="N10" s="463">
        <v>3.8</v>
      </c>
      <c r="O10" s="444">
        <f t="shared" si="0"/>
        <v>1397.2</v>
      </c>
      <c r="P10" s="445">
        <f t="shared" si="1"/>
        <v>116.4</v>
      </c>
      <c r="Q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61">
        <v>7.9</v>
      </c>
      <c r="D11" s="461">
        <v>9.5</v>
      </c>
      <c r="E11" s="461">
        <v>71</v>
      </c>
      <c r="F11" s="461">
        <v>88.5</v>
      </c>
      <c r="G11" s="461">
        <v>124.5</v>
      </c>
      <c r="H11" s="461">
        <v>192.5</v>
      </c>
      <c r="I11" s="461">
        <v>98</v>
      </c>
      <c r="J11" s="461">
        <v>180</v>
      </c>
      <c r="K11" s="461">
        <v>292.5</v>
      </c>
      <c r="L11" s="461">
        <v>169</v>
      </c>
      <c r="M11" s="461">
        <v>24.9</v>
      </c>
      <c r="N11" s="463">
        <v>25.8</v>
      </c>
      <c r="O11" s="444">
        <f t="shared" si="0"/>
        <v>1284.0999999999999</v>
      </c>
      <c r="P11" s="445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61">
        <v>42.1</v>
      </c>
      <c r="D12" s="461">
        <v>3.2</v>
      </c>
      <c r="E12" s="461">
        <v>7</v>
      </c>
      <c r="F12" s="461">
        <v>35</v>
      </c>
      <c r="G12" s="461">
        <v>53.5</v>
      </c>
      <c r="H12" s="461">
        <v>159.5</v>
      </c>
      <c r="I12" s="461">
        <v>155</v>
      </c>
      <c r="J12" s="461">
        <v>701.5</v>
      </c>
      <c r="K12" s="461">
        <v>241</v>
      </c>
      <c r="L12" s="461">
        <v>46</v>
      </c>
      <c r="M12" s="461">
        <v>39.5</v>
      </c>
      <c r="N12" s="463">
        <v>32.1</v>
      </c>
      <c r="O12" s="444">
        <f t="shared" si="0"/>
        <v>1515.4</v>
      </c>
      <c r="P12" s="445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61">
        <v>73.3</v>
      </c>
      <c r="D13" s="461">
        <v>46</v>
      </c>
      <c r="E13" s="461">
        <v>15.9</v>
      </c>
      <c r="F13" s="461">
        <v>26</v>
      </c>
      <c r="G13" s="461">
        <v>17</v>
      </c>
      <c r="H13" s="461">
        <v>129</v>
      </c>
      <c r="I13" s="461">
        <v>286.5</v>
      </c>
      <c r="J13" s="461">
        <v>170</v>
      </c>
      <c r="K13" s="461">
        <v>10</v>
      </c>
      <c r="L13" s="461">
        <v>85</v>
      </c>
      <c r="M13" s="461">
        <v>13</v>
      </c>
      <c r="N13" s="463">
        <v>32</v>
      </c>
      <c r="O13" s="444">
        <f t="shared" si="0"/>
        <v>903.7</v>
      </c>
      <c r="P13" s="445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61">
        <v>50.8</v>
      </c>
      <c r="D14" s="461">
        <v>5.5</v>
      </c>
      <c r="E14" s="461">
        <v>32</v>
      </c>
      <c r="F14" s="461">
        <v>169</v>
      </c>
      <c r="G14" s="461">
        <v>155.5</v>
      </c>
      <c r="H14" s="461">
        <v>72</v>
      </c>
      <c r="I14" s="461">
        <v>217.5</v>
      </c>
      <c r="J14" s="461">
        <v>477</v>
      </c>
      <c r="K14" s="461">
        <v>27</v>
      </c>
      <c r="L14" s="461">
        <v>134</v>
      </c>
      <c r="M14" s="461">
        <v>61.1</v>
      </c>
      <c r="N14" s="463">
        <v>51.8</v>
      </c>
      <c r="O14" s="444">
        <f t="shared" si="0"/>
        <v>1453.2</v>
      </c>
      <c r="P14" s="445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61">
        <v>30.7</v>
      </c>
      <c r="D15" s="461">
        <v>44.5</v>
      </c>
      <c r="E15" s="461">
        <v>39.5</v>
      </c>
      <c r="F15" s="461">
        <v>168.5</v>
      </c>
      <c r="G15" s="461">
        <v>78.5</v>
      </c>
      <c r="H15" s="461">
        <v>153</v>
      </c>
      <c r="I15" s="461">
        <v>309.5</v>
      </c>
      <c r="J15" s="461">
        <v>310</v>
      </c>
      <c r="K15" s="461">
        <v>128</v>
      </c>
      <c r="L15" s="461">
        <v>23</v>
      </c>
      <c r="M15" s="461">
        <v>45.5</v>
      </c>
      <c r="N15" s="463">
        <v>13</v>
      </c>
      <c r="O15" s="444">
        <f t="shared" si="0"/>
        <v>1343.7</v>
      </c>
      <c r="P15" s="445">
        <f t="shared" si="1"/>
        <v>112</v>
      </c>
    </row>
    <row r="16" spans="2:23" ht="22.5" customHeight="1">
      <c r="B16" s="61">
        <v>2004</v>
      </c>
      <c r="C16" s="461">
        <v>22.1</v>
      </c>
      <c r="D16" s="461">
        <v>28.5</v>
      </c>
      <c r="E16" s="461">
        <v>45.7</v>
      </c>
      <c r="F16" s="461">
        <v>58</v>
      </c>
      <c r="G16" s="461">
        <v>105.5</v>
      </c>
      <c r="H16" s="461">
        <v>234.5</v>
      </c>
      <c r="I16" s="461">
        <v>263.5</v>
      </c>
      <c r="J16" s="461">
        <v>164</v>
      </c>
      <c r="K16" s="461">
        <v>195</v>
      </c>
      <c r="L16" s="461">
        <v>4</v>
      </c>
      <c r="M16" s="461">
        <v>56.5</v>
      </c>
      <c r="N16" s="463">
        <v>38.9</v>
      </c>
      <c r="O16" s="444">
        <f t="shared" si="0"/>
        <v>1216.2</v>
      </c>
      <c r="P16" s="445">
        <f t="shared" si="1"/>
        <v>101.4</v>
      </c>
    </row>
    <row r="17" spans="2:16" ht="22.5" customHeight="1">
      <c r="B17" s="61">
        <v>2005</v>
      </c>
      <c r="C17" s="461">
        <v>5.8</v>
      </c>
      <c r="D17" s="461">
        <v>35.799999999999997</v>
      </c>
      <c r="E17" s="461">
        <v>30</v>
      </c>
      <c r="F17" s="461">
        <v>73.5</v>
      </c>
      <c r="G17" s="461">
        <v>48.5</v>
      </c>
      <c r="H17" s="461">
        <v>156</v>
      </c>
      <c r="I17" s="461">
        <v>260.5</v>
      </c>
      <c r="J17" s="461">
        <v>291.5</v>
      </c>
      <c r="K17" s="461">
        <v>282.5</v>
      </c>
      <c r="L17" s="461">
        <v>21</v>
      </c>
      <c r="M17" s="461">
        <v>18</v>
      </c>
      <c r="N17" s="463">
        <v>43.4</v>
      </c>
      <c r="O17" s="444">
        <f t="shared" si="0"/>
        <v>1266.5</v>
      </c>
      <c r="P17" s="445">
        <f t="shared" si="1"/>
        <v>105.5</v>
      </c>
    </row>
    <row r="18" spans="2:16" ht="22.5" customHeight="1">
      <c r="B18" s="61">
        <v>2006</v>
      </c>
      <c r="C18" s="461">
        <v>27</v>
      </c>
      <c r="D18" s="461">
        <v>25.9</v>
      </c>
      <c r="E18" s="461">
        <v>10.6</v>
      </c>
      <c r="F18" s="461">
        <v>81.5</v>
      </c>
      <c r="G18" s="461">
        <v>94.5</v>
      </c>
      <c r="H18" s="461">
        <v>114.5</v>
      </c>
      <c r="I18" s="461">
        <v>321</v>
      </c>
      <c r="J18" s="461">
        <v>21.5</v>
      </c>
      <c r="K18" s="461">
        <v>23.5</v>
      </c>
      <c r="L18" s="461">
        <v>24.5</v>
      </c>
      <c r="M18" s="461">
        <v>61.5</v>
      </c>
      <c r="N18" s="463">
        <v>25.4</v>
      </c>
      <c r="O18" s="444">
        <f t="shared" si="0"/>
        <v>831.4</v>
      </c>
      <c r="P18" s="445">
        <f t="shared" si="1"/>
        <v>69.3</v>
      </c>
    </row>
    <row r="19" spans="2:16" ht="22.5" customHeight="1">
      <c r="B19" s="61">
        <v>2007</v>
      </c>
      <c r="C19" s="461">
        <v>23.4</v>
      </c>
      <c r="D19" s="461">
        <v>29.8</v>
      </c>
      <c r="E19" s="461">
        <v>102</v>
      </c>
      <c r="F19" s="461">
        <v>29.5</v>
      </c>
      <c r="G19" s="461">
        <v>79</v>
      </c>
      <c r="H19" s="461">
        <v>85</v>
      </c>
      <c r="I19" s="461">
        <v>214</v>
      </c>
      <c r="J19" s="461">
        <v>239.5</v>
      </c>
      <c r="K19" s="461">
        <v>384</v>
      </c>
      <c r="L19" s="461">
        <v>59</v>
      </c>
      <c r="M19" s="461">
        <v>17.5</v>
      </c>
      <c r="N19" s="463">
        <v>33.1</v>
      </c>
      <c r="O19" s="444">
        <f t="shared" si="0"/>
        <v>1295.8</v>
      </c>
      <c r="P19" s="445">
        <f t="shared" si="1"/>
        <v>108</v>
      </c>
    </row>
    <row r="20" spans="2:16" ht="22.5" customHeight="1">
      <c r="B20" s="61">
        <v>2008</v>
      </c>
      <c r="C20" s="461">
        <v>20.9</v>
      </c>
      <c r="D20" s="461">
        <v>10.8</v>
      </c>
      <c r="E20" s="461">
        <v>48.2</v>
      </c>
      <c r="F20" s="461">
        <v>40.5</v>
      </c>
      <c r="G20" s="461">
        <v>78.900000000000006</v>
      </c>
      <c r="H20" s="461">
        <v>101.3</v>
      </c>
      <c r="I20" s="461">
        <v>257.2</v>
      </c>
      <c r="J20" s="461">
        <v>119.5</v>
      </c>
      <c r="K20" s="461">
        <v>46.9</v>
      </c>
      <c r="L20" s="461">
        <v>26.7</v>
      </c>
      <c r="M20" s="461">
        <v>37.6</v>
      </c>
      <c r="N20" s="463">
        <v>25</v>
      </c>
      <c r="O20" s="444">
        <f t="shared" si="0"/>
        <v>813.5</v>
      </c>
      <c r="P20" s="445">
        <f t="shared" si="1"/>
        <v>67.8</v>
      </c>
    </row>
    <row r="21" spans="2:16" ht="22.5" customHeight="1">
      <c r="B21" s="61">
        <v>2009</v>
      </c>
      <c r="C21" s="461">
        <v>18.5</v>
      </c>
      <c r="D21" s="461">
        <v>23.3</v>
      </c>
      <c r="E21" s="461">
        <v>55.1</v>
      </c>
      <c r="F21" s="461">
        <v>41.5</v>
      </c>
      <c r="G21" s="461">
        <v>154.5</v>
      </c>
      <c r="H21" s="461">
        <v>115.1</v>
      </c>
      <c r="I21" s="461">
        <v>320.89999999999998</v>
      </c>
      <c r="J21" s="461">
        <v>176.6</v>
      </c>
      <c r="K21" s="461">
        <v>25.5</v>
      </c>
      <c r="L21" s="461">
        <v>39.5</v>
      </c>
      <c r="M21" s="461">
        <v>52.9</v>
      </c>
      <c r="N21" s="463">
        <v>58</v>
      </c>
      <c r="O21" s="444">
        <f t="shared" si="0"/>
        <v>1081.4000000000001</v>
      </c>
      <c r="P21" s="445">
        <f t="shared" si="1"/>
        <v>90.1</v>
      </c>
    </row>
    <row r="22" spans="2:16" ht="22.5" customHeight="1">
      <c r="B22" s="61">
        <v>2010</v>
      </c>
      <c r="C22" s="461">
        <v>30.1</v>
      </c>
      <c r="D22" s="461">
        <v>73.5</v>
      </c>
      <c r="E22" s="461">
        <v>75.900000000000006</v>
      </c>
      <c r="F22" s="461">
        <v>58.5</v>
      </c>
      <c r="G22" s="461">
        <v>122.8</v>
      </c>
      <c r="H22" s="461">
        <v>60.8</v>
      </c>
      <c r="I22" s="461">
        <v>396.5</v>
      </c>
      <c r="J22" s="461">
        <v>402.7</v>
      </c>
      <c r="K22" s="461">
        <v>213.1</v>
      </c>
      <c r="L22" s="461">
        <v>19.2</v>
      </c>
      <c r="M22" s="461">
        <v>16.3</v>
      </c>
      <c r="N22" s="463">
        <v>32.9</v>
      </c>
      <c r="O22" s="444">
        <f t="shared" si="0"/>
        <v>1502.3</v>
      </c>
      <c r="P22" s="445">
        <f t="shared" si="1"/>
        <v>125.2</v>
      </c>
    </row>
    <row r="23" spans="2:16" ht="22.5" customHeight="1">
      <c r="B23" s="61">
        <v>2011</v>
      </c>
      <c r="C23" s="461">
        <v>11.1</v>
      </c>
      <c r="D23" s="461">
        <v>37.5</v>
      </c>
      <c r="E23" s="461">
        <v>18</v>
      </c>
      <c r="F23" s="461">
        <v>72.099999999999994</v>
      </c>
      <c r="G23" s="461">
        <v>115.3</v>
      </c>
      <c r="H23" s="461">
        <v>318</v>
      </c>
      <c r="I23" s="461">
        <v>723.1</v>
      </c>
      <c r="J23" s="461">
        <v>289.39999999999998</v>
      </c>
      <c r="K23" s="461">
        <v>70.8</v>
      </c>
      <c r="L23" s="461">
        <v>13.9</v>
      </c>
      <c r="M23" s="461">
        <v>61.3</v>
      </c>
      <c r="N23" s="463">
        <v>12.5</v>
      </c>
      <c r="O23" s="444">
        <f t="shared" si="0"/>
        <v>1743</v>
      </c>
      <c r="P23" s="445">
        <f t="shared" si="1"/>
        <v>145.30000000000001</v>
      </c>
    </row>
    <row r="24" spans="2:16" ht="22.5" customHeight="1">
      <c r="B24" s="61">
        <v>2012</v>
      </c>
      <c r="C24" s="461">
        <v>24.2</v>
      </c>
      <c r="D24" s="461">
        <v>9.1999999999999993</v>
      </c>
      <c r="E24" s="461">
        <v>45</v>
      </c>
      <c r="F24" s="461">
        <v>68.900000000000006</v>
      </c>
      <c r="G24" s="461">
        <v>14.6</v>
      </c>
      <c r="H24" s="461">
        <v>76.8</v>
      </c>
      <c r="I24" s="461">
        <v>231.1</v>
      </c>
      <c r="J24" s="461">
        <v>450.2</v>
      </c>
      <c r="K24" s="461">
        <v>207.7</v>
      </c>
      <c r="L24" s="461">
        <v>65</v>
      </c>
      <c r="M24" s="461">
        <v>61.1</v>
      </c>
      <c r="N24" s="463">
        <v>65.2</v>
      </c>
      <c r="O24" s="444">
        <f t="shared" si="0"/>
        <v>1319</v>
      </c>
      <c r="P24" s="445">
        <f t="shared" si="1"/>
        <v>109.9</v>
      </c>
    </row>
    <row r="25" spans="2:16" ht="22.5" customHeight="1">
      <c r="B25" s="61">
        <v>2013</v>
      </c>
      <c r="C25" s="461">
        <v>28.4</v>
      </c>
      <c r="D25" s="461">
        <v>40.700000000000003</v>
      </c>
      <c r="E25" s="461">
        <v>53.4</v>
      </c>
      <c r="F25" s="461">
        <v>68.2</v>
      </c>
      <c r="G25" s="461">
        <v>116.6</v>
      </c>
      <c r="H25" s="461">
        <v>159.9</v>
      </c>
      <c r="I25" s="461">
        <v>267.5</v>
      </c>
      <c r="J25" s="461">
        <v>214.6</v>
      </c>
      <c r="K25" s="461">
        <v>320</v>
      </c>
      <c r="L25" s="461">
        <v>10.9</v>
      </c>
      <c r="M25" s="461">
        <v>81.099999999999994</v>
      </c>
      <c r="N25" s="463">
        <v>26.4</v>
      </c>
      <c r="O25" s="444">
        <f t="shared" si="0"/>
        <v>1387.7</v>
      </c>
      <c r="P25" s="445">
        <f t="shared" si="1"/>
        <v>115.6</v>
      </c>
    </row>
    <row r="26" spans="2:16" ht="22.5" customHeight="1">
      <c r="B26" s="61">
        <v>2014</v>
      </c>
      <c r="C26" s="461">
        <v>3.4</v>
      </c>
      <c r="D26" s="461">
        <v>20.5</v>
      </c>
      <c r="E26" s="461">
        <v>56.3</v>
      </c>
      <c r="F26" s="461">
        <v>70</v>
      </c>
      <c r="G26" s="461">
        <v>47.1</v>
      </c>
      <c r="H26" s="461">
        <v>125.8</v>
      </c>
      <c r="I26" s="461">
        <v>104</v>
      </c>
      <c r="J26" s="461">
        <v>168.5</v>
      </c>
      <c r="K26" s="461">
        <v>152</v>
      </c>
      <c r="L26" s="461">
        <v>156</v>
      </c>
      <c r="M26" s="461">
        <v>39.9</v>
      </c>
      <c r="N26" s="463">
        <v>66.599999999999994</v>
      </c>
      <c r="O26" s="444">
        <f t="shared" si="0"/>
        <v>1010.1</v>
      </c>
      <c r="P26" s="445">
        <f t="shared" si="1"/>
        <v>84.2</v>
      </c>
    </row>
    <row r="27" spans="2:16" ht="22.5" customHeight="1">
      <c r="B27" s="61">
        <v>2015</v>
      </c>
      <c r="C27" s="461">
        <v>29.9</v>
      </c>
      <c r="D27" s="461">
        <v>23.4</v>
      </c>
      <c r="E27" s="461">
        <v>30.9</v>
      </c>
      <c r="F27" s="461">
        <v>129.69999999999999</v>
      </c>
      <c r="G27" s="461">
        <v>38.799999999999997</v>
      </c>
      <c r="H27" s="461">
        <v>83.9</v>
      </c>
      <c r="I27" s="461">
        <v>94.7</v>
      </c>
      <c r="J27" s="461">
        <v>30.2</v>
      </c>
      <c r="K27" s="461">
        <v>13.3</v>
      </c>
      <c r="L27" s="461">
        <v>90</v>
      </c>
      <c r="M27" s="461">
        <v>155.6</v>
      </c>
      <c r="N27" s="463">
        <v>65</v>
      </c>
      <c r="O27" s="444">
        <f t="shared" si="0"/>
        <v>785.4</v>
      </c>
      <c r="P27" s="445">
        <f t="shared" si="1"/>
        <v>65.5</v>
      </c>
    </row>
    <row r="28" spans="2:16" ht="22.5" customHeight="1">
      <c r="B28" s="61">
        <v>2016</v>
      </c>
      <c r="C28" s="461">
        <v>7.8</v>
      </c>
      <c r="D28" s="461">
        <v>54.2</v>
      </c>
      <c r="E28" s="461">
        <v>18.7</v>
      </c>
      <c r="F28" s="461">
        <v>105.1</v>
      </c>
      <c r="G28" s="461">
        <v>146.5</v>
      </c>
      <c r="H28" s="461">
        <v>23.7</v>
      </c>
      <c r="I28" s="461">
        <v>200.2</v>
      </c>
      <c r="J28" s="461">
        <v>5.0999999999999996</v>
      </c>
      <c r="K28" s="461">
        <v>73.400000000000006</v>
      </c>
      <c r="L28" s="461">
        <v>108</v>
      </c>
      <c r="M28" s="461">
        <v>5.6</v>
      </c>
      <c r="N28" s="463">
        <v>44.5</v>
      </c>
      <c r="O28" s="444">
        <f t="shared" si="0"/>
        <v>792.8</v>
      </c>
      <c r="P28" s="445">
        <f t="shared" si="1"/>
        <v>66.099999999999994</v>
      </c>
    </row>
    <row r="29" spans="2:16" ht="22.5" customHeight="1">
      <c r="B29" s="61">
        <v>2017</v>
      </c>
      <c r="C29" s="461">
        <v>14.8</v>
      </c>
      <c r="D29" s="461">
        <v>30.2</v>
      </c>
      <c r="E29" s="461">
        <v>14.4</v>
      </c>
      <c r="F29" s="461">
        <v>57.6</v>
      </c>
      <c r="G29" s="461">
        <v>58.9</v>
      </c>
      <c r="H29" s="461">
        <v>21.1</v>
      </c>
      <c r="I29" s="461">
        <v>278.10000000000002</v>
      </c>
      <c r="J29" s="461">
        <v>210</v>
      </c>
      <c r="K29" s="461">
        <v>90</v>
      </c>
      <c r="L29" s="461">
        <v>26.6</v>
      </c>
      <c r="M29" s="461">
        <v>15.9</v>
      </c>
      <c r="N29" s="463">
        <v>38.6</v>
      </c>
      <c r="O29" s="444">
        <f t="shared" si="0"/>
        <v>856.2</v>
      </c>
      <c r="P29" s="445">
        <f t="shared" si="1"/>
        <v>71.400000000000006</v>
      </c>
    </row>
    <row r="30" spans="2:16" ht="22.5" customHeight="1">
      <c r="B30" s="61">
        <v>2018</v>
      </c>
      <c r="C30" s="461">
        <v>15</v>
      </c>
      <c r="D30" s="461">
        <v>33.6</v>
      </c>
      <c r="E30" s="461">
        <v>92</v>
      </c>
      <c r="F30" s="461">
        <v>128.1</v>
      </c>
      <c r="G30" s="461">
        <v>104.5</v>
      </c>
      <c r="H30" s="461">
        <v>71</v>
      </c>
      <c r="I30" s="461">
        <v>262.7</v>
      </c>
      <c r="J30" s="461">
        <v>239.6</v>
      </c>
      <c r="K30" s="461">
        <v>158.19999999999999</v>
      </c>
      <c r="L30" s="461">
        <v>154.69999999999999</v>
      </c>
      <c r="M30" s="461">
        <v>46.7</v>
      </c>
      <c r="N30" s="463">
        <v>31.1</v>
      </c>
      <c r="O30" s="444">
        <f t="shared" si="0"/>
        <v>1337.2</v>
      </c>
      <c r="P30" s="445">
        <f t="shared" si="1"/>
        <v>111.4</v>
      </c>
    </row>
    <row r="31" spans="2:16" ht="22.5" customHeight="1">
      <c r="B31" s="61">
        <v>2019</v>
      </c>
      <c r="C31" s="461">
        <v>1.9</v>
      </c>
      <c r="D31" s="461">
        <v>17.8</v>
      </c>
      <c r="E31" s="461">
        <v>18.2</v>
      </c>
      <c r="F31" s="461">
        <v>71.900000000000006</v>
      </c>
      <c r="G31" s="461">
        <v>31.3</v>
      </c>
      <c r="H31" s="461">
        <v>56</v>
      </c>
      <c r="I31" s="461">
        <v>149</v>
      </c>
      <c r="J31" s="461">
        <v>131.30000000000001</v>
      </c>
      <c r="K31" s="461">
        <v>118.7</v>
      </c>
      <c r="L31" s="461">
        <v>63.9</v>
      </c>
      <c r="M31" s="461">
        <v>130.6</v>
      </c>
      <c r="N31" s="463">
        <v>31.3</v>
      </c>
      <c r="O31" s="444">
        <f t="shared" si="0"/>
        <v>821.9</v>
      </c>
      <c r="P31" s="445">
        <f t="shared" si="1"/>
        <v>68.5</v>
      </c>
    </row>
    <row r="32" spans="2:16" ht="22.5" customHeight="1">
      <c r="B32" s="61">
        <v>2020</v>
      </c>
      <c r="C32" s="461">
        <v>49.4</v>
      </c>
      <c r="D32" s="461">
        <v>75.3</v>
      </c>
      <c r="E32" s="461">
        <v>22.8</v>
      </c>
      <c r="F32" s="461">
        <v>16.5</v>
      </c>
      <c r="G32" s="461">
        <v>92.4</v>
      </c>
      <c r="H32" s="461">
        <v>139.69999999999999</v>
      </c>
      <c r="I32" s="461">
        <v>345.9</v>
      </c>
      <c r="J32" s="461">
        <v>321.5</v>
      </c>
      <c r="K32" s="461">
        <v>177.1</v>
      </c>
      <c r="L32" s="461">
        <v>16.2</v>
      </c>
      <c r="M32" s="461">
        <v>35.4</v>
      </c>
      <c r="N32" s="463">
        <v>9.6999999999999993</v>
      </c>
      <c r="O32" s="444">
        <f t="shared" si="0"/>
        <v>1301.9000000000001</v>
      </c>
      <c r="P32" s="445">
        <f t="shared" si="1"/>
        <v>108.5</v>
      </c>
    </row>
    <row r="33" spans="2:16" ht="22.5" customHeight="1">
      <c r="B33" s="61">
        <v>2021</v>
      </c>
      <c r="C33" s="461">
        <v>32</v>
      </c>
      <c r="D33" s="461">
        <v>18.7</v>
      </c>
      <c r="E33" s="461">
        <v>76.099999999999994</v>
      </c>
      <c r="F33" s="461">
        <v>43.4</v>
      </c>
      <c r="G33" s="461">
        <v>110</v>
      </c>
      <c r="H33" s="461">
        <v>55</v>
      </c>
      <c r="I33" s="461">
        <v>131.30000000000001</v>
      </c>
      <c r="J33" s="461">
        <v>253.7</v>
      </c>
      <c r="K33" s="461">
        <v>215.9</v>
      </c>
      <c r="L33" s="461">
        <v>39.6</v>
      </c>
      <c r="M33" s="461">
        <v>117.8</v>
      </c>
      <c r="N33" s="463">
        <v>14.4</v>
      </c>
      <c r="O33" s="444">
        <f t="shared" si="0"/>
        <v>1107.9000000000001</v>
      </c>
      <c r="P33" s="445">
        <f t="shared" si="1"/>
        <v>92.3</v>
      </c>
    </row>
    <row r="34" spans="2:16" ht="22.5" customHeight="1" thickBot="1">
      <c r="B34" s="464">
        <v>2022</v>
      </c>
      <c r="C34" s="465">
        <v>8.4</v>
      </c>
      <c r="D34" s="465">
        <v>5.3</v>
      </c>
      <c r="E34" s="465">
        <v>60.9</v>
      </c>
      <c r="F34" s="465">
        <v>34.799999999999997</v>
      </c>
      <c r="G34" s="465">
        <v>5.7</v>
      </c>
      <c r="H34" s="465">
        <v>225</v>
      </c>
      <c r="I34" s="465">
        <v>119.9</v>
      </c>
      <c r="J34" s="465">
        <v>637.1</v>
      </c>
      <c r="K34" s="465">
        <v>102</v>
      </c>
      <c r="L34" s="465">
        <v>112</v>
      </c>
      <c r="M34" s="465">
        <v>23.3</v>
      </c>
      <c r="N34" s="466">
        <v>14</v>
      </c>
      <c r="O34" s="446">
        <f t="shared" si="0"/>
        <v>1348.4</v>
      </c>
      <c r="P34" s="447">
        <f t="shared" si="1"/>
        <v>112.4</v>
      </c>
    </row>
    <row r="35" spans="2:16" ht="22.5" customHeight="1">
      <c r="B35" s="467" t="s">
        <v>36</v>
      </c>
      <c r="C35" s="468">
        <f>MAX(C5:C34)</f>
        <v>73.3</v>
      </c>
      <c r="D35" s="468">
        <f t="shared" ref="D35:N35" si="2">MAX(D5:D34)</f>
        <v>75.3</v>
      </c>
      <c r="E35" s="468">
        <f t="shared" si="2"/>
        <v>104.5</v>
      </c>
      <c r="F35" s="468">
        <f t="shared" si="2"/>
        <v>169</v>
      </c>
      <c r="G35" s="468">
        <f t="shared" si="2"/>
        <v>203</v>
      </c>
      <c r="H35" s="468">
        <f t="shared" si="2"/>
        <v>318</v>
      </c>
      <c r="I35" s="468">
        <f t="shared" si="2"/>
        <v>723.1</v>
      </c>
      <c r="J35" s="468">
        <f t="shared" si="2"/>
        <v>996.5</v>
      </c>
      <c r="K35" s="468">
        <f t="shared" si="2"/>
        <v>384</v>
      </c>
      <c r="L35" s="468">
        <f t="shared" si="2"/>
        <v>169</v>
      </c>
      <c r="M35" s="468">
        <f t="shared" si="2"/>
        <v>193.5</v>
      </c>
      <c r="N35" s="449">
        <f t="shared" si="2"/>
        <v>66.599999999999994</v>
      </c>
      <c r="O35" s="448">
        <f t="shared" ref="O35" si="3">MAX(O5:O34)</f>
        <v>1743</v>
      </c>
      <c r="P35" s="449">
        <f>MAX(P5:P34)</f>
        <v>145.30000000000001</v>
      </c>
    </row>
    <row r="36" spans="2:16" ht="22.5" customHeight="1">
      <c r="B36" s="469" t="s">
        <v>37</v>
      </c>
      <c r="C36" s="470">
        <f>ROUND(MIN(C5:C34),1)</f>
        <v>1.9</v>
      </c>
      <c r="D36" s="470">
        <f t="shared" ref="D36:N36" si="4">ROUND(MIN(D5:D34),1)</f>
        <v>3.2</v>
      </c>
      <c r="E36" s="470">
        <f t="shared" si="4"/>
        <v>7</v>
      </c>
      <c r="F36" s="470">
        <f t="shared" si="4"/>
        <v>16.5</v>
      </c>
      <c r="G36" s="470">
        <f t="shared" si="4"/>
        <v>5.7</v>
      </c>
      <c r="H36" s="470">
        <f t="shared" si="4"/>
        <v>21.1</v>
      </c>
      <c r="I36" s="470">
        <f t="shared" si="4"/>
        <v>94.7</v>
      </c>
      <c r="J36" s="470">
        <f t="shared" si="4"/>
        <v>5.0999999999999996</v>
      </c>
      <c r="K36" s="470">
        <f t="shared" si="4"/>
        <v>10</v>
      </c>
      <c r="L36" s="470">
        <f t="shared" si="4"/>
        <v>4</v>
      </c>
      <c r="M36" s="470">
        <f t="shared" si="4"/>
        <v>5.6</v>
      </c>
      <c r="N36" s="445">
        <f t="shared" si="4"/>
        <v>3.8</v>
      </c>
      <c r="O36" s="450">
        <f>ROUND(MIN(O5:O34),1)</f>
        <v>785.4</v>
      </c>
      <c r="P36" s="451">
        <f>ROUND(MIN(P5:P34),1)</f>
        <v>65.5</v>
      </c>
    </row>
    <row r="37" spans="2:16" ht="22.5" customHeight="1" thickBot="1">
      <c r="B37" s="471" t="s">
        <v>45</v>
      </c>
      <c r="C37" s="472">
        <f>ROUND(AVERAGE(C5:C34),1)</f>
        <v>23.2</v>
      </c>
      <c r="D37" s="472">
        <f t="shared" ref="D37:N37" si="5">ROUND(AVERAGE(D5:D34),1)</f>
        <v>29.1</v>
      </c>
      <c r="E37" s="472">
        <f t="shared" si="5"/>
        <v>43.5</v>
      </c>
      <c r="F37" s="472">
        <f t="shared" si="5"/>
        <v>70.5</v>
      </c>
      <c r="G37" s="472">
        <f t="shared" si="5"/>
        <v>85.8</v>
      </c>
      <c r="H37" s="472">
        <f t="shared" si="5"/>
        <v>136.80000000000001</v>
      </c>
      <c r="I37" s="472">
        <f t="shared" si="5"/>
        <v>244.7</v>
      </c>
      <c r="J37" s="472">
        <f t="shared" si="5"/>
        <v>281.60000000000002</v>
      </c>
      <c r="K37" s="472">
        <f t="shared" si="5"/>
        <v>132.9</v>
      </c>
      <c r="L37" s="472">
        <f t="shared" si="5"/>
        <v>63.2</v>
      </c>
      <c r="M37" s="472">
        <f t="shared" si="5"/>
        <v>54.8</v>
      </c>
      <c r="N37" s="473">
        <f t="shared" si="5"/>
        <v>32.200000000000003</v>
      </c>
      <c r="O37" s="590">
        <f>ROUND(AVERAGE(O5:O34),1)</f>
        <v>1198.3</v>
      </c>
      <c r="P37" s="453">
        <f>ROUND(AVERAGE(P5:P34),1)</f>
        <v>99.9</v>
      </c>
    </row>
    <row r="38" spans="2:16" ht="21.95" customHeight="1"/>
    <row r="39" spans="2:16" ht="21.95" customHeight="1" thickBot="1"/>
    <row r="40" spans="2:16" ht="34.5" customHeight="1">
      <c r="B40" s="529" t="s">
        <v>40</v>
      </c>
      <c r="C40" s="530" t="s">
        <v>31</v>
      </c>
      <c r="D40" s="530" t="s">
        <v>32</v>
      </c>
      <c r="E40" s="530" t="s">
        <v>33</v>
      </c>
      <c r="F40" s="530" t="s">
        <v>34</v>
      </c>
      <c r="G40" s="530" t="s">
        <v>35</v>
      </c>
      <c r="H40" s="530" t="s">
        <v>12</v>
      </c>
      <c r="I40" s="530" t="s">
        <v>13</v>
      </c>
      <c r="J40" s="530" t="s">
        <v>14</v>
      </c>
      <c r="K40" s="530" t="s">
        <v>15</v>
      </c>
      <c r="L40" s="530" t="s">
        <v>16</v>
      </c>
      <c r="M40" s="530" t="s">
        <v>17</v>
      </c>
      <c r="N40" s="531" t="s">
        <v>18</v>
      </c>
      <c r="O40" s="532" t="s">
        <v>43</v>
      </c>
      <c r="P40" s="531" t="s">
        <v>30</v>
      </c>
    </row>
    <row r="41" spans="2:16" ht="22.5" customHeight="1">
      <c r="B41" s="474">
        <f>B25</f>
        <v>2013</v>
      </c>
      <c r="C41" s="475">
        <f t="shared" ref="C41:N41" si="6">C25</f>
        <v>28.4</v>
      </c>
      <c r="D41" s="475">
        <f t="shared" si="6"/>
        <v>40.700000000000003</v>
      </c>
      <c r="E41" s="475">
        <f t="shared" si="6"/>
        <v>53.4</v>
      </c>
      <c r="F41" s="475">
        <f t="shared" si="6"/>
        <v>68.2</v>
      </c>
      <c r="G41" s="475">
        <f t="shared" si="6"/>
        <v>116.6</v>
      </c>
      <c r="H41" s="475">
        <f t="shared" si="6"/>
        <v>159.9</v>
      </c>
      <c r="I41" s="475">
        <f t="shared" si="6"/>
        <v>267.5</v>
      </c>
      <c r="J41" s="475">
        <f t="shared" si="6"/>
        <v>214.6</v>
      </c>
      <c r="K41" s="475">
        <f t="shared" si="6"/>
        <v>320</v>
      </c>
      <c r="L41" s="475">
        <f t="shared" si="6"/>
        <v>10.9</v>
      </c>
      <c r="M41" s="475">
        <f t="shared" si="6"/>
        <v>81.099999999999994</v>
      </c>
      <c r="N41" s="451">
        <f t="shared" si="6"/>
        <v>26.4</v>
      </c>
      <c r="O41" s="450">
        <f>ROUND(SUM(C41:N41),1)</f>
        <v>1387.7</v>
      </c>
      <c r="P41" s="451">
        <f>ROUND(O41/12,1)</f>
        <v>115.6</v>
      </c>
    </row>
    <row r="42" spans="2:16" ht="22.5" customHeight="1">
      <c r="B42" s="474">
        <f t="shared" ref="B42:N42" si="7">B26</f>
        <v>2014</v>
      </c>
      <c r="C42" s="475">
        <f t="shared" si="7"/>
        <v>3.4</v>
      </c>
      <c r="D42" s="475">
        <f t="shared" si="7"/>
        <v>20.5</v>
      </c>
      <c r="E42" s="475">
        <f t="shared" si="7"/>
        <v>56.3</v>
      </c>
      <c r="F42" s="475">
        <f t="shared" si="7"/>
        <v>70</v>
      </c>
      <c r="G42" s="475">
        <f t="shared" si="7"/>
        <v>47.1</v>
      </c>
      <c r="H42" s="475">
        <f t="shared" si="7"/>
        <v>125.8</v>
      </c>
      <c r="I42" s="475">
        <f t="shared" si="7"/>
        <v>104</v>
      </c>
      <c r="J42" s="475">
        <f t="shared" si="7"/>
        <v>168.5</v>
      </c>
      <c r="K42" s="475">
        <f t="shared" si="7"/>
        <v>152</v>
      </c>
      <c r="L42" s="475">
        <f t="shared" si="7"/>
        <v>156</v>
      </c>
      <c r="M42" s="475">
        <f t="shared" si="7"/>
        <v>39.9</v>
      </c>
      <c r="N42" s="451">
        <f t="shared" si="7"/>
        <v>66.599999999999994</v>
      </c>
      <c r="O42" s="450">
        <f t="shared" ref="O42:O50" si="8">ROUND(SUM(C42:N42),1)</f>
        <v>1010.1</v>
      </c>
      <c r="P42" s="451">
        <f t="shared" ref="P42:P50" si="9">ROUND(O42/12,1)</f>
        <v>84.2</v>
      </c>
    </row>
    <row r="43" spans="2:16" ht="22.5" customHeight="1">
      <c r="B43" s="474">
        <f t="shared" ref="B43:N43" si="10">B27</f>
        <v>2015</v>
      </c>
      <c r="C43" s="475">
        <f t="shared" si="10"/>
        <v>29.9</v>
      </c>
      <c r="D43" s="475">
        <f t="shared" si="10"/>
        <v>23.4</v>
      </c>
      <c r="E43" s="475">
        <f t="shared" si="10"/>
        <v>30.9</v>
      </c>
      <c r="F43" s="475">
        <f t="shared" si="10"/>
        <v>129.69999999999999</v>
      </c>
      <c r="G43" s="475">
        <f t="shared" si="10"/>
        <v>38.799999999999997</v>
      </c>
      <c r="H43" s="475">
        <f t="shared" si="10"/>
        <v>83.9</v>
      </c>
      <c r="I43" s="475">
        <f t="shared" si="10"/>
        <v>94.7</v>
      </c>
      <c r="J43" s="475">
        <f t="shared" si="10"/>
        <v>30.2</v>
      </c>
      <c r="K43" s="475">
        <f t="shared" si="10"/>
        <v>13.3</v>
      </c>
      <c r="L43" s="475">
        <f t="shared" si="10"/>
        <v>90</v>
      </c>
      <c r="M43" s="475">
        <f t="shared" si="10"/>
        <v>155.6</v>
      </c>
      <c r="N43" s="451">
        <f t="shared" si="10"/>
        <v>65</v>
      </c>
      <c r="O43" s="450">
        <f t="shared" si="8"/>
        <v>785.4</v>
      </c>
      <c r="P43" s="451">
        <f t="shared" si="9"/>
        <v>65.5</v>
      </c>
    </row>
    <row r="44" spans="2:16" ht="22.5" customHeight="1">
      <c r="B44" s="474">
        <f t="shared" ref="B44:N44" si="11">B28</f>
        <v>2016</v>
      </c>
      <c r="C44" s="475">
        <f t="shared" si="11"/>
        <v>7.8</v>
      </c>
      <c r="D44" s="475">
        <f t="shared" si="11"/>
        <v>54.2</v>
      </c>
      <c r="E44" s="475">
        <f t="shared" si="11"/>
        <v>18.7</v>
      </c>
      <c r="F44" s="475">
        <f t="shared" si="11"/>
        <v>105.1</v>
      </c>
      <c r="G44" s="475">
        <f t="shared" si="11"/>
        <v>146.5</v>
      </c>
      <c r="H44" s="475">
        <f t="shared" si="11"/>
        <v>23.7</v>
      </c>
      <c r="I44" s="475">
        <f t="shared" si="11"/>
        <v>200.2</v>
      </c>
      <c r="J44" s="475">
        <f t="shared" si="11"/>
        <v>5.0999999999999996</v>
      </c>
      <c r="K44" s="475">
        <f t="shared" si="11"/>
        <v>73.400000000000006</v>
      </c>
      <c r="L44" s="475">
        <f t="shared" si="11"/>
        <v>108</v>
      </c>
      <c r="M44" s="475">
        <f t="shared" si="11"/>
        <v>5.6</v>
      </c>
      <c r="N44" s="451">
        <f t="shared" si="11"/>
        <v>44.5</v>
      </c>
      <c r="O44" s="450">
        <f t="shared" si="8"/>
        <v>792.8</v>
      </c>
      <c r="P44" s="451">
        <f t="shared" si="9"/>
        <v>66.099999999999994</v>
      </c>
    </row>
    <row r="45" spans="2:16" ht="22.5" customHeight="1">
      <c r="B45" s="474">
        <f t="shared" ref="B45:N45" si="12">B29</f>
        <v>2017</v>
      </c>
      <c r="C45" s="475">
        <f t="shared" si="12"/>
        <v>14.8</v>
      </c>
      <c r="D45" s="475">
        <f t="shared" si="12"/>
        <v>30.2</v>
      </c>
      <c r="E45" s="475">
        <f t="shared" si="12"/>
        <v>14.4</v>
      </c>
      <c r="F45" s="475">
        <f t="shared" si="12"/>
        <v>57.6</v>
      </c>
      <c r="G45" s="475">
        <f t="shared" si="12"/>
        <v>58.9</v>
      </c>
      <c r="H45" s="475">
        <f t="shared" si="12"/>
        <v>21.1</v>
      </c>
      <c r="I45" s="475">
        <f t="shared" si="12"/>
        <v>278.10000000000002</v>
      </c>
      <c r="J45" s="475">
        <f t="shared" si="12"/>
        <v>210</v>
      </c>
      <c r="K45" s="475">
        <f t="shared" si="12"/>
        <v>90</v>
      </c>
      <c r="L45" s="475">
        <f t="shared" si="12"/>
        <v>26.6</v>
      </c>
      <c r="M45" s="475">
        <f t="shared" si="12"/>
        <v>15.9</v>
      </c>
      <c r="N45" s="451">
        <f t="shared" si="12"/>
        <v>38.6</v>
      </c>
      <c r="O45" s="450">
        <f t="shared" si="8"/>
        <v>856.2</v>
      </c>
      <c r="P45" s="451">
        <f t="shared" si="9"/>
        <v>71.400000000000006</v>
      </c>
    </row>
    <row r="46" spans="2:16" ht="22.5" customHeight="1">
      <c r="B46" s="474">
        <f t="shared" ref="B46:N46" si="13">B30</f>
        <v>2018</v>
      </c>
      <c r="C46" s="475">
        <f t="shared" si="13"/>
        <v>15</v>
      </c>
      <c r="D46" s="475">
        <f t="shared" si="13"/>
        <v>33.6</v>
      </c>
      <c r="E46" s="475">
        <f t="shared" si="13"/>
        <v>92</v>
      </c>
      <c r="F46" s="475">
        <f t="shared" si="13"/>
        <v>128.1</v>
      </c>
      <c r="G46" s="475">
        <f t="shared" si="13"/>
        <v>104.5</v>
      </c>
      <c r="H46" s="475">
        <f t="shared" si="13"/>
        <v>71</v>
      </c>
      <c r="I46" s="475">
        <f t="shared" si="13"/>
        <v>262.7</v>
      </c>
      <c r="J46" s="475">
        <f t="shared" si="13"/>
        <v>239.6</v>
      </c>
      <c r="K46" s="475">
        <f t="shared" si="13"/>
        <v>158.19999999999999</v>
      </c>
      <c r="L46" s="475">
        <f t="shared" si="13"/>
        <v>154.69999999999999</v>
      </c>
      <c r="M46" s="475">
        <f t="shared" si="13"/>
        <v>46.7</v>
      </c>
      <c r="N46" s="451">
        <f t="shared" si="13"/>
        <v>31.1</v>
      </c>
      <c r="O46" s="450">
        <f t="shared" si="8"/>
        <v>1337.2</v>
      </c>
      <c r="P46" s="451">
        <f t="shared" si="9"/>
        <v>111.4</v>
      </c>
    </row>
    <row r="47" spans="2:16" ht="22.5" customHeight="1">
      <c r="B47" s="474">
        <f t="shared" ref="B47:N47" si="14">B31</f>
        <v>2019</v>
      </c>
      <c r="C47" s="475">
        <f t="shared" si="14"/>
        <v>1.9</v>
      </c>
      <c r="D47" s="475">
        <f t="shared" si="14"/>
        <v>17.8</v>
      </c>
      <c r="E47" s="475">
        <f t="shared" si="14"/>
        <v>18.2</v>
      </c>
      <c r="F47" s="475">
        <f t="shared" si="14"/>
        <v>71.900000000000006</v>
      </c>
      <c r="G47" s="475">
        <f t="shared" si="14"/>
        <v>31.3</v>
      </c>
      <c r="H47" s="475">
        <f t="shared" si="14"/>
        <v>56</v>
      </c>
      <c r="I47" s="475">
        <f t="shared" si="14"/>
        <v>149</v>
      </c>
      <c r="J47" s="475">
        <f t="shared" si="14"/>
        <v>131.30000000000001</v>
      </c>
      <c r="K47" s="475">
        <f t="shared" si="14"/>
        <v>118.7</v>
      </c>
      <c r="L47" s="475">
        <f t="shared" si="14"/>
        <v>63.9</v>
      </c>
      <c r="M47" s="475">
        <f t="shared" si="14"/>
        <v>130.6</v>
      </c>
      <c r="N47" s="451">
        <f t="shared" si="14"/>
        <v>31.3</v>
      </c>
      <c r="O47" s="450">
        <f t="shared" si="8"/>
        <v>821.9</v>
      </c>
      <c r="P47" s="451">
        <f t="shared" si="9"/>
        <v>68.5</v>
      </c>
    </row>
    <row r="48" spans="2:16" ht="22.5" customHeight="1">
      <c r="B48" s="474">
        <f t="shared" ref="B48:N48" si="15">B32</f>
        <v>2020</v>
      </c>
      <c r="C48" s="475">
        <f t="shared" si="15"/>
        <v>49.4</v>
      </c>
      <c r="D48" s="475">
        <f t="shared" si="15"/>
        <v>75.3</v>
      </c>
      <c r="E48" s="475">
        <f t="shared" si="15"/>
        <v>22.8</v>
      </c>
      <c r="F48" s="475">
        <f t="shared" si="15"/>
        <v>16.5</v>
      </c>
      <c r="G48" s="475">
        <f t="shared" si="15"/>
        <v>92.4</v>
      </c>
      <c r="H48" s="475">
        <f t="shared" si="15"/>
        <v>139.69999999999999</v>
      </c>
      <c r="I48" s="475">
        <f t="shared" si="15"/>
        <v>345.9</v>
      </c>
      <c r="J48" s="475">
        <f t="shared" si="15"/>
        <v>321.5</v>
      </c>
      <c r="K48" s="475">
        <f t="shared" si="15"/>
        <v>177.1</v>
      </c>
      <c r="L48" s="475">
        <f t="shared" si="15"/>
        <v>16.2</v>
      </c>
      <c r="M48" s="475">
        <f t="shared" si="15"/>
        <v>35.4</v>
      </c>
      <c r="N48" s="451">
        <f t="shared" si="15"/>
        <v>9.6999999999999993</v>
      </c>
      <c r="O48" s="450">
        <f t="shared" si="8"/>
        <v>1301.9000000000001</v>
      </c>
      <c r="P48" s="451">
        <f t="shared" si="9"/>
        <v>108.5</v>
      </c>
    </row>
    <row r="49" spans="2:16" ht="22.5" customHeight="1">
      <c r="B49" s="474">
        <f t="shared" ref="B49:N49" si="16">B33</f>
        <v>2021</v>
      </c>
      <c r="C49" s="475">
        <f t="shared" si="16"/>
        <v>32</v>
      </c>
      <c r="D49" s="475">
        <f t="shared" si="16"/>
        <v>18.7</v>
      </c>
      <c r="E49" s="475">
        <f t="shared" si="16"/>
        <v>76.099999999999994</v>
      </c>
      <c r="F49" s="475">
        <f t="shared" si="16"/>
        <v>43.4</v>
      </c>
      <c r="G49" s="475">
        <f t="shared" si="16"/>
        <v>110</v>
      </c>
      <c r="H49" s="475">
        <f t="shared" si="16"/>
        <v>55</v>
      </c>
      <c r="I49" s="475">
        <f t="shared" si="16"/>
        <v>131.30000000000001</v>
      </c>
      <c r="J49" s="475">
        <f t="shared" si="16"/>
        <v>253.7</v>
      </c>
      <c r="K49" s="475">
        <f t="shared" si="16"/>
        <v>215.9</v>
      </c>
      <c r="L49" s="475">
        <f t="shared" si="16"/>
        <v>39.6</v>
      </c>
      <c r="M49" s="475">
        <f t="shared" si="16"/>
        <v>117.8</v>
      </c>
      <c r="N49" s="451">
        <f t="shared" si="16"/>
        <v>14.4</v>
      </c>
      <c r="O49" s="450">
        <f t="shared" si="8"/>
        <v>1107.9000000000001</v>
      </c>
      <c r="P49" s="451">
        <f t="shared" si="9"/>
        <v>92.3</v>
      </c>
    </row>
    <row r="50" spans="2:16" ht="22.5" customHeight="1" thickBot="1">
      <c r="B50" s="476">
        <f t="shared" ref="B50:N50" si="17">B34</f>
        <v>2022</v>
      </c>
      <c r="C50" s="477">
        <f t="shared" si="17"/>
        <v>8.4</v>
      </c>
      <c r="D50" s="477">
        <f t="shared" si="17"/>
        <v>5.3</v>
      </c>
      <c r="E50" s="477">
        <f>E34</f>
        <v>60.9</v>
      </c>
      <c r="F50" s="477">
        <f t="shared" si="17"/>
        <v>34.799999999999997</v>
      </c>
      <c r="G50" s="477">
        <f t="shared" si="17"/>
        <v>5.7</v>
      </c>
      <c r="H50" s="477">
        <f t="shared" si="17"/>
        <v>225</v>
      </c>
      <c r="I50" s="477">
        <f t="shared" si="17"/>
        <v>119.9</v>
      </c>
      <c r="J50" s="477">
        <f t="shared" si="17"/>
        <v>637.1</v>
      </c>
      <c r="K50" s="477">
        <f t="shared" si="17"/>
        <v>102</v>
      </c>
      <c r="L50" s="477">
        <f t="shared" si="17"/>
        <v>112</v>
      </c>
      <c r="M50" s="477">
        <f t="shared" si="17"/>
        <v>23.3</v>
      </c>
      <c r="N50" s="453">
        <f t="shared" si="17"/>
        <v>14</v>
      </c>
      <c r="O50" s="452">
        <f t="shared" si="8"/>
        <v>1348.4</v>
      </c>
      <c r="P50" s="453">
        <f t="shared" si="9"/>
        <v>112.4</v>
      </c>
    </row>
    <row r="51" spans="2:16" ht="22.5" customHeight="1">
      <c r="B51" s="478" t="s">
        <v>46</v>
      </c>
      <c r="C51" s="479">
        <f>MAX(C41:C50)</f>
        <v>49.4</v>
      </c>
      <c r="D51" s="479">
        <f t="shared" ref="D51:P51" si="18">MAX(D41:D50)</f>
        <v>75.3</v>
      </c>
      <c r="E51" s="479">
        <f t="shared" si="18"/>
        <v>92</v>
      </c>
      <c r="F51" s="479">
        <f t="shared" si="18"/>
        <v>129.69999999999999</v>
      </c>
      <c r="G51" s="479">
        <f t="shared" si="18"/>
        <v>146.5</v>
      </c>
      <c r="H51" s="479">
        <f t="shared" si="18"/>
        <v>225</v>
      </c>
      <c r="I51" s="479">
        <f t="shared" si="18"/>
        <v>345.9</v>
      </c>
      <c r="J51" s="479">
        <f t="shared" si="18"/>
        <v>637.1</v>
      </c>
      <c r="K51" s="479">
        <f t="shared" si="18"/>
        <v>320</v>
      </c>
      <c r="L51" s="479">
        <f t="shared" si="18"/>
        <v>156</v>
      </c>
      <c r="M51" s="479">
        <f t="shared" si="18"/>
        <v>155.6</v>
      </c>
      <c r="N51" s="454">
        <f t="shared" si="18"/>
        <v>66.599999999999994</v>
      </c>
      <c r="O51" s="591">
        <f t="shared" si="18"/>
        <v>1387.7</v>
      </c>
      <c r="P51" s="454">
        <f t="shared" si="18"/>
        <v>115.6</v>
      </c>
    </row>
    <row r="52" spans="2:16" ht="22.5" customHeight="1">
      <c r="B52" s="474" t="s">
        <v>47</v>
      </c>
      <c r="C52" s="475">
        <f>MIN(C41:C50)</f>
        <v>1.9</v>
      </c>
      <c r="D52" s="475">
        <f t="shared" ref="D52:P52" si="19">MIN(D41:D50)</f>
        <v>5.3</v>
      </c>
      <c r="E52" s="475">
        <f t="shared" si="19"/>
        <v>14.4</v>
      </c>
      <c r="F52" s="475">
        <f t="shared" si="19"/>
        <v>16.5</v>
      </c>
      <c r="G52" s="475">
        <f t="shared" si="19"/>
        <v>5.7</v>
      </c>
      <c r="H52" s="475">
        <f t="shared" si="19"/>
        <v>21.1</v>
      </c>
      <c r="I52" s="475">
        <f t="shared" si="19"/>
        <v>94.7</v>
      </c>
      <c r="J52" s="475">
        <f t="shared" si="19"/>
        <v>5.0999999999999996</v>
      </c>
      <c r="K52" s="475">
        <f t="shared" si="19"/>
        <v>13.3</v>
      </c>
      <c r="L52" s="475">
        <f t="shared" si="19"/>
        <v>10.9</v>
      </c>
      <c r="M52" s="475">
        <f t="shared" si="19"/>
        <v>5.6</v>
      </c>
      <c r="N52" s="451">
        <f t="shared" si="19"/>
        <v>9.6999999999999993</v>
      </c>
      <c r="O52" s="450">
        <f>MIN(O41:O50)</f>
        <v>785.4</v>
      </c>
      <c r="P52" s="451">
        <f t="shared" si="19"/>
        <v>65.5</v>
      </c>
    </row>
    <row r="53" spans="2:16" ht="22.5" customHeight="1" thickBot="1">
      <c r="B53" s="476" t="s">
        <v>30</v>
      </c>
      <c r="C53" s="477">
        <f>ROUND(AVERAGE(C41:C50),1)</f>
        <v>19.100000000000001</v>
      </c>
      <c r="D53" s="477">
        <f t="shared" ref="D53:N53" si="20">ROUND(AVERAGE(D41:D50),1)</f>
        <v>32</v>
      </c>
      <c r="E53" s="477">
        <f t="shared" si="20"/>
        <v>44.4</v>
      </c>
      <c r="F53" s="477">
        <f t="shared" si="20"/>
        <v>72.5</v>
      </c>
      <c r="G53" s="477">
        <f t="shared" si="20"/>
        <v>75.2</v>
      </c>
      <c r="H53" s="477">
        <f t="shared" si="20"/>
        <v>96.1</v>
      </c>
      <c r="I53" s="477">
        <f t="shared" si="20"/>
        <v>195.3</v>
      </c>
      <c r="J53" s="477">
        <f t="shared" si="20"/>
        <v>221.2</v>
      </c>
      <c r="K53" s="477">
        <f t="shared" si="20"/>
        <v>142.1</v>
      </c>
      <c r="L53" s="477">
        <f t="shared" si="20"/>
        <v>77.8</v>
      </c>
      <c r="M53" s="477">
        <f t="shared" si="20"/>
        <v>65.2</v>
      </c>
      <c r="N53" s="453">
        <f t="shared" si="20"/>
        <v>34.200000000000003</v>
      </c>
      <c r="O53" s="452">
        <f>ROUND(AVERAGE(O41:O50),1)</f>
        <v>1075</v>
      </c>
      <c r="P53" s="453">
        <f>ROUND(AVERAGE(P41:P50),1)</f>
        <v>89.6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CityRange</formula1>
    </dataValidation>
    <dataValidation type="list" allowBlank="1" showInputMessage="1" showErrorMessage="1" sqref="S5" xr:uid="{B7BEC25E-4E7C-4D1A-8E6F-016FCB5A3C0A}">
      <formula1>AreaRange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0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357" customFormat="1">
      <c r="B23" s="354">
        <f>All!B25</f>
        <v>2013</v>
      </c>
      <c r="C23" s="355">
        <f>All!C25</f>
        <v>28.4</v>
      </c>
      <c r="D23" s="355">
        <f>All!D25</f>
        <v>40.700000000000003</v>
      </c>
      <c r="E23" s="355">
        <f>All!E25</f>
        <v>53.4</v>
      </c>
      <c r="F23" s="355">
        <f>All!F25</f>
        <v>68.2</v>
      </c>
      <c r="G23" s="355">
        <f>All!G25</f>
        <v>116.6</v>
      </c>
      <c r="H23" s="355">
        <f>All!H25</f>
        <v>159.9</v>
      </c>
      <c r="I23" s="355">
        <f>All!I25</f>
        <v>267.5</v>
      </c>
      <c r="J23" s="355">
        <f>All!J25</f>
        <v>214.6</v>
      </c>
      <c r="K23" s="355">
        <f>All!K25</f>
        <v>320</v>
      </c>
      <c r="L23" s="355">
        <f>All!L25</f>
        <v>10.9</v>
      </c>
      <c r="M23" s="355">
        <f>All!M25</f>
        <v>81.099999999999994</v>
      </c>
      <c r="N23" s="355">
        <f>All!N25</f>
        <v>26.4</v>
      </c>
      <c r="O23" s="355">
        <f>All!O25</f>
        <v>1387.7</v>
      </c>
      <c r="P23" s="356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173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172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40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75"/>
  <sheetViews>
    <sheetView topLeftCell="A4" zoomScaleNormal="100" workbookViewId="0">
      <selection activeCell="M35" sqref="M35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98" customWidth="1"/>
    <col min="16" max="16" width="8.77734375" style="69" customWidth="1"/>
    <col min="17" max="16384" width="8.88671875" style="69"/>
  </cols>
  <sheetData>
    <row r="2" spans="2:16" ht="20.25" customHeight="1">
      <c r="B2" s="481" t="str">
        <f>All!B2</f>
        <v>보령기상청</v>
      </c>
      <c r="C2" s="70" t="s">
        <v>361</v>
      </c>
    </row>
    <row r="3" spans="2:16" ht="17.25" thickBot="1">
      <c r="I3" s="269"/>
      <c r="J3" s="269"/>
      <c r="K3" s="269"/>
    </row>
    <row r="4" spans="2:16" ht="29.25" customHeight="1">
      <c r="B4" s="345"/>
      <c r="C4" s="495" t="s">
        <v>7</v>
      </c>
      <c r="D4" s="496" t="s">
        <v>8</v>
      </c>
      <c r="E4" s="496" t="s">
        <v>9</v>
      </c>
      <c r="F4" s="496" t="s">
        <v>10</v>
      </c>
      <c r="G4" s="496" t="s">
        <v>11</v>
      </c>
      <c r="H4" s="496" t="s">
        <v>12</v>
      </c>
      <c r="I4" s="496" t="s">
        <v>13</v>
      </c>
      <c r="J4" s="496" t="s">
        <v>14</v>
      </c>
      <c r="K4" s="496" t="s">
        <v>15</v>
      </c>
      <c r="L4" s="496" t="s">
        <v>16</v>
      </c>
      <c r="M4" s="496" t="s">
        <v>17</v>
      </c>
      <c r="N4" s="497" t="s">
        <v>18</v>
      </c>
      <c r="O4" s="499" t="s">
        <v>19</v>
      </c>
      <c r="P4" s="497" t="s">
        <v>20</v>
      </c>
    </row>
    <row r="5" spans="2:16" ht="22.15" customHeight="1">
      <c r="B5" s="347">
        <f>All!B41</f>
        <v>2013</v>
      </c>
      <c r="C5" s="341">
        <f>All!C41</f>
        <v>28.4</v>
      </c>
      <c r="D5" s="329">
        <f>All!D41</f>
        <v>40.700000000000003</v>
      </c>
      <c r="E5" s="329">
        <f>All!E41</f>
        <v>53.4</v>
      </c>
      <c r="F5" s="329">
        <f>All!F41</f>
        <v>68.2</v>
      </c>
      <c r="G5" s="329">
        <f>All!G41</f>
        <v>116.6</v>
      </c>
      <c r="H5" s="329">
        <f>All!H41</f>
        <v>159.9</v>
      </c>
      <c r="I5" s="329">
        <f>All!I41</f>
        <v>267.5</v>
      </c>
      <c r="J5" s="329">
        <f>All!J41</f>
        <v>214.6</v>
      </c>
      <c r="K5" s="329">
        <f>All!K41</f>
        <v>320</v>
      </c>
      <c r="L5" s="329">
        <f>All!L41</f>
        <v>10.9</v>
      </c>
      <c r="M5" s="329">
        <f>All!M41</f>
        <v>81.099999999999994</v>
      </c>
      <c r="N5" s="330">
        <f>All!N41</f>
        <v>26.4</v>
      </c>
      <c r="O5" s="500">
        <f>All!O41</f>
        <v>1387.7</v>
      </c>
      <c r="P5" s="330">
        <f>All!P41</f>
        <v>115.6</v>
      </c>
    </row>
    <row r="6" spans="2:16" ht="22.15" customHeight="1">
      <c r="B6" s="346">
        <f>All!B42</f>
        <v>2014</v>
      </c>
      <c r="C6" s="341">
        <f>All!C42</f>
        <v>3.4</v>
      </c>
      <c r="D6" s="329">
        <f>All!D42</f>
        <v>20.5</v>
      </c>
      <c r="E6" s="329">
        <f>All!E42</f>
        <v>56.3</v>
      </c>
      <c r="F6" s="329">
        <f>All!F42</f>
        <v>70</v>
      </c>
      <c r="G6" s="329">
        <f>All!G42</f>
        <v>47.1</v>
      </c>
      <c r="H6" s="329">
        <f>All!H42</f>
        <v>125.8</v>
      </c>
      <c r="I6" s="329">
        <f>All!I42</f>
        <v>104</v>
      </c>
      <c r="J6" s="329">
        <f>All!J42</f>
        <v>168.5</v>
      </c>
      <c r="K6" s="329">
        <f>All!K42</f>
        <v>152</v>
      </c>
      <c r="L6" s="329">
        <f>All!L42</f>
        <v>156</v>
      </c>
      <c r="M6" s="329">
        <f>All!M42</f>
        <v>39.9</v>
      </c>
      <c r="N6" s="330">
        <f>All!N42</f>
        <v>66.599999999999994</v>
      </c>
      <c r="O6" s="501">
        <f>All!O42</f>
        <v>1010.1</v>
      </c>
      <c r="P6" s="330">
        <f>All!P42</f>
        <v>84.2</v>
      </c>
    </row>
    <row r="7" spans="2:16" ht="22.15" customHeight="1">
      <c r="B7" s="347">
        <f>All!B43</f>
        <v>2015</v>
      </c>
      <c r="C7" s="341">
        <f>All!C43</f>
        <v>29.9</v>
      </c>
      <c r="D7" s="329">
        <f>All!D43</f>
        <v>23.4</v>
      </c>
      <c r="E7" s="329">
        <f>All!E43</f>
        <v>30.9</v>
      </c>
      <c r="F7" s="329">
        <f>All!F43</f>
        <v>129.69999999999999</v>
      </c>
      <c r="G7" s="329">
        <f>All!G43</f>
        <v>38.799999999999997</v>
      </c>
      <c r="H7" s="329">
        <f>All!H43</f>
        <v>83.9</v>
      </c>
      <c r="I7" s="329">
        <f>All!I43</f>
        <v>94.7</v>
      </c>
      <c r="J7" s="329">
        <f>All!J43</f>
        <v>30.2</v>
      </c>
      <c r="K7" s="329">
        <f>All!K43</f>
        <v>13.3</v>
      </c>
      <c r="L7" s="329">
        <f>All!L43</f>
        <v>90</v>
      </c>
      <c r="M7" s="329">
        <f>All!M43</f>
        <v>155.6</v>
      </c>
      <c r="N7" s="330">
        <f>All!N43</f>
        <v>65</v>
      </c>
      <c r="O7" s="500">
        <f>All!O43</f>
        <v>785.4</v>
      </c>
      <c r="P7" s="330">
        <f>All!P43</f>
        <v>65.5</v>
      </c>
    </row>
    <row r="8" spans="2:16" ht="22.15" customHeight="1">
      <c r="B8" s="346">
        <f>All!B44</f>
        <v>2016</v>
      </c>
      <c r="C8" s="341">
        <f>All!C44</f>
        <v>7.8</v>
      </c>
      <c r="D8" s="329">
        <f>All!D44</f>
        <v>54.2</v>
      </c>
      <c r="E8" s="329">
        <f>All!E44</f>
        <v>18.7</v>
      </c>
      <c r="F8" s="329">
        <f>All!F44</f>
        <v>105.1</v>
      </c>
      <c r="G8" s="329">
        <f>All!G44</f>
        <v>146.5</v>
      </c>
      <c r="H8" s="329">
        <f>All!H44</f>
        <v>23.7</v>
      </c>
      <c r="I8" s="329">
        <f>All!I44</f>
        <v>200.2</v>
      </c>
      <c r="J8" s="329">
        <f>All!J44</f>
        <v>5.0999999999999996</v>
      </c>
      <c r="K8" s="329">
        <f>All!K44</f>
        <v>73.400000000000006</v>
      </c>
      <c r="L8" s="329">
        <f>All!L44</f>
        <v>108</v>
      </c>
      <c r="M8" s="329">
        <f>All!M44</f>
        <v>5.6</v>
      </c>
      <c r="N8" s="330">
        <f>All!N44</f>
        <v>44.5</v>
      </c>
      <c r="O8" s="501">
        <f>All!O44</f>
        <v>792.8</v>
      </c>
      <c r="P8" s="330">
        <f>All!P44</f>
        <v>66.099999999999994</v>
      </c>
    </row>
    <row r="9" spans="2:16" ht="22.15" customHeight="1">
      <c r="B9" s="346">
        <f>All!B45</f>
        <v>2017</v>
      </c>
      <c r="C9" s="341">
        <f>All!C45</f>
        <v>14.8</v>
      </c>
      <c r="D9" s="329">
        <f>All!D45</f>
        <v>30.2</v>
      </c>
      <c r="E9" s="329">
        <f>All!E45</f>
        <v>14.4</v>
      </c>
      <c r="F9" s="329">
        <f>All!F45</f>
        <v>57.6</v>
      </c>
      <c r="G9" s="329">
        <f>All!G45</f>
        <v>58.9</v>
      </c>
      <c r="H9" s="329">
        <f>All!H45</f>
        <v>21.1</v>
      </c>
      <c r="I9" s="329">
        <f>All!I45</f>
        <v>278.10000000000002</v>
      </c>
      <c r="J9" s="329">
        <f>All!J45</f>
        <v>210</v>
      </c>
      <c r="K9" s="329">
        <f>All!K45</f>
        <v>90</v>
      </c>
      <c r="L9" s="329">
        <f>All!L45</f>
        <v>26.6</v>
      </c>
      <c r="M9" s="329">
        <f>All!M45</f>
        <v>15.9</v>
      </c>
      <c r="N9" s="330">
        <f>All!N45</f>
        <v>38.6</v>
      </c>
      <c r="O9" s="501">
        <f>All!O45</f>
        <v>856.2</v>
      </c>
      <c r="P9" s="330">
        <f>All!P45</f>
        <v>71.400000000000006</v>
      </c>
    </row>
    <row r="10" spans="2:16" ht="22.15" customHeight="1">
      <c r="B10" s="346">
        <f>All!B46</f>
        <v>2018</v>
      </c>
      <c r="C10" s="341">
        <f>All!C46</f>
        <v>15</v>
      </c>
      <c r="D10" s="329">
        <f>All!D46</f>
        <v>33.6</v>
      </c>
      <c r="E10" s="329">
        <f>All!E46</f>
        <v>92</v>
      </c>
      <c r="F10" s="329">
        <f>All!F46</f>
        <v>128.1</v>
      </c>
      <c r="G10" s="329">
        <f>All!G46</f>
        <v>104.5</v>
      </c>
      <c r="H10" s="329">
        <f>All!H46</f>
        <v>71</v>
      </c>
      <c r="I10" s="329">
        <f>All!I46</f>
        <v>262.7</v>
      </c>
      <c r="J10" s="329">
        <f>All!J46</f>
        <v>239.6</v>
      </c>
      <c r="K10" s="329">
        <f>All!K46</f>
        <v>158.19999999999999</v>
      </c>
      <c r="L10" s="329">
        <f>All!L46</f>
        <v>154.69999999999999</v>
      </c>
      <c r="M10" s="329">
        <f>All!M46</f>
        <v>46.7</v>
      </c>
      <c r="N10" s="330">
        <f>All!N46</f>
        <v>31.1</v>
      </c>
      <c r="O10" s="501">
        <f>All!O46</f>
        <v>1337.2</v>
      </c>
      <c r="P10" s="330">
        <f>All!P46</f>
        <v>111.4</v>
      </c>
    </row>
    <row r="11" spans="2:16" ht="22.15" customHeight="1">
      <c r="B11" s="346">
        <f>All!B47</f>
        <v>2019</v>
      </c>
      <c r="C11" s="341">
        <f>All!C47</f>
        <v>1.9</v>
      </c>
      <c r="D11" s="329">
        <f>All!D47</f>
        <v>17.8</v>
      </c>
      <c r="E11" s="329">
        <f>All!E47</f>
        <v>18.2</v>
      </c>
      <c r="F11" s="329">
        <f>All!F47</f>
        <v>71.900000000000006</v>
      </c>
      <c r="G11" s="329">
        <f>All!G47</f>
        <v>31.3</v>
      </c>
      <c r="H11" s="329">
        <f>All!H47</f>
        <v>56</v>
      </c>
      <c r="I11" s="329">
        <f>All!I47</f>
        <v>149</v>
      </c>
      <c r="J11" s="329">
        <f>All!J47</f>
        <v>131.30000000000001</v>
      </c>
      <c r="K11" s="329">
        <f>All!K47</f>
        <v>118.7</v>
      </c>
      <c r="L11" s="329">
        <f>All!L47</f>
        <v>63.9</v>
      </c>
      <c r="M11" s="329">
        <f>All!M47</f>
        <v>130.6</v>
      </c>
      <c r="N11" s="330">
        <f>All!N47</f>
        <v>31.3</v>
      </c>
      <c r="O11" s="501">
        <f>All!O47</f>
        <v>821.9</v>
      </c>
      <c r="P11" s="330">
        <f>All!P47</f>
        <v>68.5</v>
      </c>
    </row>
    <row r="12" spans="2:16" ht="22.15" customHeight="1">
      <c r="B12" s="346">
        <f>All!B48</f>
        <v>2020</v>
      </c>
      <c r="C12" s="341">
        <f>All!C48</f>
        <v>49.4</v>
      </c>
      <c r="D12" s="329">
        <f>All!D48</f>
        <v>75.3</v>
      </c>
      <c r="E12" s="329">
        <f>All!E48</f>
        <v>22.8</v>
      </c>
      <c r="F12" s="329">
        <f>All!F48</f>
        <v>16.5</v>
      </c>
      <c r="G12" s="329">
        <f>All!G48</f>
        <v>92.4</v>
      </c>
      <c r="H12" s="329">
        <f>All!H48</f>
        <v>139.69999999999999</v>
      </c>
      <c r="I12" s="329">
        <f>All!I48</f>
        <v>345.9</v>
      </c>
      <c r="J12" s="329">
        <f>All!J48</f>
        <v>321.5</v>
      </c>
      <c r="K12" s="329">
        <f>All!K48</f>
        <v>177.1</v>
      </c>
      <c r="L12" s="329">
        <f>All!L48</f>
        <v>16.2</v>
      </c>
      <c r="M12" s="329">
        <f>All!M48</f>
        <v>35.4</v>
      </c>
      <c r="N12" s="330">
        <f>All!N48</f>
        <v>9.6999999999999993</v>
      </c>
      <c r="O12" s="501">
        <f>All!O48</f>
        <v>1301.9000000000001</v>
      </c>
      <c r="P12" s="330">
        <f>All!P48</f>
        <v>108.5</v>
      </c>
    </row>
    <row r="13" spans="2:16" ht="22.15" customHeight="1">
      <c r="B13" s="346">
        <f>All!B49</f>
        <v>2021</v>
      </c>
      <c r="C13" s="341">
        <f>All!C49</f>
        <v>32</v>
      </c>
      <c r="D13" s="329">
        <f>All!D49</f>
        <v>18.7</v>
      </c>
      <c r="E13" s="329">
        <f>All!E49</f>
        <v>76.099999999999994</v>
      </c>
      <c r="F13" s="329">
        <f>All!F49</f>
        <v>43.4</v>
      </c>
      <c r="G13" s="329">
        <f>All!G49</f>
        <v>110</v>
      </c>
      <c r="H13" s="329">
        <f>All!H49</f>
        <v>55</v>
      </c>
      <c r="I13" s="329">
        <f>All!I49</f>
        <v>131.30000000000001</v>
      </c>
      <c r="J13" s="329">
        <f>All!J49</f>
        <v>253.7</v>
      </c>
      <c r="K13" s="329">
        <f>All!K49</f>
        <v>215.9</v>
      </c>
      <c r="L13" s="329">
        <f>All!L49</f>
        <v>39.6</v>
      </c>
      <c r="M13" s="329">
        <f>All!M49</f>
        <v>117.8</v>
      </c>
      <c r="N13" s="330">
        <f>All!N49</f>
        <v>14.4</v>
      </c>
      <c r="O13" s="501">
        <f>All!O49</f>
        <v>1107.9000000000001</v>
      </c>
      <c r="P13" s="330">
        <f>All!P49</f>
        <v>92.3</v>
      </c>
    </row>
    <row r="14" spans="2:16" ht="22.15" customHeight="1" thickBot="1">
      <c r="B14" s="348">
        <f>All!B50</f>
        <v>2022</v>
      </c>
      <c r="C14" s="342">
        <f>All!C50</f>
        <v>8.4</v>
      </c>
      <c r="D14" s="331">
        <f>All!D50</f>
        <v>5.3</v>
      </c>
      <c r="E14" s="331">
        <f>All!E50</f>
        <v>60.9</v>
      </c>
      <c r="F14" s="331">
        <f>All!F50</f>
        <v>34.799999999999997</v>
      </c>
      <c r="G14" s="331">
        <f>All!G50</f>
        <v>5.7</v>
      </c>
      <c r="H14" s="331">
        <f>All!H50</f>
        <v>225</v>
      </c>
      <c r="I14" s="331">
        <f>All!I50</f>
        <v>119.9</v>
      </c>
      <c r="J14" s="331">
        <f>All!J50</f>
        <v>637.1</v>
      </c>
      <c r="K14" s="331">
        <f>All!K50</f>
        <v>102</v>
      </c>
      <c r="L14" s="331">
        <f>All!L50</f>
        <v>112</v>
      </c>
      <c r="M14" s="331">
        <f>All!M50</f>
        <v>23.3</v>
      </c>
      <c r="N14" s="332">
        <f>All!N50</f>
        <v>14</v>
      </c>
      <c r="O14" s="502">
        <f>All!O50</f>
        <v>1348.4</v>
      </c>
      <c r="P14" s="332">
        <f>All!P50</f>
        <v>112.4</v>
      </c>
    </row>
    <row r="15" spans="2:16" ht="22.15" customHeight="1">
      <c r="B15" s="349" t="s">
        <v>21</v>
      </c>
      <c r="C15" s="343">
        <f>All!C51</f>
        <v>49.4</v>
      </c>
      <c r="D15" s="333">
        <f>All!D51</f>
        <v>75.3</v>
      </c>
      <c r="E15" s="333">
        <f>All!E51</f>
        <v>92</v>
      </c>
      <c r="F15" s="333">
        <f>All!F51</f>
        <v>129.69999999999999</v>
      </c>
      <c r="G15" s="333">
        <f>All!G51</f>
        <v>146.5</v>
      </c>
      <c r="H15" s="333">
        <f>All!H51</f>
        <v>225</v>
      </c>
      <c r="I15" s="333">
        <f>All!I51</f>
        <v>345.9</v>
      </c>
      <c r="J15" s="333">
        <f>All!J51</f>
        <v>637.1</v>
      </c>
      <c r="K15" s="333">
        <f>All!K51</f>
        <v>320</v>
      </c>
      <c r="L15" s="333">
        <f>All!L51</f>
        <v>156</v>
      </c>
      <c r="M15" s="333">
        <f>All!M51</f>
        <v>155.6</v>
      </c>
      <c r="N15" s="334">
        <f>All!N51</f>
        <v>66.599999999999994</v>
      </c>
      <c r="O15" s="503">
        <f>All!O51</f>
        <v>1387.7</v>
      </c>
      <c r="P15" s="334">
        <f>All!P51</f>
        <v>115.6</v>
      </c>
    </row>
    <row r="16" spans="2:16" ht="22.15" customHeight="1">
      <c r="B16" s="346" t="s">
        <v>22</v>
      </c>
      <c r="C16" s="341">
        <f>All!C52</f>
        <v>1.9</v>
      </c>
      <c r="D16" s="329">
        <f>All!D52</f>
        <v>5.3</v>
      </c>
      <c r="E16" s="329">
        <f>All!E52</f>
        <v>14.4</v>
      </c>
      <c r="F16" s="329">
        <f>All!F52</f>
        <v>16.5</v>
      </c>
      <c r="G16" s="329">
        <f>All!G52</f>
        <v>5.7</v>
      </c>
      <c r="H16" s="329">
        <f>All!H52</f>
        <v>21.1</v>
      </c>
      <c r="I16" s="329">
        <f>All!I52</f>
        <v>94.7</v>
      </c>
      <c r="J16" s="329">
        <f>All!J52</f>
        <v>5.0999999999999996</v>
      </c>
      <c r="K16" s="329">
        <f>All!K52</f>
        <v>13.3</v>
      </c>
      <c r="L16" s="329">
        <f>All!L52</f>
        <v>10.9</v>
      </c>
      <c r="M16" s="329">
        <f>All!M52</f>
        <v>5.6</v>
      </c>
      <c r="N16" s="330">
        <f>All!N52</f>
        <v>9.6999999999999993</v>
      </c>
      <c r="O16" s="504">
        <f>All!O52</f>
        <v>785.4</v>
      </c>
      <c r="P16" s="330">
        <f>All!P52</f>
        <v>65.5</v>
      </c>
    </row>
    <row r="17" spans="1:16" ht="22.15" customHeight="1" thickBot="1">
      <c r="B17" s="348" t="s">
        <v>20</v>
      </c>
      <c r="C17" s="342">
        <f>All!C53</f>
        <v>19.100000000000001</v>
      </c>
      <c r="D17" s="331">
        <f>All!D53</f>
        <v>32</v>
      </c>
      <c r="E17" s="338">
        <f>All!E53</f>
        <v>44.4</v>
      </c>
      <c r="F17" s="331">
        <f>All!F53</f>
        <v>72.5</v>
      </c>
      <c r="G17" s="339">
        <f>All!G53</f>
        <v>75.2</v>
      </c>
      <c r="H17" s="339">
        <f>All!H53</f>
        <v>96.1</v>
      </c>
      <c r="I17" s="339">
        <f>All!I53</f>
        <v>195.3</v>
      </c>
      <c r="J17" s="339">
        <f>All!J53</f>
        <v>221.2</v>
      </c>
      <c r="K17" s="339">
        <f>All!K53</f>
        <v>142.1</v>
      </c>
      <c r="L17" s="331">
        <f>All!L53</f>
        <v>77.8</v>
      </c>
      <c r="M17" s="331">
        <f>All!M53</f>
        <v>65.2</v>
      </c>
      <c r="N17" s="332">
        <f>All!N53</f>
        <v>34.200000000000003</v>
      </c>
      <c r="O17" s="505">
        <f>All!O53</f>
        <v>1075</v>
      </c>
      <c r="P17" s="340">
        <f>All!P53</f>
        <v>89.6</v>
      </c>
    </row>
    <row r="18" spans="1:16" ht="29.25" customHeight="1" thickBot="1">
      <c r="B18" s="91" t="s">
        <v>23</v>
      </c>
      <c r="C18" s="344">
        <f>All!C37</f>
        <v>23.2</v>
      </c>
      <c r="D18" s="335">
        <f>All!D37</f>
        <v>29.1</v>
      </c>
      <c r="E18" s="335">
        <f>All!E37</f>
        <v>43.5</v>
      </c>
      <c r="F18" s="335">
        <f>All!F37</f>
        <v>70.5</v>
      </c>
      <c r="G18" s="335">
        <f>All!G37</f>
        <v>85.8</v>
      </c>
      <c r="H18" s="335">
        <f>All!H37</f>
        <v>136.80000000000001</v>
      </c>
      <c r="I18" s="336">
        <f>All!I37</f>
        <v>244.7</v>
      </c>
      <c r="J18" s="336">
        <f>All!J37</f>
        <v>281.60000000000002</v>
      </c>
      <c r="K18" s="336">
        <f>All!K37</f>
        <v>132.9</v>
      </c>
      <c r="L18" s="336">
        <f>All!L37</f>
        <v>63.2</v>
      </c>
      <c r="M18" s="336">
        <f>All!M37</f>
        <v>54.8</v>
      </c>
      <c r="N18" s="337">
        <f>All!N37</f>
        <v>32.200000000000003</v>
      </c>
      <c r="O18" s="507">
        <f>All!O37</f>
        <v>1198.3</v>
      </c>
      <c r="P18" s="337">
        <f>All!P37</f>
        <v>99.9</v>
      </c>
    </row>
    <row r="19" spans="1:16" ht="22.15" customHeight="1" thickBot="1"/>
    <row r="20" spans="1:16">
      <c r="B20" s="350" t="s">
        <v>24</v>
      </c>
      <c r="C20" s="125"/>
      <c r="D20" s="128">
        <f>SUM(G17:K17)</f>
        <v>729.9</v>
      </c>
      <c r="F20" s="92"/>
    </row>
    <row r="21" spans="1:16">
      <c r="B21" s="351" t="s">
        <v>165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323" t="s">
        <v>186</v>
      </c>
      <c r="D23" s="323" t="s">
        <v>187</v>
      </c>
      <c r="E23" s="323" t="s">
        <v>188</v>
      </c>
    </row>
    <row r="24" spans="1:16" ht="21.95" customHeight="1">
      <c r="B24" s="324" t="s">
        <v>94</v>
      </c>
      <c r="C24" s="374">
        <f>O16</f>
        <v>785.4</v>
      </c>
      <c r="D24" s="375"/>
      <c r="E24" s="376"/>
      <c r="H24" s="353" t="s">
        <v>183</v>
      </c>
      <c r="I24" s="540" t="s">
        <v>411</v>
      </c>
      <c r="J24" s="541"/>
      <c r="K24" s="511">
        <f>INDEX(Location[recharge], MATCH(I24,Location[name],0))</f>
        <v>0.16300000000000001</v>
      </c>
      <c r="L24" s="512">
        <f>INDEX(Location[ratio], MATCH(I24,Location[name],0))</f>
        <v>0.67</v>
      </c>
    </row>
    <row r="25" spans="1:16" ht="21.95" customHeight="1">
      <c r="B25" s="325" t="s">
        <v>25</v>
      </c>
      <c r="C25" s="377">
        <f>O18</f>
        <v>1198.3</v>
      </c>
      <c r="D25" s="378"/>
      <c r="E25" s="379"/>
      <c r="H25" s="353" t="s">
        <v>184</v>
      </c>
      <c r="I25" s="542" t="s">
        <v>193</v>
      </c>
      <c r="J25" s="543"/>
      <c r="K25" s="509">
        <f>INDEX(Location[recharge], MATCH(I25,Location[name],0))</f>
        <v>0.16600000000000001</v>
      </c>
      <c r="L25" s="510">
        <f>INDEX(Location[ratio], MATCH(I25,Location[name],0))</f>
        <v>0.64</v>
      </c>
    </row>
    <row r="26" spans="1:16" ht="21.95" customHeight="1" thickBot="1">
      <c r="B26" s="326" t="s">
        <v>164</v>
      </c>
      <c r="C26" s="380">
        <f>L24</f>
        <v>0.67</v>
      </c>
      <c r="D26" s="381">
        <f>L25</f>
        <v>0.64</v>
      </c>
      <c r="E26" s="382">
        <f>L26</f>
        <v>0.65</v>
      </c>
      <c r="H26" s="353" t="s">
        <v>185</v>
      </c>
      <c r="I26" s="544" t="s">
        <v>257</v>
      </c>
      <c r="J26" s="545"/>
      <c r="K26" s="513">
        <f>INDEX(Location[recharge], MATCH(I26,Location[name],0))</f>
        <v>0.127</v>
      </c>
      <c r="L26" s="514">
        <f>INDEX(Location[ratio], MATCH(I26,Location[name],0))</f>
        <v>0.65</v>
      </c>
    </row>
    <row r="27" spans="1:16" ht="21.95" customHeight="1">
      <c r="B27" s="325" t="s">
        <v>26</v>
      </c>
      <c r="C27" s="383">
        <f>Well!P4</f>
        <v>1688110</v>
      </c>
      <c r="D27" s="378"/>
      <c r="E27" s="384"/>
    </row>
    <row r="28" spans="1:16" ht="21.95" customHeight="1" thickBot="1">
      <c r="B28" s="327" t="s">
        <v>27</v>
      </c>
      <c r="C28" s="385">
        <f>K24</f>
        <v>0.16300000000000001</v>
      </c>
      <c r="D28" s="386">
        <f>K25</f>
        <v>0.16600000000000001</v>
      </c>
      <c r="E28" s="387">
        <f>K26</f>
        <v>0.127</v>
      </c>
    </row>
    <row r="29" spans="1:16" ht="17.25" thickBot="1">
      <c r="E29" s="93"/>
    </row>
    <row r="30" spans="1:16" ht="22.15" customHeight="1" thickBot="1">
      <c r="B30" s="328" t="s">
        <v>166</v>
      </c>
      <c r="C30" s="123">
        <f>max*rf_1/10</f>
        <v>19.53229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  <c r="J31" s="422" t="s">
        <v>378</v>
      </c>
    </row>
    <row r="32" spans="1:16" ht="17.25" customHeight="1">
      <c r="A32" s="352" t="s">
        <v>167</v>
      </c>
      <c r="B32" s="269"/>
      <c r="C32" s="269"/>
      <c r="D32" s="269"/>
    </row>
    <row r="33" spans="1:6" ht="17.25" customHeight="1">
      <c r="A33" s="352" t="s">
        <v>168</v>
      </c>
    </row>
    <row r="34" spans="1:6" ht="17.25" customHeight="1">
      <c r="C34" s="269"/>
      <c r="D34" s="269"/>
    </row>
    <row r="35" spans="1:6" ht="17.25" customHeight="1"/>
    <row r="4689" spans="15:15" s="421" customFormat="1" ht="17.25">
      <c r="O4689" s="506"/>
    </row>
    <row r="4975" spans="2430:2430">
      <c r="COL4975" s="270"/>
    </row>
  </sheetData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0"/>
  <sheetViews>
    <sheetView workbookViewId="0">
      <selection activeCell="K25" sqref="K2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8" t="s">
        <v>352</v>
      </c>
    </row>
    <row r="19" spans="1:7">
      <c r="A19" s="30" t="s">
        <v>408</v>
      </c>
      <c r="D19" s="30" t="s">
        <v>633</v>
      </c>
      <c r="G19" s="425" t="s">
        <v>380</v>
      </c>
    </row>
    <row r="20" spans="1:7">
      <c r="A20" s="30" t="s">
        <v>401</v>
      </c>
      <c r="D20" s="30">
        <v>150</v>
      </c>
      <c r="G20" s="425" t="s">
        <v>381</v>
      </c>
    </row>
    <row r="21" spans="1:7">
      <c r="A21" s="30" t="s">
        <v>402</v>
      </c>
      <c r="D21" s="30">
        <v>200</v>
      </c>
      <c r="G21" s="425" t="s">
        <v>382</v>
      </c>
    </row>
    <row r="22" spans="1:7">
      <c r="A22" s="30" t="s">
        <v>403</v>
      </c>
      <c r="D22" s="30">
        <v>250</v>
      </c>
      <c r="G22" s="425" t="s">
        <v>383</v>
      </c>
    </row>
    <row r="23" spans="1:7">
      <c r="A23" s="30" t="s">
        <v>404</v>
      </c>
      <c r="G23" s="425" t="s">
        <v>384</v>
      </c>
    </row>
    <row r="24" spans="1:7">
      <c r="A24" s="30" t="s">
        <v>405</v>
      </c>
      <c r="G24" s="425" t="s">
        <v>385</v>
      </c>
    </row>
    <row r="25" spans="1:7">
      <c r="A25" s="30" t="s">
        <v>406</v>
      </c>
      <c r="G25" s="425" t="s">
        <v>386</v>
      </c>
    </row>
    <row r="26" spans="1:7">
      <c r="A26" s="30" t="s">
        <v>407</v>
      </c>
      <c r="G26" s="425" t="s">
        <v>387</v>
      </c>
    </row>
    <row r="27" spans="1:7">
      <c r="G27" s="425" t="s">
        <v>388</v>
      </c>
    </row>
    <row r="28" spans="1:7">
      <c r="G28" s="425" t="s">
        <v>389</v>
      </c>
    </row>
    <row r="29" spans="1:7">
      <c r="G29" s="425" t="s">
        <v>390</v>
      </c>
    </row>
    <row r="30" spans="1:7">
      <c r="G30" s="425" t="s">
        <v>391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359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E5" sqref="E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313</v>
      </c>
    </row>
    <row r="4" spans="3:11" ht="40.5" customHeight="1">
      <c r="C4" s="518" t="s">
        <v>306</v>
      </c>
      <c r="D4" s="519" t="s">
        <v>279</v>
      </c>
      <c r="E4" s="519" t="s">
        <v>307</v>
      </c>
      <c r="F4" s="520" t="s">
        <v>312</v>
      </c>
      <c r="G4" s="519" t="s">
        <v>298</v>
      </c>
      <c r="H4" s="519" t="s">
        <v>308</v>
      </c>
      <c r="I4" s="519" t="s">
        <v>309</v>
      </c>
      <c r="J4" s="519" t="s">
        <v>310</v>
      </c>
      <c r="K4" s="521" t="s">
        <v>311</v>
      </c>
    </row>
    <row r="5" spans="3:11" ht="97.5" customHeight="1">
      <c r="C5" s="169" t="s">
        <v>86</v>
      </c>
      <c r="D5" s="251" t="s">
        <v>314</v>
      </c>
      <c r="E5" s="251" t="s">
        <v>315</v>
      </c>
      <c r="F5" s="251" t="s">
        <v>316</v>
      </c>
      <c r="G5" s="251" t="s">
        <v>372</v>
      </c>
      <c r="H5" s="251" t="s">
        <v>373</v>
      </c>
      <c r="I5" s="251" t="s">
        <v>374</v>
      </c>
      <c r="J5" s="251" t="s">
        <v>375</v>
      </c>
      <c r="K5" s="252" t="s">
        <v>376</v>
      </c>
    </row>
    <row r="6" spans="3:11" ht="97.5" customHeight="1">
      <c r="C6" s="169" t="s">
        <v>229</v>
      </c>
      <c r="D6" s="251"/>
      <c r="E6" s="251"/>
      <c r="F6" s="251"/>
      <c r="G6" s="251"/>
      <c r="H6" s="251"/>
      <c r="I6" s="251"/>
      <c r="J6" s="251"/>
      <c r="K6" s="252"/>
    </row>
    <row r="7" spans="3:11" ht="97.5" customHeight="1">
      <c r="C7" s="169" t="s">
        <v>230</v>
      </c>
      <c r="D7" s="251"/>
      <c r="E7" s="251"/>
      <c r="F7" s="251"/>
      <c r="G7" s="251"/>
      <c r="H7" s="251"/>
      <c r="I7" s="251"/>
      <c r="J7" s="251"/>
      <c r="K7" s="252"/>
    </row>
    <row r="8" spans="3:11" ht="97.5" customHeight="1">
      <c r="C8" s="169" t="s">
        <v>356</v>
      </c>
      <c r="D8" s="251"/>
      <c r="E8" s="251"/>
      <c r="F8" s="251"/>
      <c r="G8" s="251"/>
      <c r="H8" s="251"/>
      <c r="I8" s="251"/>
      <c r="J8" s="251"/>
      <c r="K8" s="252"/>
    </row>
    <row r="9" spans="3:11" ht="97.5" customHeight="1">
      <c r="C9" s="169" t="s">
        <v>357</v>
      </c>
      <c r="D9" s="251"/>
      <c r="E9" s="251"/>
      <c r="F9" s="251"/>
      <c r="G9" s="251"/>
      <c r="H9" s="251"/>
      <c r="I9" s="251"/>
      <c r="J9" s="251"/>
      <c r="K9" s="252"/>
    </row>
    <row r="10" spans="3:11" ht="97.5" customHeight="1">
      <c r="C10" s="169" t="s">
        <v>358</v>
      </c>
      <c r="D10" s="251"/>
      <c r="E10" s="251"/>
      <c r="F10" s="251"/>
      <c r="G10" s="251"/>
      <c r="H10" s="251"/>
      <c r="I10" s="251"/>
      <c r="J10" s="251"/>
      <c r="K10" s="252"/>
    </row>
    <row r="11" spans="3:11" ht="97.5" customHeight="1">
      <c r="C11" s="169">
        <v>7</v>
      </c>
      <c r="D11" s="224"/>
      <c r="E11" s="224"/>
      <c r="F11" s="224"/>
      <c r="G11" s="224"/>
      <c r="H11" s="224"/>
      <c r="I11" s="224"/>
      <c r="J11" s="224"/>
      <c r="K11" s="249"/>
    </row>
    <row r="12" spans="3:11" ht="97.5" customHeight="1">
      <c r="C12" s="169">
        <v>8</v>
      </c>
      <c r="D12" s="224"/>
      <c r="E12" s="224"/>
      <c r="F12" s="224"/>
      <c r="G12" s="224"/>
      <c r="H12" s="224"/>
      <c r="I12" s="224"/>
      <c r="J12" s="224"/>
      <c r="K12" s="249"/>
    </row>
    <row r="13" spans="3:11" ht="97.5" customHeight="1">
      <c r="C13" s="169">
        <v>9</v>
      </c>
      <c r="D13" s="224"/>
      <c r="E13" s="224"/>
      <c r="F13" s="224"/>
      <c r="G13" s="224"/>
      <c r="H13" s="224"/>
      <c r="I13" s="224"/>
      <c r="J13" s="224"/>
      <c r="K13" s="249"/>
    </row>
    <row r="14" spans="3:11" ht="97.5" customHeight="1">
      <c r="C14" s="169">
        <v>10</v>
      </c>
      <c r="D14" s="224"/>
      <c r="E14" s="224"/>
      <c r="F14" s="224"/>
      <c r="G14" s="224"/>
      <c r="H14" s="224"/>
      <c r="I14" s="224"/>
      <c r="J14" s="224"/>
      <c r="K14" s="249"/>
    </row>
    <row r="15" spans="3:11" ht="97.5" customHeight="1">
      <c r="C15" s="169">
        <v>11</v>
      </c>
      <c r="D15" s="224"/>
      <c r="E15" s="224"/>
      <c r="F15" s="224"/>
      <c r="G15" s="224"/>
      <c r="H15" s="224"/>
      <c r="I15" s="224"/>
      <c r="J15" s="224"/>
      <c r="K15" s="249"/>
    </row>
    <row r="16" spans="3:11" ht="97.5" customHeight="1">
      <c r="C16" s="169">
        <v>12</v>
      </c>
      <c r="D16" s="224"/>
      <c r="E16" s="224"/>
      <c r="F16" s="224"/>
      <c r="G16" s="224"/>
      <c r="H16" s="224"/>
      <c r="I16" s="224"/>
      <c r="J16" s="224"/>
      <c r="K16" s="249"/>
    </row>
    <row r="17" spans="3:11" ht="97.5" customHeight="1">
      <c r="C17" s="169">
        <v>13</v>
      </c>
      <c r="D17" s="224"/>
      <c r="E17" s="224"/>
      <c r="F17" s="224"/>
      <c r="G17" s="224"/>
      <c r="H17" s="224"/>
      <c r="I17" s="224"/>
      <c r="J17" s="224"/>
      <c r="K17" s="249"/>
    </row>
    <row r="18" spans="3:11" ht="97.5" customHeight="1">
      <c r="C18" s="169">
        <v>14</v>
      </c>
      <c r="D18" s="224"/>
      <c r="E18" s="224"/>
      <c r="F18" s="224"/>
      <c r="G18" s="224"/>
      <c r="H18" s="224"/>
      <c r="I18" s="224"/>
      <c r="J18" s="224"/>
      <c r="K18" s="249"/>
    </row>
    <row r="19" spans="3:11" ht="97.5" customHeight="1" thickBot="1">
      <c r="C19" s="170">
        <v>15</v>
      </c>
      <c r="D19" s="225"/>
      <c r="E19" s="225"/>
      <c r="F19" s="225"/>
      <c r="G19" s="225"/>
      <c r="H19" s="225"/>
      <c r="I19" s="225"/>
      <c r="J19" s="225"/>
      <c r="K19" s="25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V8" sqref="V8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286</v>
      </c>
      <c r="B4" s="538" t="s">
        <v>326</v>
      </c>
      <c r="C4" s="538" t="s">
        <v>327</v>
      </c>
      <c r="D4" s="538" t="s">
        <v>336</v>
      </c>
      <c r="E4" s="538" t="s">
        <v>344</v>
      </c>
      <c r="F4" s="538" t="s">
        <v>343</v>
      </c>
      <c r="G4" s="538" t="s">
        <v>328</v>
      </c>
      <c r="H4" s="184" t="s">
        <v>318</v>
      </c>
      <c r="I4" s="538" t="s">
        <v>329</v>
      </c>
      <c r="J4" s="538" t="s">
        <v>330</v>
      </c>
      <c r="K4" s="538" t="s">
        <v>334</v>
      </c>
      <c r="L4" s="538" t="s">
        <v>333</v>
      </c>
      <c r="M4" s="538" t="s">
        <v>331</v>
      </c>
      <c r="N4" s="538" t="s">
        <v>324</v>
      </c>
      <c r="O4" s="184" t="s">
        <v>319</v>
      </c>
      <c r="P4" s="184" t="s">
        <v>320</v>
      </c>
      <c r="Q4" s="538" t="s">
        <v>332</v>
      </c>
      <c r="R4" s="538" t="s">
        <v>337</v>
      </c>
      <c r="S4" s="538" t="s">
        <v>338</v>
      </c>
      <c r="T4" s="184" t="s">
        <v>323</v>
      </c>
      <c r="U4" s="538" t="s">
        <v>335</v>
      </c>
      <c r="V4" s="184" t="s">
        <v>321</v>
      </c>
      <c r="W4" s="184" t="s">
        <v>322</v>
      </c>
      <c r="X4" s="184" t="s">
        <v>325</v>
      </c>
      <c r="Y4" s="538" t="s">
        <v>341</v>
      </c>
      <c r="Z4" s="538" t="s">
        <v>342</v>
      </c>
      <c r="AA4" s="538" t="s">
        <v>349</v>
      </c>
      <c r="AB4" s="538" t="s">
        <v>350</v>
      </c>
      <c r="AC4" s="538" t="s">
        <v>345</v>
      </c>
      <c r="AD4" s="538" t="s">
        <v>339</v>
      </c>
      <c r="AE4" s="538" t="s">
        <v>340</v>
      </c>
      <c r="AF4" s="538" t="s">
        <v>346</v>
      </c>
      <c r="AG4" s="184" t="s">
        <v>347</v>
      </c>
      <c r="AH4" s="184" t="s">
        <v>348</v>
      </c>
      <c r="AI4" s="184" t="s">
        <v>648</v>
      </c>
      <c r="AJ4" s="184" t="s">
        <v>647</v>
      </c>
      <c r="AK4" s="184" t="s">
        <v>649</v>
      </c>
      <c r="AL4" s="184" t="s">
        <v>650</v>
      </c>
      <c r="AM4" s="184" t="s">
        <v>651</v>
      </c>
      <c r="AN4" s="175" t="s">
        <v>652</v>
      </c>
    </row>
    <row r="5" spans="1:40" ht="23.1" customHeight="1">
      <c r="A5" s="169" t="s">
        <v>228</v>
      </c>
      <c r="B5" s="224">
        <v>10.3</v>
      </c>
      <c r="C5" s="224">
        <v>43.2</v>
      </c>
      <c r="D5" s="256">
        <v>12.170540416902476</v>
      </c>
      <c r="E5" s="256">
        <v>31.029459583097527</v>
      </c>
      <c r="F5" s="256">
        <v>32.900000000000006</v>
      </c>
      <c r="G5" s="224">
        <v>250</v>
      </c>
      <c r="H5" s="224">
        <v>0.125</v>
      </c>
      <c r="I5" s="224">
        <v>100</v>
      </c>
      <c r="J5" s="224">
        <v>25</v>
      </c>
      <c r="K5" s="224">
        <v>160</v>
      </c>
      <c r="L5" s="256">
        <v>2.2682757361067729</v>
      </c>
      <c r="M5" s="224">
        <v>5</v>
      </c>
      <c r="N5" s="224">
        <v>75</v>
      </c>
      <c r="O5" s="254">
        <v>3.0184000000000002</v>
      </c>
      <c r="P5" s="254">
        <v>9.9260000000000002</v>
      </c>
      <c r="Q5" s="254">
        <v>6.4722</v>
      </c>
      <c r="R5" s="224">
        <v>0.3856</v>
      </c>
      <c r="S5" s="257">
        <v>8.5459999999999996E-4</v>
      </c>
      <c r="T5" s="254">
        <v>8.6290000000000006E-2</v>
      </c>
      <c r="U5" s="224">
        <v>0.79159999999999997</v>
      </c>
      <c r="V5" s="255">
        <v>125.6</v>
      </c>
      <c r="W5" s="255">
        <v>153.80000000000001</v>
      </c>
      <c r="X5" s="255">
        <v>116.1</v>
      </c>
      <c r="Y5" s="224">
        <v>-2.9291</v>
      </c>
      <c r="Z5" s="254">
        <v>2.339</v>
      </c>
      <c r="AA5" s="224">
        <v>177</v>
      </c>
      <c r="AB5" s="224">
        <v>160.4</v>
      </c>
      <c r="AC5" s="224">
        <v>97</v>
      </c>
      <c r="AD5" s="224">
        <v>13.77</v>
      </c>
      <c r="AE5" s="224">
        <v>29.28</v>
      </c>
      <c r="AF5" s="224">
        <v>2.8959999999999999E-4</v>
      </c>
      <c r="AG5" s="224">
        <v>0.1136127</v>
      </c>
      <c r="AH5" s="537">
        <v>0.903954802259887</v>
      </c>
      <c r="AI5" s="224">
        <v>3.2351000000000001</v>
      </c>
      <c r="AJ5" s="224">
        <v>5.0000000000000001E-4</v>
      </c>
      <c r="AK5" s="224" t="s">
        <v>653</v>
      </c>
      <c r="AL5" s="224">
        <v>3.4558</v>
      </c>
      <c r="AM5" s="224">
        <v>3.4594999999999998</v>
      </c>
      <c r="AN5" s="249">
        <v>3.4712999999999998</v>
      </c>
    </row>
    <row r="6" spans="1:40" ht="23.1" customHeight="1">
      <c r="A6" s="169"/>
      <c r="B6" s="224"/>
      <c r="C6" s="224"/>
      <c r="D6" s="256"/>
      <c r="E6" s="256"/>
      <c r="F6" s="256"/>
      <c r="G6" s="224"/>
      <c r="H6" s="224"/>
      <c r="I6" s="224"/>
      <c r="J6" s="224"/>
      <c r="K6" s="224"/>
      <c r="L6" s="256"/>
      <c r="M6" s="224"/>
      <c r="N6" s="224"/>
      <c r="O6" s="254"/>
      <c r="P6" s="254"/>
      <c r="Q6" s="254"/>
      <c r="R6" s="224"/>
      <c r="S6" s="257"/>
      <c r="T6" s="254"/>
      <c r="U6" s="224"/>
      <c r="V6" s="255"/>
      <c r="W6" s="255"/>
      <c r="X6" s="255"/>
      <c r="Y6" s="224"/>
      <c r="Z6" s="254"/>
      <c r="AA6" s="224"/>
      <c r="AB6" s="224"/>
      <c r="AC6" s="224"/>
      <c r="AD6" s="224"/>
      <c r="AE6" s="224"/>
      <c r="AF6" s="224"/>
      <c r="AG6" s="224"/>
      <c r="AH6" s="537"/>
      <c r="AI6" s="224"/>
      <c r="AJ6" s="224"/>
      <c r="AK6" s="224"/>
      <c r="AL6" s="224"/>
      <c r="AM6" s="224"/>
      <c r="AN6" s="249"/>
    </row>
    <row r="7" spans="1:40" ht="23.1" customHeight="1">
      <c r="A7" s="169"/>
      <c r="B7" s="224"/>
      <c r="C7" s="224"/>
      <c r="D7" s="256"/>
      <c r="E7" s="256"/>
      <c r="F7" s="256"/>
      <c r="G7" s="224"/>
      <c r="H7" s="224"/>
      <c r="I7" s="224"/>
      <c r="J7" s="224"/>
      <c r="K7" s="224"/>
      <c r="L7" s="256"/>
      <c r="M7" s="224"/>
      <c r="N7" s="224"/>
      <c r="O7" s="254"/>
      <c r="P7" s="254"/>
      <c r="Q7" s="254"/>
      <c r="R7" s="224"/>
      <c r="S7" s="257"/>
      <c r="T7" s="254"/>
      <c r="U7" s="224"/>
      <c r="V7" s="255"/>
      <c r="W7" s="255"/>
      <c r="X7" s="255"/>
      <c r="Y7" s="224"/>
      <c r="Z7" s="254"/>
      <c r="AA7" s="224"/>
      <c r="AB7" s="224"/>
      <c r="AC7" s="224"/>
      <c r="AD7" s="224"/>
      <c r="AE7" s="224"/>
      <c r="AF7" s="224"/>
      <c r="AG7" s="224"/>
      <c r="AH7" s="537"/>
      <c r="AI7" s="224"/>
      <c r="AJ7" s="224"/>
      <c r="AK7" s="224"/>
      <c r="AL7" s="224"/>
      <c r="AM7" s="224"/>
      <c r="AN7" s="249"/>
    </row>
    <row r="8" spans="1:40" ht="23.1" customHeight="1">
      <c r="A8" s="169"/>
      <c r="B8" s="224"/>
      <c r="C8" s="224"/>
      <c r="D8" s="256"/>
      <c r="E8" s="256"/>
      <c r="F8" s="256"/>
      <c r="G8" s="224"/>
      <c r="H8" s="224"/>
      <c r="I8" s="224"/>
      <c r="J8" s="224"/>
      <c r="K8" s="224"/>
      <c r="L8" s="256"/>
      <c r="M8" s="224"/>
      <c r="N8" s="224"/>
      <c r="O8" s="254"/>
      <c r="P8" s="254"/>
      <c r="Q8" s="254"/>
      <c r="R8" s="224"/>
      <c r="S8" s="257"/>
      <c r="T8" s="254"/>
      <c r="U8" s="224"/>
      <c r="V8" s="255"/>
      <c r="W8" s="255"/>
      <c r="X8" s="255"/>
      <c r="Y8" s="224"/>
      <c r="Z8" s="254"/>
      <c r="AA8" s="224"/>
      <c r="AB8" s="224"/>
      <c r="AC8" s="224"/>
      <c r="AD8" s="224"/>
      <c r="AE8" s="224"/>
      <c r="AF8" s="224"/>
      <c r="AG8" s="224"/>
      <c r="AH8" s="537"/>
      <c r="AI8" s="224"/>
      <c r="AJ8" s="224"/>
      <c r="AK8" s="224"/>
      <c r="AL8" s="224"/>
      <c r="AM8" s="224"/>
      <c r="AN8" s="249"/>
    </row>
    <row r="9" spans="1:40" ht="23.1" customHeight="1">
      <c r="A9" s="169"/>
      <c r="B9" s="224"/>
      <c r="C9" s="224"/>
      <c r="D9" s="256"/>
      <c r="E9" s="256"/>
      <c r="F9" s="256"/>
      <c r="G9" s="224"/>
      <c r="H9" s="224"/>
      <c r="I9" s="224"/>
      <c r="J9" s="224"/>
      <c r="K9" s="224"/>
      <c r="L9" s="256"/>
      <c r="M9" s="224"/>
      <c r="N9" s="224"/>
      <c r="O9" s="254"/>
      <c r="P9" s="254"/>
      <c r="Q9" s="254"/>
      <c r="R9" s="224"/>
      <c r="S9" s="257"/>
      <c r="T9" s="254"/>
      <c r="U9" s="224"/>
      <c r="V9" s="255"/>
      <c r="W9" s="255"/>
      <c r="X9" s="255"/>
      <c r="Y9" s="224"/>
      <c r="Z9" s="254"/>
      <c r="AA9" s="224"/>
      <c r="AB9" s="224"/>
      <c r="AC9" s="224"/>
      <c r="AD9" s="224"/>
      <c r="AE9" s="224"/>
      <c r="AF9" s="224"/>
      <c r="AG9" s="224"/>
      <c r="AH9" s="537"/>
      <c r="AI9" s="224"/>
      <c r="AJ9" s="224"/>
      <c r="AK9" s="224"/>
      <c r="AL9" s="224"/>
      <c r="AM9" s="224"/>
      <c r="AN9" s="249"/>
    </row>
    <row r="10" spans="1:40" ht="23.1" customHeight="1">
      <c r="A10" s="169"/>
      <c r="B10" s="224"/>
      <c r="C10" s="224"/>
      <c r="D10" s="256"/>
      <c r="E10" s="256"/>
      <c r="F10" s="256"/>
      <c r="G10" s="224"/>
      <c r="H10" s="224"/>
      <c r="I10" s="224"/>
      <c r="J10" s="224"/>
      <c r="K10" s="224"/>
      <c r="L10" s="256"/>
      <c r="M10" s="224"/>
      <c r="N10" s="224"/>
      <c r="O10" s="254"/>
      <c r="P10" s="254"/>
      <c r="Q10" s="254"/>
      <c r="R10" s="224"/>
      <c r="S10" s="257"/>
      <c r="T10" s="254"/>
      <c r="U10" s="224"/>
      <c r="V10" s="255"/>
      <c r="W10" s="255"/>
      <c r="X10" s="255"/>
      <c r="Y10" s="224"/>
      <c r="Z10" s="254"/>
      <c r="AA10" s="224"/>
      <c r="AB10" s="224"/>
      <c r="AC10" s="224"/>
      <c r="AD10" s="224"/>
      <c r="AE10" s="224"/>
      <c r="AF10" s="224"/>
      <c r="AG10" s="224"/>
      <c r="AH10" s="537"/>
      <c r="AI10" s="224"/>
      <c r="AJ10" s="224"/>
      <c r="AK10" s="224"/>
      <c r="AL10" s="224"/>
      <c r="AM10" s="224"/>
      <c r="AN10" s="249"/>
    </row>
    <row r="11" spans="1:40" ht="23.1" customHeight="1">
      <c r="A11" s="169"/>
      <c r="B11" s="224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224"/>
      <c r="AA11" s="224"/>
      <c r="AB11" s="224"/>
      <c r="AC11" s="224"/>
      <c r="AD11" s="224"/>
      <c r="AE11" s="224"/>
      <c r="AF11" s="224"/>
      <c r="AG11" s="224"/>
      <c r="AH11" s="224"/>
      <c r="AI11" s="224"/>
      <c r="AJ11" s="224"/>
      <c r="AK11" s="224"/>
      <c r="AL11" s="224"/>
      <c r="AM11" s="224"/>
      <c r="AN11" s="249"/>
    </row>
    <row r="12" spans="1:40" ht="23.1" customHeight="1">
      <c r="A12" s="169"/>
      <c r="B12" s="224"/>
      <c r="C12" s="224"/>
      <c r="D12" s="224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24"/>
      <c r="AA12" s="224"/>
      <c r="AB12" s="224"/>
      <c r="AC12" s="224"/>
      <c r="AD12" s="224"/>
      <c r="AE12" s="224"/>
      <c r="AF12" s="224"/>
      <c r="AG12" s="224"/>
      <c r="AH12" s="224"/>
      <c r="AI12" s="224"/>
      <c r="AJ12" s="224"/>
      <c r="AK12" s="224"/>
      <c r="AL12" s="224"/>
      <c r="AM12" s="224"/>
      <c r="AN12" s="249"/>
    </row>
    <row r="13" spans="1:40" ht="23.1" customHeight="1">
      <c r="A13" s="169"/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4"/>
      <c r="P13" s="224"/>
      <c r="Q13" s="224"/>
      <c r="R13" s="224"/>
      <c r="S13" s="224"/>
      <c r="T13" s="224"/>
      <c r="U13" s="224"/>
      <c r="V13" s="224"/>
      <c r="W13" s="224"/>
      <c r="X13" s="224"/>
      <c r="Y13" s="224"/>
      <c r="Z13" s="224"/>
      <c r="AA13" s="224"/>
      <c r="AB13" s="224"/>
      <c r="AC13" s="224"/>
      <c r="AD13" s="224"/>
      <c r="AE13" s="224"/>
      <c r="AF13" s="224"/>
      <c r="AG13" s="224"/>
      <c r="AH13" s="224"/>
      <c r="AI13" s="224"/>
      <c r="AJ13" s="224"/>
      <c r="AK13" s="224"/>
      <c r="AL13" s="224"/>
      <c r="AM13" s="224"/>
      <c r="AN13" s="249"/>
    </row>
    <row r="14" spans="1:40" ht="23.1" customHeight="1">
      <c r="A14" s="169"/>
      <c r="B14" s="224"/>
      <c r="C14" s="224"/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  <c r="AA14" s="224"/>
      <c r="AB14" s="224"/>
      <c r="AC14" s="224"/>
      <c r="AD14" s="224"/>
      <c r="AE14" s="224"/>
      <c r="AF14" s="224"/>
      <c r="AG14" s="224"/>
      <c r="AH14" s="224"/>
      <c r="AI14" s="224"/>
      <c r="AJ14" s="224"/>
      <c r="AK14" s="224"/>
      <c r="AL14" s="224"/>
      <c r="AM14" s="224"/>
      <c r="AN14" s="249"/>
    </row>
    <row r="15" spans="1:40" ht="23.1" customHeight="1">
      <c r="A15" s="169"/>
      <c r="B15" s="224"/>
      <c r="C15" s="224"/>
      <c r="D15" s="224"/>
      <c r="E15" s="224"/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4"/>
      <c r="S15" s="224"/>
      <c r="T15" s="224"/>
      <c r="U15" s="224"/>
      <c r="V15" s="224"/>
      <c r="W15" s="224"/>
      <c r="X15" s="224"/>
      <c r="Y15" s="224"/>
      <c r="Z15" s="224"/>
      <c r="AA15" s="224"/>
      <c r="AB15" s="224"/>
      <c r="AC15" s="224"/>
      <c r="AD15" s="224"/>
      <c r="AE15" s="224"/>
      <c r="AF15" s="224"/>
      <c r="AG15" s="224"/>
      <c r="AH15" s="224"/>
      <c r="AI15" s="224"/>
      <c r="AJ15" s="224"/>
      <c r="AK15" s="224"/>
      <c r="AL15" s="224"/>
      <c r="AM15" s="224"/>
      <c r="AN15" s="249"/>
    </row>
    <row r="16" spans="1:40" ht="23.1" customHeight="1">
      <c r="A16" s="169"/>
      <c r="B16" s="224"/>
      <c r="C16" s="224"/>
      <c r="D16" s="224"/>
      <c r="E16" s="224"/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  <c r="R16" s="224"/>
      <c r="S16" s="224"/>
      <c r="T16" s="224"/>
      <c r="U16" s="224"/>
      <c r="V16" s="224"/>
      <c r="W16" s="224"/>
      <c r="X16" s="224"/>
      <c r="Y16" s="224"/>
      <c r="Z16" s="224"/>
      <c r="AA16" s="224"/>
      <c r="AB16" s="224"/>
      <c r="AC16" s="224"/>
      <c r="AD16" s="224"/>
      <c r="AE16" s="224"/>
      <c r="AF16" s="224"/>
      <c r="AG16" s="224"/>
      <c r="AH16" s="224"/>
      <c r="AI16" s="224"/>
      <c r="AJ16" s="224"/>
      <c r="AK16" s="224"/>
      <c r="AL16" s="224"/>
      <c r="AM16" s="224"/>
      <c r="AN16" s="249"/>
    </row>
    <row r="17" spans="1:40" ht="23.1" customHeight="1">
      <c r="A17" s="169"/>
      <c r="B17" s="224"/>
      <c r="C17" s="224"/>
      <c r="D17" s="224"/>
      <c r="E17" s="224"/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4"/>
      <c r="S17" s="224"/>
      <c r="T17" s="224"/>
      <c r="U17" s="224"/>
      <c r="V17" s="224"/>
      <c r="W17" s="224"/>
      <c r="X17" s="224"/>
      <c r="Y17" s="224"/>
      <c r="Z17" s="224"/>
      <c r="AA17" s="224"/>
      <c r="AB17" s="224"/>
      <c r="AC17" s="224"/>
      <c r="AD17" s="224"/>
      <c r="AE17" s="224"/>
      <c r="AF17" s="224"/>
      <c r="AG17" s="224"/>
      <c r="AH17" s="224"/>
      <c r="AI17" s="224"/>
      <c r="AJ17" s="224"/>
      <c r="AK17" s="224"/>
      <c r="AL17" s="224"/>
      <c r="AM17" s="224"/>
      <c r="AN17" s="249"/>
    </row>
    <row r="18" spans="1:40" ht="23.1" customHeight="1">
      <c r="A18" s="169"/>
      <c r="B18" s="224"/>
      <c r="C18" s="224"/>
      <c r="D18" s="224"/>
      <c r="E18" s="224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Y18" s="224"/>
      <c r="Z18" s="224"/>
      <c r="AA18" s="224"/>
      <c r="AB18" s="224"/>
      <c r="AC18" s="224"/>
      <c r="AD18" s="224"/>
      <c r="AE18" s="224"/>
      <c r="AF18" s="224"/>
      <c r="AG18" s="224"/>
      <c r="AH18" s="224"/>
      <c r="AI18" s="224"/>
      <c r="AJ18" s="224"/>
      <c r="AK18" s="224"/>
      <c r="AL18" s="224"/>
      <c r="AM18" s="224"/>
      <c r="AN18" s="249"/>
    </row>
    <row r="19" spans="1:40" ht="23.1" customHeight="1" thickBot="1">
      <c r="A19" s="170"/>
      <c r="B19" s="225"/>
      <c r="C19" s="225"/>
      <c r="D19" s="225"/>
      <c r="E19" s="225"/>
      <c r="F19" s="225"/>
      <c r="G19" s="225"/>
      <c r="H19" s="225"/>
      <c r="I19" s="225"/>
      <c r="J19" s="225"/>
      <c r="K19" s="225"/>
      <c r="L19" s="225"/>
      <c r="M19" s="225"/>
      <c r="N19" s="225"/>
      <c r="O19" s="225"/>
      <c r="P19" s="225"/>
      <c r="Q19" s="225"/>
      <c r="R19" s="225"/>
      <c r="S19" s="225"/>
      <c r="T19" s="225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50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M15" sqref="M15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11"/>
    </row>
    <row r="5" spans="1:12" ht="20.100000000000001" customHeight="1" thickBot="1"/>
    <row r="6" spans="1:12" ht="20.100000000000001" customHeight="1">
      <c r="D6" s="402" t="s">
        <v>279</v>
      </c>
      <c r="E6" s="403" t="s">
        <v>366</v>
      </c>
      <c r="F6" s="403"/>
      <c r="G6" s="403" t="s">
        <v>367</v>
      </c>
      <c r="H6" s="403"/>
      <c r="I6" s="403" t="s">
        <v>368</v>
      </c>
      <c r="J6" s="403"/>
      <c r="K6" s="403" t="s">
        <v>369</v>
      </c>
      <c r="L6" s="404"/>
    </row>
    <row r="7" spans="1:12" ht="20.100000000000001" customHeight="1">
      <c r="D7" s="405" t="s">
        <v>370</v>
      </c>
      <c r="E7" s="406">
        <v>20</v>
      </c>
      <c r="F7" s="406">
        <v>102.04999999999998</v>
      </c>
      <c r="G7" s="406">
        <v>3</v>
      </c>
      <c r="H7" s="406">
        <v>20.46</v>
      </c>
      <c r="I7" s="406">
        <v>17</v>
      </c>
      <c r="J7" s="406">
        <v>81.589999999999989</v>
      </c>
      <c r="K7" s="406">
        <v>0</v>
      </c>
      <c r="L7" s="407">
        <v>0</v>
      </c>
    </row>
    <row r="8" spans="1:12" ht="20.100000000000001" customHeight="1" thickBot="1">
      <c r="D8" s="408" t="s">
        <v>371</v>
      </c>
      <c r="E8" s="409">
        <v>0</v>
      </c>
      <c r="F8" s="409">
        <v>0</v>
      </c>
      <c r="G8" s="409">
        <v>0</v>
      </c>
      <c r="H8" s="409">
        <v>0</v>
      </c>
      <c r="I8" s="409">
        <v>0</v>
      </c>
      <c r="J8" s="409">
        <v>0</v>
      </c>
      <c r="K8" s="409">
        <v>0</v>
      </c>
      <c r="L8" s="41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F9" sqref="F9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414</v>
      </c>
      <c r="F1" s="32"/>
      <c r="J1" s="60"/>
    </row>
    <row r="2" spans="1:18" s="67" customFormat="1" ht="23.1" customHeight="1">
      <c r="A2" s="546" t="s">
        <v>0</v>
      </c>
      <c r="B2" s="548" t="s">
        <v>39</v>
      </c>
      <c r="C2" s="548" t="s">
        <v>6</v>
      </c>
      <c r="D2" s="548" t="s">
        <v>38</v>
      </c>
      <c r="E2" s="548" t="s">
        <v>203</v>
      </c>
      <c r="F2" s="548" t="s">
        <v>202</v>
      </c>
      <c r="G2" s="552" t="s">
        <v>1</v>
      </c>
      <c r="H2" s="552" t="s">
        <v>2</v>
      </c>
      <c r="I2" s="552" t="s">
        <v>171</v>
      </c>
      <c r="J2" s="556" t="s">
        <v>273</v>
      </c>
      <c r="K2" s="552" t="s">
        <v>272</v>
      </c>
      <c r="L2" s="552" t="s">
        <v>3</v>
      </c>
      <c r="M2" s="552" t="s">
        <v>4</v>
      </c>
      <c r="N2" s="552" t="s">
        <v>5</v>
      </c>
      <c r="O2" s="552" t="s">
        <v>271</v>
      </c>
      <c r="P2" s="554" t="s">
        <v>270</v>
      </c>
      <c r="Q2" s="548" t="s">
        <v>158</v>
      </c>
      <c r="R2" s="550" t="s">
        <v>92</v>
      </c>
    </row>
    <row r="3" spans="1:18" s="67" customFormat="1" ht="27" customHeight="1">
      <c r="A3" s="547"/>
      <c r="B3" s="549"/>
      <c r="C3" s="549"/>
      <c r="D3" s="549"/>
      <c r="E3" s="549"/>
      <c r="F3" s="549"/>
      <c r="G3" s="553"/>
      <c r="H3" s="553"/>
      <c r="I3" s="553"/>
      <c r="J3" s="557"/>
      <c r="K3" s="553"/>
      <c r="L3" s="553"/>
      <c r="M3" s="553"/>
      <c r="N3" s="553"/>
      <c r="O3" s="553"/>
      <c r="P3" s="555"/>
      <c r="Q3" s="549"/>
      <c r="R3" s="551"/>
    </row>
    <row r="4" spans="1:18" ht="23.1" customHeight="1" thickBot="1">
      <c r="A4" s="429" t="s">
        <v>360</v>
      </c>
      <c r="B4" s="430" t="s">
        <v>388</v>
      </c>
      <c r="C4" s="431"/>
      <c r="D4" s="430" t="s">
        <v>415</v>
      </c>
      <c r="E4" s="430" t="str">
        <f>Recharge!$I$24</f>
        <v>금강/금강공주</v>
      </c>
      <c r="F4" s="430" t="str">
        <f>All!$B$2</f>
        <v>보령기상청</v>
      </c>
      <c r="G4" s="430">
        <v>250</v>
      </c>
      <c r="H4" s="430">
        <v>80</v>
      </c>
      <c r="I4" s="430">
        <v>150</v>
      </c>
      <c r="J4" s="430">
        <v>160</v>
      </c>
      <c r="K4" s="430">
        <v>160</v>
      </c>
      <c r="L4" s="430">
        <v>3</v>
      </c>
      <c r="M4" s="430">
        <v>60</v>
      </c>
      <c r="N4" s="432">
        <v>50</v>
      </c>
      <c r="O4" s="433">
        <f>ROUND(water!F7, 1)</f>
        <v>102.1</v>
      </c>
      <c r="P4" s="434">
        <v>1688110</v>
      </c>
      <c r="Q4" s="430"/>
      <c r="R4" s="435"/>
    </row>
    <row r="5" spans="1:18" ht="23.25" customHeight="1" thickBot="1">
      <c r="A5" s="141"/>
      <c r="J5" s="171"/>
      <c r="P5" s="172"/>
    </row>
    <row r="6" spans="1:18" ht="23.25" customHeight="1" thickBot="1">
      <c r="I6" s="192">
        <f>SUM(I4:I5)</f>
        <v>150</v>
      </c>
    </row>
    <row r="10" spans="1:18">
      <c r="Q10" s="30" t="s">
        <v>121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13" sqref="M13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7" t="s">
        <v>208</v>
      </c>
      <c r="H2" s="228" t="s">
        <v>205</v>
      </c>
      <c r="I2" s="229" t="s">
        <v>214</v>
      </c>
      <c r="J2" s="228" t="s">
        <v>206</v>
      </c>
      <c r="K2" s="230" t="s">
        <v>207</v>
      </c>
      <c r="M2" s="233"/>
      <c r="N2" s="234" t="s">
        <v>212</v>
      </c>
      <c r="O2" s="230" t="s">
        <v>213</v>
      </c>
      <c r="Q2" s="227" t="s">
        <v>208</v>
      </c>
      <c r="R2" s="234" t="s">
        <v>216</v>
      </c>
      <c r="S2" s="230" t="s">
        <v>217</v>
      </c>
    </row>
    <row r="3" spans="7:19" ht="20.100000000000001" customHeight="1">
      <c r="G3" s="209" t="s">
        <v>228</v>
      </c>
      <c r="H3" s="197">
        <v>183</v>
      </c>
      <c r="I3" s="231">
        <v>165.36</v>
      </c>
      <c r="J3" s="197">
        <v>160</v>
      </c>
      <c r="K3" s="232">
        <v>0.90163934426229508</v>
      </c>
      <c r="M3" s="235" t="s">
        <v>207</v>
      </c>
      <c r="N3" s="236">
        <v>0.90163934426229508</v>
      </c>
      <c r="O3" s="237">
        <v>0.90163934426229508</v>
      </c>
      <c r="Q3" s="243" t="s">
        <v>228</v>
      </c>
      <c r="R3" s="244">
        <v>3.1490000000000001E-4</v>
      </c>
      <c r="S3" s="245">
        <v>0.1282326</v>
      </c>
    </row>
    <row r="4" spans="7:19" ht="20.100000000000001" customHeight="1">
      <c r="G4" s="209"/>
      <c r="H4" s="197"/>
      <c r="I4" s="231"/>
      <c r="J4" s="197"/>
      <c r="K4" s="232"/>
      <c r="M4" s="235" t="s">
        <v>214</v>
      </c>
      <c r="N4" s="238">
        <v>165.36</v>
      </c>
      <c r="O4" s="239">
        <v>165.36</v>
      </c>
      <c r="Q4" s="243"/>
      <c r="R4" s="244"/>
      <c r="S4" s="245"/>
    </row>
    <row r="5" spans="7:19" ht="20.100000000000001" customHeight="1" thickBot="1">
      <c r="G5" s="209"/>
      <c r="H5" s="197"/>
      <c r="I5" s="231"/>
      <c r="J5" s="197"/>
      <c r="K5" s="232"/>
      <c r="M5" s="240" t="s">
        <v>215</v>
      </c>
      <c r="N5" s="241">
        <v>160</v>
      </c>
      <c r="O5" s="242">
        <v>160</v>
      </c>
      <c r="Q5" s="243"/>
      <c r="R5" s="244"/>
      <c r="S5" s="245"/>
    </row>
    <row r="6" spans="7:19" ht="20.100000000000001" customHeight="1">
      <c r="G6" s="209"/>
      <c r="H6" s="197"/>
      <c r="I6" s="197"/>
      <c r="J6" s="197"/>
      <c r="K6" s="198"/>
      <c r="Q6" s="243"/>
      <c r="R6" s="244"/>
      <c r="S6" s="245"/>
    </row>
    <row r="7" spans="7:19" ht="20.100000000000001" customHeight="1">
      <c r="G7" s="209"/>
      <c r="H7" s="197"/>
      <c r="I7" s="197"/>
      <c r="J7" s="197"/>
      <c r="K7" s="198"/>
      <c r="Q7" s="243"/>
      <c r="R7" s="244"/>
      <c r="S7" s="245"/>
    </row>
    <row r="8" spans="7:19" ht="20.100000000000001" customHeight="1">
      <c r="G8" s="209"/>
      <c r="H8" s="197"/>
      <c r="I8" s="197"/>
      <c r="J8" s="197"/>
      <c r="K8" s="198"/>
      <c r="Q8" s="209"/>
      <c r="R8" s="197"/>
      <c r="S8" s="198"/>
    </row>
    <row r="9" spans="7:19" ht="20.100000000000001" customHeight="1">
      <c r="G9" s="209"/>
      <c r="H9" s="197"/>
      <c r="I9" s="197"/>
      <c r="J9" s="197"/>
      <c r="K9" s="198"/>
      <c r="Q9" s="209"/>
      <c r="R9" s="197"/>
      <c r="S9" s="198"/>
    </row>
    <row r="10" spans="7:19" ht="20.100000000000001" customHeight="1">
      <c r="G10" s="209"/>
      <c r="H10" s="197"/>
      <c r="I10" s="197"/>
      <c r="J10" s="197"/>
      <c r="K10" s="198"/>
      <c r="Q10" s="209"/>
      <c r="R10" s="197"/>
      <c r="S10" s="198"/>
    </row>
    <row r="11" spans="7:19" ht="20.100000000000001" customHeight="1">
      <c r="G11" s="209"/>
      <c r="H11" s="197"/>
      <c r="I11" s="197"/>
      <c r="J11" s="197"/>
      <c r="K11" s="198"/>
      <c r="Q11" s="209"/>
      <c r="R11" s="197"/>
      <c r="S11" s="198"/>
    </row>
    <row r="12" spans="7:19" ht="20.100000000000001" customHeight="1">
      <c r="G12" s="209"/>
      <c r="H12" s="197"/>
      <c r="I12" s="197"/>
      <c r="J12" s="197"/>
      <c r="K12" s="198"/>
      <c r="Q12" s="209"/>
      <c r="R12" s="197"/>
      <c r="S12" s="198"/>
    </row>
    <row r="13" spans="7:19" ht="20.100000000000001" customHeight="1">
      <c r="G13" s="209"/>
      <c r="H13" s="197"/>
      <c r="I13" s="197"/>
      <c r="J13" s="197"/>
      <c r="K13" s="198"/>
      <c r="Q13" s="209"/>
      <c r="R13" s="197"/>
      <c r="S13" s="198"/>
    </row>
    <row r="14" spans="7:19" ht="20.100000000000001" customHeight="1">
      <c r="G14" s="209"/>
      <c r="H14" s="197"/>
      <c r="I14" s="197"/>
      <c r="J14" s="197"/>
      <c r="K14" s="198"/>
      <c r="Q14" s="209"/>
      <c r="R14" s="197"/>
      <c r="S14" s="198"/>
    </row>
    <row r="15" spans="7:19" ht="20.100000000000001" customHeight="1">
      <c r="G15" s="209"/>
      <c r="H15" s="197"/>
      <c r="I15" s="197"/>
      <c r="J15" s="197"/>
      <c r="K15" s="198"/>
      <c r="Q15" s="209"/>
      <c r="R15" s="197"/>
      <c r="S15" s="198"/>
    </row>
    <row r="16" spans="7:19" ht="20.100000000000001" customHeight="1">
      <c r="G16" s="209"/>
      <c r="H16" s="197"/>
      <c r="I16" s="197"/>
      <c r="J16" s="197"/>
      <c r="K16" s="198"/>
      <c r="Q16" s="209"/>
      <c r="R16" s="197"/>
      <c r="S16" s="198"/>
    </row>
    <row r="17" spans="6:19" ht="20.100000000000001" customHeight="1">
      <c r="G17" s="209"/>
      <c r="H17" s="197"/>
      <c r="I17" s="197"/>
      <c r="J17" s="197"/>
      <c r="K17" s="198"/>
      <c r="Q17" s="209"/>
      <c r="R17" s="197"/>
      <c r="S17" s="198"/>
    </row>
    <row r="18" spans="6:19" ht="20.100000000000001" customHeight="1">
      <c r="G18" s="209"/>
      <c r="H18" s="197"/>
      <c r="I18" s="197"/>
      <c r="J18" s="197"/>
      <c r="K18" s="198"/>
      <c r="Q18" s="209"/>
      <c r="R18" s="197"/>
      <c r="S18" s="198"/>
    </row>
    <row r="19" spans="6:19" ht="20.100000000000001" customHeight="1" thickBot="1">
      <c r="G19" s="211"/>
      <c r="H19" s="189"/>
      <c r="I19" s="189"/>
      <c r="J19" s="189"/>
      <c r="K19" s="190"/>
      <c r="Q19" s="211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60" t="s">
        <v>240</v>
      </c>
      <c r="H26" s="261"/>
      <c r="I26" s="262"/>
    </row>
    <row r="27" spans="6:19" ht="15.95" customHeight="1">
      <c r="F27" s="566" t="s">
        <v>228</v>
      </c>
      <c r="G27" s="564">
        <v>183</v>
      </c>
      <c r="H27" s="259">
        <v>34.17</v>
      </c>
      <c r="I27" s="565">
        <v>165.36</v>
      </c>
    </row>
    <row r="28" spans="6:19" ht="15.95" customHeight="1">
      <c r="F28" s="558"/>
      <c r="G28" s="559"/>
      <c r="H28" s="197">
        <v>16.07</v>
      </c>
      <c r="I28" s="560"/>
      <c r="K28" s="30"/>
    </row>
    <row r="29" spans="6:19" ht="15.95" customHeight="1">
      <c r="F29" s="558"/>
      <c r="G29" s="559"/>
      <c r="H29" s="197"/>
      <c r="I29" s="560"/>
    </row>
    <row r="30" spans="6:19" ht="15.95" customHeight="1">
      <c r="F30" s="558"/>
      <c r="G30" s="559"/>
      <c r="H30" s="197"/>
      <c r="I30" s="560"/>
    </row>
    <row r="31" spans="6:19" ht="15.95" customHeight="1">
      <c r="F31" s="558"/>
      <c r="G31" s="559"/>
      <c r="H31" s="197"/>
      <c r="I31" s="560"/>
    </row>
    <row r="32" spans="6:19" ht="15.95" customHeight="1">
      <c r="F32" s="558"/>
      <c r="G32" s="559"/>
      <c r="H32" s="197"/>
      <c r="I32" s="560"/>
    </row>
    <row r="33" spans="6:9" ht="15.95" customHeight="1">
      <c r="F33" s="558"/>
      <c r="G33" s="559"/>
      <c r="H33" s="197"/>
      <c r="I33" s="560"/>
    </row>
    <row r="34" spans="6:9" ht="15.95" customHeight="1">
      <c r="F34" s="558"/>
      <c r="G34" s="559"/>
      <c r="H34" s="197"/>
      <c r="I34" s="560"/>
    </row>
    <row r="35" spans="6:9" ht="15.95" customHeight="1">
      <c r="F35" s="558"/>
      <c r="G35" s="559"/>
      <c r="H35" s="197"/>
      <c r="I35" s="560"/>
    </row>
    <row r="36" spans="6:9" ht="15.95" customHeight="1">
      <c r="F36" s="558"/>
      <c r="G36" s="559"/>
      <c r="H36" s="197"/>
      <c r="I36" s="560"/>
    </row>
    <row r="37" spans="6:9" ht="15.95" customHeight="1">
      <c r="F37" s="558"/>
      <c r="G37" s="559"/>
      <c r="H37" s="197"/>
      <c r="I37" s="560"/>
    </row>
    <row r="38" spans="6:9" ht="15.95" customHeight="1">
      <c r="F38" s="558"/>
      <c r="G38" s="559"/>
      <c r="H38" s="197"/>
      <c r="I38" s="560"/>
    </row>
    <row r="39" spans="6:9" ht="15.95" customHeight="1">
      <c r="F39" s="558"/>
      <c r="G39" s="559"/>
      <c r="H39" s="197"/>
      <c r="I39" s="560"/>
    </row>
    <row r="40" spans="6:9" ht="15.95" customHeight="1">
      <c r="F40" s="558"/>
      <c r="G40" s="559"/>
      <c r="H40" s="197"/>
      <c r="I40" s="560"/>
    </row>
    <row r="41" spans="6:9" ht="15.95" customHeight="1">
      <c r="F41" s="558"/>
      <c r="G41" s="559"/>
      <c r="H41" s="197"/>
      <c r="I41" s="560"/>
    </row>
    <row r="42" spans="6:9" ht="15.95" customHeight="1">
      <c r="F42" s="558"/>
      <c r="G42" s="559"/>
      <c r="H42" s="197"/>
      <c r="I42" s="560"/>
    </row>
    <row r="43" spans="6:9" ht="15.95" customHeight="1">
      <c r="F43" s="558"/>
      <c r="G43" s="559"/>
      <c r="H43" s="197"/>
      <c r="I43" s="560"/>
    </row>
    <row r="44" spans="6:9" ht="15.95" customHeight="1">
      <c r="F44" s="558"/>
      <c r="G44" s="559"/>
      <c r="H44" s="197"/>
      <c r="I44" s="560"/>
    </row>
    <row r="45" spans="6:9" ht="15.95" customHeight="1">
      <c r="F45" s="558"/>
      <c r="G45" s="559"/>
      <c r="H45" s="197"/>
      <c r="I45" s="560"/>
    </row>
    <row r="46" spans="6:9" ht="15.95" customHeight="1">
      <c r="F46" s="558"/>
      <c r="G46" s="559"/>
      <c r="H46" s="197"/>
      <c r="I46" s="560"/>
    </row>
    <row r="47" spans="6:9" ht="15.95" customHeight="1">
      <c r="F47" s="558"/>
      <c r="G47" s="559"/>
      <c r="H47" s="197"/>
      <c r="I47" s="560"/>
    </row>
    <row r="48" spans="6:9" ht="15.95" customHeight="1">
      <c r="F48" s="558"/>
      <c r="G48" s="559"/>
      <c r="H48" s="197"/>
      <c r="I48" s="560"/>
    </row>
    <row r="49" spans="6:9" ht="15.95" customHeight="1">
      <c r="F49" s="558"/>
      <c r="G49" s="559"/>
      <c r="H49" s="197"/>
      <c r="I49" s="560"/>
    </row>
    <row r="50" spans="6:9" ht="15.95" customHeight="1" thickBot="1">
      <c r="F50" s="561"/>
      <c r="G50" s="562"/>
      <c r="H50" s="189"/>
      <c r="I50" s="563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L10" sqref="L1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317</v>
      </c>
      <c r="L1" s="148" t="s">
        <v>235</v>
      </c>
      <c r="S1" s="148" t="s">
        <v>236</v>
      </c>
    </row>
    <row r="2" spans="4:21" ht="36.75" customHeight="1">
      <c r="D2" s="206" t="s">
        <v>218</v>
      </c>
      <c r="E2" s="207" t="s">
        <v>215</v>
      </c>
      <c r="F2" s="207" t="s">
        <v>222</v>
      </c>
      <c r="G2" s="207" t="s">
        <v>223</v>
      </c>
      <c r="H2" s="207" t="s">
        <v>163</v>
      </c>
      <c r="I2" s="207" t="s">
        <v>224</v>
      </c>
      <c r="J2" s="208" t="s">
        <v>225</v>
      </c>
      <c r="L2" s="206" t="s">
        <v>215</v>
      </c>
      <c r="M2" s="207" t="s">
        <v>219</v>
      </c>
      <c r="N2" s="207" t="s">
        <v>220</v>
      </c>
      <c r="O2" s="207" t="s">
        <v>221</v>
      </c>
      <c r="P2" s="207" t="s">
        <v>238</v>
      </c>
      <c r="Q2" s="208" t="s">
        <v>239</v>
      </c>
      <c r="S2" s="206" t="s">
        <v>223</v>
      </c>
      <c r="T2" s="207" t="s">
        <v>226</v>
      </c>
      <c r="U2" s="208" t="s">
        <v>227</v>
      </c>
    </row>
    <row r="3" spans="4:21" ht="20.100000000000001" customHeight="1">
      <c r="D3" s="209" t="s">
        <v>228</v>
      </c>
      <c r="E3" s="197">
        <v>160</v>
      </c>
      <c r="F3" s="197">
        <v>2.4</v>
      </c>
      <c r="G3" s="197">
        <v>40.799999999999997</v>
      </c>
      <c r="H3" s="197">
        <v>38.4</v>
      </c>
      <c r="I3" s="197">
        <v>0.125</v>
      </c>
      <c r="J3" s="210">
        <v>3.0396616256985305</v>
      </c>
      <c r="K3" s="30"/>
      <c r="L3" s="209">
        <v>160</v>
      </c>
      <c r="M3" s="197">
        <v>0.125</v>
      </c>
      <c r="N3" s="197">
        <v>0.125</v>
      </c>
      <c r="O3" s="197">
        <v>54</v>
      </c>
      <c r="P3" s="197">
        <v>2.7669999999999999</v>
      </c>
      <c r="Q3" s="198">
        <v>0.10680000000000001</v>
      </c>
      <c r="S3" s="213">
        <v>40.799999999999997</v>
      </c>
      <c r="T3" s="214">
        <v>4.4742745786732963</v>
      </c>
      <c r="U3" s="210">
        <v>36.325725421326702</v>
      </c>
    </row>
    <row r="4" spans="4:21" ht="20.100000000000001" customHeight="1">
      <c r="D4" s="209"/>
      <c r="E4" s="197"/>
      <c r="F4" s="197"/>
      <c r="G4" s="197"/>
      <c r="H4" s="197"/>
      <c r="I4" s="197"/>
      <c r="J4" s="210"/>
      <c r="K4" s="30"/>
      <c r="L4" s="209"/>
      <c r="M4" s="197"/>
      <c r="N4" s="197"/>
      <c r="O4" s="197"/>
      <c r="P4" s="197"/>
      <c r="Q4" s="198"/>
      <c r="S4" s="213"/>
      <c r="T4" s="214"/>
      <c r="U4" s="210"/>
    </row>
    <row r="5" spans="4:21" ht="20.100000000000001" customHeight="1">
      <c r="D5" s="209"/>
      <c r="E5" s="197"/>
      <c r="F5" s="197"/>
      <c r="G5" s="197"/>
      <c r="H5" s="197"/>
      <c r="I5" s="197"/>
      <c r="J5" s="210"/>
      <c r="K5" s="30"/>
      <c r="L5" s="209"/>
      <c r="M5" s="197"/>
      <c r="N5" s="197"/>
      <c r="O5" s="197"/>
      <c r="P5" s="197"/>
      <c r="Q5" s="198"/>
      <c r="S5" s="213"/>
      <c r="T5" s="214"/>
      <c r="U5" s="210"/>
    </row>
    <row r="6" spans="4:21" ht="20.100000000000001" customHeight="1">
      <c r="D6" s="209"/>
      <c r="E6" s="197"/>
      <c r="F6" s="197"/>
      <c r="G6" s="197"/>
      <c r="H6" s="197"/>
      <c r="I6" s="197"/>
      <c r="J6" s="210"/>
      <c r="K6" s="30"/>
      <c r="L6" s="209"/>
      <c r="M6" s="197"/>
      <c r="N6" s="197"/>
      <c r="O6" s="197"/>
      <c r="P6" s="197"/>
      <c r="Q6" s="198"/>
      <c r="S6" s="213"/>
      <c r="T6" s="214"/>
      <c r="U6" s="210"/>
    </row>
    <row r="7" spans="4:21" ht="20.100000000000001" customHeight="1">
      <c r="D7" s="209"/>
      <c r="E7" s="197"/>
      <c r="F7" s="197"/>
      <c r="G7" s="197"/>
      <c r="H7" s="197"/>
      <c r="I7" s="197"/>
      <c r="J7" s="210"/>
      <c r="K7" s="30"/>
      <c r="L7" s="209"/>
      <c r="M7" s="197"/>
      <c r="N7" s="197"/>
      <c r="O7" s="197"/>
      <c r="P7" s="197"/>
      <c r="Q7" s="198"/>
      <c r="S7" s="213"/>
      <c r="T7" s="214"/>
      <c r="U7" s="210"/>
    </row>
    <row r="8" spans="4:21" ht="20.100000000000001" customHeight="1">
      <c r="D8" s="209"/>
      <c r="E8" s="197"/>
      <c r="F8" s="197"/>
      <c r="G8" s="197"/>
      <c r="H8" s="197"/>
      <c r="I8" s="197"/>
      <c r="J8" s="210"/>
      <c r="K8" s="30"/>
      <c r="L8" s="209"/>
      <c r="M8" s="197"/>
      <c r="N8" s="197"/>
      <c r="O8" s="197"/>
      <c r="P8" s="197"/>
      <c r="Q8" s="198"/>
      <c r="S8" s="209"/>
      <c r="T8" s="214"/>
      <c r="U8" s="210"/>
    </row>
    <row r="9" spans="4:21" ht="20.100000000000001" customHeight="1">
      <c r="D9" s="209"/>
      <c r="E9" s="197"/>
      <c r="F9" s="197"/>
      <c r="G9" s="197"/>
      <c r="H9" s="197"/>
      <c r="I9" s="197"/>
      <c r="J9" s="210"/>
      <c r="K9" s="30"/>
      <c r="L9" s="209"/>
      <c r="M9" s="197"/>
      <c r="N9" s="197"/>
      <c r="O9" s="197"/>
      <c r="P9" s="197"/>
      <c r="Q9" s="198"/>
      <c r="S9" s="209"/>
      <c r="T9" s="214"/>
      <c r="U9" s="210"/>
    </row>
    <row r="10" spans="4:21" ht="20.100000000000001" customHeight="1">
      <c r="D10" s="209"/>
      <c r="E10" s="197"/>
      <c r="F10" s="197"/>
      <c r="G10" s="197"/>
      <c r="H10" s="197"/>
      <c r="I10" s="197"/>
      <c r="J10" s="210"/>
      <c r="K10" s="30"/>
      <c r="L10" s="209"/>
      <c r="M10" s="197"/>
      <c r="N10" s="197"/>
      <c r="O10" s="197"/>
      <c r="P10" s="197"/>
      <c r="Q10" s="198"/>
      <c r="S10" s="209"/>
      <c r="T10" s="214"/>
      <c r="U10" s="210"/>
    </row>
    <row r="11" spans="4:21" ht="20.100000000000001" customHeight="1">
      <c r="D11" s="209"/>
      <c r="E11" s="197"/>
      <c r="F11" s="197"/>
      <c r="G11" s="197"/>
      <c r="H11" s="197"/>
      <c r="I11" s="197"/>
      <c r="J11" s="210"/>
      <c r="K11" s="30"/>
      <c r="L11" s="209"/>
      <c r="M11" s="197"/>
      <c r="N11" s="197"/>
      <c r="O11" s="197"/>
      <c r="P11" s="197"/>
      <c r="Q11" s="198"/>
      <c r="S11" s="209"/>
      <c r="T11" s="214"/>
      <c r="U11" s="210"/>
    </row>
    <row r="12" spans="4:21" ht="20.100000000000001" customHeight="1">
      <c r="D12" s="209"/>
      <c r="E12" s="197"/>
      <c r="F12" s="197"/>
      <c r="G12" s="197"/>
      <c r="H12" s="197"/>
      <c r="I12" s="197"/>
      <c r="J12" s="210"/>
      <c r="K12" s="30"/>
      <c r="L12" s="209"/>
      <c r="M12" s="197"/>
      <c r="N12" s="197"/>
      <c r="O12" s="197"/>
      <c r="P12" s="197"/>
      <c r="Q12" s="198"/>
      <c r="S12" s="209"/>
      <c r="T12" s="214"/>
      <c r="U12" s="210"/>
    </row>
    <row r="13" spans="4:21" ht="20.100000000000001" customHeight="1">
      <c r="D13" s="209"/>
      <c r="E13" s="197"/>
      <c r="F13" s="197"/>
      <c r="G13" s="197"/>
      <c r="H13" s="197"/>
      <c r="I13" s="197"/>
      <c r="J13" s="210"/>
      <c r="K13" s="30"/>
      <c r="L13" s="209"/>
      <c r="M13" s="197"/>
      <c r="N13" s="197"/>
      <c r="O13" s="197"/>
      <c r="P13" s="197"/>
      <c r="Q13" s="198"/>
      <c r="S13" s="209"/>
      <c r="T13" s="214"/>
      <c r="U13" s="210"/>
    </row>
    <row r="14" spans="4:21" ht="20.100000000000001" customHeight="1">
      <c r="D14" s="209"/>
      <c r="E14" s="197"/>
      <c r="F14" s="197"/>
      <c r="G14" s="197"/>
      <c r="H14" s="197"/>
      <c r="I14" s="197"/>
      <c r="J14" s="210"/>
      <c r="K14" s="30"/>
      <c r="L14" s="209"/>
      <c r="M14" s="197"/>
      <c r="N14" s="197"/>
      <c r="O14" s="197"/>
      <c r="P14" s="197"/>
      <c r="Q14" s="198"/>
      <c r="S14" s="209"/>
      <c r="T14" s="214"/>
      <c r="U14" s="210"/>
    </row>
    <row r="15" spans="4:21" ht="20.100000000000001" customHeight="1">
      <c r="D15" s="209"/>
      <c r="E15" s="197"/>
      <c r="F15" s="197"/>
      <c r="G15" s="197"/>
      <c r="H15" s="197"/>
      <c r="I15" s="197"/>
      <c r="J15" s="210"/>
      <c r="K15" s="30"/>
      <c r="L15" s="209"/>
      <c r="M15" s="197"/>
      <c r="N15" s="197"/>
      <c r="O15" s="197"/>
      <c r="P15" s="197"/>
      <c r="Q15" s="198"/>
      <c r="S15" s="209"/>
      <c r="T15" s="214"/>
      <c r="U15" s="210"/>
    </row>
    <row r="16" spans="4:21" ht="20.100000000000001" customHeight="1" thickBot="1">
      <c r="D16" s="211"/>
      <c r="E16" s="189"/>
      <c r="F16" s="189"/>
      <c r="G16" s="189"/>
      <c r="H16" s="189"/>
      <c r="I16" s="189"/>
      <c r="J16" s="212"/>
      <c r="K16" s="30"/>
      <c r="L16" s="211"/>
      <c r="M16" s="189"/>
      <c r="N16" s="189"/>
      <c r="O16" s="189"/>
      <c r="P16" s="189"/>
      <c r="Q16" s="190"/>
      <c r="S16" s="211"/>
      <c r="T16" s="215"/>
      <c r="U16" s="212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6" t="s">
        <v>281</v>
      </c>
      <c r="E21" s="217" t="s">
        <v>228</v>
      </c>
      <c r="F21" s="218"/>
      <c r="G21" s="217"/>
      <c r="H21" s="219"/>
      <c r="I21" s="217"/>
      <c r="J21" s="217"/>
      <c r="K21" s="217"/>
      <c r="L21" s="217"/>
      <c r="M21" s="217"/>
      <c r="N21" s="217"/>
      <c r="O21" s="217"/>
      <c r="P21" s="220"/>
      <c r="Q21" s="45"/>
      <c r="S21" s="45"/>
      <c r="T21" s="153"/>
      <c r="U21" s="153"/>
    </row>
    <row r="22" spans="3:21" s="30" customFormat="1" ht="23.1" customHeight="1">
      <c r="D22" s="246" t="s">
        <v>256</v>
      </c>
      <c r="E22" s="204">
        <v>2.5190000000000001</v>
      </c>
      <c r="F22" s="204"/>
      <c r="G22" s="204"/>
      <c r="H22" s="204"/>
      <c r="I22" s="204"/>
      <c r="J22" s="263"/>
      <c r="K22" s="264"/>
      <c r="L22" s="264"/>
      <c r="M22" s="264"/>
      <c r="N22" s="264"/>
      <c r="O22" s="264"/>
      <c r="P22" s="265"/>
      <c r="T22" s="149"/>
      <c r="U22" s="149"/>
    </row>
    <row r="23" spans="3:21" s="30" customFormat="1" ht="23.1" customHeight="1">
      <c r="D23" s="246" t="s">
        <v>233</v>
      </c>
      <c r="E23" s="204">
        <v>4.6640000000000001E-2</v>
      </c>
      <c r="F23" s="204"/>
      <c r="G23" s="204"/>
      <c r="H23" s="204"/>
      <c r="I23" s="204"/>
      <c r="J23" s="263"/>
      <c r="K23" s="264"/>
      <c r="L23" s="264"/>
      <c r="M23" s="264"/>
      <c r="N23" s="264"/>
      <c r="O23" s="264"/>
      <c r="P23" s="265"/>
      <c r="T23" s="149"/>
      <c r="U23" s="149"/>
    </row>
    <row r="24" spans="3:21" s="30" customFormat="1" ht="23.1" customHeight="1">
      <c r="D24" s="246" t="s">
        <v>234</v>
      </c>
      <c r="E24" s="197">
        <v>3.7609999999999998E-4</v>
      </c>
      <c r="F24" s="197"/>
      <c r="G24" s="197"/>
      <c r="H24" s="197"/>
      <c r="I24" s="197"/>
      <c r="J24" s="264"/>
      <c r="K24" s="264"/>
      <c r="L24" s="264"/>
      <c r="M24" s="264"/>
      <c r="N24" s="264"/>
      <c r="O24" s="264"/>
      <c r="P24" s="265"/>
      <c r="T24" s="149"/>
      <c r="U24" s="149"/>
    </row>
    <row r="25" spans="3:21" s="30" customFormat="1" ht="23.1" customHeight="1">
      <c r="D25" s="246" t="s">
        <v>255</v>
      </c>
      <c r="E25" s="197">
        <v>0.70830000000000004</v>
      </c>
      <c r="F25" s="197"/>
      <c r="G25" s="197"/>
      <c r="H25" s="197"/>
      <c r="I25" s="197"/>
      <c r="J25" s="264"/>
      <c r="K25" s="264"/>
      <c r="L25" s="264"/>
      <c r="M25" s="264"/>
      <c r="N25" s="264"/>
      <c r="O25" s="264"/>
      <c r="P25" s="265"/>
      <c r="T25" s="149"/>
      <c r="U25" s="149"/>
    </row>
    <row r="26" spans="3:21" s="30" customFormat="1" ht="23.1" customHeight="1">
      <c r="D26" s="246" t="s">
        <v>254</v>
      </c>
      <c r="E26" s="197">
        <v>38.4</v>
      </c>
      <c r="F26" s="197"/>
      <c r="G26" s="197"/>
      <c r="H26" s="197"/>
      <c r="I26" s="197"/>
      <c r="J26" s="264"/>
      <c r="K26" s="264"/>
      <c r="L26" s="264"/>
      <c r="M26" s="264"/>
      <c r="N26" s="264"/>
      <c r="O26" s="264"/>
      <c r="P26" s="265"/>
      <c r="T26" s="149"/>
      <c r="U26" s="149"/>
    </row>
    <row r="27" spans="3:21" s="30" customFormat="1" ht="23.1" customHeight="1" thickBot="1">
      <c r="D27" s="247" t="s">
        <v>253</v>
      </c>
      <c r="E27" s="189">
        <v>54</v>
      </c>
      <c r="F27" s="189"/>
      <c r="G27" s="189"/>
      <c r="H27" s="189"/>
      <c r="I27" s="189"/>
      <c r="J27" s="266"/>
      <c r="K27" s="266"/>
      <c r="L27" s="266"/>
      <c r="M27" s="266"/>
      <c r="N27" s="266"/>
      <c r="O27" s="266"/>
      <c r="P27" s="26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409</v>
      </c>
      <c r="I30" s="148"/>
      <c r="J30" s="149"/>
      <c r="K30" s="30"/>
      <c r="L30" s="30"/>
      <c r="M30" s="30"/>
      <c r="N30" s="30"/>
      <c r="P30" s="45" t="s">
        <v>410</v>
      </c>
      <c r="Q30" s="30"/>
      <c r="R30" s="30"/>
    </row>
    <row r="31" spans="3:21" s="30" customFormat="1" ht="33.75" customHeight="1">
      <c r="C31" s="221" t="s">
        <v>218</v>
      </c>
      <c r="D31" s="222" t="s">
        <v>237</v>
      </c>
      <c r="E31" s="222" t="s">
        <v>284</v>
      </c>
      <c r="F31" s="223" t="s">
        <v>285</v>
      </c>
      <c r="H31" s="221" t="s">
        <v>259</v>
      </c>
      <c r="I31" s="222" t="s">
        <v>260</v>
      </c>
      <c r="J31" s="226" t="s">
        <v>261</v>
      </c>
      <c r="K31" s="222" t="s">
        <v>262</v>
      </c>
      <c r="L31" s="222" t="s">
        <v>263</v>
      </c>
      <c r="M31" s="222" t="s">
        <v>264</v>
      </c>
      <c r="N31" s="223" t="s">
        <v>212</v>
      </c>
      <c r="P31" s="436" t="s">
        <v>286</v>
      </c>
      <c r="Q31" s="195" t="s">
        <v>287</v>
      </c>
      <c r="R31" s="196" t="s">
        <v>288</v>
      </c>
    </row>
    <row r="32" spans="3:21" ht="20.100000000000001" customHeight="1">
      <c r="C32" s="567" t="s">
        <v>228</v>
      </c>
      <c r="D32" s="224" t="s">
        <v>265</v>
      </c>
      <c r="E32" s="204">
        <v>2.7669999999999999</v>
      </c>
      <c r="F32" s="198">
        <v>3.7609999999999998E-4</v>
      </c>
      <c r="G32" s="30"/>
      <c r="H32" s="169" t="s">
        <v>228</v>
      </c>
      <c r="I32" s="231">
        <v>142.30000000000001</v>
      </c>
      <c r="J32" s="231">
        <v>174.2</v>
      </c>
      <c r="K32" s="231">
        <v>103.3</v>
      </c>
      <c r="L32" s="197">
        <v>139.9</v>
      </c>
      <c r="M32" s="197">
        <v>174.2</v>
      </c>
      <c r="N32" s="249">
        <v>103.3</v>
      </c>
      <c r="P32" s="169" t="s">
        <v>228</v>
      </c>
      <c r="Q32" s="204">
        <v>-2.8241999999999998</v>
      </c>
      <c r="R32" s="205">
        <v>2.1059999999999999</v>
      </c>
    </row>
    <row r="33" spans="3:18" ht="20.100000000000001" customHeight="1">
      <c r="C33" s="567"/>
      <c r="D33" s="224" t="s">
        <v>266</v>
      </c>
      <c r="E33" s="204">
        <v>2.2709999999999999</v>
      </c>
      <c r="F33" s="198"/>
      <c r="G33" s="30"/>
      <c r="H33" s="169"/>
      <c r="I33" s="231"/>
      <c r="J33" s="231"/>
      <c r="K33" s="231"/>
      <c r="L33" s="197"/>
      <c r="M33" s="197"/>
      <c r="N33" s="249"/>
      <c r="P33" s="169"/>
      <c r="Q33" s="204"/>
      <c r="R33" s="205"/>
    </row>
    <row r="34" spans="3:18" ht="20.100000000000001" customHeight="1">
      <c r="C34" s="567"/>
      <c r="D34" s="224" t="s">
        <v>267</v>
      </c>
      <c r="E34" s="268">
        <v>2.5190000000000001</v>
      </c>
      <c r="F34" s="274">
        <v>3.7609999999999998E-4</v>
      </c>
      <c r="G34" s="30"/>
      <c r="H34" s="169"/>
      <c r="I34" s="231"/>
      <c r="J34" s="231"/>
      <c r="K34" s="231"/>
      <c r="L34" s="197"/>
      <c r="M34" s="197"/>
      <c r="N34" s="249"/>
      <c r="P34" s="169"/>
      <c r="Q34" s="204"/>
      <c r="R34" s="205"/>
    </row>
    <row r="35" spans="3:18" ht="20.100000000000001" customHeight="1">
      <c r="C35" s="567"/>
      <c r="D35" s="224"/>
      <c r="E35" s="204"/>
      <c r="F35" s="198"/>
      <c r="G35" s="30"/>
      <c r="H35" s="169"/>
      <c r="I35" s="231"/>
      <c r="J35" s="231"/>
      <c r="K35" s="231"/>
      <c r="L35" s="197"/>
      <c r="M35" s="197"/>
      <c r="N35" s="249"/>
      <c r="P35" s="169"/>
      <c r="Q35" s="204"/>
      <c r="R35" s="205"/>
    </row>
    <row r="36" spans="3:18" ht="20.100000000000001" customHeight="1">
      <c r="C36" s="567"/>
      <c r="D36" s="224"/>
      <c r="E36" s="204"/>
      <c r="F36" s="198"/>
      <c r="G36" s="30"/>
      <c r="H36" s="169"/>
      <c r="I36" s="231"/>
      <c r="J36" s="231"/>
      <c r="K36" s="231"/>
      <c r="L36" s="197"/>
      <c r="M36" s="197"/>
      <c r="N36" s="249"/>
      <c r="P36" s="169"/>
      <c r="Q36" s="204"/>
      <c r="R36" s="205"/>
    </row>
    <row r="37" spans="3:18" ht="20.100000000000001" customHeight="1">
      <c r="C37" s="567"/>
      <c r="D37" s="224"/>
      <c r="E37" s="268"/>
      <c r="F37" s="274"/>
      <c r="G37" s="30"/>
      <c r="H37" s="169"/>
      <c r="I37" s="231"/>
      <c r="J37" s="231"/>
      <c r="K37" s="231"/>
      <c r="L37" s="197"/>
      <c r="M37" s="197"/>
      <c r="N37" s="249"/>
      <c r="P37" s="169"/>
      <c r="Q37" s="204"/>
      <c r="R37" s="205"/>
    </row>
    <row r="38" spans="3:18" ht="20.100000000000001" customHeight="1">
      <c r="C38" s="567"/>
      <c r="D38" s="224"/>
      <c r="E38" s="204"/>
      <c r="F38" s="198"/>
      <c r="G38" s="30"/>
      <c r="H38" s="169"/>
      <c r="I38" s="197"/>
      <c r="J38" s="197"/>
      <c r="K38" s="197"/>
      <c r="L38" s="197"/>
      <c r="M38" s="197"/>
      <c r="N38" s="249"/>
      <c r="P38" s="169"/>
      <c r="Q38" s="197"/>
      <c r="R38" s="198"/>
    </row>
    <row r="39" spans="3:18" ht="20.100000000000001" customHeight="1">
      <c r="C39" s="567"/>
      <c r="D39" s="224"/>
      <c r="E39" s="204"/>
      <c r="F39" s="198"/>
      <c r="G39" s="30"/>
      <c r="H39" s="169"/>
      <c r="I39" s="197"/>
      <c r="J39" s="197"/>
      <c r="K39" s="197"/>
      <c r="L39" s="197"/>
      <c r="M39" s="197"/>
      <c r="N39" s="249"/>
      <c r="P39" s="169"/>
      <c r="Q39" s="197"/>
      <c r="R39" s="198"/>
    </row>
    <row r="40" spans="3:18" ht="20.100000000000001" customHeight="1">
      <c r="C40" s="567"/>
      <c r="D40" s="224"/>
      <c r="E40" s="268"/>
      <c r="F40" s="274"/>
      <c r="G40" s="30"/>
      <c r="H40" s="169"/>
      <c r="I40" s="197"/>
      <c r="J40" s="197"/>
      <c r="K40" s="197"/>
      <c r="L40" s="197"/>
      <c r="M40" s="197"/>
      <c r="N40" s="249"/>
      <c r="P40" s="169"/>
      <c r="Q40" s="197"/>
      <c r="R40" s="198"/>
    </row>
    <row r="41" spans="3:18" ht="20.100000000000001" customHeight="1">
      <c r="C41" s="567"/>
      <c r="D41" s="224"/>
      <c r="E41" s="204"/>
      <c r="F41" s="198"/>
      <c r="G41" s="30"/>
      <c r="H41" s="169"/>
      <c r="I41" s="197"/>
      <c r="J41" s="197"/>
      <c r="K41" s="197"/>
      <c r="L41" s="197"/>
      <c r="M41" s="197"/>
      <c r="N41" s="249"/>
      <c r="P41" s="169"/>
      <c r="Q41" s="197"/>
      <c r="R41" s="198"/>
    </row>
    <row r="42" spans="3:18" ht="20.100000000000001" customHeight="1">
      <c r="C42" s="567"/>
      <c r="D42" s="224"/>
      <c r="E42" s="204"/>
      <c r="F42" s="198"/>
      <c r="G42" s="30"/>
      <c r="H42" s="169"/>
      <c r="I42" s="197"/>
      <c r="J42" s="197"/>
      <c r="K42" s="197"/>
      <c r="L42" s="197"/>
      <c r="M42" s="197"/>
      <c r="N42" s="249"/>
      <c r="P42" s="169"/>
      <c r="Q42" s="197"/>
      <c r="R42" s="198"/>
    </row>
    <row r="43" spans="3:18" ht="20.100000000000001" customHeight="1">
      <c r="C43" s="567"/>
      <c r="D43" s="224"/>
      <c r="E43" s="268"/>
      <c r="F43" s="274"/>
      <c r="G43" s="30"/>
      <c r="H43" s="169"/>
      <c r="I43" s="197"/>
      <c r="J43" s="197"/>
      <c r="K43" s="197"/>
      <c r="L43" s="197"/>
      <c r="M43" s="197"/>
      <c r="N43" s="249"/>
      <c r="P43" s="169"/>
      <c r="Q43" s="197"/>
      <c r="R43" s="198"/>
    </row>
    <row r="44" spans="3:18" ht="20.100000000000001" customHeight="1">
      <c r="C44" s="567"/>
      <c r="D44" s="224"/>
      <c r="E44" s="204"/>
      <c r="F44" s="198"/>
      <c r="G44" s="30"/>
      <c r="H44" s="169"/>
      <c r="I44" s="197"/>
      <c r="J44" s="197"/>
      <c r="K44" s="197"/>
      <c r="L44" s="197"/>
      <c r="M44" s="197"/>
      <c r="N44" s="249"/>
      <c r="P44" s="169"/>
      <c r="Q44" s="197"/>
      <c r="R44" s="198"/>
    </row>
    <row r="45" spans="3:18" ht="20.100000000000001" customHeight="1" thickBot="1">
      <c r="C45" s="567"/>
      <c r="D45" s="224"/>
      <c r="E45" s="204"/>
      <c r="F45" s="198"/>
      <c r="G45" s="30"/>
      <c r="H45" s="170"/>
      <c r="I45" s="189"/>
      <c r="J45" s="189"/>
      <c r="K45" s="189"/>
      <c r="L45" s="189"/>
      <c r="M45" s="189"/>
      <c r="N45" s="250"/>
      <c r="P45" s="170"/>
      <c r="Q45" s="189"/>
      <c r="R45" s="190"/>
    </row>
    <row r="46" spans="3:18" ht="20.100000000000001" customHeight="1">
      <c r="C46" s="567"/>
      <c r="D46" s="224"/>
      <c r="E46" s="268"/>
      <c r="F46" s="274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67"/>
      <c r="D47" s="224"/>
      <c r="E47" s="204"/>
      <c r="F47" s="198"/>
    </row>
    <row r="48" spans="3:18" ht="20.100000000000001" customHeight="1">
      <c r="C48" s="567"/>
      <c r="D48" s="224"/>
      <c r="E48" s="204"/>
      <c r="F48" s="198"/>
    </row>
    <row r="49" spans="3:6" ht="20.100000000000001" customHeight="1">
      <c r="C49" s="567"/>
      <c r="D49" s="224"/>
      <c r="E49" s="268"/>
      <c r="F49" s="274"/>
    </row>
    <row r="50" spans="3:6" ht="20.100000000000001" customHeight="1">
      <c r="C50" s="567"/>
      <c r="D50" s="224"/>
      <c r="E50" s="197"/>
      <c r="F50" s="198"/>
    </row>
    <row r="51" spans="3:6" ht="20.100000000000001" customHeight="1">
      <c r="C51" s="567"/>
      <c r="D51" s="224"/>
      <c r="E51" s="197"/>
      <c r="F51" s="198"/>
    </row>
    <row r="52" spans="3:6" ht="20.100000000000001" customHeight="1">
      <c r="C52" s="567"/>
      <c r="D52" s="224"/>
      <c r="E52" s="197"/>
      <c r="F52" s="198"/>
    </row>
    <row r="53" spans="3:6" ht="20.100000000000001" customHeight="1">
      <c r="C53" s="567"/>
      <c r="D53" s="224"/>
      <c r="E53" s="197"/>
      <c r="F53" s="198"/>
    </row>
    <row r="54" spans="3:6" ht="20.100000000000001" customHeight="1">
      <c r="C54" s="567"/>
      <c r="D54" s="224"/>
      <c r="E54" s="197"/>
      <c r="F54" s="198"/>
    </row>
    <row r="55" spans="3:6" ht="20.100000000000001" customHeight="1">
      <c r="C55" s="567"/>
      <c r="D55" s="224"/>
      <c r="E55" s="197"/>
      <c r="F55" s="198"/>
    </row>
    <row r="56" spans="3:6" ht="20.100000000000001" customHeight="1">
      <c r="C56" s="567"/>
      <c r="D56" s="224"/>
      <c r="E56" s="197"/>
      <c r="F56" s="198"/>
    </row>
    <row r="57" spans="3:6" ht="20.100000000000001" customHeight="1">
      <c r="C57" s="567"/>
      <c r="D57" s="224"/>
      <c r="E57" s="197"/>
      <c r="F57" s="198"/>
    </row>
    <row r="58" spans="3:6" ht="20.100000000000001" customHeight="1">
      <c r="C58" s="567"/>
      <c r="D58" s="224"/>
      <c r="E58" s="197"/>
      <c r="F58" s="198"/>
    </row>
    <row r="59" spans="3:6" ht="20.100000000000001" customHeight="1">
      <c r="C59" s="567"/>
      <c r="D59" s="224"/>
      <c r="E59" s="197"/>
      <c r="F59" s="198"/>
    </row>
    <row r="60" spans="3:6" ht="20.100000000000001" customHeight="1">
      <c r="C60" s="567"/>
      <c r="D60" s="224"/>
      <c r="E60" s="197"/>
      <c r="F60" s="198"/>
    </row>
    <row r="61" spans="3:6" ht="20.100000000000001" customHeight="1">
      <c r="C61" s="567"/>
      <c r="D61" s="224"/>
      <c r="E61" s="197"/>
      <c r="F61" s="198"/>
    </row>
    <row r="62" spans="3:6" ht="20.100000000000001" customHeight="1">
      <c r="C62" s="567"/>
      <c r="D62" s="224"/>
      <c r="E62" s="197"/>
      <c r="F62" s="198"/>
    </row>
    <row r="63" spans="3:6" ht="20.100000000000001" customHeight="1">
      <c r="C63" s="567"/>
      <c r="D63" s="224"/>
      <c r="E63" s="197"/>
      <c r="F63" s="198"/>
    </row>
    <row r="64" spans="3:6" ht="20.100000000000001" customHeight="1">
      <c r="C64" s="567"/>
      <c r="D64" s="224"/>
      <c r="E64" s="197"/>
      <c r="F64" s="198"/>
    </row>
    <row r="65" spans="3:6" ht="20.100000000000001" customHeight="1">
      <c r="C65" s="567"/>
      <c r="D65" s="224"/>
      <c r="E65" s="197"/>
      <c r="F65" s="198"/>
    </row>
    <row r="66" spans="3:6" ht="20.100000000000001" customHeight="1">
      <c r="C66" s="567"/>
      <c r="D66" s="224"/>
      <c r="E66" s="197"/>
      <c r="F66" s="198"/>
    </row>
    <row r="67" spans="3:6" ht="20.100000000000001" customHeight="1" thickBot="1">
      <c r="C67" s="568"/>
      <c r="D67" s="225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E11" sqref="E11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522" t="s">
        <v>218</v>
      </c>
      <c r="D3" s="523" t="s">
        <v>241</v>
      </c>
      <c r="E3" s="523" t="s">
        <v>215</v>
      </c>
      <c r="F3" s="523" t="s">
        <v>242</v>
      </c>
      <c r="G3" s="523" t="s">
        <v>246</v>
      </c>
      <c r="H3" s="523" t="s">
        <v>248</v>
      </c>
      <c r="I3" s="523" t="s">
        <v>221</v>
      </c>
      <c r="J3" s="523" t="s">
        <v>249</v>
      </c>
      <c r="K3" s="523" t="s">
        <v>118</v>
      </c>
      <c r="L3" s="523" t="s">
        <v>247</v>
      </c>
      <c r="M3" s="523" t="s">
        <v>243</v>
      </c>
      <c r="N3" s="523" t="s">
        <v>244</v>
      </c>
      <c r="O3" s="524" t="s">
        <v>245</v>
      </c>
    </row>
    <row r="4" spans="3:15" ht="20.100000000000001" customHeight="1">
      <c r="C4" s="199" t="s">
        <v>228</v>
      </c>
      <c r="D4" s="200" t="s">
        <v>282</v>
      </c>
      <c r="E4" s="200">
        <v>160</v>
      </c>
      <c r="F4" s="200">
        <v>2.8959999999999999</v>
      </c>
      <c r="G4" s="311">
        <v>2.8959999999999999</v>
      </c>
      <c r="H4" s="200">
        <v>0.03</v>
      </c>
      <c r="I4" s="200">
        <v>93</v>
      </c>
      <c r="J4" s="312">
        <v>93</v>
      </c>
      <c r="K4" s="200">
        <v>140</v>
      </c>
      <c r="L4" s="312">
        <v>140</v>
      </c>
      <c r="M4" s="200">
        <v>1.7999999999999999E-2</v>
      </c>
      <c r="N4" s="311">
        <v>1.7999999999999999E-2</v>
      </c>
      <c r="O4" s="201" t="s">
        <v>250</v>
      </c>
    </row>
    <row r="5" spans="3:15" ht="20.100000000000001" customHeight="1">
      <c r="C5" s="199"/>
      <c r="D5" s="200"/>
      <c r="E5" s="200"/>
      <c r="F5" s="200"/>
      <c r="G5" s="311"/>
      <c r="H5" s="200"/>
      <c r="I5" s="200"/>
      <c r="J5" s="312"/>
      <c r="K5" s="200"/>
      <c r="L5" s="312"/>
      <c r="M5" s="200"/>
      <c r="N5" s="311"/>
      <c r="O5" s="201"/>
    </row>
    <row r="6" spans="3:15" ht="20.100000000000001" customHeight="1">
      <c r="C6" s="199"/>
      <c r="D6" s="200"/>
      <c r="E6" s="200"/>
      <c r="F6" s="200"/>
      <c r="G6" s="311"/>
      <c r="H6" s="200"/>
      <c r="I6" s="200"/>
      <c r="J6" s="312"/>
      <c r="K6" s="200"/>
      <c r="L6" s="312"/>
      <c r="M6" s="200"/>
      <c r="N6" s="311"/>
      <c r="O6" s="201"/>
    </row>
    <row r="7" spans="3:15" ht="20.100000000000001" customHeight="1">
      <c r="C7" s="199"/>
      <c r="D7" s="200"/>
      <c r="E7" s="200"/>
      <c r="F7" s="200"/>
      <c r="G7" s="311"/>
      <c r="H7" s="200"/>
      <c r="I7" s="200"/>
      <c r="J7" s="312"/>
      <c r="K7" s="200"/>
      <c r="L7" s="312"/>
      <c r="M7" s="200"/>
      <c r="N7" s="311"/>
      <c r="O7" s="201"/>
    </row>
    <row r="8" spans="3:15" ht="20.100000000000001" customHeight="1">
      <c r="C8" s="199"/>
      <c r="D8" s="200"/>
      <c r="E8" s="200"/>
      <c r="F8" s="200"/>
      <c r="G8" s="311"/>
      <c r="H8" s="200"/>
      <c r="I8" s="200"/>
      <c r="J8" s="312"/>
      <c r="K8" s="200"/>
      <c r="L8" s="312"/>
      <c r="M8" s="200"/>
      <c r="N8" s="311"/>
      <c r="O8" s="201"/>
    </row>
    <row r="9" spans="3:15" ht="20.100000000000001" customHeight="1">
      <c r="C9" s="199"/>
      <c r="D9" s="200"/>
      <c r="E9" s="200"/>
      <c r="F9" s="200"/>
      <c r="G9" s="311"/>
      <c r="H9" s="200"/>
      <c r="I9" s="200"/>
      <c r="J9" s="312"/>
      <c r="K9" s="200"/>
      <c r="L9" s="312"/>
      <c r="M9" s="200"/>
      <c r="N9" s="311"/>
      <c r="O9" s="201"/>
    </row>
    <row r="10" spans="3:15" ht="20.100000000000001" customHeight="1">
      <c r="C10" s="199"/>
      <c r="D10" s="248"/>
      <c r="E10" s="200"/>
      <c r="F10" s="200"/>
      <c r="G10" s="248"/>
      <c r="H10" s="248"/>
      <c r="I10" s="200"/>
      <c r="J10" s="248"/>
      <c r="K10" s="200"/>
      <c r="L10" s="248"/>
      <c r="M10" s="200"/>
      <c r="N10" s="248"/>
      <c r="O10" s="413"/>
    </row>
    <row r="11" spans="3:15" ht="20.100000000000001" customHeight="1">
      <c r="C11" s="199"/>
      <c r="D11" s="248"/>
      <c r="E11" s="200"/>
      <c r="F11" s="200"/>
      <c r="G11" s="248"/>
      <c r="H11" s="248"/>
      <c r="I11" s="200"/>
      <c r="J11" s="248"/>
      <c r="K11" s="200"/>
      <c r="L11" s="248"/>
      <c r="M11" s="200"/>
      <c r="N11" s="248"/>
      <c r="O11" s="413"/>
    </row>
    <row r="12" spans="3:15" ht="20.100000000000001" customHeight="1">
      <c r="C12" s="199"/>
      <c r="D12" s="248"/>
      <c r="E12" s="200"/>
      <c r="F12" s="200"/>
      <c r="G12" s="248"/>
      <c r="H12" s="248"/>
      <c r="I12" s="200"/>
      <c r="J12" s="248"/>
      <c r="K12" s="200"/>
      <c r="L12" s="248"/>
      <c r="M12" s="200"/>
      <c r="N12" s="248"/>
      <c r="O12" s="413"/>
    </row>
    <row r="13" spans="3:15" ht="20.100000000000001" customHeight="1">
      <c r="C13" s="199"/>
      <c r="D13" s="248"/>
      <c r="E13" s="200"/>
      <c r="F13" s="200"/>
      <c r="G13" s="248"/>
      <c r="H13" s="248"/>
      <c r="I13" s="200"/>
      <c r="J13" s="248"/>
      <c r="K13" s="200"/>
      <c r="L13" s="248"/>
      <c r="M13" s="200"/>
      <c r="N13" s="248"/>
      <c r="O13" s="413"/>
    </row>
    <row r="14" spans="3:15" ht="20.100000000000001" customHeight="1">
      <c r="C14" s="199"/>
      <c r="D14" s="248"/>
      <c r="E14" s="200"/>
      <c r="F14" s="200"/>
      <c r="G14" s="248"/>
      <c r="H14" s="248"/>
      <c r="I14" s="200"/>
      <c r="J14" s="248"/>
      <c r="K14" s="200"/>
      <c r="L14" s="248"/>
      <c r="M14" s="200"/>
      <c r="N14" s="248"/>
      <c r="O14" s="413"/>
    </row>
    <row r="15" spans="3:15" ht="20.100000000000001" customHeight="1">
      <c r="C15" s="199"/>
      <c r="D15" s="248"/>
      <c r="E15" s="200"/>
      <c r="F15" s="200"/>
      <c r="G15" s="248"/>
      <c r="H15" s="248"/>
      <c r="I15" s="200"/>
      <c r="J15" s="248"/>
      <c r="K15" s="200"/>
      <c r="L15" s="248"/>
      <c r="M15" s="200"/>
      <c r="N15" s="248"/>
      <c r="O15" s="413"/>
    </row>
    <row r="16" spans="3:15" ht="20.100000000000001" customHeight="1">
      <c r="C16" s="199"/>
      <c r="D16" s="248"/>
      <c r="E16" s="200"/>
      <c r="F16" s="200"/>
      <c r="G16" s="248"/>
      <c r="H16" s="248"/>
      <c r="I16" s="200"/>
      <c r="J16" s="248"/>
      <c r="K16" s="200"/>
      <c r="L16" s="248"/>
      <c r="M16" s="200"/>
      <c r="N16" s="248"/>
      <c r="O16" s="413"/>
    </row>
    <row r="17" spans="3:15" ht="20.100000000000001" customHeight="1" thickBot="1">
      <c r="C17" s="193"/>
      <c r="D17" s="414"/>
      <c r="E17" s="194"/>
      <c r="F17" s="194"/>
      <c r="G17" s="414"/>
      <c r="H17" s="414"/>
      <c r="I17" s="194"/>
      <c r="J17" s="414"/>
      <c r="K17" s="194"/>
      <c r="L17" s="414"/>
      <c r="M17" s="194"/>
      <c r="N17" s="414"/>
      <c r="O17" s="41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M8" sqref="M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289</v>
      </c>
      <c r="E3" s="160" t="s">
        <v>290</v>
      </c>
      <c r="F3" s="160" t="s">
        <v>291</v>
      </c>
      <c r="G3" s="160" t="s">
        <v>292</v>
      </c>
      <c r="H3" s="160" t="s">
        <v>293</v>
      </c>
      <c r="I3" s="160" t="s">
        <v>294</v>
      </c>
      <c r="J3" s="160" t="s">
        <v>275</v>
      </c>
      <c r="K3" s="161" t="s">
        <v>276</v>
      </c>
      <c r="M3" s="159" t="s">
        <v>289</v>
      </c>
      <c r="N3" s="160" t="s">
        <v>290</v>
      </c>
      <c r="O3" s="160" t="s">
        <v>291</v>
      </c>
      <c r="P3" s="160" t="s">
        <v>293</v>
      </c>
      <c r="Q3" s="160" t="s">
        <v>294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2656751</v>
      </c>
      <c r="E4" s="163">
        <v>1198.3</v>
      </c>
      <c r="F4" s="163">
        <v>1526.3762371986302</v>
      </c>
      <c r="G4" s="164">
        <v>0.67</v>
      </c>
      <c r="H4" s="163">
        <v>1022.6720789230823</v>
      </c>
      <c r="I4" s="165">
        <v>79.8</v>
      </c>
      <c r="J4" s="163">
        <v>100</v>
      </c>
      <c r="K4" s="166">
        <v>842.87207892308231</v>
      </c>
      <c r="M4" s="162">
        <f>D4</f>
        <v>2656751</v>
      </c>
      <c r="N4" s="163">
        <f>E4</f>
        <v>1198.3</v>
      </c>
      <c r="O4" s="163">
        <f>F4</f>
        <v>1526.3762371986302</v>
      </c>
      <c r="P4" s="163">
        <f>H4</f>
        <v>1022.6720789230823</v>
      </c>
      <c r="Q4" s="165">
        <f>I4</f>
        <v>79.8</v>
      </c>
      <c r="R4" s="163">
        <f>J4</f>
        <v>100</v>
      </c>
      <c r="S4" s="166">
        <f>K4</f>
        <v>842.87207892308231</v>
      </c>
    </row>
    <row r="6" spans="4:19" ht="20.100000000000001" customHeight="1" thickBot="1"/>
    <row r="7" spans="4:19" ht="62.25" customHeight="1">
      <c r="D7" s="159" t="s">
        <v>289</v>
      </c>
      <c r="E7" s="160" t="s">
        <v>290</v>
      </c>
      <c r="F7" s="160" t="s">
        <v>291</v>
      </c>
      <c r="G7" s="160" t="s">
        <v>292</v>
      </c>
      <c r="H7" s="160" t="s">
        <v>293</v>
      </c>
      <c r="I7" s="160" t="s">
        <v>294</v>
      </c>
      <c r="J7" s="160" t="s">
        <v>295</v>
      </c>
      <c r="K7" s="161" t="s">
        <v>275</v>
      </c>
    </row>
    <row r="8" spans="4:19" ht="31.5" customHeight="1" thickBot="1">
      <c r="D8" s="162">
        <v>2656751</v>
      </c>
      <c r="E8" s="163">
        <v>1198.3</v>
      </c>
      <c r="F8" s="163">
        <v>1526.3762371986302</v>
      </c>
      <c r="G8" s="164">
        <v>0.67</v>
      </c>
      <c r="H8" s="163">
        <v>1022.6720789230823</v>
      </c>
      <c r="I8" s="165">
        <v>79.8</v>
      </c>
      <c r="J8" s="163">
        <v>942.87207892308231</v>
      </c>
      <c r="K8" s="166">
        <v>100</v>
      </c>
    </row>
    <row r="10" spans="4:19" ht="30.75" customHeight="1" thickBot="1">
      <c r="D10" s="148" t="s">
        <v>303</v>
      </c>
    </row>
    <row r="11" spans="4:19" s="45" customFormat="1" ht="39" customHeight="1">
      <c r="D11" s="159" t="s">
        <v>296</v>
      </c>
      <c r="E11" s="167" t="s">
        <v>297</v>
      </c>
      <c r="F11" s="167" t="s">
        <v>298</v>
      </c>
      <c r="G11" s="167" t="s">
        <v>299</v>
      </c>
      <c r="H11" s="167" t="s">
        <v>300</v>
      </c>
      <c r="I11" s="167" t="s">
        <v>301</v>
      </c>
      <c r="J11" s="168" t="s">
        <v>302</v>
      </c>
      <c r="L11" s="159" t="s">
        <v>296</v>
      </c>
      <c r="M11" s="167" t="s">
        <v>297</v>
      </c>
      <c r="N11" s="167" t="s">
        <v>298</v>
      </c>
      <c r="O11" s="167" t="s">
        <v>299</v>
      </c>
      <c r="P11" s="167" t="s">
        <v>300</v>
      </c>
      <c r="Q11" s="167" t="s">
        <v>163</v>
      </c>
      <c r="R11" s="167" t="s">
        <v>301</v>
      </c>
      <c r="S11" s="168" t="s">
        <v>302</v>
      </c>
    </row>
    <row r="12" spans="4:19" s="30" customFormat="1" ht="20.100000000000001" customHeight="1">
      <c r="D12" s="199" t="s">
        <v>228</v>
      </c>
      <c r="E12" s="200">
        <v>200</v>
      </c>
      <c r="F12" s="200">
        <v>130</v>
      </c>
      <c r="G12" s="200">
        <v>21.5</v>
      </c>
      <c r="H12" s="200">
        <v>78.900000000000006</v>
      </c>
      <c r="I12" s="200">
        <v>1.4470000000000001</v>
      </c>
      <c r="J12" s="201">
        <v>4.3570000000000002E-4</v>
      </c>
      <c r="L12" s="199" t="s">
        <v>228</v>
      </c>
      <c r="M12" s="200">
        <v>200</v>
      </c>
      <c r="N12" s="200">
        <v>130</v>
      </c>
      <c r="O12" s="200">
        <v>21.5</v>
      </c>
      <c r="P12" s="200">
        <v>78.900000000000006</v>
      </c>
      <c r="Q12" s="197">
        <v>57.400000000000006</v>
      </c>
      <c r="R12" s="200">
        <v>1.4470000000000001</v>
      </c>
      <c r="S12" s="201">
        <v>4.3570000000000002E-4</v>
      </c>
    </row>
    <row r="13" spans="4:19" s="30" customFormat="1" ht="20.100000000000001" customHeight="1">
      <c r="D13" s="271"/>
      <c r="E13" s="272"/>
      <c r="F13" s="272"/>
      <c r="G13" s="272"/>
      <c r="H13" s="272"/>
      <c r="I13" s="272"/>
      <c r="J13" s="273"/>
      <c r="L13" s="271"/>
      <c r="M13" s="272"/>
      <c r="N13" s="272"/>
      <c r="O13" s="272"/>
      <c r="P13" s="272"/>
      <c r="Q13" s="318"/>
      <c r="R13" s="272"/>
      <c r="S13" s="273"/>
    </row>
    <row r="14" spans="4:19" s="30" customFormat="1" ht="20.100000000000001" customHeight="1">
      <c r="D14" s="199"/>
      <c r="E14" s="200"/>
      <c r="F14" s="200"/>
      <c r="G14" s="200"/>
      <c r="H14" s="200"/>
      <c r="I14" s="200"/>
      <c r="J14" s="201"/>
      <c r="L14" s="199"/>
      <c r="M14" s="200"/>
      <c r="N14" s="200"/>
      <c r="O14" s="200"/>
      <c r="P14" s="200"/>
      <c r="Q14" s="224"/>
      <c r="R14" s="200"/>
      <c r="S14" s="201"/>
    </row>
    <row r="15" spans="4:19" s="30" customFormat="1" ht="20.100000000000001" customHeight="1">
      <c r="D15" s="271"/>
      <c r="E15" s="272"/>
      <c r="F15" s="272"/>
      <c r="G15" s="272"/>
      <c r="H15" s="272"/>
      <c r="I15" s="272"/>
      <c r="J15" s="273"/>
      <c r="L15" s="271"/>
      <c r="M15" s="272"/>
      <c r="N15" s="272"/>
      <c r="O15" s="272"/>
      <c r="P15" s="272"/>
      <c r="Q15" s="318"/>
      <c r="R15" s="272"/>
      <c r="S15" s="273"/>
    </row>
    <row r="16" spans="4:19" s="30" customFormat="1" ht="20.100000000000001" customHeight="1">
      <c r="D16" s="199"/>
      <c r="E16" s="200"/>
      <c r="F16" s="200"/>
      <c r="G16" s="200"/>
      <c r="H16" s="200"/>
      <c r="I16" s="200"/>
      <c r="J16" s="201"/>
      <c r="L16" s="199"/>
      <c r="M16" s="200"/>
      <c r="N16" s="200"/>
      <c r="O16" s="200"/>
      <c r="P16" s="200"/>
      <c r="Q16" s="224"/>
      <c r="R16" s="200"/>
      <c r="S16" s="201"/>
    </row>
    <row r="17" spans="4:19" s="30" customFormat="1" ht="20.100000000000001" customHeight="1">
      <c r="D17" s="271"/>
      <c r="E17" s="272"/>
      <c r="F17" s="272"/>
      <c r="G17" s="272"/>
      <c r="H17" s="272"/>
      <c r="I17" s="272"/>
      <c r="J17" s="273"/>
      <c r="L17" s="199"/>
      <c r="M17" s="200"/>
      <c r="N17" s="200"/>
      <c r="O17" s="200"/>
      <c r="P17" s="200"/>
      <c r="Q17" s="224"/>
      <c r="R17" s="200"/>
      <c r="S17" s="201"/>
    </row>
    <row r="18" spans="4:19" s="30" customFormat="1" ht="20.100000000000001" customHeight="1">
      <c r="D18" s="199"/>
      <c r="E18" s="200"/>
      <c r="F18" s="200"/>
      <c r="G18" s="200"/>
      <c r="H18" s="200"/>
      <c r="I18" s="200"/>
      <c r="J18" s="201"/>
      <c r="L18" s="199"/>
      <c r="M18" s="200"/>
      <c r="N18" s="200"/>
      <c r="O18" s="200"/>
      <c r="P18" s="200"/>
      <c r="Q18" s="224"/>
      <c r="R18" s="200"/>
      <c r="S18" s="201"/>
    </row>
    <row r="19" spans="4:19" s="30" customFormat="1" ht="20.100000000000001" customHeight="1">
      <c r="D19" s="199"/>
      <c r="E19" s="200"/>
      <c r="F19" s="200"/>
      <c r="G19" s="200"/>
      <c r="H19" s="200"/>
      <c r="I19" s="200"/>
      <c r="J19" s="201"/>
      <c r="L19" s="199"/>
      <c r="M19" s="200"/>
      <c r="N19" s="200"/>
      <c r="O19" s="200"/>
      <c r="P19" s="200"/>
      <c r="Q19" s="224"/>
      <c r="R19" s="200"/>
      <c r="S19" s="201"/>
    </row>
    <row r="20" spans="4:19" s="30" customFormat="1" ht="20.100000000000001" customHeight="1">
      <c r="D20" s="199"/>
      <c r="E20" s="200"/>
      <c r="F20" s="200"/>
      <c r="G20" s="200"/>
      <c r="H20" s="200"/>
      <c r="I20" s="200"/>
      <c r="J20" s="201"/>
      <c r="L20" s="199"/>
      <c r="M20" s="200"/>
      <c r="N20" s="200"/>
      <c r="O20" s="200"/>
      <c r="P20" s="200"/>
      <c r="Q20" s="224"/>
      <c r="R20" s="200"/>
      <c r="S20" s="201"/>
    </row>
    <row r="21" spans="4:19" s="30" customFormat="1" ht="20.100000000000001" customHeight="1">
      <c r="D21" s="199"/>
      <c r="E21" s="200"/>
      <c r="F21" s="200"/>
      <c r="G21" s="200"/>
      <c r="H21" s="200"/>
      <c r="I21" s="200"/>
      <c r="J21" s="201"/>
      <c r="L21" s="199"/>
      <c r="M21" s="200"/>
      <c r="N21" s="200"/>
      <c r="O21" s="200"/>
      <c r="P21" s="200"/>
      <c r="Q21" s="224"/>
      <c r="R21" s="200"/>
      <c r="S21" s="201"/>
    </row>
    <row r="22" spans="4:19" s="30" customFormat="1" ht="20.100000000000001" customHeight="1">
      <c r="D22" s="199"/>
      <c r="E22" s="200"/>
      <c r="F22" s="200"/>
      <c r="G22" s="200"/>
      <c r="H22" s="200"/>
      <c r="I22" s="200"/>
      <c r="J22" s="201"/>
      <c r="L22" s="199"/>
      <c r="M22" s="200"/>
      <c r="N22" s="200"/>
      <c r="O22" s="200"/>
      <c r="P22" s="200"/>
      <c r="Q22" s="224"/>
      <c r="R22" s="200"/>
      <c r="S22" s="201"/>
    </row>
    <row r="23" spans="4:19" s="30" customFormat="1" ht="20.100000000000001" customHeight="1">
      <c r="D23" s="199"/>
      <c r="E23" s="200"/>
      <c r="F23" s="200"/>
      <c r="G23" s="200"/>
      <c r="H23" s="200"/>
      <c r="I23" s="200"/>
      <c r="J23" s="201"/>
      <c r="L23" s="199"/>
      <c r="M23" s="200"/>
      <c r="N23" s="200"/>
      <c r="O23" s="200"/>
      <c r="P23" s="200"/>
      <c r="Q23" s="224"/>
      <c r="R23" s="200"/>
      <c r="S23" s="201"/>
    </row>
    <row r="24" spans="4:19" s="30" customFormat="1" ht="20.100000000000001" customHeight="1" thickBot="1">
      <c r="D24" s="193"/>
      <c r="E24" s="194"/>
      <c r="F24" s="194"/>
      <c r="G24" s="194"/>
      <c r="H24" s="194"/>
      <c r="I24" s="194"/>
      <c r="J24" s="202"/>
      <c r="L24" s="193"/>
      <c r="M24" s="194"/>
      <c r="N24" s="194"/>
      <c r="O24" s="194"/>
      <c r="P24" s="194"/>
      <c r="Q24" s="225"/>
      <c r="R24" s="194"/>
      <c r="S24" s="202"/>
    </row>
    <row r="25" spans="4:19" s="30" customFormat="1" ht="20.100000000000001" customHeight="1">
      <c r="D25" s="203"/>
      <c r="E25" s="203"/>
      <c r="F25" s="203"/>
      <c r="G25" s="203"/>
      <c r="H25" s="203"/>
      <c r="I25" s="203"/>
      <c r="J25" s="203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364</v>
      </c>
      <c r="I27" s="159" t="s">
        <v>279</v>
      </c>
      <c r="J27" s="167" t="s">
        <v>304</v>
      </c>
      <c r="K27" s="168" t="s">
        <v>305</v>
      </c>
    </row>
    <row r="28" spans="4:19" s="30" customFormat="1" ht="20.100000000000001" customHeight="1">
      <c r="D28" s="199" t="s">
        <v>228</v>
      </c>
      <c r="E28" s="200" t="s">
        <v>396</v>
      </c>
      <c r="F28" s="200" t="s">
        <v>397</v>
      </c>
      <c r="G28" s="201" t="s">
        <v>398</v>
      </c>
      <c r="I28" s="199" t="s">
        <v>228</v>
      </c>
      <c r="J28" s="200">
        <v>96</v>
      </c>
      <c r="K28" s="201">
        <v>121</v>
      </c>
      <c r="M28" s="423">
        <f>MIN(J28:J40)</f>
        <v>96</v>
      </c>
      <c r="N28" s="424" t="s">
        <v>393</v>
      </c>
    </row>
    <row r="29" spans="4:19" s="30" customFormat="1" ht="20.100000000000001" customHeight="1" thickBot="1">
      <c r="D29" s="199"/>
      <c r="E29" s="200"/>
      <c r="F29" s="200"/>
      <c r="G29" s="201"/>
      <c r="I29" s="199"/>
      <c r="J29" s="200"/>
      <c r="K29" s="201"/>
      <c r="M29" s="170">
        <f>MAX(K28:K40)</f>
        <v>121</v>
      </c>
      <c r="N29" s="250" t="s">
        <v>394</v>
      </c>
    </row>
    <row r="30" spans="4:19" s="30" customFormat="1" ht="20.100000000000001" customHeight="1">
      <c r="D30" s="199"/>
      <c r="E30" s="200"/>
      <c r="F30" s="200"/>
      <c r="G30" s="201"/>
      <c r="I30" s="199"/>
      <c r="J30" s="200"/>
      <c r="K30" s="201"/>
    </row>
    <row r="31" spans="4:19" s="30" customFormat="1" ht="20.100000000000001" customHeight="1">
      <c r="D31" s="199"/>
      <c r="E31" s="200"/>
      <c r="F31" s="200"/>
      <c r="G31" s="201"/>
      <c r="I31" s="199"/>
      <c r="J31" s="200"/>
      <c r="K31" s="201"/>
      <c r="M31" s="45" t="s">
        <v>379</v>
      </c>
    </row>
    <row r="32" spans="4:19" s="30" customFormat="1" ht="20.100000000000001" customHeight="1">
      <c r="D32" s="199"/>
      <c r="E32" s="200"/>
      <c r="F32" s="200"/>
      <c r="G32" s="201"/>
      <c r="I32" s="199"/>
      <c r="J32" s="200"/>
      <c r="K32" s="201"/>
    </row>
    <row r="33" spans="4:15" s="30" customFormat="1" ht="20.100000000000001" customHeight="1">
      <c r="D33" s="199"/>
      <c r="E33" s="200"/>
      <c r="F33" s="200"/>
      <c r="G33" s="201"/>
      <c r="I33" s="199"/>
      <c r="J33" s="200"/>
      <c r="K33" s="201"/>
    </row>
    <row r="34" spans="4:15" s="30" customFormat="1" ht="20.100000000000001" customHeight="1">
      <c r="D34" s="199"/>
      <c r="E34" s="200"/>
      <c r="F34" s="200"/>
      <c r="G34" s="201"/>
      <c r="I34" s="199"/>
      <c r="J34" s="200"/>
      <c r="K34" s="201"/>
    </row>
    <row r="35" spans="4:15" s="30" customFormat="1" ht="20.100000000000001" customHeight="1">
      <c r="D35" s="199"/>
      <c r="E35" s="200"/>
      <c r="F35" s="200"/>
      <c r="G35" s="201"/>
      <c r="I35" s="199"/>
      <c r="J35" s="200"/>
      <c r="K35" s="201"/>
    </row>
    <row r="36" spans="4:15" s="30" customFormat="1" ht="20.100000000000001" customHeight="1">
      <c r="D36" s="199"/>
      <c r="E36" s="200"/>
      <c r="F36" s="200"/>
      <c r="G36" s="201"/>
      <c r="I36" s="199"/>
      <c r="J36" s="200"/>
      <c r="K36" s="201"/>
    </row>
    <row r="37" spans="4:15" s="30" customFormat="1" ht="20.100000000000001" customHeight="1">
      <c r="D37" s="199"/>
      <c r="E37" s="200"/>
      <c r="F37" s="200"/>
      <c r="G37" s="201"/>
      <c r="I37" s="199"/>
      <c r="J37" s="200"/>
      <c r="K37" s="201"/>
    </row>
    <row r="38" spans="4:15" s="30" customFormat="1" ht="20.100000000000001" customHeight="1">
      <c r="D38" s="199"/>
      <c r="E38" s="200"/>
      <c r="F38" s="200"/>
      <c r="G38" s="201"/>
      <c r="I38" s="199"/>
      <c r="J38" s="200"/>
      <c r="K38" s="201"/>
    </row>
    <row r="39" spans="4:15" s="30" customFormat="1" ht="20.100000000000001" customHeight="1">
      <c r="D39" s="199"/>
      <c r="E39" s="200"/>
      <c r="F39" s="200"/>
      <c r="G39" s="201"/>
      <c r="I39" s="199"/>
      <c r="J39" s="200"/>
      <c r="K39" s="201"/>
    </row>
    <row r="40" spans="4:15" s="30" customFormat="1" ht="19.5" customHeight="1" thickBot="1">
      <c r="D40" s="193"/>
      <c r="E40" s="194"/>
      <c r="F40" s="194"/>
      <c r="G40" s="202"/>
      <c r="I40" s="193"/>
      <c r="J40" s="194"/>
      <c r="K40" s="202"/>
    </row>
    <row r="41" spans="4:15" ht="20.100000000000001" customHeight="1">
      <c r="D41" s="155"/>
      <c r="L41" s="258" t="s">
        <v>351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3" t="s">
        <v>392</v>
      </c>
      <c r="E45" s="194"/>
      <c r="F45" s="194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3" t="s">
        <v>395</v>
      </c>
      <c r="E50" s="194"/>
      <c r="F50" s="194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283</v>
      </c>
    </row>
    <row r="54" spans="4:15" s="30" customFormat="1" ht="40.5" customHeight="1">
      <c r="D54" s="159" t="s">
        <v>228</v>
      </c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3" t="s">
        <v>377</v>
      </c>
      <c r="E55" s="194"/>
      <c r="F55" s="194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3" t="s">
        <v>399</v>
      </c>
      <c r="E60" s="194"/>
      <c r="F60" s="194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3" t="s">
        <v>400</v>
      </c>
      <c r="E65" s="194"/>
      <c r="F65" s="194"/>
      <c r="G65" s="189"/>
      <c r="H65" s="189"/>
      <c r="I65" s="189"/>
      <c r="J65" s="189"/>
      <c r="K65" s="189"/>
      <c r="L65" s="189"/>
      <c r="M65" s="189"/>
      <c r="N65" s="189"/>
      <c r="O6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G33" sqref="G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2" t="str">
        <f>Well!D4</f>
        <v>04_충남 부여군 규암면 수목리 603-6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426">
        <f>Well!C4</f>
        <v>0</v>
      </c>
      <c r="D3" s="3" t="s">
        <v>49</v>
      </c>
      <c r="E3" s="4" t="s">
        <v>117</v>
      </c>
      <c r="F3" s="5" t="s">
        <v>107</v>
      </c>
      <c r="G3" s="2" t="s">
        <v>362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27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27">
        <f>Well!Q4</f>
        <v>0</v>
      </c>
      <c r="D5" s="7" t="s">
        <v>53</v>
      </c>
      <c r="E5" s="313">
        <v>2.7669999999999999</v>
      </c>
      <c r="F5" s="28">
        <f>$E$5/$C$14</f>
        <v>4.0691176470588231E-2</v>
      </c>
      <c r="G5" s="10">
        <v>3.7609999999999998E-4</v>
      </c>
      <c r="H5"/>
      <c r="I5"/>
      <c r="J5" s="399" t="s">
        <v>365</v>
      </c>
      <c r="K5"/>
      <c r="L5"/>
      <c r="M5"/>
    </row>
    <row r="6" spans="1:13" ht="20.100000000000001" customHeight="1" thickBot="1">
      <c r="B6" s="6" t="s">
        <v>54</v>
      </c>
      <c r="C6" s="428" t="str">
        <f>Well!D4</f>
        <v>04_충남 부여군 규암면 수목리 603-6</v>
      </c>
      <c r="D6" s="7" t="s">
        <v>56</v>
      </c>
      <c r="E6" s="8">
        <v>2.2709999999999999</v>
      </c>
      <c r="F6" s="28">
        <f>$E$6/$C$14</f>
        <v>3.3397058823529412E-2</v>
      </c>
      <c r="G6" s="10" t="s">
        <v>57</v>
      </c>
      <c r="H6" s="372">
        <v>2.1059999999999999</v>
      </c>
      <c r="I6"/>
      <c r="J6" s="400" t="s">
        <v>363</v>
      </c>
      <c r="K6" s="397">
        <v>246</v>
      </c>
      <c r="L6"/>
      <c r="M6"/>
    </row>
    <row r="7" spans="1:13" ht="20.100000000000001" customHeight="1" thickBot="1">
      <c r="B7" s="6" t="s">
        <v>55</v>
      </c>
      <c r="C7" s="482">
        <f>Well!H4</f>
        <v>80</v>
      </c>
      <c r="D7" s="142" t="s">
        <v>59</v>
      </c>
      <c r="E7" s="139">
        <f>ROUND((E5+E6)/2,4)</f>
        <v>2.5190000000000001</v>
      </c>
      <c r="F7" s="29">
        <f>$E$7/$C$14</f>
        <v>3.7044117647058825E-2</v>
      </c>
      <c r="G7" s="373">
        <f>G5</f>
        <v>3.7609999999999998E-4</v>
      </c>
      <c r="H7" s="368">
        <v>0.10680000000000001</v>
      </c>
      <c r="I7"/>
      <c r="J7" s="401" t="s">
        <v>364</v>
      </c>
      <c r="K7" s="398">
        <v>236</v>
      </c>
      <c r="L7"/>
      <c r="M7"/>
    </row>
    <row r="8" spans="1:13" ht="20.100000000000001" customHeight="1" thickBot="1">
      <c r="B8" s="6" t="s">
        <v>58</v>
      </c>
      <c r="C8" s="483">
        <f>Well!G4</f>
        <v>250</v>
      </c>
    </row>
    <row r="9" spans="1:13" ht="20.100000000000001" customHeight="1" thickBot="1">
      <c r="B9" s="6" t="s">
        <v>60</v>
      </c>
      <c r="C9" s="484">
        <f>C10+C11</f>
        <v>12</v>
      </c>
      <c r="D9" s="11"/>
      <c r="E9" s="369" t="s">
        <v>108</v>
      </c>
      <c r="F9" s="370" t="s">
        <v>109</v>
      </c>
      <c r="G9" s="390" t="s">
        <v>110</v>
      </c>
      <c r="H9" s="515">
        <f>MAX(E10,F10,G10)</f>
        <v>174.2</v>
      </c>
    </row>
    <row r="10" spans="1:13" ht="20.100000000000001" customHeight="1" thickBot="1">
      <c r="B10" s="6" t="s">
        <v>61</v>
      </c>
      <c r="C10" s="485">
        <v>5</v>
      </c>
      <c r="D10" s="371" t="s">
        <v>62</v>
      </c>
      <c r="E10" s="119">
        <v>142.30000000000001</v>
      </c>
      <c r="F10" s="120">
        <v>174.2</v>
      </c>
      <c r="G10" s="391">
        <v>103.3</v>
      </c>
      <c r="H10" s="517">
        <f>MIN(E10,F10,G10)</f>
        <v>103.3</v>
      </c>
      <c r="I10" s="12"/>
    </row>
    <row r="11" spans="1:13" ht="20.100000000000001" customHeight="1" thickBot="1">
      <c r="B11" s="6" t="s">
        <v>63</v>
      </c>
      <c r="C11" s="485">
        <v>7</v>
      </c>
      <c r="D11" s="143" t="s">
        <v>64</v>
      </c>
      <c r="E11" s="121">
        <f>ROUND(AVERAGE(E10:G10),1)</f>
        <v>139.9</v>
      </c>
      <c r="F11" s="367">
        <f>ROUND((E10+F10)/2,1)</f>
        <v>158.30000000000001</v>
      </c>
      <c r="H11" s="516">
        <f>ROUND(AVERAGE(E10:G10),1)</f>
        <v>139.9</v>
      </c>
      <c r="I11" s="12"/>
      <c r="J11" s="573" t="s">
        <v>116</v>
      </c>
      <c r="K11" s="57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486">
        <f>C7-C9</f>
        <v>68</v>
      </c>
      <c r="H12" s="14"/>
      <c r="J12" s="388" t="s">
        <v>118</v>
      </c>
      <c r="K12" s="438">
        <v>124</v>
      </c>
      <c r="L12" s="437">
        <f>K12+180</f>
        <v>304</v>
      </c>
    </row>
    <row r="13" spans="1:13" ht="20.100000000000001" customHeight="1">
      <c r="A13" s="13">
        <f>C10+C11+C12+C13</f>
        <v>80</v>
      </c>
      <c r="B13" s="6" t="s">
        <v>66</v>
      </c>
      <c r="C13" s="486"/>
      <c r="D13" s="131" t="str">
        <f>All!B2</f>
        <v>보령기상청</v>
      </c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388" t="s">
        <v>111</v>
      </c>
      <c r="K13" s="395">
        <v>1034</v>
      </c>
      <c r="L13" s="392"/>
    </row>
    <row r="14" spans="1:13" ht="20.100000000000001" customHeight="1">
      <c r="B14" s="6" t="s">
        <v>67</v>
      </c>
      <c r="C14" s="484">
        <f>C7-IF(C20&gt;C9,C20,C9)</f>
        <v>68</v>
      </c>
      <c r="G14" s="122">
        <f>max</f>
        <v>1198.3</v>
      </c>
      <c r="H14" s="15"/>
      <c r="J14" s="388" t="s">
        <v>112</v>
      </c>
      <c r="K14" s="395">
        <v>13</v>
      </c>
      <c r="L14" s="392"/>
    </row>
    <row r="15" spans="1:13" ht="20.100000000000001" customHeight="1" thickBot="1">
      <c r="B15" s="6" t="s">
        <v>68</v>
      </c>
      <c r="C15" s="487">
        <f>Well!I4</f>
        <v>150</v>
      </c>
      <c r="E15" s="34">
        <v>1</v>
      </c>
      <c r="J15" s="388" t="s">
        <v>113</v>
      </c>
      <c r="K15" s="395">
        <v>8</v>
      </c>
      <c r="L15" s="392"/>
    </row>
    <row r="16" spans="1:13" ht="20.100000000000001" customHeight="1">
      <c r="B16" s="6" t="s">
        <v>69</v>
      </c>
      <c r="C16" s="488">
        <f>Well!J4</f>
        <v>160</v>
      </c>
      <c r="E16" s="108" t="s">
        <v>274</v>
      </c>
      <c r="F16" s="109" t="s">
        <v>96</v>
      </c>
      <c r="G16" s="110" t="s">
        <v>95</v>
      </c>
      <c r="H16" s="15"/>
      <c r="J16" s="388" t="s">
        <v>119</v>
      </c>
      <c r="K16" s="396">
        <f>K14-C20</f>
        <v>10.6</v>
      </c>
      <c r="L16" s="392"/>
    </row>
    <row r="17" spans="2:12" ht="20.100000000000001" customHeight="1" thickBot="1">
      <c r="B17" s="6" t="s">
        <v>70</v>
      </c>
      <c r="C17" s="489">
        <f>Well!L4</f>
        <v>3</v>
      </c>
      <c r="E17" s="314">
        <f>Well!P4</f>
        <v>1688110</v>
      </c>
      <c r="F17" s="137">
        <f>(max*rf_1*E17/1000)</f>
        <v>329726.54071899998</v>
      </c>
      <c r="G17" s="136">
        <f>F17*allow_ratio</f>
        <v>220916.78228173</v>
      </c>
      <c r="J17" s="388" t="s">
        <v>114</v>
      </c>
      <c r="K17" s="396">
        <f>K16-K15</f>
        <v>2.5999999999999996</v>
      </c>
      <c r="L17" s="392"/>
    </row>
    <row r="18" spans="2:12" ht="20.100000000000001" customHeight="1" thickBot="1">
      <c r="B18" s="6" t="s">
        <v>71</v>
      </c>
      <c r="C18" s="482">
        <f>Well!M4</f>
        <v>60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9" t="s">
        <v>115</v>
      </c>
      <c r="K18" s="393">
        <f>(K17/K13)</f>
        <v>2.5145067698259184E-3</v>
      </c>
      <c r="L18" s="394">
        <f>K18*100</f>
        <v>0.25145067698259183</v>
      </c>
    </row>
    <row r="19" spans="2:12" ht="20.100000000000001" customHeight="1" thickBot="1">
      <c r="B19" s="17" t="s">
        <v>75</v>
      </c>
      <c r="C19" s="490">
        <f>Well!N4</f>
        <v>50</v>
      </c>
      <c r="E19" s="314">
        <f>E17</f>
        <v>1688110</v>
      </c>
      <c r="F19" s="134">
        <f>(max*rf_1*E19/1000)/365</f>
        <v>903.36038553150684</v>
      </c>
      <c r="G19" s="135">
        <f>F19*allow_ratio</f>
        <v>605.25145830610961</v>
      </c>
      <c r="H19" s="118">
        <f>G19-F21</f>
        <v>503.15145830610959</v>
      </c>
    </row>
    <row r="20" spans="2:12" ht="20.100000000000001" customHeight="1">
      <c r="B20" s="18" t="s">
        <v>76</v>
      </c>
      <c r="C20" s="491">
        <v>2.4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492">
        <v>40.799999999999997</v>
      </c>
      <c r="D21" s="13"/>
      <c r="E21" s="315">
        <f>Well!$I$6</f>
        <v>150</v>
      </c>
      <c r="F21" s="316">
        <f>Well!O4</f>
        <v>102.1</v>
      </c>
      <c r="G21" s="136">
        <f>G19-E21-F21</f>
        <v>353.15145830610959</v>
      </c>
    </row>
    <row r="22" spans="2:12" ht="20.100000000000001" customHeight="1" thickBot="1">
      <c r="B22" s="27" t="s">
        <v>163</v>
      </c>
      <c r="C22" s="493">
        <f>C21-C20</f>
        <v>38.4</v>
      </c>
      <c r="E22" s="575">
        <f>E21+F21</f>
        <v>252.1</v>
      </c>
      <c r="F22" s="576"/>
      <c r="G22" s="16"/>
      <c r="I22" s="15"/>
    </row>
    <row r="23" spans="2:12" ht="20.100000000000001" customHeight="1" thickBot="1">
      <c r="B23" s="253" t="s">
        <v>231</v>
      </c>
      <c r="C23" s="494">
        <v>3.04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69" t="s">
        <v>634</v>
      </c>
      <c r="C25" s="570"/>
      <c r="D25" s="416" t="s">
        <v>105</v>
      </c>
      <c r="E25" s="416" t="s">
        <v>106</v>
      </c>
      <c r="F25" s="416" t="s">
        <v>97</v>
      </c>
      <c r="G25" s="416" t="s">
        <v>98</v>
      </c>
      <c r="H25" s="416" t="s">
        <v>120</v>
      </c>
      <c r="I25" s="416" t="s">
        <v>99</v>
      </c>
      <c r="J25" s="317" t="s">
        <v>100</v>
      </c>
      <c r="K25" s="417" t="s">
        <v>101</v>
      </c>
    </row>
    <row r="26" spans="2:12" ht="25.5" customHeight="1">
      <c r="B26" s="571" t="s">
        <v>102</v>
      </c>
      <c r="C26" s="418" t="s">
        <v>103</v>
      </c>
      <c r="D26" s="362">
        <f>C20</f>
        <v>2.4</v>
      </c>
      <c r="E26" s="363">
        <f>Recharge!C30</f>
        <v>19.53229</v>
      </c>
      <c r="F26" s="364" t="s">
        <v>182</v>
      </c>
      <c r="G26" s="362" t="s">
        <v>413</v>
      </c>
      <c r="H26" s="365">
        <f>L18</f>
        <v>0.25145067698259183</v>
      </c>
      <c r="I26" s="362" t="s">
        <v>182</v>
      </c>
      <c r="J26" s="366">
        <f>(E7/C14)/864</f>
        <v>4.2875136165577341E-5</v>
      </c>
      <c r="K26" s="361" t="s">
        <v>394</v>
      </c>
    </row>
    <row r="27" spans="2:12" ht="25.5" customHeight="1">
      <c r="B27" s="571"/>
      <c r="C27" s="318" t="s">
        <v>104</v>
      </c>
      <c r="D27" s="318">
        <v>9</v>
      </c>
      <c r="E27" s="318">
        <v>8</v>
      </c>
      <c r="F27" s="318">
        <v>3</v>
      </c>
      <c r="G27" s="318">
        <v>3</v>
      </c>
      <c r="H27" s="318">
        <v>10</v>
      </c>
      <c r="I27" s="318">
        <v>4</v>
      </c>
      <c r="J27" s="318">
        <v>2</v>
      </c>
      <c r="K27" s="361" t="s">
        <v>412</v>
      </c>
    </row>
    <row r="28" spans="2:12" ht="25.5" customHeight="1">
      <c r="B28" s="571"/>
      <c r="C28" s="419" t="s">
        <v>175</v>
      </c>
      <c r="D28" s="358">
        <v>5</v>
      </c>
      <c r="E28" s="358">
        <v>4</v>
      </c>
      <c r="F28" s="358">
        <v>3</v>
      </c>
      <c r="G28" s="358">
        <v>2</v>
      </c>
      <c r="H28" s="358">
        <v>1</v>
      </c>
      <c r="I28" s="358">
        <v>5</v>
      </c>
      <c r="J28" s="358">
        <v>3</v>
      </c>
      <c r="K28" s="359"/>
    </row>
    <row r="29" spans="2:12" ht="25.5" customHeight="1">
      <c r="B29" s="571"/>
      <c r="C29" s="419" t="s">
        <v>176</v>
      </c>
      <c r="D29" s="360">
        <v>5</v>
      </c>
      <c r="E29" s="360">
        <v>4</v>
      </c>
      <c r="F29" s="360">
        <v>3</v>
      </c>
      <c r="G29" s="360">
        <v>5</v>
      </c>
      <c r="H29" s="360">
        <v>3</v>
      </c>
      <c r="I29" s="360">
        <v>4</v>
      </c>
      <c r="J29" s="360">
        <v>2</v>
      </c>
      <c r="K29" s="359"/>
    </row>
    <row r="30" spans="2:12" ht="25.5" customHeight="1">
      <c r="B30" s="571"/>
      <c r="C30" s="418" t="s">
        <v>177</v>
      </c>
      <c r="D30" s="319">
        <f>D27*D28</f>
        <v>45</v>
      </c>
      <c r="E30" s="319">
        <f t="shared" ref="E30:J30" si="0">E27*E28</f>
        <v>32</v>
      </c>
      <c r="F30" s="319">
        <f t="shared" si="0"/>
        <v>9</v>
      </c>
      <c r="G30" s="319">
        <f t="shared" si="0"/>
        <v>6</v>
      </c>
      <c r="H30" s="319">
        <f t="shared" si="0"/>
        <v>10</v>
      </c>
      <c r="I30" s="319">
        <f t="shared" si="0"/>
        <v>20</v>
      </c>
      <c r="J30" s="319">
        <f t="shared" si="0"/>
        <v>6</v>
      </c>
      <c r="K30" s="320">
        <f>SUM(D30:J30)</f>
        <v>128</v>
      </c>
    </row>
    <row r="31" spans="2:12" ht="25.5" customHeight="1" thickBot="1">
      <c r="B31" s="572"/>
      <c r="C31" s="420" t="s">
        <v>178</v>
      </c>
      <c r="D31" s="321">
        <f t="shared" ref="D31:J31" si="1">D27*D29</f>
        <v>45</v>
      </c>
      <c r="E31" s="321">
        <f t="shared" si="1"/>
        <v>32</v>
      </c>
      <c r="F31" s="321">
        <f t="shared" si="1"/>
        <v>9</v>
      </c>
      <c r="G31" s="321">
        <f t="shared" si="1"/>
        <v>15</v>
      </c>
      <c r="H31" s="321">
        <f t="shared" si="1"/>
        <v>30</v>
      </c>
      <c r="I31" s="321">
        <f t="shared" si="1"/>
        <v>16</v>
      </c>
      <c r="J31" s="321">
        <f t="shared" si="1"/>
        <v>4</v>
      </c>
      <c r="K31" s="322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D27" sqref="D27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353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44753.861111111109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14.6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211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79" t="s">
        <v>85</v>
      </c>
      <c r="C12" s="580"/>
      <c r="D12" s="581" t="s">
        <v>86</v>
      </c>
      <c r="E12" s="582"/>
      <c r="F12" s="580"/>
      <c r="H12" s="579" t="s">
        <v>86</v>
      </c>
      <c r="I12" s="582"/>
      <c r="J12" s="580"/>
      <c r="L12"/>
      <c r="M12"/>
      <c r="N12"/>
    </row>
    <row r="13" spans="2:14" s="30" customFormat="1" ht="26.1" customHeight="1">
      <c r="B13" s="275" t="s">
        <v>81</v>
      </c>
      <c r="C13" s="276" t="s">
        <v>87</v>
      </c>
      <c r="D13" s="298" t="s">
        <v>88</v>
      </c>
      <c r="E13" s="299" t="s">
        <v>89</v>
      </c>
      <c r="F13" s="276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00">
        <f>$C$6+C14/1440</f>
        <v>44753.864583333328</v>
      </c>
      <c r="C14" s="281">
        <v>5</v>
      </c>
      <c r="D14" s="301">
        <f t="shared" ref="D14:D20" si="0">baseTemp+H14</f>
        <v>14.799999999999999</v>
      </c>
      <c r="E14" s="302">
        <f>$C$8+I14</f>
        <v>208</v>
      </c>
      <c r="F14" s="303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04">
        <f t="shared" ref="B15:B23" si="1">$C$6+C15/1440</f>
        <v>44753.881944444445</v>
      </c>
      <c r="C15" s="287">
        <v>30</v>
      </c>
      <c r="D15" s="305">
        <f t="shared" si="0"/>
        <v>14.4</v>
      </c>
      <c r="E15" s="306">
        <f t="shared" ref="E15:E20" si="2">$C$8+I15</f>
        <v>214</v>
      </c>
      <c r="F15" s="307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04">
        <f t="shared" si="1"/>
        <v>44753.902777777774</v>
      </c>
      <c r="C16" s="287">
        <v>60</v>
      </c>
      <c r="D16" s="305">
        <f t="shared" si="0"/>
        <v>14.4</v>
      </c>
      <c r="E16" s="306">
        <f t="shared" si="2"/>
        <v>213</v>
      </c>
      <c r="F16" s="307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4">
        <f t="shared" si="1"/>
        <v>44753.944444444445</v>
      </c>
      <c r="C17" s="287">
        <v>120</v>
      </c>
      <c r="D17" s="305">
        <f t="shared" si="0"/>
        <v>14.9</v>
      </c>
      <c r="E17" s="306">
        <f t="shared" si="2"/>
        <v>209</v>
      </c>
      <c r="F17" s="307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04">
        <f t="shared" si="1"/>
        <v>44754.027777777774</v>
      </c>
      <c r="C18" s="287">
        <v>240</v>
      </c>
      <c r="D18" s="305">
        <f t="shared" si="0"/>
        <v>14.299999999999999</v>
      </c>
      <c r="E18" s="306">
        <f t="shared" si="2"/>
        <v>210</v>
      </c>
      <c r="F18" s="307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04">
        <f t="shared" si="1"/>
        <v>44754.194444444445</v>
      </c>
      <c r="C19" s="287">
        <v>480</v>
      </c>
      <c r="D19" s="308">
        <f t="shared" si="0"/>
        <v>14.799999999999999</v>
      </c>
      <c r="E19" s="306">
        <f t="shared" si="2"/>
        <v>213</v>
      </c>
      <c r="F19" s="307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04">
        <f t="shared" si="1"/>
        <v>44754.861111111109</v>
      </c>
      <c r="C20" s="287">
        <v>1440</v>
      </c>
      <c r="D20" s="305">
        <f t="shared" si="0"/>
        <v>14.799999999999999</v>
      </c>
      <c r="E20" s="306">
        <f t="shared" si="2"/>
        <v>208</v>
      </c>
      <c r="F20" s="307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04">
        <f t="shared" si="1"/>
        <v>44755.027777777774</v>
      </c>
      <c r="C21" s="287">
        <v>1680</v>
      </c>
      <c r="D21" s="305">
        <f>$D$20</f>
        <v>14.799999999999999</v>
      </c>
      <c r="E21" s="306">
        <f>$E$20</f>
        <v>208</v>
      </c>
      <c r="F21" s="307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04">
        <f t="shared" si="1"/>
        <v>44755.194444444445</v>
      </c>
      <c r="C22" s="287">
        <v>1920</v>
      </c>
      <c r="D22" s="305">
        <f t="shared" ref="D22:D23" si="4">$D$20</f>
        <v>14.799999999999999</v>
      </c>
      <c r="E22" s="306">
        <f t="shared" ref="E22:E23" si="5">$E$20</f>
        <v>208</v>
      </c>
      <c r="F22" s="307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04">
        <f t="shared" si="1"/>
        <v>44755.861111111109</v>
      </c>
      <c r="C23" s="287">
        <v>2880</v>
      </c>
      <c r="D23" s="305">
        <f t="shared" si="4"/>
        <v>14.799999999999999</v>
      </c>
      <c r="E23" s="306">
        <f t="shared" si="5"/>
        <v>208</v>
      </c>
      <c r="F23" s="307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83" t="s">
        <v>36</v>
      </c>
      <c r="C24" s="584"/>
      <c r="D24" s="298">
        <f>MAX(D14:D23)</f>
        <v>14.9</v>
      </c>
      <c r="E24" s="299">
        <f t="shared" ref="E24:F24" si="7">MAX(E14:E23)</f>
        <v>214</v>
      </c>
      <c r="F24" s="276">
        <f t="shared" si="7"/>
        <v>6.8</v>
      </c>
      <c r="H24" s="30"/>
      <c r="I24" s="30"/>
      <c r="J24" s="30"/>
    </row>
    <row r="25" spans="2:14" s="31" customFormat="1" ht="26.1" customHeight="1">
      <c r="B25" s="583" t="s">
        <v>37</v>
      </c>
      <c r="C25" s="584"/>
      <c r="D25" s="298">
        <f>MIN(D14:D23)</f>
        <v>14.299999999999999</v>
      </c>
      <c r="E25" s="299">
        <f t="shared" ref="E25:F25" si="8">MIN(E14:E23)</f>
        <v>208</v>
      </c>
      <c r="F25" s="276">
        <f t="shared" si="8"/>
        <v>6.58</v>
      </c>
      <c r="H25" s="30"/>
      <c r="I25" s="30"/>
      <c r="J25" s="30"/>
    </row>
    <row r="26" spans="2:14" s="31" customFormat="1" ht="26.1" customHeight="1" thickBot="1">
      <c r="B26" s="577" t="s">
        <v>91</v>
      </c>
      <c r="C26" s="578"/>
      <c r="D26" s="309">
        <f>D24-D25</f>
        <v>0.60000000000000142</v>
      </c>
      <c r="E26" s="310">
        <f t="shared" ref="E26:F26" si="9">E24-E25</f>
        <v>6</v>
      </c>
      <c r="F26" s="290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354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579" t="s">
        <v>85</v>
      </c>
      <c r="C12" s="580"/>
      <c r="D12" s="579" t="s">
        <v>86</v>
      </c>
      <c r="E12" s="582"/>
      <c r="F12" s="580"/>
      <c r="G12" s="585" t="s">
        <v>156</v>
      </c>
      <c r="H12" s="586"/>
      <c r="I12" s="587"/>
    </row>
    <row r="13" spans="2:9" s="30" customFormat="1" ht="26.1" customHeight="1">
      <c r="B13" s="275" t="s">
        <v>81</v>
      </c>
      <c r="C13" s="276" t="s">
        <v>87</v>
      </c>
      <c r="D13" s="294" t="s">
        <v>88</v>
      </c>
      <c r="E13" s="295" t="s">
        <v>89</v>
      </c>
      <c r="F13" s="296" t="s">
        <v>90</v>
      </c>
      <c r="G13" s="277" t="s">
        <v>88</v>
      </c>
      <c r="H13" s="278" t="s">
        <v>89</v>
      </c>
      <c r="I13" s="279" t="s">
        <v>90</v>
      </c>
    </row>
    <row r="14" spans="2:9" s="30" customFormat="1" ht="26.1" customHeight="1">
      <c r="B14" s="280">
        <f>$C$6+C14/1440</f>
        <v>44753.864583333328</v>
      </c>
      <c r="C14" s="281">
        <v>5</v>
      </c>
      <c r="D14" s="285">
        <f t="shared" ref="D14:D23" si="0">baseTemp+D31</f>
        <v>14</v>
      </c>
      <c r="E14" s="283">
        <f t="shared" ref="E14:E20" si="1">$C$8+E31</f>
        <v>223</v>
      </c>
      <c r="F14" s="284">
        <f t="shared" ref="F14:F20" si="2">$C$9+F31</f>
        <v>7.83</v>
      </c>
      <c r="G14" s="285">
        <f t="shared" ref="G14:G20" si="3">baseTemp+H31</f>
        <v>14</v>
      </c>
      <c r="H14" s="283">
        <f>$D$8+I31</f>
        <v>232</v>
      </c>
      <c r="I14" s="284">
        <f>$D$9+J31</f>
        <v>7.89</v>
      </c>
    </row>
    <row r="15" spans="2:9" s="30" customFormat="1" ht="26.1" customHeight="1">
      <c r="B15" s="286">
        <f t="shared" ref="B15:B23" si="4">$C$6+C15/1440</f>
        <v>44753.881944444445</v>
      </c>
      <c r="C15" s="287">
        <v>30</v>
      </c>
      <c r="D15" s="285">
        <f t="shared" si="0"/>
        <v>14.1</v>
      </c>
      <c r="E15" s="283">
        <f t="shared" si="1"/>
        <v>224</v>
      </c>
      <c r="F15" s="284">
        <f t="shared" si="2"/>
        <v>7.82</v>
      </c>
      <c r="G15" s="285">
        <f t="shared" si="3"/>
        <v>14</v>
      </c>
      <c r="H15" s="283">
        <f t="shared" ref="H15:H20" si="5">$D$8+I32</f>
        <v>226</v>
      </c>
      <c r="I15" s="284">
        <f t="shared" ref="I15:I20" si="6">$D$9+J32</f>
        <v>7.71</v>
      </c>
    </row>
    <row r="16" spans="2:9" s="30" customFormat="1" ht="26.1" customHeight="1">
      <c r="B16" s="286">
        <f t="shared" si="4"/>
        <v>44753.902777777774</v>
      </c>
      <c r="C16" s="287">
        <v>60</v>
      </c>
      <c r="D16" s="285">
        <f t="shared" si="0"/>
        <v>14</v>
      </c>
      <c r="E16" s="283">
        <f t="shared" si="1"/>
        <v>228</v>
      </c>
      <c r="F16" s="284">
        <f t="shared" si="2"/>
        <v>8.01</v>
      </c>
      <c r="G16" s="285">
        <f t="shared" si="3"/>
        <v>13.9</v>
      </c>
      <c r="H16" s="283">
        <f t="shared" si="5"/>
        <v>232</v>
      </c>
      <c r="I16" s="284">
        <f t="shared" si="6"/>
        <v>7.7</v>
      </c>
    </row>
    <row r="17" spans="2:10" s="30" customFormat="1" ht="26.1" customHeight="1">
      <c r="B17" s="286">
        <f t="shared" si="4"/>
        <v>44753.944444444445</v>
      </c>
      <c r="C17" s="287">
        <v>120</v>
      </c>
      <c r="D17" s="285">
        <f t="shared" si="0"/>
        <v>14</v>
      </c>
      <c r="E17" s="283">
        <f t="shared" si="1"/>
        <v>228</v>
      </c>
      <c r="F17" s="284">
        <f t="shared" si="2"/>
        <v>8.01</v>
      </c>
      <c r="G17" s="285">
        <f t="shared" si="3"/>
        <v>13.9</v>
      </c>
      <c r="H17" s="283">
        <f t="shared" si="5"/>
        <v>228</v>
      </c>
      <c r="I17" s="284">
        <f t="shared" si="6"/>
        <v>7.7</v>
      </c>
    </row>
    <row r="18" spans="2:10" s="30" customFormat="1" ht="26.1" customHeight="1">
      <c r="B18" s="286">
        <f t="shared" si="4"/>
        <v>44754.027777777774</v>
      </c>
      <c r="C18" s="287">
        <v>240</v>
      </c>
      <c r="D18" s="285">
        <f t="shared" si="0"/>
        <v>14.1</v>
      </c>
      <c r="E18" s="283">
        <f t="shared" si="1"/>
        <v>227</v>
      </c>
      <c r="F18" s="284">
        <f t="shared" si="2"/>
        <v>8.01</v>
      </c>
      <c r="G18" s="285">
        <f t="shared" si="3"/>
        <v>13.9</v>
      </c>
      <c r="H18" s="283">
        <f t="shared" si="5"/>
        <v>230</v>
      </c>
      <c r="I18" s="284">
        <f t="shared" si="6"/>
        <v>7.7</v>
      </c>
    </row>
    <row r="19" spans="2:10" s="30" customFormat="1" ht="26.1" customHeight="1">
      <c r="B19" s="286">
        <f t="shared" si="4"/>
        <v>44754.194444444445</v>
      </c>
      <c r="C19" s="287">
        <v>480</v>
      </c>
      <c r="D19" s="285">
        <f t="shared" si="0"/>
        <v>14</v>
      </c>
      <c r="E19" s="283">
        <f t="shared" si="1"/>
        <v>225</v>
      </c>
      <c r="F19" s="284">
        <f t="shared" si="2"/>
        <v>7.78</v>
      </c>
      <c r="G19" s="285">
        <f t="shared" si="3"/>
        <v>13.9</v>
      </c>
      <c r="H19" s="283">
        <f t="shared" si="5"/>
        <v>228</v>
      </c>
      <c r="I19" s="284">
        <f t="shared" si="6"/>
        <v>7.92</v>
      </c>
    </row>
    <row r="20" spans="2:10" s="31" customFormat="1" ht="26.1" customHeight="1">
      <c r="B20" s="286">
        <f t="shared" si="4"/>
        <v>44754.861111111109</v>
      </c>
      <c r="C20" s="287">
        <v>1440</v>
      </c>
      <c r="D20" s="285">
        <f t="shared" si="0"/>
        <v>14.1</v>
      </c>
      <c r="E20" s="283">
        <f t="shared" si="1"/>
        <v>227</v>
      </c>
      <c r="F20" s="284">
        <f t="shared" si="2"/>
        <v>7.9700000000000006</v>
      </c>
      <c r="G20" s="285">
        <f t="shared" si="3"/>
        <v>13.9</v>
      </c>
      <c r="H20" s="283">
        <f t="shared" si="5"/>
        <v>227</v>
      </c>
      <c r="I20" s="284">
        <f t="shared" si="6"/>
        <v>7.7299999999999995</v>
      </c>
    </row>
    <row r="21" spans="2:10" s="31" customFormat="1" ht="26.1" customHeight="1">
      <c r="B21" s="286">
        <f t="shared" si="4"/>
        <v>44755.027777777774</v>
      </c>
      <c r="C21" s="287">
        <v>1680</v>
      </c>
      <c r="D21" s="285">
        <f t="shared" si="0"/>
        <v>14</v>
      </c>
      <c r="E21" s="283">
        <f>$E$20</f>
        <v>227</v>
      </c>
      <c r="F21" s="284">
        <f>$F$20</f>
        <v>7.9700000000000006</v>
      </c>
      <c r="G21" s="285">
        <f>$G$20</f>
        <v>13.9</v>
      </c>
      <c r="H21" s="283">
        <f>$H$20</f>
        <v>227</v>
      </c>
      <c r="I21" s="284">
        <f>$I$20</f>
        <v>7.7299999999999995</v>
      </c>
    </row>
    <row r="22" spans="2:10" s="31" customFormat="1" ht="26.1" customHeight="1">
      <c r="B22" s="286">
        <f t="shared" si="4"/>
        <v>44755.194444444445</v>
      </c>
      <c r="C22" s="287">
        <v>1920</v>
      </c>
      <c r="D22" s="285">
        <f t="shared" si="0"/>
        <v>14</v>
      </c>
      <c r="E22" s="283">
        <f t="shared" ref="E22:E23" si="7">$E$20</f>
        <v>227</v>
      </c>
      <c r="F22" s="284">
        <f t="shared" ref="F22:F23" si="8">$F$20</f>
        <v>7.9700000000000006</v>
      </c>
      <c r="G22" s="285">
        <f t="shared" ref="G22:G23" si="9">$G$20</f>
        <v>13.9</v>
      </c>
      <c r="H22" s="283">
        <f t="shared" ref="H22:H23" si="10">$H$20</f>
        <v>227</v>
      </c>
      <c r="I22" s="284">
        <f t="shared" ref="I22:I23" si="11">$I$20</f>
        <v>7.7299999999999995</v>
      </c>
    </row>
    <row r="23" spans="2:10" s="31" customFormat="1" ht="26.1" customHeight="1">
      <c r="B23" s="288">
        <f t="shared" si="4"/>
        <v>44755.861111111109</v>
      </c>
      <c r="C23" s="289">
        <v>2880</v>
      </c>
      <c r="D23" s="285">
        <f t="shared" si="0"/>
        <v>14</v>
      </c>
      <c r="E23" s="283">
        <f t="shared" si="7"/>
        <v>227</v>
      </c>
      <c r="F23" s="284">
        <f t="shared" si="8"/>
        <v>7.9700000000000006</v>
      </c>
      <c r="G23" s="285">
        <f t="shared" si="9"/>
        <v>13.9</v>
      </c>
      <c r="H23" s="283">
        <f t="shared" si="10"/>
        <v>227</v>
      </c>
      <c r="I23" s="284">
        <f t="shared" si="11"/>
        <v>7.7299999999999995</v>
      </c>
    </row>
    <row r="24" spans="2:10" s="31" customFormat="1" ht="26.1" customHeight="1">
      <c r="B24" s="583" t="s">
        <v>36</v>
      </c>
      <c r="C24" s="584"/>
      <c r="D24" s="277">
        <f>MAX(D14:D23)</f>
        <v>14.1</v>
      </c>
      <c r="E24" s="278">
        <f t="shared" ref="E24:F24" si="12">MAX(E14:E23)</f>
        <v>228</v>
      </c>
      <c r="F24" s="279">
        <f t="shared" si="12"/>
        <v>8.01</v>
      </c>
      <c r="G24" s="277">
        <f>MAX(G14:G23)</f>
        <v>14</v>
      </c>
      <c r="H24" s="278">
        <f t="shared" ref="H24:I24" si="13">MAX(H14:H23)</f>
        <v>232</v>
      </c>
      <c r="I24" s="279">
        <f t="shared" si="13"/>
        <v>7.92</v>
      </c>
      <c r="J24" s="30"/>
    </row>
    <row r="25" spans="2:10" s="31" customFormat="1" ht="26.1" customHeight="1">
      <c r="B25" s="583" t="s">
        <v>37</v>
      </c>
      <c r="C25" s="584"/>
      <c r="D25" s="277">
        <f>MIN(D14:D23)</f>
        <v>14</v>
      </c>
      <c r="E25" s="278">
        <f t="shared" ref="E25:F25" si="14">MIN(E14:E23)</f>
        <v>223</v>
      </c>
      <c r="F25" s="297">
        <f t="shared" si="14"/>
        <v>7.78</v>
      </c>
      <c r="G25" s="277">
        <f>MIN(G14:G23)</f>
        <v>13.9</v>
      </c>
      <c r="H25" s="278">
        <f t="shared" ref="H25:I25" si="15">MIN(H14:H23)</f>
        <v>226</v>
      </c>
      <c r="I25" s="279">
        <f t="shared" si="15"/>
        <v>7.7</v>
      </c>
      <c r="J25" s="30"/>
    </row>
    <row r="26" spans="2:10" s="31" customFormat="1" ht="26.1" customHeight="1" thickBot="1">
      <c r="B26" s="577" t="s">
        <v>91</v>
      </c>
      <c r="C26" s="578"/>
      <c r="D26" s="291">
        <f>D24-D25</f>
        <v>9.9999999999999645E-2</v>
      </c>
      <c r="E26" s="292">
        <f t="shared" ref="E26:F26" si="16">E24-E25</f>
        <v>5</v>
      </c>
      <c r="F26" s="293">
        <f t="shared" si="16"/>
        <v>0.22999999999999954</v>
      </c>
      <c r="G26" s="291">
        <f>G24-G25</f>
        <v>9.9999999999999645E-2</v>
      </c>
      <c r="H26" s="292">
        <f t="shared" ref="H26:I26" si="17">H24-H25</f>
        <v>6</v>
      </c>
      <c r="I26" s="293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79" t="s">
        <v>86</v>
      </c>
      <c r="E29" s="582"/>
      <c r="F29" s="580"/>
      <c r="H29" s="579" t="s">
        <v>156</v>
      </c>
      <c r="I29" s="582"/>
      <c r="J29" s="580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355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79" t="s">
        <v>85</v>
      </c>
      <c r="C12" s="580"/>
      <c r="D12" s="585" t="s">
        <v>86</v>
      </c>
      <c r="E12" s="586"/>
      <c r="F12" s="587"/>
      <c r="G12" s="585" t="s">
        <v>156</v>
      </c>
      <c r="H12" s="586"/>
      <c r="I12" s="587"/>
      <c r="J12" s="585" t="s">
        <v>157</v>
      </c>
      <c r="K12" s="586"/>
      <c r="L12" s="587"/>
    </row>
    <row r="13" spans="2:12" s="30" customFormat="1" ht="26.1" customHeight="1">
      <c r="B13" s="275" t="s">
        <v>81</v>
      </c>
      <c r="C13" s="276" t="s">
        <v>87</v>
      </c>
      <c r="D13" s="277" t="s">
        <v>160</v>
      </c>
      <c r="E13" s="278" t="s">
        <v>169</v>
      </c>
      <c r="F13" s="279" t="s">
        <v>90</v>
      </c>
      <c r="G13" s="277" t="s">
        <v>160</v>
      </c>
      <c r="H13" s="278" t="s">
        <v>169</v>
      </c>
      <c r="I13" s="279" t="s">
        <v>90</v>
      </c>
      <c r="J13" s="277" t="s">
        <v>160</v>
      </c>
      <c r="K13" s="278" t="s">
        <v>169</v>
      </c>
      <c r="L13" s="279" t="s">
        <v>90</v>
      </c>
    </row>
    <row r="14" spans="2:12" s="30" customFormat="1" ht="26.1" customHeight="1">
      <c r="B14" s="280">
        <f>$C$6+C14/1440</f>
        <v>44717.434027777774</v>
      </c>
      <c r="C14" s="281">
        <v>5</v>
      </c>
      <c r="D14" s="282">
        <f t="shared" ref="D14:D20" si="0">baseTemp+D31</f>
        <v>14.7</v>
      </c>
      <c r="E14" s="283">
        <f t="shared" ref="E14:E20" si="1">$C$8+E31</f>
        <v>194</v>
      </c>
      <c r="F14" s="284">
        <f t="shared" ref="F14:F20" si="2">$C$9+F31</f>
        <v>8.33</v>
      </c>
      <c r="G14" s="285">
        <f t="shared" ref="G14:G20" si="3">baseTemp+H31</f>
        <v>14.7</v>
      </c>
      <c r="H14" s="283">
        <f>$D$8+I31</f>
        <v>200</v>
      </c>
      <c r="I14" s="284">
        <f>$D$9+J31</f>
        <v>8.39</v>
      </c>
      <c r="J14" s="285">
        <f t="shared" ref="J14:J20" si="4">baseTemp+L31</f>
        <v>14.7</v>
      </c>
      <c r="K14" s="283">
        <f>$E$8+M31</f>
        <v>195</v>
      </c>
      <c r="L14" s="284">
        <f>$E$9+N31</f>
        <v>8.2800000000000011</v>
      </c>
    </row>
    <row r="15" spans="2:12" s="30" customFormat="1" ht="26.1" customHeight="1">
      <c r="B15" s="286">
        <f t="shared" ref="B15:B23" si="5">$C$6+C15/1440</f>
        <v>44717.451388888891</v>
      </c>
      <c r="C15" s="287">
        <v>30</v>
      </c>
      <c r="D15" s="282">
        <f t="shared" si="0"/>
        <v>14.799999999999999</v>
      </c>
      <c r="E15" s="283">
        <f t="shared" si="1"/>
        <v>195</v>
      </c>
      <c r="F15" s="284">
        <f t="shared" si="2"/>
        <v>8.32</v>
      </c>
      <c r="G15" s="285">
        <f t="shared" si="3"/>
        <v>14.7</v>
      </c>
      <c r="H15" s="283">
        <f t="shared" ref="H15:H20" si="6">$D$8+I32</f>
        <v>194</v>
      </c>
      <c r="I15" s="284">
        <f t="shared" ref="I15:I20" si="7">$D$9+J32</f>
        <v>8.2100000000000009</v>
      </c>
      <c r="J15" s="285">
        <f t="shared" si="4"/>
        <v>14.7</v>
      </c>
      <c r="K15" s="283">
        <f t="shared" ref="K15:K20" si="8">$E$8+M32</f>
        <v>192</v>
      </c>
      <c r="L15" s="284">
        <f t="shared" ref="L15:L20" si="9">$E$9+N32</f>
        <v>8.49</v>
      </c>
    </row>
    <row r="16" spans="2:12" s="30" customFormat="1" ht="26.1" customHeight="1">
      <c r="B16" s="286">
        <f t="shared" si="5"/>
        <v>44717.472222222219</v>
      </c>
      <c r="C16" s="287">
        <v>60</v>
      </c>
      <c r="D16" s="282">
        <f t="shared" si="0"/>
        <v>14.7</v>
      </c>
      <c r="E16" s="283">
        <f t="shared" si="1"/>
        <v>199</v>
      </c>
      <c r="F16" s="284">
        <f t="shared" si="2"/>
        <v>8.51</v>
      </c>
      <c r="G16" s="285">
        <f t="shared" si="3"/>
        <v>14.6</v>
      </c>
      <c r="H16" s="283">
        <f t="shared" si="6"/>
        <v>200</v>
      </c>
      <c r="I16" s="284">
        <f t="shared" si="7"/>
        <v>8.2000000000000011</v>
      </c>
      <c r="J16" s="285">
        <f t="shared" si="4"/>
        <v>14.799999999999999</v>
      </c>
      <c r="K16" s="283">
        <f t="shared" si="8"/>
        <v>193</v>
      </c>
      <c r="L16" s="284">
        <f t="shared" si="9"/>
        <v>8.51</v>
      </c>
    </row>
    <row r="17" spans="2:14" s="30" customFormat="1" ht="26.1" customHeight="1">
      <c r="B17" s="286">
        <f t="shared" si="5"/>
        <v>44717.513888888891</v>
      </c>
      <c r="C17" s="287">
        <v>120</v>
      </c>
      <c r="D17" s="282">
        <f t="shared" si="0"/>
        <v>14.7</v>
      </c>
      <c r="E17" s="283">
        <f t="shared" si="1"/>
        <v>199</v>
      </c>
      <c r="F17" s="284">
        <f t="shared" si="2"/>
        <v>8.51</v>
      </c>
      <c r="G17" s="285">
        <f t="shared" si="3"/>
        <v>14.6</v>
      </c>
      <c r="H17" s="283">
        <f t="shared" si="6"/>
        <v>196</v>
      </c>
      <c r="I17" s="284">
        <f t="shared" si="7"/>
        <v>8.2000000000000011</v>
      </c>
      <c r="J17" s="285">
        <f t="shared" si="4"/>
        <v>14.799999999999999</v>
      </c>
      <c r="K17" s="283">
        <f t="shared" si="8"/>
        <v>196</v>
      </c>
      <c r="L17" s="284">
        <f t="shared" si="9"/>
        <v>8.3000000000000007</v>
      </c>
    </row>
    <row r="18" spans="2:14" s="30" customFormat="1" ht="26.1" customHeight="1">
      <c r="B18" s="286">
        <f t="shared" si="5"/>
        <v>44717.597222222219</v>
      </c>
      <c r="C18" s="287">
        <v>240</v>
      </c>
      <c r="D18" s="282">
        <f t="shared" si="0"/>
        <v>14.799999999999999</v>
      </c>
      <c r="E18" s="283">
        <f t="shared" si="1"/>
        <v>198</v>
      </c>
      <c r="F18" s="284">
        <f t="shared" si="2"/>
        <v>8.51</v>
      </c>
      <c r="G18" s="285">
        <f t="shared" si="3"/>
        <v>14.6</v>
      </c>
      <c r="H18" s="283">
        <f t="shared" si="6"/>
        <v>198</v>
      </c>
      <c r="I18" s="284">
        <f t="shared" si="7"/>
        <v>8.2000000000000011</v>
      </c>
      <c r="J18" s="285">
        <f t="shared" si="4"/>
        <v>14.6</v>
      </c>
      <c r="K18" s="283">
        <f t="shared" si="8"/>
        <v>196</v>
      </c>
      <c r="L18" s="284">
        <f t="shared" si="9"/>
        <v>8.52</v>
      </c>
    </row>
    <row r="19" spans="2:14" s="30" customFormat="1" ht="26.1" customHeight="1">
      <c r="B19" s="286">
        <f t="shared" si="5"/>
        <v>44717.763888888891</v>
      </c>
      <c r="C19" s="287">
        <v>480</v>
      </c>
      <c r="D19" s="282">
        <f t="shared" si="0"/>
        <v>14.7</v>
      </c>
      <c r="E19" s="283">
        <f t="shared" si="1"/>
        <v>196</v>
      </c>
      <c r="F19" s="284">
        <f t="shared" si="2"/>
        <v>8.2800000000000011</v>
      </c>
      <c r="G19" s="285">
        <f t="shared" si="3"/>
        <v>14.6</v>
      </c>
      <c r="H19" s="283">
        <f t="shared" si="6"/>
        <v>196</v>
      </c>
      <c r="I19" s="284">
        <f t="shared" si="7"/>
        <v>8.42</v>
      </c>
      <c r="J19" s="285">
        <f t="shared" si="4"/>
        <v>14.799999999999999</v>
      </c>
      <c r="K19" s="283">
        <f t="shared" si="8"/>
        <v>191</v>
      </c>
      <c r="L19" s="284">
        <f t="shared" si="9"/>
        <v>8.2800000000000011</v>
      </c>
    </row>
    <row r="20" spans="2:14" s="31" customFormat="1" ht="26.1" customHeight="1">
      <c r="B20" s="286">
        <f t="shared" si="5"/>
        <v>44718.430555555555</v>
      </c>
      <c r="C20" s="287">
        <v>1440</v>
      </c>
      <c r="D20" s="282">
        <f t="shared" si="0"/>
        <v>14.799999999999999</v>
      </c>
      <c r="E20" s="283">
        <f t="shared" si="1"/>
        <v>198</v>
      </c>
      <c r="F20" s="284">
        <f t="shared" si="2"/>
        <v>8.4700000000000006</v>
      </c>
      <c r="G20" s="285">
        <f t="shared" si="3"/>
        <v>14.6</v>
      </c>
      <c r="H20" s="283">
        <f t="shared" si="6"/>
        <v>195</v>
      </c>
      <c r="I20" s="284">
        <f t="shared" si="7"/>
        <v>8.23</v>
      </c>
      <c r="J20" s="285">
        <f t="shared" si="4"/>
        <v>14.6</v>
      </c>
      <c r="K20" s="283">
        <f t="shared" si="8"/>
        <v>191</v>
      </c>
      <c r="L20" s="284">
        <f t="shared" si="9"/>
        <v>8.33</v>
      </c>
    </row>
    <row r="21" spans="2:14" s="31" customFormat="1" ht="26.1" customHeight="1">
      <c r="B21" s="286">
        <f t="shared" si="5"/>
        <v>44718.597222222219</v>
      </c>
      <c r="C21" s="287">
        <v>1680</v>
      </c>
      <c r="D21" s="282">
        <f>$D$20</f>
        <v>14.799999999999999</v>
      </c>
      <c r="E21" s="283">
        <f>$E$20</f>
        <v>198</v>
      </c>
      <c r="F21" s="284">
        <f>$F$20</f>
        <v>8.4700000000000006</v>
      </c>
      <c r="G21" s="285">
        <f>$G$20</f>
        <v>14.6</v>
      </c>
      <c r="H21" s="283">
        <f>$H$20</f>
        <v>195</v>
      </c>
      <c r="I21" s="284">
        <f>$I$20</f>
        <v>8.23</v>
      </c>
      <c r="J21" s="285">
        <f>$J$20</f>
        <v>14.6</v>
      </c>
      <c r="K21" s="283">
        <f>$K$20</f>
        <v>191</v>
      </c>
      <c r="L21" s="284">
        <f>$L$20</f>
        <v>8.33</v>
      </c>
    </row>
    <row r="22" spans="2:14" s="31" customFormat="1" ht="26.1" customHeight="1">
      <c r="B22" s="286">
        <f t="shared" si="5"/>
        <v>44718.763888888891</v>
      </c>
      <c r="C22" s="287">
        <v>1920</v>
      </c>
      <c r="D22" s="282">
        <f t="shared" ref="D22:D23" si="10">$D$20</f>
        <v>14.799999999999999</v>
      </c>
      <c r="E22" s="283">
        <f t="shared" ref="E22:E23" si="11">$E$20</f>
        <v>198</v>
      </c>
      <c r="F22" s="284">
        <f t="shared" ref="F22:F23" si="12">$F$20</f>
        <v>8.4700000000000006</v>
      </c>
      <c r="G22" s="285">
        <f t="shared" ref="G22:G23" si="13">$G$20</f>
        <v>14.6</v>
      </c>
      <c r="H22" s="283">
        <f t="shared" ref="H22:H23" si="14">$H$20</f>
        <v>195</v>
      </c>
      <c r="I22" s="284">
        <f t="shared" ref="I22:I23" si="15">$I$20</f>
        <v>8.23</v>
      </c>
      <c r="J22" s="285">
        <f t="shared" ref="J22:J23" si="16">$J$20</f>
        <v>14.6</v>
      </c>
      <c r="K22" s="283">
        <f t="shared" ref="K22:K23" si="17">$K$20</f>
        <v>191</v>
      </c>
      <c r="L22" s="284">
        <f t="shared" ref="L22:L23" si="18">$L$20</f>
        <v>8.33</v>
      </c>
    </row>
    <row r="23" spans="2:14" s="31" customFormat="1" ht="26.1" customHeight="1">
      <c r="B23" s="288">
        <f t="shared" si="5"/>
        <v>44719.430555555555</v>
      </c>
      <c r="C23" s="289">
        <v>2880</v>
      </c>
      <c r="D23" s="282">
        <f t="shared" si="10"/>
        <v>14.799999999999999</v>
      </c>
      <c r="E23" s="283">
        <f t="shared" si="11"/>
        <v>198</v>
      </c>
      <c r="F23" s="284">
        <f t="shared" si="12"/>
        <v>8.4700000000000006</v>
      </c>
      <c r="G23" s="285">
        <f t="shared" si="13"/>
        <v>14.6</v>
      </c>
      <c r="H23" s="283">
        <f t="shared" si="14"/>
        <v>195</v>
      </c>
      <c r="I23" s="284">
        <f t="shared" si="15"/>
        <v>8.23</v>
      </c>
      <c r="J23" s="285">
        <f t="shared" si="16"/>
        <v>14.6</v>
      </c>
      <c r="K23" s="283">
        <f t="shared" si="17"/>
        <v>191</v>
      </c>
      <c r="L23" s="284">
        <f t="shared" si="18"/>
        <v>8.33</v>
      </c>
    </row>
    <row r="24" spans="2:14" s="31" customFormat="1" ht="26.1" customHeight="1">
      <c r="B24" s="583" t="s">
        <v>36</v>
      </c>
      <c r="C24" s="584"/>
      <c r="D24" s="277">
        <f>MAX(D14:D23)</f>
        <v>14.799999999999999</v>
      </c>
      <c r="E24" s="278">
        <f t="shared" ref="E24:F24" si="19">MAX(E14:E23)</f>
        <v>199</v>
      </c>
      <c r="F24" s="279">
        <f t="shared" si="19"/>
        <v>8.51</v>
      </c>
      <c r="G24" s="277">
        <f>MAX(G14:G23)</f>
        <v>14.7</v>
      </c>
      <c r="H24" s="278">
        <f t="shared" ref="H24:I24" si="20">MAX(H14:H23)</f>
        <v>200</v>
      </c>
      <c r="I24" s="279">
        <f t="shared" si="20"/>
        <v>8.42</v>
      </c>
      <c r="J24" s="277">
        <f>MAX(J14:J23)</f>
        <v>14.799999999999999</v>
      </c>
      <c r="K24" s="278">
        <f t="shared" ref="K24:L24" si="21">MAX(K14:K23)</f>
        <v>196</v>
      </c>
      <c r="L24" s="279">
        <f t="shared" si="21"/>
        <v>8.52</v>
      </c>
    </row>
    <row r="25" spans="2:14" s="31" customFormat="1" ht="26.1" customHeight="1">
      <c r="B25" s="583" t="s">
        <v>37</v>
      </c>
      <c r="C25" s="584"/>
      <c r="D25" s="277">
        <f>MIN(D14:D23)</f>
        <v>14.7</v>
      </c>
      <c r="E25" s="278">
        <f t="shared" ref="E25:F25" si="22">MIN(E14:E23)</f>
        <v>194</v>
      </c>
      <c r="F25" s="279">
        <f t="shared" si="22"/>
        <v>8.2800000000000011</v>
      </c>
      <c r="G25" s="277">
        <f>MIN(G14:G23)</f>
        <v>14.6</v>
      </c>
      <c r="H25" s="278">
        <f t="shared" ref="H25:I25" si="23">MIN(H14:H23)</f>
        <v>194</v>
      </c>
      <c r="I25" s="279">
        <f t="shared" si="23"/>
        <v>8.2000000000000011</v>
      </c>
      <c r="J25" s="277">
        <f>MIN(J14:J23)</f>
        <v>14.6</v>
      </c>
      <c r="K25" s="278">
        <f t="shared" ref="K25:L25" si="24">MIN(K14:K23)</f>
        <v>191</v>
      </c>
      <c r="L25" s="279">
        <f t="shared" si="24"/>
        <v>8.2800000000000011</v>
      </c>
    </row>
    <row r="26" spans="2:14" s="31" customFormat="1" ht="26.1" customHeight="1" thickBot="1">
      <c r="B26" s="577" t="s">
        <v>91</v>
      </c>
      <c r="C26" s="578"/>
      <c r="D26" s="291">
        <f>D24-D25</f>
        <v>9.9999999999999645E-2</v>
      </c>
      <c r="E26" s="292">
        <f t="shared" ref="E26:F26" si="25">E24-E25</f>
        <v>5</v>
      </c>
      <c r="F26" s="293">
        <f t="shared" si="25"/>
        <v>0.22999999999999865</v>
      </c>
      <c r="G26" s="291">
        <f>G24-G25</f>
        <v>9.9999999999999645E-2</v>
      </c>
      <c r="H26" s="292">
        <f t="shared" ref="H26:I26" si="26">H24-H25</f>
        <v>6</v>
      </c>
      <c r="I26" s="293">
        <f t="shared" si="26"/>
        <v>0.21999999999999886</v>
      </c>
      <c r="J26" s="291">
        <f>J24-J25</f>
        <v>0.19999999999999929</v>
      </c>
      <c r="K26" s="292">
        <f t="shared" ref="K26:L26" si="27">K24-K25</f>
        <v>5</v>
      </c>
      <c r="L26" s="293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79" t="s">
        <v>86</v>
      </c>
      <c r="E29" s="582"/>
      <c r="F29" s="580"/>
      <c r="H29" s="579" t="s">
        <v>156</v>
      </c>
      <c r="I29" s="582"/>
      <c r="J29" s="580"/>
      <c r="L29" s="579" t="s">
        <v>157</v>
      </c>
      <c r="M29" s="582"/>
      <c r="N29" s="580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15</vt:i4>
      </vt:variant>
    </vt:vector>
  </HeadingPairs>
  <TitlesOfParts>
    <vt:vector size="34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AreaRange</vt:lpstr>
      <vt:lpstr>'Q1'!baseTemp</vt:lpstr>
      <vt:lpstr>'Q2'!baseTemp</vt:lpstr>
      <vt:lpstr>'Q3'!baseTemp</vt:lpstr>
      <vt:lpstr>KorEngMatchRange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2023-09-24T03:33:48Z</dcterms:modified>
</cp:coreProperties>
</file>