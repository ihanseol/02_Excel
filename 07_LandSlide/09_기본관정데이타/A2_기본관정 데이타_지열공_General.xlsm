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3EABFFA-4DF6-4ABD-9836-79408969C147}" xr6:coauthVersionLast="47" xr6:coauthVersionMax="47" xr10:uidLastSave="{00000000-0000-0000-0000-000000000000}"/>
  <bookViews>
    <workbookView xWindow="-120" yWindow="-120" windowWidth="29040" windowHeight="15840" tabRatio="66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1" sheetId="55" r:id="rId9"/>
    <sheet name="Q1" sheetId="117" r:id="rId10"/>
    <sheet name="Q2" sheetId="115" r:id="rId11"/>
    <sheet name="w1" sheetId="100" r:id="rId1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N14" i="100"/>
  <c r="M21" i="100"/>
  <c r="I31" i="117"/>
  <c r="I33" i="117"/>
  <c r="F37" i="117"/>
  <c r="N15" i="100"/>
  <c r="M22" i="100"/>
  <c r="J31" i="117"/>
  <c r="I35" i="117"/>
  <c r="F40" i="117"/>
  <c r="D34" i="117"/>
  <c r="N19" i="100"/>
  <c r="J33" i="117"/>
  <c r="D36" i="117"/>
  <c r="L22" i="100"/>
  <c r="E32" i="117"/>
  <c r="J35" i="117"/>
  <c r="D37" i="117"/>
  <c r="L18" i="100"/>
  <c r="N16" i="100"/>
  <c r="M23" i="100"/>
  <c r="J32" i="117"/>
  <c r="I37" i="117"/>
  <c r="F34" i="117"/>
  <c r="D35" i="117"/>
  <c r="L15" i="100"/>
  <c r="I39" i="117"/>
  <c r="F38" i="117"/>
  <c r="F33" i="117"/>
  <c r="J38" i="117"/>
  <c r="N23" i="100"/>
  <c r="E33" i="117"/>
  <c r="H36" i="117"/>
  <c r="E34" i="117"/>
  <c r="H31" i="117"/>
  <c r="F36" i="117"/>
  <c r="D33" i="117"/>
  <c r="N20" i="100"/>
  <c r="L17" i="100"/>
  <c r="J39" i="117"/>
  <c r="H32" i="117"/>
  <c r="F39" i="117"/>
  <c r="D38" i="117"/>
  <c r="N21" i="100"/>
  <c r="L20" i="100"/>
  <c r="J34" i="117"/>
  <c r="H33" i="117"/>
  <c r="D39" i="117"/>
  <c r="H34" i="117"/>
  <c r="D40" i="117"/>
  <c r="L16" i="100"/>
  <c r="H35" i="117"/>
  <c r="J36" i="117"/>
  <c r="M14" i="100"/>
  <c r="N22" i="100"/>
  <c r="N18" i="100"/>
  <c r="N17" i="100"/>
  <c r="L19" i="100"/>
  <c r="J37" i="117"/>
  <c r="H37" i="117"/>
  <c r="E35" i="117"/>
  <c r="M15" i="100"/>
  <c r="L21" i="100"/>
  <c r="J40" i="117"/>
  <c r="H38" i="117"/>
  <c r="E36" i="117"/>
  <c r="L23" i="100"/>
  <c r="I32" i="117"/>
  <c r="E37" i="117"/>
  <c r="I36" i="117"/>
  <c r="E39" i="117"/>
  <c r="M19" i="100"/>
  <c r="F35" i="117"/>
  <c r="I40" i="117"/>
  <c r="M16" i="100"/>
  <c r="H39" i="117"/>
  <c r="L14" i="100"/>
  <c r="M17" i="100"/>
  <c r="D31" i="117"/>
  <c r="I34" i="117"/>
  <c r="H40" i="117"/>
  <c r="E38" i="117"/>
  <c r="M18" i="100"/>
  <c r="E31" i="117"/>
  <c r="F32" i="117"/>
  <c r="F31" i="117"/>
  <c r="I38" i="117"/>
  <c r="E40" i="117"/>
  <c r="M20" i="100"/>
  <c r="D32" i="117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E13" i="55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6" i="52"/>
  <c r="E21" i="55" s="1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2" i="115"/>
  <c r="D23" i="115"/>
  <c r="E24" i="115"/>
  <c r="E25" i="115"/>
  <c r="D24" i="115"/>
  <c r="D25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J25" i="115" l="1"/>
  <c r="J24" i="115"/>
  <c r="J26" i="115" s="1"/>
  <c r="L26" i="115"/>
  <c r="E26" i="115"/>
  <c r="D26" i="115"/>
  <c r="H26" i="115"/>
  <c r="K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55" l="1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<sst xmlns="http://schemas.openxmlformats.org/spreadsheetml/2006/main" count="383" uniqueCount="252">
  <si>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</si>
  <si>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</si>
  <si>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</si>
  <si>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</si>
  <si>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</si>
  <si>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</si>
  <si>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</si>
  <si>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</si>
  <si>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</si>
  <si>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</si>
  <si>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</si>
  <si>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</si>
  <si>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</si>
  <si>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</si>
  <si>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</si>
  <si>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</si>
  <si>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</si>
  <si>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</si>
  <si>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</si>
  <si>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</si>
  <si>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</si>
  <si>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</si>
  <si>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</si>
  <si>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</si>
  <si>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</si>
  <si>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</si>
  <si>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</si>
  <si>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</si>
  <si>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</si>
  <si>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</si>
  <si>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</si>
  <si>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</si>
  <si>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</si>
  <si>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</si>
  <si>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</si>
  <si>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</si>
  <si>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</si>
  <si>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</si>
  <si>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</si>
  <si>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</si>
  <si>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</si>
  <si>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</si>
  <si>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</si>
  <si>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</si>
  <si>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</si>
  <si>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</si>
  <si>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</si>
  <si>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</si>
  <si>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</si>
  <si>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</si>
  <si>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</si>
  <si>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</si>
  <si>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</si>
  <si>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</si>
  <si>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</si>
  <si>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</si>
  <si>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</si>
  <si>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</si>
  <si>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</si>
  <si>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</si>
  <si>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</si>
  <si>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</si>
  <si>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</si>
  <si>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</si>
  <si>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</si>
  <si>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</si>
  <si>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</si>
  <si>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</si>
  <si>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</si>
  <si>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</si>
  <si>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</si>
  <si>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</si>
  <si>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</si>
  <si>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</si>
  <si>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</si>
  <si>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</si>
  <si>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</si>
  <si>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</si>
  <si>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</si>
  <si>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</si>
  <si>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</si>
  <si>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</si>
  <si>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</si>
  <si>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</si>
  <si>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</si>
  <si>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</si>
  <si>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</si>
  <si>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</si>
  <si>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</si>
  <si>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</si>
  <si>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</si>
  <si>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</si>
  <si>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</si>
  <si>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</si>
  <si>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</si>
  <si>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</si>
  <si>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</si>
  <si>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</si>
  <si>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</si>
  <si>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</si>
  <si>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</si>
  <si>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</si>
  <si>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</si>
  <si>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</si>
  <si>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</si>
  <si>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</si>
  <si>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</si>
  <si>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</si>
  <si>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</si>
  <si>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</si>
  <si>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</si>
  <si>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</si>
  <si>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</si>
  <si>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</si>
  <si>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</si>
  <si>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</si>
  <si>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</si>
  <si>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</si>
  <si>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</si>
  <si>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</si>
  <si>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</si>
  <si>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</si>
  <si>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</si>
  <si>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</si>
  <si>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</si>
  <si>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</si>
  <si>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</si>
  <si>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</si>
  <si>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</si>
  <si>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</si>
  <si>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</si>
  <si>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</si>
  <si>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</si>
  <si>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</si>
  <si>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</si>
  <si>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</si>
  <si>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</si>
  <si>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</si>
  <si>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</si>
  <si>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</si>
  <si>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</si>
  <si>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</si>
  <si>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</si>
  <si>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</si>
  <si>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</si>
  <si>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</si>
  <si>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</si>
  <si>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</si>
  <si>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</si>
  <si>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</si>
  <si>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</si>
  <si>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</si>
  <si>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</si>
  <si>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</si>
  <si>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</si>
  <si>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</si>
  <si>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</si>
  <si>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</si>
  <si>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</si>
  <si>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</si>
  <si>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</si>
  <si>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</si>
  <si>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</si>
  <si>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</si>
  <si>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</si>
  <si>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</si>
  <si>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</si>
  <si>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</si>
  <si>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</si>
  <si>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</si>
  <si>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</si>
  <si>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</si>
  <si>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</si>
  <si>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</si>
  <si>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</si>
  <si>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</si>
  <si>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</si>
  <si>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</si>
  <si>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</si>
  <si>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</si>
  <si>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</si>
  <si>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</si>
  <si>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</si>
  <si>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</si>
  <si>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</si>
  <si>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</si>
  <si>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</si>
  <si>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</si>
  <si>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</si>
  <si>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</si>
  <si>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</si>
  <si>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</si>
  <si>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Clay Loam</t>
  </si>
  <si>
    <t>RF1 :</t>
    <phoneticPr fontId="7" type="noConversion"/>
  </si>
  <si>
    <t>RF2 :</t>
    <phoneticPr fontId="7" type="noConversion"/>
  </si>
  <si>
    <t>RF3 :</t>
    <phoneticPr fontId="7" type="noConversion"/>
  </si>
  <si>
    <t>비교적낮음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</si>
  <si>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</si>
  <si>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</si>
  <si>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</si>
  <si>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</si>
  <si>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</si>
  <si>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</si>
  <si>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</si>
  <si>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</si>
  <si>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</si>
  <si>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</si>
  <si>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</si>
  <si>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</si>
  <si>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</si>
  <si>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</si>
  <si>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</si>
  <si>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</si>
  <si>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</si>
  <si>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</si>
  <si>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2022년 지하수영향조사 용역(남부)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</si>
  <si>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</si>
  <si>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</si>
  <si>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</si>
  <si>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</si>
  <si>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가채수량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</si>
  <si>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</si>
  <si>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</si>
  <si>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</si>
  <si>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</si>
  <si>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</si>
  <si>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한일지하수</t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</si>
  <si>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</si>
  <si>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</si>
  <si>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</si>
  <si>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</si>
  <si>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</si>
  <si>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</si>
  <si>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</si>
  <si>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</si>
  <si>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</si>
  <si>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</si>
  <si>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투수량계수</t>
    <phoneticPr fontId="7" type="noConversion"/>
  </si>
  <si>
    <t>저류계수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</si>
  <si>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</si>
  <si>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</si>
  <si>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</si>
  <si>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</si>
  <si>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</si>
  <si>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</si>
  <si>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</si>
  <si>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강서구 마곡동 762-4</t>
  </si>
  <si>
    <t>한강고양</t>
  </si>
  <si>
    <t>서울</t>
  </si>
  <si>
    <t>한강/한강고양</t>
  </si>
  <si>
    <t>서울기상청 30년 데이터</t>
    <phoneticPr fontId="7" type="noConversion"/>
  </si>
  <si>
    <t>중간정도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</si>
</sst>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</numFmts>
  <fonts count="5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맑은 고딕"/>
      <family val="3"/>
      <charset val="129"/>
      <scheme val="major"/>
    </font>
    <font>
      <sz val="11"/>
      <name val="Consolas"/>
      <family val="3"/>
    </font>
    <font>
      <sz val="1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34" fillId="17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3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15" fillId="0" borderId="40" xfId="18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91" fontId="25" fillId="0" borderId="67" xfId="0" applyNumberFormat="1" applyFont="1" applyBorder="1" applyAlignment="1">
      <alignment horizontal="center" vertical="center"/>
    </xf>
    <xf numFmtId="192" fontId="25" fillId="0" borderId="68" xfId="0" applyNumberFormat="1" applyFont="1" applyBorder="1" applyAlignment="1">
      <alignment horizontal="center" vertical="center"/>
    </xf>
    <xf numFmtId="191" fontId="25" fillId="0" borderId="49" xfId="0" applyNumberFormat="1" applyFont="1" applyBorder="1" applyAlignment="1">
      <alignment horizontal="center" vertical="center"/>
    </xf>
    <xf numFmtId="192" fontId="25" fillId="0" borderId="50" xfId="0" applyNumberFormat="1" applyFont="1" applyBorder="1" applyAlignment="1">
      <alignment horizontal="center" vertical="center"/>
    </xf>
    <xf numFmtId="191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2" fontId="25" fillId="0" borderId="68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97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97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88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34" fillId="17" borderId="49" xfId="25" applyBorder="1" applyAlignment="1">
      <alignment horizontal="center" vertical="center"/>
    </xf>
    <xf numFmtId="0" fontId="34" fillId="17" borderId="19" xfId="25" applyBorder="1" applyAlignment="1">
      <alignment horizontal="center" vertical="center"/>
    </xf>
    <xf numFmtId="0" fontId="34" fillId="17" borderId="50" xfId="25" applyBorder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96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8" borderId="54" xfId="16" applyFont="1" applyFill="1" applyBorder="1" applyAlignment="1">
      <alignment horizontal="center" vertical="center"/>
    </xf>
    <xf numFmtId="0" fontId="18" fillId="18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8" fillId="19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41" fillId="8" borderId="37" xfId="18" applyFont="1" applyFill="1" applyBorder="1" applyAlignment="1">
      <alignment horizontal="center" vertical="center" wrapText="1"/>
    </xf>
    <xf numFmtId="0" fontId="41" fillId="8" borderId="34" xfId="18" applyFont="1" applyFill="1" applyBorder="1" applyAlignment="1">
      <alignment horizontal="center" vertical="center" wrapText="1"/>
    </xf>
    <xf numFmtId="0" fontId="41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8" fillId="21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3" borderId="25" xfId="26" applyNumberFormat="1" applyFont="1" applyFill="1" applyBorder="1">
      <alignment vertical="center"/>
    </xf>
    <xf numFmtId="10" fontId="30" fillId="23" borderId="25" xfId="16" applyNumberFormat="1" applyFont="1" applyFill="1" applyBorder="1">
      <alignment vertical="center"/>
    </xf>
    <xf numFmtId="10" fontId="30" fillId="23" borderId="26" xfId="16" applyNumberFormat="1" applyFont="1" applyFill="1" applyBorder="1">
      <alignment vertical="center"/>
    </xf>
    <xf numFmtId="10" fontId="30" fillId="22" borderId="74" xfId="16" applyNumberFormat="1" applyFont="1" applyFill="1" applyBorder="1">
      <alignment vertical="center"/>
    </xf>
    <xf numFmtId="10" fontId="30" fillId="22" borderId="4" xfId="16" applyNumberFormat="1" applyFont="1" applyFill="1" applyBorder="1">
      <alignment vertical="center"/>
    </xf>
    <xf numFmtId="10" fontId="30" fillId="22" borderId="4" xfId="26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10" fontId="43" fillId="0" borderId="0" xfId="0" applyNumberFormat="1" applyFont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9" fillId="10" borderId="26" xfId="18" applyNumberFormat="1" applyFont="1" applyFill="1" applyBorder="1">
      <alignment vertical="center"/>
    </xf>
    <xf numFmtId="185" fontId="39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4" fillId="0" borderId="0" xfId="0" applyFont="1"/>
    <xf numFmtId="0" fontId="45" fillId="0" borderId="0" xfId="0" applyFont="1" applyAlignment="1">
      <alignment horizontal="center"/>
    </xf>
    <xf numFmtId="200" fontId="45" fillId="0" borderId="0" xfId="26" applyNumberFormat="1" applyFont="1" applyAlignment="1">
      <alignment horizontal="center"/>
    </xf>
    <xf numFmtId="0" fontId="46" fillId="24" borderId="0" xfId="16" applyFont="1" applyFill="1" applyAlignment="1">
      <alignment horizontal="center" vertical="center"/>
    </xf>
    <xf numFmtId="200" fontId="46" fillId="24" borderId="0" xfId="26" applyNumberFormat="1" applyFont="1" applyFill="1" applyBorder="1" applyAlignment="1">
      <alignment horizontal="center" vertical="center"/>
    </xf>
    <xf numFmtId="201" fontId="46" fillId="24" borderId="0" xfId="16" applyNumberFormat="1" applyFont="1" applyFill="1" applyAlignment="1">
      <alignment horizontal="center" vertical="center"/>
    </xf>
    <xf numFmtId="201" fontId="45" fillId="0" borderId="0" xfId="0" applyNumberFormat="1" applyFont="1" applyAlignment="1">
      <alignment horizontal="center"/>
    </xf>
    <xf numFmtId="200" fontId="47" fillId="0" borderId="89" xfId="26" applyNumberFormat="1" applyFont="1" applyBorder="1" applyAlignment="1">
      <alignment horizontal="center"/>
    </xf>
    <xf numFmtId="201" fontId="47" fillId="0" borderId="89" xfId="0" applyNumberFormat="1" applyFont="1" applyBorder="1" applyAlignment="1">
      <alignment horizontal="center"/>
    </xf>
    <xf numFmtId="200" fontId="46" fillId="24" borderId="90" xfId="26" applyNumberFormat="1" applyFont="1" applyFill="1" applyBorder="1" applyAlignment="1">
      <alignment horizontal="center" vertical="center"/>
    </xf>
    <xf numFmtId="200" fontId="46" fillId="24" borderId="91" xfId="26" applyNumberFormat="1" applyFont="1" applyFill="1" applyBorder="1" applyAlignment="1">
      <alignment horizontal="center" vertical="center"/>
    </xf>
    <xf numFmtId="200" fontId="46" fillId="24" borderId="92" xfId="26" applyNumberFormat="1" applyFont="1" applyFill="1" applyBorder="1" applyAlignment="1">
      <alignment horizontal="center" vertical="center"/>
    </xf>
    <xf numFmtId="200" fontId="46" fillId="24" borderId="93" xfId="26" applyNumberFormat="1" applyFont="1" applyFill="1" applyBorder="1" applyAlignment="1">
      <alignment horizontal="center" vertical="center"/>
    </xf>
    <xf numFmtId="200" fontId="47" fillId="0" borderId="94" xfId="26" applyNumberFormat="1" applyFont="1" applyBorder="1" applyAlignment="1">
      <alignment horizontal="center"/>
    </xf>
    <xf numFmtId="201" fontId="47" fillId="0" borderId="94" xfId="0" applyNumberFormat="1" applyFont="1" applyBorder="1" applyAlignment="1">
      <alignment horizontal="center"/>
    </xf>
    <xf numFmtId="200" fontId="46" fillId="24" borderId="95" xfId="26" applyNumberFormat="1" applyFont="1" applyFill="1" applyBorder="1" applyAlignment="1">
      <alignment horizontal="center" vertical="center"/>
    </xf>
    <xf numFmtId="0" fontId="47" fillId="0" borderId="96" xfId="0" applyFont="1" applyBorder="1" applyAlignment="1">
      <alignment horizontal="center"/>
    </xf>
    <xf numFmtId="0" fontId="47" fillId="0" borderId="97" xfId="0" applyFont="1" applyBorder="1" applyAlignment="1">
      <alignment horizontal="center"/>
    </xf>
    <xf numFmtId="0" fontId="48" fillId="26" borderId="41" xfId="18" applyFont="1" applyFill="1" applyBorder="1" applyAlignment="1">
      <alignment horizontal="center" vertical="center" wrapText="1"/>
    </xf>
    <xf numFmtId="193" fontId="48" fillId="27" borderId="40" xfId="18" applyNumberFormat="1" applyFont="1" applyFill="1" applyBorder="1" applyAlignment="1">
      <alignment horizontal="center" vertical="center" wrapText="1"/>
    </xf>
    <xf numFmtId="0" fontId="46" fillId="24" borderId="98" xfId="16" applyFont="1" applyFill="1" applyBorder="1" applyAlignment="1">
      <alignment horizontal="center" vertical="center"/>
    </xf>
    <xf numFmtId="0" fontId="47" fillId="0" borderId="89" xfId="26" applyNumberFormat="1" applyFont="1" applyBorder="1" applyAlignment="1">
      <alignment horizontal="center"/>
    </xf>
    <xf numFmtId="201" fontId="47" fillId="30" borderId="89" xfId="0" applyNumberFormat="1" applyFont="1" applyFill="1" applyBorder="1" applyAlignment="1">
      <alignment horizontal="center"/>
    </xf>
    <xf numFmtId="0" fontId="47" fillId="30" borderId="89" xfId="0" applyFont="1" applyFill="1" applyBorder="1" applyAlignment="1">
      <alignment horizontal="center"/>
    </xf>
    <xf numFmtId="0" fontId="47" fillId="0" borderId="89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9" fillId="31" borderId="0" xfId="0" applyFont="1" applyFill="1" applyAlignment="1">
      <alignment horizontal="center" vertical="center"/>
    </xf>
    <xf numFmtId="2" fontId="45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89" fontId="25" fillId="13" borderId="99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16" borderId="10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84" fontId="25" fillId="0" borderId="84" xfId="0" applyNumberFormat="1" applyFont="1" applyBorder="1" applyAlignment="1">
      <alignment horizontal="center" vertical="center"/>
    </xf>
    <xf numFmtId="192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86" fontId="25" fillId="0" borderId="83" xfId="0" applyNumberFormat="1" applyFont="1" applyBorder="1" applyAlignment="1">
      <alignment horizontal="center" vertical="center"/>
    </xf>
    <xf numFmtId="0" fontId="50" fillId="26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4" borderId="103" xfId="0" applyFont="1" applyFill="1" applyBorder="1" applyAlignment="1">
      <alignment horizontal="center" vertical="center"/>
    </xf>
    <xf numFmtId="191" fontId="25" fillId="4" borderId="104" xfId="0" applyNumberFormat="1" applyFont="1" applyFill="1" applyBorder="1" applyAlignment="1">
      <alignment horizontal="center" vertical="center"/>
    </xf>
    <xf numFmtId="0" fontId="25" fillId="4" borderId="105" xfId="0" applyFont="1" applyFill="1" applyBorder="1" applyAlignment="1">
      <alignment horizontal="center" vertical="center"/>
    </xf>
    <xf numFmtId="184" fontId="25" fillId="4" borderId="106" xfId="0" applyNumberFormat="1" applyFont="1" applyFill="1" applyBorder="1" applyAlignment="1">
      <alignment horizontal="center" vertical="center"/>
    </xf>
    <xf numFmtId="0" fontId="18" fillId="4" borderId="103" xfId="0" applyFont="1" applyFill="1" applyBorder="1" applyAlignment="1">
      <alignment horizontal="center" vertical="center"/>
    </xf>
    <xf numFmtId="191" fontId="18" fillId="4" borderId="104" xfId="0" applyNumberFormat="1" applyFont="1" applyFill="1" applyBorder="1" applyAlignment="1">
      <alignment horizontal="center" vertical="center"/>
    </xf>
    <xf numFmtId="0" fontId="15" fillId="3" borderId="27" xfId="18" applyFont="1" applyFill="1" applyBorder="1" applyAlignment="1">
      <alignment horizontal="center" vertical="center"/>
    </xf>
    <xf numFmtId="0" fontId="15" fillId="3" borderId="30" xfId="18" applyFont="1" applyFill="1" applyBorder="1" applyAlignment="1">
      <alignment horizontal="center" vertical="center"/>
    </xf>
    <xf numFmtId="0" fontId="19" fillId="3" borderId="30" xfId="18" applyFont="1" applyFill="1" applyBorder="1" applyAlignment="1">
      <alignment horizontal="center" vertical="center"/>
    </xf>
    <xf numFmtId="0" fontId="19" fillId="9" borderId="30" xfId="18" applyFont="1" applyFill="1" applyBorder="1" applyAlignment="1">
      <alignment horizontal="center" vertical="center"/>
    </xf>
    <xf numFmtId="0" fontId="15" fillId="13" borderId="30" xfId="18" applyFont="1" applyFill="1" applyBorder="1" applyAlignment="1">
      <alignment horizontal="center" vertical="center"/>
    </xf>
    <xf numFmtId="0" fontId="15" fillId="10" borderId="30" xfId="18" applyFont="1" applyFill="1" applyBorder="1" applyAlignment="1">
      <alignment horizontal="center" vertical="center"/>
    </xf>
    <xf numFmtId="0" fontId="15" fillId="3" borderId="39" xfId="18" applyFont="1" applyFill="1" applyBorder="1" applyAlignment="1">
      <alignment horizontal="center" vertical="center"/>
    </xf>
    <xf numFmtId="0" fontId="15" fillId="3" borderId="38" xfId="18" applyFont="1" applyFill="1" applyBorder="1" applyAlignment="1">
      <alignment horizontal="center" vertical="center"/>
    </xf>
    <xf numFmtId="0" fontId="15" fillId="10" borderId="35" xfId="18" applyFont="1" applyFill="1" applyBorder="1" applyAlignment="1">
      <alignment horizontal="center" vertical="center"/>
    </xf>
    <xf numFmtId="0" fontId="35" fillId="0" borderId="113" xfId="0" applyFont="1" applyBorder="1" applyAlignment="1">
      <alignment horizontal="center" vertical="center"/>
    </xf>
    <xf numFmtId="0" fontId="35" fillId="0" borderId="114" xfId="0" applyFont="1" applyBorder="1" applyAlignment="1">
      <alignment horizontal="center" vertical="center"/>
    </xf>
    <xf numFmtId="17" fontId="35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0" fontId="15" fillId="0" borderId="114" xfId="0" applyFont="1" applyBorder="1" applyAlignment="1">
      <alignment horizontal="center" vertical="center"/>
    </xf>
    <xf numFmtId="41" fontId="35" fillId="0" borderId="114" xfId="20" applyFont="1" applyBorder="1">
      <alignment vertical="center"/>
    </xf>
    <xf numFmtId="0" fontId="35" fillId="0" borderId="115" xfId="0" applyFont="1" applyBorder="1" applyAlignment="1">
      <alignment horizontal="center" vertical="center"/>
    </xf>
    <xf numFmtId="195" fontId="38" fillId="28" borderId="50" xfId="16" applyNumberFormat="1" applyFont="1" applyFill="1" applyBorder="1" applyAlignment="1">
      <alignment horizontal="center" vertical="center"/>
    </xf>
    <xf numFmtId="195" fontId="18" fillId="29" borderId="0" xfId="16" applyNumberFormat="1" applyFont="1" applyFill="1">
      <alignment vertical="center"/>
    </xf>
    <xf numFmtId="0" fontId="37" fillId="0" borderId="0" xfId="0" applyFont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09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 wrapText="1"/>
    </xf>
    <xf numFmtId="0" fontId="35" fillId="0" borderId="111" xfId="0" applyFont="1" applyBorder="1" applyAlignment="1">
      <alignment horizontal="center" vertical="center" wrapText="1"/>
    </xf>
    <xf numFmtId="41" fontId="35" fillId="0" borderId="108" xfId="20" applyFont="1" applyBorder="1" applyAlignment="1">
      <alignment horizontal="center" vertical="center" wrapText="1"/>
    </xf>
    <xf numFmtId="41" fontId="35" fillId="0" borderId="111" xfId="20" applyFont="1" applyBorder="1" applyAlignment="1">
      <alignment horizontal="center" vertical="center" wrapText="1"/>
    </xf>
    <xf numFmtId="0" fontId="36" fillId="13" borderId="108" xfId="21" applyFont="1" applyFill="1" applyBorder="1" applyAlignment="1">
      <alignment horizontal="center" vertical="center" wrapText="1"/>
    </xf>
    <xf numFmtId="0" fontId="36" fillId="13" borderId="111" xfId="21" applyFont="1" applyFill="1" applyBorder="1" applyAlignment="1">
      <alignment horizontal="center" vertical="center" wrapText="1"/>
    </xf>
    <xf numFmtId="0" fontId="35" fillId="0" borderId="107" xfId="0" applyFont="1" applyBorder="1" applyAlignment="1">
      <alignment horizontal="center" vertical="center"/>
    </xf>
    <xf numFmtId="0" fontId="35" fillId="0" borderId="110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8" fillId="6" borderId="54" xfId="16" applyFont="1" applyFill="1" applyBorder="1" applyAlignment="1">
      <alignment horizontal="center" vertical="center"/>
    </xf>
    <xf numFmtId="0" fontId="38" fillId="6" borderId="56" xfId="16" applyFont="1" applyFill="1" applyBorder="1" applyAlignment="1">
      <alignment horizontal="center" vertical="center"/>
    </xf>
    <xf numFmtId="0" fontId="40" fillId="20" borderId="40" xfId="18" applyFont="1" applyFill="1" applyBorder="1" applyAlignment="1">
      <alignment horizontal="center" vertical="center" wrapText="1"/>
    </xf>
    <xf numFmtId="0" fontId="40" fillId="20" borderId="36" xfId="18" applyFont="1" applyFill="1" applyBorder="1" applyAlignment="1">
      <alignment horizontal="center" vertical="center" wrapText="1"/>
    </xf>
    <xf numFmtId="0" fontId="25" fillId="16" borderId="54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34" fillId="17" borderId="54" xfId="25" applyBorder="1" applyAlignment="1">
      <alignment horizontal="center" vertical="center"/>
    </xf>
    <xf numFmtId="0" fontId="34" fillId="17" borderId="55" xfId="25" applyBorder="1" applyAlignment="1">
      <alignment horizontal="center" vertical="center"/>
    </xf>
    <xf numFmtId="0" fontId="34" fillId="17" borderId="56" xfId="25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38" fillId="24" borderId="70" xfId="16" applyFont="1" applyFill="1" applyBorder="1" applyAlignment="1">
      <alignment horizontal="center" vertical="center"/>
    </xf>
    <xf numFmtId="0" fontId="38" fillId="24" borderId="29" xfId="16" applyFont="1" applyFill="1" applyBorder="1" applyAlignment="1">
      <alignment horizontal="center" vertical="center"/>
    </xf>
    <xf numFmtId="10" fontId="38" fillId="24" borderId="9" xfId="16" applyNumberFormat="1" applyFont="1" applyFill="1" applyBorder="1">
      <alignment vertical="center"/>
    </xf>
    <xf numFmtId="10" fontId="38" fillId="24" borderId="10" xfId="16" applyNumberFormat="1" applyFont="1" applyFill="1" applyBorder="1">
      <alignment vertical="center"/>
    </xf>
    <xf numFmtId="0" fontId="38" fillId="25" borderId="70" xfId="16" applyFont="1" applyFill="1" applyBorder="1" applyAlignment="1">
      <alignment horizontal="center" vertical="center"/>
    </xf>
    <xf numFmtId="0" fontId="38" fillId="25" borderId="29" xfId="16" applyFont="1" applyFill="1" applyBorder="1" applyAlignment="1">
      <alignment horizontal="center" vertical="center"/>
    </xf>
    <xf numFmtId="10" fontId="38" fillId="25" borderId="9" xfId="16" applyNumberFormat="1" applyFont="1" applyFill="1" applyBorder="1">
      <alignment vertical="center"/>
    </xf>
    <xf numFmtId="10" fontId="38" fillId="25" borderId="10" xfId="16" applyNumberFormat="1" applyFont="1" applyFill="1" applyBorder="1">
      <alignment vertical="center"/>
    </xf>
    <xf numFmtId="0" fontId="38" fillId="21" borderId="70" xfId="16" applyFont="1" applyFill="1" applyBorder="1" applyAlignment="1">
      <alignment horizontal="center" vertical="center"/>
    </xf>
    <xf numFmtId="0" fontId="38" fillId="21" borderId="29" xfId="16" applyFont="1" applyFill="1" applyBorder="1" applyAlignment="1">
      <alignment horizontal="center" vertical="center"/>
    </xf>
    <xf numFmtId="10" fontId="38" fillId="21" borderId="9" xfId="16" applyNumberFormat="1" applyFont="1" applyFill="1" applyBorder="1">
      <alignment vertical="center"/>
    </xf>
    <xf numFmtId="10" fontId="38" fillId="21" borderId="10" xfId="16" applyNumberFormat="1" applyFont="1" applyFill="1" applyBorder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6" builtinId="5"/>
    <cellStyle name="보통" xfId="25" builtinId="28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0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201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1646.3</c:v>
                </c:pt>
                <c:pt idx="1">
                  <c:v>1403.8</c:v>
                </c:pt>
                <c:pt idx="2">
                  <c:v>808.9</c:v>
                </c:pt>
                <c:pt idx="3">
                  <c:v>792.1</c:v>
                </c:pt>
                <c:pt idx="4">
                  <c:v>991.7</c:v>
                </c:pt>
                <c:pt idx="5">
                  <c:v>1233.2</c:v>
                </c:pt>
                <c:pt idx="6">
                  <c:v>1284.0999999999999</c:v>
                </c:pt>
                <c:pt idx="7">
                  <c:v>891.3</c:v>
                </c:pt>
                <c:pt idx="8">
                  <c:v>1651.1</c:v>
                </c:pt>
                <c:pt idx="9">
                  <c:v>1186.5</c:v>
                </c:pt>
                <c:pt idx="10">
                  <c:v>1188.9000000000001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1454.9</c:v>
                </c:pt>
                <c:pt idx="1">
                  <c:v>1292.7</c:v>
                </c:pt>
                <c:pt idx="2">
                  <c:v>1055.8</c:v>
                </c:pt>
                <c:pt idx="3">
                  <c:v>1598.6</c:v>
                </c:pt>
                <c:pt idx="4">
                  <c:v>1256.5999999999999</c:v>
                </c:pt>
                <c:pt idx="5">
                  <c:v>1210.2</c:v>
                </c:pt>
                <c:pt idx="6">
                  <c:v>2349.1</c:v>
                </c:pt>
                <c:pt idx="7">
                  <c:v>1733.1</c:v>
                </c:pt>
                <c:pt idx="8">
                  <c:v>1186.8</c:v>
                </c:pt>
                <c:pt idx="9">
                  <c:v>1386</c:v>
                </c:pt>
                <c:pt idx="10">
                  <c:v>1388</c:v>
                </c:pt>
                <c:pt idx="11">
                  <c:v>2012</c:v>
                </c:pt>
                <c:pt idx="12">
                  <c:v>1499.1</c:v>
                </c:pt>
                <c:pt idx="13">
                  <c:v>1358.4</c:v>
                </c:pt>
                <c:pt idx="14">
                  <c:v>1681.9</c:v>
                </c:pt>
                <c:pt idx="15">
                  <c:v>1212.3</c:v>
                </c:pt>
                <c:pt idx="16">
                  <c:v>1356.3</c:v>
                </c:pt>
                <c:pt idx="17">
                  <c:v>1564</c:v>
                </c:pt>
                <c:pt idx="18">
                  <c:v>2043.5</c:v>
                </c:pt>
                <c:pt idx="19">
                  <c:v>2039.3</c:v>
                </c:pt>
                <c:pt idx="20">
                  <c:v>1646.3</c:v>
                </c:pt>
                <c:pt idx="21">
                  <c:v>1403.8</c:v>
                </c:pt>
                <c:pt idx="22">
                  <c:v>808.9</c:v>
                </c:pt>
                <c:pt idx="23">
                  <c:v>792.1</c:v>
                </c:pt>
                <c:pt idx="24">
                  <c:v>991.7</c:v>
                </c:pt>
                <c:pt idx="25">
                  <c:v>1233.2</c:v>
                </c:pt>
                <c:pt idx="26">
                  <c:v>1284.0999999999999</c:v>
                </c:pt>
                <c:pt idx="27">
                  <c:v>891.3</c:v>
                </c:pt>
                <c:pt idx="28">
                  <c:v>1651.1</c:v>
                </c:pt>
                <c:pt idx="29">
                  <c:v>1186.5</c:v>
                </c:pt>
                <c:pt idx="30">
                  <c:v>1418.9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15.7</c:v>
                </c:pt>
                <c:pt idx="1">
                  <c:v>28.6</c:v>
                </c:pt>
                <c:pt idx="2">
                  <c:v>34.299999999999997</c:v>
                </c:pt>
                <c:pt idx="3">
                  <c:v>79.7</c:v>
                </c:pt>
                <c:pt idx="4">
                  <c:v>96.4</c:v>
                </c:pt>
                <c:pt idx="5">
                  <c:v>92.8</c:v>
                </c:pt>
                <c:pt idx="6">
                  <c:v>335.7</c:v>
                </c:pt>
                <c:pt idx="7">
                  <c:v>250.3</c:v>
                </c:pt>
                <c:pt idx="8">
                  <c:v>105.3</c:v>
                </c:pt>
                <c:pt idx="9">
                  <c:v>58.1</c:v>
                </c:pt>
                <c:pt idx="10">
                  <c:v>65.900000000000006</c:v>
                </c:pt>
                <c:pt idx="11">
                  <c:v>26.1</c:v>
                </c:pt>
                <c:pt idx="12">
                  <c:v>99.1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5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390525</xdr:rowOff>
        </xdr:from>
        <xdr:to>
          <xdr:col>3</xdr:col>
          <xdr:colOff>1038225</xdr:colOff>
          <xdr:row>0</xdr:row>
          <xdr:rowOff>704850</xdr:rowOff>
        </xdr:to>
        <xdr:sp macro="" textlink="">
          <xdr:nvSpPr>
            <xdr:cNvPr id="99331" name="CommandButton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5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390525</xdr:rowOff>
        </xdr:from>
        <xdr:to>
          <xdr:col>16</xdr:col>
          <xdr:colOff>1295400</xdr:colOff>
          <xdr:row>0</xdr:row>
          <xdr:rowOff>704850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381000</xdr:rowOff>
        </xdr:from>
        <xdr:to>
          <xdr:col>17</xdr:col>
          <xdr:colOff>1219200</xdr:colOff>
          <xdr:row>0</xdr:row>
          <xdr:rowOff>695325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390525</xdr:rowOff>
        </xdr:from>
        <xdr:to>
          <xdr:col>3</xdr:col>
          <xdr:colOff>1676400</xdr:colOff>
          <xdr:row>0</xdr:row>
          <xdr:rowOff>704850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180975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0</xdr:rowOff>
        </xdr:from>
        <xdr:to>
          <xdr:col>2</xdr:col>
          <xdr:colOff>219075</xdr:colOff>
          <xdr:row>2</xdr:row>
          <xdr:rowOff>142875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209550</xdr:rowOff>
        </xdr:from>
        <xdr:to>
          <xdr:col>2</xdr:col>
          <xdr:colOff>219075</xdr:colOff>
          <xdr:row>4</xdr:row>
          <xdr:rowOff>104775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171450</xdr:rowOff>
        </xdr:from>
        <xdr:to>
          <xdr:col>2</xdr:col>
          <xdr:colOff>219075</xdr:colOff>
          <xdr:row>6</xdr:row>
          <xdr:rowOff>66675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8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1257300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8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8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8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8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8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8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8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9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9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A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A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B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B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B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가채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386" t="s">
        <v>250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</row>
    <row r="3" spans="2:23" ht="17.25" thickBot="1">
      <c r="I3"/>
      <c r="J3"/>
      <c r="K3"/>
    </row>
    <row r="4" spans="2:23" s="79" customFormat="1" ht="22.5" customHeight="1">
      <c r="B4" s="261" t="s">
        <v>42</v>
      </c>
      <c r="C4" s="263" t="s">
        <v>43</v>
      </c>
      <c r="D4" s="263" t="s">
        <v>32</v>
      </c>
      <c r="E4" s="263" t="s">
        <v>33</v>
      </c>
      <c r="F4" s="263" t="s">
        <v>34</v>
      </c>
      <c r="G4" s="263" t="s">
        <v>35</v>
      </c>
      <c r="H4" s="263" t="s">
        <v>12</v>
      </c>
      <c r="I4" s="263" t="s">
        <v>13</v>
      </c>
      <c r="J4" s="263" t="s">
        <v>14</v>
      </c>
      <c r="K4" s="263" t="s">
        <v>15</v>
      </c>
      <c r="L4" s="263" t="s">
        <v>16</v>
      </c>
      <c r="M4" s="263" t="s">
        <v>17</v>
      </c>
      <c r="N4" s="264" t="s">
        <v>18</v>
      </c>
      <c r="O4" s="339" t="s">
        <v>45</v>
      </c>
      <c r="P4" s="264" t="s">
        <v>46</v>
      </c>
    </row>
    <row r="5" spans="2:23" ht="22.5" customHeight="1">
      <c r="B5" s="265">
        <v>1992</v>
      </c>
      <c r="C5" s="266">
        <v>13.6</v>
      </c>
      <c r="D5" s="266">
        <v>46.6</v>
      </c>
      <c r="E5" s="266">
        <v>11.2</v>
      </c>
      <c r="F5" s="266">
        <v>76.5</v>
      </c>
      <c r="G5" s="266">
        <v>155.5</v>
      </c>
      <c r="H5" s="266">
        <v>99.6</v>
      </c>
      <c r="I5" s="266">
        <v>270.10000000000002</v>
      </c>
      <c r="J5" s="266">
        <v>418.8</v>
      </c>
      <c r="K5" s="266">
        <v>168.5</v>
      </c>
      <c r="L5" s="266">
        <v>33.6</v>
      </c>
      <c r="M5" s="266">
        <v>89.5</v>
      </c>
      <c r="N5" s="267">
        <v>71.400000000000006</v>
      </c>
      <c r="O5" s="340">
        <f>ROUND(SUM(C5:N5),1)</f>
        <v>1454.9</v>
      </c>
      <c r="P5" s="268">
        <f>ROUND(O5/12,1)</f>
        <v>121.2</v>
      </c>
      <c r="Q5" s="80"/>
      <c r="R5" s="255"/>
      <c r="S5" s="254"/>
      <c r="T5" s="255"/>
      <c r="U5" s="254"/>
      <c r="V5" s="255"/>
      <c r="W5" s="254"/>
    </row>
    <row r="6" spans="2:23" ht="22.5" customHeight="1">
      <c r="B6" s="269">
        <v>1993</v>
      </c>
      <c r="C6" s="262">
        <v>2.2000000000000002</v>
      </c>
      <c r="D6" s="262">
        <v>69.5</v>
      </c>
      <c r="E6" s="262">
        <v>29.2</v>
      </c>
      <c r="F6" s="262">
        <v>85.5</v>
      </c>
      <c r="G6" s="262">
        <v>135.69999999999999</v>
      </c>
      <c r="H6" s="262">
        <v>198.2</v>
      </c>
      <c r="I6" s="262">
        <v>424.4</v>
      </c>
      <c r="J6" s="262">
        <v>197.8</v>
      </c>
      <c r="K6" s="262">
        <v>56.1</v>
      </c>
      <c r="L6" s="262">
        <v>15.4</v>
      </c>
      <c r="M6" s="262">
        <v>66.599999999999994</v>
      </c>
      <c r="N6" s="270">
        <v>12.1</v>
      </c>
      <c r="O6" s="341">
        <f t="shared" ref="O6:O34" si="0">ROUND(SUM(C6:N6),1)</f>
        <v>1292.7</v>
      </c>
      <c r="P6" s="271">
        <f t="shared" ref="P6:P34" si="1">ROUND(O6/12,1)</f>
        <v>107.7</v>
      </c>
      <c r="Q6" s="80"/>
      <c r="R6" s="255"/>
      <c r="S6" s="254"/>
      <c r="T6" s="255"/>
      <c r="U6" s="254"/>
      <c r="V6" s="255"/>
      <c r="W6" s="254"/>
    </row>
    <row r="7" spans="2:23" ht="22.5" customHeight="1">
      <c r="B7" s="269">
        <v>1994</v>
      </c>
      <c r="C7" s="262">
        <v>6.5</v>
      </c>
      <c r="D7" s="262">
        <v>14.8</v>
      </c>
      <c r="E7" s="262">
        <v>31.7</v>
      </c>
      <c r="F7" s="262">
        <v>44.9</v>
      </c>
      <c r="G7" s="262">
        <v>152.4</v>
      </c>
      <c r="H7" s="262">
        <v>85</v>
      </c>
      <c r="I7" s="262">
        <v>139.5</v>
      </c>
      <c r="J7" s="262">
        <v>232.7</v>
      </c>
      <c r="K7" s="262">
        <v>60.7</v>
      </c>
      <c r="L7" s="262">
        <v>214.5</v>
      </c>
      <c r="M7" s="262">
        <v>49.6</v>
      </c>
      <c r="N7" s="270">
        <v>23.5</v>
      </c>
      <c r="O7" s="341">
        <f t="shared" si="0"/>
        <v>1055.8</v>
      </c>
      <c r="P7" s="271">
        <f t="shared" si="1"/>
        <v>88</v>
      </c>
      <c r="Q7" s="80"/>
      <c r="R7" s="255"/>
      <c r="S7" s="254"/>
      <c r="T7" s="255"/>
      <c r="U7" s="254"/>
      <c r="V7" s="255"/>
      <c r="W7" s="254"/>
    </row>
    <row r="8" spans="2:23" ht="22.5" customHeight="1">
      <c r="B8" s="269">
        <v>1995</v>
      </c>
      <c r="C8" s="262">
        <v>11.6</v>
      </c>
      <c r="D8" s="262">
        <v>5.2</v>
      </c>
      <c r="E8" s="262">
        <v>60.6</v>
      </c>
      <c r="F8" s="262">
        <v>44.4</v>
      </c>
      <c r="G8" s="262">
        <v>60.6</v>
      </c>
      <c r="H8" s="262">
        <v>70.7</v>
      </c>
      <c r="I8" s="262">
        <v>436.1</v>
      </c>
      <c r="J8" s="262">
        <v>786.6</v>
      </c>
      <c r="K8" s="262">
        <v>47.2</v>
      </c>
      <c r="L8" s="262">
        <v>39.299999999999997</v>
      </c>
      <c r="M8" s="262">
        <v>32.9</v>
      </c>
      <c r="N8" s="270">
        <v>3.4</v>
      </c>
      <c r="O8" s="341">
        <f t="shared" si="0"/>
        <v>1598.6</v>
      </c>
      <c r="P8" s="271">
        <f t="shared" si="1"/>
        <v>133.19999999999999</v>
      </c>
      <c r="Q8" s="80"/>
      <c r="R8" s="255"/>
      <c r="S8" s="254"/>
      <c r="T8" s="255"/>
      <c r="U8" s="254"/>
      <c r="V8" s="255"/>
      <c r="W8" s="254"/>
    </row>
    <row r="9" spans="2:23" ht="22.5" customHeight="1">
      <c r="B9" s="269">
        <v>1996</v>
      </c>
      <c r="C9" s="262">
        <v>16.3</v>
      </c>
      <c r="D9" s="262">
        <v>1</v>
      </c>
      <c r="E9" s="262">
        <v>77.900000000000006</v>
      </c>
      <c r="F9" s="262">
        <v>62</v>
      </c>
      <c r="G9" s="262">
        <v>29.3</v>
      </c>
      <c r="H9" s="262">
        <v>249.7</v>
      </c>
      <c r="I9" s="262">
        <v>512.79999999999995</v>
      </c>
      <c r="J9" s="262">
        <v>132.4</v>
      </c>
      <c r="K9" s="262">
        <v>11</v>
      </c>
      <c r="L9" s="262">
        <v>90.3</v>
      </c>
      <c r="M9" s="262">
        <v>62.9</v>
      </c>
      <c r="N9" s="270">
        <v>11</v>
      </c>
      <c r="O9" s="341">
        <f t="shared" si="0"/>
        <v>1256.5999999999999</v>
      </c>
      <c r="P9" s="271">
        <f t="shared" si="1"/>
        <v>104.7</v>
      </c>
      <c r="Q9" s="80"/>
      <c r="R9" s="255"/>
      <c r="S9" s="254"/>
      <c r="T9" s="255"/>
      <c r="U9" s="254"/>
      <c r="V9" s="255"/>
      <c r="W9" s="254"/>
    </row>
    <row r="10" spans="2:23" ht="22.5" customHeight="1">
      <c r="B10" s="269">
        <v>1997</v>
      </c>
      <c r="C10" s="262">
        <v>16.8</v>
      </c>
      <c r="D10" s="262">
        <v>39.6</v>
      </c>
      <c r="E10" s="262">
        <v>25.3</v>
      </c>
      <c r="F10" s="262">
        <v>56.1</v>
      </c>
      <c r="G10" s="262">
        <v>291.3</v>
      </c>
      <c r="H10" s="262">
        <v>110</v>
      </c>
      <c r="I10" s="262">
        <v>299.60000000000002</v>
      </c>
      <c r="J10" s="262">
        <v>117.2</v>
      </c>
      <c r="K10" s="262">
        <v>76.900000000000006</v>
      </c>
      <c r="L10" s="262">
        <v>45.5</v>
      </c>
      <c r="M10" s="262">
        <v>93.8</v>
      </c>
      <c r="N10" s="270">
        <v>38.1</v>
      </c>
      <c r="O10" s="341">
        <f t="shared" si="0"/>
        <v>1210.2</v>
      </c>
      <c r="P10" s="271">
        <f t="shared" si="1"/>
        <v>100.9</v>
      </c>
      <c r="Q10" s="80"/>
      <c r="R10" s="255"/>
      <c r="S10" s="254"/>
      <c r="T10" s="255"/>
      <c r="U10" s="254"/>
      <c r="V10" s="255"/>
      <c r="W10" s="254"/>
    </row>
    <row r="11" spans="2:23" ht="22.5" customHeight="1">
      <c r="B11" s="269">
        <v>1998</v>
      </c>
      <c r="C11" s="262">
        <v>10.4</v>
      </c>
      <c r="D11" s="262">
        <v>32.299999999999997</v>
      </c>
      <c r="E11" s="262">
        <v>45.1</v>
      </c>
      <c r="F11" s="262">
        <v>120.2</v>
      </c>
      <c r="G11" s="262">
        <v>121.5</v>
      </c>
      <c r="H11" s="262">
        <v>234.1</v>
      </c>
      <c r="I11" s="262">
        <v>311.8</v>
      </c>
      <c r="J11" s="262">
        <v>1237.8</v>
      </c>
      <c r="K11" s="262">
        <v>177.9</v>
      </c>
      <c r="L11" s="262">
        <v>27.4</v>
      </c>
      <c r="M11" s="262">
        <v>26.9</v>
      </c>
      <c r="N11" s="270">
        <v>3.7</v>
      </c>
      <c r="O11" s="341">
        <f t="shared" si="0"/>
        <v>2349.1</v>
      </c>
      <c r="P11" s="271">
        <f t="shared" si="1"/>
        <v>195.8</v>
      </c>
      <c r="R11" s="255"/>
      <c r="S11" s="254"/>
      <c r="T11" s="255"/>
      <c r="U11" s="254"/>
      <c r="V11" s="255"/>
      <c r="W11" s="254"/>
    </row>
    <row r="12" spans="2:23" ht="22.5" customHeight="1">
      <c r="B12" s="269">
        <v>1999</v>
      </c>
      <c r="C12" s="262">
        <v>10.199999999999999</v>
      </c>
      <c r="D12" s="262">
        <v>2.9</v>
      </c>
      <c r="E12" s="262">
        <v>55</v>
      </c>
      <c r="F12" s="262">
        <v>97.2</v>
      </c>
      <c r="G12" s="262">
        <v>109.7</v>
      </c>
      <c r="H12" s="262">
        <v>131.80000000000001</v>
      </c>
      <c r="I12" s="262">
        <v>230.4</v>
      </c>
      <c r="J12" s="262">
        <v>600.5</v>
      </c>
      <c r="K12" s="262">
        <v>377.3</v>
      </c>
      <c r="L12" s="262">
        <v>81.599999999999994</v>
      </c>
      <c r="M12" s="262">
        <v>19.5</v>
      </c>
      <c r="N12" s="270">
        <v>17</v>
      </c>
      <c r="O12" s="341">
        <f t="shared" si="0"/>
        <v>1733.1</v>
      </c>
      <c r="P12" s="271">
        <f t="shared" si="1"/>
        <v>144.4</v>
      </c>
      <c r="R12" s="255"/>
      <c r="S12" s="254"/>
      <c r="T12" s="255"/>
      <c r="U12" s="254"/>
      <c r="V12" s="255"/>
      <c r="W12" s="254"/>
    </row>
    <row r="13" spans="2:23" ht="22.5" customHeight="1">
      <c r="B13" s="269">
        <v>2000</v>
      </c>
      <c r="C13" s="262">
        <v>42.8</v>
      </c>
      <c r="D13" s="262">
        <v>2.1</v>
      </c>
      <c r="E13" s="262">
        <v>3.1</v>
      </c>
      <c r="F13" s="262">
        <v>30.7</v>
      </c>
      <c r="G13" s="262">
        <v>75.2</v>
      </c>
      <c r="H13" s="262">
        <v>68.099999999999994</v>
      </c>
      <c r="I13" s="262">
        <v>114.7</v>
      </c>
      <c r="J13" s="262">
        <v>599.4</v>
      </c>
      <c r="K13" s="262">
        <v>178.5</v>
      </c>
      <c r="L13" s="262">
        <v>18.100000000000001</v>
      </c>
      <c r="M13" s="262">
        <v>27.1</v>
      </c>
      <c r="N13" s="270">
        <v>27</v>
      </c>
      <c r="O13" s="341">
        <f t="shared" si="0"/>
        <v>1186.8</v>
      </c>
      <c r="P13" s="271">
        <f t="shared" si="1"/>
        <v>98.9</v>
      </c>
      <c r="R13" s="255"/>
      <c r="S13" s="254"/>
      <c r="T13" s="255"/>
      <c r="U13" s="254"/>
      <c r="V13" s="255"/>
      <c r="W13" s="254"/>
    </row>
    <row r="14" spans="2:23" ht="22.5" customHeight="1">
      <c r="B14" s="269">
        <v>2001</v>
      </c>
      <c r="C14" s="262">
        <v>39.4</v>
      </c>
      <c r="D14" s="262">
        <v>45.7</v>
      </c>
      <c r="E14" s="262">
        <v>18.100000000000001</v>
      </c>
      <c r="F14" s="262">
        <v>12.3</v>
      </c>
      <c r="G14" s="262">
        <v>16.5</v>
      </c>
      <c r="H14" s="262">
        <v>157.4</v>
      </c>
      <c r="I14" s="262">
        <v>698.4</v>
      </c>
      <c r="J14" s="262">
        <v>252</v>
      </c>
      <c r="K14" s="262">
        <v>49.3</v>
      </c>
      <c r="L14" s="262">
        <v>68.2</v>
      </c>
      <c r="M14" s="262">
        <v>13</v>
      </c>
      <c r="N14" s="270">
        <v>15.7</v>
      </c>
      <c r="O14" s="341">
        <f t="shared" si="0"/>
        <v>1386</v>
      </c>
      <c r="P14" s="271">
        <f t="shared" si="1"/>
        <v>115.5</v>
      </c>
      <c r="R14" s="255"/>
      <c r="S14" s="254"/>
      <c r="T14" s="255"/>
      <c r="U14" s="254"/>
      <c r="V14" s="255"/>
      <c r="W14" s="254"/>
    </row>
    <row r="15" spans="2:23" ht="22.5" customHeight="1">
      <c r="B15" s="269">
        <v>2002</v>
      </c>
      <c r="C15" s="262">
        <v>37.4</v>
      </c>
      <c r="D15" s="262">
        <v>2.4</v>
      </c>
      <c r="E15" s="262">
        <v>31.5</v>
      </c>
      <c r="F15" s="262">
        <v>155.1</v>
      </c>
      <c r="G15" s="262">
        <v>58</v>
      </c>
      <c r="H15" s="262">
        <v>61.4</v>
      </c>
      <c r="I15" s="262">
        <v>220.6</v>
      </c>
      <c r="J15" s="262">
        <v>688</v>
      </c>
      <c r="K15" s="262">
        <v>61.1</v>
      </c>
      <c r="L15" s="262">
        <v>45</v>
      </c>
      <c r="M15" s="262">
        <v>12.5</v>
      </c>
      <c r="N15" s="270">
        <v>15</v>
      </c>
      <c r="O15" s="341">
        <f t="shared" si="0"/>
        <v>1388</v>
      </c>
      <c r="P15" s="271">
        <f t="shared" si="1"/>
        <v>115.7</v>
      </c>
    </row>
    <row r="16" spans="2:23" ht="22.5" customHeight="1">
      <c r="B16" s="269">
        <v>2003</v>
      </c>
      <c r="C16" s="262">
        <v>14.1</v>
      </c>
      <c r="D16" s="262">
        <v>39.6</v>
      </c>
      <c r="E16" s="262">
        <v>26.8</v>
      </c>
      <c r="F16" s="262">
        <v>139.6</v>
      </c>
      <c r="G16" s="262">
        <v>106</v>
      </c>
      <c r="H16" s="262">
        <v>156</v>
      </c>
      <c r="I16" s="262">
        <v>469.8</v>
      </c>
      <c r="J16" s="262">
        <v>684.2</v>
      </c>
      <c r="K16" s="262">
        <v>258.2</v>
      </c>
      <c r="L16" s="262">
        <v>41.5</v>
      </c>
      <c r="M16" s="262">
        <v>69.3</v>
      </c>
      <c r="N16" s="270">
        <v>6.9</v>
      </c>
      <c r="O16" s="341">
        <f t="shared" si="0"/>
        <v>2012</v>
      </c>
      <c r="P16" s="271">
        <f t="shared" si="1"/>
        <v>167.7</v>
      </c>
    </row>
    <row r="17" spans="2:16" ht="22.5" customHeight="1">
      <c r="B17" s="269">
        <v>2004</v>
      </c>
      <c r="C17" s="262">
        <v>19.8</v>
      </c>
      <c r="D17" s="262">
        <v>54.6</v>
      </c>
      <c r="E17" s="262">
        <v>27.6</v>
      </c>
      <c r="F17" s="262">
        <v>74.099999999999994</v>
      </c>
      <c r="G17" s="262">
        <v>168.5</v>
      </c>
      <c r="H17" s="262">
        <v>138.1</v>
      </c>
      <c r="I17" s="262">
        <v>510.7</v>
      </c>
      <c r="J17" s="262">
        <v>193.3</v>
      </c>
      <c r="K17" s="262">
        <v>198.7</v>
      </c>
      <c r="L17" s="262">
        <v>6.5</v>
      </c>
      <c r="M17" s="262">
        <v>80</v>
      </c>
      <c r="N17" s="270">
        <v>27.2</v>
      </c>
      <c r="O17" s="341">
        <f t="shared" si="0"/>
        <v>1499.1</v>
      </c>
      <c r="P17" s="271">
        <f t="shared" si="1"/>
        <v>124.9</v>
      </c>
    </row>
    <row r="18" spans="2:16" ht="22.5" customHeight="1">
      <c r="B18" s="269">
        <v>2005</v>
      </c>
      <c r="C18" s="262">
        <v>4.5</v>
      </c>
      <c r="D18" s="262">
        <v>17.2</v>
      </c>
      <c r="E18" s="262">
        <v>12.5</v>
      </c>
      <c r="F18" s="262">
        <v>94.7</v>
      </c>
      <c r="G18" s="262">
        <v>85.8</v>
      </c>
      <c r="H18" s="262">
        <v>168.5</v>
      </c>
      <c r="I18" s="262">
        <v>269.39999999999998</v>
      </c>
      <c r="J18" s="262">
        <v>285</v>
      </c>
      <c r="K18" s="262">
        <v>313.3</v>
      </c>
      <c r="L18" s="262">
        <v>52.6</v>
      </c>
      <c r="M18" s="262">
        <v>44.6</v>
      </c>
      <c r="N18" s="270">
        <v>10.3</v>
      </c>
      <c r="O18" s="341">
        <f t="shared" si="0"/>
        <v>1358.4</v>
      </c>
      <c r="P18" s="271">
        <f t="shared" si="1"/>
        <v>113.2</v>
      </c>
    </row>
    <row r="19" spans="2:16" ht="22.5" customHeight="1">
      <c r="B19" s="269">
        <v>2006</v>
      </c>
      <c r="C19" s="262">
        <v>34.299999999999997</v>
      </c>
      <c r="D19" s="262">
        <v>15.7</v>
      </c>
      <c r="E19" s="262">
        <v>14</v>
      </c>
      <c r="F19" s="262">
        <v>51.8</v>
      </c>
      <c r="G19" s="262">
        <v>156.19999999999999</v>
      </c>
      <c r="H19" s="262">
        <v>168.5</v>
      </c>
      <c r="I19" s="262">
        <v>1014</v>
      </c>
      <c r="J19" s="262">
        <v>121.2</v>
      </c>
      <c r="K19" s="262">
        <v>11.1</v>
      </c>
      <c r="L19" s="262">
        <v>30.2</v>
      </c>
      <c r="M19" s="262">
        <v>47.6</v>
      </c>
      <c r="N19" s="270">
        <v>17.3</v>
      </c>
      <c r="O19" s="341">
        <f t="shared" si="0"/>
        <v>1681.9</v>
      </c>
      <c r="P19" s="271">
        <f t="shared" si="1"/>
        <v>140.19999999999999</v>
      </c>
    </row>
    <row r="20" spans="2:16" ht="22.5" customHeight="1">
      <c r="B20" s="269">
        <v>2007</v>
      </c>
      <c r="C20" s="262">
        <v>10.8</v>
      </c>
      <c r="D20" s="262">
        <v>12.6</v>
      </c>
      <c r="E20" s="262">
        <v>123.5</v>
      </c>
      <c r="F20" s="262">
        <v>41.1</v>
      </c>
      <c r="G20" s="262">
        <v>137.6</v>
      </c>
      <c r="H20" s="262">
        <v>54.5</v>
      </c>
      <c r="I20" s="262">
        <v>274.10000000000002</v>
      </c>
      <c r="J20" s="262">
        <v>237.6</v>
      </c>
      <c r="K20" s="262">
        <v>241.9</v>
      </c>
      <c r="L20" s="262">
        <v>39.5</v>
      </c>
      <c r="M20" s="262">
        <v>26.4</v>
      </c>
      <c r="N20" s="270">
        <v>12.7</v>
      </c>
      <c r="O20" s="341">
        <f t="shared" si="0"/>
        <v>1212.3</v>
      </c>
      <c r="P20" s="271">
        <f t="shared" si="1"/>
        <v>101</v>
      </c>
    </row>
    <row r="21" spans="2:16" ht="22.5" customHeight="1">
      <c r="B21" s="269">
        <v>2008</v>
      </c>
      <c r="C21" s="262">
        <v>17.7</v>
      </c>
      <c r="D21" s="262">
        <v>15</v>
      </c>
      <c r="E21" s="262">
        <v>53.9</v>
      </c>
      <c r="F21" s="262">
        <v>38.5</v>
      </c>
      <c r="G21" s="262">
        <v>97.7</v>
      </c>
      <c r="H21" s="262">
        <v>165</v>
      </c>
      <c r="I21" s="262">
        <v>530.79999999999995</v>
      </c>
      <c r="J21" s="262">
        <v>251.2</v>
      </c>
      <c r="K21" s="262">
        <v>99.2</v>
      </c>
      <c r="L21" s="262">
        <v>41.8</v>
      </c>
      <c r="M21" s="262">
        <v>19.600000000000001</v>
      </c>
      <c r="N21" s="270">
        <v>25.9</v>
      </c>
      <c r="O21" s="341">
        <f t="shared" si="0"/>
        <v>1356.3</v>
      </c>
      <c r="P21" s="271">
        <f t="shared" si="1"/>
        <v>113</v>
      </c>
    </row>
    <row r="22" spans="2:16" ht="22.5" customHeight="1">
      <c r="B22" s="269">
        <v>2009</v>
      </c>
      <c r="C22" s="262">
        <v>5.7</v>
      </c>
      <c r="D22" s="262">
        <v>36.9</v>
      </c>
      <c r="E22" s="262">
        <v>63.9</v>
      </c>
      <c r="F22" s="262">
        <v>66.5</v>
      </c>
      <c r="G22" s="262">
        <v>109</v>
      </c>
      <c r="H22" s="262">
        <v>132</v>
      </c>
      <c r="I22" s="262">
        <v>659.4</v>
      </c>
      <c r="J22" s="262">
        <v>285.3</v>
      </c>
      <c r="K22" s="262">
        <v>64.5</v>
      </c>
      <c r="L22" s="262">
        <v>66.900000000000006</v>
      </c>
      <c r="M22" s="262">
        <v>52.4</v>
      </c>
      <c r="N22" s="270">
        <v>21.5</v>
      </c>
      <c r="O22" s="341">
        <f t="shared" si="0"/>
        <v>1564</v>
      </c>
      <c r="P22" s="271">
        <f t="shared" si="1"/>
        <v>130.30000000000001</v>
      </c>
    </row>
    <row r="23" spans="2:16" ht="22.5" customHeight="1">
      <c r="B23" s="269">
        <v>2010</v>
      </c>
      <c r="C23" s="262">
        <v>29.3</v>
      </c>
      <c r="D23" s="262">
        <v>55.3</v>
      </c>
      <c r="E23" s="262">
        <v>82.5</v>
      </c>
      <c r="F23" s="262">
        <v>62.8</v>
      </c>
      <c r="G23" s="262">
        <v>124</v>
      </c>
      <c r="H23" s="262">
        <v>127.6</v>
      </c>
      <c r="I23" s="262">
        <v>239.2</v>
      </c>
      <c r="J23" s="262">
        <v>598.70000000000005</v>
      </c>
      <c r="K23" s="262">
        <v>671.5</v>
      </c>
      <c r="L23" s="262">
        <v>25.6</v>
      </c>
      <c r="M23" s="262">
        <v>10.9</v>
      </c>
      <c r="N23" s="270">
        <v>16.100000000000001</v>
      </c>
      <c r="O23" s="341">
        <f t="shared" si="0"/>
        <v>2043.5</v>
      </c>
      <c r="P23" s="271">
        <f t="shared" si="1"/>
        <v>170.3</v>
      </c>
    </row>
    <row r="24" spans="2:16" ht="22.5" customHeight="1">
      <c r="B24" s="269">
        <v>2011</v>
      </c>
      <c r="C24" s="262">
        <v>8.9</v>
      </c>
      <c r="D24" s="262">
        <v>29.1</v>
      </c>
      <c r="E24" s="262">
        <v>14.6</v>
      </c>
      <c r="F24" s="262">
        <v>110.1</v>
      </c>
      <c r="G24" s="262">
        <v>53.4</v>
      </c>
      <c r="H24" s="262">
        <v>404.5</v>
      </c>
      <c r="I24" s="262">
        <v>1131</v>
      </c>
      <c r="J24" s="262">
        <v>166.8</v>
      </c>
      <c r="K24" s="262">
        <v>25.6</v>
      </c>
      <c r="L24" s="262">
        <v>32</v>
      </c>
      <c r="M24" s="262">
        <v>56.2</v>
      </c>
      <c r="N24" s="270">
        <v>7.1</v>
      </c>
      <c r="O24" s="341">
        <f t="shared" si="0"/>
        <v>2039.3</v>
      </c>
      <c r="P24" s="271">
        <f t="shared" si="1"/>
        <v>169.9</v>
      </c>
    </row>
    <row r="25" spans="2:16" ht="22.5" customHeight="1">
      <c r="B25" s="269">
        <v>2012</v>
      </c>
      <c r="C25" s="262">
        <v>6.7</v>
      </c>
      <c r="D25" s="262">
        <v>0.8</v>
      </c>
      <c r="E25" s="262">
        <v>47.4</v>
      </c>
      <c r="F25" s="262">
        <v>157</v>
      </c>
      <c r="G25" s="262">
        <v>8.1999999999999993</v>
      </c>
      <c r="H25" s="262">
        <v>91.9</v>
      </c>
      <c r="I25" s="262">
        <v>448.9</v>
      </c>
      <c r="J25" s="262">
        <v>464.9</v>
      </c>
      <c r="K25" s="262">
        <v>212</v>
      </c>
      <c r="L25" s="262">
        <v>99.3</v>
      </c>
      <c r="M25" s="262">
        <v>67.8</v>
      </c>
      <c r="N25" s="270">
        <v>41.4</v>
      </c>
      <c r="O25" s="341">
        <f t="shared" si="0"/>
        <v>1646.3</v>
      </c>
      <c r="P25" s="271">
        <f t="shared" si="1"/>
        <v>137.19999999999999</v>
      </c>
    </row>
    <row r="26" spans="2:16" ht="22.5" customHeight="1">
      <c r="B26" s="269">
        <v>2013</v>
      </c>
      <c r="C26" s="262">
        <v>22.1</v>
      </c>
      <c r="D26" s="262">
        <v>74.099999999999994</v>
      </c>
      <c r="E26" s="262">
        <v>27.3</v>
      </c>
      <c r="F26" s="262">
        <v>71.7</v>
      </c>
      <c r="G26" s="262">
        <v>132</v>
      </c>
      <c r="H26" s="262">
        <v>28.3</v>
      </c>
      <c r="I26" s="262">
        <v>676.2</v>
      </c>
      <c r="J26" s="262">
        <v>148.6</v>
      </c>
      <c r="K26" s="262">
        <v>138.5</v>
      </c>
      <c r="L26" s="262">
        <v>13.5</v>
      </c>
      <c r="M26" s="262">
        <v>46.8</v>
      </c>
      <c r="N26" s="270">
        <v>24.7</v>
      </c>
      <c r="O26" s="341">
        <f t="shared" si="0"/>
        <v>1403.8</v>
      </c>
      <c r="P26" s="271">
        <f t="shared" si="1"/>
        <v>117</v>
      </c>
    </row>
    <row r="27" spans="2:16" ht="22.5" customHeight="1">
      <c r="B27" s="269">
        <v>2014</v>
      </c>
      <c r="C27" s="262">
        <v>13</v>
      </c>
      <c r="D27" s="262">
        <v>16.2</v>
      </c>
      <c r="E27" s="262">
        <v>7.2</v>
      </c>
      <c r="F27" s="262">
        <v>31</v>
      </c>
      <c r="G27" s="262">
        <v>63</v>
      </c>
      <c r="H27" s="262">
        <v>98.1</v>
      </c>
      <c r="I27" s="262">
        <v>207.9</v>
      </c>
      <c r="J27" s="262">
        <v>172.8</v>
      </c>
      <c r="K27" s="262">
        <v>88.1</v>
      </c>
      <c r="L27" s="262">
        <v>52.2</v>
      </c>
      <c r="M27" s="262">
        <v>41.5</v>
      </c>
      <c r="N27" s="270">
        <v>17.899999999999999</v>
      </c>
      <c r="O27" s="341">
        <f t="shared" si="0"/>
        <v>808.9</v>
      </c>
      <c r="P27" s="271">
        <f t="shared" si="1"/>
        <v>67.400000000000006</v>
      </c>
    </row>
    <row r="28" spans="2:16" ht="22.5" customHeight="1">
      <c r="B28" s="269">
        <v>2015</v>
      </c>
      <c r="C28" s="262">
        <v>11.3</v>
      </c>
      <c r="D28" s="262">
        <v>22.7</v>
      </c>
      <c r="E28" s="262">
        <v>9.6</v>
      </c>
      <c r="F28" s="262">
        <v>80.5</v>
      </c>
      <c r="G28" s="262">
        <v>28.9</v>
      </c>
      <c r="H28" s="262">
        <v>99</v>
      </c>
      <c r="I28" s="262">
        <v>226</v>
      </c>
      <c r="J28" s="262">
        <v>72.900000000000006</v>
      </c>
      <c r="K28" s="262">
        <v>26</v>
      </c>
      <c r="L28" s="262">
        <v>81.5</v>
      </c>
      <c r="M28" s="262">
        <v>104.6</v>
      </c>
      <c r="N28" s="270">
        <v>29.1</v>
      </c>
      <c r="O28" s="341">
        <f t="shared" si="0"/>
        <v>792.1</v>
      </c>
      <c r="P28" s="271">
        <f t="shared" si="1"/>
        <v>66</v>
      </c>
    </row>
    <row r="29" spans="2:16" ht="22.5" customHeight="1">
      <c r="B29" s="269">
        <v>2016</v>
      </c>
      <c r="C29" s="262">
        <v>1</v>
      </c>
      <c r="D29" s="262">
        <v>47.6</v>
      </c>
      <c r="E29" s="262">
        <v>40.5</v>
      </c>
      <c r="F29" s="262">
        <v>76.8</v>
      </c>
      <c r="G29" s="262">
        <v>160.5</v>
      </c>
      <c r="H29" s="262">
        <v>54.4</v>
      </c>
      <c r="I29" s="262">
        <v>358.2</v>
      </c>
      <c r="J29" s="262">
        <v>67.099999999999994</v>
      </c>
      <c r="K29" s="262">
        <v>33</v>
      </c>
      <c r="L29" s="262">
        <v>74.8</v>
      </c>
      <c r="M29" s="262">
        <v>16.7</v>
      </c>
      <c r="N29" s="270">
        <v>61.1</v>
      </c>
      <c r="O29" s="341">
        <f t="shared" si="0"/>
        <v>991.7</v>
      </c>
      <c r="P29" s="271">
        <f t="shared" si="1"/>
        <v>82.6</v>
      </c>
    </row>
    <row r="30" spans="2:16" ht="22.5" customHeight="1">
      <c r="B30" s="269">
        <v>2017</v>
      </c>
      <c r="C30" s="262">
        <v>14.9</v>
      </c>
      <c r="D30" s="262">
        <v>11.1</v>
      </c>
      <c r="E30" s="262">
        <v>7.9</v>
      </c>
      <c r="F30" s="262">
        <v>61.6</v>
      </c>
      <c r="G30" s="262">
        <v>16.100000000000001</v>
      </c>
      <c r="H30" s="262">
        <v>66.599999999999994</v>
      </c>
      <c r="I30" s="262">
        <v>621</v>
      </c>
      <c r="J30" s="262">
        <v>297</v>
      </c>
      <c r="K30" s="262">
        <v>35</v>
      </c>
      <c r="L30" s="262">
        <v>26.5</v>
      </c>
      <c r="M30" s="262">
        <v>40.700000000000003</v>
      </c>
      <c r="N30" s="270">
        <v>34.799999999999997</v>
      </c>
      <c r="O30" s="341">
        <f t="shared" si="0"/>
        <v>1233.2</v>
      </c>
      <c r="P30" s="271">
        <f t="shared" si="1"/>
        <v>102.8</v>
      </c>
    </row>
    <row r="31" spans="2:16" ht="22.5" customHeight="1">
      <c r="B31" s="269">
        <v>2018</v>
      </c>
      <c r="C31" s="262">
        <v>8.5</v>
      </c>
      <c r="D31" s="262">
        <v>29.6</v>
      </c>
      <c r="E31" s="262">
        <v>49.5</v>
      </c>
      <c r="F31" s="262">
        <v>130.30000000000001</v>
      </c>
      <c r="G31" s="262">
        <v>222</v>
      </c>
      <c r="H31" s="262">
        <v>171.5</v>
      </c>
      <c r="I31" s="262">
        <v>185.6</v>
      </c>
      <c r="J31" s="262">
        <v>202.6</v>
      </c>
      <c r="K31" s="262">
        <v>68.5</v>
      </c>
      <c r="L31" s="262">
        <v>120.5</v>
      </c>
      <c r="M31" s="262">
        <v>79.099999999999994</v>
      </c>
      <c r="N31" s="270">
        <v>16.399999999999999</v>
      </c>
      <c r="O31" s="341">
        <f t="shared" si="0"/>
        <v>1284.0999999999999</v>
      </c>
      <c r="P31" s="271">
        <f t="shared" si="1"/>
        <v>107</v>
      </c>
    </row>
    <row r="32" spans="2:16" ht="22.5" customHeight="1">
      <c r="B32" s="269">
        <v>2019</v>
      </c>
      <c r="C32" s="262">
        <v>0</v>
      </c>
      <c r="D32" s="262">
        <v>23.8</v>
      </c>
      <c r="E32" s="262">
        <v>26.8</v>
      </c>
      <c r="F32" s="262">
        <v>47.3</v>
      </c>
      <c r="G32" s="262">
        <v>37.799999999999997</v>
      </c>
      <c r="H32" s="262">
        <v>74</v>
      </c>
      <c r="I32" s="262">
        <v>194.4</v>
      </c>
      <c r="J32" s="262">
        <v>190.5</v>
      </c>
      <c r="K32" s="262">
        <v>139.80000000000001</v>
      </c>
      <c r="L32" s="262">
        <v>55.5</v>
      </c>
      <c r="M32" s="262">
        <v>78.8</v>
      </c>
      <c r="N32" s="270">
        <v>22.6</v>
      </c>
      <c r="O32" s="341">
        <f t="shared" si="0"/>
        <v>891.3</v>
      </c>
      <c r="P32" s="271">
        <f t="shared" si="1"/>
        <v>74.3</v>
      </c>
    </row>
    <row r="33" spans="2:16" ht="22.5" customHeight="1">
      <c r="B33" s="269">
        <v>2020</v>
      </c>
      <c r="C33" s="262">
        <v>60.5</v>
      </c>
      <c r="D33" s="262">
        <v>53.1</v>
      </c>
      <c r="E33" s="262">
        <v>16.3</v>
      </c>
      <c r="F33" s="262">
        <v>16.899999999999999</v>
      </c>
      <c r="G33" s="262">
        <v>112.4</v>
      </c>
      <c r="H33" s="262">
        <v>139.6</v>
      </c>
      <c r="I33" s="262">
        <v>270.39999999999998</v>
      </c>
      <c r="J33" s="262">
        <v>675.7</v>
      </c>
      <c r="K33" s="262">
        <v>181.5</v>
      </c>
      <c r="L33" s="262">
        <v>0</v>
      </c>
      <c r="M33" s="262">
        <v>120.1</v>
      </c>
      <c r="N33" s="270">
        <v>4.5999999999999996</v>
      </c>
      <c r="O33" s="341">
        <f t="shared" si="0"/>
        <v>1651.1</v>
      </c>
      <c r="P33" s="271">
        <f t="shared" si="1"/>
        <v>137.6</v>
      </c>
    </row>
    <row r="34" spans="2:16" ht="22.5" customHeight="1" thickBot="1">
      <c r="B34" s="272">
        <v>2021</v>
      </c>
      <c r="C34" s="273">
        <v>18.899999999999999</v>
      </c>
      <c r="D34" s="273">
        <v>7.1</v>
      </c>
      <c r="E34" s="273">
        <v>110.9</v>
      </c>
      <c r="F34" s="273">
        <v>124.1</v>
      </c>
      <c r="G34" s="273">
        <v>183.1</v>
      </c>
      <c r="H34" s="273">
        <v>104.6</v>
      </c>
      <c r="I34" s="273">
        <v>168.3</v>
      </c>
      <c r="J34" s="273">
        <v>211.2</v>
      </c>
      <c r="K34" s="273">
        <v>131</v>
      </c>
      <c r="L34" s="273">
        <v>57</v>
      </c>
      <c r="M34" s="273">
        <v>62.4</v>
      </c>
      <c r="N34" s="274">
        <v>7.9</v>
      </c>
      <c r="O34" s="342">
        <f t="shared" si="0"/>
        <v>1186.5</v>
      </c>
      <c r="P34" s="275">
        <f t="shared" si="1"/>
        <v>98.9</v>
      </c>
    </row>
    <row r="35" spans="2:16" ht="22.5" customHeight="1">
      <c r="B35" s="276" t="s">
        <v>36</v>
      </c>
      <c r="C35" s="277">
        <f>MAX(C5:C34)</f>
        <v>60.5</v>
      </c>
      <c r="D35" s="277">
        <f t="shared" ref="D35:N35" si="2">MAX(D5:D34)</f>
        <v>74.099999999999994</v>
      </c>
      <c r="E35" s="277">
        <f t="shared" si="2"/>
        <v>123.5</v>
      </c>
      <c r="F35" s="277">
        <f t="shared" si="2"/>
        <v>157</v>
      </c>
      <c r="G35" s="277">
        <f t="shared" si="2"/>
        <v>291.3</v>
      </c>
      <c r="H35" s="277">
        <f t="shared" si="2"/>
        <v>404.5</v>
      </c>
      <c r="I35" s="277">
        <f t="shared" si="2"/>
        <v>1131</v>
      </c>
      <c r="J35" s="277">
        <f t="shared" si="2"/>
        <v>1237.8</v>
      </c>
      <c r="K35" s="277">
        <f t="shared" si="2"/>
        <v>671.5</v>
      </c>
      <c r="L35" s="277">
        <f t="shared" si="2"/>
        <v>214.5</v>
      </c>
      <c r="M35" s="277">
        <f t="shared" si="2"/>
        <v>120.1</v>
      </c>
      <c r="N35" s="278">
        <f t="shared" si="2"/>
        <v>71.400000000000006</v>
      </c>
      <c r="O35" s="343">
        <f t="shared" ref="O35" si="3">MAX(O5:O34)</f>
        <v>2349.1</v>
      </c>
      <c r="P35" s="278">
        <f>MAX(P5:P34)</f>
        <v>195.8</v>
      </c>
    </row>
    <row r="36" spans="2:16" ht="22.5" customHeight="1">
      <c r="B36" s="279" t="s">
        <v>37</v>
      </c>
      <c r="C36" s="280">
        <f>ROUND(MIN(C5:C34),1)</f>
        <v>0</v>
      </c>
      <c r="D36" s="280">
        <f t="shared" ref="D36:N36" si="4">ROUND(MIN(D5:D34),1)</f>
        <v>0.8</v>
      </c>
      <c r="E36" s="280">
        <f t="shared" si="4"/>
        <v>3.1</v>
      </c>
      <c r="F36" s="280">
        <f t="shared" si="4"/>
        <v>12.3</v>
      </c>
      <c r="G36" s="280">
        <f t="shared" si="4"/>
        <v>8.1999999999999993</v>
      </c>
      <c r="H36" s="280">
        <f t="shared" si="4"/>
        <v>28.3</v>
      </c>
      <c r="I36" s="280">
        <f t="shared" si="4"/>
        <v>114.7</v>
      </c>
      <c r="J36" s="280">
        <f t="shared" si="4"/>
        <v>67.099999999999994</v>
      </c>
      <c r="K36" s="280">
        <f t="shared" si="4"/>
        <v>11</v>
      </c>
      <c r="L36" s="280">
        <f t="shared" si="4"/>
        <v>0</v>
      </c>
      <c r="M36" s="280">
        <f t="shared" si="4"/>
        <v>10.9</v>
      </c>
      <c r="N36" s="281">
        <f t="shared" si="4"/>
        <v>3.4</v>
      </c>
      <c r="O36" s="294">
        <f>ROUND(MIN(O5:O34),1)</f>
        <v>792.1</v>
      </c>
      <c r="P36" s="282">
        <f>ROUND(MIN(P5:P34),1)</f>
        <v>66</v>
      </c>
    </row>
    <row r="37" spans="2:16" ht="22.5" customHeight="1" thickBot="1">
      <c r="B37" s="283" t="s">
        <v>46</v>
      </c>
      <c r="C37" s="284">
        <f>ROUND(AVERAGE(C5:C34),1)</f>
        <v>17</v>
      </c>
      <c r="D37" s="284">
        <f t="shared" ref="D37:N37" si="5">ROUND(AVERAGE(D5:D34),1)</f>
        <v>27.5</v>
      </c>
      <c r="E37" s="284">
        <f t="shared" si="5"/>
        <v>38.4</v>
      </c>
      <c r="F37" s="284">
        <f t="shared" si="5"/>
        <v>75.400000000000006</v>
      </c>
      <c r="G37" s="284">
        <f t="shared" si="5"/>
        <v>106.9</v>
      </c>
      <c r="H37" s="284">
        <f t="shared" si="5"/>
        <v>130.30000000000001</v>
      </c>
      <c r="I37" s="284">
        <f t="shared" si="5"/>
        <v>403.8</v>
      </c>
      <c r="J37" s="284">
        <f t="shared" si="5"/>
        <v>353</v>
      </c>
      <c r="K37" s="284">
        <f t="shared" si="5"/>
        <v>140.1</v>
      </c>
      <c r="L37" s="284">
        <f t="shared" si="5"/>
        <v>53.2</v>
      </c>
      <c r="M37" s="284">
        <f t="shared" si="5"/>
        <v>52</v>
      </c>
      <c r="N37" s="285">
        <f t="shared" si="5"/>
        <v>21.4</v>
      </c>
      <c r="O37" s="298">
        <f>ROUND(AVERAGE(O5:O34),1)</f>
        <v>1418.9</v>
      </c>
      <c r="P37" s="286">
        <f>ROUND(AVERAGE(P5:P34),1)</f>
        <v>118.2</v>
      </c>
    </row>
    <row r="38" spans="2:16" ht="21.95" customHeight="1"/>
    <row r="39" spans="2:16" ht="21.95" customHeight="1" thickBot="1"/>
    <row r="40" spans="2:16" ht="22.5" customHeight="1">
      <c r="B40" s="288" t="s">
        <v>41</v>
      </c>
      <c r="C40" s="289" t="s">
        <v>31</v>
      </c>
      <c r="D40" s="289" t="s">
        <v>32</v>
      </c>
      <c r="E40" s="289" t="s">
        <v>33</v>
      </c>
      <c r="F40" s="289" t="s">
        <v>34</v>
      </c>
      <c r="G40" s="289" t="s">
        <v>35</v>
      </c>
      <c r="H40" s="289" t="s">
        <v>12</v>
      </c>
      <c r="I40" s="289" t="s">
        <v>13</v>
      </c>
      <c r="J40" s="289" t="s">
        <v>14</v>
      </c>
      <c r="K40" s="289" t="s">
        <v>15</v>
      </c>
      <c r="L40" s="289" t="s">
        <v>16</v>
      </c>
      <c r="M40" s="289" t="s">
        <v>17</v>
      </c>
      <c r="N40" s="290" t="s">
        <v>18</v>
      </c>
      <c r="O40" s="291" t="s">
        <v>44</v>
      </c>
      <c r="P40" s="290" t="s">
        <v>30</v>
      </c>
    </row>
    <row r="41" spans="2:16" ht="22.5" customHeight="1">
      <c r="B41" s="292">
        <f>B25</f>
        <v>2012</v>
      </c>
      <c r="C41" s="287">
        <f t="shared" ref="C41:N41" si="6">C25</f>
        <v>6.7</v>
      </c>
      <c r="D41" s="287">
        <f t="shared" si="6"/>
        <v>0.8</v>
      </c>
      <c r="E41" s="287">
        <f t="shared" si="6"/>
        <v>47.4</v>
      </c>
      <c r="F41" s="287">
        <f t="shared" si="6"/>
        <v>157</v>
      </c>
      <c r="G41" s="287">
        <f t="shared" si="6"/>
        <v>8.1999999999999993</v>
      </c>
      <c r="H41" s="287">
        <f t="shared" si="6"/>
        <v>91.9</v>
      </c>
      <c r="I41" s="287">
        <f t="shared" si="6"/>
        <v>448.9</v>
      </c>
      <c r="J41" s="287">
        <f t="shared" si="6"/>
        <v>464.9</v>
      </c>
      <c r="K41" s="287">
        <f t="shared" si="6"/>
        <v>212</v>
      </c>
      <c r="L41" s="287">
        <f t="shared" si="6"/>
        <v>99.3</v>
      </c>
      <c r="M41" s="287">
        <f t="shared" si="6"/>
        <v>67.8</v>
      </c>
      <c r="N41" s="293">
        <f t="shared" si="6"/>
        <v>41.4</v>
      </c>
      <c r="O41" s="294">
        <f>ROUND(SUM(C41:N41),1)</f>
        <v>1646.3</v>
      </c>
      <c r="P41" s="282">
        <f>ROUND(O41/12,1)</f>
        <v>137.19999999999999</v>
      </c>
    </row>
    <row r="42" spans="2:16" ht="22.5" customHeight="1">
      <c r="B42" s="292">
        <f t="shared" ref="B42:N42" si="7">B26</f>
        <v>2013</v>
      </c>
      <c r="C42" s="287">
        <f t="shared" si="7"/>
        <v>22.1</v>
      </c>
      <c r="D42" s="287">
        <f t="shared" si="7"/>
        <v>74.099999999999994</v>
      </c>
      <c r="E42" s="287">
        <f t="shared" si="7"/>
        <v>27.3</v>
      </c>
      <c r="F42" s="287">
        <f t="shared" si="7"/>
        <v>71.7</v>
      </c>
      <c r="G42" s="287">
        <f t="shared" si="7"/>
        <v>132</v>
      </c>
      <c r="H42" s="287">
        <f t="shared" si="7"/>
        <v>28.3</v>
      </c>
      <c r="I42" s="287">
        <f t="shared" si="7"/>
        <v>676.2</v>
      </c>
      <c r="J42" s="287">
        <f t="shared" si="7"/>
        <v>148.6</v>
      </c>
      <c r="K42" s="287">
        <f t="shared" si="7"/>
        <v>138.5</v>
      </c>
      <c r="L42" s="287">
        <f t="shared" si="7"/>
        <v>13.5</v>
      </c>
      <c r="M42" s="287">
        <f t="shared" si="7"/>
        <v>46.8</v>
      </c>
      <c r="N42" s="293">
        <f t="shared" si="7"/>
        <v>24.7</v>
      </c>
      <c r="O42" s="294">
        <f t="shared" ref="O42:O50" si="8">ROUND(SUM(C42:N42),1)</f>
        <v>1403.8</v>
      </c>
      <c r="P42" s="282">
        <f t="shared" ref="P42:P50" si="9">ROUND(O42/12,1)</f>
        <v>117</v>
      </c>
    </row>
    <row r="43" spans="2:16" ht="22.5" customHeight="1">
      <c r="B43" s="292">
        <f t="shared" ref="B43:N43" si="10">B27</f>
        <v>2014</v>
      </c>
      <c r="C43" s="287">
        <f t="shared" si="10"/>
        <v>13</v>
      </c>
      <c r="D43" s="287">
        <f t="shared" si="10"/>
        <v>16.2</v>
      </c>
      <c r="E43" s="287">
        <f t="shared" si="10"/>
        <v>7.2</v>
      </c>
      <c r="F43" s="287">
        <f t="shared" si="10"/>
        <v>31</v>
      </c>
      <c r="G43" s="287">
        <f t="shared" si="10"/>
        <v>63</v>
      </c>
      <c r="H43" s="287">
        <f t="shared" si="10"/>
        <v>98.1</v>
      </c>
      <c r="I43" s="287">
        <f t="shared" si="10"/>
        <v>207.9</v>
      </c>
      <c r="J43" s="287">
        <f t="shared" si="10"/>
        <v>172.8</v>
      </c>
      <c r="K43" s="287">
        <f t="shared" si="10"/>
        <v>88.1</v>
      </c>
      <c r="L43" s="287">
        <f t="shared" si="10"/>
        <v>52.2</v>
      </c>
      <c r="M43" s="287">
        <f t="shared" si="10"/>
        <v>41.5</v>
      </c>
      <c r="N43" s="293">
        <f t="shared" si="10"/>
        <v>17.899999999999999</v>
      </c>
      <c r="O43" s="294">
        <f t="shared" si="8"/>
        <v>808.9</v>
      </c>
      <c r="P43" s="282">
        <f t="shared" si="9"/>
        <v>67.400000000000006</v>
      </c>
    </row>
    <row r="44" spans="2:16" ht="22.5" customHeight="1">
      <c r="B44" s="292">
        <f t="shared" ref="B44:N44" si="11">B28</f>
        <v>2015</v>
      </c>
      <c r="C44" s="287">
        <f t="shared" si="11"/>
        <v>11.3</v>
      </c>
      <c r="D44" s="287">
        <f t="shared" si="11"/>
        <v>22.7</v>
      </c>
      <c r="E44" s="287">
        <f t="shared" si="11"/>
        <v>9.6</v>
      </c>
      <c r="F44" s="287">
        <f t="shared" si="11"/>
        <v>80.5</v>
      </c>
      <c r="G44" s="287">
        <f t="shared" si="11"/>
        <v>28.9</v>
      </c>
      <c r="H44" s="287">
        <f t="shared" si="11"/>
        <v>99</v>
      </c>
      <c r="I44" s="287">
        <f t="shared" si="11"/>
        <v>226</v>
      </c>
      <c r="J44" s="287">
        <f t="shared" si="11"/>
        <v>72.900000000000006</v>
      </c>
      <c r="K44" s="287">
        <f t="shared" si="11"/>
        <v>26</v>
      </c>
      <c r="L44" s="287">
        <f t="shared" si="11"/>
        <v>81.5</v>
      </c>
      <c r="M44" s="287">
        <f t="shared" si="11"/>
        <v>104.6</v>
      </c>
      <c r="N44" s="293">
        <f t="shared" si="11"/>
        <v>29.1</v>
      </c>
      <c r="O44" s="294">
        <f t="shared" si="8"/>
        <v>792.1</v>
      </c>
      <c r="P44" s="282">
        <f t="shared" si="9"/>
        <v>66</v>
      </c>
    </row>
    <row r="45" spans="2:16" ht="22.5" customHeight="1">
      <c r="B45" s="292">
        <f t="shared" ref="B45:N45" si="12">B29</f>
        <v>2016</v>
      </c>
      <c r="C45" s="287">
        <f t="shared" si="12"/>
        <v>1</v>
      </c>
      <c r="D45" s="287">
        <f t="shared" si="12"/>
        <v>47.6</v>
      </c>
      <c r="E45" s="287">
        <f t="shared" si="12"/>
        <v>40.5</v>
      </c>
      <c r="F45" s="287">
        <f t="shared" si="12"/>
        <v>76.8</v>
      </c>
      <c r="G45" s="287">
        <f t="shared" si="12"/>
        <v>160.5</v>
      </c>
      <c r="H45" s="287">
        <f t="shared" si="12"/>
        <v>54.4</v>
      </c>
      <c r="I45" s="287">
        <f t="shared" si="12"/>
        <v>358.2</v>
      </c>
      <c r="J45" s="287">
        <f t="shared" si="12"/>
        <v>67.099999999999994</v>
      </c>
      <c r="K45" s="287">
        <f t="shared" si="12"/>
        <v>33</v>
      </c>
      <c r="L45" s="287">
        <f t="shared" si="12"/>
        <v>74.8</v>
      </c>
      <c r="M45" s="287">
        <f t="shared" si="12"/>
        <v>16.7</v>
      </c>
      <c r="N45" s="293">
        <f t="shared" si="12"/>
        <v>61.1</v>
      </c>
      <c r="O45" s="294">
        <f t="shared" si="8"/>
        <v>991.7</v>
      </c>
      <c r="P45" s="282">
        <f t="shared" si="9"/>
        <v>82.6</v>
      </c>
    </row>
    <row r="46" spans="2:16" ht="22.5" customHeight="1">
      <c r="B46" s="292">
        <f t="shared" ref="B46:N46" si="13">B30</f>
        <v>2017</v>
      </c>
      <c r="C46" s="287">
        <f t="shared" si="13"/>
        <v>14.9</v>
      </c>
      <c r="D46" s="287">
        <f t="shared" si="13"/>
        <v>11.1</v>
      </c>
      <c r="E46" s="287">
        <f t="shared" si="13"/>
        <v>7.9</v>
      </c>
      <c r="F46" s="287">
        <f t="shared" si="13"/>
        <v>61.6</v>
      </c>
      <c r="G46" s="287">
        <f t="shared" si="13"/>
        <v>16.100000000000001</v>
      </c>
      <c r="H46" s="287">
        <f t="shared" si="13"/>
        <v>66.599999999999994</v>
      </c>
      <c r="I46" s="287">
        <f t="shared" si="13"/>
        <v>621</v>
      </c>
      <c r="J46" s="287">
        <f t="shared" si="13"/>
        <v>297</v>
      </c>
      <c r="K46" s="287">
        <f t="shared" si="13"/>
        <v>35</v>
      </c>
      <c r="L46" s="287">
        <f t="shared" si="13"/>
        <v>26.5</v>
      </c>
      <c r="M46" s="287">
        <f t="shared" si="13"/>
        <v>40.700000000000003</v>
      </c>
      <c r="N46" s="293">
        <f t="shared" si="13"/>
        <v>34.799999999999997</v>
      </c>
      <c r="O46" s="294">
        <f t="shared" si="8"/>
        <v>1233.2</v>
      </c>
      <c r="P46" s="282">
        <f t="shared" si="9"/>
        <v>102.8</v>
      </c>
    </row>
    <row r="47" spans="2:16" ht="22.5" customHeight="1">
      <c r="B47" s="292">
        <f t="shared" ref="B47:N47" si="14">B31</f>
        <v>2018</v>
      </c>
      <c r="C47" s="287">
        <f t="shared" si="14"/>
        <v>8.5</v>
      </c>
      <c r="D47" s="287">
        <f t="shared" si="14"/>
        <v>29.6</v>
      </c>
      <c r="E47" s="287">
        <f t="shared" si="14"/>
        <v>49.5</v>
      </c>
      <c r="F47" s="287">
        <f t="shared" si="14"/>
        <v>130.30000000000001</v>
      </c>
      <c r="G47" s="287">
        <f t="shared" si="14"/>
        <v>222</v>
      </c>
      <c r="H47" s="287">
        <f t="shared" si="14"/>
        <v>171.5</v>
      </c>
      <c r="I47" s="287">
        <f t="shared" si="14"/>
        <v>185.6</v>
      </c>
      <c r="J47" s="287">
        <f t="shared" si="14"/>
        <v>202.6</v>
      </c>
      <c r="K47" s="287">
        <f t="shared" si="14"/>
        <v>68.5</v>
      </c>
      <c r="L47" s="287">
        <f t="shared" si="14"/>
        <v>120.5</v>
      </c>
      <c r="M47" s="287">
        <f t="shared" si="14"/>
        <v>79.099999999999994</v>
      </c>
      <c r="N47" s="293">
        <f t="shared" si="14"/>
        <v>16.399999999999999</v>
      </c>
      <c r="O47" s="294">
        <f t="shared" si="8"/>
        <v>1284.0999999999999</v>
      </c>
      <c r="P47" s="282">
        <f t="shared" si="9"/>
        <v>107</v>
      </c>
    </row>
    <row r="48" spans="2:16" ht="22.5" customHeight="1">
      <c r="B48" s="292">
        <f t="shared" ref="B48:N48" si="15">B32</f>
        <v>2019</v>
      </c>
      <c r="C48" s="287">
        <f t="shared" si="15"/>
        <v>0</v>
      </c>
      <c r="D48" s="287">
        <f t="shared" si="15"/>
        <v>23.8</v>
      </c>
      <c r="E48" s="287">
        <f t="shared" si="15"/>
        <v>26.8</v>
      </c>
      <c r="F48" s="287">
        <f t="shared" si="15"/>
        <v>47.3</v>
      </c>
      <c r="G48" s="287">
        <f t="shared" si="15"/>
        <v>37.799999999999997</v>
      </c>
      <c r="H48" s="287">
        <f t="shared" si="15"/>
        <v>74</v>
      </c>
      <c r="I48" s="287">
        <f t="shared" si="15"/>
        <v>194.4</v>
      </c>
      <c r="J48" s="287">
        <f t="shared" si="15"/>
        <v>190.5</v>
      </c>
      <c r="K48" s="287">
        <f t="shared" si="15"/>
        <v>139.80000000000001</v>
      </c>
      <c r="L48" s="287">
        <f t="shared" si="15"/>
        <v>55.5</v>
      </c>
      <c r="M48" s="287">
        <f t="shared" si="15"/>
        <v>78.8</v>
      </c>
      <c r="N48" s="293">
        <f t="shared" si="15"/>
        <v>22.6</v>
      </c>
      <c r="O48" s="294">
        <f t="shared" si="8"/>
        <v>891.3</v>
      </c>
      <c r="P48" s="282">
        <f t="shared" si="9"/>
        <v>74.3</v>
      </c>
    </row>
    <row r="49" spans="2:16" ht="22.5" customHeight="1">
      <c r="B49" s="292">
        <f t="shared" ref="B49:N49" si="16">B33</f>
        <v>2020</v>
      </c>
      <c r="C49" s="287">
        <f t="shared" si="16"/>
        <v>60.5</v>
      </c>
      <c r="D49" s="287">
        <f t="shared" si="16"/>
        <v>53.1</v>
      </c>
      <c r="E49" s="287">
        <f t="shared" si="16"/>
        <v>16.3</v>
      </c>
      <c r="F49" s="287">
        <f t="shared" si="16"/>
        <v>16.899999999999999</v>
      </c>
      <c r="G49" s="287">
        <f t="shared" si="16"/>
        <v>112.4</v>
      </c>
      <c r="H49" s="287">
        <f t="shared" si="16"/>
        <v>139.6</v>
      </c>
      <c r="I49" s="287">
        <f t="shared" si="16"/>
        <v>270.39999999999998</v>
      </c>
      <c r="J49" s="287">
        <f t="shared" si="16"/>
        <v>675.7</v>
      </c>
      <c r="K49" s="287">
        <f t="shared" si="16"/>
        <v>181.5</v>
      </c>
      <c r="L49" s="287">
        <f t="shared" si="16"/>
        <v>0</v>
      </c>
      <c r="M49" s="287">
        <f t="shared" si="16"/>
        <v>120.1</v>
      </c>
      <c r="N49" s="293">
        <f t="shared" si="16"/>
        <v>4.5999999999999996</v>
      </c>
      <c r="O49" s="294">
        <f t="shared" si="8"/>
        <v>1651.1</v>
      </c>
      <c r="P49" s="282">
        <f t="shared" si="9"/>
        <v>137.6</v>
      </c>
    </row>
    <row r="50" spans="2:16" ht="22.5" customHeight="1" thickBot="1">
      <c r="B50" s="295">
        <f t="shared" ref="B50:N50" si="17">B34</f>
        <v>2021</v>
      </c>
      <c r="C50" s="296">
        <f t="shared" si="17"/>
        <v>18.899999999999999</v>
      </c>
      <c r="D50" s="296">
        <f t="shared" si="17"/>
        <v>7.1</v>
      </c>
      <c r="E50" s="296">
        <f>E34</f>
        <v>110.9</v>
      </c>
      <c r="F50" s="296">
        <f t="shared" si="17"/>
        <v>124.1</v>
      </c>
      <c r="G50" s="296">
        <f t="shared" si="17"/>
        <v>183.1</v>
      </c>
      <c r="H50" s="296">
        <f t="shared" si="17"/>
        <v>104.6</v>
      </c>
      <c r="I50" s="296">
        <f t="shared" si="17"/>
        <v>168.3</v>
      </c>
      <c r="J50" s="296">
        <f t="shared" si="17"/>
        <v>211.2</v>
      </c>
      <c r="K50" s="296">
        <f t="shared" si="17"/>
        <v>131</v>
      </c>
      <c r="L50" s="296">
        <f t="shared" si="17"/>
        <v>57</v>
      </c>
      <c r="M50" s="296">
        <f t="shared" si="17"/>
        <v>62.4</v>
      </c>
      <c r="N50" s="297">
        <f t="shared" si="17"/>
        <v>7.9</v>
      </c>
      <c r="O50" s="298">
        <f t="shared" si="8"/>
        <v>1186.5</v>
      </c>
      <c r="P50" s="286">
        <f t="shared" si="9"/>
        <v>98.9</v>
      </c>
    </row>
    <row r="51" spans="2:16" ht="22.5" customHeight="1">
      <c r="B51" s="299" t="s">
        <v>47</v>
      </c>
      <c r="C51" s="300">
        <f>MAX(C41:C50)</f>
        <v>60.5</v>
      </c>
      <c r="D51" s="300">
        <f t="shared" ref="D51:P51" si="18">MAX(D41:D50)</f>
        <v>74.099999999999994</v>
      </c>
      <c r="E51" s="300">
        <f t="shared" si="18"/>
        <v>110.9</v>
      </c>
      <c r="F51" s="300">
        <f t="shared" si="18"/>
        <v>157</v>
      </c>
      <c r="G51" s="300">
        <f t="shared" si="18"/>
        <v>222</v>
      </c>
      <c r="H51" s="300">
        <f t="shared" si="18"/>
        <v>171.5</v>
      </c>
      <c r="I51" s="300">
        <f t="shared" si="18"/>
        <v>676.2</v>
      </c>
      <c r="J51" s="300">
        <f t="shared" si="18"/>
        <v>675.7</v>
      </c>
      <c r="K51" s="300">
        <f t="shared" si="18"/>
        <v>212</v>
      </c>
      <c r="L51" s="300">
        <f t="shared" si="18"/>
        <v>120.5</v>
      </c>
      <c r="M51" s="300">
        <f t="shared" si="18"/>
        <v>120.1</v>
      </c>
      <c r="N51" s="301">
        <f t="shared" si="18"/>
        <v>61.1</v>
      </c>
      <c r="O51" s="302">
        <f t="shared" si="18"/>
        <v>1651.1</v>
      </c>
      <c r="P51" s="303">
        <f t="shared" si="18"/>
        <v>137.6</v>
      </c>
    </row>
    <row r="52" spans="2:16" ht="22.5" customHeight="1">
      <c r="B52" s="304" t="s">
        <v>48</v>
      </c>
      <c r="C52" s="305">
        <f>MIN(C41:C50)</f>
        <v>0</v>
      </c>
      <c r="D52" s="305">
        <f t="shared" ref="D52:P52" si="19">MIN(D41:D50)</f>
        <v>0.8</v>
      </c>
      <c r="E52" s="305">
        <f t="shared" si="19"/>
        <v>7.2</v>
      </c>
      <c r="F52" s="305">
        <f t="shared" si="19"/>
        <v>16.899999999999999</v>
      </c>
      <c r="G52" s="305">
        <f t="shared" si="19"/>
        <v>8.1999999999999993</v>
      </c>
      <c r="H52" s="305">
        <f t="shared" si="19"/>
        <v>28.3</v>
      </c>
      <c r="I52" s="305">
        <f t="shared" si="19"/>
        <v>168.3</v>
      </c>
      <c r="J52" s="305">
        <f t="shared" si="19"/>
        <v>67.099999999999994</v>
      </c>
      <c r="K52" s="305">
        <f t="shared" si="19"/>
        <v>26</v>
      </c>
      <c r="L52" s="305">
        <f t="shared" si="19"/>
        <v>0</v>
      </c>
      <c r="M52" s="305">
        <f t="shared" si="19"/>
        <v>16.7</v>
      </c>
      <c r="N52" s="306">
        <f t="shared" si="19"/>
        <v>4.5999999999999996</v>
      </c>
      <c r="O52" s="294">
        <f>MIN(O41:O50)</f>
        <v>792.1</v>
      </c>
      <c r="P52" s="282">
        <f t="shared" si="19"/>
        <v>66</v>
      </c>
    </row>
    <row r="53" spans="2:16" ht="22.5" customHeight="1" thickBot="1">
      <c r="B53" s="307" t="s">
        <v>30</v>
      </c>
      <c r="C53" s="308">
        <f>ROUND(AVERAGE(C41:C50),1)</f>
        <v>15.7</v>
      </c>
      <c r="D53" s="308">
        <f t="shared" ref="D53:N53" si="20">ROUND(AVERAGE(D41:D50),1)</f>
        <v>28.6</v>
      </c>
      <c r="E53" s="308">
        <f t="shared" si="20"/>
        <v>34.299999999999997</v>
      </c>
      <c r="F53" s="308">
        <f t="shared" si="20"/>
        <v>79.7</v>
      </c>
      <c r="G53" s="308">
        <f t="shared" si="20"/>
        <v>96.4</v>
      </c>
      <c r="H53" s="308">
        <f t="shared" si="20"/>
        <v>92.8</v>
      </c>
      <c r="I53" s="308">
        <f t="shared" si="20"/>
        <v>335.7</v>
      </c>
      <c r="J53" s="308">
        <f t="shared" si="20"/>
        <v>250.3</v>
      </c>
      <c r="K53" s="308">
        <f t="shared" si="20"/>
        <v>105.3</v>
      </c>
      <c r="L53" s="308">
        <f t="shared" si="20"/>
        <v>58.1</v>
      </c>
      <c r="M53" s="308">
        <f t="shared" si="20"/>
        <v>65.900000000000006</v>
      </c>
      <c r="N53" s="309">
        <f t="shared" si="20"/>
        <v>26.1</v>
      </c>
      <c r="O53" s="298">
        <f>ROUND(AVERAGE(O41:O50),1)</f>
        <v>1188.9000000000001</v>
      </c>
      <c r="P53" s="286">
        <f>ROUND(AVERAGE(P41:P50),1)</f>
        <v>99.1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S45" sqref="S45"/>
    </sheetView>
  </sheetViews>
  <sheetFormatPr defaultColWidth="8.88671875" defaultRowHeight="16.5"/>
  <cols>
    <col min="1" max="1" width="8.88671875" style="81"/>
    <col min="2" max="2" width="8.88671875" style="99"/>
    <col min="3" max="3" width="8" style="99" customWidth="1"/>
    <col min="4" max="16384" width="8.88671875" style="81"/>
  </cols>
  <sheetData>
    <row r="1" spans="2:16" ht="17.25" thickBot="1">
      <c r="I1"/>
      <c r="J1"/>
      <c r="K1"/>
    </row>
    <row r="2" spans="2:16">
      <c r="B2" s="83"/>
      <c r="C2" s="84" t="s">
        <v>7</v>
      </c>
      <c r="D2" s="84" t="s">
        <v>8</v>
      </c>
      <c r="E2" s="84" t="s">
        <v>9</v>
      </c>
      <c r="F2" s="84" t="s">
        <v>10</v>
      </c>
      <c r="G2" s="84" t="s">
        <v>11</v>
      </c>
      <c r="H2" s="84" t="s">
        <v>12</v>
      </c>
      <c r="I2" s="84" t="s">
        <v>13</v>
      </c>
      <c r="J2" s="84" t="s">
        <v>14</v>
      </c>
      <c r="K2" s="84" t="s">
        <v>15</v>
      </c>
      <c r="L2" s="84" t="s">
        <v>16</v>
      </c>
      <c r="M2" s="84" t="s">
        <v>17</v>
      </c>
      <c r="N2" s="84" t="s">
        <v>18</v>
      </c>
      <c r="O2" s="84" t="s">
        <v>28</v>
      </c>
      <c r="P2" s="85" t="s">
        <v>20</v>
      </c>
    </row>
    <row r="3" spans="2:16">
      <c r="B3" s="86">
        <f>All!B5</f>
        <v>1992</v>
      </c>
      <c r="C3" s="87">
        <f>All!C5</f>
        <v>13.6</v>
      </c>
      <c r="D3" s="87">
        <f>All!D5</f>
        <v>46.6</v>
      </c>
      <c r="E3" s="87">
        <f>All!E5</f>
        <v>11.2</v>
      </c>
      <c r="F3" s="87">
        <f>All!F5</f>
        <v>76.5</v>
      </c>
      <c r="G3" s="87">
        <f>All!G5</f>
        <v>155.5</v>
      </c>
      <c r="H3" s="87">
        <f>All!H5</f>
        <v>99.6</v>
      </c>
      <c r="I3" s="87">
        <f>All!I5</f>
        <v>270.10000000000002</v>
      </c>
      <c r="J3" s="87">
        <f>All!J5</f>
        <v>418.8</v>
      </c>
      <c r="K3" s="87">
        <f>All!K5</f>
        <v>168.5</v>
      </c>
      <c r="L3" s="87">
        <f>All!L5</f>
        <v>33.6</v>
      </c>
      <c r="M3" s="87">
        <f>All!M5</f>
        <v>89.5</v>
      </c>
      <c r="N3" s="87">
        <f>All!N5</f>
        <v>71.400000000000006</v>
      </c>
      <c r="O3" s="87">
        <f>All!O5</f>
        <v>1454.9</v>
      </c>
      <c r="P3" s="88">
        <f>All!P5</f>
        <v>121.2</v>
      </c>
    </row>
    <row r="4" spans="2:16">
      <c r="B4" s="86">
        <f>All!B6</f>
        <v>1993</v>
      </c>
      <c r="C4" s="87">
        <f>All!C6</f>
        <v>2.2000000000000002</v>
      </c>
      <c r="D4" s="87">
        <f>All!D6</f>
        <v>69.5</v>
      </c>
      <c r="E4" s="87">
        <f>All!E6</f>
        <v>29.2</v>
      </c>
      <c r="F4" s="87">
        <f>All!F6</f>
        <v>85.5</v>
      </c>
      <c r="G4" s="87">
        <f>All!G6</f>
        <v>135.69999999999999</v>
      </c>
      <c r="H4" s="87">
        <f>All!H6</f>
        <v>198.2</v>
      </c>
      <c r="I4" s="87">
        <f>All!I6</f>
        <v>424.4</v>
      </c>
      <c r="J4" s="87">
        <f>All!J6</f>
        <v>197.8</v>
      </c>
      <c r="K4" s="87">
        <f>All!K6</f>
        <v>56.1</v>
      </c>
      <c r="L4" s="87">
        <f>All!L6</f>
        <v>15.4</v>
      </c>
      <c r="M4" s="87">
        <f>All!M6</f>
        <v>66.599999999999994</v>
      </c>
      <c r="N4" s="87">
        <f>All!N6</f>
        <v>12.1</v>
      </c>
      <c r="O4" s="87">
        <f>All!O6</f>
        <v>1292.7</v>
      </c>
      <c r="P4" s="88">
        <f>All!P6</f>
        <v>107.7</v>
      </c>
    </row>
    <row r="5" spans="2:16">
      <c r="B5" s="86">
        <f>All!B7</f>
        <v>1994</v>
      </c>
      <c r="C5" s="87">
        <f>All!C7</f>
        <v>6.5</v>
      </c>
      <c r="D5" s="87">
        <f>All!D7</f>
        <v>14.8</v>
      </c>
      <c r="E5" s="87">
        <f>All!E7</f>
        <v>31.7</v>
      </c>
      <c r="F5" s="87">
        <f>All!F7</f>
        <v>44.9</v>
      </c>
      <c r="G5" s="87">
        <f>All!G7</f>
        <v>152.4</v>
      </c>
      <c r="H5" s="87">
        <f>All!H7</f>
        <v>85</v>
      </c>
      <c r="I5" s="87">
        <f>All!I7</f>
        <v>139.5</v>
      </c>
      <c r="J5" s="87">
        <f>All!J7</f>
        <v>232.7</v>
      </c>
      <c r="K5" s="87">
        <f>All!K7</f>
        <v>60.7</v>
      </c>
      <c r="L5" s="87">
        <f>All!L7</f>
        <v>214.5</v>
      </c>
      <c r="M5" s="87">
        <f>All!M7</f>
        <v>49.6</v>
      </c>
      <c r="N5" s="87">
        <f>All!N7</f>
        <v>23.5</v>
      </c>
      <c r="O5" s="87">
        <f>All!O7</f>
        <v>1055.8</v>
      </c>
      <c r="P5" s="88">
        <f>All!P7</f>
        <v>88</v>
      </c>
    </row>
    <row r="6" spans="2:16">
      <c r="B6" s="86">
        <f>All!B8</f>
        <v>1995</v>
      </c>
      <c r="C6" s="87">
        <f>All!C8</f>
        <v>11.6</v>
      </c>
      <c r="D6" s="87">
        <f>All!D8</f>
        <v>5.2</v>
      </c>
      <c r="E6" s="87">
        <f>All!E8</f>
        <v>60.6</v>
      </c>
      <c r="F6" s="87">
        <f>All!F8</f>
        <v>44.4</v>
      </c>
      <c r="G6" s="87">
        <f>All!G8</f>
        <v>60.6</v>
      </c>
      <c r="H6" s="87">
        <f>All!H8</f>
        <v>70.7</v>
      </c>
      <c r="I6" s="87">
        <f>All!I8</f>
        <v>436.1</v>
      </c>
      <c r="J6" s="87">
        <f>All!J8</f>
        <v>786.6</v>
      </c>
      <c r="K6" s="87">
        <f>All!K8</f>
        <v>47.2</v>
      </c>
      <c r="L6" s="87">
        <f>All!L8</f>
        <v>39.299999999999997</v>
      </c>
      <c r="M6" s="87">
        <f>All!M8</f>
        <v>32.9</v>
      </c>
      <c r="N6" s="87">
        <f>All!N8</f>
        <v>3.4</v>
      </c>
      <c r="O6" s="87">
        <f>All!O8</f>
        <v>1598.6</v>
      </c>
      <c r="P6" s="88">
        <f>All!P8</f>
        <v>133.19999999999999</v>
      </c>
    </row>
    <row r="7" spans="2:16">
      <c r="B7" s="86">
        <f>All!B9</f>
        <v>1996</v>
      </c>
      <c r="C7" s="87">
        <f>All!C9</f>
        <v>16.3</v>
      </c>
      <c r="D7" s="87">
        <f>All!D9</f>
        <v>1</v>
      </c>
      <c r="E7" s="87">
        <f>All!E9</f>
        <v>77.900000000000006</v>
      </c>
      <c r="F7" s="87">
        <f>All!F9</f>
        <v>62</v>
      </c>
      <c r="G7" s="87">
        <f>All!G9</f>
        <v>29.3</v>
      </c>
      <c r="H7" s="87">
        <f>All!H9</f>
        <v>249.7</v>
      </c>
      <c r="I7" s="87">
        <f>All!I9</f>
        <v>512.79999999999995</v>
      </c>
      <c r="J7" s="87">
        <f>All!J9</f>
        <v>132.4</v>
      </c>
      <c r="K7" s="87">
        <f>All!K9</f>
        <v>11</v>
      </c>
      <c r="L7" s="87">
        <f>All!L9</f>
        <v>90.3</v>
      </c>
      <c r="M7" s="87">
        <f>All!M9</f>
        <v>62.9</v>
      </c>
      <c r="N7" s="87">
        <f>All!N9</f>
        <v>11</v>
      </c>
      <c r="O7" s="87">
        <f>All!O9</f>
        <v>1256.5999999999999</v>
      </c>
      <c r="P7" s="88">
        <f>All!P9</f>
        <v>104.7</v>
      </c>
    </row>
    <row r="8" spans="2:16">
      <c r="B8" s="86">
        <f>All!B10</f>
        <v>1997</v>
      </c>
      <c r="C8" s="87">
        <f>All!C10</f>
        <v>16.8</v>
      </c>
      <c r="D8" s="87">
        <f>All!D10</f>
        <v>39.6</v>
      </c>
      <c r="E8" s="87">
        <f>All!E10</f>
        <v>25.3</v>
      </c>
      <c r="F8" s="87">
        <f>All!F10</f>
        <v>56.1</v>
      </c>
      <c r="G8" s="87">
        <f>All!G10</f>
        <v>291.3</v>
      </c>
      <c r="H8" s="87">
        <f>All!H10</f>
        <v>110</v>
      </c>
      <c r="I8" s="87">
        <f>All!I10</f>
        <v>299.60000000000002</v>
      </c>
      <c r="J8" s="87">
        <f>All!J10</f>
        <v>117.2</v>
      </c>
      <c r="K8" s="87">
        <f>All!K10</f>
        <v>76.900000000000006</v>
      </c>
      <c r="L8" s="87">
        <f>All!L10</f>
        <v>45.5</v>
      </c>
      <c r="M8" s="87">
        <f>All!M10</f>
        <v>93.8</v>
      </c>
      <c r="N8" s="87">
        <f>All!N10</f>
        <v>38.1</v>
      </c>
      <c r="O8" s="87">
        <f>All!O10</f>
        <v>1210.2</v>
      </c>
      <c r="P8" s="88">
        <f>All!P10</f>
        <v>100.9</v>
      </c>
    </row>
    <row r="9" spans="2:16">
      <c r="B9" s="86">
        <f>All!B11</f>
        <v>1998</v>
      </c>
      <c r="C9" s="87">
        <f>All!C11</f>
        <v>10.4</v>
      </c>
      <c r="D9" s="87">
        <f>All!D11</f>
        <v>32.299999999999997</v>
      </c>
      <c r="E9" s="87">
        <f>All!E11</f>
        <v>45.1</v>
      </c>
      <c r="F9" s="87">
        <f>All!F11</f>
        <v>120.2</v>
      </c>
      <c r="G9" s="87">
        <f>All!G11</f>
        <v>121.5</v>
      </c>
      <c r="H9" s="87">
        <f>All!H11</f>
        <v>234.1</v>
      </c>
      <c r="I9" s="87">
        <f>All!I11</f>
        <v>311.8</v>
      </c>
      <c r="J9" s="87">
        <f>All!J11</f>
        <v>1237.8</v>
      </c>
      <c r="K9" s="87">
        <f>All!K11</f>
        <v>177.9</v>
      </c>
      <c r="L9" s="87">
        <f>All!L11</f>
        <v>27.4</v>
      </c>
      <c r="M9" s="87">
        <f>All!M11</f>
        <v>26.9</v>
      </c>
      <c r="N9" s="87">
        <f>All!N11</f>
        <v>3.7</v>
      </c>
      <c r="O9" s="87">
        <f>All!O11</f>
        <v>2349.1</v>
      </c>
      <c r="P9" s="88">
        <f>All!P11</f>
        <v>195.8</v>
      </c>
    </row>
    <row r="10" spans="2:16">
      <c r="B10" s="86">
        <f>All!B12</f>
        <v>1999</v>
      </c>
      <c r="C10" s="87">
        <f>All!C12</f>
        <v>10.199999999999999</v>
      </c>
      <c r="D10" s="87">
        <f>All!D12</f>
        <v>2.9</v>
      </c>
      <c r="E10" s="87">
        <f>All!E12</f>
        <v>55</v>
      </c>
      <c r="F10" s="87">
        <f>All!F12</f>
        <v>97.2</v>
      </c>
      <c r="G10" s="87">
        <f>All!G12</f>
        <v>109.7</v>
      </c>
      <c r="H10" s="87">
        <f>All!H12</f>
        <v>131.80000000000001</v>
      </c>
      <c r="I10" s="87">
        <f>All!I12</f>
        <v>230.4</v>
      </c>
      <c r="J10" s="87">
        <f>All!J12</f>
        <v>600.5</v>
      </c>
      <c r="K10" s="87">
        <f>All!K12</f>
        <v>377.3</v>
      </c>
      <c r="L10" s="87">
        <f>All!L12</f>
        <v>81.599999999999994</v>
      </c>
      <c r="M10" s="87">
        <f>All!M12</f>
        <v>19.5</v>
      </c>
      <c r="N10" s="87">
        <f>All!N12</f>
        <v>17</v>
      </c>
      <c r="O10" s="87">
        <f>All!O12</f>
        <v>1733.1</v>
      </c>
      <c r="P10" s="88">
        <f>All!P12</f>
        <v>144.4</v>
      </c>
    </row>
    <row r="11" spans="2:16">
      <c r="B11" s="86">
        <f>All!B13</f>
        <v>2000</v>
      </c>
      <c r="C11" s="87">
        <f>All!C13</f>
        <v>42.8</v>
      </c>
      <c r="D11" s="87">
        <f>All!D13</f>
        <v>2.1</v>
      </c>
      <c r="E11" s="87">
        <f>All!E13</f>
        <v>3.1</v>
      </c>
      <c r="F11" s="87">
        <f>All!F13</f>
        <v>30.7</v>
      </c>
      <c r="G11" s="87">
        <f>All!G13</f>
        <v>75.2</v>
      </c>
      <c r="H11" s="87">
        <f>All!H13</f>
        <v>68.099999999999994</v>
      </c>
      <c r="I11" s="87">
        <f>All!I13</f>
        <v>114.7</v>
      </c>
      <c r="J11" s="87">
        <f>All!J13</f>
        <v>599.4</v>
      </c>
      <c r="K11" s="87">
        <f>All!K13</f>
        <v>178.5</v>
      </c>
      <c r="L11" s="87">
        <f>All!L13</f>
        <v>18.100000000000001</v>
      </c>
      <c r="M11" s="87">
        <f>All!M13</f>
        <v>27.1</v>
      </c>
      <c r="N11" s="87">
        <f>All!N13</f>
        <v>27</v>
      </c>
      <c r="O11" s="87">
        <f>All!O13</f>
        <v>1186.8</v>
      </c>
      <c r="P11" s="88">
        <f>All!P13</f>
        <v>98.9</v>
      </c>
    </row>
    <row r="12" spans="2:16">
      <c r="B12" s="86">
        <f>All!B14</f>
        <v>2001</v>
      </c>
      <c r="C12" s="87">
        <f>All!C14</f>
        <v>39.4</v>
      </c>
      <c r="D12" s="87">
        <f>All!D14</f>
        <v>45.7</v>
      </c>
      <c r="E12" s="87">
        <f>All!E14</f>
        <v>18.100000000000001</v>
      </c>
      <c r="F12" s="87">
        <f>All!F14</f>
        <v>12.3</v>
      </c>
      <c r="G12" s="87">
        <f>All!G14</f>
        <v>16.5</v>
      </c>
      <c r="H12" s="87">
        <f>All!H14</f>
        <v>157.4</v>
      </c>
      <c r="I12" s="87">
        <f>All!I14</f>
        <v>698.4</v>
      </c>
      <c r="J12" s="87">
        <f>All!J14</f>
        <v>252</v>
      </c>
      <c r="K12" s="87">
        <f>All!K14</f>
        <v>49.3</v>
      </c>
      <c r="L12" s="87">
        <f>All!L14</f>
        <v>68.2</v>
      </c>
      <c r="M12" s="87">
        <f>All!M14</f>
        <v>13</v>
      </c>
      <c r="N12" s="87">
        <f>All!N14</f>
        <v>15.7</v>
      </c>
      <c r="O12" s="87">
        <f>All!O14</f>
        <v>1386</v>
      </c>
      <c r="P12" s="88">
        <f>All!P14</f>
        <v>115.5</v>
      </c>
    </row>
    <row r="13" spans="2:16">
      <c r="B13" s="86">
        <f>All!B15</f>
        <v>2002</v>
      </c>
      <c r="C13" s="87">
        <f>All!C15</f>
        <v>37.4</v>
      </c>
      <c r="D13" s="87">
        <f>All!D15</f>
        <v>2.4</v>
      </c>
      <c r="E13" s="87">
        <f>All!E15</f>
        <v>31.5</v>
      </c>
      <c r="F13" s="87">
        <f>All!F15</f>
        <v>155.1</v>
      </c>
      <c r="G13" s="87">
        <f>All!G15</f>
        <v>58</v>
      </c>
      <c r="H13" s="87">
        <f>All!H15</f>
        <v>61.4</v>
      </c>
      <c r="I13" s="87">
        <f>All!I15</f>
        <v>220.6</v>
      </c>
      <c r="J13" s="87">
        <f>All!J15</f>
        <v>688</v>
      </c>
      <c r="K13" s="87">
        <f>All!K15</f>
        <v>61.1</v>
      </c>
      <c r="L13" s="87">
        <f>All!L15</f>
        <v>45</v>
      </c>
      <c r="M13" s="87">
        <f>All!M15</f>
        <v>12.5</v>
      </c>
      <c r="N13" s="87">
        <f>All!N15</f>
        <v>15</v>
      </c>
      <c r="O13" s="87">
        <f>All!O15</f>
        <v>1388</v>
      </c>
      <c r="P13" s="88">
        <f>All!P15</f>
        <v>115.7</v>
      </c>
    </row>
    <row r="14" spans="2:16">
      <c r="B14" s="86">
        <f>All!B16</f>
        <v>2003</v>
      </c>
      <c r="C14" s="87">
        <f>All!C16</f>
        <v>14.1</v>
      </c>
      <c r="D14" s="87">
        <f>All!D16</f>
        <v>39.6</v>
      </c>
      <c r="E14" s="87">
        <f>All!E16</f>
        <v>26.8</v>
      </c>
      <c r="F14" s="87">
        <f>All!F16</f>
        <v>139.6</v>
      </c>
      <c r="G14" s="87">
        <f>All!G16</f>
        <v>106</v>
      </c>
      <c r="H14" s="87">
        <f>All!H16</f>
        <v>156</v>
      </c>
      <c r="I14" s="87">
        <f>All!I16</f>
        <v>469.8</v>
      </c>
      <c r="J14" s="87">
        <f>All!J16</f>
        <v>684.2</v>
      </c>
      <c r="K14" s="87">
        <f>All!K16</f>
        <v>258.2</v>
      </c>
      <c r="L14" s="87">
        <f>All!L16</f>
        <v>41.5</v>
      </c>
      <c r="M14" s="87">
        <f>All!M16</f>
        <v>69.3</v>
      </c>
      <c r="N14" s="87">
        <f>All!N16</f>
        <v>6.9</v>
      </c>
      <c r="O14" s="87">
        <f>All!O16</f>
        <v>2012</v>
      </c>
      <c r="P14" s="88">
        <f>All!P16</f>
        <v>167.7</v>
      </c>
    </row>
    <row r="15" spans="2:16">
      <c r="B15" s="86">
        <f>All!B17</f>
        <v>2004</v>
      </c>
      <c r="C15" s="87">
        <f>All!C17</f>
        <v>19.8</v>
      </c>
      <c r="D15" s="87">
        <f>All!D17</f>
        <v>54.6</v>
      </c>
      <c r="E15" s="87">
        <f>All!E17</f>
        <v>27.6</v>
      </c>
      <c r="F15" s="87">
        <f>All!F17</f>
        <v>74.099999999999994</v>
      </c>
      <c r="G15" s="87">
        <f>All!G17</f>
        <v>168.5</v>
      </c>
      <c r="H15" s="87">
        <f>All!H17</f>
        <v>138.1</v>
      </c>
      <c r="I15" s="87">
        <f>All!I17</f>
        <v>510.7</v>
      </c>
      <c r="J15" s="87">
        <f>All!J17</f>
        <v>193.3</v>
      </c>
      <c r="K15" s="87">
        <f>All!K17</f>
        <v>198.7</v>
      </c>
      <c r="L15" s="87">
        <f>All!L17</f>
        <v>6.5</v>
      </c>
      <c r="M15" s="87">
        <f>All!M17</f>
        <v>80</v>
      </c>
      <c r="N15" s="87">
        <f>All!N17</f>
        <v>27.2</v>
      </c>
      <c r="O15" s="87">
        <f>All!O17</f>
        <v>1499.1</v>
      </c>
      <c r="P15" s="88">
        <f>All!P17</f>
        <v>124.9</v>
      </c>
    </row>
    <row r="16" spans="2:16">
      <c r="B16" s="86">
        <f>All!B18</f>
        <v>2005</v>
      </c>
      <c r="C16" s="87">
        <f>All!C18</f>
        <v>4.5</v>
      </c>
      <c r="D16" s="87">
        <f>All!D18</f>
        <v>17.2</v>
      </c>
      <c r="E16" s="87">
        <f>All!E18</f>
        <v>12.5</v>
      </c>
      <c r="F16" s="87">
        <f>All!F18</f>
        <v>94.7</v>
      </c>
      <c r="G16" s="87">
        <f>All!G18</f>
        <v>85.8</v>
      </c>
      <c r="H16" s="87">
        <f>All!H18</f>
        <v>168.5</v>
      </c>
      <c r="I16" s="87">
        <f>All!I18</f>
        <v>269.39999999999998</v>
      </c>
      <c r="J16" s="87">
        <f>All!J18</f>
        <v>285</v>
      </c>
      <c r="K16" s="87">
        <f>All!K18</f>
        <v>313.3</v>
      </c>
      <c r="L16" s="87">
        <f>All!L18</f>
        <v>52.6</v>
      </c>
      <c r="M16" s="87">
        <f>All!M18</f>
        <v>44.6</v>
      </c>
      <c r="N16" s="87">
        <f>All!N18</f>
        <v>10.3</v>
      </c>
      <c r="O16" s="87">
        <f>All!O18</f>
        <v>1358.4</v>
      </c>
      <c r="P16" s="88">
        <f>All!P18</f>
        <v>113.2</v>
      </c>
    </row>
    <row r="17" spans="2:16">
      <c r="B17" s="86">
        <f>All!B19</f>
        <v>2006</v>
      </c>
      <c r="C17" s="87">
        <f>All!C19</f>
        <v>34.299999999999997</v>
      </c>
      <c r="D17" s="87">
        <f>All!D19</f>
        <v>15.7</v>
      </c>
      <c r="E17" s="87">
        <f>All!E19</f>
        <v>14</v>
      </c>
      <c r="F17" s="87">
        <f>All!F19</f>
        <v>51.8</v>
      </c>
      <c r="G17" s="87">
        <f>All!G19</f>
        <v>156.19999999999999</v>
      </c>
      <c r="H17" s="87">
        <f>All!H19</f>
        <v>168.5</v>
      </c>
      <c r="I17" s="87">
        <f>All!I19</f>
        <v>1014</v>
      </c>
      <c r="J17" s="87">
        <f>All!J19</f>
        <v>121.2</v>
      </c>
      <c r="K17" s="87">
        <f>All!K19</f>
        <v>11.1</v>
      </c>
      <c r="L17" s="87">
        <f>All!L19</f>
        <v>30.2</v>
      </c>
      <c r="M17" s="87">
        <f>All!M19</f>
        <v>47.6</v>
      </c>
      <c r="N17" s="87">
        <f>All!N19</f>
        <v>17.3</v>
      </c>
      <c r="O17" s="87">
        <f>All!O19</f>
        <v>1681.9</v>
      </c>
      <c r="P17" s="88">
        <f>All!P19</f>
        <v>140.19999999999999</v>
      </c>
    </row>
    <row r="18" spans="2:16">
      <c r="B18" s="86">
        <f>All!B20</f>
        <v>2007</v>
      </c>
      <c r="C18" s="87">
        <f>All!C20</f>
        <v>10.8</v>
      </c>
      <c r="D18" s="87">
        <f>All!D20</f>
        <v>12.6</v>
      </c>
      <c r="E18" s="87">
        <f>All!E20</f>
        <v>123.5</v>
      </c>
      <c r="F18" s="87">
        <f>All!F20</f>
        <v>41.1</v>
      </c>
      <c r="G18" s="87">
        <f>All!G20</f>
        <v>137.6</v>
      </c>
      <c r="H18" s="87">
        <f>All!H20</f>
        <v>54.5</v>
      </c>
      <c r="I18" s="87">
        <f>All!I20</f>
        <v>274.10000000000002</v>
      </c>
      <c r="J18" s="87">
        <f>All!J20</f>
        <v>237.6</v>
      </c>
      <c r="K18" s="87">
        <f>All!K20</f>
        <v>241.9</v>
      </c>
      <c r="L18" s="87">
        <f>All!L20</f>
        <v>39.5</v>
      </c>
      <c r="M18" s="87">
        <f>All!M20</f>
        <v>26.4</v>
      </c>
      <c r="N18" s="87">
        <f>All!N20</f>
        <v>12.7</v>
      </c>
      <c r="O18" s="87">
        <f>All!O20</f>
        <v>1212.3</v>
      </c>
      <c r="P18" s="88">
        <f>All!P20</f>
        <v>101</v>
      </c>
    </row>
    <row r="19" spans="2:16">
      <c r="B19" s="86">
        <f>All!B21</f>
        <v>2008</v>
      </c>
      <c r="C19" s="87">
        <f>All!C21</f>
        <v>17.7</v>
      </c>
      <c r="D19" s="87">
        <f>All!D21</f>
        <v>15</v>
      </c>
      <c r="E19" s="87">
        <f>All!E21</f>
        <v>53.9</v>
      </c>
      <c r="F19" s="87">
        <f>All!F21</f>
        <v>38.5</v>
      </c>
      <c r="G19" s="87">
        <f>All!G21</f>
        <v>97.7</v>
      </c>
      <c r="H19" s="87">
        <f>All!H21</f>
        <v>165</v>
      </c>
      <c r="I19" s="87">
        <f>All!I21</f>
        <v>530.79999999999995</v>
      </c>
      <c r="J19" s="87">
        <f>All!J21</f>
        <v>251.2</v>
      </c>
      <c r="K19" s="87">
        <f>All!K21</f>
        <v>99.2</v>
      </c>
      <c r="L19" s="87">
        <f>All!L21</f>
        <v>41.8</v>
      </c>
      <c r="M19" s="87">
        <f>All!M21</f>
        <v>19.600000000000001</v>
      </c>
      <c r="N19" s="87">
        <f>All!N21</f>
        <v>25.9</v>
      </c>
      <c r="O19" s="87">
        <f>All!O21</f>
        <v>1356.3</v>
      </c>
      <c r="P19" s="88">
        <f>All!P21</f>
        <v>113</v>
      </c>
    </row>
    <row r="20" spans="2:16">
      <c r="B20" s="86">
        <f>All!B22</f>
        <v>2009</v>
      </c>
      <c r="C20" s="87">
        <f>All!C22</f>
        <v>5.7</v>
      </c>
      <c r="D20" s="87">
        <f>All!D22</f>
        <v>36.9</v>
      </c>
      <c r="E20" s="87">
        <f>All!E22</f>
        <v>63.9</v>
      </c>
      <c r="F20" s="87">
        <f>All!F22</f>
        <v>66.5</v>
      </c>
      <c r="G20" s="87">
        <f>All!G22</f>
        <v>109</v>
      </c>
      <c r="H20" s="87">
        <f>All!H22</f>
        <v>132</v>
      </c>
      <c r="I20" s="87">
        <f>All!I22</f>
        <v>659.4</v>
      </c>
      <c r="J20" s="87">
        <f>All!J22</f>
        <v>285.3</v>
      </c>
      <c r="K20" s="87">
        <f>All!K22</f>
        <v>64.5</v>
      </c>
      <c r="L20" s="87">
        <f>All!L22</f>
        <v>66.900000000000006</v>
      </c>
      <c r="M20" s="87">
        <f>All!M22</f>
        <v>52.4</v>
      </c>
      <c r="N20" s="87">
        <f>All!N22</f>
        <v>21.5</v>
      </c>
      <c r="O20" s="87">
        <f>All!O22</f>
        <v>1564</v>
      </c>
      <c r="P20" s="88">
        <f>All!P22</f>
        <v>130.30000000000001</v>
      </c>
    </row>
    <row r="21" spans="2:16">
      <c r="B21" s="86">
        <f>All!B23</f>
        <v>2010</v>
      </c>
      <c r="C21" s="87">
        <f>All!C23</f>
        <v>29.3</v>
      </c>
      <c r="D21" s="87">
        <f>All!D23</f>
        <v>55.3</v>
      </c>
      <c r="E21" s="87">
        <f>All!E23</f>
        <v>82.5</v>
      </c>
      <c r="F21" s="87">
        <f>All!F23</f>
        <v>62.8</v>
      </c>
      <c r="G21" s="87">
        <f>All!G23</f>
        <v>124</v>
      </c>
      <c r="H21" s="87">
        <f>All!H23</f>
        <v>127.6</v>
      </c>
      <c r="I21" s="87">
        <f>All!I23</f>
        <v>239.2</v>
      </c>
      <c r="J21" s="87">
        <f>All!J23</f>
        <v>598.70000000000005</v>
      </c>
      <c r="K21" s="87">
        <f>All!K23</f>
        <v>671.5</v>
      </c>
      <c r="L21" s="87">
        <f>All!L23</f>
        <v>25.6</v>
      </c>
      <c r="M21" s="87">
        <f>All!M23</f>
        <v>10.9</v>
      </c>
      <c r="N21" s="87">
        <f>All!N23</f>
        <v>16.100000000000001</v>
      </c>
      <c r="O21" s="87">
        <f>All!O23</f>
        <v>2043.5</v>
      </c>
      <c r="P21" s="88">
        <f>All!P23</f>
        <v>170.3</v>
      </c>
    </row>
    <row r="22" spans="2:16">
      <c r="B22" s="86">
        <f>All!B24</f>
        <v>2011</v>
      </c>
      <c r="C22" s="87">
        <f>All!C24</f>
        <v>8.9</v>
      </c>
      <c r="D22" s="87">
        <f>All!D24</f>
        <v>29.1</v>
      </c>
      <c r="E22" s="87">
        <f>All!E24</f>
        <v>14.6</v>
      </c>
      <c r="F22" s="87">
        <f>All!F24</f>
        <v>110.1</v>
      </c>
      <c r="G22" s="87">
        <f>All!G24</f>
        <v>53.4</v>
      </c>
      <c r="H22" s="87">
        <f>All!H24</f>
        <v>404.5</v>
      </c>
      <c r="I22" s="87">
        <f>All!I24</f>
        <v>1131</v>
      </c>
      <c r="J22" s="87">
        <f>All!J24</f>
        <v>166.8</v>
      </c>
      <c r="K22" s="87">
        <f>All!K24</f>
        <v>25.6</v>
      </c>
      <c r="L22" s="87">
        <f>All!L24</f>
        <v>32</v>
      </c>
      <c r="M22" s="87">
        <f>All!M24</f>
        <v>56.2</v>
      </c>
      <c r="N22" s="87">
        <f>All!N24</f>
        <v>7.1</v>
      </c>
      <c r="O22" s="87">
        <f>All!O24</f>
        <v>2039.3</v>
      </c>
      <c r="P22" s="88">
        <f>All!P24</f>
        <v>169.9</v>
      </c>
    </row>
    <row r="23" spans="2:16" s="170" customFormat="1">
      <c r="B23" s="177">
        <f>All!B25</f>
        <v>2012</v>
      </c>
      <c r="C23" s="171">
        <f>All!C25</f>
        <v>6.7</v>
      </c>
      <c r="D23" s="171">
        <f>All!D25</f>
        <v>0.8</v>
      </c>
      <c r="E23" s="171">
        <f>All!E25</f>
        <v>47.4</v>
      </c>
      <c r="F23" s="171">
        <f>All!F25</f>
        <v>157</v>
      </c>
      <c r="G23" s="171">
        <f>All!G25</f>
        <v>8.1999999999999993</v>
      </c>
      <c r="H23" s="171">
        <f>All!H25</f>
        <v>91.9</v>
      </c>
      <c r="I23" s="171">
        <f>All!I25</f>
        <v>448.9</v>
      </c>
      <c r="J23" s="171">
        <f>All!J25</f>
        <v>464.9</v>
      </c>
      <c r="K23" s="171">
        <f>All!K25</f>
        <v>212</v>
      </c>
      <c r="L23" s="171">
        <f>All!L25</f>
        <v>99.3</v>
      </c>
      <c r="M23" s="171">
        <f>All!M25</f>
        <v>67.8</v>
      </c>
      <c r="N23" s="171">
        <f>All!N25</f>
        <v>41.4</v>
      </c>
      <c r="O23" s="171">
        <f>All!O25</f>
        <v>1646.3</v>
      </c>
      <c r="P23" s="178">
        <f>All!P25</f>
        <v>137.19999999999999</v>
      </c>
    </row>
    <row r="24" spans="2:16">
      <c r="B24" s="86">
        <f>All!B26</f>
        <v>2013</v>
      </c>
      <c r="C24" s="87">
        <f>All!C26</f>
        <v>22.1</v>
      </c>
      <c r="D24" s="87">
        <f>All!D26</f>
        <v>74.099999999999994</v>
      </c>
      <c r="E24" s="87">
        <f>All!E26</f>
        <v>27.3</v>
      </c>
      <c r="F24" s="87">
        <f>All!F26</f>
        <v>71.7</v>
      </c>
      <c r="G24" s="87">
        <f>All!G26</f>
        <v>132</v>
      </c>
      <c r="H24" s="87">
        <f>All!H26</f>
        <v>28.3</v>
      </c>
      <c r="I24" s="87">
        <f>All!I26</f>
        <v>676.2</v>
      </c>
      <c r="J24" s="87">
        <f>All!J26</f>
        <v>148.6</v>
      </c>
      <c r="K24" s="87">
        <f>All!K26</f>
        <v>138.5</v>
      </c>
      <c r="L24" s="87">
        <f>All!L26</f>
        <v>13.5</v>
      </c>
      <c r="M24" s="87">
        <f>All!M26</f>
        <v>46.8</v>
      </c>
      <c r="N24" s="87">
        <f>All!N26</f>
        <v>24.7</v>
      </c>
      <c r="O24" s="87">
        <f>All!O26</f>
        <v>1403.8</v>
      </c>
      <c r="P24" s="88">
        <f>All!P26</f>
        <v>117</v>
      </c>
    </row>
    <row r="25" spans="2:16">
      <c r="B25" s="86">
        <f>All!B27</f>
        <v>2014</v>
      </c>
      <c r="C25" s="87">
        <f>All!C27</f>
        <v>13</v>
      </c>
      <c r="D25" s="87">
        <f>All!D27</f>
        <v>16.2</v>
      </c>
      <c r="E25" s="87">
        <f>All!E27</f>
        <v>7.2</v>
      </c>
      <c r="F25" s="87">
        <f>All!F27</f>
        <v>31</v>
      </c>
      <c r="G25" s="87">
        <f>All!G27</f>
        <v>63</v>
      </c>
      <c r="H25" s="87">
        <f>All!H27</f>
        <v>98.1</v>
      </c>
      <c r="I25" s="87">
        <f>All!I27</f>
        <v>207.9</v>
      </c>
      <c r="J25" s="87">
        <f>All!J27</f>
        <v>172.8</v>
      </c>
      <c r="K25" s="87">
        <f>All!K27</f>
        <v>88.1</v>
      </c>
      <c r="L25" s="87">
        <f>All!L27</f>
        <v>52.2</v>
      </c>
      <c r="M25" s="87">
        <f>All!M27</f>
        <v>41.5</v>
      </c>
      <c r="N25" s="87">
        <f>All!N27</f>
        <v>17.899999999999999</v>
      </c>
      <c r="O25" s="87">
        <f>All!O27</f>
        <v>808.9</v>
      </c>
      <c r="P25" s="88">
        <f>All!P27</f>
        <v>67.400000000000006</v>
      </c>
    </row>
    <row r="26" spans="2:16">
      <c r="B26" s="86">
        <f>All!B28</f>
        <v>2015</v>
      </c>
      <c r="C26" s="87">
        <f>All!C28</f>
        <v>11.3</v>
      </c>
      <c r="D26" s="87">
        <f>All!D28</f>
        <v>22.7</v>
      </c>
      <c r="E26" s="87">
        <f>All!E28</f>
        <v>9.6</v>
      </c>
      <c r="F26" s="87">
        <f>All!F28</f>
        <v>80.5</v>
      </c>
      <c r="G26" s="87">
        <f>All!G28</f>
        <v>28.9</v>
      </c>
      <c r="H26" s="87">
        <f>All!H28</f>
        <v>99</v>
      </c>
      <c r="I26" s="87">
        <f>All!I28</f>
        <v>226</v>
      </c>
      <c r="J26" s="87">
        <f>All!J28</f>
        <v>72.900000000000006</v>
      </c>
      <c r="K26" s="87">
        <f>All!K28</f>
        <v>26</v>
      </c>
      <c r="L26" s="87">
        <f>All!L28</f>
        <v>81.5</v>
      </c>
      <c r="M26" s="87">
        <f>All!M28</f>
        <v>104.6</v>
      </c>
      <c r="N26" s="87">
        <f>All!N28</f>
        <v>29.1</v>
      </c>
      <c r="O26" s="87">
        <f>All!O28</f>
        <v>792.1</v>
      </c>
      <c r="P26" s="88">
        <f>All!P28</f>
        <v>66</v>
      </c>
    </row>
    <row r="27" spans="2:16">
      <c r="B27" s="86">
        <f>All!B29</f>
        <v>2016</v>
      </c>
      <c r="C27" s="87">
        <f>All!C29</f>
        <v>1</v>
      </c>
      <c r="D27" s="87">
        <f>All!D29</f>
        <v>47.6</v>
      </c>
      <c r="E27" s="87">
        <f>All!E29</f>
        <v>40.5</v>
      </c>
      <c r="F27" s="87">
        <f>All!F29</f>
        <v>76.8</v>
      </c>
      <c r="G27" s="87">
        <f>All!G29</f>
        <v>160.5</v>
      </c>
      <c r="H27" s="87">
        <f>All!H29</f>
        <v>54.4</v>
      </c>
      <c r="I27" s="87">
        <f>All!I29</f>
        <v>358.2</v>
      </c>
      <c r="J27" s="87">
        <f>All!J29</f>
        <v>67.099999999999994</v>
      </c>
      <c r="K27" s="87">
        <f>All!K29</f>
        <v>33</v>
      </c>
      <c r="L27" s="87">
        <f>All!L29</f>
        <v>74.8</v>
      </c>
      <c r="M27" s="87">
        <f>All!M29</f>
        <v>16.7</v>
      </c>
      <c r="N27" s="87">
        <f>All!N29</f>
        <v>61.1</v>
      </c>
      <c r="O27" s="87">
        <f>All!O29</f>
        <v>991.7</v>
      </c>
      <c r="P27" s="88">
        <f>All!P29</f>
        <v>82.6</v>
      </c>
    </row>
    <row r="28" spans="2:16">
      <c r="B28" s="86">
        <f>All!B30</f>
        <v>2017</v>
      </c>
      <c r="C28" s="87">
        <f>All!C30</f>
        <v>14.9</v>
      </c>
      <c r="D28" s="87">
        <f>All!D30</f>
        <v>11.1</v>
      </c>
      <c r="E28" s="87">
        <f>All!E30</f>
        <v>7.9</v>
      </c>
      <c r="F28" s="87">
        <f>All!F30</f>
        <v>61.6</v>
      </c>
      <c r="G28" s="87">
        <f>All!G30</f>
        <v>16.100000000000001</v>
      </c>
      <c r="H28" s="87">
        <f>All!H30</f>
        <v>66.599999999999994</v>
      </c>
      <c r="I28" s="87">
        <f>All!I30</f>
        <v>621</v>
      </c>
      <c r="J28" s="87">
        <f>All!J30</f>
        <v>297</v>
      </c>
      <c r="K28" s="87">
        <f>All!K30</f>
        <v>35</v>
      </c>
      <c r="L28" s="87">
        <f>All!L30</f>
        <v>26.5</v>
      </c>
      <c r="M28" s="87">
        <f>All!M30</f>
        <v>40.700000000000003</v>
      </c>
      <c r="N28" s="87">
        <f>All!N30</f>
        <v>34.799999999999997</v>
      </c>
      <c r="O28" s="87">
        <f>All!O30</f>
        <v>1233.2</v>
      </c>
      <c r="P28" s="88">
        <f>All!P30</f>
        <v>102.8</v>
      </c>
    </row>
    <row r="29" spans="2:16">
      <c r="B29" s="86">
        <f>All!B31</f>
        <v>2018</v>
      </c>
      <c r="C29" s="87">
        <f>All!C31</f>
        <v>8.5</v>
      </c>
      <c r="D29" s="87">
        <f>All!D31</f>
        <v>29.6</v>
      </c>
      <c r="E29" s="87">
        <f>All!E31</f>
        <v>49.5</v>
      </c>
      <c r="F29" s="87">
        <f>All!F31</f>
        <v>130.30000000000001</v>
      </c>
      <c r="G29" s="87">
        <f>All!G31</f>
        <v>222</v>
      </c>
      <c r="H29" s="87">
        <f>All!H31</f>
        <v>171.5</v>
      </c>
      <c r="I29" s="87">
        <f>All!I31</f>
        <v>185.6</v>
      </c>
      <c r="J29" s="87">
        <f>All!J31</f>
        <v>202.6</v>
      </c>
      <c r="K29" s="87">
        <f>All!K31</f>
        <v>68.5</v>
      </c>
      <c r="L29" s="87">
        <f>All!L31</f>
        <v>120.5</v>
      </c>
      <c r="M29" s="87">
        <f>All!M31</f>
        <v>79.099999999999994</v>
      </c>
      <c r="N29" s="87">
        <f>All!N31</f>
        <v>16.399999999999999</v>
      </c>
      <c r="O29" s="87">
        <f>All!O31</f>
        <v>1284.0999999999999</v>
      </c>
      <c r="P29" s="88">
        <f>All!P31</f>
        <v>107</v>
      </c>
    </row>
    <row r="30" spans="2:16">
      <c r="B30" s="86">
        <f>All!B32</f>
        <v>2019</v>
      </c>
      <c r="C30" s="87">
        <f>All!C32</f>
        <v>0</v>
      </c>
      <c r="D30" s="87">
        <f>All!D32</f>
        <v>23.8</v>
      </c>
      <c r="E30" s="87">
        <f>All!E32</f>
        <v>26.8</v>
      </c>
      <c r="F30" s="87">
        <f>All!F32</f>
        <v>47.3</v>
      </c>
      <c r="G30" s="87">
        <f>All!G32</f>
        <v>37.799999999999997</v>
      </c>
      <c r="H30" s="87">
        <f>All!H32</f>
        <v>74</v>
      </c>
      <c r="I30" s="87">
        <f>All!I32</f>
        <v>194.4</v>
      </c>
      <c r="J30" s="87">
        <f>All!J32</f>
        <v>190.5</v>
      </c>
      <c r="K30" s="87">
        <f>All!K32</f>
        <v>139.80000000000001</v>
      </c>
      <c r="L30" s="87">
        <f>All!L32</f>
        <v>55.5</v>
      </c>
      <c r="M30" s="87">
        <f>All!M32</f>
        <v>78.8</v>
      </c>
      <c r="N30" s="87">
        <f>All!N32</f>
        <v>22.6</v>
      </c>
      <c r="O30" s="87">
        <f>All!O32</f>
        <v>891.3</v>
      </c>
      <c r="P30" s="88">
        <f>All!P32</f>
        <v>74.3</v>
      </c>
    </row>
    <row r="31" spans="2:16">
      <c r="B31" s="86">
        <f>All!B33</f>
        <v>2020</v>
      </c>
      <c r="C31" s="87">
        <f>All!C33</f>
        <v>60.5</v>
      </c>
      <c r="D31" s="87">
        <f>All!D33</f>
        <v>53.1</v>
      </c>
      <c r="E31" s="87">
        <f>All!E33</f>
        <v>16.3</v>
      </c>
      <c r="F31" s="87">
        <f>All!F33</f>
        <v>16.899999999999999</v>
      </c>
      <c r="G31" s="87">
        <f>All!G33</f>
        <v>112.4</v>
      </c>
      <c r="H31" s="87">
        <f>All!H33</f>
        <v>139.6</v>
      </c>
      <c r="I31" s="87">
        <f>All!I33</f>
        <v>270.39999999999998</v>
      </c>
      <c r="J31" s="87">
        <f>All!J33</f>
        <v>675.7</v>
      </c>
      <c r="K31" s="87">
        <f>All!K33</f>
        <v>181.5</v>
      </c>
      <c r="L31" s="87">
        <f>All!L33</f>
        <v>0</v>
      </c>
      <c r="M31" s="87">
        <f>All!M33</f>
        <v>120.1</v>
      </c>
      <c r="N31" s="87">
        <f>All!N33</f>
        <v>4.5999999999999996</v>
      </c>
      <c r="O31" s="87">
        <f>All!O33</f>
        <v>1651.1</v>
      </c>
      <c r="P31" s="88">
        <f>All!P33</f>
        <v>137.6</v>
      </c>
    </row>
    <row r="32" spans="2:16">
      <c r="B32" s="86">
        <f>All!B34</f>
        <v>2021</v>
      </c>
      <c r="C32" s="87">
        <f>All!C34</f>
        <v>18.899999999999999</v>
      </c>
      <c r="D32" s="87">
        <f>All!D34</f>
        <v>7.1</v>
      </c>
      <c r="E32" s="87">
        <f>All!E34</f>
        <v>110.9</v>
      </c>
      <c r="F32" s="87">
        <f>All!F34</f>
        <v>124.1</v>
      </c>
      <c r="G32" s="87">
        <f>All!G34</f>
        <v>183.1</v>
      </c>
      <c r="H32" s="87">
        <f>All!H34</f>
        <v>104.6</v>
      </c>
      <c r="I32" s="87">
        <f>All!I34</f>
        <v>168.3</v>
      </c>
      <c r="J32" s="87">
        <f>All!J34</f>
        <v>211.2</v>
      </c>
      <c r="K32" s="87">
        <f>All!K34</f>
        <v>131</v>
      </c>
      <c r="L32" s="87">
        <f>All!L34</f>
        <v>57</v>
      </c>
      <c r="M32" s="87">
        <f>All!M34</f>
        <v>62.4</v>
      </c>
      <c r="N32" s="87">
        <f>All!N34</f>
        <v>7.9</v>
      </c>
      <c r="O32" s="87">
        <f>All!O34</f>
        <v>1186.5</v>
      </c>
      <c r="P32" s="88">
        <f>All!P34</f>
        <v>98.9</v>
      </c>
    </row>
    <row r="33" spans="2:17">
      <c r="B33" s="89" t="s">
        <v>182</v>
      </c>
      <c r="C33" s="90">
        <f>ROUND(SUM(C23:C32)/10,1)</f>
        <v>15.7</v>
      </c>
      <c r="D33" s="90">
        <f t="shared" ref="D33:P33" si="0">ROUND(SUM(D23:D32)/10,1)</f>
        <v>28.6</v>
      </c>
      <c r="E33" s="90">
        <f t="shared" si="0"/>
        <v>34.299999999999997</v>
      </c>
      <c r="F33" s="90">
        <f t="shared" si="0"/>
        <v>79.7</v>
      </c>
      <c r="G33" s="90">
        <f t="shared" si="0"/>
        <v>96.4</v>
      </c>
      <c r="H33" s="90">
        <f t="shared" si="0"/>
        <v>92.8</v>
      </c>
      <c r="I33" s="90">
        <f t="shared" si="0"/>
        <v>335.7</v>
      </c>
      <c r="J33" s="90">
        <f t="shared" si="0"/>
        <v>250.3</v>
      </c>
      <c r="K33" s="90">
        <f t="shared" si="0"/>
        <v>105.3</v>
      </c>
      <c r="L33" s="90">
        <f t="shared" si="0"/>
        <v>58.1</v>
      </c>
      <c r="M33" s="90">
        <f t="shared" si="0"/>
        <v>65.900000000000006</v>
      </c>
      <c r="N33" s="90">
        <f t="shared" si="0"/>
        <v>26.1</v>
      </c>
      <c r="O33" s="90">
        <f t="shared" si="0"/>
        <v>1188.9000000000001</v>
      </c>
      <c r="P33" s="91">
        <f t="shared" si="0"/>
        <v>99.1</v>
      </c>
    </row>
    <row r="34" spans="2:17" ht="17.25" thickBot="1">
      <c r="B34" s="179" t="s">
        <v>181</v>
      </c>
      <c r="C34" s="92">
        <f>All!C37</f>
        <v>17</v>
      </c>
      <c r="D34" s="92">
        <f>All!D37</f>
        <v>27.5</v>
      </c>
      <c r="E34" s="92">
        <f>All!E37</f>
        <v>38.4</v>
      </c>
      <c r="F34" s="92">
        <f>All!F37</f>
        <v>75.400000000000006</v>
      </c>
      <c r="G34" s="92">
        <f>All!G37</f>
        <v>106.9</v>
      </c>
      <c r="H34" s="92">
        <f>All!H37</f>
        <v>130.30000000000001</v>
      </c>
      <c r="I34" s="92">
        <f>All!I37</f>
        <v>403.8</v>
      </c>
      <c r="J34" s="92">
        <f>All!J37</f>
        <v>353</v>
      </c>
      <c r="K34" s="92">
        <f>All!K37</f>
        <v>140.1</v>
      </c>
      <c r="L34" s="92">
        <f>All!L37</f>
        <v>53.2</v>
      </c>
      <c r="M34" s="92">
        <f>All!M37</f>
        <v>52</v>
      </c>
      <c r="N34" s="92">
        <f>All!N37</f>
        <v>21.4</v>
      </c>
      <c r="O34" s="92">
        <f>All!O37</f>
        <v>1418.9</v>
      </c>
      <c r="P34" s="93">
        <f>All!P37</f>
        <v>118.2</v>
      </c>
    </row>
    <row r="36" spans="2:17" ht="17.25" thickBot="1"/>
    <row r="37" spans="2:17">
      <c r="B37" s="83" t="s">
        <v>29</v>
      </c>
      <c r="C37" s="85" t="s">
        <v>165</v>
      </c>
      <c r="D37" s="96"/>
      <c r="E37" s="97" t="s">
        <v>31</v>
      </c>
      <c r="F37" s="97" t="s">
        <v>32</v>
      </c>
      <c r="G37" s="97" t="s">
        <v>33</v>
      </c>
      <c r="H37" s="97" t="s">
        <v>34</v>
      </c>
      <c r="I37" s="97" t="s">
        <v>35</v>
      </c>
      <c r="J37" s="97" t="s">
        <v>12</v>
      </c>
      <c r="K37" s="104" t="s">
        <v>13</v>
      </c>
      <c r="L37" s="104" t="s">
        <v>14</v>
      </c>
      <c r="M37" s="104" t="s">
        <v>15</v>
      </c>
      <c r="N37" s="97" t="s">
        <v>16</v>
      </c>
      <c r="O37" s="97" t="s">
        <v>17</v>
      </c>
      <c r="P37" s="97" t="s">
        <v>18</v>
      </c>
      <c r="Q37" s="98" t="s">
        <v>30</v>
      </c>
    </row>
    <row r="38" spans="2:17" ht="17.25" thickBot="1">
      <c r="B38" s="86">
        <f>B23</f>
        <v>2012</v>
      </c>
      <c r="C38" s="88">
        <f>O23</f>
        <v>1646.3</v>
      </c>
      <c r="D38" s="100" t="s">
        <v>30</v>
      </c>
      <c r="E38" s="101">
        <f>All!C53</f>
        <v>15.7</v>
      </c>
      <c r="F38" s="101">
        <f>All!D53</f>
        <v>28.6</v>
      </c>
      <c r="G38" s="101">
        <f>All!E53</f>
        <v>34.299999999999997</v>
      </c>
      <c r="H38" s="101">
        <f>All!F53</f>
        <v>79.7</v>
      </c>
      <c r="I38" s="101">
        <f>All!G53</f>
        <v>96.4</v>
      </c>
      <c r="J38" s="101">
        <f>All!H53</f>
        <v>92.8</v>
      </c>
      <c r="K38" s="101">
        <f>All!I53</f>
        <v>335.7</v>
      </c>
      <c r="L38" s="101">
        <f>All!J53</f>
        <v>250.3</v>
      </c>
      <c r="M38" s="101">
        <f>All!K53</f>
        <v>105.3</v>
      </c>
      <c r="N38" s="101">
        <f>All!L53</f>
        <v>58.1</v>
      </c>
      <c r="O38" s="101">
        <f>All!M53</f>
        <v>65.900000000000006</v>
      </c>
      <c r="P38" s="101">
        <f>All!N53</f>
        <v>26.1</v>
      </c>
      <c r="Q38" s="360">
        <f>All!P53</f>
        <v>99.1</v>
      </c>
    </row>
    <row r="39" spans="2:17">
      <c r="B39" s="86">
        <f t="shared" ref="B39:B48" si="1">B24</f>
        <v>2013</v>
      </c>
      <c r="C39" s="88">
        <f t="shared" ref="C39:C48" si="2">O24</f>
        <v>1403.8</v>
      </c>
    </row>
    <row r="40" spans="2:17">
      <c r="B40" s="86">
        <f t="shared" si="1"/>
        <v>2014</v>
      </c>
      <c r="C40" s="88">
        <f t="shared" si="2"/>
        <v>808.9</v>
      </c>
    </row>
    <row r="41" spans="2:17">
      <c r="B41" s="86">
        <f t="shared" si="1"/>
        <v>2015</v>
      </c>
      <c r="C41" s="88">
        <f t="shared" si="2"/>
        <v>792.1</v>
      </c>
    </row>
    <row r="42" spans="2:17">
      <c r="B42" s="86">
        <f t="shared" si="1"/>
        <v>2016</v>
      </c>
      <c r="C42" s="88">
        <f t="shared" si="2"/>
        <v>991.7</v>
      </c>
    </row>
    <row r="43" spans="2:17">
      <c r="B43" s="86">
        <f t="shared" si="1"/>
        <v>2017</v>
      </c>
      <c r="C43" s="88">
        <f t="shared" si="2"/>
        <v>1233.2</v>
      </c>
    </row>
    <row r="44" spans="2:17">
      <c r="B44" s="86">
        <f t="shared" si="1"/>
        <v>2018</v>
      </c>
      <c r="C44" s="88">
        <f t="shared" si="2"/>
        <v>1284.0999999999999</v>
      </c>
    </row>
    <row r="45" spans="2:17">
      <c r="B45" s="86">
        <f t="shared" si="1"/>
        <v>2019</v>
      </c>
      <c r="C45" s="88">
        <f t="shared" si="2"/>
        <v>891.3</v>
      </c>
    </row>
    <row r="46" spans="2:17">
      <c r="B46" s="86">
        <f t="shared" si="1"/>
        <v>2020</v>
      </c>
      <c r="C46" s="88">
        <f t="shared" si="2"/>
        <v>1651.1</v>
      </c>
    </row>
    <row r="47" spans="2:17">
      <c r="B47" s="86">
        <f t="shared" si="1"/>
        <v>2021</v>
      </c>
      <c r="C47" s="88">
        <f t="shared" si="2"/>
        <v>1186.5</v>
      </c>
    </row>
    <row r="48" spans="2:17" ht="17.25" thickBot="1">
      <c r="B48" s="94" t="str">
        <f t="shared" si="1"/>
        <v>10년평균</v>
      </c>
      <c r="C48" s="95">
        <f t="shared" si="2"/>
        <v>1188.9000000000001</v>
      </c>
    </row>
    <row r="50" spans="2:3" ht="17.25" thickBot="1"/>
    <row r="51" spans="2:3">
      <c r="B51" s="175" t="s">
        <v>183</v>
      </c>
      <c r="C51" s="176" t="s">
        <v>165</v>
      </c>
    </row>
    <row r="52" spans="2:3">
      <c r="B52" s="172">
        <f>B3</f>
        <v>1992</v>
      </c>
      <c r="C52" s="173">
        <f>O3</f>
        <v>1454.9</v>
      </c>
    </row>
    <row r="53" spans="2:3">
      <c r="B53" s="172">
        <f t="shared" ref="B53:B81" si="3">B4</f>
        <v>1993</v>
      </c>
      <c r="C53" s="173">
        <f t="shared" ref="C53:C81" si="4">O4</f>
        <v>1292.7</v>
      </c>
    </row>
    <row r="54" spans="2:3">
      <c r="B54" s="172">
        <f t="shared" si="3"/>
        <v>1994</v>
      </c>
      <c r="C54" s="173">
        <f t="shared" si="4"/>
        <v>1055.8</v>
      </c>
    </row>
    <row r="55" spans="2:3">
      <c r="B55" s="172">
        <f t="shared" si="3"/>
        <v>1995</v>
      </c>
      <c r="C55" s="173">
        <f t="shared" si="4"/>
        <v>1598.6</v>
      </c>
    </row>
    <row r="56" spans="2:3">
      <c r="B56" s="172">
        <f t="shared" si="3"/>
        <v>1996</v>
      </c>
      <c r="C56" s="173">
        <f t="shared" si="4"/>
        <v>1256.5999999999999</v>
      </c>
    </row>
    <row r="57" spans="2:3">
      <c r="B57" s="172">
        <f t="shared" si="3"/>
        <v>1997</v>
      </c>
      <c r="C57" s="173">
        <f t="shared" si="4"/>
        <v>1210.2</v>
      </c>
    </row>
    <row r="58" spans="2:3">
      <c r="B58" s="172">
        <f t="shared" si="3"/>
        <v>1998</v>
      </c>
      <c r="C58" s="173">
        <f t="shared" si="4"/>
        <v>2349.1</v>
      </c>
    </row>
    <row r="59" spans="2:3">
      <c r="B59" s="172">
        <f t="shared" si="3"/>
        <v>1999</v>
      </c>
      <c r="C59" s="173">
        <f t="shared" si="4"/>
        <v>1733.1</v>
      </c>
    </row>
    <row r="60" spans="2:3">
      <c r="B60" s="172">
        <f t="shared" si="3"/>
        <v>2000</v>
      </c>
      <c r="C60" s="173">
        <f t="shared" si="4"/>
        <v>1186.8</v>
      </c>
    </row>
    <row r="61" spans="2:3">
      <c r="B61" s="172">
        <f t="shared" si="3"/>
        <v>2001</v>
      </c>
      <c r="C61" s="173">
        <f t="shared" si="4"/>
        <v>1386</v>
      </c>
    </row>
    <row r="62" spans="2:3">
      <c r="B62" s="172">
        <f t="shared" si="3"/>
        <v>2002</v>
      </c>
      <c r="C62" s="173">
        <f t="shared" si="4"/>
        <v>1388</v>
      </c>
    </row>
    <row r="63" spans="2:3">
      <c r="B63" s="172">
        <f t="shared" si="3"/>
        <v>2003</v>
      </c>
      <c r="C63" s="173">
        <f t="shared" si="4"/>
        <v>2012</v>
      </c>
    </row>
    <row r="64" spans="2:3">
      <c r="B64" s="172">
        <f t="shared" si="3"/>
        <v>2004</v>
      </c>
      <c r="C64" s="173">
        <f t="shared" si="4"/>
        <v>1499.1</v>
      </c>
    </row>
    <row r="65" spans="2:3">
      <c r="B65" s="172">
        <f t="shared" si="3"/>
        <v>2005</v>
      </c>
      <c r="C65" s="173">
        <f t="shared" si="4"/>
        <v>1358.4</v>
      </c>
    </row>
    <row r="66" spans="2:3">
      <c r="B66" s="172">
        <f t="shared" si="3"/>
        <v>2006</v>
      </c>
      <c r="C66" s="173">
        <f t="shared" si="4"/>
        <v>1681.9</v>
      </c>
    </row>
    <row r="67" spans="2:3">
      <c r="B67" s="172">
        <f t="shared" si="3"/>
        <v>2007</v>
      </c>
      <c r="C67" s="173">
        <f t="shared" si="4"/>
        <v>1212.3</v>
      </c>
    </row>
    <row r="68" spans="2:3">
      <c r="B68" s="172">
        <f t="shared" si="3"/>
        <v>2008</v>
      </c>
      <c r="C68" s="173">
        <f t="shared" si="4"/>
        <v>1356.3</v>
      </c>
    </row>
    <row r="69" spans="2:3">
      <c r="B69" s="172">
        <f t="shared" si="3"/>
        <v>2009</v>
      </c>
      <c r="C69" s="173">
        <f t="shared" si="4"/>
        <v>1564</v>
      </c>
    </row>
    <row r="70" spans="2:3">
      <c r="B70" s="172">
        <f t="shared" si="3"/>
        <v>2010</v>
      </c>
      <c r="C70" s="173">
        <f t="shared" si="4"/>
        <v>2043.5</v>
      </c>
    </row>
    <row r="71" spans="2:3">
      <c r="B71" s="172">
        <f t="shared" si="3"/>
        <v>2011</v>
      </c>
      <c r="C71" s="173">
        <f t="shared" si="4"/>
        <v>2039.3</v>
      </c>
    </row>
    <row r="72" spans="2:3">
      <c r="B72" s="172">
        <f t="shared" si="3"/>
        <v>2012</v>
      </c>
      <c r="C72" s="173">
        <f t="shared" si="4"/>
        <v>1646.3</v>
      </c>
    </row>
    <row r="73" spans="2:3">
      <c r="B73" s="172">
        <f t="shared" si="3"/>
        <v>2013</v>
      </c>
      <c r="C73" s="173">
        <f t="shared" si="4"/>
        <v>1403.8</v>
      </c>
    </row>
    <row r="74" spans="2:3">
      <c r="B74" s="172">
        <f t="shared" si="3"/>
        <v>2014</v>
      </c>
      <c r="C74" s="173">
        <f t="shared" si="4"/>
        <v>808.9</v>
      </c>
    </row>
    <row r="75" spans="2:3">
      <c r="B75" s="172">
        <f t="shared" si="3"/>
        <v>2015</v>
      </c>
      <c r="C75" s="173">
        <f t="shared" si="4"/>
        <v>792.1</v>
      </c>
    </row>
    <row r="76" spans="2:3">
      <c r="B76" s="172">
        <f t="shared" si="3"/>
        <v>2016</v>
      </c>
      <c r="C76" s="173">
        <f t="shared" si="4"/>
        <v>991.7</v>
      </c>
    </row>
    <row r="77" spans="2:3">
      <c r="B77" s="172">
        <f t="shared" si="3"/>
        <v>2017</v>
      </c>
      <c r="C77" s="173">
        <f t="shared" si="4"/>
        <v>1233.2</v>
      </c>
    </row>
    <row r="78" spans="2:3">
      <c r="B78" s="172">
        <f>B29</f>
        <v>2018</v>
      </c>
      <c r="C78" s="173">
        <f t="shared" si="4"/>
        <v>1284.0999999999999</v>
      </c>
    </row>
    <row r="79" spans="2:3">
      <c r="B79" s="172">
        <f t="shared" si="3"/>
        <v>2019</v>
      </c>
      <c r="C79" s="173">
        <f t="shared" si="4"/>
        <v>891.3</v>
      </c>
    </row>
    <row r="80" spans="2:3">
      <c r="B80" s="172">
        <f t="shared" si="3"/>
        <v>2020</v>
      </c>
      <c r="C80" s="173">
        <f t="shared" si="4"/>
        <v>1651.1</v>
      </c>
    </row>
    <row r="81" spans="2:3">
      <c r="B81" s="172">
        <f t="shared" si="3"/>
        <v>2021</v>
      </c>
      <c r="C81" s="173">
        <f t="shared" si="4"/>
        <v>1186.5</v>
      </c>
    </row>
    <row r="82" spans="2:3" ht="17.25" thickBot="1">
      <c r="B82" s="100" t="str">
        <f>B34</f>
        <v>30년평균</v>
      </c>
      <c r="C82" s="174">
        <f>O34</f>
        <v>1418.9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35"/>
  <sheetViews>
    <sheetView topLeftCell="A16" zoomScaleNormal="100" workbookViewId="0">
      <selection activeCell="P23" sqref="P23"/>
    </sheetView>
  </sheetViews>
  <sheetFormatPr defaultColWidth="8.88671875" defaultRowHeight="16.5"/>
  <cols>
    <col min="1" max="1" width="17" style="81" customWidth="1"/>
    <col min="2" max="2" width="19.21875" style="81" customWidth="1"/>
    <col min="3" max="16" width="8.77734375" style="81" customWidth="1"/>
    <col min="17" max="16384" width="8.88671875" style="81"/>
  </cols>
  <sheetData>
    <row r="2" spans="2:16">
      <c r="B2" s="82" t="s">
        <v>171</v>
      </c>
    </row>
    <row r="3" spans="2:16" ht="17.25" thickBot="1">
      <c r="I3"/>
      <c r="J3"/>
      <c r="K3"/>
    </row>
    <row r="4" spans="2:16" ht="23.25" customHeight="1">
      <c r="B4" s="102"/>
      <c r="C4" s="103" t="s">
        <v>7</v>
      </c>
      <c r="D4" s="104" t="s">
        <v>8</v>
      </c>
      <c r="E4" s="104" t="s">
        <v>9</v>
      </c>
      <c r="F4" s="104" t="s">
        <v>10</v>
      </c>
      <c r="G4" s="104" t="s">
        <v>11</v>
      </c>
      <c r="H4" s="104" t="s">
        <v>12</v>
      </c>
      <c r="I4" s="104" t="s">
        <v>13</v>
      </c>
      <c r="J4" s="104" t="s">
        <v>14</v>
      </c>
      <c r="K4" s="104" t="s">
        <v>15</v>
      </c>
      <c r="L4" s="104" t="s">
        <v>16</v>
      </c>
      <c r="M4" s="104" t="s">
        <v>17</v>
      </c>
      <c r="N4" s="105" t="s">
        <v>18</v>
      </c>
      <c r="O4" s="103" t="s">
        <v>19</v>
      </c>
      <c r="P4" s="105" t="s">
        <v>20</v>
      </c>
    </row>
    <row r="5" spans="2:16" ht="22.15" customHeight="1">
      <c r="B5" s="106">
        <f>All!B41</f>
        <v>2012</v>
      </c>
      <c r="C5" s="107">
        <f>All!C41</f>
        <v>6.7</v>
      </c>
      <c r="D5" s="87">
        <f>All!D41</f>
        <v>0.8</v>
      </c>
      <c r="E5" s="87">
        <f>All!E41</f>
        <v>47.4</v>
      </c>
      <c r="F5" s="87">
        <f>All!F41</f>
        <v>157</v>
      </c>
      <c r="G5" s="87">
        <f>All!G41</f>
        <v>8.1999999999999993</v>
      </c>
      <c r="H5" s="87">
        <f>All!H41</f>
        <v>91.9</v>
      </c>
      <c r="I5" s="87">
        <f>All!I41</f>
        <v>448.9</v>
      </c>
      <c r="J5" s="87">
        <f>All!J41</f>
        <v>464.9</v>
      </c>
      <c r="K5" s="87">
        <f>All!K41</f>
        <v>212</v>
      </c>
      <c r="L5" s="87">
        <f>All!L41</f>
        <v>99.3</v>
      </c>
      <c r="M5" s="87">
        <f>All!M41</f>
        <v>67.8</v>
      </c>
      <c r="N5" s="88">
        <f>All!N41</f>
        <v>41.4</v>
      </c>
      <c r="O5" s="107">
        <f>All!O41</f>
        <v>1646.3</v>
      </c>
      <c r="P5" s="88">
        <f>All!P41</f>
        <v>137.19999999999999</v>
      </c>
    </row>
    <row r="6" spans="2:16" ht="22.15" customHeight="1">
      <c r="B6" s="106">
        <f>All!B42</f>
        <v>2013</v>
      </c>
      <c r="C6" s="107">
        <f>All!C42</f>
        <v>22.1</v>
      </c>
      <c r="D6" s="87">
        <f>All!D42</f>
        <v>74.099999999999994</v>
      </c>
      <c r="E6" s="87">
        <f>All!E42</f>
        <v>27.3</v>
      </c>
      <c r="F6" s="87">
        <f>All!F42</f>
        <v>71.7</v>
      </c>
      <c r="G6" s="87">
        <f>All!G42</f>
        <v>132</v>
      </c>
      <c r="H6" s="87">
        <f>All!H42</f>
        <v>28.3</v>
      </c>
      <c r="I6" s="87">
        <f>All!I42</f>
        <v>676.2</v>
      </c>
      <c r="J6" s="87">
        <f>All!J42</f>
        <v>148.6</v>
      </c>
      <c r="K6" s="87">
        <f>All!K42</f>
        <v>138.5</v>
      </c>
      <c r="L6" s="87">
        <f>All!L42</f>
        <v>13.5</v>
      </c>
      <c r="M6" s="87">
        <f>All!M42</f>
        <v>46.8</v>
      </c>
      <c r="N6" s="88">
        <f>All!N42</f>
        <v>24.7</v>
      </c>
      <c r="O6" s="107">
        <f>All!O42</f>
        <v>1403.8</v>
      </c>
      <c r="P6" s="88">
        <f>All!P42</f>
        <v>117</v>
      </c>
    </row>
    <row r="7" spans="2:16" ht="22.15" customHeight="1">
      <c r="B7" s="106">
        <f>All!B43</f>
        <v>2014</v>
      </c>
      <c r="C7" s="107">
        <f>All!C43</f>
        <v>13</v>
      </c>
      <c r="D7" s="87">
        <f>All!D43</f>
        <v>16.2</v>
      </c>
      <c r="E7" s="87">
        <f>All!E43</f>
        <v>7.2</v>
      </c>
      <c r="F7" s="87">
        <f>All!F43</f>
        <v>31</v>
      </c>
      <c r="G7" s="87">
        <f>All!G43</f>
        <v>63</v>
      </c>
      <c r="H7" s="87">
        <f>All!H43</f>
        <v>98.1</v>
      </c>
      <c r="I7" s="87">
        <f>All!I43</f>
        <v>207.9</v>
      </c>
      <c r="J7" s="87">
        <f>All!J43</f>
        <v>172.8</v>
      </c>
      <c r="K7" s="87">
        <f>All!K43</f>
        <v>88.1</v>
      </c>
      <c r="L7" s="87">
        <f>All!L43</f>
        <v>52.2</v>
      </c>
      <c r="M7" s="87">
        <f>All!M43</f>
        <v>41.5</v>
      </c>
      <c r="N7" s="88">
        <f>All!N43</f>
        <v>17.899999999999999</v>
      </c>
      <c r="O7" s="107">
        <f>All!O43</f>
        <v>808.9</v>
      </c>
      <c r="P7" s="88">
        <f>All!P43</f>
        <v>67.400000000000006</v>
      </c>
    </row>
    <row r="8" spans="2:16" ht="22.15" customHeight="1">
      <c r="B8" s="186">
        <f>All!B44</f>
        <v>2015</v>
      </c>
      <c r="C8" s="107">
        <f>All!C44</f>
        <v>11.3</v>
      </c>
      <c r="D8" s="87">
        <f>All!D44</f>
        <v>22.7</v>
      </c>
      <c r="E8" s="87">
        <f>All!E44</f>
        <v>9.6</v>
      </c>
      <c r="F8" s="87">
        <f>All!F44</f>
        <v>80.5</v>
      </c>
      <c r="G8" s="87">
        <f>All!G44</f>
        <v>28.9</v>
      </c>
      <c r="H8" s="87">
        <f>All!H44</f>
        <v>99</v>
      </c>
      <c r="I8" s="87">
        <f>All!I44</f>
        <v>226</v>
      </c>
      <c r="J8" s="87">
        <f>All!J44</f>
        <v>72.900000000000006</v>
      </c>
      <c r="K8" s="87">
        <f>All!K44</f>
        <v>26</v>
      </c>
      <c r="L8" s="87">
        <f>All!L44</f>
        <v>81.5</v>
      </c>
      <c r="M8" s="87">
        <f>All!M44</f>
        <v>104.6</v>
      </c>
      <c r="N8" s="88">
        <f>All!N44</f>
        <v>29.1</v>
      </c>
      <c r="O8" s="169">
        <f>All!O44</f>
        <v>792.1</v>
      </c>
      <c r="P8" s="88">
        <f>All!P44</f>
        <v>66</v>
      </c>
    </row>
    <row r="9" spans="2:16" ht="22.15" customHeight="1">
      <c r="B9" s="106">
        <f>All!B45</f>
        <v>2016</v>
      </c>
      <c r="C9" s="107">
        <f>All!C45</f>
        <v>1</v>
      </c>
      <c r="D9" s="87">
        <f>All!D45</f>
        <v>47.6</v>
      </c>
      <c r="E9" s="87">
        <f>All!E45</f>
        <v>40.5</v>
      </c>
      <c r="F9" s="87">
        <f>All!F45</f>
        <v>76.8</v>
      </c>
      <c r="G9" s="87">
        <f>All!G45</f>
        <v>160.5</v>
      </c>
      <c r="H9" s="87">
        <f>All!H45</f>
        <v>54.4</v>
      </c>
      <c r="I9" s="87">
        <f>All!I45</f>
        <v>358.2</v>
      </c>
      <c r="J9" s="87">
        <f>All!J45</f>
        <v>67.099999999999994</v>
      </c>
      <c r="K9" s="87">
        <f>All!K45</f>
        <v>33</v>
      </c>
      <c r="L9" s="87">
        <f>All!L45</f>
        <v>74.8</v>
      </c>
      <c r="M9" s="87">
        <f>All!M45</f>
        <v>16.7</v>
      </c>
      <c r="N9" s="88">
        <f>All!N45</f>
        <v>61.1</v>
      </c>
      <c r="O9" s="107">
        <f>All!O45</f>
        <v>991.7</v>
      </c>
      <c r="P9" s="88">
        <f>All!P45</f>
        <v>82.6</v>
      </c>
    </row>
    <row r="10" spans="2:16" ht="22.15" customHeight="1">
      <c r="B10" s="106">
        <f>All!B46</f>
        <v>2017</v>
      </c>
      <c r="C10" s="107">
        <f>All!C46</f>
        <v>14.9</v>
      </c>
      <c r="D10" s="87">
        <f>All!D46</f>
        <v>11.1</v>
      </c>
      <c r="E10" s="87">
        <f>All!E46</f>
        <v>7.9</v>
      </c>
      <c r="F10" s="87">
        <f>All!F46</f>
        <v>61.6</v>
      </c>
      <c r="G10" s="87">
        <f>All!G46</f>
        <v>16.100000000000001</v>
      </c>
      <c r="H10" s="87">
        <f>All!H46</f>
        <v>66.599999999999994</v>
      </c>
      <c r="I10" s="87">
        <f>All!I46</f>
        <v>621</v>
      </c>
      <c r="J10" s="87">
        <f>All!J46</f>
        <v>297</v>
      </c>
      <c r="K10" s="87">
        <f>All!K46</f>
        <v>35</v>
      </c>
      <c r="L10" s="87">
        <f>All!L46</f>
        <v>26.5</v>
      </c>
      <c r="M10" s="87">
        <f>All!M46</f>
        <v>40.700000000000003</v>
      </c>
      <c r="N10" s="88">
        <f>All!N46</f>
        <v>34.799999999999997</v>
      </c>
      <c r="O10" s="107">
        <f>All!O46</f>
        <v>1233.2</v>
      </c>
      <c r="P10" s="88">
        <f>All!P46</f>
        <v>102.8</v>
      </c>
    </row>
    <row r="11" spans="2:16" ht="22.15" customHeight="1">
      <c r="B11" s="106">
        <f>All!B47</f>
        <v>2018</v>
      </c>
      <c r="C11" s="107">
        <f>All!C47</f>
        <v>8.5</v>
      </c>
      <c r="D11" s="87">
        <f>All!D47</f>
        <v>29.6</v>
      </c>
      <c r="E11" s="87">
        <f>All!E47</f>
        <v>49.5</v>
      </c>
      <c r="F11" s="87">
        <f>All!F47</f>
        <v>130.30000000000001</v>
      </c>
      <c r="G11" s="87">
        <f>All!G47</f>
        <v>222</v>
      </c>
      <c r="H11" s="87">
        <f>All!H47</f>
        <v>171.5</v>
      </c>
      <c r="I11" s="87">
        <f>All!I47</f>
        <v>185.6</v>
      </c>
      <c r="J11" s="87">
        <f>All!J47</f>
        <v>202.6</v>
      </c>
      <c r="K11" s="87">
        <f>All!K47</f>
        <v>68.5</v>
      </c>
      <c r="L11" s="87">
        <f>All!L47</f>
        <v>120.5</v>
      </c>
      <c r="M11" s="87">
        <f>All!M47</f>
        <v>79.099999999999994</v>
      </c>
      <c r="N11" s="88">
        <f>All!N47</f>
        <v>16.399999999999999</v>
      </c>
      <c r="O11" s="107">
        <f>All!O47</f>
        <v>1284.0999999999999</v>
      </c>
      <c r="P11" s="88">
        <f>All!P47</f>
        <v>107</v>
      </c>
    </row>
    <row r="12" spans="2:16" ht="22.15" customHeight="1">
      <c r="B12" s="106">
        <f>All!B48</f>
        <v>2019</v>
      </c>
      <c r="C12" s="107">
        <f>All!C48</f>
        <v>0</v>
      </c>
      <c r="D12" s="87">
        <f>All!D48</f>
        <v>23.8</v>
      </c>
      <c r="E12" s="87">
        <f>All!E48</f>
        <v>26.8</v>
      </c>
      <c r="F12" s="87">
        <f>All!F48</f>
        <v>47.3</v>
      </c>
      <c r="G12" s="87">
        <f>All!G48</f>
        <v>37.799999999999997</v>
      </c>
      <c r="H12" s="87">
        <f>All!H48</f>
        <v>74</v>
      </c>
      <c r="I12" s="87">
        <f>All!I48</f>
        <v>194.4</v>
      </c>
      <c r="J12" s="87">
        <f>All!J48</f>
        <v>190.5</v>
      </c>
      <c r="K12" s="87">
        <f>All!K48</f>
        <v>139.80000000000001</v>
      </c>
      <c r="L12" s="87">
        <f>All!L48</f>
        <v>55.5</v>
      </c>
      <c r="M12" s="87">
        <f>All!M48</f>
        <v>78.8</v>
      </c>
      <c r="N12" s="88">
        <f>All!N48</f>
        <v>22.6</v>
      </c>
      <c r="O12" s="107">
        <f>All!O48</f>
        <v>891.3</v>
      </c>
      <c r="P12" s="88">
        <f>All!P48</f>
        <v>74.3</v>
      </c>
    </row>
    <row r="13" spans="2:16" ht="22.15" customHeight="1">
      <c r="B13" s="186">
        <f>All!B49</f>
        <v>2020</v>
      </c>
      <c r="C13" s="107">
        <f>All!C49</f>
        <v>60.5</v>
      </c>
      <c r="D13" s="87">
        <f>All!D49</f>
        <v>53.1</v>
      </c>
      <c r="E13" s="87">
        <f>All!E49</f>
        <v>16.3</v>
      </c>
      <c r="F13" s="87">
        <f>All!F49</f>
        <v>16.899999999999999</v>
      </c>
      <c r="G13" s="87">
        <f>All!G49</f>
        <v>112.4</v>
      </c>
      <c r="H13" s="87">
        <f>All!H49</f>
        <v>139.6</v>
      </c>
      <c r="I13" s="87">
        <f>All!I49</f>
        <v>270.39999999999998</v>
      </c>
      <c r="J13" s="87">
        <f>All!J49</f>
        <v>675.7</v>
      </c>
      <c r="K13" s="87">
        <f>All!K49</f>
        <v>181.5</v>
      </c>
      <c r="L13" s="87">
        <f>All!L49</f>
        <v>0</v>
      </c>
      <c r="M13" s="87">
        <f>All!M49</f>
        <v>120.1</v>
      </c>
      <c r="N13" s="88">
        <f>All!N49</f>
        <v>4.5999999999999996</v>
      </c>
      <c r="O13" s="169">
        <f>All!O49</f>
        <v>1651.1</v>
      </c>
      <c r="P13" s="88">
        <f>All!P49</f>
        <v>137.6</v>
      </c>
    </row>
    <row r="14" spans="2:16" ht="22.15" customHeight="1" thickBot="1">
      <c r="B14" s="106">
        <f>All!B50</f>
        <v>2021</v>
      </c>
      <c r="C14" s="108">
        <f>All!C50</f>
        <v>18.899999999999999</v>
      </c>
      <c r="D14" s="109">
        <f>All!D50</f>
        <v>7.1</v>
      </c>
      <c r="E14" s="109">
        <f>All!E50</f>
        <v>110.9</v>
      </c>
      <c r="F14" s="109">
        <f>All!F50</f>
        <v>124.1</v>
      </c>
      <c r="G14" s="109">
        <f>All!G50</f>
        <v>183.1</v>
      </c>
      <c r="H14" s="109">
        <f>All!H50</f>
        <v>104.6</v>
      </c>
      <c r="I14" s="109">
        <f>All!I50</f>
        <v>168.3</v>
      </c>
      <c r="J14" s="109">
        <f>All!J50</f>
        <v>211.2</v>
      </c>
      <c r="K14" s="109">
        <f>All!K50</f>
        <v>131</v>
      </c>
      <c r="L14" s="109">
        <f>All!L50</f>
        <v>57</v>
      </c>
      <c r="M14" s="109">
        <f>All!M50</f>
        <v>62.4</v>
      </c>
      <c r="N14" s="110">
        <f>All!N50</f>
        <v>7.9</v>
      </c>
      <c r="O14" s="108">
        <f>All!O50</f>
        <v>1186.5</v>
      </c>
      <c r="P14" s="110">
        <f>All!P50</f>
        <v>98.9</v>
      </c>
    </row>
    <row r="15" spans="2:16" ht="22.15" customHeight="1">
      <c r="B15" s="111" t="s">
        <v>21</v>
      </c>
      <c r="C15" s="112">
        <f>All!C51</f>
        <v>60.5</v>
      </c>
      <c r="D15" s="113">
        <f>All!D51</f>
        <v>74.099999999999994</v>
      </c>
      <c r="E15" s="113">
        <f>All!E51</f>
        <v>110.9</v>
      </c>
      <c r="F15" s="113">
        <f>All!F51</f>
        <v>157</v>
      </c>
      <c r="G15" s="113">
        <f>All!G51</f>
        <v>222</v>
      </c>
      <c r="H15" s="113">
        <f>All!H51</f>
        <v>171.5</v>
      </c>
      <c r="I15" s="113">
        <f>All!I51</f>
        <v>676.2</v>
      </c>
      <c r="J15" s="113">
        <f>All!J51</f>
        <v>675.7</v>
      </c>
      <c r="K15" s="113">
        <f>All!K51</f>
        <v>212</v>
      </c>
      <c r="L15" s="113">
        <f>All!L51</f>
        <v>120.5</v>
      </c>
      <c r="M15" s="113">
        <f>All!M51</f>
        <v>120.1</v>
      </c>
      <c r="N15" s="114">
        <f>All!N51</f>
        <v>61.1</v>
      </c>
      <c r="O15" s="182">
        <f>All!O51</f>
        <v>1651.1</v>
      </c>
      <c r="P15" s="114">
        <f>All!P51</f>
        <v>137.6</v>
      </c>
    </row>
    <row r="16" spans="2:16" ht="22.15" customHeight="1">
      <c r="B16" s="106" t="s">
        <v>22</v>
      </c>
      <c r="C16" s="107">
        <f>All!C52</f>
        <v>0</v>
      </c>
      <c r="D16" s="87">
        <f>All!D52</f>
        <v>0.8</v>
      </c>
      <c r="E16" s="87">
        <f>All!E52</f>
        <v>7.2</v>
      </c>
      <c r="F16" s="87">
        <f>All!F52</f>
        <v>16.899999999999999</v>
      </c>
      <c r="G16" s="87">
        <f>All!G52</f>
        <v>8.1999999999999993</v>
      </c>
      <c r="H16" s="87">
        <f>All!H52</f>
        <v>28.3</v>
      </c>
      <c r="I16" s="87">
        <f>All!I52</f>
        <v>168.3</v>
      </c>
      <c r="J16" s="87">
        <f>All!J52</f>
        <v>67.099999999999994</v>
      </c>
      <c r="K16" s="87">
        <f>All!K52</f>
        <v>26</v>
      </c>
      <c r="L16" s="87">
        <f>All!L52</f>
        <v>0</v>
      </c>
      <c r="M16" s="87">
        <f>All!M52</f>
        <v>16.7</v>
      </c>
      <c r="N16" s="88">
        <f>All!N52</f>
        <v>4.5999999999999996</v>
      </c>
      <c r="O16" s="181">
        <f>All!O52</f>
        <v>792.1</v>
      </c>
      <c r="P16" s="88">
        <f>All!P52</f>
        <v>66</v>
      </c>
    </row>
    <row r="17" spans="1:16" ht="22.15" customHeight="1" thickBot="1">
      <c r="B17" s="115" t="s">
        <v>20</v>
      </c>
      <c r="C17" s="116">
        <f>All!C53</f>
        <v>15.7</v>
      </c>
      <c r="D17" s="117">
        <f>All!D53</f>
        <v>28.6</v>
      </c>
      <c r="E17" s="359">
        <f>All!E53</f>
        <v>34.299999999999997</v>
      </c>
      <c r="F17" s="117">
        <f>All!F53</f>
        <v>79.7</v>
      </c>
      <c r="G17" s="118">
        <f>All!G53</f>
        <v>96.4</v>
      </c>
      <c r="H17" s="118">
        <f>All!H53</f>
        <v>92.8</v>
      </c>
      <c r="I17" s="118">
        <f>All!I53</f>
        <v>335.7</v>
      </c>
      <c r="J17" s="118">
        <f>All!J53</f>
        <v>250.3</v>
      </c>
      <c r="K17" s="118">
        <f>All!K53</f>
        <v>105.3</v>
      </c>
      <c r="L17" s="117">
        <f>All!L53</f>
        <v>58.1</v>
      </c>
      <c r="M17" s="117">
        <f>All!M53</f>
        <v>65.900000000000006</v>
      </c>
      <c r="N17" s="95">
        <f>All!N53</f>
        <v>26.1</v>
      </c>
      <c r="O17" s="184">
        <f>All!O53</f>
        <v>1188.9000000000001</v>
      </c>
      <c r="P17" s="180">
        <f>All!P53</f>
        <v>99.1</v>
      </c>
    </row>
    <row r="18" spans="1:16" ht="29.25" customHeight="1" thickBot="1">
      <c r="B18" s="119" t="s">
        <v>23</v>
      </c>
      <c r="C18" s="120">
        <f>All!C37</f>
        <v>17</v>
      </c>
      <c r="D18" s="121">
        <f>All!D37</f>
        <v>27.5</v>
      </c>
      <c r="E18" s="121">
        <f>All!E37</f>
        <v>38.4</v>
      </c>
      <c r="F18" s="121">
        <f>All!F37</f>
        <v>75.400000000000006</v>
      </c>
      <c r="G18" s="121">
        <f>All!G37</f>
        <v>106.9</v>
      </c>
      <c r="H18" s="121">
        <f>All!H37</f>
        <v>130.30000000000001</v>
      </c>
      <c r="I18" s="122">
        <f>All!I37</f>
        <v>403.8</v>
      </c>
      <c r="J18" s="122">
        <f>All!J37</f>
        <v>353</v>
      </c>
      <c r="K18" s="122">
        <f>All!K37</f>
        <v>140.1</v>
      </c>
      <c r="L18" s="122">
        <f>All!L37</f>
        <v>53.2</v>
      </c>
      <c r="M18" s="122">
        <f>All!M37</f>
        <v>52</v>
      </c>
      <c r="N18" s="123">
        <f>All!N37</f>
        <v>21.4</v>
      </c>
      <c r="O18" s="124">
        <f>All!O37</f>
        <v>1418.9</v>
      </c>
      <c r="P18" s="123">
        <f>All!P37</f>
        <v>118.2</v>
      </c>
    </row>
    <row r="19" spans="1:16" ht="22.15" customHeight="1" thickBot="1"/>
    <row r="20" spans="1:16">
      <c r="B20" s="247" t="s">
        <v>24</v>
      </c>
      <c r="C20" s="244"/>
      <c r="D20" s="248">
        <f>SUM(G17:K17)</f>
        <v>880.5</v>
      </c>
      <c r="F20" s="125"/>
    </row>
    <row r="21" spans="1:16">
      <c r="B21" s="249" t="s">
        <v>172</v>
      </c>
      <c r="D21" s="250">
        <f>O17</f>
        <v>1188.9000000000001</v>
      </c>
    </row>
    <row r="22" spans="1:16" ht="17.25" thickBot="1">
      <c r="B22" s="245"/>
      <c r="C22" s="246"/>
      <c r="D22" s="251">
        <f>D20/D21</f>
        <v>0.74060055513499867</v>
      </c>
    </row>
    <row r="23" spans="1:16" ht="33.75" customHeight="1" thickBot="1">
      <c r="C23" s="253" t="s">
        <v>197</v>
      </c>
      <c r="D23" s="253" t="s">
        <v>198</v>
      </c>
      <c r="E23" s="253" t="s">
        <v>199</v>
      </c>
    </row>
    <row r="24" spans="1:16" ht="21.95" customHeight="1" thickBot="1">
      <c r="B24" s="234" t="s">
        <v>97</v>
      </c>
      <c r="C24" s="237">
        <f>O16</f>
        <v>792.1</v>
      </c>
      <c r="D24" s="224"/>
      <c r="E24" s="214"/>
      <c r="H24" s="222" t="s">
        <v>193</v>
      </c>
      <c r="I24" s="421" t="s">
        <v>249</v>
      </c>
      <c r="J24" s="422"/>
      <c r="K24" s="423">
        <f>INDEX(Location[recharge], MATCH(I24,Location[name],0))</f>
        <v>0.13400000000000001</v>
      </c>
      <c r="L24" s="424">
        <f>INDEX(Location[ratio], MATCH(I24,Location[name],0))</f>
        <v>0.65</v>
      </c>
    </row>
    <row r="25" spans="1:16" ht="21.95" customHeight="1" thickBot="1">
      <c r="B25" s="217" t="s">
        <v>25</v>
      </c>
      <c r="C25" s="236">
        <f>O18</f>
        <v>1418.9</v>
      </c>
      <c r="D25" s="225"/>
      <c r="E25" s="216"/>
      <c r="H25" s="222" t="s">
        <v>194</v>
      </c>
      <c r="I25" s="425" t="s">
        <v>213</v>
      </c>
      <c r="J25" s="426"/>
      <c r="K25" s="427">
        <f>INDEX(Location[recharge], MATCH(I25,Location[name],0))</f>
        <v>0.128</v>
      </c>
      <c r="L25" s="428">
        <f>INDEX(Location[ratio], MATCH(I25,Location[name],0))</f>
        <v>0.64</v>
      </c>
    </row>
    <row r="26" spans="1:16" ht="21.95" customHeight="1">
      <c r="B26" s="215" t="s">
        <v>170</v>
      </c>
      <c r="C26" s="232">
        <f>L24</f>
        <v>0.65</v>
      </c>
      <c r="D26" s="231">
        <f>L25</f>
        <v>0.64</v>
      </c>
      <c r="E26" s="230">
        <f>L26</f>
        <v>0.66849999999999998</v>
      </c>
      <c r="H26" s="222" t="s">
        <v>195</v>
      </c>
      <c r="I26" s="429" t="s">
        <v>214</v>
      </c>
      <c r="J26" s="430"/>
      <c r="K26" s="431">
        <f>INDEX(Location[recharge], MATCH(I26,Location[name],0))</f>
        <v>0.17299999999999999</v>
      </c>
      <c r="L26" s="432">
        <f>INDEX(Location[ratio], MATCH(I26,Location[name],0))</f>
        <v>0.66849999999999998</v>
      </c>
    </row>
    <row r="27" spans="1:16" ht="21.95" customHeight="1">
      <c r="B27" s="217" t="s">
        <v>26</v>
      </c>
      <c r="C27" s="226">
        <f>Well!P4</f>
        <v>5204026</v>
      </c>
      <c r="D27" s="225"/>
      <c r="E27" s="223"/>
    </row>
    <row r="28" spans="1:16" ht="21.95" customHeight="1" thickBot="1">
      <c r="B28" s="233" t="s">
        <v>27</v>
      </c>
      <c r="C28" s="227">
        <f>K24</f>
        <v>0.13400000000000001</v>
      </c>
      <c r="D28" s="228">
        <f>K25</f>
        <v>0.128</v>
      </c>
      <c r="E28" s="229">
        <f>K26</f>
        <v>0.17299999999999999</v>
      </c>
    </row>
    <row r="29" spans="1:16" ht="17.25" thickBot="1">
      <c r="E29" s="126"/>
    </row>
    <row r="30" spans="1:16" ht="22.15" customHeight="1" thickBot="1">
      <c r="B30" s="213" t="s">
        <v>173</v>
      </c>
      <c r="C30" s="242">
        <f>max*rf_1/10</f>
        <v>19.013260000000002</v>
      </c>
      <c r="D30" s="242">
        <f>max*rf_2/10</f>
        <v>18.161920000000002</v>
      </c>
      <c r="E30" s="243">
        <f>max*rf_3/10</f>
        <v>24.546969999999998</v>
      </c>
    </row>
    <row r="31" spans="1:16" ht="22.15" customHeight="1">
      <c r="E31" s="126"/>
    </row>
    <row r="32" spans="1:16" ht="17.25" customHeight="1">
      <c r="A32" s="81" t="s">
        <v>174</v>
      </c>
      <c r="B32"/>
      <c r="C32"/>
      <c r="D32"/>
    </row>
    <row r="33" spans="1:6" ht="17.25" customHeight="1">
      <c r="A33" s="81" t="s">
        <v>175</v>
      </c>
    </row>
    <row r="34" spans="1:6" ht="17.25" customHeight="1">
      <c r="C34"/>
      <c r="D34"/>
    </row>
    <row r="35" spans="1:6" ht="17.25" customHeight="1"/>
  </sheetData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8" customWidth="1"/>
    <col min="2" max="2" width="11.5546875" style="238" customWidth="1"/>
    <col min="3" max="3" width="13" style="238" customWidth="1"/>
    <col min="4" max="16384" width="8.88671875" style="239"/>
  </cols>
  <sheetData>
    <row r="1" spans="1:12" ht="18" customHeight="1">
      <c r="A1" s="238" t="s">
        <v>209</v>
      </c>
      <c r="B1" s="238" t="s">
        <v>210</v>
      </c>
      <c r="C1" s="238" t="s">
        <v>211</v>
      </c>
    </row>
    <row r="2" spans="1:12" ht="18" customHeight="1">
      <c r="A2" s="238" t="s">
        <v>208</v>
      </c>
      <c r="B2" s="240">
        <v>0.13600000000000001</v>
      </c>
      <c r="C2" s="240">
        <v>0.66</v>
      </c>
    </row>
    <row r="3" spans="1:12" ht="18" customHeight="1">
      <c r="A3" s="238" t="s">
        <v>200</v>
      </c>
      <c r="B3" s="240">
        <v>0.151</v>
      </c>
      <c r="C3" s="240">
        <v>0.65</v>
      </c>
    </row>
    <row r="4" spans="1:12" ht="18" customHeight="1">
      <c r="A4" s="238" t="s">
        <v>188</v>
      </c>
      <c r="B4" s="240">
        <v>0.16700000000000001</v>
      </c>
      <c r="C4" s="240">
        <v>0.65</v>
      </c>
      <c r="J4" s="239" t="s">
        <v>202</v>
      </c>
      <c r="K4" s="239">
        <f>INDEX(Location[recharge],MATCH(J4,Location[name],0))</f>
        <v>0.16600000000000001</v>
      </c>
      <c r="L4" s="239">
        <f>INDEX(Location[ratio], MATCH(J4,Location[name]))</f>
        <v>0.64</v>
      </c>
    </row>
    <row r="5" spans="1:12" ht="18" customHeight="1">
      <c r="A5" s="238" t="s">
        <v>189</v>
      </c>
      <c r="B5" s="240">
        <v>0.17299999999999999</v>
      </c>
      <c r="C5" s="240">
        <v>0.66849999999999998</v>
      </c>
    </row>
    <row r="6" spans="1:12" ht="18" customHeight="1">
      <c r="A6" s="238" t="s">
        <v>201</v>
      </c>
      <c r="B6" s="240">
        <v>0.16300000000000001</v>
      </c>
      <c r="C6" s="240">
        <v>0.67</v>
      </c>
    </row>
    <row r="7" spans="1:12" ht="18" customHeight="1">
      <c r="A7" s="238" t="s">
        <v>203</v>
      </c>
      <c r="B7" s="240">
        <v>0.16600000000000001</v>
      </c>
      <c r="C7" s="240">
        <v>0.64</v>
      </c>
      <c r="E7" s="239" t="s">
        <v>212</v>
      </c>
    </row>
    <row r="8" spans="1:12" ht="18" customHeight="1">
      <c r="A8" s="238" t="s">
        <v>204</v>
      </c>
      <c r="B8" s="240">
        <v>0.16600000000000001</v>
      </c>
      <c r="C8" s="240">
        <v>0.64</v>
      </c>
    </row>
    <row r="9" spans="1:12" ht="18" customHeight="1">
      <c r="A9" s="238" t="s">
        <v>190</v>
      </c>
      <c r="B9" s="240">
        <v>0.125</v>
      </c>
      <c r="C9" s="240">
        <v>0.67</v>
      </c>
    </row>
    <row r="10" spans="1:12" ht="18" customHeight="1">
      <c r="A10" s="238" t="s">
        <v>205</v>
      </c>
      <c r="B10" s="240">
        <v>0.127</v>
      </c>
      <c r="C10" s="240">
        <v>0.65</v>
      </c>
    </row>
    <row r="11" spans="1:12" ht="18" customHeight="1">
      <c r="A11" s="238" t="s">
        <v>206</v>
      </c>
      <c r="B11" s="240">
        <v>0.128</v>
      </c>
      <c r="C11" s="240">
        <v>0.64</v>
      </c>
    </row>
    <row r="12" spans="1:12" ht="18" customHeight="1">
      <c r="A12" s="238" t="s">
        <v>207</v>
      </c>
      <c r="B12" s="240">
        <v>0.17499999999999999</v>
      </c>
      <c r="C12" s="240">
        <v>0.67</v>
      </c>
    </row>
    <row r="13" spans="1:12" ht="18" customHeight="1">
      <c r="A13" s="238" t="s">
        <v>224</v>
      </c>
      <c r="B13" s="240">
        <v>0.13</v>
      </c>
      <c r="C13" s="240">
        <v>0.63</v>
      </c>
    </row>
    <row r="14" spans="1:12" ht="18" customHeight="1">
      <c r="A14" s="238" t="s">
        <v>225</v>
      </c>
      <c r="B14" s="240">
        <v>0.13400000000000001</v>
      </c>
      <c r="C14" s="240">
        <v>0.65</v>
      </c>
    </row>
    <row r="15" spans="1:12" ht="18" customHeight="1">
      <c r="A15" s="238" t="s">
        <v>227</v>
      </c>
      <c r="B15" s="240">
        <v>0.16500000000000001</v>
      </c>
      <c r="C15" s="240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6"/>
  <sheetViews>
    <sheetView zoomScaleNormal="100" workbookViewId="0">
      <selection activeCell="F12" sqref="F12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4.7773437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60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9.77734375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215</v>
      </c>
      <c r="J1" s="68"/>
    </row>
    <row r="2" spans="1:18" s="361" customFormat="1" ht="23.1" customHeight="1">
      <c r="A2" s="397" t="s">
        <v>0</v>
      </c>
      <c r="B2" s="387" t="s">
        <v>39</v>
      </c>
      <c r="C2" s="387" t="s">
        <v>6</v>
      </c>
      <c r="D2" s="387" t="s">
        <v>38</v>
      </c>
      <c r="E2" s="387" t="s">
        <v>217</v>
      </c>
      <c r="F2" s="387" t="s">
        <v>216</v>
      </c>
      <c r="G2" s="391" t="s">
        <v>1</v>
      </c>
      <c r="H2" s="391" t="s">
        <v>2</v>
      </c>
      <c r="I2" s="391" t="s">
        <v>178</v>
      </c>
      <c r="J2" s="395" t="s">
        <v>179</v>
      </c>
      <c r="K2" s="391" t="s">
        <v>180</v>
      </c>
      <c r="L2" s="391" t="s">
        <v>3</v>
      </c>
      <c r="M2" s="391" t="s">
        <v>4</v>
      </c>
      <c r="N2" s="391" t="s">
        <v>5</v>
      </c>
      <c r="O2" s="391" t="s">
        <v>100</v>
      </c>
      <c r="P2" s="393" t="s">
        <v>40</v>
      </c>
      <c r="Q2" s="387" t="s">
        <v>164</v>
      </c>
      <c r="R2" s="389" t="s">
        <v>94</v>
      </c>
    </row>
    <row r="3" spans="1:18" s="361" customFormat="1" ht="27" customHeight="1">
      <c r="A3" s="398"/>
      <c r="B3" s="388"/>
      <c r="C3" s="388"/>
      <c r="D3" s="388"/>
      <c r="E3" s="388"/>
      <c r="F3" s="388"/>
      <c r="G3" s="392"/>
      <c r="H3" s="392"/>
      <c r="I3" s="392"/>
      <c r="J3" s="396"/>
      <c r="K3" s="392"/>
      <c r="L3" s="392"/>
      <c r="M3" s="392"/>
      <c r="N3" s="392"/>
      <c r="O3" s="392"/>
      <c r="P3" s="394"/>
      <c r="Q3" s="388"/>
      <c r="R3" s="390"/>
    </row>
    <row r="4" spans="1:18" ht="23.1" customHeight="1" thickBot="1">
      <c r="A4" s="377" t="s">
        <v>160</v>
      </c>
      <c r="B4" s="378" t="s">
        <v>226</v>
      </c>
      <c r="C4" s="379"/>
      <c r="D4" s="378" t="s">
        <v>246</v>
      </c>
      <c r="E4" s="378" t="s">
        <v>247</v>
      </c>
      <c r="F4" s="378" t="s">
        <v>248</v>
      </c>
      <c r="G4" s="378">
        <v>200</v>
      </c>
      <c r="H4" s="378">
        <v>430</v>
      </c>
      <c r="I4" s="378">
        <v>5</v>
      </c>
      <c r="J4" s="378">
        <v>52</v>
      </c>
      <c r="K4" s="378">
        <v>150</v>
      </c>
      <c r="L4" s="378">
        <v>5</v>
      </c>
      <c r="M4" s="378">
        <v>50</v>
      </c>
      <c r="N4" s="380">
        <v>50</v>
      </c>
      <c r="O4" s="381">
        <v>34.6</v>
      </c>
      <c r="P4" s="382">
        <v>5204026</v>
      </c>
      <c r="Q4" s="378"/>
      <c r="R4" s="383"/>
    </row>
    <row r="5" spans="1:18" ht="23.25" customHeight="1">
      <c r="A5" s="241"/>
    </row>
    <row r="6" spans="1:18" ht="23.25" customHeight="1">
      <c r="I6" s="37">
        <f>SUM(I4:I5)</f>
        <v>5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5" r:id="rId4" name="CommandButton5">
          <controlPr defaultSize="0" autoLine="0" r:id="rId5">
            <anchor moveWithCells="1">
              <from>
                <xdr:col>17</xdr:col>
                <xdr:colOff>38100</xdr:colOff>
                <xdr:row>0</xdr:row>
                <xdr:rowOff>381000</xdr:rowOff>
              </from>
              <to>
                <xdr:col>17</xdr:col>
                <xdr:colOff>1219200</xdr:colOff>
                <xdr:row>0</xdr:row>
                <xdr:rowOff>695325</xdr:rowOff>
              </to>
            </anchor>
          </controlPr>
        </control>
      </mc:Choice>
      <mc:Fallback>
        <control shapeId="99335" r:id="rId4" name="CommandButton5"/>
      </mc:Fallback>
    </mc:AlternateContent>
    <mc:AlternateContent xmlns:mc="http://schemas.openxmlformats.org/markup-compatibility/2006">
      <mc:Choice Requires="x14">
        <control shapeId="99334" r:id="rId6" name="SingleColor">
          <controlPr defaultSize="0" autoLine="0" r:id="rId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6" name="SingleColor"/>
      </mc:Fallback>
    </mc:AlternateContent>
    <mc:AlternateContent xmlns:mc="http://schemas.openxmlformats.org/markup-compatibility/2006">
      <mc:Choice Requires="x14">
        <control shapeId="99332" r:id="rId8" name="CommandButton4">
          <controlPr defaultSize="0" autoLine="0" r:id="rId9">
            <anchor moveWithCells="1">
              <from>
                <xdr:col>16</xdr:col>
                <xdr:colOff>114300</xdr:colOff>
                <xdr:row>0</xdr:row>
                <xdr:rowOff>390525</xdr:rowOff>
              </from>
              <to>
                <xdr:col>16</xdr:col>
                <xdr:colOff>1295400</xdr:colOff>
                <xdr:row>0</xdr:row>
                <xdr:rowOff>704850</xdr:rowOff>
              </to>
            </anchor>
          </controlPr>
        </control>
      </mc:Choice>
      <mc:Fallback>
        <control shapeId="99332" r:id="rId8" name="CommandButton4"/>
      </mc:Fallback>
    </mc:AlternateContent>
    <mc:AlternateContent xmlns:mc="http://schemas.openxmlformats.org/markup-compatibility/2006">
      <mc:Choice Requires="x14">
        <control shapeId="99331" r:id="rId10" name="CommandButton3">
          <controlPr defaultSize="0" autoLine="0" r:id="rId11">
            <anchor moveWithCells="1">
              <from>
                <xdr:col>2</xdr:col>
                <xdr:colOff>104775</xdr:colOff>
                <xdr:row>0</xdr:row>
                <xdr:rowOff>390525</xdr:rowOff>
              </from>
              <to>
                <xdr:col>3</xdr:col>
                <xdr:colOff>1038225</xdr:colOff>
                <xdr:row>0</xdr:row>
                <xdr:rowOff>704850</xdr:rowOff>
              </to>
            </anchor>
          </controlPr>
        </control>
      </mc:Choice>
      <mc:Fallback>
        <control shapeId="99331" r:id="rId10" name="CommandButton3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autoPict="0" r:id="rId17">
            <anchor moveWithCells="1">
              <from>
                <xdr:col>3</xdr:col>
                <xdr:colOff>1114425</xdr:colOff>
                <xdr:row>0</xdr:row>
                <xdr:rowOff>390525</xdr:rowOff>
              </from>
              <to>
                <xdr:col>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G1:S26"/>
  <sheetViews>
    <sheetView workbookViewId="0">
      <selection activeCell="H13" sqref="H13"/>
    </sheetView>
  </sheetViews>
  <sheetFormatPr defaultRowHeight="20.100000000000001" customHeight="1"/>
  <cols>
    <col min="7" max="7" width="9.77734375" style="311" customWidth="1"/>
    <col min="8" max="8" width="13" style="311" customWidth="1"/>
    <col min="9" max="9" width="11.21875" style="316" customWidth="1"/>
    <col min="10" max="10" width="13" style="311" customWidth="1"/>
    <col min="11" max="11" width="13.5546875" style="312" customWidth="1"/>
    <col min="12" max="12" width="4.109375" customWidth="1"/>
    <col min="16" max="16" width="8.33203125" customWidth="1"/>
    <col min="17" max="17" width="10" customWidth="1"/>
    <col min="18" max="18" width="13.44140625" customWidth="1"/>
    <col min="19" max="19" width="16.6640625" customWidth="1"/>
  </cols>
  <sheetData>
    <row r="1" spans="7:19" ht="20.100000000000001" customHeight="1" thickBot="1"/>
    <row r="2" spans="7:19" ht="20.100000000000001" customHeight="1" thickBot="1">
      <c r="G2" s="313" t="s">
        <v>223</v>
      </c>
      <c r="H2" s="313" t="s">
        <v>219</v>
      </c>
      <c r="I2" s="315" t="s">
        <v>220</v>
      </c>
      <c r="J2" s="313" t="s">
        <v>221</v>
      </c>
      <c r="K2" s="314" t="s">
        <v>222</v>
      </c>
      <c r="M2" s="319"/>
      <c r="N2" s="320" t="s">
        <v>228</v>
      </c>
      <c r="O2" s="321" t="s">
        <v>229</v>
      </c>
      <c r="Q2" s="330" t="s">
        <v>223</v>
      </c>
      <c r="R2" s="314" t="s">
        <v>232</v>
      </c>
      <c r="S2" s="314" t="s">
        <v>233</v>
      </c>
    </row>
    <row r="3" spans="7:19" ht="20.100000000000001" customHeight="1" thickBot="1">
      <c r="M3" s="322" t="s">
        <v>222</v>
      </c>
      <c r="N3" s="317"/>
      <c r="O3" s="323"/>
      <c r="Q3" s="317"/>
      <c r="R3" s="331"/>
      <c r="S3" s="331"/>
    </row>
    <row r="4" spans="7:19" ht="20.100000000000001" customHeight="1" thickBot="1">
      <c r="M4" s="322" t="s">
        <v>230</v>
      </c>
      <c r="N4" s="318"/>
      <c r="O4" s="324"/>
      <c r="Q4" s="317"/>
      <c r="R4" s="331"/>
      <c r="S4" s="331"/>
    </row>
    <row r="5" spans="7:19" ht="20.100000000000001" customHeight="1" thickBot="1">
      <c r="M5" s="325" t="s">
        <v>231</v>
      </c>
      <c r="N5" s="326"/>
      <c r="O5" s="327"/>
      <c r="Q5" s="317"/>
      <c r="R5" s="331"/>
      <c r="S5" s="331"/>
    </row>
    <row r="6" spans="7:19" ht="20.100000000000001" customHeight="1">
      <c r="Q6" s="317"/>
      <c r="R6" s="331"/>
      <c r="S6" s="331"/>
    </row>
    <row r="7" spans="7:19" ht="20.100000000000001" customHeight="1">
      <c r="Q7" s="317"/>
      <c r="R7" s="331"/>
      <c r="S7" s="331"/>
    </row>
    <row r="15" spans="7:19" ht="20.100000000000001" customHeight="1">
      <c r="L15" s="311"/>
      <c r="M15" s="311"/>
      <c r="N15" s="311"/>
      <c r="O15" s="311"/>
      <c r="P15" s="311"/>
      <c r="Q15" s="311"/>
      <c r="R15" s="311"/>
    </row>
    <row r="16" spans="7:19" ht="20.100000000000001" customHeight="1">
      <c r="L16" s="311"/>
      <c r="M16" s="311"/>
      <c r="N16" s="311"/>
      <c r="O16" s="311"/>
      <c r="P16" s="311"/>
      <c r="Q16" s="311"/>
      <c r="R16" s="311"/>
    </row>
    <row r="17" spans="12:19" ht="20.100000000000001" customHeight="1">
      <c r="L17" s="311"/>
      <c r="M17" s="311"/>
      <c r="N17" s="311"/>
      <c r="O17" s="311"/>
      <c r="P17" s="311"/>
      <c r="Q17" s="311"/>
      <c r="R17" s="311"/>
    </row>
    <row r="18" spans="12:19" ht="20.100000000000001" customHeight="1">
      <c r="L18" s="311"/>
      <c r="M18" s="311"/>
      <c r="N18" s="311"/>
      <c r="O18" s="311"/>
      <c r="P18" s="311"/>
      <c r="Q18" s="311"/>
      <c r="R18" s="311"/>
    </row>
    <row r="22" spans="12:19" ht="20.100000000000001" customHeight="1">
      <c r="M22" s="316"/>
      <c r="N22" s="316"/>
      <c r="O22" s="316"/>
      <c r="P22" s="316"/>
      <c r="Q22" s="316"/>
      <c r="R22" s="316"/>
      <c r="S22" s="316"/>
    </row>
    <row r="23" spans="12:19" ht="20.100000000000001" customHeight="1">
      <c r="M23" s="332">
        <v>64.507499512316002</v>
      </c>
      <c r="N23" s="318"/>
      <c r="O23" s="332"/>
      <c r="P23" s="318">
        <v>61.206784490539548</v>
      </c>
      <c r="Q23" s="332"/>
      <c r="R23" s="316"/>
      <c r="S23" s="316"/>
    </row>
    <row r="24" spans="12:19" ht="20.100000000000001" customHeight="1">
      <c r="M24" s="333">
        <v>62</v>
      </c>
      <c r="N24" s="334"/>
      <c r="O24" s="333"/>
      <c r="P24" s="334">
        <v>60</v>
      </c>
      <c r="Q24" s="333"/>
      <c r="R24" s="316"/>
      <c r="S24" s="316"/>
    </row>
    <row r="25" spans="12:19" ht="20.100000000000001" customHeight="1">
      <c r="M25" s="316"/>
      <c r="N25" s="316"/>
      <c r="O25" s="316"/>
      <c r="P25" s="316"/>
      <c r="Q25" s="316"/>
      <c r="R25" s="316"/>
      <c r="S25" s="316"/>
    </row>
    <row r="26" spans="12:19" ht="20.100000000000001" customHeight="1">
      <c r="M26" s="316"/>
      <c r="N26" s="316"/>
      <c r="O26" s="316"/>
      <c r="P26" s="316"/>
      <c r="Q26" s="316"/>
      <c r="R26" s="316"/>
      <c r="S26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9" r:id="rId3" name="CommandButton3">
          <controlPr defaultSize="0" autoLine="0" r:id="rId4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3" name="CommandButton3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7" r:id="rId7" name="CommandButton1">
          <controlPr defaultSize="0" autoLine="0" r:id="rId8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180975</xdr:rowOff>
              </to>
            </anchor>
          </controlPr>
        </control>
      </mc:Choice>
      <mc:Fallback>
        <control shapeId="178177" r:id="rId7" name="CommandButton1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D2:U46"/>
  <sheetViews>
    <sheetView workbookViewId="0">
      <selection activeCell="M14" sqref="M14"/>
    </sheetView>
  </sheetViews>
  <sheetFormatPr defaultRowHeight="20.100000000000001" customHeight="1"/>
  <cols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4" max="14" width="9.88671875" customWidth="1"/>
    <col min="15" max="15" width="9.44140625" customWidth="1"/>
    <col min="16" max="16" width="9.5546875" customWidth="1"/>
    <col min="17" max="17" width="9.109375" customWidth="1"/>
  </cols>
  <sheetData>
    <row r="2" spans="4:21" ht="20.100000000000001" customHeight="1">
      <c r="D2" s="336" t="s">
        <v>234</v>
      </c>
      <c r="E2" s="336" t="s">
        <v>231</v>
      </c>
      <c r="F2" s="336" t="s">
        <v>240</v>
      </c>
      <c r="G2" s="336" t="s">
        <v>241</v>
      </c>
      <c r="H2" s="336" t="s">
        <v>169</v>
      </c>
      <c r="I2" s="336" t="s">
        <v>242</v>
      </c>
      <c r="J2" s="336" t="s">
        <v>243</v>
      </c>
      <c r="L2" s="336" t="s">
        <v>231</v>
      </c>
      <c r="M2" s="336" t="s">
        <v>235</v>
      </c>
      <c r="N2" s="336" t="s">
        <v>236</v>
      </c>
      <c r="O2" s="336" t="s">
        <v>239</v>
      </c>
      <c r="P2" s="336" t="s">
        <v>237</v>
      </c>
      <c r="Q2" s="336" t="s">
        <v>238</v>
      </c>
      <c r="S2" s="336" t="s">
        <v>241</v>
      </c>
      <c r="T2" s="336" t="s">
        <v>244</v>
      </c>
      <c r="U2" s="336" t="s">
        <v>245</v>
      </c>
    </row>
    <row r="3" spans="4:21" ht="20.100000000000001" customHeight="1">
      <c r="D3" s="335"/>
      <c r="E3" s="335"/>
      <c r="F3" s="335"/>
      <c r="G3" s="335"/>
      <c r="H3" s="335"/>
      <c r="I3" s="335"/>
      <c r="J3" s="337"/>
      <c r="K3" s="335"/>
      <c r="L3" s="335"/>
      <c r="M3" s="335"/>
      <c r="N3" s="335"/>
      <c r="O3" s="335"/>
      <c r="P3" s="335"/>
      <c r="Q3" s="335"/>
      <c r="S3" s="337"/>
      <c r="T3" s="337"/>
      <c r="U3" s="337"/>
    </row>
    <row r="4" spans="4:21" ht="20.100000000000001" customHeight="1">
      <c r="D4" s="335"/>
      <c r="E4" s="335"/>
      <c r="F4" s="335"/>
      <c r="G4" s="335"/>
      <c r="H4" s="335"/>
      <c r="I4" s="335"/>
      <c r="J4" s="337"/>
      <c r="K4" s="335"/>
      <c r="L4" s="335"/>
      <c r="M4" s="335"/>
      <c r="N4" s="335"/>
      <c r="O4" s="335"/>
      <c r="P4" s="335"/>
      <c r="Q4" s="335"/>
      <c r="S4" s="337"/>
      <c r="T4" s="337"/>
      <c r="U4" s="337"/>
    </row>
    <row r="5" spans="4:21" ht="20.100000000000001" customHeight="1">
      <c r="D5" s="335"/>
      <c r="E5" s="335"/>
      <c r="F5" s="335"/>
      <c r="G5" s="335"/>
      <c r="H5" s="335"/>
      <c r="I5" s="335"/>
      <c r="J5" s="337"/>
      <c r="K5" s="335"/>
      <c r="L5" s="335"/>
      <c r="M5" s="335"/>
      <c r="N5" s="335"/>
      <c r="O5" s="335"/>
      <c r="P5" s="335"/>
      <c r="Q5" s="335"/>
      <c r="S5" s="337"/>
      <c r="T5" s="337"/>
      <c r="U5" s="337"/>
    </row>
    <row r="6" spans="4:21" ht="20.100000000000001" customHeight="1">
      <c r="D6" s="335"/>
      <c r="E6" s="335"/>
      <c r="F6" s="335"/>
      <c r="G6" s="335"/>
      <c r="H6" s="335"/>
      <c r="I6" s="335"/>
      <c r="J6" s="337"/>
      <c r="K6" s="335"/>
      <c r="L6" s="335"/>
      <c r="M6" s="335"/>
      <c r="N6" s="335"/>
      <c r="O6" s="335"/>
      <c r="P6" s="335"/>
      <c r="Q6" s="335"/>
      <c r="S6" s="337"/>
      <c r="T6" s="337"/>
      <c r="U6" s="337"/>
    </row>
    <row r="7" spans="4:21" ht="20.100000000000001" customHeight="1">
      <c r="D7" s="335"/>
      <c r="E7" s="335"/>
      <c r="F7" s="335"/>
      <c r="G7" s="335"/>
      <c r="H7" s="335"/>
      <c r="I7" s="335"/>
      <c r="J7" s="337"/>
      <c r="K7" s="335"/>
      <c r="L7" s="335"/>
      <c r="M7" s="335"/>
      <c r="N7" s="335"/>
      <c r="O7" s="335"/>
      <c r="P7" s="335"/>
      <c r="Q7" s="335"/>
      <c r="S7" s="337"/>
      <c r="T7" s="337"/>
      <c r="U7" s="337"/>
    </row>
    <row r="8" spans="4:21" ht="20.100000000000001" customHeight="1">
      <c r="D8" s="335"/>
      <c r="E8" s="335"/>
      <c r="F8" s="335"/>
      <c r="G8" s="335"/>
      <c r="H8" s="335"/>
      <c r="I8" s="335"/>
      <c r="J8" s="337"/>
      <c r="K8" s="335"/>
      <c r="L8" s="335"/>
      <c r="M8" s="335"/>
      <c r="N8" s="335"/>
      <c r="O8" s="335"/>
      <c r="P8" s="335"/>
      <c r="Q8" s="335"/>
      <c r="S8" s="335"/>
      <c r="T8" s="337"/>
      <c r="U8" s="337"/>
    </row>
    <row r="9" spans="4:21" ht="20.100000000000001" customHeight="1">
      <c r="D9" s="335"/>
      <c r="E9" s="335"/>
      <c r="F9" s="335"/>
      <c r="G9" s="335"/>
      <c r="H9" s="335"/>
      <c r="I9" s="335"/>
      <c r="J9" s="337"/>
      <c r="K9" s="335"/>
      <c r="L9" s="335"/>
      <c r="M9" s="335"/>
      <c r="N9" s="335"/>
      <c r="O9" s="335"/>
      <c r="P9" s="335"/>
      <c r="Q9" s="335"/>
      <c r="S9" s="335"/>
      <c r="T9" s="337"/>
      <c r="U9" s="337"/>
    </row>
    <row r="10" spans="4:21" ht="20.100000000000001" customHeight="1">
      <c r="D10" s="335"/>
      <c r="E10" s="335"/>
      <c r="F10" s="335"/>
      <c r="G10" s="335"/>
      <c r="H10" s="335"/>
      <c r="I10" s="335"/>
      <c r="J10" s="337"/>
      <c r="K10" s="335"/>
      <c r="L10" s="335"/>
      <c r="M10" s="335"/>
      <c r="N10" s="335"/>
      <c r="O10" s="335"/>
      <c r="P10" s="335"/>
      <c r="Q10" s="335"/>
      <c r="S10" s="335"/>
      <c r="T10" s="337"/>
      <c r="U10" s="337"/>
    </row>
    <row r="11" spans="4:21" ht="20.100000000000001" customHeight="1">
      <c r="D11" s="335"/>
      <c r="E11" s="335"/>
      <c r="F11" s="335"/>
      <c r="G11" s="335"/>
      <c r="H11" s="335"/>
      <c r="I11" s="335"/>
      <c r="J11" s="337"/>
      <c r="K11" s="335"/>
      <c r="L11" s="335"/>
      <c r="M11" s="335"/>
      <c r="N11" s="335"/>
      <c r="O11" s="335"/>
      <c r="P11" s="335"/>
      <c r="Q11" s="335"/>
      <c r="S11" s="335"/>
      <c r="T11" s="337"/>
      <c r="U11" s="337"/>
    </row>
    <row r="12" spans="4:21" ht="20.100000000000001" customHeight="1">
      <c r="D12" s="335"/>
      <c r="E12" s="335"/>
      <c r="F12" s="335"/>
      <c r="G12" s="335"/>
      <c r="H12" s="335"/>
      <c r="I12" s="335"/>
      <c r="J12" s="337"/>
      <c r="K12" s="335"/>
      <c r="L12" s="335"/>
      <c r="M12" s="335"/>
      <c r="N12" s="335"/>
      <c r="O12" s="335"/>
      <c r="P12" s="335"/>
      <c r="Q12" s="335"/>
      <c r="S12" s="335"/>
      <c r="T12" s="337"/>
      <c r="U12" s="337"/>
    </row>
    <row r="13" spans="4:21" ht="20.100000000000001" customHeight="1">
      <c r="D13" s="335"/>
      <c r="E13" s="335"/>
      <c r="F13" s="335"/>
      <c r="G13" s="335"/>
      <c r="H13" s="335"/>
      <c r="I13" s="335"/>
      <c r="J13" s="337"/>
      <c r="K13" s="335"/>
      <c r="L13" s="335"/>
      <c r="M13" s="335"/>
      <c r="N13" s="335"/>
      <c r="O13" s="335"/>
      <c r="P13" s="335"/>
      <c r="Q13" s="335"/>
      <c r="S13" s="335"/>
      <c r="T13" s="337"/>
      <c r="U13" s="337"/>
    </row>
    <row r="14" spans="4:21" ht="20.100000000000001" customHeight="1">
      <c r="D14" s="335"/>
      <c r="E14" s="335"/>
      <c r="F14" s="335"/>
      <c r="G14" s="335"/>
      <c r="H14" s="335"/>
      <c r="I14" s="335"/>
      <c r="J14" s="337"/>
      <c r="K14" s="335"/>
      <c r="L14" s="335"/>
      <c r="M14" s="335"/>
      <c r="N14" s="335"/>
      <c r="O14" s="335"/>
      <c r="P14" s="335"/>
      <c r="Q14" s="335"/>
      <c r="S14" s="335"/>
      <c r="T14" s="337"/>
      <c r="U14" s="337"/>
    </row>
    <row r="15" spans="4:21" ht="20.100000000000001" customHeight="1">
      <c r="D15" s="335"/>
      <c r="E15" s="335"/>
      <c r="F15" s="335"/>
      <c r="G15" s="335"/>
      <c r="H15" s="335"/>
      <c r="I15" s="335"/>
      <c r="J15" s="337"/>
      <c r="K15" s="335"/>
      <c r="L15" s="335"/>
      <c r="M15" s="335"/>
      <c r="N15" s="335"/>
      <c r="O15" s="335"/>
      <c r="P15" s="335"/>
      <c r="Q15" s="335"/>
      <c r="S15" s="335"/>
      <c r="T15" s="337"/>
      <c r="U15" s="337"/>
    </row>
    <row r="16" spans="4:21" ht="20.100000000000001" customHeight="1">
      <c r="D16" s="335"/>
      <c r="E16" s="335"/>
      <c r="F16" s="335"/>
      <c r="G16" s="335"/>
      <c r="H16" s="335"/>
      <c r="I16" s="335"/>
      <c r="J16" s="337"/>
      <c r="K16" s="335"/>
      <c r="L16" s="335"/>
      <c r="M16" s="335"/>
      <c r="N16" s="335"/>
      <c r="O16" s="335"/>
      <c r="P16" s="335"/>
      <c r="Q16" s="335"/>
      <c r="S16" s="335"/>
      <c r="T16" s="337"/>
      <c r="U16" s="337"/>
    </row>
    <row r="17" spans="4:21" ht="20.100000000000001" customHeight="1">
      <c r="D17" s="335"/>
      <c r="E17" s="335"/>
      <c r="F17" s="335"/>
      <c r="G17" s="335"/>
      <c r="H17" s="335"/>
      <c r="I17" s="335"/>
      <c r="J17" s="337"/>
      <c r="K17" s="335"/>
      <c r="L17" s="335"/>
      <c r="M17" s="335"/>
      <c r="N17" s="335"/>
      <c r="O17" s="335"/>
      <c r="P17" s="335"/>
      <c r="Q17" s="335"/>
      <c r="S17" s="335"/>
      <c r="T17" s="337"/>
      <c r="U17" s="337"/>
    </row>
    <row r="18" spans="4:21" ht="20.100000000000001" customHeight="1">
      <c r="D18" s="335"/>
      <c r="E18" s="335"/>
      <c r="F18" s="335"/>
      <c r="G18" s="335"/>
      <c r="H18" s="335"/>
      <c r="I18" s="335"/>
      <c r="J18" s="337"/>
      <c r="K18" s="335"/>
      <c r="L18" s="335"/>
      <c r="M18" s="335"/>
      <c r="N18" s="335"/>
      <c r="O18" s="335"/>
      <c r="P18" s="335"/>
      <c r="Q18" s="335"/>
      <c r="S18" s="335"/>
      <c r="T18" s="337"/>
      <c r="U18" s="337"/>
    </row>
    <row r="19" spans="4:21" ht="20.100000000000001" customHeight="1">
      <c r="D19" s="335"/>
      <c r="E19" s="335"/>
      <c r="F19" s="335"/>
      <c r="G19" s="335"/>
      <c r="H19" s="335"/>
      <c r="I19" s="335"/>
      <c r="J19" s="337"/>
      <c r="K19" s="335"/>
      <c r="L19" s="335"/>
      <c r="M19" s="335"/>
      <c r="N19" s="335"/>
      <c r="O19" s="335"/>
      <c r="P19" s="335"/>
      <c r="Q19" s="335"/>
      <c r="S19" s="335"/>
      <c r="T19" s="337"/>
      <c r="U19" s="337"/>
    </row>
    <row r="20" spans="4:21" ht="20.100000000000001" customHeight="1">
      <c r="D20" s="335"/>
      <c r="E20" s="335"/>
      <c r="F20" s="335"/>
      <c r="G20" s="335"/>
      <c r="H20" s="335"/>
      <c r="I20" s="335"/>
      <c r="J20" s="337"/>
      <c r="K20" s="335"/>
      <c r="L20" s="335"/>
      <c r="M20" s="335"/>
      <c r="N20" s="335"/>
      <c r="O20" s="335"/>
      <c r="P20" s="335"/>
      <c r="Q20" s="335"/>
      <c r="S20" s="335"/>
      <c r="T20" s="337"/>
      <c r="U20" s="337"/>
    </row>
    <row r="21" spans="4:21" ht="20.100000000000001" customHeight="1">
      <c r="D21" s="335"/>
      <c r="E21" s="335"/>
      <c r="F21" s="335"/>
      <c r="G21" s="335"/>
      <c r="H21" s="335"/>
      <c r="I21" s="335"/>
      <c r="J21" s="337"/>
      <c r="K21" s="335"/>
      <c r="L21" s="335"/>
      <c r="M21" s="335"/>
      <c r="N21" s="335"/>
      <c r="O21" s="335"/>
      <c r="P21" s="335"/>
      <c r="Q21" s="335"/>
      <c r="S21" s="335"/>
      <c r="T21" s="337"/>
      <c r="U21" s="337"/>
    </row>
    <row r="22" spans="4:21" ht="20.100000000000001" customHeight="1">
      <c r="D22" s="335"/>
      <c r="E22" s="335"/>
      <c r="F22" s="335"/>
      <c r="G22" s="335"/>
      <c r="H22" s="335"/>
      <c r="I22" s="335"/>
      <c r="J22" s="337"/>
      <c r="K22" s="335"/>
      <c r="L22" s="335"/>
      <c r="M22" s="335"/>
      <c r="N22" s="335"/>
      <c r="O22" s="335"/>
      <c r="P22" s="335"/>
      <c r="Q22" s="335"/>
      <c r="S22" s="335"/>
      <c r="T22" s="337"/>
      <c r="U22" s="337"/>
    </row>
    <row r="23" spans="4:21" ht="20.100000000000001" customHeight="1">
      <c r="D23" s="335"/>
      <c r="E23" s="335"/>
      <c r="F23" s="335"/>
      <c r="G23" s="335"/>
      <c r="H23" s="335"/>
      <c r="I23" s="335"/>
      <c r="J23" s="337"/>
      <c r="K23" s="335"/>
      <c r="L23" s="335"/>
      <c r="M23" s="335"/>
      <c r="N23" s="335"/>
      <c r="O23" s="335"/>
      <c r="P23" s="335"/>
      <c r="Q23" s="335"/>
      <c r="S23" s="335"/>
      <c r="T23" s="337"/>
      <c r="U23" s="337"/>
    </row>
    <row r="24" spans="4:21" ht="20.100000000000001" customHeight="1">
      <c r="D24" s="335"/>
      <c r="E24" s="335"/>
      <c r="F24" s="335"/>
      <c r="G24" s="335"/>
      <c r="H24" s="335"/>
      <c r="I24" s="335"/>
      <c r="J24" s="337"/>
      <c r="K24" s="335"/>
      <c r="L24" s="335"/>
      <c r="M24" s="335"/>
      <c r="N24" s="335"/>
      <c r="O24" s="335"/>
      <c r="P24" s="335"/>
      <c r="Q24" s="335"/>
      <c r="S24" s="335"/>
      <c r="T24" s="337"/>
      <c r="U24" s="337"/>
    </row>
    <row r="25" spans="4:21" ht="20.100000000000001" customHeight="1">
      <c r="D25" s="335"/>
      <c r="E25" s="335"/>
      <c r="F25" s="335"/>
      <c r="G25" s="335"/>
      <c r="H25" s="335"/>
      <c r="I25" s="335"/>
      <c r="J25" s="337"/>
      <c r="K25" s="335"/>
      <c r="L25" s="335"/>
      <c r="M25" s="335"/>
      <c r="N25" s="335"/>
      <c r="O25" s="335"/>
      <c r="P25" s="335"/>
      <c r="Q25" s="335"/>
      <c r="S25" s="335"/>
      <c r="T25" s="337"/>
      <c r="U25" s="337"/>
    </row>
    <row r="26" spans="4:21" ht="20.100000000000001" customHeight="1">
      <c r="D26" s="335"/>
      <c r="E26" s="335"/>
      <c r="F26" s="335"/>
      <c r="G26" s="335"/>
      <c r="H26" s="335"/>
      <c r="I26" s="335"/>
      <c r="J26" s="337"/>
      <c r="K26" s="335"/>
      <c r="L26" s="335"/>
      <c r="M26" s="335"/>
      <c r="N26" s="335"/>
      <c r="O26" s="335"/>
      <c r="P26" s="335"/>
      <c r="Q26" s="335"/>
      <c r="S26" s="335"/>
      <c r="T26" s="337"/>
      <c r="U26" s="337"/>
    </row>
    <row r="27" spans="4:21" ht="20.100000000000001" customHeight="1">
      <c r="D27" s="335"/>
      <c r="E27" s="335"/>
      <c r="F27" s="335"/>
      <c r="G27" s="335"/>
      <c r="H27" s="335"/>
      <c r="I27" s="335"/>
      <c r="J27" s="337"/>
      <c r="K27" s="335"/>
      <c r="L27" s="335"/>
      <c r="M27" s="335"/>
      <c r="N27" s="335"/>
      <c r="O27" s="335"/>
      <c r="P27" s="335"/>
      <c r="Q27" s="335"/>
      <c r="T27" s="338"/>
      <c r="U27" s="338"/>
    </row>
    <row r="28" spans="4:21" ht="20.100000000000001" customHeight="1">
      <c r="D28" s="335"/>
      <c r="E28" s="335"/>
      <c r="F28" s="335"/>
      <c r="G28" s="335"/>
      <c r="H28" s="335"/>
      <c r="I28" s="335"/>
      <c r="J28" s="337"/>
      <c r="K28" s="335"/>
      <c r="L28" s="335"/>
      <c r="M28" s="335"/>
      <c r="N28" s="335"/>
      <c r="O28" s="335"/>
      <c r="P28" s="335"/>
      <c r="Q28" s="335"/>
      <c r="T28" s="338"/>
      <c r="U28" s="338"/>
    </row>
    <row r="29" spans="4:21" ht="20.100000000000001" customHeight="1">
      <c r="D29" s="335"/>
      <c r="E29" s="335"/>
      <c r="F29" s="335"/>
      <c r="G29" s="335"/>
      <c r="H29" s="335"/>
      <c r="I29" s="335"/>
      <c r="J29" s="337"/>
      <c r="K29" s="335"/>
      <c r="L29" s="335"/>
      <c r="M29" s="335"/>
      <c r="N29" s="335"/>
      <c r="O29" s="335"/>
      <c r="P29" s="335"/>
      <c r="Q29" s="335"/>
      <c r="T29" s="338"/>
      <c r="U29" s="338"/>
    </row>
    <row r="30" spans="4:21" ht="20.100000000000001" customHeight="1">
      <c r="D30" s="335"/>
      <c r="E30" s="335"/>
      <c r="F30" s="335"/>
      <c r="G30" s="335"/>
      <c r="H30" s="335"/>
      <c r="I30" s="335"/>
      <c r="J30" s="337"/>
      <c r="K30" s="335"/>
      <c r="L30" s="335"/>
      <c r="M30" s="335"/>
      <c r="N30" s="335"/>
      <c r="O30" s="335"/>
      <c r="P30" s="335"/>
      <c r="Q30" s="335"/>
    </row>
    <row r="31" spans="4:21" ht="20.100000000000001" customHeight="1">
      <c r="D31" s="335"/>
      <c r="E31" s="335"/>
      <c r="F31" s="335"/>
      <c r="G31" s="335"/>
      <c r="H31" s="335"/>
      <c r="I31" s="335"/>
      <c r="J31" s="337"/>
      <c r="K31" s="335"/>
      <c r="L31" s="335"/>
      <c r="M31" s="335"/>
      <c r="N31" s="335"/>
      <c r="O31" s="335"/>
      <c r="P31" s="335"/>
      <c r="Q31" s="335"/>
    </row>
    <row r="32" spans="4:21" ht="20.100000000000001" customHeight="1">
      <c r="D32" s="335"/>
      <c r="E32" s="335"/>
      <c r="F32" s="335"/>
      <c r="G32" s="335"/>
      <c r="H32" s="335"/>
      <c r="I32" s="335"/>
      <c r="J32" s="337"/>
      <c r="K32" s="335"/>
      <c r="L32" s="335"/>
      <c r="M32" s="335"/>
      <c r="N32" s="335"/>
      <c r="O32" s="335"/>
      <c r="P32" s="335"/>
      <c r="Q32" s="335"/>
    </row>
    <row r="33" spans="4:17" ht="20.100000000000001" customHeight="1">
      <c r="D33" s="335"/>
      <c r="E33" s="335"/>
      <c r="F33" s="335"/>
      <c r="G33" s="335"/>
      <c r="H33" s="335"/>
      <c r="I33" s="335"/>
      <c r="J33" s="337"/>
      <c r="K33" s="335"/>
      <c r="L33" s="335"/>
      <c r="M33" s="335"/>
      <c r="N33" s="335"/>
      <c r="O33" s="335"/>
      <c r="P33" s="335"/>
      <c r="Q33" s="335"/>
    </row>
    <row r="34" spans="4:17" ht="20.100000000000001" customHeight="1">
      <c r="D34" s="335"/>
      <c r="E34" s="335"/>
      <c r="F34" s="335"/>
      <c r="G34" s="335"/>
      <c r="H34" s="335"/>
      <c r="I34" s="335"/>
      <c r="J34" s="337"/>
      <c r="K34" s="335"/>
      <c r="L34" s="335"/>
      <c r="M34" s="335"/>
      <c r="N34" s="335"/>
      <c r="O34" s="335"/>
      <c r="P34" s="335"/>
      <c r="Q34" s="335"/>
    </row>
    <row r="35" spans="4:17" ht="20.100000000000001" customHeight="1">
      <c r="D35" s="335"/>
      <c r="E35" s="335"/>
      <c r="F35" s="335"/>
      <c r="G35" s="335"/>
      <c r="H35" s="335"/>
      <c r="I35" s="335"/>
      <c r="J35" s="337"/>
      <c r="K35" s="335"/>
      <c r="L35" s="335"/>
      <c r="M35" s="335"/>
      <c r="N35" s="335"/>
      <c r="O35" s="335"/>
      <c r="P35" s="335"/>
      <c r="Q35" s="335"/>
    </row>
    <row r="36" spans="4:17" ht="20.100000000000001" customHeight="1">
      <c r="D36" s="335"/>
      <c r="E36" s="335"/>
      <c r="F36" s="335"/>
      <c r="G36" s="335"/>
      <c r="H36" s="335"/>
      <c r="I36" s="335"/>
      <c r="J36" s="335"/>
      <c r="K36" s="335"/>
      <c r="L36" s="335"/>
      <c r="M36" s="335"/>
      <c r="N36" s="335"/>
      <c r="O36" s="335"/>
      <c r="P36" s="335"/>
      <c r="Q36" s="335"/>
    </row>
    <row r="37" spans="4:17" ht="20.100000000000001" customHeight="1">
      <c r="D37" s="335"/>
      <c r="E37" s="335"/>
      <c r="F37" s="335"/>
      <c r="G37" s="335"/>
      <c r="H37" s="335"/>
      <c r="I37" s="335"/>
      <c r="J37" s="335"/>
      <c r="K37" s="335"/>
      <c r="L37" s="335"/>
      <c r="M37" s="335"/>
      <c r="N37" s="335"/>
      <c r="O37" s="335"/>
      <c r="P37" s="335"/>
      <c r="Q37" s="335"/>
    </row>
    <row r="38" spans="4:17" ht="20.100000000000001" customHeight="1">
      <c r="D38" s="335"/>
      <c r="E38" s="335"/>
      <c r="F38" s="335"/>
      <c r="G38" s="335"/>
      <c r="H38" s="335"/>
      <c r="I38" s="335"/>
      <c r="J38" s="335"/>
      <c r="K38" s="335"/>
      <c r="L38" s="335"/>
      <c r="M38" s="335"/>
      <c r="N38" s="335"/>
      <c r="O38" s="335"/>
      <c r="P38" s="335"/>
      <c r="Q38" s="335"/>
    </row>
    <row r="39" spans="4:17" ht="20.100000000000001" customHeight="1">
      <c r="D39" s="335"/>
      <c r="E39" s="335"/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</row>
    <row r="40" spans="4:17" ht="20.100000000000001" customHeight="1">
      <c r="D40" s="335"/>
      <c r="E40" s="335"/>
      <c r="F40" s="335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</row>
    <row r="41" spans="4:17" ht="20.100000000000001" customHeight="1">
      <c r="D41" s="335"/>
      <c r="E41" s="335"/>
      <c r="F41" s="335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</row>
    <row r="42" spans="4:17" ht="20.100000000000001" customHeight="1">
      <c r="D42" s="335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</row>
    <row r="43" spans="4:17" ht="20.100000000000001" customHeight="1">
      <c r="D43" s="335"/>
      <c r="E43" s="335"/>
      <c r="F43" s="335"/>
      <c r="G43" s="335"/>
      <c r="H43" s="335"/>
      <c r="I43" s="335"/>
      <c r="J43" s="335"/>
      <c r="K43" s="335"/>
      <c r="L43" s="335"/>
      <c r="M43" s="335"/>
      <c r="N43" s="335"/>
      <c r="O43" s="335"/>
      <c r="P43" s="335"/>
      <c r="Q43" s="335"/>
    </row>
    <row r="44" spans="4:17" ht="20.100000000000001" customHeight="1">
      <c r="D44" s="335"/>
      <c r="E44" s="335"/>
      <c r="F44" s="335"/>
      <c r="G44" s="335"/>
      <c r="H44" s="335"/>
      <c r="I44" s="335"/>
      <c r="J44" s="335"/>
      <c r="K44" s="335"/>
      <c r="L44" s="335"/>
      <c r="M44" s="335"/>
      <c r="N44" s="335"/>
      <c r="O44" s="335"/>
      <c r="P44" s="335"/>
      <c r="Q44" s="335"/>
    </row>
    <row r="45" spans="4:17" ht="20.100000000000001" customHeight="1">
      <c r="D45" s="335"/>
      <c r="E45" s="335"/>
      <c r="F45" s="335"/>
      <c r="G45" s="335"/>
      <c r="H45" s="335"/>
      <c r="I45" s="335"/>
      <c r="J45" s="335"/>
      <c r="K45" s="335"/>
      <c r="L45" s="335"/>
      <c r="M45" s="335"/>
      <c r="N45" s="335"/>
      <c r="O45" s="335"/>
      <c r="P45" s="335"/>
      <c r="Q45" s="335"/>
    </row>
    <row r="46" spans="4:17" ht="20.100000000000001" customHeight="1">
      <c r="D46" s="335"/>
      <c r="E46" s="335"/>
      <c r="F46" s="335"/>
      <c r="G46" s="335"/>
      <c r="H46" s="335"/>
      <c r="I46" s="335"/>
      <c r="J46" s="335"/>
      <c r="K46" s="335"/>
      <c r="L46" s="335"/>
      <c r="M46" s="335"/>
      <c r="N46" s="335"/>
      <c r="O46" s="335"/>
      <c r="P46" s="335"/>
      <c r="Q46" s="33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323850</xdr:colOff>
                <xdr:row>4</xdr:row>
                <xdr:rowOff>171450</xdr:rowOff>
              </from>
              <to>
                <xdr:col>2</xdr:col>
                <xdr:colOff>219075</xdr:colOff>
                <xdr:row>6</xdr:row>
                <xdr:rowOff>66675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323850</xdr:colOff>
                <xdr:row>2</xdr:row>
                <xdr:rowOff>209550</xdr:rowOff>
              </from>
              <to>
                <xdr:col>2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323850</xdr:colOff>
                <xdr:row>1</xdr:row>
                <xdr:rowOff>0</xdr:rowOff>
              </from>
              <to>
                <xdr:col>2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D19" sqref="D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161</v>
      </c>
      <c r="C2" s="17" t="str">
        <f>Well!D4</f>
        <v>강서구 마곡동 762-4</v>
      </c>
      <c r="H2"/>
      <c r="I2" s="310" t="s">
        <v>218</v>
      </c>
      <c r="J2"/>
      <c r="K2"/>
      <c r="L2"/>
      <c r="M2"/>
    </row>
    <row r="3" spans="1:13" ht="20.100000000000001" customHeight="1">
      <c r="B3" s="2" t="s">
        <v>49</v>
      </c>
      <c r="C3" s="368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369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369">
        <f>Well!Q4</f>
        <v>0</v>
      </c>
      <c r="D5" s="7" t="s">
        <v>55</v>
      </c>
      <c r="E5" s="33">
        <v>1.5099</v>
      </c>
      <c r="F5" s="34">
        <f>$E$5/$C$14</f>
        <v>3.6826829268292683E-3</v>
      </c>
      <c r="G5" s="10">
        <v>6.8249999999999995E-4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370" t="str">
        <f>Well!D4</f>
        <v>강서구 마곡동 762-4</v>
      </c>
      <c r="D6" s="7" t="s">
        <v>58</v>
      </c>
      <c r="E6" s="8">
        <v>2.1160000000000001</v>
      </c>
      <c r="F6" s="34">
        <f>$E$6/$C$14</f>
        <v>5.160975609756098E-3</v>
      </c>
      <c r="G6" s="10" t="s">
        <v>59</v>
      </c>
      <c r="H6" s="329">
        <v>3.99</v>
      </c>
      <c r="I6"/>
      <c r="J6"/>
      <c r="K6"/>
      <c r="L6"/>
      <c r="M6"/>
    </row>
    <row r="7" spans="1:13" ht="20.100000000000001" customHeight="1" thickBot="1">
      <c r="B7" s="6" t="s">
        <v>57</v>
      </c>
      <c r="C7" s="6">
        <f>Well!H4</f>
        <v>430</v>
      </c>
      <c r="D7" s="32" t="s">
        <v>61</v>
      </c>
      <c r="E7" s="328">
        <f>(E5+E6)/2</f>
        <v>1.8129500000000001</v>
      </c>
      <c r="F7" s="35">
        <f>$E$7/$C$14</f>
        <v>4.4218292682926827E-3</v>
      </c>
      <c r="G7" s="32">
        <f>G5</f>
        <v>6.8249999999999995E-4</v>
      </c>
      <c r="H7" s="168">
        <v>0.18329999999999999</v>
      </c>
      <c r="I7"/>
      <c r="J7"/>
      <c r="K7"/>
      <c r="L7"/>
      <c r="M7"/>
    </row>
    <row r="8" spans="1:13" ht="20.100000000000001" customHeight="1" thickBot="1">
      <c r="B8" s="6" t="s">
        <v>60</v>
      </c>
      <c r="C8" s="6">
        <f>Well!G4</f>
        <v>200</v>
      </c>
    </row>
    <row r="9" spans="1:13" ht="20.100000000000001" customHeight="1" thickBot="1">
      <c r="B9" s="6" t="s">
        <v>62</v>
      </c>
      <c r="C9" s="371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370">
        <v>5</v>
      </c>
      <c r="D10" s="14" t="s">
        <v>64</v>
      </c>
      <c r="E10" s="189">
        <v>75.900000000000006</v>
      </c>
      <c r="F10" s="190">
        <v>92.9</v>
      </c>
      <c r="G10" s="191">
        <v>54.7</v>
      </c>
      <c r="H10" s="15"/>
      <c r="I10" s="16"/>
    </row>
    <row r="11" spans="1:13" ht="20.100000000000001" customHeight="1" thickBot="1">
      <c r="B11" s="6" t="s">
        <v>65</v>
      </c>
      <c r="C11" s="370">
        <v>15</v>
      </c>
      <c r="D11" s="31" t="s">
        <v>66</v>
      </c>
      <c r="E11" s="192">
        <f>ROUND(AVERAGE(E10:G10),1)</f>
        <v>74.5</v>
      </c>
      <c r="F11" s="183">
        <f>ROUND((E10+F10)/2,1)</f>
        <v>84.4</v>
      </c>
      <c r="G11" s="358">
        <f>MAX(E10,F10,G10)</f>
        <v>92.9</v>
      </c>
      <c r="H11" s="15"/>
      <c r="I11" s="16"/>
      <c r="J11" s="403" t="s">
        <v>121</v>
      </c>
      <c r="K11" s="404"/>
    </row>
    <row r="12" spans="1:13" ht="20.100000000000001" customHeight="1">
      <c r="A12" s="17" t="str">
        <f>IF(A13&lt;&gt;C7,"CHECK","OK")</f>
        <v>OK</v>
      </c>
      <c r="B12" s="6" t="s">
        <v>67</v>
      </c>
      <c r="C12" s="372">
        <f>C7-C9</f>
        <v>410</v>
      </c>
      <c r="H12" s="18"/>
      <c r="J12" s="193" t="s">
        <v>123</v>
      </c>
      <c r="K12" s="384">
        <v>51</v>
      </c>
      <c r="L12" s="385">
        <f>K12+180</f>
        <v>231</v>
      </c>
    </row>
    <row r="13" spans="1:13" ht="20.100000000000001" customHeight="1">
      <c r="A13" s="17">
        <f>C10+C11+C12+C13</f>
        <v>430</v>
      </c>
      <c r="B13" s="6" t="s">
        <v>68</v>
      </c>
      <c r="C13" s="372"/>
      <c r="E13" s="252" t="str">
        <f>Recharge!I24</f>
        <v>한강/한강고양</v>
      </c>
      <c r="F13" s="197">
        <f>rf_1</f>
        <v>0.13400000000000001</v>
      </c>
      <c r="G13" s="197">
        <f>allow_ratio</f>
        <v>0.65</v>
      </c>
      <c r="H13" s="19"/>
      <c r="J13" s="193" t="s">
        <v>116</v>
      </c>
      <c r="K13" s="235">
        <v>2023</v>
      </c>
      <c r="L13" s="42"/>
    </row>
    <row r="14" spans="1:13" ht="20.100000000000001" customHeight="1">
      <c r="B14" s="6" t="s">
        <v>69</v>
      </c>
      <c r="C14" s="371">
        <f>C7-IF(C20&gt;C9,C20,C9)</f>
        <v>410</v>
      </c>
      <c r="G14" s="197">
        <f>max</f>
        <v>1418.9</v>
      </c>
      <c r="H14" s="19"/>
      <c r="J14" s="193" t="s">
        <v>117</v>
      </c>
      <c r="K14" s="235">
        <v>10</v>
      </c>
      <c r="L14" s="42"/>
    </row>
    <row r="15" spans="1:13" ht="20.100000000000001" customHeight="1" thickBot="1">
      <c r="B15" s="6" t="s">
        <v>70</v>
      </c>
      <c r="C15" s="6">
        <f>Well!I4</f>
        <v>5</v>
      </c>
      <c r="E15" s="41">
        <v>1</v>
      </c>
      <c r="J15" s="193" t="s">
        <v>118</v>
      </c>
      <c r="K15" s="235">
        <v>5</v>
      </c>
      <c r="L15" s="42"/>
    </row>
    <row r="16" spans="1:13" ht="20.100000000000001" customHeight="1">
      <c r="B16" s="6" t="s">
        <v>71</v>
      </c>
      <c r="C16" s="373">
        <f>Well!J4</f>
        <v>52</v>
      </c>
      <c r="E16" s="164" t="s">
        <v>74</v>
      </c>
      <c r="F16" s="165" t="s">
        <v>99</v>
      </c>
      <c r="G16" s="166" t="s">
        <v>98</v>
      </c>
      <c r="H16" s="19"/>
      <c r="J16" s="193" t="s">
        <v>124</v>
      </c>
      <c r="K16" s="194">
        <f>K14-C20</f>
        <v>-5.1999999999999993</v>
      </c>
      <c r="L16" s="42"/>
    </row>
    <row r="17" spans="2:12" ht="20.100000000000001" customHeight="1" thickBot="1">
      <c r="B17" s="6" t="s">
        <v>72</v>
      </c>
      <c r="C17" s="6">
        <f>Well!L4</f>
        <v>5</v>
      </c>
      <c r="E17" s="78">
        <f>Well!P4</f>
        <v>5204026</v>
      </c>
      <c r="F17" s="260">
        <f>(max*rf_1*E17/1000)</f>
        <v>989454.99384760007</v>
      </c>
      <c r="G17" s="259">
        <f>F17*allow_ratio</f>
        <v>643145.7460009401</v>
      </c>
      <c r="J17" s="193" t="s">
        <v>119</v>
      </c>
      <c r="K17" s="194">
        <f>K16-K15</f>
        <v>-10.199999999999999</v>
      </c>
      <c r="L17" s="42"/>
    </row>
    <row r="18" spans="2:12" ht="20.100000000000001" customHeight="1" thickBot="1">
      <c r="B18" s="6" t="s">
        <v>73</v>
      </c>
      <c r="C18" s="6">
        <f>Well!M4</f>
        <v>50</v>
      </c>
      <c r="E18" s="2" t="s">
        <v>74</v>
      </c>
      <c r="F18" s="30" t="s">
        <v>75</v>
      </c>
      <c r="G18" s="29" t="s">
        <v>76</v>
      </c>
      <c r="H18" s="187" t="s">
        <v>177</v>
      </c>
      <c r="I18" s="28"/>
      <c r="J18" s="195" t="s">
        <v>120</v>
      </c>
      <c r="K18" s="196">
        <f>(K17/K13)</f>
        <v>-5.0420168067226885E-3</v>
      </c>
      <c r="L18" s="167">
        <f>K18*100</f>
        <v>-0.50420168067226889</v>
      </c>
    </row>
    <row r="19" spans="2:12" ht="20.100000000000001" customHeight="1" thickBot="1">
      <c r="B19" s="21" t="s">
        <v>77</v>
      </c>
      <c r="C19" s="21">
        <f>Well!N4</f>
        <v>50</v>
      </c>
      <c r="E19" s="78">
        <f>E17</f>
        <v>5204026</v>
      </c>
      <c r="F19" s="256">
        <f>(max*rf_1*E19/1000)/365</f>
        <v>2710.8355995824659</v>
      </c>
      <c r="G19" s="257">
        <f>F19*allow_ratio</f>
        <v>1762.0431397286029</v>
      </c>
      <c r="H19" s="188">
        <f>G19-F21</f>
        <v>1727.443139728603</v>
      </c>
    </row>
    <row r="20" spans="2:12" ht="20.100000000000001" customHeight="1">
      <c r="B20" s="22" t="s">
        <v>78</v>
      </c>
      <c r="C20" s="374">
        <v>15.2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375">
        <v>58.56</v>
      </c>
      <c r="D21" s="17"/>
      <c r="E21" s="185">
        <f>Well!I6</f>
        <v>5</v>
      </c>
      <c r="F21" s="258">
        <f>Well!O4</f>
        <v>34.6</v>
      </c>
      <c r="G21" s="259">
        <f>G19-E21-F21</f>
        <v>1722.443139728603</v>
      </c>
    </row>
    <row r="22" spans="2:12" ht="20.100000000000001" customHeight="1" thickBot="1">
      <c r="B22" s="74" t="s">
        <v>169</v>
      </c>
      <c r="C22" s="376">
        <f>C21-C20</f>
        <v>43.36</v>
      </c>
      <c r="E22" s="405">
        <f>E21+F21</f>
        <v>39.6</v>
      </c>
      <c r="F22" s="406"/>
      <c r="G22" s="20"/>
      <c r="I22" s="19"/>
    </row>
    <row r="23" spans="2:12" ht="20.100000000000001" customHeight="1"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399" t="s">
        <v>101</v>
      </c>
      <c r="C25" s="400"/>
      <c r="D25" s="198" t="s">
        <v>110</v>
      </c>
      <c r="E25" s="198" t="s">
        <v>111</v>
      </c>
      <c r="F25" s="198" t="s">
        <v>102</v>
      </c>
      <c r="G25" s="198" t="s">
        <v>103</v>
      </c>
      <c r="H25" s="198" t="s">
        <v>125</v>
      </c>
      <c r="I25" s="198" t="s">
        <v>104</v>
      </c>
      <c r="J25" s="199" t="s">
        <v>105</v>
      </c>
      <c r="K25" s="200" t="s">
        <v>106</v>
      </c>
    </row>
    <row r="26" spans="2:12" ht="25.5" customHeight="1">
      <c r="B26" s="401" t="s">
        <v>107</v>
      </c>
      <c r="C26" s="201" t="s">
        <v>108</v>
      </c>
      <c r="D26" s="202">
        <f>C20</f>
        <v>15.2</v>
      </c>
      <c r="E26" s="203">
        <f>Recharge!C30</f>
        <v>19.013260000000002</v>
      </c>
      <c r="F26" s="204" t="s">
        <v>191</v>
      </c>
      <c r="G26" s="202" t="s">
        <v>192</v>
      </c>
      <c r="H26" s="205">
        <f>L18</f>
        <v>-0.50420168067226889</v>
      </c>
      <c r="I26" s="202" t="s">
        <v>191</v>
      </c>
      <c r="J26" s="202">
        <f>(E7/C14)/864</f>
        <v>5.1178579494128273E-6</v>
      </c>
      <c r="K26" s="206" t="s">
        <v>196</v>
      </c>
    </row>
    <row r="27" spans="2:12" ht="25.5" customHeight="1">
      <c r="B27" s="401"/>
      <c r="C27" s="201" t="s">
        <v>109</v>
      </c>
      <c r="D27" s="201">
        <v>9</v>
      </c>
      <c r="E27" s="201">
        <v>8</v>
      </c>
      <c r="F27" s="201">
        <v>3</v>
      </c>
      <c r="G27" s="201">
        <v>3</v>
      </c>
      <c r="H27" s="201">
        <v>10</v>
      </c>
      <c r="I27" s="201">
        <v>4</v>
      </c>
      <c r="J27" s="201">
        <v>1</v>
      </c>
      <c r="K27" s="206" t="s">
        <v>251</v>
      </c>
    </row>
    <row r="28" spans="2:12" ht="25.5" customHeight="1">
      <c r="B28" s="401"/>
      <c r="C28" s="218" t="s">
        <v>184</v>
      </c>
      <c r="D28" s="219">
        <v>5</v>
      </c>
      <c r="E28" s="219">
        <v>4</v>
      </c>
      <c r="F28" s="219">
        <v>3</v>
      </c>
      <c r="G28" s="219">
        <v>2</v>
      </c>
      <c r="H28" s="219">
        <v>1</v>
      </c>
      <c r="I28" s="219">
        <v>5</v>
      </c>
      <c r="J28" s="219">
        <v>3</v>
      </c>
      <c r="K28" s="220"/>
    </row>
    <row r="29" spans="2:12" ht="25.5" customHeight="1">
      <c r="B29" s="401"/>
      <c r="C29" s="218" t="s">
        <v>185</v>
      </c>
      <c r="D29" s="221">
        <v>5</v>
      </c>
      <c r="E29" s="221">
        <v>4</v>
      </c>
      <c r="F29" s="221">
        <v>3</v>
      </c>
      <c r="G29" s="221">
        <v>5</v>
      </c>
      <c r="H29" s="221">
        <v>3</v>
      </c>
      <c r="I29" s="221">
        <v>4</v>
      </c>
      <c r="J29" s="221">
        <v>2</v>
      </c>
      <c r="K29" s="220"/>
    </row>
    <row r="30" spans="2:12" ht="25.5" customHeight="1">
      <c r="B30" s="401"/>
      <c r="C30" s="207" t="s">
        <v>186</v>
      </c>
      <c r="D30" s="208">
        <f>D27*D28</f>
        <v>45</v>
      </c>
      <c r="E30" s="208">
        <f t="shared" ref="E30:J30" si="0">E27*E28</f>
        <v>32</v>
      </c>
      <c r="F30" s="208">
        <f t="shared" si="0"/>
        <v>9</v>
      </c>
      <c r="G30" s="208">
        <f t="shared" si="0"/>
        <v>6</v>
      </c>
      <c r="H30" s="208">
        <f t="shared" si="0"/>
        <v>10</v>
      </c>
      <c r="I30" s="208">
        <f t="shared" si="0"/>
        <v>20</v>
      </c>
      <c r="J30" s="208">
        <f t="shared" si="0"/>
        <v>3</v>
      </c>
      <c r="K30" s="209">
        <f>SUM(D30:J30)</f>
        <v>125</v>
      </c>
    </row>
    <row r="31" spans="2:12" ht="25.5" customHeight="1" thickBot="1">
      <c r="B31" s="402"/>
      <c r="C31" s="210" t="s">
        <v>187</v>
      </c>
      <c r="D31" s="211">
        <f t="shared" ref="D31:J31" si="1">D27*D29</f>
        <v>45</v>
      </c>
      <c r="E31" s="211">
        <f t="shared" si="1"/>
        <v>32</v>
      </c>
      <c r="F31" s="211">
        <f t="shared" si="1"/>
        <v>9</v>
      </c>
      <c r="G31" s="211">
        <f t="shared" si="1"/>
        <v>15</v>
      </c>
      <c r="H31" s="211">
        <f t="shared" si="1"/>
        <v>30</v>
      </c>
      <c r="I31" s="211">
        <f t="shared" si="1"/>
        <v>16</v>
      </c>
      <c r="J31" s="211">
        <f t="shared" si="1"/>
        <v>2</v>
      </c>
      <c r="K31" s="21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1257300</xdr:colOff>
                <xdr:row>21</xdr:row>
                <xdr:rowOff>38100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I16" sqref="I16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6" t="s">
        <v>83</v>
      </c>
      <c r="C6" s="367">
        <v>44753.861111111109</v>
      </c>
      <c r="D6" s="127"/>
      <c r="E6" s="37"/>
      <c r="F6" s="37"/>
    </row>
    <row r="7" spans="2:9" s="38" customFormat="1" ht="26.1" customHeight="1" thickBot="1">
      <c r="B7" s="364" t="s">
        <v>84</v>
      </c>
      <c r="C7" s="365">
        <v>14</v>
      </c>
      <c r="D7" s="127"/>
      <c r="E7" s="37"/>
      <c r="F7" s="37"/>
    </row>
    <row r="8" spans="2:9" s="38" customFormat="1" ht="26.1" customHeight="1">
      <c r="B8" s="128" t="s">
        <v>85</v>
      </c>
      <c r="C8" s="129">
        <v>226</v>
      </c>
      <c r="D8" s="128">
        <v>229</v>
      </c>
      <c r="E8" s="37"/>
      <c r="F8" s="37"/>
    </row>
    <row r="9" spans="2:9" s="38" customFormat="1" ht="26.1" customHeight="1">
      <c r="B9" s="128" t="s">
        <v>86</v>
      </c>
      <c r="C9" s="129">
        <v>7.9</v>
      </c>
      <c r="D9" s="128">
        <v>7.8</v>
      </c>
      <c r="E9" s="37"/>
      <c r="F9" s="37"/>
    </row>
    <row r="10" spans="2:9" s="38" customFormat="1" ht="26.1" customHeight="1">
      <c r="B10" s="128"/>
      <c r="C10" s="129"/>
      <c r="D10" s="127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07" t="s">
        <v>87</v>
      </c>
      <c r="C12" s="409"/>
      <c r="D12" s="407" t="s">
        <v>88</v>
      </c>
      <c r="E12" s="408"/>
      <c r="F12" s="409"/>
      <c r="G12" s="410" t="s">
        <v>162</v>
      </c>
      <c r="H12" s="411"/>
      <c r="I12" s="412"/>
    </row>
    <row r="13" spans="2:9" s="37" customFormat="1" ht="26.1" customHeight="1">
      <c r="B13" s="130" t="s">
        <v>83</v>
      </c>
      <c r="C13" s="131" t="s">
        <v>89</v>
      </c>
      <c r="D13" s="344" t="s">
        <v>90</v>
      </c>
      <c r="E13" s="345" t="s">
        <v>91</v>
      </c>
      <c r="F13" s="346" t="s">
        <v>92</v>
      </c>
      <c r="G13" s="350" t="s">
        <v>90</v>
      </c>
      <c r="H13" s="351" t="s">
        <v>91</v>
      </c>
      <c r="I13" s="352" t="s">
        <v>92</v>
      </c>
    </row>
    <row r="14" spans="2:9" s="37" customFormat="1" ht="26.1" customHeight="1">
      <c r="B14" s="133">
        <f>$C$6+C14/1440</f>
        <v>44753.864583333328</v>
      </c>
      <c r="C14" s="73">
        <v>5</v>
      </c>
      <c r="D14" s="357">
        <f t="shared" ref="D14:D23" ca="1" si="0">baseTemp+D31</f>
        <v>14.3</v>
      </c>
      <c r="E14" s="348">
        <f t="shared" ref="E14:E20" ca="1" si="1">$C$8+E31</f>
        <v>227</v>
      </c>
      <c r="F14" s="349">
        <f t="shared" ref="F14:F20" ca="1" si="2">$C$9+F31</f>
        <v>7.99</v>
      </c>
      <c r="G14" s="357">
        <f t="shared" ref="G14:G20" ca="1" si="3">baseTemp+H31</f>
        <v>13.7</v>
      </c>
      <c r="H14" s="348">
        <f ca="1">$D$8+I31</f>
        <v>226</v>
      </c>
      <c r="I14" s="349">
        <f ca="1">$D$9+J31</f>
        <v>7.68</v>
      </c>
    </row>
    <row r="15" spans="2:9" s="37" customFormat="1" ht="26.1" customHeight="1">
      <c r="B15" s="135">
        <f t="shared" ref="B15:B23" si="4">$C$6+C15/1440</f>
        <v>44753.881944444445</v>
      </c>
      <c r="C15" s="71">
        <v>30</v>
      </c>
      <c r="D15" s="357">
        <f t="shared" ca="1" si="0"/>
        <v>14.1</v>
      </c>
      <c r="E15" s="348">
        <f t="shared" ca="1" si="1"/>
        <v>228</v>
      </c>
      <c r="F15" s="349">
        <f t="shared" ca="1" si="2"/>
        <v>7.99</v>
      </c>
      <c r="G15" s="357">
        <f t="shared" ca="1" si="3"/>
        <v>14.2</v>
      </c>
      <c r="H15" s="348">
        <f t="shared" ref="H15:H20" ca="1" si="5">$D$8+I32</f>
        <v>227</v>
      </c>
      <c r="I15" s="349">
        <f t="shared" ref="I15:I20" ca="1" si="6">$D$9+J32</f>
        <v>7.91</v>
      </c>
    </row>
    <row r="16" spans="2:9" s="37" customFormat="1" ht="26.1" customHeight="1">
      <c r="B16" s="135">
        <f t="shared" si="4"/>
        <v>44753.902777777774</v>
      </c>
      <c r="C16" s="71">
        <v>60</v>
      </c>
      <c r="D16" s="357">
        <f t="shared" ca="1" si="0"/>
        <v>14.2</v>
      </c>
      <c r="E16" s="348">
        <f t="shared" ca="1" si="1"/>
        <v>229</v>
      </c>
      <c r="F16" s="349">
        <f t="shared" ca="1" si="2"/>
        <v>8.02</v>
      </c>
      <c r="G16" s="357">
        <f t="shared" ca="1" si="3"/>
        <v>13.8</v>
      </c>
      <c r="H16" s="348">
        <f t="shared" ca="1" si="5"/>
        <v>227</v>
      </c>
      <c r="I16" s="349">
        <f t="shared" ca="1" si="6"/>
        <v>7.68</v>
      </c>
    </row>
    <row r="17" spans="2:10" s="37" customFormat="1" ht="26.1" customHeight="1">
      <c r="B17" s="135">
        <f t="shared" si="4"/>
        <v>44753.944444444445</v>
      </c>
      <c r="C17" s="71">
        <v>120</v>
      </c>
      <c r="D17" s="357">
        <f t="shared" ca="1" si="0"/>
        <v>13.9</v>
      </c>
      <c r="E17" s="348">
        <f t="shared" ca="1" si="1"/>
        <v>229</v>
      </c>
      <c r="F17" s="349">
        <f t="shared" ca="1" si="2"/>
        <v>7.8000000000000007</v>
      </c>
      <c r="G17" s="357">
        <f t="shared" ca="1" si="3"/>
        <v>13.7</v>
      </c>
      <c r="H17" s="348">
        <f t="shared" ca="1" si="5"/>
        <v>231</v>
      </c>
      <c r="I17" s="349">
        <f t="shared" ca="1" si="6"/>
        <v>7.71</v>
      </c>
    </row>
    <row r="18" spans="2:10" s="37" customFormat="1" ht="26.1" customHeight="1">
      <c r="B18" s="135">
        <f t="shared" si="4"/>
        <v>44754.027777777774</v>
      </c>
      <c r="C18" s="71">
        <v>240</v>
      </c>
      <c r="D18" s="357">
        <f t="shared" ca="1" si="0"/>
        <v>13.7</v>
      </c>
      <c r="E18" s="348">
        <f t="shared" ca="1" si="1"/>
        <v>225</v>
      </c>
      <c r="F18" s="349">
        <f t="shared" ca="1" si="2"/>
        <v>7.9700000000000006</v>
      </c>
      <c r="G18" s="357">
        <f t="shared" ca="1" si="3"/>
        <v>14.1</v>
      </c>
      <c r="H18" s="348">
        <f t="shared" ca="1" si="5"/>
        <v>232</v>
      </c>
      <c r="I18" s="349">
        <f t="shared" ca="1" si="6"/>
        <v>7.87</v>
      </c>
    </row>
    <row r="19" spans="2:10" s="37" customFormat="1" ht="26.1" customHeight="1">
      <c r="B19" s="135">
        <f t="shared" si="4"/>
        <v>44754.194444444445</v>
      </c>
      <c r="C19" s="71">
        <v>480</v>
      </c>
      <c r="D19" s="357">
        <f t="shared" ca="1" si="0"/>
        <v>14.1</v>
      </c>
      <c r="E19" s="348">
        <f t="shared" ca="1" si="1"/>
        <v>224</v>
      </c>
      <c r="F19" s="349">
        <f t="shared" ca="1" si="2"/>
        <v>7.79</v>
      </c>
      <c r="G19" s="357">
        <f t="shared" ca="1" si="3"/>
        <v>14.3</v>
      </c>
      <c r="H19" s="348">
        <f t="shared" ca="1" si="5"/>
        <v>226</v>
      </c>
      <c r="I19" s="349">
        <f t="shared" ca="1" si="6"/>
        <v>7.87</v>
      </c>
    </row>
    <row r="20" spans="2:10" s="38" customFormat="1" ht="26.1" customHeight="1">
      <c r="B20" s="135">
        <f t="shared" si="4"/>
        <v>44754.861111111109</v>
      </c>
      <c r="C20" s="71">
        <v>1440</v>
      </c>
      <c r="D20" s="357">
        <f t="shared" ca="1" si="0"/>
        <v>13.7</v>
      </c>
      <c r="E20" s="348">
        <f t="shared" ca="1" si="1"/>
        <v>229</v>
      </c>
      <c r="F20" s="349">
        <f t="shared" ca="1" si="2"/>
        <v>7.78</v>
      </c>
      <c r="G20" s="357">
        <f t="shared" ca="1" si="3"/>
        <v>13.7</v>
      </c>
      <c r="H20" s="348">
        <f t="shared" ca="1" si="5"/>
        <v>232</v>
      </c>
      <c r="I20" s="349">
        <f t="shared" ca="1" si="6"/>
        <v>7.88</v>
      </c>
    </row>
    <row r="21" spans="2:10" s="38" customFormat="1" ht="26.1" customHeight="1">
      <c r="B21" s="135">
        <f t="shared" si="4"/>
        <v>44755.027777777774</v>
      </c>
      <c r="C21" s="71">
        <v>1680</v>
      </c>
      <c r="D21" s="357">
        <f t="shared" ca="1" si="0"/>
        <v>14.2</v>
      </c>
      <c r="E21" s="348">
        <f ca="1">$E$20</f>
        <v>229</v>
      </c>
      <c r="F21" s="349">
        <f ca="1">$F$20</f>
        <v>7.78</v>
      </c>
      <c r="G21" s="357">
        <f ca="1">$G$20</f>
        <v>13.7</v>
      </c>
      <c r="H21" s="348">
        <f ca="1">$H$20</f>
        <v>232</v>
      </c>
      <c r="I21" s="349">
        <f ca="1">$I$20</f>
        <v>7.88</v>
      </c>
    </row>
    <row r="22" spans="2:10" s="38" customFormat="1" ht="26.1" customHeight="1">
      <c r="B22" s="135">
        <f t="shared" si="4"/>
        <v>44755.194444444445</v>
      </c>
      <c r="C22" s="71">
        <v>1920</v>
      </c>
      <c r="D22" s="357">
        <f t="shared" ca="1" si="0"/>
        <v>13.9</v>
      </c>
      <c r="E22" s="348">
        <f t="shared" ref="E22:E23" ca="1" si="7">$E$20</f>
        <v>229</v>
      </c>
      <c r="F22" s="349">
        <f t="shared" ref="F22:F23" ca="1" si="8">$F$20</f>
        <v>7.78</v>
      </c>
      <c r="G22" s="357">
        <f t="shared" ref="G22:G23" ca="1" si="9">$G$20</f>
        <v>13.7</v>
      </c>
      <c r="H22" s="348">
        <f t="shared" ref="H22:H23" ca="1" si="10">$H$20</f>
        <v>232</v>
      </c>
      <c r="I22" s="349">
        <f t="shared" ref="I22:I23" ca="1" si="11">$I$20</f>
        <v>7.88</v>
      </c>
    </row>
    <row r="23" spans="2:10" s="38" customFormat="1" ht="26.1" customHeight="1">
      <c r="B23" s="137">
        <f t="shared" si="4"/>
        <v>44755.861111111109</v>
      </c>
      <c r="C23" s="138">
        <v>2880</v>
      </c>
      <c r="D23" s="357">
        <f t="shared" ca="1" si="0"/>
        <v>13.9</v>
      </c>
      <c r="E23" s="348">
        <f t="shared" ca="1" si="7"/>
        <v>229</v>
      </c>
      <c r="F23" s="349">
        <f t="shared" ca="1" si="8"/>
        <v>7.78</v>
      </c>
      <c r="G23" s="357">
        <f t="shared" ca="1" si="9"/>
        <v>13.7</v>
      </c>
      <c r="H23" s="348">
        <f t="shared" ca="1" si="10"/>
        <v>232</v>
      </c>
      <c r="I23" s="349">
        <f t="shared" ca="1" si="11"/>
        <v>7.88</v>
      </c>
    </row>
    <row r="24" spans="2:10" s="38" customFormat="1" ht="26.1" customHeight="1">
      <c r="B24" s="413" t="s">
        <v>36</v>
      </c>
      <c r="C24" s="414"/>
      <c r="D24" s="350">
        <f ca="1">MAX(D14:D23)</f>
        <v>14.3</v>
      </c>
      <c r="E24" s="351">
        <f t="shared" ref="E24:F24" ca="1" si="12">MAX(E14:E23)</f>
        <v>229</v>
      </c>
      <c r="F24" s="352">
        <f t="shared" ca="1" si="12"/>
        <v>8.02</v>
      </c>
      <c r="G24" s="350">
        <f ca="1">MAX(G14:G23)</f>
        <v>14.3</v>
      </c>
      <c r="H24" s="351">
        <f t="shared" ref="H24:I24" ca="1" si="13">MAX(H14:H23)</f>
        <v>232</v>
      </c>
      <c r="I24" s="352">
        <f t="shared" ca="1" si="13"/>
        <v>7.91</v>
      </c>
      <c r="J24" s="37"/>
    </row>
    <row r="25" spans="2:10" s="38" customFormat="1" ht="26.1" customHeight="1">
      <c r="B25" s="413" t="s">
        <v>37</v>
      </c>
      <c r="C25" s="414"/>
      <c r="D25" s="350">
        <f ca="1">MIN(D14:D23)</f>
        <v>13.7</v>
      </c>
      <c r="E25" s="351">
        <f t="shared" ref="E25:F25" ca="1" si="14">MIN(E14:E23)</f>
        <v>224</v>
      </c>
      <c r="F25" s="353">
        <f t="shared" ca="1" si="14"/>
        <v>7.78</v>
      </c>
      <c r="G25" s="350">
        <f ca="1">MIN(G14:G23)</f>
        <v>13.7</v>
      </c>
      <c r="H25" s="351">
        <f t="shared" ref="H25:I25" ca="1" si="15">MIN(H14:H23)</f>
        <v>226</v>
      </c>
      <c r="I25" s="352">
        <f t="shared" ca="1" si="15"/>
        <v>7.68</v>
      </c>
      <c r="J25" s="37"/>
    </row>
    <row r="26" spans="2:10" s="38" customFormat="1" ht="26.1" customHeight="1" thickBot="1">
      <c r="B26" s="415" t="s">
        <v>93</v>
      </c>
      <c r="C26" s="416"/>
      <c r="D26" s="354">
        <f ca="1">D24-D25</f>
        <v>0.60000000000000142</v>
      </c>
      <c r="E26" s="355">
        <f t="shared" ref="E26:F26" ca="1" si="16">E24-E25</f>
        <v>5</v>
      </c>
      <c r="F26" s="356">
        <f t="shared" ca="1" si="16"/>
        <v>0.23999999999999932</v>
      </c>
      <c r="G26" s="354">
        <f ca="1">G24-G25</f>
        <v>0.60000000000000142</v>
      </c>
      <c r="H26" s="355">
        <f t="shared" ref="H26:I26" ca="1" si="17">H24-H25</f>
        <v>6</v>
      </c>
      <c r="I26" s="356">
        <f t="shared" ca="1" si="17"/>
        <v>0.23000000000000043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07" t="s">
        <v>88</v>
      </c>
      <c r="E29" s="408"/>
      <c r="F29" s="409"/>
      <c r="H29" s="407" t="s">
        <v>162</v>
      </c>
      <c r="I29" s="408"/>
      <c r="J29" s="409"/>
    </row>
    <row r="30" spans="2:10" s="38" customFormat="1" ht="18" customHeight="1">
      <c r="D30" s="130" t="s">
        <v>90</v>
      </c>
      <c r="E30" s="132" t="s">
        <v>91</v>
      </c>
      <c r="F30" s="131" t="s">
        <v>92</v>
      </c>
      <c r="H30" s="130" t="s">
        <v>90</v>
      </c>
      <c r="I30" s="132" t="s">
        <v>91</v>
      </c>
      <c r="J30" s="131" t="s">
        <v>92</v>
      </c>
    </row>
    <row r="31" spans="2:10" s="38" customFormat="1" ht="18" customHeight="1">
      <c r="D31" s="141">
        <f t="shared" ref="D31:D40" ca="1" si="18">ROUND(myRandBetween(1,3,10), 1)</f>
        <v>0.3</v>
      </c>
      <c r="E31" s="70">
        <f t="shared" ref="E31:E40" ca="1" si="19">myRandBetween(1,3,1)</f>
        <v>1</v>
      </c>
      <c r="F31" s="142">
        <f t="shared" ref="F31:F40" ca="1" si="20">ROUND(myRandBetween(7,12,100), 2)</f>
        <v>0.09</v>
      </c>
      <c r="H31" s="143">
        <f t="shared" ref="H31:H40" ca="1" si="21">ROUND(myRandBetween(1,3,10), 1)</f>
        <v>-0.3</v>
      </c>
      <c r="I31" s="72">
        <f t="shared" ref="I31:I40" ca="1" si="22">myRandBetween(1,3,1)</f>
        <v>-3</v>
      </c>
      <c r="J31" s="144">
        <f t="shared" ref="J31:J40" ca="1" si="23">ROUND(myRandBetween(7,12,100), 2)</f>
        <v>-0.12</v>
      </c>
    </row>
    <row r="32" spans="2:10" s="38" customFormat="1" ht="18" customHeight="1">
      <c r="D32" s="141">
        <f t="shared" ca="1" si="18"/>
        <v>0.1</v>
      </c>
      <c r="E32" s="70">
        <f t="shared" ca="1" si="19"/>
        <v>2</v>
      </c>
      <c r="F32" s="142">
        <f t="shared" ca="1" si="20"/>
        <v>0.09</v>
      </c>
      <c r="H32" s="143">
        <f t="shared" ca="1" si="21"/>
        <v>0.2</v>
      </c>
      <c r="I32" s="72">
        <f t="shared" ca="1" si="22"/>
        <v>-2</v>
      </c>
      <c r="J32" s="144">
        <f t="shared" ca="1" si="23"/>
        <v>0.11</v>
      </c>
    </row>
    <row r="33" spans="4:10" s="38" customFormat="1" ht="18" customHeight="1">
      <c r="D33" s="141">
        <f t="shared" ca="1" si="18"/>
        <v>0.2</v>
      </c>
      <c r="E33" s="70">
        <f t="shared" ca="1" si="19"/>
        <v>3</v>
      </c>
      <c r="F33" s="142">
        <f t="shared" ca="1" si="20"/>
        <v>0.12</v>
      </c>
      <c r="H33" s="143">
        <f t="shared" ca="1" si="21"/>
        <v>-0.2</v>
      </c>
      <c r="I33" s="72">
        <f t="shared" ca="1" si="22"/>
        <v>-2</v>
      </c>
      <c r="J33" s="144">
        <f t="shared" ca="1" si="23"/>
        <v>-0.12</v>
      </c>
    </row>
    <row r="34" spans="4:10" s="38" customFormat="1" ht="18" customHeight="1">
      <c r="D34" s="141">
        <f t="shared" ca="1" si="18"/>
        <v>-0.1</v>
      </c>
      <c r="E34" s="70">
        <f t="shared" ca="1" si="19"/>
        <v>3</v>
      </c>
      <c r="F34" s="142">
        <f t="shared" ca="1" si="20"/>
        <v>-0.1</v>
      </c>
      <c r="H34" s="143">
        <f t="shared" ca="1" si="21"/>
        <v>-0.3</v>
      </c>
      <c r="I34" s="72">
        <f t="shared" ca="1" si="22"/>
        <v>2</v>
      </c>
      <c r="J34" s="144">
        <f t="shared" ca="1" si="23"/>
        <v>-0.09</v>
      </c>
    </row>
    <row r="35" spans="4:10" s="38" customFormat="1" ht="18" customHeight="1">
      <c r="D35" s="141">
        <f t="shared" ca="1" si="18"/>
        <v>-0.3</v>
      </c>
      <c r="E35" s="70">
        <f t="shared" ca="1" si="19"/>
        <v>-1</v>
      </c>
      <c r="F35" s="142">
        <f t="shared" ca="1" si="20"/>
        <v>7.0000000000000007E-2</v>
      </c>
      <c r="H35" s="143">
        <f t="shared" ca="1" si="21"/>
        <v>0.1</v>
      </c>
      <c r="I35" s="72">
        <f t="shared" ca="1" si="22"/>
        <v>3</v>
      </c>
      <c r="J35" s="144">
        <f t="shared" ca="1" si="23"/>
        <v>7.0000000000000007E-2</v>
      </c>
    </row>
    <row r="36" spans="4:10" s="38" customFormat="1" ht="18" customHeight="1">
      <c r="D36" s="141">
        <f t="shared" ca="1" si="18"/>
        <v>0.1</v>
      </c>
      <c r="E36" s="70">
        <f t="shared" ca="1" si="19"/>
        <v>-2</v>
      </c>
      <c r="F36" s="142">
        <f t="shared" ca="1" si="20"/>
        <v>-0.11</v>
      </c>
      <c r="H36" s="143">
        <f t="shared" ca="1" si="21"/>
        <v>0.3</v>
      </c>
      <c r="I36" s="72">
        <f t="shared" ca="1" si="22"/>
        <v>-3</v>
      </c>
      <c r="J36" s="144">
        <f t="shared" ca="1" si="23"/>
        <v>7.0000000000000007E-2</v>
      </c>
    </row>
    <row r="37" spans="4:10" s="38" customFormat="1" ht="18" customHeight="1">
      <c r="D37" s="141">
        <f t="shared" ca="1" si="18"/>
        <v>-0.3</v>
      </c>
      <c r="E37" s="70">
        <f t="shared" ca="1" si="19"/>
        <v>3</v>
      </c>
      <c r="F37" s="142">
        <f t="shared" ca="1" si="20"/>
        <v>-0.12</v>
      </c>
      <c r="H37" s="143">
        <f t="shared" ca="1" si="21"/>
        <v>-0.3</v>
      </c>
      <c r="I37" s="72">
        <f t="shared" ca="1" si="22"/>
        <v>3</v>
      </c>
      <c r="J37" s="144">
        <f t="shared" ca="1" si="23"/>
        <v>0.08</v>
      </c>
    </row>
    <row r="38" spans="4:10" ht="18" customHeight="1">
      <c r="D38" s="141">
        <f t="shared" ca="1" si="18"/>
        <v>0.2</v>
      </c>
      <c r="E38" s="70">
        <f t="shared" ca="1" si="19"/>
        <v>-1</v>
      </c>
      <c r="F38" s="142">
        <f t="shared" ca="1" si="20"/>
        <v>-7.0000000000000007E-2</v>
      </c>
      <c r="H38" s="143">
        <f t="shared" ca="1" si="21"/>
        <v>0.3</v>
      </c>
      <c r="I38" s="72">
        <f t="shared" ca="1" si="22"/>
        <v>1</v>
      </c>
      <c r="J38" s="144">
        <f t="shared" ca="1" si="23"/>
        <v>-0.11</v>
      </c>
    </row>
    <row r="39" spans="4:10" ht="18" customHeight="1">
      <c r="D39" s="141">
        <f t="shared" ca="1" si="18"/>
        <v>-0.1</v>
      </c>
      <c r="E39" s="70">
        <f t="shared" ca="1" si="19"/>
        <v>3</v>
      </c>
      <c r="F39" s="142">
        <f t="shared" ca="1" si="20"/>
        <v>-0.08</v>
      </c>
      <c r="H39" s="143">
        <f t="shared" ca="1" si="21"/>
        <v>0.2</v>
      </c>
      <c r="I39" s="72">
        <f t="shared" ca="1" si="22"/>
        <v>1</v>
      </c>
      <c r="J39" s="144">
        <f t="shared" ca="1" si="23"/>
        <v>-0.09</v>
      </c>
    </row>
    <row r="40" spans="4:10" ht="18" customHeight="1">
      <c r="D40" s="141">
        <f t="shared" ca="1" si="18"/>
        <v>-0.1</v>
      </c>
      <c r="E40" s="70">
        <f t="shared" ca="1" si="19"/>
        <v>-1</v>
      </c>
      <c r="F40" s="142">
        <f t="shared" ca="1" si="20"/>
        <v>-0.1</v>
      </c>
      <c r="H40" s="143">
        <f t="shared" ca="1" si="21"/>
        <v>-0.2</v>
      </c>
      <c r="I40" s="72">
        <f t="shared" ca="1" si="22"/>
        <v>-1</v>
      </c>
      <c r="J40" s="144">
        <f t="shared" ca="1" si="23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9" workbookViewId="0">
      <selection activeCell="O15" sqref="O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6" t="s">
        <v>83</v>
      </c>
      <c r="C6" s="367">
        <v>44717.430555555555</v>
      </c>
      <c r="D6" s="127"/>
      <c r="E6" s="37"/>
      <c r="F6" s="37"/>
    </row>
    <row r="7" spans="2:12" s="38" customFormat="1" ht="26.1" customHeight="1" thickBot="1">
      <c r="B7" s="364" t="s">
        <v>84</v>
      </c>
      <c r="C7" s="365">
        <v>14.7</v>
      </c>
      <c r="D7" s="127"/>
      <c r="E7" s="37"/>
      <c r="F7" s="37"/>
    </row>
    <row r="8" spans="2:12" s="38" customFormat="1" ht="26.1" customHeight="1">
      <c r="B8" s="128" t="s">
        <v>85</v>
      </c>
      <c r="C8" s="129">
        <v>197</v>
      </c>
      <c r="D8" s="128">
        <v>197</v>
      </c>
      <c r="E8" s="37">
        <v>194</v>
      </c>
      <c r="F8" s="37"/>
    </row>
    <row r="9" spans="2:12" s="38" customFormat="1" ht="26.1" customHeight="1">
      <c r="B9" s="128" t="s">
        <v>86</v>
      </c>
      <c r="C9" s="129">
        <v>8.4</v>
      </c>
      <c r="D9" s="128">
        <v>8.3000000000000007</v>
      </c>
      <c r="E9" s="37">
        <v>8.4</v>
      </c>
      <c r="F9" s="37"/>
    </row>
    <row r="10" spans="2:12" s="38" customFormat="1" ht="26.1" customHeight="1">
      <c r="B10" s="128"/>
      <c r="C10" s="129"/>
      <c r="D10" s="127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07" t="s">
        <v>87</v>
      </c>
      <c r="C12" s="409"/>
      <c r="D12" s="410" t="s">
        <v>88</v>
      </c>
      <c r="E12" s="411"/>
      <c r="F12" s="412"/>
      <c r="G12" s="410" t="s">
        <v>162</v>
      </c>
      <c r="H12" s="411"/>
      <c r="I12" s="412"/>
      <c r="J12" s="410" t="s">
        <v>163</v>
      </c>
      <c r="K12" s="411"/>
      <c r="L12" s="412"/>
    </row>
    <row r="13" spans="2:12" s="37" customFormat="1" ht="27" customHeight="1">
      <c r="B13" s="130" t="s">
        <v>83</v>
      </c>
      <c r="C13" s="131" t="s">
        <v>89</v>
      </c>
      <c r="D13" s="350" t="s">
        <v>166</v>
      </c>
      <c r="E13" s="351" t="s">
        <v>176</v>
      </c>
      <c r="F13" s="352" t="s">
        <v>92</v>
      </c>
      <c r="G13" s="350" t="s">
        <v>166</v>
      </c>
      <c r="H13" s="351" t="s">
        <v>176</v>
      </c>
      <c r="I13" s="352" t="s">
        <v>92</v>
      </c>
      <c r="J13" s="350" t="s">
        <v>166</v>
      </c>
      <c r="K13" s="351" t="s">
        <v>176</v>
      </c>
      <c r="L13" s="352" t="s">
        <v>92</v>
      </c>
    </row>
    <row r="14" spans="2:12" s="37" customFormat="1" ht="27" customHeight="1">
      <c r="B14" s="133">
        <f>$C$6+C14/1440</f>
        <v>44717.434027777774</v>
      </c>
      <c r="C14" s="73">
        <v>5</v>
      </c>
      <c r="D14" s="347">
        <f t="shared" ref="D14:D20" si="0">baseTemp+D31</f>
        <v>14.7</v>
      </c>
      <c r="E14" s="348">
        <f t="shared" ref="E14:E20" si="1">$C$8+E31</f>
        <v>194</v>
      </c>
      <c r="F14" s="349">
        <f t="shared" ref="F14:F20" si="2">$C$9+F31</f>
        <v>8.33</v>
      </c>
      <c r="G14" s="357">
        <f t="shared" ref="G14:G20" si="3">baseTemp+H31</f>
        <v>14.7</v>
      </c>
      <c r="H14" s="348">
        <f>$D$8+I31</f>
        <v>200</v>
      </c>
      <c r="I14" s="349">
        <f>$D$9+J31</f>
        <v>8.39</v>
      </c>
      <c r="J14" s="357">
        <f t="shared" ref="J14:J20" si="4">baseTemp+L31</f>
        <v>14.7</v>
      </c>
      <c r="K14" s="348">
        <f>$E$8+M31</f>
        <v>195</v>
      </c>
      <c r="L14" s="349">
        <f>$E$9+N31</f>
        <v>8.2800000000000011</v>
      </c>
    </row>
    <row r="15" spans="2:12" s="37" customFormat="1" ht="27" customHeight="1">
      <c r="B15" s="135">
        <f t="shared" ref="B15:B23" si="5">$C$6+C15/1440</f>
        <v>44717.451388888891</v>
      </c>
      <c r="C15" s="71">
        <v>30</v>
      </c>
      <c r="D15" s="347">
        <f t="shared" si="0"/>
        <v>14.799999999999999</v>
      </c>
      <c r="E15" s="348">
        <f t="shared" si="1"/>
        <v>195</v>
      </c>
      <c r="F15" s="349">
        <f t="shared" si="2"/>
        <v>8.32</v>
      </c>
      <c r="G15" s="357">
        <f t="shared" si="3"/>
        <v>14.7</v>
      </c>
      <c r="H15" s="348">
        <f t="shared" ref="H15:H20" si="6">$D$8+I32</f>
        <v>194</v>
      </c>
      <c r="I15" s="349">
        <f t="shared" ref="I15:I20" si="7">$D$9+J32</f>
        <v>8.2100000000000009</v>
      </c>
      <c r="J15" s="357">
        <f t="shared" si="4"/>
        <v>14.7</v>
      </c>
      <c r="K15" s="348">
        <f t="shared" ref="K15:K20" si="8">$E$8+M32</f>
        <v>192</v>
      </c>
      <c r="L15" s="349">
        <f t="shared" ref="L15:L20" si="9">$E$9+N32</f>
        <v>8.49</v>
      </c>
    </row>
    <row r="16" spans="2:12" s="37" customFormat="1" ht="27" customHeight="1">
      <c r="B16" s="135">
        <f t="shared" si="5"/>
        <v>44717.472222222219</v>
      </c>
      <c r="C16" s="71">
        <v>60</v>
      </c>
      <c r="D16" s="347">
        <f t="shared" si="0"/>
        <v>14.7</v>
      </c>
      <c r="E16" s="348">
        <f t="shared" si="1"/>
        <v>199</v>
      </c>
      <c r="F16" s="349">
        <f t="shared" si="2"/>
        <v>8.51</v>
      </c>
      <c r="G16" s="357">
        <f t="shared" si="3"/>
        <v>14.6</v>
      </c>
      <c r="H16" s="348">
        <f t="shared" si="6"/>
        <v>200</v>
      </c>
      <c r="I16" s="349">
        <f t="shared" si="7"/>
        <v>8.2000000000000011</v>
      </c>
      <c r="J16" s="357">
        <f t="shared" si="4"/>
        <v>14.799999999999999</v>
      </c>
      <c r="K16" s="348">
        <f t="shared" si="8"/>
        <v>193</v>
      </c>
      <c r="L16" s="349">
        <f t="shared" si="9"/>
        <v>8.51</v>
      </c>
    </row>
    <row r="17" spans="2:14" s="37" customFormat="1" ht="27" customHeight="1">
      <c r="B17" s="135">
        <f t="shared" si="5"/>
        <v>44717.513888888891</v>
      </c>
      <c r="C17" s="71">
        <v>120</v>
      </c>
      <c r="D17" s="347">
        <f t="shared" si="0"/>
        <v>14.7</v>
      </c>
      <c r="E17" s="348">
        <f t="shared" si="1"/>
        <v>199</v>
      </c>
      <c r="F17" s="349">
        <f t="shared" si="2"/>
        <v>8.51</v>
      </c>
      <c r="G17" s="357">
        <f t="shared" si="3"/>
        <v>14.6</v>
      </c>
      <c r="H17" s="348">
        <f t="shared" si="6"/>
        <v>196</v>
      </c>
      <c r="I17" s="349">
        <f t="shared" si="7"/>
        <v>8.2000000000000011</v>
      </c>
      <c r="J17" s="357">
        <f t="shared" si="4"/>
        <v>14.799999999999999</v>
      </c>
      <c r="K17" s="348">
        <f t="shared" si="8"/>
        <v>196</v>
      </c>
      <c r="L17" s="349">
        <f t="shared" si="9"/>
        <v>8.3000000000000007</v>
      </c>
    </row>
    <row r="18" spans="2:14" s="37" customFormat="1" ht="27" customHeight="1">
      <c r="B18" s="135">
        <f t="shared" si="5"/>
        <v>44717.597222222219</v>
      </c>
      <c r="C18" s="71">
        <v>240</v>
      </c>
      <c r="D18" s="347">
        <f t="shared" si="0"/>
        <v>14.799999999999999</v>
      </c>
      <c r="E18" s="348">
        <f t="shared" si="1"/>
        <v>198</v>
      </c>
      <c r="F18" s="349">
        <f t="shared" si="2"/>
        <v>8.51</v>
      </c>
      <c r="G18" s="357">
        <f t="shared" si="3"/>
        <v>14.6</v>
      </c>
      <c r="H18" s="348">
        <f t="shared" si="6"/>
        <v>198</v>
      </c>
      <c r="I18" s="349">
        <f t="shared" si="7"/>
        <v>8.2000000000000011</v>
      </c>
      <c r="J18" s="357">
        <f t="shared" si="4"/>
        <v>14.6</v>
      </c>
      <c r="K18" s="348">
        <f t="shared" si="8"/>
        <v>196</v>
      </c>
      <c r="L18" s="349">
        <f t="shared" si="9"/>
        <v>8.52</v>
      </c>
    </row>
    <row r="19" spans="2:14" s="37" customFormat="1" ht="27" customHeight="1">
      <c r="B19" s="135">
        <f t="shared" si="5"/>
        <v>44717.763888888891</v>
      </c>
      <c r="C19" s="71">
        <v>480</v>
      </c>
      <c r="D19" s="347">
        <f t="shared" si="0"/>
        <v>14.7</v>
      </c>
      <c r="E19" s="348">
        <f t="shared" si="1"/>
        <v>196</v>
      </c>
      <c r="F19" s="349">
        <f t="shared" si="2"/>
        <v>8.2800000000000011</v>
      </c>
      <c r="G19" s="357">
        <f t="shared" si="3"/>
        <v>14.6</v>
      </c>
      <c r="H19" s="348">
        <f t="shared" si="6"/>
        <v>196</v>
      </c>
      <c r="I19" s="349">
        <f t="shared" si="7"/>
        <v>8.42</v>
      </c>
      <c r="J19" s="357">
        <f t="shared" si="4"/>
        <v>14.799999999999999</v>
      </c>
      <c r="K19" s="348">
        <f t="shared" si="8"/>
        <v>191</v>
      </c>
      <c r="L19" s="349">
        <f t="shared" si="9"/>
        <v>8.2800000000000011</v>
      </c>
    </row>
    <row r="20" spans="2:14" s="38" customFormat="1" ht="27" customHeight="1">
      <c r="B20" s="135">
        <f t="shared" si="5"/>
        <v>44718.430555555555</v>
      </c>
      <c r="C20" s="71">
        <v>1440</v>
      </c>
      <c r="D20" s="347">
        <f t="shared" si="0"/>
        <v>14.799999999999999</v>
      </c>
      <c r="E20" s="348">
        <f t="shared" si="1"/>
        <v>198</v>
      </c>
      <c r="F20" s="349">
        <f t="shared" si="2"/>
        <v>8.4700000000000006</v>
      </c>
      <c r="G20" s="357">
        <f t="shared" si="3"/>
        <v>14.6</v>
      </c>
      <c r="H20" s="348">
        <f t="shared" si="6"/>
        <v>195</v>
      </c>
      <c r="I20" s="349">
        <f t="shared" si="7"/>
        <v>8.23</v>
      </c>
      <c r="J20" s="357">
        <f t="shared" si="4"/>
        <v>14.6</v>
      </c>
      <c r="K20" s="348">
        <f t="shared" si="8"/>
        <v>191</v>
      </c>
      <c r="L20" s="349">
        <f t="shared" si="9"/>
        <v>8.33</v>
      </c>
    </row>
    <row r="21" spans="2:14" s="38" customFormat="1" ht="27" customHeight="1">
      <c r="B21" s="135">
        <f t="shared" si="5"/>
        <v>44718.597222222219</v>
      </c>
      <c r="C21" s="71">
        <v>1680</v>
      </c>
      <c r="D21" s="347">
        <f>$D$20</f>
        <v>14.799999999999999</v>
      </c>
      <c r="E21" s="348">
        <f>$E$20</f>
        <v>198</v>
      </c>
      <c r="F21" s="349">
        <f>$F$20</f>
        <v>8.4700000000000006</v>
      </c>
      <c r="G21" s="357">
        <f>$G$20</f>
        <v>14.6</v>
      </c>
      <c r="H21" s="348">
        <f>$H$20</f>
        <v>195</v>
      </c>
      <c r="I21" s="349">
        <f>$I$20</f>
        <v>8.23</v>
      </c>
      <c r="J21" s="357">
        <f>$J$20</f>
        <v>14.6</v>
      </c>
      <c r="K21" s="348">
        <f>$K$20</f>
        <v>191</v>
      </c>
      <c r="L21" s="349">
        <f>$L$20</f>
        <v>8.33</v>
      </c>
    </row>
    <row r="22" spans="2:14" s="38" customFormat="1" ht="27" customHeight="1">
      <c r="B22" s="135">
        <f t="shared" si="5"/>
        <v>44718.763888888891</v>
      </c>
      <c r="C22" s="71">
        <v>1920</v>
      </c>
      <c r="D22" s="347">
        <f t="shared" ref="D22:D23" si="10">$D$20</f>
        <v>14.799999999999999</v>
      </c>
      <c r="E22" s="348">
        <f t="shared" ref="E22:E23" si="11">$E$20</f>
        <v>198</v>
      </c>
      <c r="F22" s="349">
        <f t="shared" ref="F22:F23" si="12">$F$20</f>
        <v>8.4700000000000006</v>
      </c>
      <c r="G22" s="357">
        <f t="shared" ref="G22:G23" si="13">$G$20</f>
        <v>14.6</v>
      </c>
      <c r="H22" s="348">
        <f t="shared" ref="H22:H23" si="14">$H$20</f>
        <v>195</v>
      </c>
      <c r="I22" s="349">
        <f t="shared" ref="I22:I23" si="15">$I$20</f>
        <v>8.23</v>
      </c>
      <c r="J22" s="357">
        <f t="shared" ref="J22:J23" si="16">$J$20</f>
        <v>14.6</v>
      </c>
      <c r="K22" s="348">
        <f t="shared" ref="K22:K23" si="17">$K$20</f>
        <v>191</v>
      </c>
      <c r="L22" s="349">
        <f t="shared" ref="L22:L23" si="18">$L$20</f>
        <v>8.33</v>
      </c>
    </row>
    <row r="23" spans="2:14" s="38" customFormat="1" ht="27" customHeight="1">
      <c r="B23" s="137">
        <f t="shared" si="5"/>
        <v>44719.430555555555</v>
      </c>
      <c r="C23" s="138">
        <v>2880</v>
      </c>
      <c r="D23" s="347">
        <f t="shared" si="10"/>
        <v>14.799999999999999</v>
      </c>
      <c r="E23" s="348">
        <f t="shared" si="11"/>
        <v>198</v>
      </c>
      <c r="F23" s="349">
        <f t="shared" si="12"/>
        <v>8.4700000000000006</v>
      </c>
      <c r="G23" s="357">
        <f t="shared" si="13"/>
        <v>14.6</v>
      </c>
      <c r="H23" s="348">
        <f t="shared" si="14"/>
        <v>195</v>
      </c>
      <c r="I23" s="349">
        <f t="shared" si="15"/>
        <v>8.23</v>
      </c>
      <c r="J23" s="357">
        <f t="shared" si="16"/>
        <v>14.6</v>
      </c>
      <c r="K23" s="348">
        <f t="shared" si="17"/>
        <v>191</v>
      </c>
      <c r="L23" s="349">
        <f t="shared" si="18"/>
        <v>8.33</v>
      </c>
    </row>
    <row r="24" spans="2:14" s="38" customFormat="1" ht="27" customHeight="1">
      <c r="B24" s="413" t="s">
        <v>36</v>
      </c>
      <c r="C24" s="414"/>
      <c r="D24" s="350">
        <f>MAX(D14:D23)</f>
        <v>14.799999999999999</v>
      </c>
      <c r="E24" s="351">
        <f t="shared" ref="E24:F24" si="19">MAX(E14:E23)</f>
        <v>199</v>
      </c>
      <c r="F24" s="352">
        <f t="shared" si="19"/>
        <v>8.51</v>
      </c>
      <c r="G24" s="350">
        <f>MAX(G14:G23)</f>
        <v>14.7</v>
      </c>
      <c r="H24" s="351">
        <f t="shared" ref="H24:I24" si="20">MAX(H14:H23)</f>
        <v>200</v>
      </c>
      <c r="I24" s="352">
        <f t="shared" si="20"/>
        <v>8.42</v>
      </c>
      <c r="J24" s="350">
        <f>MAX(J14:J23)</f>
        <v>14.799999999999999</v>
      </c>
      <c r="K24" s="351">
        <f t="shared" ref="K24:L24" si="21">MAX(K14:K23)</f>
        <v>196</v>
      </c>
      <c r="L24" s="352">
        <f t="shared" si="21"/>
        <v>8.52</v>
      </c>
    </row>
    <row r="25" spans="2:14" s="38" customFormat="1" ht="27" customHeight="1">
      <c r="B25" s="413" t="s">
        <v>37</v>
      </c>
      <c r="C25" s="414"/>
      <c r="D25" s="350">
        <f>MIN(D14:D23)</f>
        <v>14.7</v>
      </c>
      <c r="E25" s="351">
        <f t="shared" ref="E25:F25" si="22">MIN(E14:E23)</f>
        <v>194</v>
      </c>
      <c r="F25" s="352">
        <f t="shared" si="22"/>
        <v>8.2800000000000011</v>
      </c>
      <c r="G25" s="350">
        <f>MIN(G14:G23)</f>
        <v>14.6</v>
      </c>
      <c r="H25" s="351">
        <f t="shared" ref="H25:I25" si="23">MIN(H14:H23)</f>
        <v>194</v>
      </c>
      <c r="I25" s="352">
        <f t="shared" si="23"/>
        <v>8.2000000000000011</v>
      </c>
      <c r="J25" s="350">
        <f>MIN(J14:J23)</f>
        <v>14.6</v>
      </c>
      <c r="K25" s="351">
        <f t="shared" ref="K25:L25" si="24">MIN(K14:K23)</f>
        <v>191</v>
      </c>
      <c r="L25" s="352">
        <f t="shared" si="24"/>
        <v>8.2800000000000011</v>
      </c>
    </row>
    <row r="26" spans="2:14" s="38" customFormat="1" ht="27" customHeight="1" thickBot="1">
      <c r="B26" s="415" t="s">
        <v>93</v>
      </c>
      <c r="C26" s="416"/>
      <c r="D26" s="354">
        <f>D24-D25</f>
        <v>9.9999999999999645E-2</v>
      </c>
      <c r="E26" s="355">
        <f t="shared" ref="E26:F26" si="25">E24-E25</f>
        <v>5</v>
      </c>
      <c r="F26" s="356">
        <f t="shared" si="25"/>
        <v>0.22999999999999865</v>
      </c>
      <c r="G26" s="354">
        <f>G24-G25</f>
        <v>9.9999999999999645E-2</v>
      </c>
      <c r="H26" s="355">
        <f t="shared" ref="H26:I26" si="26">H24-H25</f>
        <v>6</v>
      </c>
      <c r="I26" s="356">
        <f t="shared" si="26"/>
        <v>0.21999999999999886</v>
      </c>
      <c r="J26" s="354">
        <f>J24-J25</f>
        <v>0.19999999999999929</v>
      </c>
      <c r="K26" s="355">
        <f t="shared" ref="K26:L26" si="27">K24-K25</f>
        <v>5</v>
      </c>
      <c r="L26" s="356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07" t="s">
        <v>88</v>
      </c>
      <c r="E29" s="408"/>
      <c r="F29" s="409"/>
      <c r="H29" s="407" t="s">
        <v>162</v>
      </c>
      <c r="I29" s="408"/>
      <c r="J29" s="409"/>
      <c r="L29" s="407" t="s">
        <v>163</v>
      </c>
      <c r="M29" s="408"/>
      <c r="N29" s="409"/>
    </row>
    <row r="30" spans="2:14" s="38" customFormat="1" ht="18" customHeight="1">
      <c r="D30" s="130" t="s">
        <v>167</v>
      </c>
      <c r="E30" s="132" t="s">
        <v>168</v>
      </c>
      <c r="F30" s="131" t="s">
        <v>92</v>
      </c>
      <c r="H30" s="130" t="s">
        <v>167</v>
      </c>
      <c r="I30" s="132" t="s">
        <v>168</v>
      </c>
      <c r="J30" s="131" t="s">
        <v>92</v>
      </c>
      <c r="L30" s="130" t="s">
        <v>167</v>
      </c>
      <c r="M30" s="132" t="s">
        <v>168</v>
      </c>
      <c r="N30" s="131" t="s">
        <v>92</v>
      </c>
    </row>
    <row r="31" spans="2:14" s="38" customFormat="1" ht="18" customHeight="1">
      <c r="D31" s="141">
        <v>0</v>
      </c>
      <c r="E31" s="70">
        <v>-3</v>
      </c>
      <c r="F31" s="142">
        <v>-7.0000000000000007E-2</v>
      </c>
      <c r="H31" s="141">
        <v>0</v>
      </c>
      <c r="I31" s="70">
        <v>3</v>
      </c>
      <c r="J31" s="142">
        <v>0.09</v>
      </c>
      <c r="L31" s="141">
        <v>0</v>
      </c>
      <c r="M31" s="70">
        <v>1</v>
      </c>
      <c r="N31" s="142">
        <v>-0.12</v>
      </c>
    </row>
    <row r="32" spans="2:14" s="38" customFormat="1" ht="18" customHeight="1">
      <c r="D32" s="141">
        <v>0.1</v>
      </c>
      <c r="E32" s="70">
        <v>-2</v>
      </c>
      <c r="F32" s="142">
        <v>-0.08</v>
      </c>
      <c r="H32" s="141">
        <v>0</v>
      </c>
      <c r="I32" s="70">
        <v>-3</v>
      </c>
      <c r="J32" s="142">
        <v>-0.09</v>
      </c>
      <c r="L32" s="141">
        <v>0</v>
      </c>
      <c r="M32" s="70">
        <v>-2</v>
      </c>
      <c r="N32" s="142">
        <v>0.09</v>
      </c>
    </row>
    <row r="33" spans="4:14" s="38" customFormat="1" ht="18" customHeight="1">
      <c r="D33" s="141">
        <v>0</v>
      </c>
      <c r="E33" s="70">
        <v>2</v>
      </c>
      <c r="F33" s="142">
        <v>0.11</v>
      </c>
      <c r="H33" s="141">
        <v>-0.1</v>
      </c>
      <c r="I33" s="70">
        <v>3</v>
      </c>
      <c r="J33" s="142">
        <v>-0.1</v>
      </c>
      <c r="L33" s="141">
        <v>0.1</v>
      </c>
      <c r="M33" s="70">
        <v>-1</v>
      </c>
      <c r="N33" s="142">
        <v>0.11</v>
      </c>
    </row>
    <row r="34" spans="4:14" s="38" customFormat="1" ht="18" customHeight="1">
      <c r="D34" s="141">
        <v>0</v>
      </c>
      <c r="E34" s="70">
        <v>2</v>
      </c>
      <c r="F34" s="142">
        <v>0.11</v>
      </c>
      <c r="H34" s="141">
        <v>-0.1</v>
      </c>
      <c r="I34" s="70">
        <v>-1</v>
      </c>
      <c r="J34" s="142">
        <v>-0.1</v>
      </c>
      <c r="L34" s="141">
        <v>0.1</v>
      </c>
      <c r="M34" s="70">
        <v>2</v>
      </c>
      <c r="N34" s="142">
        <v>-0.1</v>
      </c>
    </row>
    <row r="35" spans="4:14" s="38" customFormat="1" ht="18" customHeight="1">
      <c r="D35" s="141">
        <v>0.1</v>
      </c>
      <c r="E35" s="70">
        <v>1</v>
      </c>
      <c r="F35" s="142">
        <v>0.11</v>
      </c>
      <c r="H35" s="141">
        <v>-0.1</v>
      </c>
      <c r="I35" s="70">
        <v>1</v>
      </c>
      <c r="J35" s="142">
        <v>-0.1</v>
      </c>
      <c r="L35" s="141">
        <v>-0.1</v>
      </c>
      <c r="M35" s="70">
        <v>2</v>
      </c>
      <c r="N35" s="142">
        <v>0.12</v>
      </c>
    </row>
    <row r="36" spans="4:14" s="38" customFormat="1" ht="18" customHeight="1">
      <c r="D36" s="141">
        <v>0</v>
      </c>
      <c r="E36" s="70">
        <v>-1</v>
      </c>
      <c r="F36" s="142">
        <v>-0.12</v>
      </c>
      <c r="H36" s="141">
        <v>-0.1</v>
      </c>
      <c r="I36" s="70">
        <v>-1</v>
      </c>
      <c r="J36" s="142">
        <v>0.12</v>
      </c>
      <c r="L36" s="141">
        <v>0.1</v>
      </c>
      <c r="M36" s="70">
        <v>-3</v>
      </c>
      <c r="N36" s="142">
        <v>-0.12</v>
      </c>
    </row>
    <row r="37" spans="4:14" s="38" customFormat="1" ht="18" customHeight="1">
      <c r="D37" s="141">
        <v>0.1</v>
      </c>
      <c r="E37" s="70">
        <v>1</v>
      </c>
      <c r="F37" s="142">
        <v>7.0000000000000007E-2</v>
      </c>
      <c r="H37" s="141">
        <v>-0.1</v>
      </c>
      <c r="I37" s="70">
        <v>-2</v>
      </c>
      <c r="J37" s="142">
        <v>-7.0000000000000007E-2</v>
      </c>
      <c r="L37" s="141">
        <v>-0.1</v>
      </c>
      <c r="M37" s="70">
        <v>-3</v>
      </c>
      <c r="N37" s="142">
        <v>-7.0000000000000007E-2</v>
      </c>
    </row>
    <row r="38" spans="4:14" ht="18" customHeight="1">
      <c r="D38" s="141">
        <v>0</v>
      </c>
      <c r="E38" s="70">
        <v>-1</v>
      </c>
      <c r="F38" s="142">
        <v>0.12</v>
      </c>
      <c r="H38" s="141">
        <v>0.1</v>
      </c>
      <c r="I38" s="70">
        <v>-1</v>
      </c>
      <c r="J38" s="142">
        <v>0.08</v>
      </c>
      <c r="L38" s="141">
        <v>-0.1</v>
      </c>
      <c r="M38" s="70">
        <v>-1</v>
      </c>
      <c r="N38" s="142">
        <v>0.1</v>
      </c>
    </row>
    <row r="39" spans="4:14" ht="18" customHeight="1">
      <c r="D39" s="141">
        <v>0</v>
      </c>
      <c r="E39" s="70">
        <v>1</v>
      </c>
      <c r="F39" s="142">
        <v>0.11</v>
      </c>
      <c r="H39" s="141">
        <v>-0.1</v>
      </c>
      <c r="I39" s="70">
        <v>-2</v>
      </c>
      <c r="J39" s="142">
        <v>0.09</v>
      </c>
      <c r="L39" s="141">
        <v>0.1</v>
      </c>
      <c r="M39" s="70">
        <v>-1</v>
      </c>
      <c r="N39" s="142">
        <v>0.11</v>
      </c>
    </row>
    <row r="40" spans="4:14" ht="18" customHeight="1" thickBot="1">
      <c r="D40" s="145">
        <v>0</v>
      </c>
      <c r="E40" s="75">
        <v>-3</v>
      </c>
      <c r="F40" s="146">
        <v>-0.11</v>
      </c>
      <c r="H40" s="145">
        <v>-0.1</v>
      </c>
      <c r="I40" s="75">
        <v>-2</v>
      </c>
      <c r="J40" s="146">
        <v>0.09</v>
      </c>
      <c r="L40" s="145">
        <v>0</v>
      </c>
      <c r="M40" s="75">
        <v>-2</v>
      </c>
      <c r="N40" s="146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topLeftCell="A7" workbookViewId="0">
      <selection activeCell="J26" sqref="J26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51" customFormat="1" ht="26.25" customHeight="1">
      <c r="B4" s="149" t="s">
        <v>95</v>
      </c>
      <c r="C4" s="150" t="s">
        <v>88</v>
      </c>
      <c r="E4" s="150"/>
      <c r="F4" s="150"/>
    </row>
    <row r="5" spans="2:14" s="38" customFormat="1" ht="18" customHeight="1" thickBot="1">
      <c r="E5" s="37"/>
      <c r="F5" s="37"/>
    </row>
    <row r="6" spans="2:14" s="38" customFormat="1" ht="26.1" customHeight="1">
      <c r="B6" s="362" t="s">
        <v>83</v>
      </c>
      <c r="C6" s="363">
        <v>44753.861111111109</v>
      </c>
      <c r="D6" s="127"/>
      <c r="E6" s="37"/>
      <c r="F6" s="37"/>
    </row>
    <row r="7" spans="2:14" s="38" customFormat="1" ht="26.1" customHeight="1" thickBot="1">
      <c r="B7" s="364" t="s">
        <v>84</v>
      </c>
      <c r="C7" s="365">
        <v>14.6</v>
      </c>
      <c r="D7" s="127"/>
      <c r="E7" s="37"/>
      <c r="F7" s="37"/>
    </row>
    <row r="8" spans="2:14" s="38" customFormat="1" ht="26.1" customHeight="1">
      <c r="B8" s="128" t="s">
        <v>85</v>
      </c>
      <c r="C8" s="129">
        <v>211</v>
      </c>
      <c r="D8" s="127"/>
      <c r="E8" s="37"/>
      <c r="F8" s="37"/>
    </row>
    <row r="9" spans="2:14" s="38" customFormat="1" ht="26.1" customHeight="1">
      <c r="B9" s="128" t="s">
        <v>86</v>
      </c>
      <c r="C9" s="152">
        <v>6.7</v>
      </c>
      <c r="D9" s="127"/>
      <c r="E9" s="37"/>
      <c r="F9" s="37"/>
    </row>
    <row r="10" spans="2:14" s="38" customFormat="1" ht="26.1" customHeight="1">
      <c r="B10" s="128"/>
      <c r="C10" s="129"/>
      <c r="D10" s="127"/>
      <c r="E10" s="37"/>
      <c r="F10" s="37"/>
    </row>
    <row r="11" spans="2:14" s="38" customFormat="1" ht="18" customHeight="1" thickBot="1">
      <c r="E11" s="37"/>
      <c r="F11" s="37"/>
    </row>
    <row r="12" spans="2:14" s="37" customFormat="1" ht="26.1" customHeight="1">
      <c r="B12" s="407" t="s">
        <v>87</v>
      </c>
      <c r="C12" s="409"/>
      <c r="D12" s="420" t="s">
        <v>88</v>
      </c>
      <c r="E12" s="408"/>
      <c r="F12" s="409"/>
      <c r="H12" s="407" t="s">
        <v>88</v>
      </c>
      <c r="I12" s="408"/>
      <c r="J12" s="409"/>
      <c r="L12" s="417" t="s">
        <v>88</v>
      </c>
      <c r="M12" s="418"/>
      <c r="N12" s="419"/>
    </row>
    <row r="13" spans="2:14" s="37" customFormat="1" ht="26.1" customHeight="1">
      <c r="B13" s="130" t="s">
        <v>83</v>
      </c>
      <c r="C13" s="131" t="s">
        <v>89</v>
      </c>
      <c r="D13" s="147" t="s">
        <v>90</v>
      </c>
      <c r="E13" s="132" t="s">
        <v>91</v>
      </c>
      <c r="F13" s="131" t="s">
        <v>92</v>
      </c>
      <c r="H13" s="130" t="s">
        <v>90</v>
      </c>
      <c r="I13" s="132" t="s">
        <v>91</v>
      </c>
      <c r="J13" s="131" t="s">
        <v>92</v>
      </c>
      <c r="L13" s="161" t="s">
        <v>90</v>
      </c>
      <c r="M13" s="162" t="s">
        <v>91</v>
      </c>
      <c r="N13" s="163" t="s">
        <v>92</v>
      </c>
    </row>
    <row r="14" spans="2:14" s="37" customFormat="1" ht="26.1" customHeight="1">
      <c r="B14" s="153">
        <f>$C$6+C14/1440</f>
        <v>44753.864583333328</v>
      </c>
      <c r="C14" s="73">
        <v>5</v>
      </c>
      <c r="D14" s="154">
        <f t="shared" ref="D14:D20" si="0">baseTemp+H14</f>
        <v>14.799999999999999</v>
      </c>
      <c r="E14" s="155">
        <f>$C$8+I14</f>
        <v>208</v>
      </c>
      <c r="F14" s="134">
        <f>$C$9+J14</f>
        <v>6.59</v>
      </c>
      <c r="H14" s="69">
        <v>0.2</v>
      </c>
      <c r="I14" s="70">
        <v>-3</v>
      </c>
      <c r="J14" s="71">
        <v>-0.11</v>
      </c>
      <c r="L14" s="161">
        <f t="shared" ref="L14:L23" ca="1" si="1">ROUND(myRandBetween(1,3,10), 1)</f>
        <v>0.1</v>
      </c>
      <c r="M14" s="162">
        <f t="shared" ref="M14:M23" ca="1" si="2">myRandBetween(1,3,1)</f>
        <v>2</v>
      </c>
      <c r="N14" s="163">
        <f t="shared" ref="N14:N23" ca="1" si="3">ROUND(myRandBetween(7,12,100), 2)</f>
        <v>-0.11</v>
      </c>
    </row>
    <row r="15" spans="2:14" s="37" customFormat="1" ht="26.1" customHeight="1">
      <c r="B15" s="156">
        <f t="shared" ref="B15:B23" si="4">$C$6+C15/1440</f>
        <v>44753.881944444445</v>
      </c>
      <c r="C15" s="71">
        <v>30</v>
      </c>
      <c r="D15" s="157">
        <f t="shared" si="0"/>
        <v>14.4</v>
      </c>
      <c r="E15" s="158">
        <f t="shared" ref="E15:E20" si="5">$C$8+I15</f>
        <v>214</v>
      </c>
      <c r="F15" s="136">
        <f t="shared" ref="F15:F20" si="6">$C$9+J15</f>
        <v>6.8</v>
      </c>
      <c r="H15" s="69">
        <v>-0.2</v>
      </c>
      <c r="I15" s="70">
        <v>3</v>
      </c>
      <c r="J15" s="71">
        <v>0.1</v>
      </c>
      <c r="L15" s="161">
        <f t="shared" ca="1" si="1"/>
        <v>0.1</v>
      </c>
      <c r="M15" s="162">
        <f t="shared" ca="1" si="2"/>
        <v>2</v>
      </c>
      <c r="N15" s="163">
        <f t="shared" ca="1" si="3"/>
        <v>0.08</v>
      </c>
    </row>
    <row r="16" spans="2:14" s="37" customFormat="1" ht="26.1" customHeight="1">
      <c r="B16" s="156">
        <f t="shared" si="4"/>
        <v>44753.902777777774</v>
      </c>
      <c r="C16" s="71">
        <v>60</v>
      </c>
      <c r="D16" s="157">
        <f t="shared" si="0"/>
        <v>14.4</v>
      </c>
      <c r="E16" s="158">
        <f t="shared" si="5"/>
        <v>213</v>
      </c>
      <c r="F16" s="136">
        <f t="shared" si="6"/>
        <v>6.61</v>
      </c>
      <c r="H16" s="69">
        <v>-0.2</v>
      </c>
      <c r="I16" s="70">
        <v>2</v>
      </c>
      <c r="J16" s="71">
        <v>-0.09</v>
      </c>
      <c r="L16" s="161">
        <f t="shared" ca="1" si="1"/>
        <v>-0.1</v>
      </c>
      <c r="M16" s="162">
        <f t="shared" ca="1" si="2"/>
        <v>3</v>
      </c>
      <c r="N16" s="163">
        <f t="shared" ca="1" si="3"/>
        <v>-0.09</v>
      </c>
    </row>
    <row r="17" spans="2:14" s="37" customFormat="1" ht="26.1" customHeight="1">
      <c r="B17" s="156">
        <f t="shared" si="4"/>
        <v>44753.944444444445</v>
      </c>
      <c r="C17" s="71">
        <v>120</v>
      </c>
      <c r="D17" s="157">
        <f t="shared" si="0"/>
        <v>14.9</v>
      </c>
      <c r="E17" s="158">
        <f t="shared" si="5"/>
        <v>209</v>
      </c>
      <c r="F17" s="136">
        <f t="shared" si="6"/>
        <v>6.58</v>
      </c>
      <c r="H17" s="69">
        <v>0.3</v>
      </c>
      <c r="I17" s="70">
        <v>-2</v>
      </c>
      <c r="J17" s="71">
        <v>-0.12</v>
      </c>
      <c r="L17" s="161">
        <f t="shared" ca="1" si="1"/>
        <v>0.1</v>
      </c>
      <c r="M17" s="162">
        <f t="shared" ca="1" si="2"/>
        <v>2</v>
      </c>
      <c r="N17" s="163">
        <f t="shared" ca="1" si="3"/>
        <v>0.08</v>
      </c>
    </row>
    <row r="18" spans="2:14" s="37" customFormat="1" ht="26.1" customHeight="1">
      <c r="B18" s="156">
        <f t="shared" si="4"/>
        <v>44754.027777777774</v>
      </c>
      <c r="C18" s="71">
        <v>240</v>
      </c>
      <c r="D18" s="157">
        <f t="shared" si="0"/>
        <v>14.299999999999999</v>
      </c>
      <c r="E18" s="158">
        <f t="shared" si="5"/>
        <v>210</v>
      </c>
      <c r="F18" s="136">
        <f t="shared" si="6"/>
        <v>6.63</v>
      </c>
      <c r="H18" s="69">
        <v>-0.3</v>
      </c>
      <c r="I18" s="70">
        <v>-1</v>
      </c>
      <c r="J18" s="71">
        <v>-7.0000000000000007E-2</v>
      </c>
      <c r="L18" s="161">
        <f t="shared" ca="1" si="1"/>
        <v>0.3</v>
      </c>
      <c r="M18" s="162">
        <f t="shared" ca="1" si="2"/>
        <v>-3</v>
      </c>
      <c r="N18" s="163">
        <f t="shared" ca="1" si="3"/>
        <v>0.09</v>
      </c>
    </row>
    <row r="19" spans="2:14" s="37" customFormat="1" ht="26.1" customHeight="1">
      <c r="B19" s="156">
        <f t="shared" si="4"/>
        <v>44754.194444444445</v>
      </c>
      <c r="C19" s="71">
        <v>480</v>
      </c>
      <c r="D19" s="159">
        <f t="shared" si="0"/>
        <v>14.799999999999999</v>
      </c>
      <c r="E19" s="158">
        <f t="shared" si="5"/>
        <v>213</v>
      </c>
      <c r="F19" s="136">
        <f t="shared" si="6"/>
        <v>6.6000000000000005</v>
      </c>
      <c r="H19" s="69">
        <v>0.2</v>
      </c>
      <c r="I19" s="70">
        <v>2</v>
      </c>
      <c r="J19" s="71">
        <v>-0.1</v>
      </c>
      <c r="L19" s="161">
        <f t="shared" ca="1" si="1"/>
        <v>0.2</v>
      </c>
      <c r="M19" s="162">
        <f t="shared" ca="1" si="2"/>
        <v>1</v>
      </c>
      <c r="N19" s="163">
        <f t="shared" ca="1" si="3"/>
        <v>-0.11</v>
      </c>
    </row>
    <row r="20" spans="2:14" s="38" customFormat="1" ht="26.1" customHeight="1">
      <c r="B20" s="156">
        <f t="shared" si="4"/>
        <v>44754.861111111109</v>
      </c>
      <c r="C20" s="71">
        <v>1440</v>
      </c>
      <c r="D20" s="157">
        <f t="shared" si="0"/>
        <v>14.799999999999999</v>
      </c>
      <c r="E20" s="158">
        <f t="shared" si="5"/>
        <v>208</v>
      </c>
      <c r="F20" s="136">
        <f t="shared" si="6"/>
        <v>6.79</v>
      </c>
      <c r="H20" s="69">
        <v>0.2</v>
      </c>
      <c r="I20" s="70">
        <v>-3</v>
      </c>
      <c r="J20" s="71">
        <v>0.09</v>
      </c>
      <c r="L20" s="161">
        <f t="shared" ca="1" si="1"/>
        <v>0.2</v>
      </c>
      <c r="M20" s="162">
        <f t="shared" ca="1" si="2"/>
        <v>-1</v>
      </c>
      <c r="N20" s="163">
        <f t="shared" ca="1" si="3"/>
        <v>-7.0000000000000007E-2</v>
      </c>
    </row>
    <row r="21" spans="2:14" s="38" customFormat="1" ht="26.1" customHeight="1">
      <c r="B21" s="156">
        <f t="shared" si="4"/>
        <v>44755.027777777774</v>
      </c>
      <c r="C21" s="71">
        <v>1680</v>
      </c>
      <c r="D21" s="157">
        <f>$D$20</f>
        <v>14.799999999999999</v>
      </c>
      <c r="E21" s="158">
        <f>$E$20</f>
        <v>208</v>
      </c>
      <c r="F21" s="136">
        <f>$F$20</f>
        <v>6.79</v>
      </c>
      <c r="H21" s="69">
        <v>0.1</v>
      </c>
      <c r="I21" s="70">
        <v>-1</v>
      </c>
      <c r="J21" s="71">
        <v>-0.11</v>
      </c>
      <c r="L21" s="161">
        <f t="shared" ca="1" si="1"/>
        <v>-0.1</v>
      </c>
      <c r="M21" s="162">
        <f t="shared" ca="1" si="2"/>
        <v>3</v>
      </c>
      <c r="N21" s="163">
        <f t="shared" ca="1" si="3"/>
        <v>-0.09</v>
      </c>
    </row>
    <row r="22" spans="2:14" s="38" customFormat="1" ht="26.1" customHeight="1">
      <c r="B22" s="156">
        <f t="shared" si="4"/>
        <v>44755.194444444445</v>
      </c>
      <c r="C22" s="71">
        <v>1920</v>
      </c>
      <c r="D22" s="157">
        <f t="shared" ref="D22:D23" si="7">$D$20</f>
        <v>14.799999999999999</v>
      </c>
      <c r="E22" s="158">
        <f t="shared" ref="E22:E23" si="8">$E$20</f>
        <v>208</v>
      </c>
      <c r="F22" s="136">
        <f t="shared" ref="F22:F23" si="9">$F$20</f>
        <v>6.79</v>
      </c>
      <c r="H22" s="69">
        <v>0.2</v>
      </c>
      <c r="I22" s="70">
        <v>-1</v>
      </c>
      <c r="J22" s="71">
        <v>0.12</v>
      </c>
      <c r="L22" s="161">
        <f t="shared" ca="1" si="1"/>
        <v>-0.2</v>
      </c>
      <c r="M22" s="162">
        <f t="shared" ca="1" si="2"/>
        <v>-2</v>
      </c>
      <c r="N22" s="163">
        <f t="shared" ca="1" si="3"/>
        <v>-0.09</v>
      </c>
    </row>
    <row r="23" spans="2:14" s="38" customFormat="1" ht="26.1" customHeight="1" thickBot="1">
      <c r="B23" s="156">
        <f t="shared" si="4"/>
        <v>44755.861111111109</v>
      </c>
      <c r="C23" s="71">
        <v>2880</v>
      </c>
      <c r="D23" s="157">
        <f t="shared" si="7"/>
        <v>14.799999999999999</v>
      </c>
      <c r="E23" s="158">
        <f t="shared" si="8"/>
        <v>208</v>
      </c>
      <c r="F23" s="136">
        <f t="shared" si="9"/>
        <v>6.79</v>
      </c>
      <c r="H23" s="77">
        <v>-0.1</v>
      </c>
      <c r="I23" s="75">
        <v>-1</v>
      </c>
      <c r="J23" s="76">
        <v>0.12</v>
      </c>
      <c r="L23" s="161">
        <f t="shared" ca="1" si="1"/>
        <v>-0.2</v>
      </c>
      <c r="M23" s="162">
        <f t="shared" ca="1" si="2"/>
        <v>1</v>
      </c>
      <c r="N23" s="163">
        <f t="shared" ca="1" si="3"/>
        <v>7.0000000000000007E-2</v>
      </c>
    </row>
    <row r="24" spans="2:14" s="38" customFormat="1" ht="26.1" customHeight="1">
      <c r="B24" s="413" t="s">
        <v>36</v>
      </c>
      <c r="C24" s="414"/>
      <c r="D24" s="147">
        <f>MAX(D14:D23)</f>
        <v>14.9</v>
      </c>
      <c r="E24" s="132">
        <f t="shared" ref="E24:F24" si="10">MAX(E14:E23)</f>
        <v>214</v>
      </c>
      <c r="F24" s="131">
        <f t="shared" si="10"/>
        <v>6.8</v>
      </c>
      <c r="H24" s="37"/>
      <c r="I24" s="37"/>
      <c r="J24" s="37"/>
    </row>
    <row r="25" spans="2:14" s="38" customFormat="1" ht="26.1" customHeight="1">
      <c r="B25" s="413" t="s">
        <v>37</v>
      </c>
      <c r="C25" s="414"/>
      <c r="D25" s="147">
        <f>MIN(D14:D23)</f>
        <v>14.299999999999999</v>
      </c>
      <c r="E25" s="132">
        <f t="shared" ref="E25:F25" si="11">MIN(E14:E23)</f>
        <v>208</v>
      </c>
      <c r="F25" s="131">
        <f t="shared" si="11"/>
        <v>6.58</v>
      </c>
      <c r="H25" s="37"/>
      <c r="I25" s="37"/>
      <c r="J25" s="37"/>
    </row>
    <row r="26" spans="2:14" s="38" customFormat="1" ht="26.1" customHeight="1" thickBot="1">
      <c r="B26" s="415" t="s">
        <v>93</v>
      </c>
      <c r="C26" s="416"/>
      <c r="D26" s="148">
        <f>D24-D25</f>
        <v>0.60000000000000142</v>
      </c>
      <c r="E26" s="139">
        <f t="shared" ref="E26:F26" si="12">E24-E25</f>
        <v>6</v>
      </c>
      <c r="F26" s="140">
        <f t="shared" si="12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13</vt:i4>
      </vt:variant>
    </vt:vector>
  </HeadingPairs>
  <TitlesOfParts>
    <vt:vector size="25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1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2022-08-03T15:35:37Z</dcterms:modified>
</cp:coreProperties>
</file>