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7.xml" ContentType="application/vnd.openxmlformats-officedocument.spreadsheetml.comments+xml"/>
  <Override PartName="/xl/drawings/drawing1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omments8.xml" ContentType="application/vnd.openxmlformats-officedocument.spreadsheetml.comments+xml"/>
  <Override PartName="/xl/drawings/drawing1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comments9.xml" ContentType="application/vnd.openxmlformats-officedocument.spreadsheetml.comments+xml"/>
  <Override PartName="/xl/drawings/drawing15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10.xml" ContentType="application/vnd.openxmlformats-officedocument.spreadsheetml.comments+xml"/>
  <Override PartName="/xl/drawings/drawing1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11.xml" ContentType="application/vnd.openxmlformats-officedocument.spreadsheetml.comments+xml"/>
  <Override PartName="/xl/drawings/drawing17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12.xml" ContentType="application/vnd.openxmlformats-officedocument.spreadsheetml.comments+xml"/>
  <Override PartName="/xl/drawings/drawing18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omments13.xml" ContentType="application/vnd.openxmlformats-officedocument.spreadsheetml.comments+xml"/>
  <Override PartName="/xl/drawings/drawing19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0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2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11B06C57-56F8-4126-B7D4-771D47474350}" xr6:coauthVersionLast="47" xr6:coauthVersionMax="47" xr10:uidLastSave="{00000000-0000-0000-0000-000000000000}"/>
  <bookViews>
    <workbookView xWindow="38280" yWindow="5115" windowWidth="29040" windowHeight="15840" tabRatio="668" activeTab="21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1" sheetId="55" r:id="rId9"/>
    <sheet name="2" sheetId="158" r:id="rId10"/>
    <sheet name="3" sheetId="159" r:id="rId11"/>
    <sheet name="4" sheetId="160" r:id="rId12"/>
    <sheet name="5" sheetId="162" r:id="rId13"/>
    <sheet name="6" sheetId="163" r:id="rId14"/>
    <sheet name="7" sheetId="164" r:id="rId15"/>
    <sheet name="8" sheetId="165" r:id="rId16"/>
    <sheet name="9" sheetId="166" r:id="rId17"/>
    <sheet name="10" sheetId="167" r:id="rId18"/>
    <sheet name="11" sheetId="168" r:id="rId19"/>
    <sheet name="Q1" sheetId="100" r:id="rId20"/>
    <sheet name="Q2" sheetId="117" r:id="rId21"/>
    <sheet name="Q3" sheetId="115" r:id="rId22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DaeGweonYeok" localSheetId="17">Location[[#All],[name]]</definedName>
    <definedName name="DaeGweonYeok" localSheetId="18">Location[[#All],[name]]</definedName>
    <definedName name="DaeGweonYeok" localSheetId="9">Location[[#All],[name]]</definedName>
    <definedName name="DaeGweonYeok" localSheetId="10">Location[[#All],[name]]</definedName>
    <definedName name="DaeGweonYeok" localSheetId="11">Location[[#All],[name]]</definedName>
    <definedName name="DaeGweonYeok" localSheetId="12">Location[[#All],[name]]</definedName>
    <definedName name="DaeGweonYeok" localSheetId="13">Location[[#All],[name]]</definedName>
    <definedName name="DaeGweonYeok" localSheetId="14">Location[[#All],[name]]</definedName>
    <definedName name="DaeGweonYeok" localSheetId="15">Location[[#All],[name]]</definedName>
    <definedName name="DaeGweonYeok" localSheetId="16">Location[[#All],[name]]</definedName>
    <definedName name="DaeGweonYeok">Location[[#All],[name]]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168" l="1"/>
  <c r="F21" i="168"/>
  <c r="E17" i="168"/>
  <c r="C19" i="168"/>
  <c r="C18" i="168"/>
  <c r="C17" i="168"/>
  <c r="C16" i="168"/>
  <c r="C15" i="168"/>
  <c r="C8" i="168"/>
  <c r="C7" i="168"/>
  <c r="C12" i="168" s="1"/>
  <c r="A13" i="168" s="1"/>
  <c r="A12" i="168" s="1"/>
  <c r="C6" i="168"/>
  <c r="C5" i="168"/>
  <c r="C4" i="168"/>
  <c r="C3" i="168"/>
  <c r="C2" i="168"/>
  <c r="E21" i="167"/>
  <c r="F21" i="167"/>
  <c r="E17" i="167"/>
  <c r="C19" i="167"/>
  <c r="C18" i="167"/>
  <c r="C17" i="167"/>
  <c r="C16" i="167"/>
  <c r="C15" i="167"/>
  <c r="C8" i="167"/>
  <c r="C7" i="167"/>
  <c r="C6" i="167"/>
  <c r="C5" i="167"/>
  <c r="C4" i="167"/>
  <c r="C3" i="167"/>
  <c r="C2" i="167"/>
  <c r="E21" i="166"/>
  <c r="F21" i="166"/>
  <c r="E17" i="166"/>
  <c r="C19" i="166"/>
  <c r="C18" i="166"/>
  <c r="C17" i="166"/>
  <c r="C16" i="166"/>
  <c r="C15" i="166"/>
  <c r="C8" i="166"/>
  <c r="C7" i="166"/>
  <c r="C6" i="166"/>
  <c r="C5" i="166"/>
  <c r="C4" i="166"/>
  <c r="C3" i="166"/>
  <c r="C2" i="166"/>
  <c r="E21" i="165"/>
  <c r="F21" i="165"/>
  <c r="E17" i="165"/>
  <c r="C19" i="165"/>
  <c r="C18" i="165"/>
  <c r="C17" i="165"/>
  <c r="C16" i="165"/>
  <c r="C15" i="165"/>
  <c r="C8" i="165"/>
  <c r="C7" i="165"/>
  <c r="C6" i="165"/>
  <c r="C5" i="165"/>
  <c r="C4" i="165"/>
  <c r="C3" i="165"/>
  <c r="C2" i="165"/>
  <c r="E21" i="164"/>
  <c r="F21" i="164"/>
  <c r="E17" i="164"/>
  <c r="C19" i="164"/>
  <c r="C18" i="164"/>
  <c r="C17" i="164"/>
  <c r="C16" i="164"/>
  <c r="C15" i="164"/>
  <c r="C8" i="164"/>
  <c r="C7" i="164"/>
  <c r="C6" i="164"/>
  <c r="C5" i="164"/>
  <c r="C4" i="164"/>
  <c r="C3" i="164"/>
  <c r="C2" i="164"/>
  <c r="E21" i="163"/>
  <c r="F21" i="163"/>
  <c r="E17" i="163"/>
  <c r="C19" i="163"/>
  <c r="C18" i="163"/>
  <c r="C17" i="163"/>
  <c r="C16" i="163"/>
  <c r="C15" i="163"/>
  <c r="C8" i="163"/>
  <c r="C7" i="163"/>
  <c r="C6" i="163"/>
  <c r="C5" i="163"/>
  <c r="C4" i="163"/>
  <c r="C3" i="163"/>
  <c r="C2" i="163"/>
  <c r="E21" i="162"/>
  <c r="F21" i="162"/>
  <c r="E17" i="162"/>
  <c r="C19" i="162"/>
  <c r="C18" i="162"/>
  <c r="C17" i="162"/>
  <c r="C16" i="162"/>
  <c r="C15" i="162"/>
  <c r="C8" i="162"/>
  <c r="C7" i="162"/>
  <c r="C6" i="162"/>
  <c r="C5" i="162"/>
  <c r="C4" i="162"/>
  <c r="C3" i="162"/>
  <c r="C2" i="162"/>
  <c r="E21" i="160"/>
  <c r="F21" i="160"/>
  <c r="E17" i="160"/>
  <c r="E19" i="160" s="1"/>
  <c r="F19" i="160" s="1"/>
  <c r="G19" i="160" s="1"/>
  <c r="C19" i="160"/>
  <c r="C18" i="160"/>
  <c r="C17" i="160"/>
  <c r="C16" i="160"/>
  <c r="C15" i="160"/>
  <c r="C8" i="160"/>
  <c r="C7" i="160"/>
  <c r="C6" i="160"/>
  <c r="C5" i="160"/>
  <c r="C4" i="160"/>
  <c r="C3" i="160"/>
  <c r="C2" i="160"/>
  <c r="E21" i="159"/>
  <c r="F21" i="159"/>
  <c r="E17" i="159"/>
  <c r="E19" i="159" s="1"/>
  <c r="F19" i="159" s="1"/>
  <c r="G19" i="159" s="1"/>
  <c r="C19" i="159"/>
  <c r="C18" i="159"/>
  <c r="C17" i="159"/>
  <c r="C16" i="159"/>
  <c r="C15" i="159"/>
  <c r="C8" i="159"/>
  <c r="C7" i="159"/>
  <c r="C6" i="159"/>
  <c r="C5" i="159"/>
  <c r="C4" i="159"/>
  <c r="C3" i="159"/>
  <c r="C2" i="159"/>
  <c r="E21" i="158"/>
  <c r="F21" i="158"/>
  <c r="E17" i="158"/>
  <c r="E19" i="158" s="1"/>
  <c r="F19" i="158" s="1"/>
  <c r="G19" i="158" s="1"/>
  <c r="C19" i="158"/>
  <c r="C18" i="158"/>
  <c r="C17" i="158"/>
  <c r="C16" i="158"/>
  <c r="C15" i="158"/>
  <c r="C8" i="158"/>
  <c r="C7" i="158"/>
  <c r="C14" i="158" s="1"/>
  <c r="C6" i="158"/>
  <c r="C5" i="158"/>
  <c r="C4" i="158"/>
  <c r="C3" i="158"/>
  <c r="C2" i="158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17" i="168"/>
  <c r="G17" i="168" s="1"/>
  <c r="J31" i="168"/>
  <c r="I31" i="168"/>
  <c r="H31" i="168"/>
  <c r="G31" i="168"/>
  <c r="F31" i="168"/>
  <c r="E31" i="168"/>
  <c r="D31" i="168"/>
  <c r="K31" i="168" s="1"/>
  <c r="J30" i="168"/>
  <c r="I30" i="168"/>
  <c r="H30" i="168"/>
  <c r="G30" i="168"/>
  <c r="F30" i="168"/>
  <c r="E30" i="168"/>
  <c r="D30" i="168"/>
  <c r="K30" i="168" s="1"/>
  <c r="D26" i="168"/>
  <c r="C22" i="168"/>
  <c r="E22" i="168"/>
  <c r="E19" i="168"/>
  <c r="F19" i="168" s="1"/>
  <c r="G19" i="168" s="1"/>
  <c r="K17" i="168"/>
  <c r="K18" i="168" s="1"/>
  <c r="L18" i="168" s="1"/>
  <c r="H26" i="168" s="1"/>
  <c r="K16" i="168"/>
  <c r="G14" i="168"/>
  <c r="G13" i="168"/>
  <c r="F13" i="168"/>
  <c r="E13" i="168"/>
  <c r="L12" i="168"/>
  <c r="G11" i="168"/>
  <c r="F11" i="168"/>
  <c r="E11" i="168"/>
  <c r="C9" i="168"/>
  <c r="G7" i="168"/>
  <c r="E7" i="168"/>
  <c r="E19" i="167"/>
  <c r="F19" i="167" s="1"/>
  <c r="G19" i="167" s="1"/>
  <c r="C12" i="167"/>
  <c r="A13" i="167" s="1"/>
  <c r="A12" i="167" s="1"/>
  <c r="C12" i="166"/>
  <c r="A13" i="166" s="1"/>
  <c r="A12" i="166" s="1"/>
  <c r="E19" i="164"/>
  <c r="F19" i="164" s="1"/>
  <c r="G19" i="164" s="1"/>
  <c r="C12" i="164"/>
  <c r="A13" i="164" s="1"/>
  <c r="A12" i="164" s="1"/>
  <c r="C12" i="163"/>
  <c r="A13" i="163" s="1"/>
  <c r="A12" i="163" s="1"/>
  <c r="C12" i="160"/>
  <c r="A13" i="160" s="1"/>
  <c r="A12" i="160" s="1"/>
  <c r="F17" i="167"/>
  <c r="G17" i="167" s="1"/>
  <c r="J31" i="167"/>
  <c r="I31" i="167"/>
  <c r="H31" i="167"/>
  <c r="G31" i="167"/>
  <c r="F31" i="167"/>
  <c r="E31" i="167"/>
  <c r="D31" i="167"/>
  <c r="K31" i="167" s="1"/>
  <c r="J30" i="167"/>
  <c r="I30" i="167"/>
  <c r="H30" i="167"/>
  <c r="G30" i="167"/>
  <c r="F30" i="167"/>
  <c r="E30" i="167"/>
  <c r="D30" i="167"/>
  <c r="K30" i="167" s="1"/>
  <c r="D26" i="167"/>
  <c r="C22" i="167"/>
  <c r="K17" i="167"/>
  <c r="K18" i="167" s="1"/>
  <c r="L18" i="167" s="1"/>
  <c r="H26" i="167" s="1"/>
  <c r="K16" i="167"/>
  <c r="G14" i="167"/>
  <c r="G13" i="167"/>
  <c r="F13" i="167"/>
  <c r="E13" i="167"/>
  <c r="L12" i="167"/>
  <c r="G11" i="167"/>
  <c r="F11" i="167"/>
  <c r="E11" i="167"/>
  <c r="C9" i="167"/>
  <c r="G7" i="167"/>
  <c r="E7" i="167"/>
  <c r="E19" i="166"/>
  <c r="F19" i="166" s="1"/>
  <c r="G19" i="166" s="1"/>
  <c r="J31" i="166"/>
  <c r="I31" i="166"/>
  <c r="H31" i="166"/>
  <c r="G31" i="166"/>
  <c r="F31" i="166"/>
  <c r="E31" i="166"/>
  <c r="D31" i="166"/>
  <c r="K31" i="166" s="1"/>
  <c r="J30" i="166"/>
  <c r="I30" i="166"/>
  <c r="H30" i="166"/>
  <c r="G30" i="166"/>
  <c r="F30" i="166"/>
  <c r="E30" i="166"/>
  <c r="D30" i="166"/>
  <c r="K30" i="166" s="1"/>
  <c r="D26" i="166"/>
  <c r="C22" i="166"/>
  <c r="K17" i="166"/>
  <c r="K18" i="166" s="1"/>
  <c r="L18" i="166" s="1"/>
  <c r="H26" i="166" s="1"/>
  <c r="K16" i="166"/>
  <c r="G14" i="166"/>
  <c r="G13" i="166"/>
  <c r="F13" i="166"/>
  <c r="E13" i="166"/>
  <c r="L12" i="166"/>
  <c r="G11" i="166"/>
  <c r="F11" i="166"/>
  <c r="E11" i="166"/>
  <c r="C9" i="166"/>
  <c r="G7" i="166"/>
  <c r="E7" i="166"/>
  <c r="E19" i="165"/>
  <c r="F19" i="165" s="1"/>
  <c r="G19" i="165" s="1"/>
  <c r="C12" i="165"/>
  <c r="A13" i="165" s="1"/>
  <c r="A12" i="165" s="1"/>
  <c r="J31" i="165"/>
  <c r="I31" i="165"/>
  <c r="H31" i="165"/>
  <c r="G31" i="165"/>
  <c r="F31" i="165"/>
  <c r="E31" i="165"/>
  <c r="D31" i="165"/>
  <c r="K31" i="165" s="1"/>
  <c r="J30" i="165"/>
  <c r="I30" i="165"/>
  <c r="K30" i="165" s="1"/>
  <c r="H30" i="165"/>
  <c r="G30" i="165"/>
  <c r="F30" i="165"/>
  <c r="E30" i="165"/>
  <c r="D30" i="165"/>
  <c r="D26" i="165"/>
  <c r="C22" i="165"/>
  <c r="K17" i="165"/>
  <c r="K18" i="165" s="1"/>
  <c r="L18" i="165" s="1"/>
  <c r="H26" i="165" s="1"/>
  <c r="K16" i="165"/>
  <c r="G14" i="165"/>
  <c r="G13" i="165"/>
  <c r="F13" i="165"/>
  <c r="E13" i="165"/>
  <c r="L12" i="165"/>
  <c r="G11" i="165"/>
  <c r="F11" i="165"/>
  <c r="E11" i="165"/>
  <c r="C9" i="165"/>
  <c r="G7" i="165"/>
  <c r="E7" i="165"/>
  <c r="J31" i="164"/>
  <c r="I31" i="164"/>
  <c r="H31" i="164"/>
  <c r="G31" i="164"/>
  <c r="F31" i="164"/>
  <c r="E31" i="164"/>
  <c r="D31" i="164"/>
  <c r="K31" i="164" s="1"/>
  <c r="J30" i="164"/>
  <c r="I30" i="164"/>
  <c r="H30" i="164"/>
  <c r="G30" i="164"/>
  <c r="F30" i="164"/>
  <c r="K30" i="164" s="1"/>
  <c r="E30" i="164"/>
  <c r="D30" i="164"/>
  <c r="D26" i="164"/>
  <c r="C22" i="164"/>
  <c r="K18" i="164"/>
  <c r="L18" i="164" s="1"/>
  <c r="H26" i="164" s="1"/>
  <c r="K17" i="164"/>
  <c r="K16" i="164"/>
  <c r="G14" i="164"/>
  <c r="G13" i="164"/>
  <c r="F13" i="164"/>
  <c r="E13" i="164"/>
  <c r="L12" i="164"/>
  <c r="G11" i="164"/>
  <c r="F11" i="164"/>
  <c r="E11" i="164"/>
  <c r="C9" i="164"/>
  <c r="G7" i="164"/>
  <c r="E7" i="164"/>
  <c r="E19" i="163"/>
  <c r="F19" i="163" s="1"/>
  <c r="G19" i="163" s="1"/>
  <c r="J31" i="163"/>
  <c r="I31" i="163"/>
  <c r="H31" i="163"/>
  <c r="G31" i="163"/>
  <c r="F31" i="163"/>
  <c r="E31" i="163"/>
  <c r="D31" i="163"/>
  <c r="K31" i="163" s="1"/>
  <c r="J30" i="163"/>
  <c r="I30" i="163"/>
  <c r="H30" i="163"/>
  <c r="G30" i="163"/>
  <c r="F30" i="163"/>
  <c r="E30" i="163"/>
  <c r="K30" i="163" s="1"/>
  <c r="D30" i="163"/>
  <c r="D26" i="163"/>
  <c r="C22" i="163"/>
  <c r="K16" i="163"/>
  <c r="K17" i="163" s="1"/>
  <c r="K18" i="163" s="1"/>
  <c r="L18" i="163" s="1"/>
  <c r="H26" i="163" s="1"/>
  <c r="G14" i="163"/>
  <c r="G13" i="163"/>
  <c r="F13" i="163"/>
  <c r="E13" i="163"/>
  <c r="L12" i="163"/>
  <c r="G11" i="163"/>
  <c r="F11" i="163"/>
  <c r="E11" i="163"/>
  <c r="C9" i="163"/>
  <c r="G7" i="163"/>
  <c r="E7" i="163"/>
  <c r="F17" i="162"/>
  <c r="G17" i="162" s="1"/>
  <c r="C12" i="162"/>
  <c r="A13" i="162" s="1"/>
  <c r="A12" i="162" s="1"/>
  <c r="J31" i="162"/>
  <c r="I31" i="162"/>
  <c r="H31" i="162"/>
  <c r="G31" i="162"/>
  <c r="F31" i="162"/>
  <c r="E31" i="162"/>
  <c r="D31" i="162"/>
  <c r="K31" i="162" s="1"/>
  <c r="J30" i="162"/>
  <c r="I30" i="162"/>
  <c r="H30" i="162"/>
  <c r="K30" i="162" s="1"/>
  <c r="G30" i="162"/>
  <c r="F30" i="162"/>
  <c r="E30" i="162"/>
  <c r="D30" i="162"/>
  <c r="D26" i="162"/>
  <c r="C22" i="162"/>
  <c r="K18" i="162"/>
  <c r="L18" i="162" s="1"/>
  <c r="H26" i="162" s="1"/>
  <c r="K17" i="162"/>
  <c r="K16" i="162"/>
  <c r="G14" i="162"/>
  <c r="G13" i="162"/>
  <c r="F13" i="162"/>
  <c r="E13" i="162"/>
  <c r="L12" i="162"/>
  <c r="G11" i="162"/>
  <c r="F11" i="162"/>
  <c r="E11" i="162"/>
  <c r="C9" i="162"/>
  <c r="G7" i="162"/>
  <c r="E7" i="162"/>
  <c r="C12" i="159"/>
  <c r="A13" i="159" s="1"/>
  <c r="A12" i="159" s="1"/>
  <c r="J31" i="160"/>
  <c r="I31" i="160"/>
  <c r="H31" i="160"/>
  <c r="G31" i="160"/>
  <c r="F31" i="160"/>
  <c r="E31" i="160"/>
  <c r="D31" i="160"/>
  <c r="K31" i="160" s="1"/>
  <c r="J30" i="160"/>
  <c r="I30" i="160"/>
  <c r="H30" i="160"/>
  <c r="G30" i="160"/>
  <c r="F30" i="160"/>
  <c r="E30" i="160"/>
  <c r="D30" i="160"/>
  <c r="K30" i="160" s="1"/>
  <c r="D26" i="160"/>
  <c r="C22" i="160"/>
  <c r="K17" i="160"/>
  <c r="K18" i="160" s="1"/>
  <c r="L18" i="160" s="1"/>
  <c r="H26" i="160" s="1"/>
  <c r="K16" i="160"/>
  <c r="G14" i="160"/>
  <c r="G13" i="160"/>
  <c r="F13" i="160"/>
  <c r="E13" i="160"/>
  <c r="L12" i="160"/>
  <c r="G11" i="160"/>
  <c r="F11" i="160"/>
  <c r="E11" i="160"/>
  <c r="C9" i="160"/>
  <c r="G7" i="160"/>
  <c r="E7" i="160"/>
  <c r="J31" i="159"/>
  <c r="I31" i="159"/>
  <c r="H31" i="159"/>
  <c r="G31" i="159"/>
  <c r="F31" i="159"/>
  <c r="E31" i="159"/>
  <c r="D31" i="159"/>
  <c r="K31" i="159" s="1"/>
  <c r="J30" i="159"/>
  <c r="I30" i="159"/>
  <c r="H30" i="159"/>
  <c r="K30" i="159" s="1"/>
  <c r="G30" i="159"/>
  <c r="F30" i="159"/>
  <c r="E30" i="159"/>
  <c r="D30" i="159"/>
  <c r="D26" i="159"/>
  <c r="C22" i="159"/>
  <c r="K17" i="159"/>
  <c r="K18" i="159" s="1"/>
  <c r="L18" i="159" s="1"/>
  <c r="H26" i="159" s="1"/>
  <c r="K16" i="159"/>
  <c r="G14" i="159"/>
  <c r="G13" i="159"/>
  <c r="F13" i="159"/>
  <c r="E13" i="159"/>
  <c r="L12" i="159"/>
  <c r="G11" i="159"/>
  <c r="F11" i="159"/>
  <c r="E11" i="159"/>
  <c r="C9" i="159"/>
  <c r="G7" i="159"/>
  <c r="E7" i="159"/>
  <c r="J31" i="158"/>
  <c r="I31" i="158"/>
  <c r="H31" i="158"/>
  <c r="G31" i="158"/>
  <c r="F31" i="158"/>
  <c r="E31" i="158"/>
  <c r="D31" i="158"/>
  <c r="K31" i="158" s="1"/>
  <c r="K30" i="158"/>
  <c r="J30" i="158"/>
  <c r="I30" i="158"/>
  <c r="H30" i="158"/>
  <c r="G30" i="158"/>
  <c r="F30" i="158"/>
  <c r="E30" i="158"/>
  <c r="D30" i="158"/>
  <c r="D26" i="158"/>
  <c r="C22" i="158"/>
  <c r="K16" i="158"/>
  <c r="K17" i="158" s="1"/>
  <c r="K18" i="158" s="1"/>
  <c r="L18" i="158" s="1"/>
  <c r="H26" i="158" s="1"/>
  <c r="G14" i="158"/>
  <c r="G13" i="158"/>
  <c r="F13" i="158"/>
  <c r="E13" i="158"/>
  <c r="L12" i="158"/>
  <c r="G11" i="158"/>
  <c r="F11" i="158"/>
  <c r="E11" i="158"/>
  <c r="C9" i="158"/>
  <c r="G7" i="158"/>
  <c r="E7" i="158"/>
  <c r="H19" i="168" l="1"/>
  <c r="G21" i="168"/>
  <c r="C14" i="168"/>
  <c r="E22" i="163"/>
  <c r="F17" i="164"/>
  <c r="G17" i="164" s="1"/>
  <c r="E22" i="166"/>
  <c r="E22" i="167"/>
  <c r="E22" i="164"/>
  <c r="H19" i="167"/>
  <c r="G21" i="167"/>
  <c r="C14" i="167"/>
  <c r="E22" i="165"/>
  <c r="F17" i="166"/>
  <c r="G17" i="166" s="1"/>
  <c r="H19" i="166"/>
  <c r="G21" i="166"/>
  <c r="C14" i="166"/>
  <c r="F17" i="165"/>
  <c r="G17" i="165" s="1"/>
  <c r="E22" i="162"/>
  <c r="H19" i="165"/>
  <c r="G21" i="165"/>
  <c r="C14" i="165"/>
  <c r="F17" i="160"/>
  <c r="G17" i="160" s="1"/>
  <c r="E22" i="160"/>
  <c r="E19" i="162"/>
  <c r="F19" i="162" s="1"/>
  <c r="G19" i="162" s="1"/>
  <c r="G21" i="162" s="1"/>
  <c r="H19" i="164"/>
  <c r="G21" i="164"/>
  <c r="C14" i="164"/>
  <c r="F17" i="163"/>
  <c r="G17" i="163" s="1"/>
  <c r="H19" i="163"/>
  <c r="G21" i="163"/>
  <c r="C14" i="163"/>
  <c r="J26" i="163" s="1"/>
  <c r="F17" i="159"/>
  <c r="G17" i="159" s="1"/>
  <c r="E22" i="159"/>
  <c r="C14" i="162"/>
  <c r="F7" i="162" s="1"/>
  <c r="H19" i="160"/>
  <c r="G21" i="160"/>
  <c r="C14" i="160"/>
  <c r="C12" i="158"/>
  <c r="A13" i="158" s="1"/>
  <c r="A12" i="158" s="1"/>
  <c r="C14" i="159"/>
  <c r="F5" i="159" s="1"/>
  <c r="H19" i="159"/>
  <c r="G21" i="159"/>
  <c r="E22" i="158"/>
  <c r="F6" i="158"/>
  <c r="F7" i="158"/>
  <c r="J26" i="158"/>
  <c r="G21" i="158"/>
  <c r="H19" i="158"/>
  <c r="F5" i="158"/>
  <c r="F17" i="158"/>
  <c r="G17" i="158" s="1"/>
  <c r="D42" i="23"/>
  <c r="D43" i="23" s="1"/>
  <c r="C42" i="23"/>
  <c r="C43" i="23" s="1"/>
  <c r="B42" i="23"/>
  <c r="B43" i="23" s="1"/>
  <c r="F5" i="168" l="1"/>
  <c r="J26" i="168"/>
  <c r="F6" i="168"/>
  <c r="F7" i="168"/>
  <c r="F5" i="167"/>
  <c r="F6" i="167"/>
  <c r="F7" i="167"/>
  <c r="J26" i="167"/>
  <c r="J26" i="166"/>
  <c r="F5" i="166"/>
  <c r="F6" i="166"/>
  <c r="F7" i="166"/>
  <c r="F5" i="165"/>
  <c r="F6" i="165"/>
  <c r="J26" i="165"/>
  <c r="F7" i="165"/>
  <c r="J26" i="162"/>
  <c r="F6" i="162"/>
  <c r="H19" i="162"/>
  <c r="F5" i="162"/>
  <c r="F5" i="164"/>
  <c r="F7" i="164"/>
  <c r="F6" i="164"/>
  <c r="J26" i="164"/>
  <c r="F5" i="163"/>
  <c r="F7" i="163"/>
  <c r="F6" i="163"/>
  <c r="J26" i="159"/>
  <c r="F5" i="160"/>
  <c r="F6" i="160"/>
  <c r="F7" i="160"/>
  <c r="J26" i="160"/>
  <c r="F6" i="159"/>
  <c r="F7" i="159"/>
  <c r="B49" i="23"/>
  <c r="B46" i="23"/>
  <c r="B47" i="23" s="1"/>
  <c r="C49" i="23"/>
  <c r="C46" i="23"/>
  <c r="C47" i="23" s="1"/>
  <c r="D49" i="23"/>
  <c r="D46" i="23"/>
  <c r="D47" i="23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E22" i="100"/>
  <c r="F22" i="100"/>
  <c r="E23" i="100"/>
  <c r="F23" i="100"/>
  <c r="F21" i="100"/>
  <c r="E21" i="100"/>
  <c r="E22" i="115"/>
  <c r="F22" i="115"/>
  <c r="H22" i="115"/>
  <c r="I22" i="115"/>
  <c r="K22" i="115"/>
  <c r="L22" i="115"/>
  <c r="E23" i="115"/>
  <c r="F23" i="115"/>
  <c r="H23" i="115"/>
  <c r="I23" i="115"/>
  <c r="K23" i="115"/>
  <c r="L23" i="115"/>
  <c r="L21" i="115"/>
  <c r="K21" i="115"/>
  <c r="I21" i="115"/>
  <c r="H21" i="115"/>
  <c r="F21" i="115"/>
  <c r="E21" i="11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16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J23" i="115" l="1"/>
  <c r="J21" i="115"/>
  <c r="J22" i="115"/>
  <c r="G21" i="115"/>
  <c r="G22" i="115"/>
  <c r="G23" i="115"/>
  <c r="D21" i="115"/>
  <c r="D22" i="115"/>
  <c r="D23" i="115"/>
  <c r="E24" i="115"/>
  <c r="E25" i="115"/>
  <c r="D24" i="115"/>
  <c r="F25" i="115"/>
  <c r="F24" i="115"/>
  <c r="L24" i="115"/>
  <c r="L25" i="115"/>
  <c r="K25" i="115"/>
  <c r="K24" i="115"/>
  <c r="I25" i="115"/>
  <c r="I24" i="115"/>
  <c r="H24" i="115"/>
  <c r="H25" i="115"/>
  <c r="G25" i="115"/>
  <c r="G24" i="115"/>
  <c r="D25" i="115" l="1"/>
  <c r="D26" i="115" s="1"/>
  <c r="J25" i="115"/>
  <c r="J24" i="115"/>
  <c r="L26" i="115"/>
  <c r="E26" i="115"/>
  <c r="H26" i="115"/>
  <c r="K26" i="115"/>
  <c r="G26" i="115"/>
  <c r="I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D22" i="100" l="1"/>
  <c r="D21" i="100"/>
  <c r="D23" i="100"/>
  <c r="P18" i="23"/>
  <c r="P34" i="25"/>
  <c r="E25" i="100"/>
  <c r="F25" i="100"/>
  <c r="F24" i="100"/>
  <c r="E24" i="100"/>
  <c r="D25" i="100" l="1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G19" i="55" s="1"/>
  <c r="H19" i="55" s="1"/>
  <c r="E30" i="23"/>
  <c r="G14" i="55"/>
  <c r="D30" i="23"/>
  <c r="C30" i="23"/>
  <c r="E26" i="168" s="1"/>
  <c r="E26" i="167" l="1"/>
  <c r="E26" i="165"/>
  <c r="E26" i="166"/>
  <c r="E26" i="163"/>
  <c r="E26" i="164"/>
  <c r="E26" i="160"/>
  <c r="E26" i="162"/>
  <c r="E26" i="158"/>
  <c r="E26" i="159"/>
  <c r="E26" i="55"/>
  <c r="C24" i="23"/>
  <c r="G21" i="55" l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91CD9959-4687-424D-BC51-34EB1F98C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5" authorId="0" shapeId="0" xr:uid="{F155A0A3-85A0-4C0D-BD19-AB777CB644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6" authorId="0" shapeId="0" xr:uid="{C6C89306-13B4-43F3-80AC-A9FE72EE50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7" authorId="0" shapeId="0" xr:uid="{448AA72A-EA70-4CFB-BCAD-0BA873A20D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8" authorId="0" shapeId="0" xr:uid="{AE9F8F6B-F44F-4329-8495-55CD78FDA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9" authorId="0" shapeId="0" xr:uid="{92C0D5A3-F492-4796-98D1-3E34FC90E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10" authorId="0" shapeId="0" xr:uid="{008D0063-D523-4308-B0D8-34B734E0F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11" authorId="0" shapeId="0" xr:uid="{52322827-1EA1-4C10-BD3E-2028E6095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12" authorId="0" shapeId="0" xr:uid="{C69D8EE4-E2E9-4B9D-98FF-A0018A1525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13" authorId="0" shapeId="0" xr:uid="{F13CE77A-D2D0-4715-8227-0FEFAD1BF9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  <comment ref="O14" authorId="0" shapeId="0" xr:uid="{8F88FA53-7BE6-49BC-BCE0-81A2568EED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42411F7C-2FCB-4387-9195-9A038AF425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D3820A50-39EA-4D16-8D23-12BFB44E70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DDA6EE9C-1510-4B59-A985-06C2D15F8F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92567CA4-12A8-46FC-B2DB-24FB8390CE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96ACBCC-E00F-4D11-8889-95815512F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A3BE3FDC-6E1E-4563-ABC6-AFCFEDAB21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F1D7AA88-B365-4EC8-9AEF-A0141B5DDFE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2281C74-A565-466E-B343-A27864FD799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56CF90D-1C5F-489C-B8F5-3E48056AC3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4229DA6-1306-4445-93AF-EFDEECCB2B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C91B1606-AB1E-4C41-939F-79D0D639FF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614B68E-AA18-4BCB-AC35-DF9E0EE53C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44940B69-288C-40EF-ABB2-A4BA276FA9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A09C7A62-AAC4-4618-8AC7-4F3D2417C7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65EA1863-F529-4EC7-B179-71F3BCB52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40B76A9-4F76-420D-9536-CD35628278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05564876-11FD-46BE-A77F-14DA2DD1CA1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15144903-1635-4F1C-A091-44A9C49963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549B04D2-8C58-4852-9E90-E080C8A1E8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A932BFCC-76D3-4C8D-ADEE-C3CAB314BA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FCD2904A-8FA1-45F6-A928-A299BD0BFD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7F3DC593-4F36-4ADD-A43D-59CF9C4E36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DAC675F-1F55-4D80-A5E5-124013777B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B328082-AAE4-448B-8FE8-E8F41E0BA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DCE1CB31-79B6-460E-BAD2-D48AB8C3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40D336E-4055-4B84-BF67-B56B9F2D90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74C276D-BBD4-40B1-9141-CA15FA15247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3FFAFF1-AAD6-4469-B558-0D73FF9C98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D24B064-4B42-4ABC-895F-9C4015A1C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9AC41B9-178F-4D71-970D-4A0F0CEC64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E8E7351-57DC-4DF2-9132-9286BCC64C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09D10330-7FE8-4EF5-952F-96E4E3BC06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5DDDCDBE-6A51-435E-A26A-F4C4E1E29B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5C9D4ED4-6EF9-4D95-870C-BD618EC970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A51D222D-8B56-4A54-813F-9698309B5B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AC776276-D009-4349-9593-60DFD4A8D78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D0E2C728-0569-43DF-B66C-8254354D60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AE8B456C-6D20-4610-A1EC-90A2B9FD4B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BAEFE5A-D42E-4C79-8D1F-155DB3294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E8EC6C62-84C0-49D6-B947-39BE3F0833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C5469FC3-AA56-496A-8433-DF168CB743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C7F53B7-4897-48FE-A649-88155B4997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66E1E5AB-B881-46FF-8BC6-D7F9BD30DB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C20AAD31-F3D3-49CF-899D-6C41961BEF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28738E72-4BA9-487B-939C-440D971CA0E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92D0CA0-E4C5-4EA3-9071-B6920FF9E6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7DC98E66-978D-414D-A91E-75554E4EAA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D05CCF07-D276-4F2D-9F28-94CAC8E540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C9FD85AD-7BF0-4C81-B8BC-A0E661DF88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71A9771-4C97-4235-85F8-58694A9101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9E88ED63-657F-484A-B479-DBEE76D25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7282F46D-4DE1-4F26-8652-7B5BEA94B6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1F68517D-2B30-42F6-B194-57E1BA08EB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B95EA51-EF75-4B29-B0F8-E6C2F9C69C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B8D6F033-4441-4B53-A9F2-C93B9F7442B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CAB1C457-CFC0-408F-A3A4-B18CFCCCA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59D7E782-7937-44DF-BC77-3D60B46041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A9CAA35E-B4F9-408C-B1F0-EF9A9F1CD5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2800C30A-33A6-4842-B1BD-912D3BF963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F1E6D331-C76D-4234-8C49-A2E876D35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2147673A-3337-4003-AE2A-CC9DF534E3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720480DD-D5DB-4C45-B0A3-B50AC854D7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EDD7A518-81E8-4D0E-8D57-2A8AD12634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1B5FF087-1ECB-4B10-9D73-A80CB883D4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8A124CB-37C0-40A5-A498-6E1B830EF77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4D09653-25AA-4050-8DB9-385B62ECF9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2AF883-56D9-454B-AC97-11821D3161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99BE132-F74F-4925-ADEB-CD3F2C212F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EC4412B-ECD9-49D9-94F6-70A620A59E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3DABBDE-72EA-42F4-96E4-1B9E75F939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24FB8E7A-528A-430E-8A7F-36C94CCE7A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5B9F0455-E81D-44F5-A864-D344F0D500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ED10ED2-B54D-479B-83C3-BE18667F3E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9987E07D-E774-4D09-B3FC-090B8AEA8A0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8D95DD99-CEAC-48EC-AE5B-2580D04A47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A40D52F-FD1F-49D7-ABEA-7D5C424EDD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F27BAB58-2E77-4988-83AF-2C74316CF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DF8676FE-6AA3-4188-9D67-B02A060D15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03750B32-CF4A-43D2-B7F3-16876523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180DDE08-FB3D-4CE7-AED9-2169FEE0D5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525364BF-10E5-427F-9141-149442771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F1B45FB9-E89A-4273-9463-D5209F0DF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62A0831A-984A-4F36-8AAE-3892301C5DD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1DEA0C2-4799-4544-922E-B7009A437A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4445C30-62F0-444D-B23D-E0EB722B49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C9BD443-B232-44B8-B7DC-E70D95B0102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1688A3-4909-41E3-A147-FEE8DE5EB1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889EE75-26FD-428B-A382-36D883A492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3517F93-7BBB-4B29-B89A-A45833B1CA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A132FF76-F182-4023-A6B5-6A455664D7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9C737803-5970-49B3-8B4C-BC9294A12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20C6877-A23A-45E2-B731-804F780210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3150D21-C1B7-432C-B726-8D410E9A5E2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8648B63C-C5AA-4515-BE1F-BCEFE1F40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2128EEFB-6FD1-4D3B-9F72-E14BB1FBDD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D2607D7B-D055-4D58-97CA-3DC83BEC67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D347B406-9119-4ACD-A076-8992660F10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AEC6A20-2D3C-4632-826D-ED2D8929B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20243A15-AFE2-4908-BD65-78CFB9B6E8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A5D2759E-27A9-46E9-9A91-DCD23A02A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41668720-CF97-45D7-B602-3582CD0C2E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240E568E-E3D0-4DA6-9BCD-54737A53BC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CC0677-4DEC-44F8-ADC8-9B4BCFC1F0A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49239A2-842A-4179-8EDC-4394A9855B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BC9375B-7E00-4348-9A5E-09B076097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87B6CED-E940-4F85-A083-2FB19D1CCC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9367259-C070-4BB7-9BB0-DA9897442C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1FFEB5C2-E140-4A3A-9A55-A371E8F98B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E2461ED6-12A3-4532-99CF-AF823EB077B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8E28D630-CEDA-4DD5-93FF-AFD235D058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BB402FC-D2A4-448E-B3F7-23D5EFE2DF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F7EC3784-4399-403E-B506-4AEAE4CAFA7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4210C30-7623-4BF1-BC48-6B247CC9D9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A2459F5D-280E-4567-A3EC-CE69C268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63AA5AAC-1DFE-4992-8672-E615DBC8C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C792B82-8101-4B78-B74C-C03D538E24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43D3CC02-29EA-4008-B69C-69FA844263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C653CFEB-10BE-4483-9013-7B7ADE4610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A617664-79B6-4E31-99EE-68B8E26CC6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BCE71570-D56F-497C-9F8A-C86D163C8F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D323815-8FB5-419A-9BD9-C525C3F5592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5706CA73-1BFA-48C0-9134-ADECD8DC7D1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F5353B04-2C90-4410-8345-262E4FDCC6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0B28AC4-ACE7-4A01-827F-6252C4C599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CFD374A-738B-4D96-82C8-BCFAFFED4A7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272B39F-0161-46A5-8027-392D510D44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1EEE918C-BB99-4476-8326-80686B76DB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DCCE57C1-F1CA-4992-B012-40A3ED40D0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349947E3-FCF8-4EF2-8A7B-1F0DD530F1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7FB0F36-3D44-4399-883B-94761005B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F5297FF7-91A5-4DB7-BFE1-DB676FBAB22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EE9F3CE7-7530-4090-AB32-BE18A6DBE2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A82E26FF-7D17-439B-82E8-AC900A3B74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23B906D2-55CA-4BAF-852E-3530B1CE59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9025E58E-C152-4FAA-A79A-7800D05F16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CAA2EC99-3F1C-49E2-807F-BFFB8D39E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63E35CA3-E1FA-41C6-BE8A-DEFDB51F23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6148ACEE-28AB-4F54-AC20-F51E77AFD8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67B0C25-E0DA-47A8-B156-3AF05E9B72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628F5EF7-D03D-45C0-8CAB-7295AE70F7F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6BAE4CE-4072-46DF-BB03-C90B2F8D425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3D93A26-24DC-4C9D-9B69-8701BFCBAD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3E9CE-0C57-4B85-AA09-E14F45671E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3FF6832-79E8-4117-BA5B-3B9DEF2F6B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719BAD8-A4B8-4F80-9872-8E08EEBABE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1C8D529-A347-4790-9FA9-EAA47051F5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CA4E623A-CD91-4391-BC81-B256AB76C8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CBFE2979-5491-4135-94CD-F71F4A01A9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C554457-4F72-411E-AF69-4567352430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82AFAF51-0CB1-4740-9276-FEA19B8C134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74A8AF7-7DB6-4107-9103-281B84CF06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674A5DA0-7F9F-471B-A76B-1254432223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FA6E8F0-1F18-4236-82E9-C7EF7F6CDA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A2CD265C-6333-4594-811E-6166342DAA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A55B17A-F46B-477A-931E-17C80A44FD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3F2100EB-940B-4553-BB16-63FCA7E89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4909670E-40D4-4FE7-A6CF-2EA2EA5CDD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E4E797DC-B00C-4F1A-AFCF-0E6DFF6796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88B3D463-7578-48BE-84A6-94C0CB803A0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BB1E9CE-E98F-416D-9959-366FBDC9AFA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B6EEADA-7128-418C-B766-024FB529EF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CBECDD3-9BC9-4FD4-8B13-B2AFBEC0067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57EAF40-4245-4918-ACFE-0C00C1A4EE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3216848-16EB-4A1A-B08A-BE1E83B130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5254DC0-F5D8-42C2-994C-F76F3C140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6091A675-1BC7-4804-B120-2632C3AC04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E2DD2014-170E-46B9-A63E-F07F60E233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A102E401-F066-4E9C-AAD2-D1F4FECC73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F589207-3417-470D-9CF3-BEE0DEF8EFB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0B79DD3D-1D54-4C2E-B6B9-06469B9272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875DDBF5-DE7E-49D7-A64A-30B852D20E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323D478-BA7E-46FA-BFB9-1858D6299C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2CDDD34A-B3B1-46A7-899D-120CF4E19B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7D537C4-9B93-4AE2-8846-4B4192E5E1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2CE686F8-4402-4648-8B97-DAE29A75C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50954B4F-D47A-498B-A7CC-2781B7232D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7BA2C385-AFDD-4A3F-8244-AFAD6EB6F4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127D825-17BA-4F9F-AAE9-2FB18D881F8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50F42EA6-3845-4F5A-878D-7F2E1D2D63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CF567DB-0100-46DF-A060-9E866139D9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24C2467-4EE8-4088-9C77-06F51FCCB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5E6B389-5C47-48DB-8E16-704BB037A4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ACD95EE-695C-4F36-B4E2-312F6BFF95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88111158-0ED6-459B-A58D-61DAE7114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B2B113F7-8D4A-401B-9B37-1329A0E63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4EC219F7-8964-4990-AA43-40B941B1EB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85216493-DC85-4703-ADBD-3933B10B68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615E05-361C-4104-B756-EC7BF4B46D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11BAF2BA-0074-4AEE-8859-146820D1EC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C515FD07-6E46-4020-801E-B649382119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<sst xmlns="http://schemas.openxmlformats.org/spreadsheetml/2006/main" count="1203" uniqueCount="294">
  <si>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</si>
  <si>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</si>
  <si>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</si>
  <si>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</si>
  <si>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</si>
  <si>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</si>
  <si>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</si>
  <si>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</si>
  <si>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</si>
  <si>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</si>
  <si>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</si>
  <si>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</si>
  <si>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</si>
  <si>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</si>
  <si>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</si>
  <si>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</si>
  <si>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</si>
  <si>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</si>
  <si>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</si>
  <si>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</si>
  <si>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</si>
  <si>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</si>
  <si>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</si>
  <si>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</si>
  <si>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</si>
  <si>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</si>
  <si>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</si>
  <si>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</si>
  <si>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</si>
  <si>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</si>
  <si>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</si>
  <si>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</si>
  <si>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</si>
  <si>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</si>
  <si>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</si>
  <si>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</si>
  <si>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</si>
  <si>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</si>
  <si>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</si>
  <si>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</si>
  <si>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</si>
  <si>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</si>
  <si>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</si>
  <si>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</si>
  <si>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</si>
  <si>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</si>
  <si>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</si>
  <si>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</si>
  <si>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</si>
  <si>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</si>
  <si>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</si>
  <si>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</si>
  <si>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</si>
  <si>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</si>
  <si>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</si>
  <si>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</si>
  <si>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</si>
  <si>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</si>
  <si>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</si>
  <si>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</si>
  <si>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</si>
  <si>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</si>
  <si>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</si>
  <si>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</si>
  <si>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</si>
  <si>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</si>
  <si>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</si>
  <si>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</si>
  <si>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</si>
  <si>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</si>
  <si>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</si>
  <si>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</si>
  <si>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</si>
  <si>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</si>
  <si>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</si>
  <si>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</si>
  <si>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</si>
  <si>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</si>
  <si>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</si>
  <si>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</si>
  <si>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</si>
  <si>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</si>
  <si>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</si>
  <si>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</si>
  <si>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</si>
  <si>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</si>
  <si>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</si>
  <si>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</si>
  <si>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</si>
  <si>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</si>
  <si>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</si>
  <si>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</si>
  <si>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</si>
  <si>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</si>
  <si>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</si>
  <si>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</si>
  <si>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</si>
  <si>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</si>
  <si>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</si>
  <si>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</si>
  <si>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</si>
  <si>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</si>
  <si>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</si>
  <si>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</si>
  <si>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</si>
  <si>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</si>
  <si>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</si>
  <si>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</si>
  <si>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</si>
  <si>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</si>
  <si>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</si>
  <si>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</si>
  <si>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</si>
  <si>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</si>
  <si>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</si>
  <si>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</si>
  <si>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</si>
  <si>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</si>
  <si>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</si>
  <si>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</si>
  <si>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</si>
  <si>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</si>
  <si>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</si>
  <si>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</si>
  <si>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</si>
  <si>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</si>
  <si>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</si>
  <si>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</si>
  <si>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</si>
  <si>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</si>
  <si>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</si>
  <si>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</si>
  <si>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</si>
  <si>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</si>
  <si>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</si>
  <si>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</si>
  <si>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</si>
  <si>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</si>
  <si>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</si>
  <si>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</si>
  <si>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</si>
  <si>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</si>
  <si>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</si>
  <si>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</si>
  <si>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</si>
  <si>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</si>
  <si>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</si>
  <si>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</si>
  <si>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</si>
  <si>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</si>
  <si>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</si>
  <si>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</si>
  <si>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</si>
  <si>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</si>
  <si>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</si>
  <si>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</si>
  <si>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</si>
  <si>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</si>
  <si>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</si>
  <si>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</si>
  <si>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</si>
  <si>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</si>
  <si>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</si>
  <si>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</si>
  <si>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</si>
  <si>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</si>
  <si>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</si>
  <si>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</si>
  <si>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</si>
  <si>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</si>
  <si>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</si>
  <si>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</si>
  <si>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</si>
  <si>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</si>
  <si>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</si>
  <si>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</si>
  <si>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</si>
  <si>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</si>
  <si>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</si>
  <si>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</si>
  <si>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</si>
  <si>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</si>
  <si>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</si>
  <si>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</si>
  <si>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</si>
  <si>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</si>
  <si>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</si>
  <si>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</si>
  <si>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</si>
  <si>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</si>
  <si>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</si>
  <si>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</si>
  <si>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</si>
  <si>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</si>
  <si>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</si>
  <si>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</si>
  <si>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</si>
  <si>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</si>
  <si>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</si>
  <si>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</si>
  <si>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</si>
  <si>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</si>
  <si>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</si>
  <si>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</si>
  <si>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</si>
  <si>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</si>
  <si>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</si>
  <si>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</si>
  <si>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</si>
  <si>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</si>
  <si>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금강서해/부남방조제</t>
  </si>
  <si>
    <t>금강/미호천</t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</si>
  <si>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</si>
  <si>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</si>
  <si>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</si>
  <si>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</si>
  <si>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가채수량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</si>
  <si>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</si>
  <si>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</si>
  <si>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</si>
  <si>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</si>
  <si>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</si>
  <si>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</si>
  <si>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</si>
  <si>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</si>
  <si>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</si>
  <si>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</si>
  <si>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</si>
  <si>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</si>
  <si>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</si>
  <si>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</si>
  <si>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</si>
  <si>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투수량계수</t>
    <phoneticPr fontId="7" type="noConversion"/>
  </si>
  <si>
    <t>저류계수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</si>
  <si>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</si>
  <si>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</si>
  <si>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</si>
  <si>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</si>
  <si>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</si>
  <si>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</si>
  <si>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</si>
  <si>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</si>
  <si>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금강서해/금강서해</t>
  </si>
  <si>
    <t>산수개발</t>
  </si>
  <si>
    <t>보령</t>
  </si>
  <si>
    <t>Silty Loam</t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</si>
  <si>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</si>
  <si>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</si>
  <si>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</si>
  <si>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</si>
  <si>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</si>
  <si>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</si>
  <si>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</si>
  <si>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</si>
  <si>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</si>
  <si>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</si>
  <si>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</si>
  <si>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</si>
  <si>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</si>
  <si>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금강서해</t>
  </si>
  <si>
    <t>2023년 건양개발, 생활용 연장허가</t>
  </si>
  <si>
    <t>보령시 웅천읍 수부리 산 6-2</t>
  </si>
  <si>
    <t>낮 음</t>
  </si>
  <si>
    <t>비교적낮음</t>
  </si>
  <si>
    <t>△s</t>
    <phoneticPr fontId="8" type="noConversion"/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</si>
  <si>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</si>
  <si>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</si>
  <si>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</si>
  <si>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</si>
  <si>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W1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</si>
  <si>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</si>
  <si>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</si>
  <si>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</si>
  <si>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</si>
  <si>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</si>
  <si>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</si>
  <si>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</si>
  <si>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</si>
  <si>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</si>
  <si>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</si>
  <si>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</si>
  <si>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</si>
  <si>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</si>
  <si>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  <phoneticPr fontId="7" type="noConversion"/>
  </si>
  <si>
    <t>A10_ge_OriginalSaveFile.xlsm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</si>
  <si>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</si>
  <si>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</si>
  <si>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</si>
  <si>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</si>
  <si>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</si>
  <si>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</si>
  <si>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W-11</t>
    <phoneticPr fontId="7" type="noConversion"/>
  </si>
  <si>
    <t>A11_ge_OriginalSaveFile.xlsm</t>
    <phoneticPr fontId="7" type="noConversion"/>
  </si>
  <si>
    <t>W11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</si>
</sst>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</numFmts>
  <fonts count="5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0"/>
      <name val="맑은 고딕"/>
      <family val="3"/>
      <charset val="129"/>
      <scheme val="major"/>
    </font>
    <font>
      <sz val="11"/>
      <name val="Consolas"/>
      <family val="3"/>
    </font>
    <font>
      <sz val="11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12"/>
      <color theme="1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b/>
      <i/>
      <sz val="12"/>
      <color theme="1"/>
      <name val="맑은 고딕"/>
      <family val="2"/>
      <scheme val="minor"/>
    </font>
    <font>
      <b/>
      <i/>
      <sz val="12"/>
      <color rgb="FFFF0000"/>
      <name val="맑은 고딕"/>
      <family val="2"/>
      <scheme val="minor"/>
    </font>
    <font>
      <b/>
      <i/>
      <sz val="14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249977111117893"/>
        <bgColor indexed="64"/>
      </patternFill>
    </fill>
  </fills>
  <borders count="1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47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85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87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85" fontId="18" fillId="0" borderId="64" xfId="24" applyNumberFormat="1" applyFont="1" applyBorder="1" applyAlignment="1">
      <alignment horizontal="center" vertical="center"/>
    </xf>
    <xf numFmtId="185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4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91" fontId="25" fillId="0" borderId="67" xfId="0" applyNumberFormat="1" applyFont="1" applyBorder="1" applyAlignment="1">
      <alignment horizontal="center" vertical="center"/>
    </xf>
    <xf numFmtId="192" fontId="25" fillId="0" borderId="68" xfId="0" applyNumberFormat="1" applyFont="1" applyBorder="1" applyAlignment="1">
      <alignment horizontal="center" vertical="center"/>
    </xf>
    <xf numFmtId="191" fontId="25" fillId="0" borderId="49" xfId="0" applyNumberFormat="1" applyFont="1" applyBorder="1" applyAlignment="1">
      <alignment horizontal="center" vertical="center"/>
    </xf>
    <xf numFmtId="192" fontId="25" fillId="0" borderId="50" xfId="0" applyNumberFormat="1" applyFont="1" applyBorder="1" applyAlignment="1">
      <alignment horizontal="center" vertical="center"/>
    </xf>
    <xf numFmtId="191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40" fontId="25" fillId="4" borderId="0" xfId="0" applyNumberFormat="1" applyFont="1" applyFill="1" applyAlignment="1">
      <alignment horizontal="center" vertical="center"/>
    </xf>
    <xf numFmtId="197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97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88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96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7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85" fontId="21" fillId="5" borderId="26" xfId="18" applyNumberFormat="1" applyFont="1" applyFill="1" applyBorder="1">
      <alignment vertical="center"/>
    </xf>
    <xf numFmtId="0" fontId="40" fillId="8" borderId="37" xfId="18" applyFont="1" applyFill="1" applyBorder="1" applyAlignment="1">
      <alignment horizontal="center" vertical="center" wrapText="1"/>
    </xf>
    <xf numFmtId="0" fontId="40" fillId="8" borderId="34" xfId="18" applyFont="1" applyFill="1" applyBorder="1" applyAlignment="1">
      <alignment horizontal="center" vertical="center" wrapText="1"/>
    </xf>
    <xf numFmtId="0" fontId="40" fillId="8" borderId="35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94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88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96" fontId="30" fillId="10" borderId="19" xfId="0" applyNumberFormat="1" applyFont="1" applyFill="1" applyBorder="1" applyAlignment="1">
      <alignment horizontal="center" vertical="center"/>
    </xf>
    <xf numFmtId="0" fontId="37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200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87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85" fontId="18" fillId="13" borderId="4" xfId="16" applyNumberFormat="1" applyFont="1" applyFill="1" applyBorder="1">
      <alignment vertical="center"/>
    </xf>
    <xf numFmtId="184" fontId="18" fillId="13" borderId="9" xfId="16" applyNumberFormat="1" applyFont="1" applyFill="1" applyBorder="1">
      <alignment vertical="center"/>
    </xf>
    <xf numFmtId="0" fontId="42" fillId="0" borderId="0" xfId="0" applyFont="1" applyAlignment="1">
      <alignment horizontal="center" vertical="center"/>
    </xf>
    <xf numFmtId="0" fontId="42" fillId="0" borderId="0" xfId="0" applyFont="1"/>
    <xf numFmtId="10" fontId="42" fillId="0" borderId="0" xfId="0" applyNumberFormat="1" applyFont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188" fontId="30" fillId="0" borderId="75" xfId="16" applyNumberFormat="1" applyFont="1" applyBorder="1" applyAlignment="1">
      <alignment horizontal="center" vertical="center"/>
    </xf>
    <xf numFmtId="188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84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84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8" fillId="10" borderId="26" xfId="18" applyNumberFormat="1" applyFont="1" applyFill="1" applyBorder="1">
      <alignment vertical="center"/>
    </xf>
    <xf numFmtId="185" fontId="38" fillId="9" borderId="26" xfId="18" applyNumberFormat="1" applyFont="1" applyFill="1" applyBorder="1">
      <alignment vertical="center"/>
    </xf>
    <xf numFmtId="188" fontId="21" fillId="3" borderId="5" xfId="18" applyNumberFormat="1" applyFont="1" applyFill="1" applyBorder="1">
      <alignment vertical="center"/>
    </xf>
    <xf numFmtId="185" fontId="21" fillId="9" borderId="26" xfId="18" applyNumberFormat="1" applyFont="1" applyFill="1" applyBorder="1">
      <alignment vertical="center"/>
    </xf>
    <xf numFmtId="185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99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98" fontId="25" fillId="13" borderId="46" xfId="0" applyNumberFormat="1" applyFont="1" applyFill="1" applyBorder="1" applyAlignment="1">
      <alignment horizontal="center" vertical="center"/>
    </xf>
    <xf numFmtId="199" fontId="25" fillId="13" borderId="47" xfId="17" applyNumberFormat="1" applyFont="1" applyFill="1" applyBorder="1">
      <alignment vertical="center"/>
    </xf>
    <xf numFmtId="199" fontId="25" fillId="13" borderId="48" xfId="17" applyNumberFormat="1" applyFont="1" applyFill="1" applyBorder="1">
      <alignment vertical="center"/>
    </xf>
    <xf numFmtId="189" fontId="25" fillId="13" borderId="48" xfId="0" applyNumberFormat="1" applyFont="1" applyFill="1" applyBorder="1" applyAlignment="1">
      <alignment vertical="center"/>
    </xf>
    <xf numFmtId="198" fontId="25" fillId="13" borderId="49" xfId="0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>
      <alignment vertical="center"/>
    </xf>
    <xf numFmtId="189" fontId="25" fillId="13" borderId="50" xfId="0" applyNumberFormat="1" applyFont="1" applyFill="1" applyBorder="1" applyAlignment="1">
      <alignment vertical="center"/>
    </xf>
    <xf numFmtId="198" fontId="25" fillId="13" borderId="51" xfId="0" applyNumberFormat="1" applyFont="1" applyFill="1" applyBorder="1" applyAlignment="1">
      <alignment horizontal="center" vertical="center"/>
    </xf>
    <xf numFmtId="199" fontId="25" fillId="13" borderId="52" xfId="17" applyNumberFormat="1" applyFont="1" applyFill="1" applyBorder="1">
      <alignment vertical="center"/>
    </xf>
    <xf numFmtId="199" fontId="25" fillId="13" borderId="53" xfId="17" applyNumberFormat="1" applyFont="1" applyFill="1" applyBorder="1">
      <alignment vertical="center"/>
    </xf>
    <xf numFmtId="189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99" fontId="25" fillId="13" borderId="55" xfId="0" applyNumberFormat="1" applyFont="1" applyFill="1" applyBorder="1" applyAlignment="1">
      <alignment vertical="center"/>
    </xf>
    <xf numFmtId="199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99" fontId="25" fillId="13" borderId="19" xfId="0" applyNumberFormat="1" applyFont="1" applyFill="1" applyBorder="1" applyAlignment="1">
      <alignment vertical="center"/>
    </xf>
    <xf numFmtId="199" fontId="25" fillId="13" borderId="50" xfId="0" applyNumberFormat="1" applyFont="1" applyFill="1" applyBorder="1" applyAlignment="1">
      <alignment vertical="center"/>
    </xf>
    <xf numFmtId="189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99" fontId="25" fillId="13" borderId="21" xfId="0" applyNumberFormat="1" applyFont="1" applyFill="1" applyBorder="1" applyAlignment="1">
      <alignment vertical="center"/>
    </xf>
    <xf numFmtId="199" fontId="25" fillId="13" borderId="58" xfId="0" applyNumberFormat="1" applyFont="1" applyFill="1" applyBorder="1" applyAlignment="1">
      <alignment vertical="center"/>
    </xf>
    <xf numFmtId="189" fontId="25" fillId="13" borderId="58" xfId="17" applyNumberFormat="1" applyFont="1" applyFill="1" applyBorder="1">
      <alignment vertical="center"/>
    </xf>
    <xf numFmtId="199" fontId="25" fillId="13" borderId="19" xfId="17" applyNumberFormat="1" applyFont="1" applyFill="1" applyBorder="1" applyAlignment="1">
      <alignment horizontal="right" vertical="center"/>
    </xf>
    <xf numFmtId="189" fontId="28" fillId="13" borderId="54" xfId="17" applyNumberFormat="1" applyFont="1" applyFill="1" applyBorder="1" applyAlignment="1">
      <alignment horizontal="center" vertical="center"/>
    </xf>
    <xf numFmtId="189" fontId="28" fillId="13" borderId="55" xfId="17" applyNumberFormat="1" applyFont="1" applyFill="1" applyBorder="1" applyAlignment="1">
      <alignment horizontal="center" vertical="center"/>
    </xf>
    <xf numFmtId="189" fontId="28" fillId="13" borderId="56" xfId="17" applyNumberFormat="1" applyFont="1" applyFill="1" applyBorder="1" applyAlignment="1">
      <alignment horizontal="center" vertical="center"/>
    </xf>
    <xf numFmtId="189" fontId="28" fillId="13" borderId="59" xfId="17" applyNumberFormat="1" applyFont="1" applyFill="1" applyBorder="1" applyAlignment="1">
      <alignment horizontal="center" vertical="center"/>
    </xf>
    <xf numFmtId="198" fontId="25" fillId="13" borderId="49" xfId="17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 applyAlignment="1">
      <alignment horizontal="right" vertical="center"/>
    </xf>
    <xf numFmtId="189" fontId="25" fillId="13" borderId="20" xfId="17" applyNumberFormat="1" applyFont="1" applyFill="1" applyBorder="1">
      <alignment vertical="center"/>
    </xf>
    <xf numFmtId="198" fontId="25" fillId="13" borderId="57" xfId="17" applyNumberFormat="1" applyFont="1" applyFill="1" applyBorder="1" applyAlignment="1">
      <alignment horizontal="center" vertical="center"/>
    </xf>
    <xf numFmtId="199" fontId="25" fillId="13" borderId="21" xfId="17" applyNumberFormat="1" applyFont="1" applyFill="1" applyBorder="1" applyAlignment="1">
      <alignment horizontal="right" vertical="center"/>
    </xf>
    <xf numFmtId="199" fontId="25" fillId="13" borderId="58" xfId="17" applyNumberFormat="1" applyFont="1" applyFill="1" applyBorder="1" applyAlignment="1">
      <alignment horizontal="right" vertical="center"/>
    </xf>
    <xf numFmtId="189" fontId="25" fillId="13" borderId="23" xfId="17" applyNumberFormat="1" applyFont="1" applyFill="1" applyBorder="1">
      <alignment vertical="center"/>
    </xf>
    <xf numFmtId="189" fontId="25" fillId="13" borderId="67" xfId="17" applyNumberFormat="1" applyFont="1" applyFill="1" applyBorder="1" applyAlignment="1">
      <alignment horizontal="center" vertical="center"/>
    </xf>
    <xf numFmtId="188" fontId="25" fillId="13" borderId="69" xfId="17" applyNumberFormat="1" applyFont="1" applyFill="1" applyBorder="1">
      <alignment vertical="center"/>
    </xf>
    <xf numFmtId="188" fontId="25" fillId="13" borderId="68" xfId="17" applyNumberFormat="1" applyFont="1" applyFill="1" applyBorder="1">
      <alignment vertical="center"/>
    </xf>
    <xf numFmtId="189" fontId="25" fillId="13" borderId="22" xfId="17" applyNumberFormat="1" applyFont="1" applyFill="1" applyBorder="1">
      <alignment vertical="center"/>
    </xf>
    <xf numFmtId="189" fontId="25" fillId="13" borderId="68" xfId="17" applyNumberFormat="1" applyFont="1" applyFill="1" applyBorder="1">
      <alignment vertical="center"/>
    </xf>
    <xf numFmtId="189" fontId="25" fillId="13" borderId="49" xfId="17" applyNumberFormat="1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188" fontId="25" fillId="13" borderId="50" xfId="17" applyNumberFormat="1" applyFont="1" applyFill="1" applyBorder="1">
      <alignment vertical="center"/>
    </xf>
    <xf numFmtId="189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>
      <alignment vertical="center"/>
    </xf>
    <xf numFmtId="188" fontId="25" fillId="13" borderId="58" xfId="17" applyNumberFormat="1" applyFont="1" applyFill="1" applyBorder="1">
      <alignment vertical="center"/>
    </xf>
    <xf numFmtId="0" fontId="43" fillId="0" borderId="0" xfId="0" applyFont="1"/>
    <xf numFmtId="0" fontId="44" fillId="0" borderId="0" xfId="0" applyFont="1" applyAlignment="1">
      <alignment horizontal="center"/>
    </xf>
    <xf numFmtId="200" fontId="44" fillId="0" borderId="0" xfId="25" applyNumberFormat="1" applyFont="1" applyAlignment="1">
      <alignment horizontal="center"/>
    </xf>
    <xf numFmtId="0" fontId="45" fillId="23" borderId="0" xfId="16" applyFont="1" applyFill="1" applyAlignment="1">
      <alignment horizontal="center" vertical="center"/>
    </xf>
    <xf numFmtId="200" fontId="45" fillId="23" borderId="0" xfId="25" applyNumberFormat="1" applyFont="1" applyFill="1" applyBorder="1" applyAlignment="1">
      <alignment horizontal="center" vertical="center"/>
    </xf>
    <xf numFmtId="201" fontId="45" fillId="23" borderId="0" xfId="16" applyNumberFormat="1" applyFont="1" applyFill="1" applyAlignment="1">
      <alignment horizontal="center" vertical="center"/>
    </xf>
    <xf numFmtId="201" fontId="44" fillId="0" borderId="0" xfId="0" applyNumberFormat="1" applyFont="1" applyAlignment="1">
      <alignment horizontal="center"/>
    </xf>
    <xf numFmtId="200" fontId="46" fillId="0" borderId="89" xfId="25" applyNumberFormat="1" applyFont="1" applyBorder="1" applyAlignment="1">
      <alignment horizontal="center"/>
    </xf>
    <xf numFmtId="201" fontId="46" fillId="0" borderId="89" xfId="0" applyNumberFormat="1" applyFont="1" applyBorder="1" applyAlignment="1">
      <alignment horizontal="center"/>
    </xf>
    <xf numFmtId="200" fontId="45" fillId="23" borderId="90" xfId="25" applyNumberFormat="1" applyFont="1" applyFill="1" applyBorder="1" applyAlignment="1">
      <alignment horizontal="center" vertical="center"/>
    </xf>
    <xf numFmtId="200" fontId="45" fillId="23" borderId="91" xfId="25" applyNumberFormat="1" applyFont="1" applyFill="1" applyBorder="1" applyAlignment="1">
      <alignment horizontal="center" vertical="center"/>
    </xf>
    <xf numFmtId="200" fontId="45" fillId="23" borderId="92" xfId="25" applyNumberFormat="1" applyFont="1" applyFill="1" applyBorder="1" applyAlignment="1">
      <alignment horizontal="center" vertical="center"/>
    </xf>
    <xf numFmtId="200" fontId="45" fillId="23" borderId="93" xfId="25" applyNumberFormat="1" applyFont="1" applyFill="1" applyBorder="1" applyAlignment="1">
      <alignment horizontal="center" vertical="center"/>
    </xf>
    <xf numFmtId="200" fontId="46" fillId="0" borderId="94" xfId="25" applyNumberFormat="1" applyFont="1" applyBorder="1" applyAlignment="1">
      <alignment horizontal="center"/>
    </xf>
    <xf numFmtId="201" fontId="46" fillId="0" borderId="94" xfId="0" applyNumberFormat="1" applyFont="1" applyBorder="1" applyAlignment="1">
      <alignment horizontal="center"/>
    </xf>
    <xf numFmtId="200" fontId="45" fillId="23" borderId="95" xfId="25" applyNumberFormat="1" applyFont="1" applyFill="1" applyBorder="1" applyAlignment="1">
      <alignment horizontal="center" vertical="center"/>
    </xf>
    <xf numFmtId="0" fontId="46" fillId="0" borderId="96" xfId="0" applyFont="1" applyBorder="1" applyAlignment="1">
      <alignment horizontal="center"/>
    </xf>
    <xf numFmtId="0" fontId="46" fillId="0" borderId="97" xfId="0" applyFont="1" applyBorder="1" applyAlignment="1">
      <alignment horizontal="center"/>
    </xf>
    <xf numFmtId="0" fontId="47" fillId="25" borderId="41" xfId="18" applyFont="1" applyFill="1" applyBorder="1" applyAlignment="1">
      <alignment horizontal="center" vertical="center" wrapText="1"/>
    </xf>
    <xf numFmtId="193" fontId="47" fillId="26" borderId="40" xfId="18" applyNumberFormat="1" applyFont="1" applyFill="1" applyBorder="1" applyAlignment="1">
      <alignment horizontal="center" vertical="center" wrapText="1"/>
    </xf>
    <xf numFmtId="0" fontId="45" fillId="23" borderId="98" xfId="16" applyFont="1" applyFill="1" applyBorder="1" applyAlignment="1">
      <alignment horizontal="center" vertical="center"/>
    </xf>
    <xf numFmtId="0" fontId="46" fillId="0" borderId="89" xfId="25" applyNumberFormat="1" applyFont="1" applyBorder="1" applyAlignment="1">
      <alignment horizontal="center"/>
    </xf>
    <xf numFmtId="201" fontId="46" fillId="29" borderId="89" xfId="0" applyNumberFormat="1" applyFont="1" applyFill="1" applyBorder="1" applyAlignment="1">
      <alignment horizontal="center"/>
    </xf>
    <xf numFmtId="0" fontId="46" fillId="29" borderId="89" xfId="0" applyFont="1" applyFill="1" applyBorder="1" applyAlignment="1">
      <alignment horizontal="center"/>
    </xf>
    <xf numFmtId="0" fontId="46" fillId="0" borderId="89" xfId="0" applyFont="1" applyBorder="1" applyAlignment="1">
      <alignment horizontal="center"/>
    </xf>
    <xf numFmtId="0" fontId="44" fillId="0" borderId="0" xfId="0" applyFont="1" applyAlignment="1">
      <alignment horizontal="center" vertical="center"/>
    </xf>
    <xf numFmtId="0" fontId="48" fillId="30" borderId="0" xfId="0" applyFont="1" applyFill="1" applyAlignment="1">
      <alignment horizontal="center" vertical="center"/>
    </xf>
    <xf numFmtId="2" fontId="44" fillId="0" borderId="0" xfId="0" applyNumberFormat="1" applyFont="1" applyAlignment="1">
      <alignment horizontal="center" vertical="center"/>
    </xf>
    <xf numFmtId="2" fontId="0" fillId="0" borderId="0" xfId="0" applyNumberFormat="1"/>
    <xf numFmtId="0" fontId="28" fillId="13" borderId="29" xfId="0" applyFont="1" applyFill="1" applyBorder="1" applyAlignment="1">
      <alignment horizontal="center" vertical="center"/>
    </xf>
    <xf numFmtId="189" fontId="25" fillId="13" borderId="99" xfId="0" applyNumberFormat="1" applyFont="1" applyFill="1" applyBorder="1" applyAlignment="1">
      <alignment vertical="center"/>
    </xf>
    <xf numFmtId="189" fontId="25" fillId="13" borderId="20" xfId="0" applyNumberFormat="1" applyFont="1" applyFill="1" applyBorder="1" applyAlignment="1">
      <alignment vertical="center"/>
    </xf>
    <xf numFmtId="189" fontId="25" fillId="13" borderId="60" xfId="0" applyNumberFormat="1" applyFont="1" applyFill="1" applyBorder="1" applyAlignment="1">
      <alignment vertical="center"/>
    </xf>
    <xf numFmtId="199" fontId="25" fillId="13" borderId="59" xfId="0" applyNumberFormat="1" applyFont="1" applyFill="1" applyBorder="1" applyAlignment="1">
      <alignment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16" borderId="102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84" fontId="25" fillId="0" borderId="84" xfId="0" applyNumberFormat="1" applyFont="1" applyBorder="1" applyAlignment="1">
      <alignment horizontal="center" vertical="center"/>
    </xf>
    <xf numFmtId="192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86" fontId="25" fillId="0" borderId="83" xfId="0" applyNumberFormat="1" applyFont="1" applyBorder="1" applyAlignment="1">
      <alignment horizontal="center" vertical="center"/>
    </xf>
    <xf numFmtId="0" fontId="49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5" fillId="4" borderId="103" xfId="0" applyFont="1" applyFill="1" applyBorder="1" applyAlignment="1">
      <alignment horizontal="center" vertical="center"/>
    </xf>
    <xf numFmtId="191" fontId="25" fillId="4" borderId="104" xfId="0" applyNumberFormat="1" applyFont="1" applyFill="1" applyBorder="1" applyAlignment="1">
      <alignment horizontal="center" vertical="center"/>
    </xf>
    <xf numFmtId="0" fontId="25" fillId="4" borderId="105" xfId="0" applyFont="1" applyFill="1" applyBorder="1" applyAlignment="1">
      <alignment horizontal="center" vertical="center"/>
    </xf>
    <xf numFmtId="184" fontId="25" fillId="4" borderId="106" xfId="0" applyNumberFormat="1" applyFont="1" applyFill="1" applyBorder="1" applyAlignment="1">
      <alignment horizontal="center" vertical="center"/>
    </xf>
    <xf numFmtId="0" fontId="18" fillId="4" borderId="103" xfId="0" applyFont="1" applyFill="1" applyBorder="1" applyAlignment="1">
      <alignment horizontal="center" vertical="center"/>
    </xf>
    <xf numFmtId="191" fontId="18" fillId="4" borderId="104" xfId="0" applyNumberFormat="1" applyFont="1" applyFill="1" applyBorder="1" applyAlignment="1">
      <alignment horizontal="center" vertical="center"/>
    </xf>
    <xf numFmtId="10" fontId="37" fillId="23" borderId="9" xfId="16" applyNumberFormat="1" applyFont="1" applyFill="1" applyBorder="1">
      <alignment vertical="center"/>
    </xf>
    <xf numFmtId="10" fontId="37" fillId="23" borderId="10" xfId="16" applyNumberFormat="1" applyFont="1" applyFill="1" applyBorder="1">
      <alignment vertical="center"/>
    </xf>
    <xf numFmtId="10" fontId="37" fillId="24" borderId="9" xfId="16" applyNumberFormat="1" applyFont="1" applyFill="1" applyBorder="1">
      <alignment vertical="center"/>
    </xf>
    <xf numFmtId="10" fontId="37" fillId="24" borderId="10" xfId="16" applyNumberFormat="1" applyFont="1" applyFill="1" applyBorder="1">
      <alignment vertical="center"/>
    </xf>
    <xf numFmtId="10" fontId="37" fillId="20" borderId="9" xfId="16" applyNumberFormat="1" applyFont="1" applyFill="1" applyBorder="1">
      <alignment vertical="center"/>
    </xf>
    <xf numFmtId="10" fontId="37" fillId="20" borderId="10" xfId="16" applyNumberFormat="1" applyFont="1" applyFill="1" applyBorder="1">
      <alignment vertical="center"/>
    </xf>
    <xf numFmtId="0" fontId="18" fillId="0" borderId="16" xfId="16" applyFont="1" applyBorder="1">
      <alignment vertical="center"/>
    </xf>
    <xf numFmtId="0" fontId="18" fillId="0" borderId="107" xfId="16" applyFont="1" applyBorder="1">
      <alignment vertical="center"/>
    </xf>
    <xf numFmtId="0" fontId="50" fillId="0" borderId="72" xfId="16" applyFont="1" applyBorder="1" applyAlignment="1">
      <alignment horizontal="right" vertical="center"/>
    </xf>
    <xf numFmtId="0" fontId="50" fillId="0" borderId="17" xfId="16" applyFont="1" applyBorder="1" applyAlignment="1">
      <alignment horizontal="right" vertical="center"/>
    </xf>
    <xf numFmtId="0" fontId="53" fillId="0" borderId="111" xfId="16" applyFont="1" applyBorder="1" applyAlignment="1">
      <alignment horizontal="right" vertical="center"/>
    </xf>
    <xf numFmtId="0" fontId="53" fillId="0" borderId="112" xfId="16" applyFont="1" applyBorder="1" applyAlignment="1">
      <alignment horizontal="right" vertical="center"/>
    </xf>
    <xf numFmtId="0" fontId="53" fillId="0" borderId="113" xfId="16" applyFont="1" applyBorder="1" applyAlignment="1">
      <alignment horizontal="right" vertical="center"/>
    </xf>
    <xf numFmtId="0" fontId="52" fillId="31" borderId="114" xfId="16" applyFont="1" applyFill="1" applyBorder="1" applyAlignment="1">
      <alignment horizontal="right" vertical="center"/>
    </xf>
    <xf numFmtId="0" fontId="52" fillId="31" borderId="115" xfId="16" applyFont="1" applyFill="1" applyBorder="1" applyAlignment="1">
      <alignment horizontal="right" vertical="center"/>
    </xf>
    <xf numFmtId="0" fontId="52" fillId="31" borderId="116" xfId="16" applyFont="1" applyFill="1" applyBorder="1" applyAlignment="1">
      <alignment horizontal="right" vertical="center"/>
    </xf>
    <xf numFmtId="0" fontId="50" fillId="31" borderId="114" xfId="16" applyFont="1" applyFill="1" applyBorder="1" applyAlignment="1">
      <alignment horizontal="right" vertical="center"/>
    </xf>
    <xf numFmtId="0" fontId="50" fillId="31" borderId="115" xfId="16" applyFont="1" applyFill="1" applyBorder="1" applyAlignment="1">
      <alignment horizontal="right" vertical="center"/>
    </xf>
    <xf numFmtId="0" fontId="50" fillId="31" borderId="116" xfId="16" applyFont="1" applyFill="1" applyBorder="1" applyAlignment="1">
      <alignment horizontal="right" vertical="center"/>
    </xf>
    <xf numFmtId="0" fontId="50" fillId="0" borderId="114" xfId="16" applyFont="1" applyBorder="1" applyAlignment="1">
      <alignment horizontal="right" vertical="center"/>
    </xf>
    <xf numFmtId="0" fontId="50" fillId="0" borderId="115" xfId="16" applyFont="1" applyBorder="1" applyAlignment="1">
      <alignment horizontal="right" vertical="center"/>
    </xf>
    <xf numFmtId="0" fontId="50" fillId="0" borderId="116" xfId="16" applyFont="1" applyBorder="1" applyAlignment="1">
      <alignment horizontal="right" vertical="center"/>
    </xf>
    <xf numFmtId="0" fontId="52" fillId="0" borderId="114" xfId="16" applyFont="1" applyBorder="1" applyAlignment="1">
      <alignment horizontal="right" vertical="center"/>
    </xf>
    <xf numFmtId="0" fontId="52" fillId="0" borderId="115" xfId="16" applyFont="1" applyBorder="1" applyAlignment="1">
      <alignment horizontal="right" vertical="center"/>
    </xf>
    <xf numFmtId="0" fontId="52" fillId="0" borderId="116" xfId="16" applyFont="1" applyBorder="1" applyAlignment="1">
      <alignment horizontal="right" vertical="center"/>
    </xf>
    <xf numFmtId="2" fontId="50" fillId="0" borderId="114" xfId="16" applyNumberFormat="1" applyFont="1" applyBorder="1" applyAlignment="1">
      <alignment horizontal="right" vertical="center"/>
    </xf>
    <xf numFmtId="2" fontId="50" fillId="0" borderId="115" xfId="16" applyNumberFormat="1" applyFont="1" applyBorder="1" applyAlignment="1">
      <alignment horizontal="right" vertical="center"/>
    </xf>
    <xf numFmtId="2" fontId="50" fillId="0" borderId="116" xfId="16" applyNumberFormat="1" applyFont="1" applyBorder="1" applyAlignment="1">
      <alignment horizontal="right" vertical="center"/>
    </xf>
    <xf numFmtId="0" fontId="54" fillId="32" borderId="117" xfId="16" applyFont="1" applyFill="1" applyBorder="1" applyAlignment="1">
      <alignment horizontal="right" vertical="center"/>
    </xf>
    <xf numFmtId="0" fontId="54" fillId="32" borderId="118" xfId="16" applyFont="1" applyFill="1" applyBorder="1" applyAlignment="1">
      <alignment horizontal="right" vertical="center"/>
    </xf>
    <xf numFmtId="0" fontId="54" fillId="32" borderId="119" xfId="16" applyFont="1" applyFill="1" applyBorder="1" applyAlignment="1">
      <alignment horizontal="right" vertical="center"/>
    </xf>
    <xf numFmtId="0" fontId="53" fillId="0" borderId="117" xfId="16" applyFont="1" applyBorder="1" applyAlignment="1">
      <alignment horizontal="right" vertical="center"/>
    </xf>
    <xf numFmtId="0" fontId="53" fillId="0" borderId="118" xfId="16" applyFont="1" applyBorder="1" applyAlignment="1">
      <alignment horizontal="right" vertical="center"/>
    </xf>
    <xf numFmtId="0" fontId="53" fillId="0" borderId="119" xfId="16" applyFont="1" applyBorder="1" applyAlignment="1">
      <alignment horizontal="right" vertical="center"/>
    </xf>
    <xf numFmtId="0" fontId="55" fillId="0" borderId="108" xfId="16" applyFont="1" applyBorder="1" applyAlignment="1">
      <alignment horizontal="center" vertical="center"/>
    </xf>
    <xf numFmtId="0" fontId="55" fillId="31" borderId="109" xfId="16" applyFont="1" applyFill="1" applyBorder="1" applyAlignment="1">
      <alignment horizontal="center" vertical="center"/>
    </xf>
    <xf numFmtId="0" fontId="55" fillId="0" borderId="109" xfId="16" applyFont="1" applyBorder="1" applyAlignment="1">
      <alignment horizontal="center" vertical="center"/>
    </xf>
    <xf numFmtId="0" fontId="55" fillId="0" borderId="110" xfId="16" applyFont="1" applyBorder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3" borderId="35" xfId="18" applyFont="1" applyFill="1" applyBorder="1" applyAlignment="1">
      <alignment horizontal="center" vertical="center"/>
    </xf>
    <xf numFmtId="195" fontId="37" fillId="27" borderId="50" xfId="16" applyNumberFormat="1" applyFont="1" applyFill="1" applyBorder="1" applyAlignment="1">
      <alignment horizontal="center" vertical="center"/>
    </xf>
    <xf numFmtId="195" fontId="18" fillId="28" borderId="0" xfId="16" applyNumberFormat="1" applyFont="1" applyFill="1">
      <alignment vertical="center"/>
    </xf>
    <xf numFmtId="0" fontId="34" fillId="0" borderId="124" xfId="0" applyFont="1" applyBorder="1" applyAlignment="1">
      <alignment horizontal="center"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17" fontId="34" fillId="0" borderId="125" xfId="0" applyNumberFormat="1" applyFont="1" applyBorder="1" applyAlignment="1">
      <alignment horizontal="center" vertical="center"/>
    </xf>
    <xf numFmtId="0" fontId="15" fillId="0" borderId="125" xfId="0" applyFont="1" applyBorder="1" applyAlignment="1">
      <alignment horizontal="center" vertical="center" wrapText="1"/>
    </xf>
    <xf numFmtId="0" fontId="15" fillId="0" borderId="125" xfId="0" applyFont="1" applyBorder="1" applyAlignment="1">
      <alignment horizontal="center" vertical="center"/>
    </xf>
    <xf numFmtId="41" fontId="34" fillId="0" borderId="125" xfId="20" applyFont="1" applyBorder="1">
      <alignment vertical="center"/>
    </xf>
    <xf numFmtId="0" fontId="36" fillId="0" borderId="0" xfId="0" applyFont="1" applyAlignment="1">
      <alignment horizontal="center" vertical="center"/>
    </xf>
    <xf numFmtId="0" fontId="37" fillId="23" borderId="70" xfId="16" applyFont="1" applyFill="1" applyBorder="1" applyAlignment="1">
      <alignment horizontal="center" vertical="center"/>
    </xf>
    <xf numFmtId="0" fontId="37" fillId="23" borderId="29" xfId="16" applyFont="1" applyFill="1" applyBorder="1" applyAlignment="1">
      <alignment horizontal="center" vertical="center"/>
    </xf>
    <xf numFmtId="0" fontId="37" fillId="24" borderId="70" xfId="16" applyFont="1" applyFill="1" applyBorder="1" applyAlignment="1">
      <alignment horizontal="center" vertical="center"/>
    </xf>
    <xf numFmtId="0" fontId="37" fillId="24" borderId="29" xfId="16" applyFont="1" applyFill="1" applyBorder="1" applyAlignment="1">
      <alignment horizontal="center" vertical="center"/>
    </xf>
    <xf numFmtId="0" fontId="37" fillId="20" borderId="70" xfId="16" applyFont="1" applyFill="1" applyBorder="1" applyAlignment="1">
      <alignment horizontal="center" vertical="center"/>
    </xf>
    <xf numFmtId="0" fontId="37" fillId="20" borderId="29" xfId="16" applyFont="1" applyFill="1" applyBorder="1" applyAlignment="1">
      <alignment horizontal="center" vertical="center"/>
    </xf>
    <xf numFmtId="0" fontId="51" fillId="0" borderId="14" xfId="16" applyFont="1" applyBorder="1" applyAlignment="1">
      <alignment horizontal="center" vertical="center"/>
    </xf>
    <xf numFmtId="0" fontId="51" fillId="0" borderId="71" xfId="16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0" fontId="34" fillId="0" borderId="125" xfId="0" applyFont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 wrapText="1"/>
    </xf>
    <xf numFmtId="0" fontId="34" fillId="0" borderId="125" xfId="0" applyFont="1" applyBorder="1" applyAlignment="1">
      <alignment horizontal="center" vertical="center" wrapText="1"/>
    </xf>
    <xf numFmtId="41" fontId="34" fillId="0" borderId="122" xfId="20" applyFont="1" applyBorder="1" applyAlignment="1">
      <alignment horizontal="center" vertical="center" wrapText="1"/>
    </xf>
    <xf numFmtId="41" fontId="34" fillId="0" borderId="125" xfId="20" applyFont="1" applyBorder="1" applyAlignment="1">
      <alignment horizontal="center" vertical="center" wrapText="1"/>
    </xf>
    <xf numFmtId="0" fontId="35" fillId="13" borderId="122" xfId="21" applyFont="1" applyFill="1" applyBorder="1" applyAlignment="1">
      <alignment horizontal="center" vertical="center" wrapText="1"/>
    </xf>
    <xf numFmtId="0" fontId="35" fillId="13" borderId="125" xfId="21" applyFont="1" applyFill="1" applyBorder="1" applyAlignment="1">
      <alignment horizontal="center" vertical="center" wrapText="1"/>
    </xf>
    <xf numFmtId="0" fontId="34" fillId="0" borderId="121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7" fillId="6" borderId="54" xfId="16" applyFont="1" applyFill="1" applyBorder="1" applyAlignment="1">
      <alignment horizontal="center" vertical="center"/>
    </xf>
    <xf numFmtId="0" fontId="37" fillId="6" borderId="56" xfId="16" applyFont="1" applyFill="1" applyBorder="1" applyAlignment="1">
      <alignment horizontal="center" vertical="center"/>
    </xf>
    <xf numFmtId="0" fontId="39" fillId="19" borderId="40" xfId="18" applyFont="1" applyFill="1" applyBorder="1" applyAlignment="1">
      <alignment horizontal="center" vertical="center" wrapText="1"/>
    </xf>
    <xf numFmtId="0" fontId="39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15" fillId="3" borderId="28" xfId="18" applyNumberFormat="1" applyFont="1" applyFill="1" applyBorder="1" applyAlignment="1">
      <alignment horizontal="center" vertical="center"/>
    </xf>
    <xf numFmtId="0" fontId="15" fillId="3" borderId="31" xfId="18" applyNumberFormat="1" applyFont="1" applyFill="1" applyBorder="1" applyAlignment="1">
      <alignment horizontal="center" vertical="center"/>
    </xf>
    <xf numFmtId="0" fontId="19" fillId="3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9" fillId="9" borderId="31" xfId="18" applyNumberFormat="1" applyFont="1" applyFill="1" applyBorder="1" applyAlignment="1">
      <alignment horizontal="center" vertical="center"/>
    </xf>
    <xf numFmtId="0" fontId="15" fillId="13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3" borderId="120" xfId="18" applyNumberFormat="1" applyFont="1" applyFill="1" applyBorder="1" applyAlignment="1">
      <alignment horizontal="center" vertical="center"/>
    </xf>
    <xf numFmtId="0" fontId="15" fillId="3" borderId="32" xfId="18" applyNumberFormat="1" applyFont="1" applyFill="1" applyBorder="1" applyAlignment="1">
      <alignment horizontal="center" vertical="center"/>
    </xf>
    <xf numFmtId="0" fontId="15" fillId="10" borderId="36" xfId="18" applyNumberFormat="1" applyFont="1" applyFill="1" applyBorder="1" applyAlignment="1">
      <alignment horizontal="center" vertical="center"/>
    </xf>
    <xf numFmtId="0" fontId="34" fillId="0" borderId="117" xfId="0" applyFont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17" fontId="34" fillId="0" borderId="118" xfId="0" applyNumberFormat="1" applyFont="1" applyBorder="1" applyAlignment="1">
      <alignment horizontal="center" vertical="center"/>
    </xf>
    <xf numFmtId="0" fontId="15" fillId="0" borderId="118" xfId="0" applyFont="1" applyBorder="1" applyAlignment="1">
      <alignment horizontal="center" vertical="center" wrapText="1"/>
    </xf>
    <xf numFmtId="0" fontId="15" fillId="0" borderId="118" xfId="0" applyFont="1" applyBorder="1" applyAlignment="1">
      <alignment horizontal="center" vertical="center"/>
    </xf>
    <xf numFmtId="41" fontId="34" fillId="0" borderId="118" xfId="20" applyFont="1" applyBorder="1">
      <alignment vertical="center"/>
    </xf>
    <xf numFmtId="0" fontId="34" fillId="0" borderId="119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200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201" formatCode="#,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aj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5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Relationship Id="rId9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4" Type="http://schemas.openxmlformats.org/officeDocument/2006/relationships/image" Target="../media/image4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4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19</xdr:col>
          <xdr:colOff>0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390525</xdr:rowOff>
        </xdr:from>
        <xdr:to>
          <xdr:col>3</xdr:col>
          <xdr:colOff>1038225</xdr:colOff>
          <xdr:row>0</xdr:row>
          <xdr:rowOff>704850</xdr:rowOff>
        </xdr:to>
        <xdr:sp macro="" textlink="">
          <xdr:nvSpPr>
            <xdr:cNvPr id="99331" name="CommandButton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5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390525</xdr:rowOff>
        </xdr:from>
        <xdr:to>
          <xdr:col>16</xdr:col>
          <xdr:colOff>1295400</xdr:colOff>
          <xdr:row>0</xdr:row>
          <xdr:rowOff>704850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0</xdr:row>
          <xdr:rowOff>381000</xdr:rowOff>
        </xdr:from>
        <xdr:to>
          <xdr:col>17</xdr:col>
          <xdr:colOff>1219200</xdr:colOff>
          <xdr:row>0</xdr:row>
          <xdr:rowOff>695325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0</xdr:row>
          <xdr:rowOff>390525</xdr:rowOff>
        </xdr:from>
        <xdr:to>
          <xdr:col>3</xdr:col>
          <xdr:colOff>1676400</xdr:colOff>
          <xdr:row>0</xdr:row>
          <xdr:rowOff>704850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695325</xdr:colOff>
          <xdr:row>2</xdr:row>
          <xdr:rowOff>180975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28575</xdr:rowOff>
        </xdr:from>
        <xdr:to>
          <xdr:col>2</xdr:col>
          <xdr:colOff>695325</xdr:colOff>
          <xdr:row>4</xdr:row>
          <xdr:rowOff>171450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228600</xdr:rowOff>
        </xdr:from>
        <xdr:to>
          <xdr:col>2</xdr:col>
          <xdr:colOff>704850</xdr:colOff>
          <xdr:row>6</xdr:row>
          <xdr:rowOff>123825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6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</xdr:row>
          <xdr:rowOff>0</xdr:rowOff>
        </xdr:from>
        <xdr:to>
          <xdr:col>2</xdr:col>
          <xdr:colOff>219075</xdr:colOff>
          <xdr:row>2</xdr:row>
          <xdr:rowOff>142875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</xdr:row>
          <xdr:rowOff>209550</xdr:rowOff>
        </xdr:from>
        <xdr:to>
          <xdr:col>2</xdr:col>
          <xdr:colOff>219075</xdr:colOff>
          <xdr:row>4</xdr:row>
          <xdr:rowOff>104775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</xdr:row>
          <xdr:rowOff>171450</xdr:rowOff>
        </xdr:from>
        <xdr:to>
          <xdr:col>2</xdr:col>
          <xdr:colOff>219075</xdr:colOff>
          <xdr:row>6</xdr:row>
          <xdr:rowOff>66675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7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8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8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8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8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8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8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8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8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8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0401" name="CommandButton5" hidden="1">
              <a:extLst>
                <a:ext uri="{63B3BB69-23CF-44E3-9099-C40C66FF867C}">
                  <a14:compatExt spid="_x0000_s230401"/>
                </a:ext>
                <a:ext uri="{FF2B5EF4-FFF2-40B4-BE49-F238E27FC236}">
                  <a16:creationId xmlns:a16="http://schemas.microsoft.com/office/drawing/2014/main" id="{00000000-0008-0000-0900-000001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0402" name="Frame1" hidden="1">
              <a:extLst>
                <a:ext uri="{63B3BB69-23CF-44E3-9099-C40C66FF867C}">
                  <a14:compatExt spid="_x0000_s230402"/>
                </a:ext>
                <a:ext uri="{FF2B5EF4-FFF2-40B4-BE49-F238E27FC236}">
                  <a16:creationId xmlns:a16="http://schemas.microsoft.com/office/drawing/2014/main" id="{00000000-0008-0000-0900-000002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0403" name="CommandButton6" hidden="1">
              <a:extLst>
                <a:ext uri="{63B3BB69-23CF-44E3-9099-C40C66FF867C}">
                  <a14:compatExt spid="_x0000_s230403"/>
                </a:ext>
                <a:ext uri="{FF2B5EF4-FFF2-40B4-BE49-F238E27FC236}">
                  <a16:creationId xmlns:a16="http://schemas.microsoft.com/office/drawing/2014/main" id="{00000000-0008-0000-0900-000003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0409" name="CommandButton8" hidden="1">
              <a:extLst>
                <a:ext uri="{63B3BB69-23CF-44E3-9099-C40C66FF867C}">
                  <a14:compatExt spid="_x0000_s230409"/>
                </a:ext>
                <a:ext uri="{FF2B5EF4-FFF2-40B4-BE49-F238E27FC236}">
                  <a16:creationId xmlns:a16="http://schemas.microsoft.com/office/drawing/2014/main" id="{00000000-0008-0000-0900-000009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1425" name="CommandButton5" hidden="1">
              <a:extLst>
                <a:ext uri="{63B3BB69-23CF-44E3-9099-C40C66FF867C}">
                  <a14:compatExt spid="_x0000_s231425"/>
                </a:ext>
                <a:ext uri="{FF2B5EF4-FFF2-40B4-BE49-F238E27FC236}">
                  <a16:creationId xmlns:a16="http://schemas.microsoft.com/office/drawing/2014/main" id="{00000000-0008-0000-0A00-000001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1426" name="Frame1" hidden="1">
              <a:extLst>
                <a:ext uri="{63B3BB69-23CF-44E3-9099-C40C66FF867C}">
                  <a14:compatExt spid="_x0000_s231426"/>
                </a:ext>
                <a:ext uri="{FF2B5EF4-FFF2-40B4-BE49-F238E27FC236}">
                  <a16:creationId xmlns:a16="http://schemas.microsoft.com/office/drawing/2014/main" id="{00000000-0008-0000-0A00-000002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1427" name="CommandButton6" hidden="1">
              <a:extLst>
                <a:ext uri="{63B3BB69-23CF-44E3-9099-C40C66FF867C}">
                  <a14:compatExt spid="_x0000_s231427"/>
                </a:ext>
                <a:ext uri="{FF2B5EF4-FFF2-40B4-BE49-F238E27FC236}">
                  <a16:creationId xmlns:a16="http://schemas.microsoft.com/office/drawing/2014/main" id="{00000000-0008-0000-0A00-000003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1428" name="CommandButton8" hidden="1">
              <a:extLst>
                <a:ext uri="{63B3BB69-23CF-44E3-9099-C40C66FF867C}">
                  <a14:compatExt spid="_x0000_s231428"/>
                </a:ext>
                <a:ext uri="{FF2B5EF4-FFF2-40B4-BE49-F238E27FC236}">
                  <a16:creationId xmlns:a16="http://schemas.microsoft.com/office/drawing/2014/main" id="{00000000-0008-0000-0A00-000004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2449" name="CommandButton5" hidden="1">
              <a:extLst>
                <a:ext uri="{63B3BB69-23CF-44E3-9099-C40C66FF867C}">
                  <a14:compatExt spid="_x0000_s232449"/>
                </a:ext>
                <a:ext uri="{FF2B5EF4-FFF2-40B4-BE49-F238E27FC236}">
                  <a16:creationId xmlns:a16="http://schemas.microsoft.com/office/drawing/2014/main" id="{00000000-0008-0000-0B00-000001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2450" name="Frame1" hidden="1">
              <a:extLst>
                <a:ext uri="{63B3BB69-23CF-44E3-9099-C40C66FF867C}">
                  <a14:compatExt spid="_x0000_s232450"/>
                </a:ext>
                <a:ext uri="{FF2B5EF4-FFF2-40B4-BE49-F238E27FC236}">
                  <a16:creationId xmlns:a16="http://schemas.microsoft.com/office/drawing/2014/main" id="{00000000-0008-0000-0B00-000002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2451" name="CommandButton6" hidden="1">
              <a:extLst>
                <a:ext uri="{63B3BB69-23CF-44E3-9099-C40C66FF867C}">
                  <a14:compatExt spid="_x0000_s232451"/>
                </a:ext>
                <a:ext uri="{FF2B5EF4-FFF2-40B4-BE49-F238E27FC236}">
                  <a16:creationId xmlns:a16="http://schemas.microsoft.com/office/drawing/2014/main" id="{00000000-0008-0000-0B00-000003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2452" name="CommandButton8" hidden="1">
              <a:extLst>
                <a:ext uri="{63B3BB69-23CF-44E3-9099-C40C66FF867C}">
                  <a14:compatExt spid="_x0000_s232452"/>
                </a:ext>
                <a:ext uri="{FF2B5EF4-FFF2-40B4-BE49-F238E27FC236}">
                  <a16:creationId xmlns:a16="http://schemas.microsoft.com/office/drawing/2014/main" id="{00000000-0008-0000-0B00-000004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4497" name="CommandButton5" hidden="1">
              <a:extLst>
                <a:ext uri="{63B3BB69-23CF-44E3-9099-C40C66FF867C}">
                  <a14:compatExt spid="_x0000_s234497"/>
                </a:ext>
                <a:ext uri="{FF2B5EF4-FFF2-40B4-BE49-F238E27FC236}">
                  <a16:creationId xmlns:a16="http://schemas.microsoft.com/office/drawing/2014/main" id="{00000000-0008-0000-0C00-000001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4498" name="Frame1" hidden="1">
              <a:extLst>
                <a:ext uri="{63B3BB69-23CF-44E3-9099-C40C66FF867C}">
                  <a14:compatExt spid="_x0000_s234498"/>
                </a:ext>
                <a:ext uri="{FF2B5EF4-FFF2-40B4-BE49-F238E27FC236}">
                  <a16:creationId xmlns:a16="http://schemas.microsoft.com/office/drawing/2014/main" id="{00000000-0008-0000-0C00-000002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4499" name="CommandButton6" hidden="1">
              <a:extLst>
                <a:ext uri="{63B3BB69-23CF-44E3-9099-C40C66FF867C}">
                  <a14:compatExt spid="_x0000_s234499"/>
                </a:ext>
                <a:ext uri="{FF2B5EF4-FFF2-40B4-BE49-F238E27FC236}">
                  <a16:creationId xmlns:a16="http://schemas.microsoft.com/office/drawing/2014/main" id="{00000000-0008-0000-0C00-000003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4500" name="CommandButton8" hidden="1">
              <a:extLst>
                <a:ext uri="{63B3BB69-23CF-44E3-9099-C40C66FF867C}">
                  <a14:compatExt spid="_x0000_s234500"/>
                </a:ext>
                <a:ext uri="{FF2B5EF4-FFF2-40B4-BE49-F238E27FC236}">
                  <a16:creationId xmlns:a16="http://schemas.microsoft.com/office/drawing/2014/main" id="{00000000-0008-0000-0C00-000004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5521" name="CommandButton5" hidden="1">
              <a:extLst>
                <a:ext uri="{63B3BB69-23CF-44E3-9099-C40C66FF867C}">
                  <a14:compatExt spid="_x0000_s235521"/>
                </a:ext>
                <a:ext uri="{FF2B5EF4-FFF2-40B4-BE49-F238E27FC236}">
                  <a16:creationId xmlns:a16="http://schemas.microsoft.com/office/drawing/2014/main" id="{00000000-0008-0000-0D00-000001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5522" name="Frame1" hidden="1">
              <a:extLst>
                <a:ext uri="{63B3BB69-23CF-44E3-9099-C40C66FF867C}">
                  <a14:compatExt spid="_x0000_s235522"/>
                </a:ext>
                <a:ext uri="{FF2B5EF4-FFF2-40B4-BE49-F238E27FC236}">
                  <a16:creationId xmlns:a16="http://schemas.microsoft.com/office/drawing/2014/main" id="{00000000-0008-0000-0D00-000002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5523" name="CommandButton6" hidden="1">
              <a:extLst>
                <a:ext uri="{63B3BB69-23CF-44E3-9099-C40C66FF867C}">
                  <a14:compatExt spid="_x0000_s235523"/>
                </a:ext>
                <a:ext uri="{FF2B5EF4-FFF2-40B4-BE49-F238E27FC236}">
                  <a16:creationId xmlns:a16="http://schemas.microsoft.com/office/drawing/2014/main" id="{00000000-0008-0000-0D00-000003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5524" name="CommandButton8" hidden="1">
              <a:extLst>
                <a:ext uri="{63B3BB69-23CF-44E3-9099-C40C66FF867C}">
                  <a14:compatExt spid="_x0000_s235524"/>
                </a:ext>
                <a:ext uri="{FF2B5EF4-FFF2-40B4-BE49-F238E27FC236}">
                  <a16:creationId xmlns:a16="http://schemas.microsoft.com/office/drawing/2014/main" id="{00000000-0008-0000-0D00-000004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6545" name="CommandButton5" hidden="1">
              <a:extLst>
                <a:ext uri="{63B3BB69-23CF-44E3-9099-C40C66FF867C}">
                  <a14:compatExt spid="_x0000_s236545"/>
                </a:ext>
                <a:ext uri="{FF2B5EF4-FFF2-40B4-BE49-F238E27FC236}">
                  <a16:creationId xmlns:a16="http://schemas.microsoft.com/office/drawing/2014/main" id="{00000000-0008-0000-0E00-000001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6546" name="Frame1" hidden="1">
              <a:extLst>
                <a:ext uri="{63B3BB69-23CF-44E3-9099-C40C66FF867C}">
                  <a14:compatExt spid="_x0000_s236546"/>
                </a:ext>
                <a:ext uri="{FF2B5EF4-FFF2-40B4-BE49-F238E27FC236}">
                  <a16:creationId xmlns:a16="http://schemas.microsoft.com/office/drawing/2014/main" id="{00000000-0008-0000-0E00-000002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6547" name="CommandButton6" hidden="1">
              <a:extLst>
                <a:ext uri="{63B3BB69-23CF-44E3-9099-C40C66FF867C}">
                  <a14:compatExt spid="_x0000_s236547"/>
                </a:ext>
                <a:ext uri="{FF2B5EF4-FFF2-40B4-BE49-F238E27FC236}">
                  <a16:creationId xmlns:a16="http://schemas.microsoft.com/office/drawing/2014/main" id="{00000000-0008-0000-0E00-000003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6548" name="CommandButton8" hidden="1">
              <a:extLst>
                <a:ext uri="{63B3BB69-23CF-44E3-9099-C40C66FF867C}">
                  <a14:compatExt spid="_x0000_s236548"/>
                </a:ext>
                <a:ext uri="{FF2B5EF4-FFF2-40B4-BE49-F238E27FC236}">
                  <a16:creationId xmlns:a16="http://schemas.microsoft.com/office/drawing/2014/main" id="{00000000-0008-0000-0E00-000004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7569" name="CommandButton5" hidden="1">
              <a:extLst>
                <a:ext uri="{63B3BB69-23CF-44E3-9099-C40C66FF867C}">
                  <a14:compatExt spid="_x0000_s237569"/>
                </a:ext>
                <a:ext uri="{FF2B5EF4-FFF2-40B4-BE49-F238E27FC236}">
                  <a16:creationId xmlns:a16="http://schemas.microsoft.com/office/drawing/2014/main" id="{00000000-0008-0000-0F00-000001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7570" name="Frame1" hidden="1">
              <a:extLst>
                <a:ext uri="{63B3BB69-23CF-44E3-9099-C40C66FF867C}">
                  <a14:compatExt spid="_x0000_s237570"/>
                </a:ext>
                <a:ext uri="{FF2B5EF4-FFF2-40B4-BE49-F238E27FC236}">
                  <a16:creationId xmlns:a16="http://schemas.microsoft.com/office/drawing/2014/main" id="{00000000-0008-0000-0F00-000002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7571" name="CommandButton6" hidden="1">
              <a:extLst>
                <a:ext uri="{63B3BB69-23CF-44E3-9099-C40C66FF867C}">
                  <a14:compatExt spid="_x0000_s237571"/>
                </a:ext>
                <a:ext uri="{FF2B5EF4-FFF2-40B4-BE49-F238E27FC236}">
                  <a16:creationId xmlns:a16="http://schemas.microsoft.com/office/drawing/2014/main" id="{00000000-0008-0000-0F00-000003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7572" name="CommandButton8" hidden="1">
              <a:extLst>
                <a:ext uri="{63B3BB69-23CF-44E3-9099-C40C66FF867C}">
                  <a14:compatExt spid="_x0000_s237572"/>
                </a:ext>
                <a:ext uri="{FF2B5EF4-FFF2-40B4-BE49-F238E27FC236}">
                  <a16:creationId xmlns:a16="http://schemas.microsoft.com/office/drawing/2014/main" id="{00000000-0008-0000-0F00-000004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8593" name="CommandButton5" hidden="1">
              <a:extLst>
                <a:ext uri="{63B3BB69-23CF-44E3-9099-C40C66FF867C}">
                  <a14:compatExt spid="_x0000_s238593"/>
                </a:ext>
                <a:ext uri="{FF2B5EF4-FFF2-40B4-BE49-F238E27FC236}">
                  <a16:creationId xmlns:a16="http://schemas.microsoft.com/office/drawing/2014/main" id="{00000000-0008-0000-1000-000001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8594" name="Frame1" hidden="1">
              <a:extLst>
                <a:ext uri="{63B3BB69-23CF-44E3-9099-C40C66FF867C}">
                  <a14:compatExt spid="_x0000_s238594"/>
                </a:ext>
                <a:ext uri="{FF2B5EF4-FFF2-40B4-BE49-F238E27FC236}">
                  <a16:creationId xmlns:a16="http://schemas.microsoft.com/office/drawing/2014/main" id="{00000000-0008-0000-1000-000002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8595" name="CommandButton6" hidden="1">
              <a:extLst>
                <a:ext uri="{63B3BB69-23CF-44E3-9099-C40C66FF867C}">
                  <a14:compatExt spid="_x0000_s238595"/>
                </a:ext>
                <a:ext uri="{FF2B5EF4-FFF2-40B4-BE49-F238E27FC236}">
                  <a16:creationId xmlns:a16="http://schemas.microsoft.com/office/drawing/2014/main" id="{00000000-0008-0000-1000-000003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8596" name="CommandButton8" hidden="1">
              <a:extLst>
                <a:ext uri="{63B3BB69-23CF-44E3-9099-C40C66FF867C}">
                  <a14:compatExt spid="_x0000_s238596"/>
                </a:ext>
                <a:ext uri="{FF2B5EF4-FFF2-40B4-BE49-F238E27FC236}">
                  <a16:creationId xmlns:a16="http://schemas.microsoft.com/office/drawing/2014/main" id="{00000000-0008-0000-1000-000004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9617" name="CommandButton5" hidden="1">
              <a:extLst>
                <a:ext uri="{63B3BB69-23CF-44E3-9099-C40C66FF867C}">
                  <a14:compatExt spid="_x0000_s239617"/>
                </a:ext>
                <a:ext uri="{FF2B5EF4-FFF2-40B4-BE49-F238E27FC236}">
                  <a16:creationId xmlns:a16="http://schemas.microsoft.com/office/drawing/2014/main" id="{00000000-0008-0000-1100-000001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39618" name="Frame1" hidden="1">
              <a:extLst>
                <a:ext uri="{63B3BB69-23CF-44E3-9099-C40C66FF867C}">
                  <a14:compatExt spid="_x0000_s239618"/>
                </a:ext>
                <a:ext uri="{FF2B5EF4-FFF2-40B4-BE49-F238E27FC236}">
                  <a16:creationId xmlns:a16="http://schemas.microsoft.com/office/drawing/2014/main" id="{00000000-0008-0000-1100-000002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9619" name="CommandButton6" hidden="1">
              <a:extLst>
                <a:ext uri="{63B3BB69-23CF-44E3-9099-C40C66FF867C}">
                  <a14:compatExt spid="_x0000_s239619"/>
                </a:ext>
                <a:ext uri="{FF2B5EF4-FFF2-40B4-BE49-F238E27FC236}">
                  <a16:creationId xmlns:a16="http://schemas.microsoft.com/office/drawing/2014/main" id="{00000000-0008-0000-1100-000003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9620" name="CommandButton8" hidden="1">
              <a:extLst>
                <a:ext uri="{63B3BB69-23CF-44E3-9099-C40C66FF867C}">
                  <a14:compatExt spid="_x0000_s239620"/>
                </a:ext>
                <a:ext uri="{FF2B5EF4-FFF2-40B4-BE49-F238E27FC236}">
                  <a16:creationId xmlns:a16="http://schemas.microsoft.com/office/drawing/2014/main" id="{00000000-0008-0000-1100-000004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44737" name="CommandButton5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71AF0185-B253-4985-8784-866D5483B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44738" name="Frame1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732A92F3-F471-486B-9553-16C875C33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44739" name="CommandButton6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A6241B25-6E9F-4D7E-9A16-DA1AE37FD0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44740" name="CommandButton8" hidden="1">
              <a:extLst>
                <a:ext uri="{63B3BB69-23CF-44E3-9099-C40C66FF867C}">
                  <a14:compatExt spid="_x0000_s244740"/>
                </a:ext>
                <a:ext uri="{FF2B5EF4-FFF2-40B4-BE49-F238E27FC236}">
                  <a16:creationId xmlns:a16="http://schemas.microsoft.com/office/drawing/2014/main" id="{B80D313E-0BCB-46C8-92FB-65518CE1C3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2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3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4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4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5" totalsRowShown="0" headerRowDxfId="11" dataDxfId="10">
  <autoFilter ref="A1:C15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가채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20.emf"/><Relationship Id="rId5" Type="http://schemas.openxmlformats.org/officeDocument/2006/relationships/control" Target="../activeX/activeX20.xml"/><Relationship Id="rId4" Type="http://schemas.openxmlformats.org/officeDocument/2006/relationships/image" Target="../media/image19.emf"/><Relationship Id="rId9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1.xml"/><Relationship Id="rId20" Type="http://schemas.openxmlformats.org/officeDocument/2006/relationships/control" Target="../activeX/activeX3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Relationship Id="rId2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12" Type="http://schemas.openxmlformats.org/officeDocument/2006/relationships/comments" Target="../comments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mments" Target="../comments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3.emf"/><Relationship Id="rId12" Type="http://schemas.openxmlformats.org/officeDocument/2006/relationships/comments" Target="../comments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12" Type="http://schemas.openxmlformats.org/officeDocument/2006/relationships/comments" Target="../comments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1.emf"/><Relationship Id="rId12" Type="http://schemas.openxmlformats.org/officeDocument/2006/relationships/comments" Target="../comments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5.emf"/><Relationship Id="rId12" Type="http://schemas.openxmlformats.org/officeDocument/2006/relationships/comments" Target="../comments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5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7.xml"/><Relationship Id="rId4" Type="http://schemas.openxmlformats.org/officeDocument/2006/relationships/control" Target="../activeX/activeX54.xml"/><Relationship Id="rId9" Type="http://schemas.openxmlformats.org/officeDocument/2006/relationships/image" Target="../media/image5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1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9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61.xml"/><Relationship Id="rId4" Type="http://schemas.openxmlformats.org/officeDocument/2006/relationships/control" Target="../activeX/activeX58.xml"/><Relationship Id="rId9" Type="http://schemas.openxmlformats.org/officeDocument/2006/relationships/image" Target="../media/image6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1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3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4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mments" Target="../comments12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7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12" Type="http://schemas.openxmlformats.org/officeDocument/2006/relationships/comments" Target="../comments1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1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72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5.xml"/><Relationship Id="rId5" Type="http://schemas.openxmlformats.org/officeDocument/2006/relationships/image" Target="../media/image74.emf"/><Relationship Id="rId4" Type="http://schemas.openxmlformats.org/officeDocument/2006/relationships/control" Target="../activeX/activeX74.xml"/><Relationship Id="rId9" Type="http://schemas.openxmlformats.org/officeDocument/2006/relationships/image" Target="../media/image7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8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8.xml"/><Relationship Id="rId5" Type="http://schemas.openxmlformats.org/officeDocument/2006/relationships/image" Target="../media/image77.emf"/><Relationship Id="rId4" Type="http://schemas.openxmlformats.org/officeDocument/2006/relationships/control" Target="../activeX/activeX77.xml"/><Relationship Id="rId9" Type="http://schemas.openxmlformats.org/officeDocument/2006/relationships/image" Target="../media/image79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81.xml"/><Relationship Id="rId5" Type="http://schemas.openxmlformats.org/officeDocument/2006/relationships/image" Target="../media/image80.emf"/><Relationship Id="rId4" Type="http://schemas.openxmlformats.org/officeDocument/2006/relationships/control" Target="../activeX/activeX80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topLeftCell="A19" zoomScaleNormal="100" workbookViewId="0">
      <selection activeCell="M23" sqref="M23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8.5546875" style="38" customWidth="1"/>
    <col min="19" max="16384" width="8.88671875" style="38"/>
  </cols>
  <sheetData>
    <row r="2" spans="2:23" ht="26.25" customHeight="1">
      <c r="B2" s="412" t="s">
        <v>241</v>
      </c>
      <c r="C2" s="412"/>
      <c r="D2" s="412"/>
      <c r="E2" s="412"/>
      <c r="F2" s="412"/>
      <c r="G2" s="412"/>
      <c r="H2" s="412"/>
      <c r="I2" s="412"/>
      <c r="J2" s="412"/>
      <c r="K2" s="412"/>
      <c r="L2" s="412"/>
    </row>
    <row r="3" spans="2:23" ht="17.25" thickBot="1">
      <c r="I3"/>
      <c r="J3"/>
      <c r="K3"/>
    </row>
    <row r="4" spans="2:23" s="77" customFormat="1" ht="22.5" customHeight="1">
      <c r="B4" s="254" t="s">
        <v>42</v>
      </c>
      <c r="C4" s="256" t="s">
        <v>43</v>
      </c>
      <c r="D4" s="256" t="s">
        <v>32</v>
      </c>
      <c r="E4" s="256" t="s">
        <v>33</v>
      </c>
      <c r="F4" s="256" t="s">
        <v>34</v>
      </c>
      <c r="G4" s="256" t="s">
        <v>35</v>
      </c>
      <c r="H4" s="256" t="s">
        <v>12</v>
      </c>
      <c r="I4" s="256" t="s">
        <v>13</v>
      </c>
      <c r="J4" s="256" t="s">
        <v>14</v>
      </c>
      <c r="K4" s="256" t="s">
        <v>15</v>
      </c>
      <c r="L4" s="256" t="s">
        <v>16</v>
      </c>
      <c r="M4" s="256" t="s">
        <v>17</v>
      </c>
      <c r="N4" s="257" t="s">
        <v>18</v>
      </c>
      <c r="O4" s="332" t="s">
        <v>45</v>
      </c>
      <c r="P4" s="257" t="s">
        <v>46</v>
      </c>
    </row>
    <row r="5" spans="2:23" ht="22.5" customHeight="1">
      <c r="B5" s="258">
        <v>1993</v>
      </c>
      <c r="C5" s="259">
        <v>4.5999999999999996</v>
      </c>
      <c r="D5" s="259">
        <v>66.7</v>
      </c>
      <c r="E5" s="259">
        <v>21.6</v>
      </c>
      <c r="F5" s="259">
        <v>32.6</v>
      </c>
      <c r="G5" s="259">
        <v>68.5</v>
      </c>
      <c r="H5" s="259">
        <v>225.5</v>
      </c>
      <c r="I5" s="259">
        <v>241.5</v>
      </c>
      <c r="J5" s="259">
        <v>206.5</v>
      </c>
      <c r="K5" s="259">
        <v>141.5</v>
      </c>
      <c r="L5" s="259">
        <v>32</v>
      </c>
      <c r="M5" s="259">
        <v>87.4</v>
      </c>
      <c r="N5" s="260">
        <v>33.700000000000003</v>
      </c>
      <c r="O5" s="333">
        <f>ROUND(SUM(C5:N5),1)</f>
        <v>1162.0999999999999</v>
      </c>
      <c r="P5" s="261">
        <f>ROUND(O5/12,1)</f>
        <v>96.8</v>
      </c>
      <c r="Q5" s="78"/>
      <c r="R5" s="248"/>
      <c r="S5" s="247"/>
      <c r="T5" s="248"/>
      <c r="U5" s="247"/>
      <c r="V5" s="248"/>
      <c r="W5" s="247"/>
    </row>
    <row r="6" spans="2:23" ht="22.5" customHeight="1">
      <c r="B6" s="262">
        <v>1994</v>
      </c>
      <c r="C6" s="255">
        <v>17.899999999999999</v>
      </c>
      <c r="D6" s="255">
        <v>6</v>
      </c>
      <c r="E6" s="255">
        <v>58.2</v>
      </c>
      <c r="F6" s="255">
        <v>51.5</v>
      </c>
      <c r="G6" s="255">
        <v>135.5</v>
      </c>
      <c r="H6" s="255">
        <v>207</v>
      </c>
      <c r="I6" s="255">
        <v>137</v>
      </c>
      <c r="J6" s="255">
        <v>443.5</v>
      </c>
      <c r="K6" s="255">
        <v>21</v>
      </c>
      <c r="L6" s="255">
        <v>155</v>
      </c>
      <c r="M6" s="255">
        <v>17.5</v>
      </c>
      <c r="N6" s="263">
        <v>18.899999999999999</v>
      </c>
      <c r="O6" s="334">
        <f t="shared" ref="O6:O34" si="0">ROUND(SUM(C6:N6),1)</f>
        <v>1269</v>
      </c>
      <c r="P6" s="264">
        <f t="shared" ref="P6:P34" si="1">ROUND(O6/12,1)</f>
        <v>105.8</v>
      </c>
      <c r="Q6" s="78"/>
      <c r="R6" s="248"/>
      <c r="S6" s="247"/>
      <c r="T6" s="248"/>
      <c r="U6" s="247"/>
      <c r="V6" s="248"/>
      <c r="W6" s="247"/>
    </row>
    <row r="7" spans="2:23" ht="22.5" customHeight="1">
      <c r="B7" s="262">
        <v>1995</v>
      </c>
      <c r="C7" s="255">
        <v>15.7</v>
      </c>
      <c r="D7" s="255">
        <v>11</v>
      </c>
      <c r="E7" s="255">
        <v>19.600000000000001</v>
      </c>
      <c r="F7" s="255">
        <v>65.5</v>
      </c>
      <c r="G7" s="255">
        <v>49.5</v>
      </c>
      <c r="H7" s="255">
        <v>26.5</v>
      </c>
      <c r="I7" s="255">
        <v>144.5</v>
      </c>
      <c r="J7" s="255">
        <v>996.5</v>
      </c>
      <c r="K7" s="255">
        <v>70.5</v>
      </c>
      <c r="L7" s="255">
        <v>24.5</v>
      </c>
      <c r="M7" s="255">
        <v>23</v>
      </c>
      <c r="N7" s="263">
        <v>12.7</v>
      </c>
      <c r="O7" s="334">
        <f t="shared" si="0"/>
        <v>1459.5</v>
      </c>
      <c r="P7" s="264">
        <f t="shared" si="1"/>
        <v>121.6</v>
      </c>
      <c r="Q7" s="78"/>
      <c r="R7" s="248"/>
      <c r="S7" s="247"/>
      <c r="T7" s="248"/>
      <c r="U7" s="247"/>
      <c r="V7" s="248"/>
      <c r="W7" s="247"/>
    </row>
    <row r="8" spans="2:23" ht="22.5" customHeight="1">
      <c r="B8" s="262">
        <v>1996</v>
      </c>
      <c r="C8" s="255">
        <v>33.4</v>
      </c>
      <c r="D8" s="255">
        <v>6.8</v>
      </c>
      <c r="E8" s="255">
        <v>104.5</v>
      </c>
      <c r="F8" s="255">
        <v>34</v>
      </c>
      <c r="G8" s="255">
        <v>22.5</v>
      </c>
      <c r="H8" s="255">
        <v>235</v>
      </c>
      <c r="I8" s="255">
        <v>192.5</v>
      </c>
      <c r="J8" s="255">
        <v>44.5</v>
      </c>
      <c r="K8" s="255">
        <v>14</v>
      </c>
      <c r="L8" s="255">
        <v>106.5</v>
      </c>
      <c r="M8" s="255">
        <v>74.2</v>
      </c>
      <c r="N8" s="263">
        <v>31.7</v>
      </c>
      <c r="O8" s="334">
        <f t="shared" si="0"/>
        <v>899.6</v>
      </c>
      <c r="P8" s="264">
        <f t="shared" si="1"/>
        <v>75</v>
      </c>
      <c r="Q8" s="78"/>
      <c r="R8" s="248"/>
      <c r="S8" s="247"/>
      <c r="T8" s="248"/>
      <c r="U8" s="247"/>
      <c r="V8" s="248"/>
      <c r="W8" s="247"/>
    </row>
    <row r="9" spans="2:23" ht="22.5" customHeight="1">
      <c r="B9" s="262">
        <v>1997</v>
      </c>
      <c r="C9" s="255">
        <v>15.1</v>
      </c>
      <c r="D9" s="255">
        <v>38.4</v>
      </c>
      <c r="E9" s="255">
        <v>30.5</v>
      </c>
      <c r="F9" s="255">
        <v>57.5</v>
      </c>
      <c r="G9" s="255">
        <v>203</v>
      </c>
      <c r="H9" s="255">
        <v>272</v>
      </c>
      <c r="I9" s="255">
        <v>353.5</v>
      </c>
      <c r="J9" s="255">
        <v>211.5</v>
      </c>
      <c r="K9" s="255">
        <v>23</v>
      </c>
      <c r="L9" s="255">
        <v>10</v>
      </c>
      <c r="M9" s="255">
        <v>193.5</v>
      </c>
      <c r="N9" s="263">
        <v>34.299999999999997</v>
      </c>
      <c r="O9" s="334">
        <f t="shared" si="0"/>
        <v>1442.3</v>
      </c>
      <c r="P9" s="264">
        <f t="shared" si="1"/>
        <v>120.2</v>
      </c>
      <c r="Q9" s="78"/>
      <c r="R9" s="248"/>
      <c r="S9" s="247"/>
      <c r="T9" s="248"/>
      <c r="U9" s="247"/>
      <c r="V9" s="248"/>
      <c r="W9" s="247"/>
    </row>
    <row r="10" spans="2:23" ht="22.5" customHeight="1">
      <c r="B10" s="262">
        <v>1998</v>
      </c>
      <c r="C10" s="255">
        <v>29.9</v>
      </c>
      <c r="D10" s="255">
        <v>40.200000000000003</v>
      </c>
      <c r="E10" s="255">
        <v>30.5</v>
      </c>
      <c r="F10" s="255">
        <v>138</v>
      </c>
      <c r="G10" s="255">
        <v>100</v>
      </c>
      <c r="H10" s="255">
        <v>209.5</v>
      </c>
      <c r="I10" s="255">
        <v>263</v>
      </c>
      <c r="J10" s="255">
        <v>341.7</v>
      </c>
      <c r="K10" s="255">
        <v>150.30000000000001</v>
      </c>
      <c r="L10" s="255">
        <v>61</v>
      </c>
      <c r="M10" s="255">
        <v>29.3</v>
      </c>
      <c r="N10" s="263">
        <v>3.8</v>
      </c>
      <c r="O10" s="334">
        <f t="shared" si="0"/>
        <v>1397.2</v>
      </c>
      <c r="P10" s="264">
        <f t="shared" si="1"/>
        <v>116.4</v>
      </c>
      <c r="Q10" s="78"/>
      <c r="R10" s="248"/>
      <c r="S10" s="247"/>
      <c r="T10" s="248"/>
      <c r="U10" s="247"/>
      <c r="V10" s="248"/>
      <c r="W10" s="247"/>
    </row>
    <row r="11" spans="2:23" ht="22.5" customHeight="1">
      <c r="B11" s="262">
        <v>1999</v>
      </c>
      <c r="C11" s="255">
        <v>7.9</v>
      </c>
      <c r="D11" s="255">
        <v>9.5</v>
      </c>
      <c r="E11" s="255">
        <v>71</v>
      </c>
      <c r="F11" s="255">
        <v>88.5</v>
      </c>
      <c r="G11" s="255">
        <v>124.5</v>
      </c>
      <c r="H11" s="255">
        <v>192.5</v>
      </c>
      <c r="I11" s="255">
        <v>98</v>
      </c>
      <c r="J11" s="255">
        <v>180</v>
      </c>
      <c r="K11" s="255">
        <v>292.5</v>
      </c>
      <c r="L11" s="255">
        <v>169</v>
      </c>
      <c r="M11" s="255">
        <v>24.9</v>
      </c>
      <c r="N11" s="263">
        <v>25.8</v>
      </c>
      <c r="O11" s="334">
        <f t="shared" si="0"/>
        <v>1284.0999999999999</v>
      </c>
      <c r="P11" s="264">
        <f t="shared" si="1"/>
        <v>107</v>
      </c>
      <c r="R11" s="248"/>
      <c r="S11" s="247"/>
      <c r="T11" s="248"/>
      <c r="U11" s="247"/>
      <c r="V11" s="248"/>
      <c r="W11" s="247"/>
    </row>
    <row r="12" spans="2:23" ht="22.5" customHeight="1">
      <c r="B12" s="262">
        <v>2000</v>
      </c>
      <c r="C12" s="255">
        <v>42.1</v>
      </c>
      <c r="D12" s="255">
        <v>3.2</v>
      </c>
      <c r="E12" s="255">
        <v>7</v>
      </c>
      <c r="F12" s="255">
        <v>35</v>
      </c>
      <c r="G12" s="255">
        <v>53.5</v>
      </c>
      <c r="H12" s="255">
        <v>159.5</v>
      </c>
      <c r="I12" s="255">
        <v>155</v>
      </c>
      <c r="J12" s="255">
        <v>701.5</v>
      </c>
      <c r="K12" s="255">
        <v>241</v>
      </c>
      <c r="L12" s="255">
        <v>46</v>
      </c>
      <c r="M12" s="255">
        <v>39.5</v>
      </c>
      <c r="N12" s="263">
        <v>32.1</v>
      </c>
      <c r="O12" s="334">
        <f t="shared" si="0"/>
        <v>1515.4</v>
      </c>
      <c r="P12" s="264">
        <f t="shared" si="1"/>
        <v>126.3</v>
      </c>
      <c r="R12" s="248"/>
      <c r="S12" s="247"/>
      <c r="T12" s="248"/>
      <c r="U12" s="247"/>
      <c r="V12" s="248"/>
      <c r="W12" s="247"/>
    </row>
    <row r="13" spans="2:23" ht="22.5" customHeight="1">
      <c r="B13" s="262">
        <v>2001</v>
      </c>
      <c r="C13" s="255">
        <v>73.3</v>
      </c>
      <c r="D13" s="255">
        <v>46</v>
      </c>
      <c r="E13" s="255">
        <v>15.9</v>
      </c>
      <c r="F13" s="255">
        <v>26</v>
      </c>
      <c r="G13" s="255">
        <v>17</v>
      </c>
      <c r="H13" s="255">
        <v>129</v>
      </c>
      <c r="I13" s="255">
        <v>286.5</v>
      </c>
      <c r="J13" s="255">
        <v>170</v>
      </c>
      <c r="K13" s="255">
        <v>10</v>
      </c>
      <c r="L13" s="255">
        <v>85</v>
      </c>
      <c r="M13" s="255">
        <v>13</v>
      </c>
      <c r="N13" s="263">
        <v>32</v>
      </c>
      <c r="O13" s="334">
        <f t="shared" si="0"/>
        <v>903.7</v>
      </c>
      <c r="P13" s="264">
        <f t="shared" si="1"/>
        <v>75.3</v>
      </c>
      <c r="R13" s="248"/>
      <c r="S13" s="247"/>
      <c r="T13" s="248"/>
      <c r="U13" s="247"/>
      <c r="V13" s="248"/>
      <c r="W13" s="247"/>
    </row>
    <row r="14" spans="2:23" ht="22.5" customHeight="1">
      <c r="B14" s="262">
        <v>2002</v>
      </c>
      <c r="C14" s="255">
        <v>50.8</v>
      </c>
      <c r="D14" s="255">
        <v>5.5</v>
      </c>
      <c r="E14" s="255">
        <v>32</v>
      </c>
      <c r="F14" s="255">
        <v>169</v>
      </c>
      <c r="G14" s="255">
        <v>155.5</v>
      </c>
      <c r="H14" s="255">
        <v>72</v>
      </c>
      <c r="I14" s="255">
        <v>217.5</v>
      </c>
      <c r="J14" s="255">
        <v>477</v>
      </c>
      <c r="K14" s="255">
        <v>27</v>
      </c>
      <c r="L14" s="255">
        <v>134</v>
      </c>
      <c r="M14" s="255">
        <v>61.1</v>
      </c>
      <c r="N14" s="263">
        <v>51.8</v>
      </c>
      <c r="O14" s="334">
        <f t="shared" si="0"/>
        <v>1453.2</v>
      </c>
      <c r="P14" s="264">
        <f t="shared" si="1"/>
        <v>121.1</v>
      </c>
      <c r="R14" s="248"/>
      <c r="S14" s="247"/>
      <c r="T14" s="248"/>
      <c r="U14" s="247"/>
      <c r="V14" s="248"/>
      <c r="W14" s="247"/>
    </row>
    <row r="15" spans="2:23" ht="22.5" customHeight="1">
      <c r="B15" s="262">
        <v>2003</v>
      </c>
      <c r="C15" s="255">
        <v>30.7</v>
      </c>
      <c r="D15" s="255">
        <v>44.5</v>
      </c>
      <c r="E15" s="255">
        <v>39.5</v>
      </c>
      <c r="F15" s="255">
        <v>168.5</v>
      </c>
      <c r="G15" s="255">
        <v>78.5</v>
      </c>
      <c r="H15" s="255">
        <v>153</v>
      </c>
      <c r="I15" s="255">
        <v>309.5</v>
      </c>
      <c r="J15" s="255">
        <v>310</v>
      </c>
      <c r="K15" s="255">
        <v>128</v>
      </c>
      <c r="L15" s="255">
        <v>23</v>
      </c>
      <c r="M15" s="255">
        <v>45.5</v>
      </c>
      <c r="N15" s="263">
        <v>13</v>
      </c>
      <c r="O15" s="334">
        <f t="shared" si="0"/>
        <v>1343.7</v>
      </c>
      <c r="P15" s="264">
        <f t="shared" si="1"/>
        <v>112</v>
      </c>
    </row>
    <row r="16" spans="2:23" ht="22.5" customHeight="1">
      <c r="B16" s="262">
        <v>2004</v>
      </c>
      <c r="C16" s="255">
        <v>22.1</v>
      </c>
      <c r="D16" s="255">
        <v>28.5</v>
      </c>
      <c r="E16" s="255">
        <v>45.7</v>
      </c>
      <c r="F16" s="255">
        <v>58</v>
      </c>
      <c r="G16" s="255">
        <v>105.5</v>
      </c>
      <c r="H16" s="255">
        <v>234.5</v>
      </c>
      <c r="I16" s="255">
        <v>263.5</v>
      </c>
      <c r="J16" s="255">
        <v>164</v>
      </c>
      <c r="K16" s="255">
        <v>195</v>
      </c>
      <c r="L16" s="255">
        <v>4</v>
      </c>
      <c r="M16" s="255">
        <v>56.5</v>
      </c>
      <c r="N16" s="263">
        <v>38.9</v>
      </c>
      <c r="O16" s="334">
        <f t="shared" si="0"/>
        <v>1216.2</v>
      </c>
      <c r="P16" s="264">
        <f t="shared" si="1"/>
        <v>101.4</v>
      </c>
    </row>
    <row r="17" spans="2:16" ht="22.5" customHeight="1">
      <c r="B17" s="262">
        <v>2005</v>
      </c>
      <c r="C17" s="255">
        <v>5.8</v>
      </c>
      <c r="D17" s="255">
        <v>35.799999999999997</v>
      </c>
      <c r="E17" s="255">
        <v>30</v>
      </c>
      <c r="F17" s="255">
        <v>73.5</v>
      </c>
      <c r="G17" s="255">
        <v>48.5</v>
      </c>
      <c r="H17" s="255">
        <v>156</v>
      </c>
      <c r="I17" s="255">
        <v>260.5</v>
      </c>
      <c r="J17" s="255">
        <v>291.5</v>
      </c>
      <c r="K17" s="255">
        <v>282.5</v>
      </c>
      <c r="L17" s="255">
        <v>21</v>
      </c>
      <c r="M17" s="255">
        <v>18</v>
      </c>
      <c r="N17" s="263">
        <v>43.4</v>
      </c>
      <c r="O17" s="334">
        <f t="shared" si="0"/>
        <v>1266.5</v>
      </c>
      <c r="P17" s="264">
        <f t="shared" si="1"/>
        <v>105.5</v>
      </c>
    </row>
    <row r="18" spans="2:16" ht="22.5" customHeight="1">
      <c r="B18" s="262">
        <v>2006</v>
      </c>
      <c r="C18" s="255">
        <v>27</v>
      </c>
      <c r="D18" s="255">
        <v>25.9</v>
      </c>
      <c r="E18" s="255">
        <v>10.6</v>
      </c>
      <c r="F18" s="255">
        <v>81.5</v>
      </c>
      <c r="G18" s="255">
        <v>94.5</v>
      </c>
      <c r="H18" s="255">
        <v>114.5</v>
      </c>
      <c r="I18" s="255">
        <v>321</v>
      </c>
      <c r="J18" s="255">
        <v>21.5</v>
      </c>
      <c r="K18" s="255">
        <v>23.5</v>
      </c>
      <c r="L18" s="255">
        <v>24.5</v>
      </c>
      <c r="M18" s="255">
        <v>61.5</v>
      </c>
      <c r="N18" s="263">
        <v>25.4</v>
      </c>
      <c r="O18" s="334">
        <f t="shared" si="0"/>
        <v>831.4</v>
      </c>
      <c r="P18" s="264">
        <f t="shared" si="1"/>
        <v>69.3</v>
      </c>
    </row>
    <row r="19" spans="2:16" ht="22.5" customHeight="1">
      <c r="B19" s="262">
        <v>2007</v>
      </c>
      <c r="C19" s="255">
        <v>23.4</v>
      </c>
      <c r="D19" s="255">
        <v>29.8</v>
      </c>
      <c r="E19" s="255">
        <v>102</v>
      </c>
      <c r="F19" s="255">
        <v>29.5</v>
      </c>
      <c r="G19" s="255">
        <v>79</v>
      </c>
      <c r="H19" s="255">
        <v>85</v>
      </c>
      <c r="I19" s="255">
        <v>214</v>
      </c>
      <c r="J19" s="255">
        <v>239.5</v>
      </c>
      <c r="K19" s="255">
        <v>384</v>
      </c>
      <c r="L19" s="255">
        <v>59</v>
      </c>
      <c r="M19" s="255">
        <v>17.5</v>
      </c>
      <c r="N19" s="263">
        <v>33.1</v>
      </c>
      <c r="O19" s="334">
        <f t="shared" si="0"/>
        <v>1295.8</v>
      </c>
      <c r="P19" s="264">
        <f t="shared" si="1"/>
        <v>108</v>
      </c>
    </row>
    <row r="20" spans="2:16" ht="22.5" customHeight="1">
      <c r="B20" s="262">
        <v>2008</v>
      </c>
      <c r="C20" s="255">
        <v>20.9</v>
      </c>
      <c r="D20" s="255">
        <v>10.8</v>
      </c>
      <c r="E20" s="255">
        <v>48.2</v>
      </c>
      <c r="F20" s="255">
        <v>40.5</v>
      </c>
      <c r="G20" s="255">
        <v>78.900000000000006</v>
      </c>
      <c r="H20" s="255">
        <v>101.3</v>
      </c>
      <c r="I20" s="255">
        <v>257.2</v>
      </c>
      <c r="J20" s="255">
        <v>119.5</v>
      </c>
      <c r="K20" s="255">
        <v>46.9</v>
      </c>
      <c r="L20" s="255">
        <v>26.7</v>
      </c>
      <c r="M20" s="255">
        <v>37.6</v>
      </c>
      <c r="N20" s="263">
        <v>25</v>
      </c>
      <c r="O20" s="334">
        <f t="shared" si="0"/>
        <v>813.5</v>
      </c>
      <c r="P20" s="264">
        <f t="shared" si="1"/>
        <v>67.8</v>
      </c>
    </row>
    <row r="21" spans="2:16" ht="22.5" customHeight="1">
      <c r="B21" s="262">
        <v>2009</v>
      </c>
      <c r="C21" s="255">
        <v>18.5</v>
      </c>
      <c r="D21" s="255">
        <v>23.3</v>
      </c>
      <c r="E21" s="255">
        <v>55.1</v>
      </c>
      <c r="F21" s="255">
        <v>41.5</v>
      </c>
      <c r="G21" s="255">
        <v>154.5</v>
      </c>
      <c r="H21" s="255">
        <v>115.1</v>
      </c>
      <c r="I21" s="255">
        <v>320.89999999999998</v>
      </c>
      <c r="J21" s="255">
        <v>176.6</v>
      </c>
      <c r="K21" s="255">
        <v>25.5</v>
      </c>
      <c r="L21" s="255">
        <v>39.5</v>
      </c>
      <c r="M21" s="255">
        <v>52.9</v>
      </c>
      <c r="N21" s="263">
        <v>58</v>
      </c>
      <c r="O21" s="334">
        <f t="shared" si="0"/>
        <v>1081.4000000000001</v>
      </c>
      <c r="P21" s="264">
        <f t="shared" si="1"/>
        <v>90.1</v>
      </c>
    </row>
    <row r="22" spans="2:16" ht="22.5" customHeight="1">
      <c r="B22" s="262">
        <v>2010</v>
      </c>
      <c r="C22" s="255">
        <v>30.1</v>
      </c>
      <c r="D22" s="255">
        <v>73.5</v>
      </c>
      <c r="E22" s="255">
        <v>75.900000000000006</v>
      </c>
      <c r="F22" s="255">
        <v>58.5</v>
      </c>
      <c r="G22" s="255">
        <v>122.8</v>
      </c>
      <c r="H22" s="255">
        <v>60.8</v>
      </c>
      <c r="I22" s="255">
        <v>396.5</v>
      </c>
      <c r="J22" s="255">
        <v>402.7</v>
      </c>
      <c r="K22" s="255">
        <v>213.1</v>
      </c>
      <c r="L22" s="255">
        <v>19.2</v>
      </c>
      <c r="M22" s="255">
        <v>16.3</v>
      </c>
      <c r="N22" s="263">
        <v>32.9</v>
      </c>
      <c r="O22" s="334">
        <f t="shared" si="0"/>
        <v>1502.3</v>
      </c>
      <c r="P22" s="264">
        <f t="shared" si="1"/>
        <v>125.2</v>
      </c>
    </row>
    <row r="23" spans="2:16" ht="22.5" customHeight="1">
      <c r="B23" s="262">
        <v>2011</v>
      </c>
      <c r="C23" s="255">
        <v>11.1</v>
      </c>
      <c r="D23" s="255">
        <v>37.5</v>
      </c>
      <c r="E23" s="255">
        <v>18</v>
      </c>
      <c r="F23" s="255">
        <v>72.099999999999994</v>
      </c>
      <c r="G23" s="255">
        <v>115.3</v>
      </c>
      <c r="H23" s="255">
        <v>318</v>
      </c>
      <c r="I23" s="255">
        <v>723.1</v>
      </c>
      <c r="J23" s="255">
        <v>289.39999999999998</v>
      </c>
      <c r="K23" s="255">
        <v>70.8</v>
      </c>
      <c r="L23" s="255">
        <v>13.9</v>
      </c>
      <c r="M23" s="255">
        <v>61.3</v>
      </c>
      <c r="N23" s="263">
        <v>12.5</v>
      </c>
      <c r="O23" s="334">
        <f t="shared" si="0"/>
        <v>1743</v>
      </c>
      <c r="P23" s="264">
        <f t="shared" si="1"/>
        <v>145.30000000000001</v>
      </c>
    </row>
    <row r="24" spans="2:16" ht="22.5" customHeight="1">
      <c r="B24" s="262">
        <v>2012</v>
      </c>
      <c r="C24" s="255">
        <v>24.2</v>
      </c>
      <c r="D24" s="255">
        <v>9.1999999999999993</v>
      </c>
      <c r="E24" s="255">
        <v>45</v>
      </c>
      <c r="F24" s="255">
        <v>68.900000000000006</v>
      </c>
      <c r="G24" s="255">
        <v>14.6</v>
      </c>
      <c r="H24" s="255">
        <v>76.8</v>
      </c>
      <c r="I24" s="255">
        <v>231.1</v>
      </c>
      <c r="J24" s="255">
        <v>450.2</v>
      </c>
      <c r="K24" s="255">
        <v>207.7</v>
      </c>
      <c r="L24" s="255">
        <v>65</v>
      </c>
      <c r="M24" s="255">
        <v>61.1</v>
      </c>
      <c r="N24" s="263">
        <v>65.2</v>
      </c>
      <c r="O24" s="334">
        <f t="shared" si="0"/>
        <v>1319</v>
      </c>
      <c r="P24" s="264">
        <f t="shared" si="1"/>
        <v>109.9</v>
      </c>
    </row>
    <row r="25" spans="2:16" ht="22.5" customHeight="1">
      <c r="B25" s="262">
        <v>2013</v>
      </c>
      <c r="C25" s="255">
        <v>28.4</v>
      </c>
      <c r="D25" s="255">
        <v>40.700000000000003</v>
      </c>
      <c r="E25" s="255">
        <v>53.4</v>
      </c>
      <c r="F25" s="255">
        <v>68.2</v>
      </c>
      <c r="G25" s="255">
        <v>116.6</v>
      </c>
      <c r="H25" s="255">
        <v>159.9</v>
      </c>
      <c r="I25" s="255">
        <v>267.5</v>
      </c>
      <c r="J25" s="255">
        <v>214.6</v>
      </c>
      <c r="K25" s="255">
        <v>320</v>
      </c>
      <c r="L25" s="255">
        <v>10.9</v>
      </c>
      <c r="M25" s="255">
        <v>81.099999999999994</v>
      </c>
      <c r="N25" s="263">
        <v>26.4</v>
      </c>
      <c r="O25" s="334">
        <f t="shared" si="0"/>
        <v>1387.7</v>
      </c>
      <c r="P25" s="264">
        <f t="shared" si="1"/>
        <v>115.6</v>
      </c>
    </row>
    <row r="26" spans="2:16" ht="22.5" customHeight="1">
      <c r="B26" s="262">
        <v>2014</v>
      </c>
      <c r="C26" s="255">
        <v>3.4</v>
      </c>
      <c r="D26" s="255">
        <v>20.5</v>
      </c>
      <c r="E26" s="255">
        <v>56.3</v>
      </c>
      <c r="F26" s="255">
        <v>70</v>
      </c>
      <c r="G26" s="255">
        <v>47.1</v>
      </c>
      <c r="H26" s="255">
        <v>125.8</v>
      </c>
      <c r="I26" s="255">
        <v>104</v>
      </c>
      <c r="J26" s="255">
        <v>168.5</v>
      </c>
      <c r="K26" s="255">
        <v>152</v>
      </c>
      <c r="L26" s="255">
        <v>156</v>
      </c>
      <c r="M26" s="255">
        <v>39.9</v>
      </c>
      <c r="N26" s="263">
        <v>66.599999999999994</v>
      </c>
      <c r="O26" s="334">
        <f t="shared" si="0"/>
        <v>1010.1</v>
      </c>
      <c r="P26" s="264">
        <f t="shared" si="1"/>
        <v>84.2</v>
      </c>
    </row>
    <row r="27" spans="2:16" ht="22.5" customHeight="1">
      <c r="B27" s="262">
        <v>2015</v>
      </c>
      <c r="C27" s="255">
        <v>29.9</v>
      </c>
      <c r="D27" s="255">
        <v>23.4</v>
      </c>
      <c r="E27" s="255">
        <v>30.9</v>
      </c>
      <c r="F27" s="255">
        <v>129.69999999999999</v>
      </c>
      <c r="G27" s="255">
        <v>38.799999999999997</v>
      </c>
      <c r="H27" s="255">
        <v>83.9</v>
      </c>
      <c r="I27" s="255">
        <v>94.7</v>
      </c>
      <c r="J27" s="255">
        <v>30.2</v>
      </c>
      <c r="K27" s="255">
        <v>13.3</v>
      </c>
      <c r="L27" s="255">
        <v>90</v>
      </c>
      <c r="M27" s="255">
        <v>155.6</v>
      </c>
      <c r="N27" s="263">
        <v>65</v>
      </c>
      <c r="O27" s="334">
        <f t="shared" si="0"/>
        <v>785.4</v>
      </c>
      <c r="P27" s="264">
        <f t="shared" si="1"/>
        <v>65.5</v>
      </c>
    </row>
    <row r="28" spans="2:16" ht="22.5" customHeight="1">
      <c r="B28" s="262">
        <v>2016</v>
      </c>
      <c r="C28" s="255">
        <v>7.8</v>
      </c>
      <c r="D28" s="255">
        <v>54.2</v>
      </c>
      <c r="E28" s="255">
        <v>18.7</v>
      </c>
      <c r="F28" s="255">
        <v>105.1</v>
      </c>
      <c r="G28" s="255">
        <v>146.5</v>
      </c>
      <c r="H28" s="255">
        <v>23.7</v>
      </c>
      <c r="I28" s="255">
        <v>200.2</v>
      </c>
      <c r="J28" s="255">
        <v>5.0999999999999996</v>
      </c>
      <c r="K28" s="255">
        <v>73.400000000000006</v>
      </c>
      <c r="L28" s="255">
        <v>108</v>
      </c>
      <c r="M28" s="255">
        <v>5.6</v>
      </c>
      <c r="N28" s="263">
        <v>44.5</v>
      </c>
      <c r="O28" s="334">
        <f t="shared" si="0"/>
        <v>792.8</v>
      </c>
      <c r="P28" s="264">
        <f t="shared" si="1"/>
        <v>66.099999999999994</v>
      </c>
    </row>
    <row r="29" spans="2:16" ht="22.5" customHeight="1">
      <c r="B29" s="262">
        <v>2017</v>
      </c>
      <c r="C29" s="255">
        <v>14.8</v>
      </c>
      <c r="D29" s="255">
        <v>30.2</v>
      </c>
      <c r="E29" s="255">
        <v>14.4</v>
      </c>
      <c r="F29" s="255">
        <v>57.6</v>
      </c>
      <c r="G29" s="255">
        <v>58.9</v>
      </c>
      <c r="H29" s="255">
        <v>21.1</v>
      </c>
      <c r="I29" s="255">
        <v>278.10000000000002</v>
      </c>
      <c r="J29" s="255">
        <v>210</v>
      </c>
      <c r="K29" s="255">
        <v>90</v>
      </c>
      <c r="L29" s="255">
        <v>26.6</v>
      </c>
      <c r="M29" s="255">
        <v>15.9</v>
      </c>
      <c r="N29" s="263">
        <v>38.6</v>
      </c>
      <c r="O29" s="334">
        <f t="shared" si="0"/>
        <v>856.2</v>
      </c>
      <c r="P29" s="264">
        <f t="shared" si="1"/>
        <v>71.400000000000006</v>
      </c>
    </row>
    <row r="30" spans="2:16" ht="22.5" customHeight="1">
      <c r="B30" s="262">
        <v>2018</v>
      </c>
      <c r="C30" s="255">
        <v>15</v>
      </c>
      <c r="D30" s="255">
        <v>33.6</v>
      </c>
      <c r="E30" s="255">
        <v>92</v>
      </c>
      <c r="F30" s="255">
        <v>128.1</v>
      </c>
      <c r="G30" s="255">
        <v>104.5</v>
      </c>
      <c r="H30" s="255">
        <v>71</v>
      </c>
      <c r="I30" s="255">
        <v>262.7</v>
      </c>
      <c r="J30" s="255">
        <v>239.6</v>
      </c>
      <c r="K30" s="255">
        <v>158.19999999999999</v>
      </c>
      <c r="L30" s="255">
        <v>154.69999999999999</v>
      </c>
      <c r="M30" s="255">
        <v>46.7</v>
      </c>
      <c r="N30" s="263">
        <v>31.1</v>
      </c>
      <c r="O30" s="334">
        <f t="shared" si="0"/>
        <v>1337.2</v>
      </c>
      <c r="P30" s="264">
        <f t="shared" si="1"/>
        <v>111.4</v>
      </c>
    </row>
    <row r="31" spans="2:16" ht="22.5" customHeight="1">
      <c r="B31" s="262">
        <v>2019</v>
      </c>
      <c r="C31" s="255">
        <v>1.9</v>
      </c>
      <c r="D31" s="255">
        <v>17.8</v>
      </c>
      <c r="E31" s="255">
        <v>18.2</v>
      </c>
      <c r="F31" s="255">
        <v>71.900000000000006</v>
      </c>
      <c r="G31" s="255">
        <v>31.3</v>
      </c>
      <c r="H31" s="255">
        <v>56</v>
      </c>
      <c r="I31" s="255">
        <v>149</v>
      </c>
      <c r="J31" s="255">
        <v>131.30000000000001</v>
      </c>
      <c r="K31" s="255">
        <v>118.7</v>
      </c>
      <c r="L31" s="255">
        <v>63.9</v>
      </c>
      <c r="M31" s="255">
        <v>130.6</v>
      </c>
      <c r="N31" s="263">
        <v>31.3</v>
      </c>
      <c r="O31" s="334">
        <f t="shared" si="0"/>
        <v>821.9</v>
      </c>
      <c r="P31" s="264">
        <f t="shared" si="1"/>
        <v>68.5</v>
      </c>
    </row>
    <row r="32" spans="2:16" ht="22.5" customHeight="1">
      <c r="B32" s="262">
        <v>2020</v>
      </c>
      <c r="C32" s="255">
        <v>49.4</v>
      </c>
      <c r="D32" s="255">
        <v>75.3</v>
      </c>
      <c r="E32" s="255">
        <v>22.8</v>
      </c>
      <c r="F32" s="255">
        <v>16.5</v>
      </c>
      <c r="G32" s="255">
        <v>92.4</v>
      </c>
      <c r="H32" s="255">
        <v>139.69999999999999</v>
      </c>
      <c r="I32" s="255">
        <v>345.9</v>
      </c>
      <c r="J32" s="255">
        <v>321.5</v>
      </c>
      <c r="K32" s="255">
        <v>177.1</v>
      </c>
      <c r="L32" s="255">
        <v>16.2</v>
      </c>
      <c r="M32" s="255">
        <v>35.4</v>
      </c>
      <c r="N32" s="263">
        <v>9.6999999999999993</v>
      </c>
      <c r="O32" s="334">
        <f t="shared" si="0"/>
        <v>1301.9000000000001</v>
      </c>
      <c r="P32" s="264">
        <f t="shared" si="1"/>
        <v>108.5</v>
      </c>
    </row>
    <row r="33" spans="2:16" ht="22.5" customHeight="1">
      <c r="B33" s="262">
        <v>2021</v>
      </c>
      <c r="C33" s="255">
        <v>32</v>
      </c>
      <c r="D33" s="255">
        <v>18.7</v>
      </c>
      <c r="E33" s="255">
        <v>76.099999999999994</v>
      </c>
      <c r="F33" s="255">
        <v>43.4</v>
      </c>
      <c r="G33" s="255">
        <v>110</v>
      </c>
      <c r="H33" s="255">
        <v>55</v>
      </c>
      <c r="I33" s="255">
        <v>131.30000000000001</v>
      </c>
      <c r="J33" s="255">
        <v>253.7</v>
      </c>
      <c r="K33" s="255">
        <v>215.9</v>
      </c>
      <c r="L33" s="255">
        <v>39.6</v>
      </c>
      <c r="M33" s="255">
        <v>117.8</v>
      </c>
      <c r="N33" s="263">
        <v>14.4</v>
      </c>
      <c r="O33" s="334">
        <f t="shared" si="0"/>
        <v>1107.9000000000001</v>
      </c>
      <c r="P33" s="264">
        <f t="shared" si="1"/>
        <v>92.3</v>
      </c>
    </row>
    <row r="34" spans="2:16" ht="22.5" customHeight="1" thickBot="1">
      <c r="B34" s="265">
        <v>2022</v>
      </c>
      <c r="C34" s="266">
        <v>8.4</v>
      </c>
      <c r="D34" s="266">
        <v>5.3</v>
      </c>
      <c r="E34" s="266">
        <v>60.9</v>
      </c>
      <c r="F34" s="266">
        <v>34.799999999999997</v>
      </c>
      <c r="G34" s="266">
        <v>5.7</v>
      </c>
      <c r="H34" s="266">
        <v>225</v>
      </c>
      <c r="I34" s="266">
        <v>119.9</v>
      </c>
      <c r="J34" s="266">
        <v>637.1</v>
      </c>
      <c r="K34" s="266">
        <v>102</v>
      </c>
      <c r="L34" s="266">
        <v>112</v>
      </c>
      <c r="M34" s="266">
        <v>23.3</v>
      </c>
      <c r="N34" s="267">
        <v>14</v>
      </c>
      <c r="O34" s="335">
        <f t="shared" si="0"/>
        <v>1348.4</v>
      </c>
      <c r="P34" s="268">
        <f t="shared" si="1"/>
        <v>112.4</v>
      </c>
    </row>
    <row r="35" spans="2:16" ht="22.5" customHeight="1">
      <c r="B35" s="269" t="s">
        <v>36</v>
      </c>
      <c r="C35" s="270">
        <f>MAX(C5:C34)</f>
        <v>73.3</v>
      </c>
      <c r="D35" s="270">
        <f t="shared" ref="D35:N35" si="2">MAX(D5:D34)</f>
        <v>75.3</v>
      </c>
      <c r="E35" s="270">
        <f t="shared" si="2"/>
        <v>104.5</v>
      </c>
      <c r="F35" s="270">
        <f t="shared" si="2"/>
        <v>169</v>
      </c>
      <c r="G35" s="270">
        <f t="shared" si="2"/>
        <v>203</v>
      </c>
      <c r="H35" s="270">
        <f t="shared" si="2"/>
        <v>318</v>
      </c>
      <c r="I35" s="270">
        <f t="shared" si="2"/>
        <v>723.1</v>
      </c>
      <c r="J35" s="270">
        <f t="shared" si="2"/>
        <v>996.5</v>
      </c>
      <c r="K35" s="270">
        <f t="shared" si="2"/>
        <v>384</v>
      </c>
      <c r="L35" s="270">
        <f t="shared" si="2"/>
        <v>169</v>
      </c>
      <c r="M35" s="270">
        <f t="shared" si="2"/>
        <v>193.5</v>
      </c>
      <c r="N35" s="271">
        <f t="shared" si="2"/>
        <v>66.599999999999994</v>
      </c>
      <c r="O35" s="336">
        <f t="shared" ref="O35" si="3">MAX(O5:O34)</f>
        <v>1743</v>
      </c>
      <c r="P35" s="271">
        <f>MAX(P5:P34)</f>
        <v>145.30000000000001</v>
      </c>
    </row>
    <row r="36" spans="2:16" ht="22.5" customHeight="1">
      <c r="B36" s="272" t="s">
        <v>37</v>
      </c>
      <c r="C36" s="273">
        <f>ROUND(MIN(C5:C34),1)</f>
        <v>1.9</v>
      </c>
      <c r="D36" s="273">
        <f t="shared" ref="D36:N36" si="4">ROUND(MIN(D5:D34),1)</f>
        <v>3.2</v>
      </c>
      <c r="E36" s="273">
        <f t="shared" si="4"/>
        <v>7</v>
      </c>
      <c r="F36" s="273">
        <f t="shared" si="4"/>
        <v>16.5</v>
      </c>
      <c r="G36" s="273">
        <f t="shared" si="4"/>
        <v>5.7</v>
      </c>
      <c r="H36" s="273">
        <f t="shared" si="4"/>
        <v>21.1</v>
      </c>
      <c r="I36" s="273">
        <f t="shared" si="4"/>
        <v>94.7</v>
      </c>
      <c r="J36" s="273">
        <f t="shared" si="4"/>
        <v>5.0999999999999996</v>
      </c>
      <c r="K36" s="273">
        <f t="shared" si="4"/>
        <v>10</v>
      </c>
      <c r="L36" s="273">
        <f t="shared" si="4"/>
        <v>4</v>
      </c>
      <c r="M36" s="273">
        <f t="shared" si="4"/>
        <v>5.6</v>
      </c>
      <c r="N36" s="274">
        <f t="shared" si="4"/>
        <v>3.8</v>
      </c>
      <c r="O36" s="287">
        <f>ROUND(MIN(O5:O34),1)</f>
        <v>785.4</v>
      </c>
      <c r="P36" s="275">
        <f>ROUND(MIN(P5:P34),1)</f>
        <v>65.5</v>
      </c>
    </row>
    <row r="37" spans="2:16" ht="22.5" customHeight="1" thickBot="1">
      <c r="B37" s="276" t="s">
        <v>46</v>
      </c>
      <c r="C37" s="277">
        <f>ROUND(AVERAGE(C5:C34),1)</f>
        <v>23.2</v>
      </c>
      <c r="D37" s="277">
        <f t="shared" ref="D37:N37" si="5">ROUND(AVERAGE(D5:D34),1)</f>
        <v>29.1</v>
      </c>
      <c r="E37" s="277">
        <f t="shared" si="5"/>
        <v>43.5</v>
      </c>
      <c r="F37" s="277">
        <f t="shared" si="5"/>
        <v>70.5</v>
      </c>
      <c r="G37" s="277">
        <f t="shared" si="5"/>
        <v>85.8</v>
      </c>
      <c r="H37" s="277">
        <f t="shared" si="5"/>
        <v>136.80000000000001</v>
      </c>
      <c r="I37" s="277">
        <f t="shared" si="5"/>
        <v>244.7</v>
      </c>
      <c r="J37" s="277">
        <f t="shared" si="5"/>
        <v>281.60000000000002</v>
      </c>
      <c r="K37" s="277">
        <f t="shared" si="5"/>
        <v>132.9</v>
      </c>
      <c r="L37" s="277">
        <f t="shared" si="5"/>
        <v>63.2</v>
      </c>
      <c r="M37" s="277">
        <f t="shared" si="5"/>
        <v>54.8</v>
      </c>
      <c r="N37" s="278">
        <f t="shared" si="5"/>
        <v>32.200000000000003</v>
      </c>
      <c r="O37" s="291">
        <f>ROUND(AVERAGE(O5:O34),1)</f>
        <v>1198.3</v>
      </c>
      <c r="P37" s="279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81" t="s">
        <v>41</v>
      </c>
      <c r="C40" s="282" t="s">
        <v>31</v>
      </c>
      <c r="D40" s="282" t="s">
        <v>32</v>
      </c>
      <c r="E40" s="282" t="s">
        <v>33</v>
      </c>
      <c r="F40" s="282" t="s">
        <v>34</v>
      </c>
      <c r="G40" s="282" t="s">
        <v>35</v>
      </c>
      <c r="H40" s="282" t="s">
        <v>12</v>
      </c>
      <c r="I40" s="282" t="s">
        <v>13</v>
      </c>
      <c r="J40" s="282" t="s">
        <v>14</v>
      </c>
      <c r="K40" s="282" t="s">
        <v>15</v>
      </c>
      <c r="L40" s="282" t="s">
        <v>16</v>
      </c>
      <c r="M40" s="282" t="s">
        <v>17</v>
      </c>
      <c r="N40" s="283" t="s">
        <v>18</v>
      </c>
      <c r="O40" s="284" t="s">
        <v>44</v>
      </c>
      <c r="P40" s="283" t="s">
        <v>30</v>
      </c>
    </row>
    <row r="41" spans="2:16" ht="22.5" customHeight="1">
      <c r="B41" s="285">
        <f>B25</f>
        <v>2013</v>
      </c>
      <c r="C41" s="280">
        <f t="shared" ref="C41:N41" si="6">C25</f>
        <v>28.4</v>
      </c>
      <c r="D41" s="280">
        <f t="shared" si="6"/>
        <v>40.700000000000003</v>
      </c>
      <c r="E41" s="280">
        <f t="shared" si="6"/>
        <v>53.4</v>
      </c>
      <c r="F41" s="280">
        <f t="shared" si="6"/>
        <v>68.2</v>
      </c>
      <c r="G41" s="280">
        <f t="shared" si="6"/>
        <v>116.6</v>
      </c>
      <c r="H41" s="280">
        <f t="shared" si="6"/>
        <v>159.9</v>
      </c>
      <c r="I41" s="280">
        <f t="shared" si="6"/>
        <v>267.5</v>
      </c>
      <c r="J41" s="280">
        <f t="shared" si="6"/>
        <v>214.6</v>
      </c>
      <c r="K41" s="280">
        <f t="shared" si="6"/>
        <v>320</v>
      </c>
      <c r="L41" s="280">
        <f t="shared" si="6"/>
        <v>10.9</v>
      </c>
      <c r="M41" s="280">
        <f t="shared" si="6"/>
        <v>81.099999999999994</v>
      </c>
      <c r="N41" s="286">
        <f t="shared" si="6"/>
        <v>26.4</v>
      </c>
      <c r="O41" s="287">
        <f>ROUND(SUM(C41:N41),1)</f>
        <v>1387.7</v>
      </c>
      <c r="P41" s="275">
        <f>ROUND(O41/12,1)</f>
        <v>115.6</v>
      </c>
    </row>
    <row r="42" spans="2:16" ht="22.5" customHeight="1">
      <c r="B42" s="285">
        <f t="shared" ref="B42:N42" si="7">B26</f>
        <v>2014</v>
      </c>
      <c r="C42" s="280">
        <f t="shared" si="7"/>
        <v>3.4</v>
      </c>
      <c r="D42" s="280">
        <f t="shared" si="7"/>
        <v>20.5</v>
      </c>
      <c r="E42" s="280">
        <f t="shared" si="7"/>
        <v>56.3</v>
      </c>
      <c r="F42" s="280">
        <f t="shared" si="7"/>
        <v>70</v>
      </c>
      <c r="G42" s="280">
        <f t="shared" si="7"/>
        <v>47.1</v>
      </c>
      <c r="H42" s="280">
        <f t="shared" si="7"/>
        <v>125.8</v>
      </c>
      <c r="I42" s="280">
        <f t="shared" si="7"/>
        <v>104</v>
      </c>
      <c r="J42" s="280">
        <f t="shared" si="7"/>
        <v>168.5</v>
      </c>
      <c r="K42" s="280">
        <f t="shared" si="7"/>
        <v>152</v>
      </c>
      <c r="L42" s="280">
        <f t="shared" si="7"/>
        <v>156</v>
      </c>
      <c r="M42" s="280">
        <f t="shared" si="7"/>
        <v>39.9</v>
      </c>
      <c r="N42" s="286">
        <f t="shared" si="7"/>
        <v>66.599999999999994</v>
      </c>
      <c r="O42" s="287">
        <f t="shared" ref="O42:O50" si="8">ROUND(SUM(C42:N42),1)</f>
        <v>1010.1</v>
      </c>
      <c r="P42" s="275">
        <f t="shared" ref="P42:P50" si="9">ROUND(O42/12,1)</f>
        <v>84.2</v>
      </c>
    </row>
    <row r="43" spans="2:16" ht="22.5" customHeight="1">
      <c r="B43" s="285">
        <f t="shared" ref="B43:N43" si="10">B27</f>
        <v>2015</v>
      </c>
      <c r="C43" s="280">
        <f t="shared" si="10"/>
        <v>29.9</v>
      </c>
      <c r="D43" s="280">
        <f t="shared" si="10"/>
        <v>23.4</v>
      </c>
      <c r="E43" s="280">
        <f t="shared" si="10"/>
        <v>30.9</v>
      </c>
      <c r="F43" s="280">
        <f t="shared" si="10"/>
        <v>129.69999999999999</v>
      </c>
      <c r="G43" s="280">
        <f t="shared" si="10"/>
        <v>38.799999999999997</v>
      </c>
      <c r="H43" s="280">
        <f t="shared" si="10"/>
        <v>83.9</v>
      </c>
      <c r="I43" s="280">
        <f t="shared" si="10"/>
        <v>94.7</v>
      </c>
      <c r="J43" s="280">
        <f t="shared" si="10"/>
        <v>30.2</v>
      </c>
      <c r="K43" s="280">
        <f t="shared" si="10"/>
        <v>13.3</v>
      </c>
      <c r="L43" s="280">
        <f t="shared" si="10"/>
        <v>90</v>
      </c>
      <c r="M43" s="280">
        <f t="shared" si="10"/>
        <v>155.6</v>
      </c>
      <c r="N43" s="286">
        <f t="shared" si="10"/>
        <v>65</v>
      </c>
      <c r="O43" s="287">
        <f t="shared" si="8"/>
        <v>785.4</v>
      </c>
      <c r="P43" s="275">
        <f t="shared" si="9"/>
        <v>65.5</v>
      </c>
    </row>
    <row r="44" spans="2:16" ht="22.5" customHeight="1">
      <c r="B44" s="285">
        <f t="shared" ref="B44:N44" si="11">B28</f>
        <v>2016</v>
      </c>
      <c r="C44" s="280">
        <f t="shared" si="11"/>
        <v>7.8</v>
      </c>
      <c r="D44" s="280">
        <f t="shared" si="11"/>
        <v>54.2</v>
      </c>
      <c r="E44" s="280">
        <f t="shared" si="11"/>
        <v>18.7</v>
      </c>
      <c r="F44" s="280">
        <f t="shared" si="11"/>
        <v>105.1</v>
      </c>
      <c r="G44" s="280">
        <f t="shared" si="11"/>
        <v>146.5</v>
      </c>
      <c r="H44" s="280">
        <f t="shared" si="11"/>
        <v>23.7</v>
      </c>
      <c r="I44" s="280">
        <f t="shared" si="11"/>
        <v>200.2</v>
      </c>
      <c r="J44" s="280">
        <f t="shared" si="11"/>
        <v>5.0999999999999996</v>
      </c>
      <c r="K44" s="280">
        <f t="shared" si="11"/>
        <v>73.400000000000006</v>
      </c>
      <c r="L44" s="280">
        <f t="shared" si="11"/>
        <v>108</v>
      </c>
      <c r="M44" s="280">
        <f t="shared" si="11"/>
        <v>5.6</v>
      </c>
      <c r="N44" s="286">
        <f t="shared" si="11"/>
        <v>44.5</v>
      </c>
      <c r="O44" s="287">
        <f t="shared" si="8"/>
        <v>792.8</v>
      </c>
      <c r="P44" s="275">
        <f t="shared" si="9"/>
        <v>66.099999999999994</v>
      </c>
    </row>
    <row r="45" spans="2:16" ht="22.5" customHeight="1">
      <c r="B45" s="285">
        <f t="shared" ref="B45:N45" si="12">B29</f>
        <v>2017</v>
      </c>
      <c r="C45" s="280">
        <f t="shared" si="12"/>
        <v>14.8</v>
      </c>
      <c r="D45" s="280">
        <f t="shared" si="12"/>
        <v>30.2</v>
      </c>
      <c r="E45" s="280">
        <f t="shared" si="12"/>
        <v>14.4</v>
      </c>
      <c r="F45" s="280">
        <f t="shared" si="12"/>
        <v>57.6</v>
      </c>
      <c r="G45" s="280">
        <f t="shared" si="12"/>
        <v>58.9</v>
      </c>
      <c r="H45" s="280">
        <f t="shared" si="12"/>
        <v>21.1</v>
      </c>
      <c r="I45" s="280">
        <f t="shared" si="12"/>
        <v>278.10000000000002</v>
      </c>
      <c r="J45" s="280">
        <f t="shared" si="12"/>
        <v>210</v>
      </c>
      <c r="K45" s="280">
        <f t="shared" si="12"/>
        <v>90</v>
      </c>
      <c r="L45" s="280">
        <f t="shared" si="12"/>
        <v>26.6</v>
      </c>
      <c r="M45" s="280">
        <f t="shared" si="12"/>
        <v>15.9</v>
      </c>
      <c r="N45" s="286">
        <f t="shared" si="12"/>
        <v>38.6</v>
      </c>
      <c r="O45" s="287">
        <f t="shared" si="8"/>
        <v>856.2</v>
      </c>
      <c r="P45" s="275">
        <f t="shared" si="9"/>
        <v>71.400000000000006</v>
      </c>
    </row>
    <row r="46" spans="2:16" ht="22.5" customHeight="1">
      <c r="B46" s="285">
        <f t="shared" ref="B46:N46" si="13">B30</f>
        <v>2018</v>
      </c>
      <c r="C46" s="280">
        <f t="shared" si="13"/>
        <v>15</v>
      </c>
      <c r="D46" s="280">
        <f t="shared" si="13"/>
        <v>33.6</v>
      </c>
      <c r="E46" s="280">
        <f t="shared" si="13"/>
        <v>92</v>
      </c>
      <c r="F46" s="280">
        <f t="shared" si="13"/>
        <v>128.1</v>
      </c>
      <c r="G46" s="280">
        <f t="shared" si="13"/>
        <v>104.5</v>
      </c>
      <c r="H46" s="280">
        <f t="shared" si="13"/>
        <v>71</v>
      </c>
      <c r="I46" s="280">
        <f t="shared" si="13"/>
        <v>262.7</v>
      </c>
      <c r="J46" s="280">
        <f t="shared" si="13"/>
        <v>239.6</v>
      </c>
      <c r="K46" s="280">
        <f t="shared" si="13"/>
        <v>158.19999999999999</v>
      </c>
      <c r="L46" s="280">
        <f t="shared" si="13"/>
        <v>154.69999999999999</v>
      </c>
      <c r="M46" s="280">
        <f t="shared" si="13"/>
        <v>46.7</v>
      </c>
      <c r="N46" s="286">
        <f t="shared" si="13"/>
        <v>31.1</v>
      </c>
      <c r="O46" s="287">
        <f t="shared" si="8"/>
        <v>1337.2</v>
      </c>
      <c r="P46" s="275">
        <f t="shared" si="9"/>
        <v>111.4</v>
      </c>
    </row>
    <row r="47" spans="2:16" ht="22.5" customHeight="1">
      <c r="B47" s="285">
        <f t="shared" ref="B47:N47" si="14">B31</f>
        <v>2019</v>
      </c>
      <c r="C47" s="280">
        <f t="shared" si="14"/>
        <v>1.9</v>
      </c>
      <c r="D47" s="280">
        <f t="shared" si="14"/>
        <v>17.8</v>
      </c>
      <c r="E47" s="280">
        <f t="shared" si="14"/>
        <v>18.2</v>
      </c>
      <c r="F47" s="280">
        <f t="shared" si="14"/>
        <v>71.900000000000006</v>
      </c>
      <c r="G47" s="280">
        <f t="shared" si="14"/>
        <v>31.3</v>
      </c>
      <c r="H47" s="280">
        <f t="shared" si="14"/>
        <v>56</v>
      </c>
      <c r="I47" s="280">
        <f t="shared" si="14"/>
        <v>149</v>
      </c>
      <c r="J47" s="280">
        <f t="shared" si="14"/>
        <v>131.30000000000001</v>
      </c>
      <c r="K47" s="280">
        <f t="shared" si="14"/>
        <v>118.7</v>
      </c>
      <c r="L47" s="280">
        <f t="shared" si="14"/>
        <v>63.9</v>
      </c>
      <c r="M47" s="280">
        <f t="shared" si="14"/>
        <v>130.6</v>
      </c>
      <c r="N47" s="286">
        <f t="shared" si="14"/>
        <v>31.3</v>
      </c>
      <c r="O47" s="287">
        <f t="shared" si="8"/>
        <v>821.9</v>
      </c>
      <c r="P47" s="275">
        <f t="shared" si="9"/>
        <v>68.5</v>
      </c>
    </row>
    <row r="48" spans="2:16" ht="22.5" customHeight="1">
      <c r="B48" s="285">
        <f t="shared" ref="B48:N48" si="15">B32</f>
        <v>2020</v>
      </c>
      <c r="C48" s="280">
        <f t="shared" si="15"/>
        <v>49.4</v>
      </c>
      <c r="D48" s="280">
        <f t="shared" si="15"/>
        <v>75.3</v>
      </c>
      <c r="E48" s="280">
        <f t="shared" si="15"/>
        <v>22.8</v>
      </c>
      <c r="F48" s="280">
        <f t="shared" si="15"/>
        <v>16.5</v>
      </c>
      <c r="G48" s="280">
        <f t="shared" si="15"/>
        <v>92.4</v>
      </c>
      <c r="H48" s="280">
        <f t="shared" si="15"/>
        <v>139.69999999999999</v>
      </c>
      <c r="I48" s="280">
        <f t="shared" si="15"/>
        <v>345.9</v>
      </c>
      <c r="J48" s="280">
        <f t="shared" si="15"/>
        <v>321.5</v>
      </c>
      <c r="K48" s="280">
        <f t="shared" si="15"/>
        <v>177.1</v>
      </c>
      <c r="L48" s="280">
        <f t="shared" si="15"/>
        <v>16.2</v>
      </c>
      <c r="M48" s="280">
        <f t="shared" si="15"/>
        <v>35.4</v>
      </c>
      <c r="N48" s="286">
        <f t="shared" si="15"/>
        <v>9.6999999999999993</v>
      </c>
      <c r="O48" s="287">
        <f t="shared" si="8"/>
        <v>1301.9000000000001</v>
      </c>
      <c r="P48" s="275">
        <f t="shared" si="9"/>
        <v>108.5</v>
      </c>
    </row>
    <row r="49" spans="2:16" ht="22.5" customHeight="1">
      <c r="B49" s="285">
        <f t="shared" ref="B49:N49" si="16">B33</f>
        <v>2021</v>
      </c>
      <c r="C49" s="280">
        <f t="shared" si="16"/>
        <v>32</v>
      </c>
      <c r="D49" s="280">
        <f t="shared" si="16"/>
        <v>18.7</v>
      </c>
      <c r="E49" s="280">
        <f t="shared" si="16"/>
        <v>76.099999999999994</v>
      </c>
      <c r="F49" s="280">
        <f t="shared" si="16"/>
        <v>43.4</v>
      </c>
      <c r="G49" s="280">
        <f t="shared" si="16"/>
        <v>110</v>
      </c>
      <c r="H49" s="280">
        <f t="shared" si="16"/>
        <v>55</v>
      </c>
      <c r="I49" s="280">
        <f t="shared" si="16"/>
        <v>131.30000000000001</v>
      </c>
      <c r="J49" s="280">
        <f t="shared" si="16"/>
        <v>253.7</v>
      </c>
      <c r="K49" s="280">
        <f t="shared" si="16"/>
        <v>215.9</v>
      </c>
      <c r="L49" s="280">
        <f t="shared" si="16"/>
        <v>39.6</v>
      </c>
      <c r="M49" s="280">
        <f t="shared" si="16"/>
        <v>117.8</v>
      </c>
      <c r="N49" s="286">
        <f t="shared" si="16"/>
        <v>14.4</v>
      </c>
      <c r="O49" s="287">
        <f t="shared" si="8"/>
        <v>1107.9000000000001</v>
      </c>
      <c r="P49" s="275">
        <f t="shared" si="9"/>
        <v>92.3</v>
      </c>
    </row>
    <row r="50" spans="2:16" ht="22.5" customHeight="1" thickBot="1">
      <c r="B50" s="288">
        <f t="shared" ref="B50:N50" si="17">B34</f>
        <v>2022</v>
      </c>
      <c r="C50" s="289">
        <f t="shared" si="17"/>
        <v>8.4</v>
      </c>
      <c r="D50" s="289">
        <f t="shared" si="17"/>
        <v>5.3</v>
      </c>
      <c r="E50" s="289">
        <f>E34</f>
        <v>60.9</v>
      </c>
      <c r="F50" s="289">
        <f t="shared" si="17"/>
        <v>34.799999999999997</v>
      </c>
      <c r="G50" s="289">
        <f t="shared" si="17"/>
        <v>5.7</v>
      </c>
      <c r="H50" s="289">
        <f t="shared" si="17"/>
        <v>225</v>
      </c>
      <c r="I50" s="289">
        <f t="shared" si="17"/>
        <v>119.9</v>
      </c>
      <c r="J50" s="289">
        <f t="shared" si="17"/>
        <v>637.1</v>
      </c>
      <c r="K50" s="289">
        <f t="shared" si="17"/>
        <v>102</v>
      </c>
      <c r="L50" s="289">
        <f t="shared" si="17"/>
        <v>112</v>
      </c>
      <c r="M50" s="289">
        <f t="shared" si="17"/>
        <v>23.3</v>
      </c>
      <c r="N50" s="290">
        <f t="shared" si="17"/>
        <v>14</v>
      </c>
      <c r="O50" s="291">
        <f t="shared" si="8"/>
        <v>1348.4</v>
      </c>
      <c r="P50" s="279">
        <f t="shared" si="9"/>
        <v>112.4</v>
      </c>
    </row>
    <row r="51" spans="2:16" ht="22.5" customHeight="1">
      <c r="B51" s="292" t="s">
        <v>47</v>
      </c>
      <c r="C51" s="293">
        <f>MAX(C41:C50)</f>
        <v>49.4</v>
      </c>
      <c r="D51" s="293">
        <f t="shared" ref="D51:P51" si="18">MAX(D41:D50)</f>
        <v>75.3</v>
      </c>
      <c r="E51" s="293">
        <f t="shared" si="18"/>
        <v>92</v>
      </c>
      <c r="F51" s="293">
        <f t="shared" si="18"/>
        <v>129.69999999999999</v>
      </c>
      <c r="G51" s="293">
        <f t="shared" si="18"/>
        <v>146.5</v>
      </c>
      <c r="H51" s="293">
        <f t="shared" si="18"/>
        <v>225</v>
      </c>
      <c r="I51" s="293">
        <f t="shared" si="18"/>
        <v>345.9</v>
      </c>
      <c r="J51" s="293">
        <f t="shared" si="18"/>
        <v>637.1</v>
      </c>
      <c r="K51" s="293">
        <f t="shared" si="18"/>
        <v>320</v>
      </c>
      <c r="L51" s="293">
        <f t="shared" si="18"/>
        <v>156</v>
      </c>
      <c r="M51" s="293">
        <f t="shared" si="18"/>
        <v>155.6</v>
      </c>
      <c r="N51" s="294">
        <f t="shared" si="18"/>
        <v>66.599999999999994</v>
      </c>
      <c r="O51" s="295">
        <f t="shared" si="18"/>
        <v>1387.7</v>
      </c>
      <c r="P51" s="296">
        <f t="shared" si="18"/>
        <v>115.6</v>
      </c>
    </row>
    <row r="52" spans="2:16" ht="22.5" customHeight="1">
      <c r="B52" s="297" t="s">
        <v>48</v>
      </c>
      <c r="C52" s="298">
        <f>MIN(C41:C50)</f>
        <v>1.9</v>
      </c>
      <c r="D52" s="298">
        <f t="shared" ref="D52:P52" si="19">MIN(D41:D50)</f>
        <v>5.3</v>
      </c>
      <c r="E52" s="298">
        <f t="shared" si="19"/>
        <v>14.4</v>
      </c>
      <c r="F52" s="298">
        <f t="shared" si="19"/>
        <v>16.5</v>
      </c>
      <c r="G52" s="298">
        <f t="shared" si="19"/>
        <v>5.7</v>
      </c>
      <c r="H52" s="298">
        <f t="shared" si="19"/>
        <v>21.1</v>
      </c>
      <c r="I52" s="298">
        <f t="shared" si="19"/>
        <v>94.7</v>
      </c>
      <c r="J52" s="298">
        <f t="shared" si="19"/>
        <v>5.0999999999999996</v>
      </c>
      <c r="K52" s="298">
        <f t="shared" si="19"/>
        <v>13.3</v>
      </c>
      <c r="L52" s="298">
        <f t="shared" si="19"/>
        <v>10.9</v>
      </c>
      <c r="M52" s="298">
        <f t="shared" si="19"/>
        <v>5.6</v>
      </c>
      <c r="N52" s="299">
        <f t="shared" si="19"/>
        <v>9.6999999999999993</v>
      </c>
      <c r="O52" s="287">
        <f>MIN(O41:O50)</f>
        <v>785.4</v>
      </c>
      <c r="P52" s="275">
        <f t="shared" si="19"/>
        <v>65.5</v>
      </c>
    </row>
    <row r="53" spans="2:16" ht="22.5" customHeight="1" thickBot="1">
      <c r="B53" s="300" t="s">
        <v>30</v>
      </c>
      <c r="C53" s="301">
        <f>ROUND(AVERAGE(C41:C50),1)</f>
        <v>19.100000000000001</v>
      </c>
      <c r="D53" s="301">
        <f t="shared" ref="D53:N53" si="20">ROUND(AVERAGE(D41:D50),1)</f>
        <v>32</v>
      </c>
      <c r="E53" s="301">
        <f t="shared" si="20"/>
        <v>44.4</v>
      </c>
      <c r="F53" s="301">
        <f t="shared" si="20"/>
        <v>72.5</v>
      </c>
      <c r="G53" s="301">
        <f t="shared" si="20"/>
        <v>75.2</v>
      </c>
      <c r="H53" s="301">
        <f t="shared" si="20"/>
        <v>96.1</v>
      </c>
      <c r="I53" s="301">
        <f t="shared" si="20"/>
        <v>195.3</v>
      </c>
      <c r="J53" s="301">
        <f t="shared" si="20"/>
        <v>221.2</v>
      </c>
      <c r="K53" s="301">
        <f t="shared" si="20"/>
        <v>142.1</v>
      </c>
      <c r="L53" s="301">
        <f t="shared" si="20"/>
        <v>77.8</v>
      </c>
      <c r="M53" s="301">
        <f t="shared" si="20"/>
        <v>65.2</v>
      </c>
      <c r="N53" s="302">
        <f t="shared" si="20"/>
        <v>34.200000000000003</v>
      </c>
      <c r="O53" s="291">
        <f>ROUND(AVERAGE(O41:O50),1)</f>
        <v>1075</v>
      </c>
      <c r="P53" s="279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19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M23" sqref="M23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3" customFormat="1">
      <c r="B23" s="170">
        <f>All!B25</f>
        <v>2013</v>
      </c>
      <c r="C23" s="164">
        <f>All!C25</f>
        <v>28.4</v>
      </c>
      <c r="D23" s="164">
        <f>All!D25</f>
        <v>40.700000000000003</v>
      </c>
      <c r="E23" s="164">
        <f>All!E25</f>
        <v>53.4</v>
      </c>
      <c r="F23" s="164">
        <f>All!F25</f>
        <v>68.2</v>
      </c>
      <c r="G23" s="164">
        <f>All!G25</f>
        <v>116.6</v>
      </c>
      <c r="H23" s="164">
        <f>All!H25</f>
        <v>159.9</v>
      </c>
      <c r="I23" s="164">
        <f>All!I25</f>
        <v>267.5</v>
      </c>
      <c r="J23" s="164">
        <f>All!J25</f>
        <v>214.6</v>
      </c>
      <c r="K23" s="164">
        <f>All!K25</f>
        <v>320</v>
      </c>
      <c r="L23" s="164">
        <f>All!L25</f>
        <v>10.9</v>
      </c>
      <c r="M23" s="164">
        <f>All!M25</f>
        <v>81.099999999999994</v>
      </c>
      <c r="N23" s="164">
        <f>All!N25</f>
        <v>26.4</v>
      </c>
      <c r="O23" s="164">
        <f>All!O25</f>
        <v>1387.7</v>
      </c>
      <c r="P23" s="171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181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2" t="s">
        <v>180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164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53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8" t="s">
        <v>182</v>
      </c>
      <c r="C51" s="169" t="s">
        <v>164</v>
      </c>
    </row>
    <row r="52" spans="2:3">
      <c r="B52" s="165">
        <f>B3</f>
        <v>1993</v>
      </c>
      <c r="C52" s="166">
        <f>O3</f>
        <v>1162.0999999999999</v>
      </c>
    </row>
    <row r="53" spans="2:3">
      <c r="B53" s="165">
        <f t="shared" ref="B53:B81" si="3">B4</f>
        <v>1994</v>
      </c>
      <c r="C53" s="166">
        <f t="shared" ref="C53:C81" si="4">O4</f>
        <v>1269</v>
      </c>
    </row>
    <row r="54" spans="2:3">
      <c r="B54" s="165">
        <f t="shared" si="3"/>
        <v>1995</v>
      </c>
      <c r="C54" s="166">
        <f t="shared" si="4"/>
        <v>1459.5</v>
      </c>
    </row>
    <row r="55" spans="2:3">
      <c r="B55" s="165">
        <f t="shared" si="3"/>
        <v>1996</v>
      </c>
      <c r="C55" s="166">
        <f t="shared" si="4"/>
        <v>899.6</v>
      </c>
    </row>
    <row r="56" spans="2:3">
      <c r="B56" s="165">
        <f t="shared" si="3"/>
        <v>1997</v>
      </c>
      <c r="C56" s="166">
        <f t="shared" si="4"/>
        <v>1442.3</v>
      </c>
    </row>
    <row r="57" spans="2:3">
      <c r="B57" s="165">
        <f t="shared" si="3"/>
        <v>1998</v>
      </c>
      <c r="C57" s="166">
        <f t="shared" si="4"/>
        <v>1397.2</v>
      </c>
    </row>
    <row r="58" spans="2:3">
      <c r="B58" s="165">
        <f t="shared" si="3"/>
        <v>1999</v>
      </c>
      <c r="C58" s="166">
        <f t="shared" si="4"/>
        <v>1284.0999999999999</v>
      </c>
    </row>
    <row r="59" spans="2:3">
      <c r="B59" s="165">
        <f t="shared" si="3"/>
        <v>2000</v>
      </c>
      <c r="C59" s="166">
        <f t="shared" si="4"/>
        <v>1515.4</v>
      </c>
    </row>
    <row r="60" spans="2:3">
      <c r="B60" s="165">
        <f t="shared" si="3"/>
        <v>2001</v>
      </c>
      <c r="C60" s="166">
        <f t="shared" si="4"/>
        <v>903.7</v>
      </c>
    </row>
    <row r="61" spans="2:3">
      <c r="B61" s="165">
        <f t="shared" si="3"/>
        <v>2002</v>
      </c>
      <c r="C61" s="166">
        <f t="shared" si="4"/>
        <v>1453.2</v>
      </c>
    </row>
    <row r="62" spans="2:3">
      <c r="B62" s="165">
        <f t="shared" si="3"/>
        <v>2003</v>
      </c>
      <c r="C62" s="166">
        <f t="shared" si="4"/>
        <v>1343.7</v>
      </c>
    </row>
    <row r="63" spans="2:3">
      <c r="B63" s="165">
        <f t="shared" si="3"/>
        <v>2004</v>
      </c>
      <c r="C63" s="166">
        <f t="shared" si="4"/>
        <v>1216.2</v>
      </c>
    </row>
    <row r="64" spans="2:3">
      <c r="B64" s="165">
        <f t="shared" si="3"/>
        <v>2005</v>
      </c>
      <c r="C64" s="166">
        <f t="shared" si="4"/>
        <v>1266.5</v>
      </c>
    </row>
    <row r="65" spans="2:3">
      <c r="B65" s="165">
        <f t="shared" si="3"/>
        <v>2006</v>
      </c>
      <c r="C65" s="166">
        <f t="shared" si="4"/>
        <v>831.4</v>
      </c>
    </row>
    <row r="66" spans="2:3">
      <c r="B66" s="165">
        <f t="shared" si="3"/>
        <v>2007</v>
      </c>
      <c r="C66" s="166">
        <f t="shared" si="4"/>
        <v>1295.8</v>
      </c>
    </row>
    <row r="67" spans="2:3">
      <c r="B67" s="165">
        <f t="shared" si="3"/>
        <v>2008</v>
      </c>
      <c r="C67" s="166">
        <f t="shared" si="4"/>
        <v>813.5</v>
      </c>
    </row>
    <row r="68" spans="2:3">
      <c r="B68" s="165">
        <f t="shared" si="3"/>
        <v>2009</v>
      </c>
      <c r="C68" s="166">
        <f t="shared" si="4"/>
        <v>1081.4000000000001</v>
      </c>
    </row>
    <row r="69" spans="2:3">
      <c r="B69" s="165">
        <f t="shared" si="3"/>
        <v>2010</v>
      </c>
      <c r="C69" s="166">
        <f t="shared" si="4"/>
        <v>1502.3</v>
      </c>
    </row>
    <row r="70" spans="2:3">
      <c r="B70" s="165">
        <f t="shared" si="3"/>
        <v>2011</v>
      </c>
      <c r="C70" s="166">
        <f t="shared" si="4"/>
        <v>1743</v>
      </c>
    </row>
    <row r="71" spans="2:3">
      <c r="B71" s="165">
        <f t="shared" si="3"/>
        <v>2012</v>
      </c>
      <c r="C71" s="166">
        <f t="shared" si="4"/>
        <v>1319</v>
      </c>
    </row>
    <row r="72" spans="2:3">
      <c r="B72" s="165">
        <f t="shared" si="3"/>
        <v>2013</v>
      </c>
      <c r="C72" s="166">
        <f t="shared" si="4"/>
        <v>1387.7</v>
      </c>
    </row>
    <row r="73" spans="2:3">
      <c r="B73" s="165">
        <f t="shared" si="3"/>
        <v>2014</v>
      </c>
      <c r="C73" s="166">
        <f t="shared" si="4"/>
        <v>1010.1</v>
      </c>
    </row>
    <row r="74" spans="2:3">
      <c r="B74" s="165">
        <f t="shared" si="3"/>
        <v>2015</v>
      </c>
      <c r="C74" s="166">
        <f t="shared" si="4"/>
        <v>785.4</v>
      </c>
    </row>
    <row r="75" spans="2:3">
      <c r="B75" s="165">
        <f t="shared" si="3"/>
        <v>2016</v>
      </c>
      <c r="C75" s="166">
        <f t="shared" si="4"/>
        <v>792.8</v>
      </c>
    </row>
    <row r="76" spans="2:3">
      <c r="B76" s="165">
        <f t="shared" si="3"/>
        <v>2017</v>
      </c>
      <c r="C76" s="166">
        <f t="shared" si="4"/>
        <v>856.2</v>
      </c>
    </row>
    <row r="77" spans="2:3">
      <c r="B77" s="165">
        <f t="shared" si="3"/>
        <v>2018</v>
      </c>
      <c r="C77" s="166">
        <f t="shared" si="4"/>
        <v>1337.2</v>
      </c>
    </row>
    <row r="78" spans="2:3">
      <c r="B78" s="165">
        <f>B29</f>
        <v>2019</v>
      </c>
      <c r="C78" s="166">
        <f t="shared" si="4"/>
        <v>821.9</v>
      </c>
    </row>
    <row r="79" spans="2:3">
      <c r="B79" s="165">
        <f t="shared" si="3"/>
        <v>2020</v>
      </c>
      <c r="C79" s="166">
        <f t="shared" si="4"/>
        <v>1301.9000000000001</v>
      </c>
    </row>
    <row r="80" spans="2:3">
      <c r="B80" s="165">
        <f t="shared" si="3"/>
        <v>2021</v>
      </c>
      <c r="C80" s="166">
        <f t="shared" si="4"/>
        <v>1107.9000000000001</v>
      </c>
    </row>
    <row r="81" spans="2:3">
      <c r="B81" s="165">
        <f t="shared" si="3"/>
        <v>2022</v>
      </c>
      <c r="C81" s="166">
        <f t="shared" si="4"/>
        <v>1348.4</v>
      </c>
    </row>
    <row r="82" spans="2:3" ht="17.25" thickBot="1">
      <c r="B82" s="98" t="str">
        <f>B34</f>
        <v>30년평균</v>
      </c>
      <c r="C82" s="167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49"/>
  <sheetViews>
    <sheetView topLeftCell="A4" zoomScaleNormal="100" workbookViewId="0">
      <selection activeCell="M23" sqref="M23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170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9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2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9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2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5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4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52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7">
        <f>All!O53</f>
        <v>1075</v>
      </c>
      <c r="P17" s="173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40" t="s">
        <v>24</v>
      </c>
      <c r="C20" s="237"/>
      <c r="D20" s="241">
        <f>SUM(G17:K17)</f>
        <v>729.9</v>
      </c>
      <c r="F20" s="123"/>
    </row>
    <row r="21" spans="1:16">
      <c r="B21" s="242" t="s">
        <v>171</v>
      </c>
      <c r="D21" s="243">
        <f>O17</f>
        <v>1075</v>
      </c>
    </row>
    <row r="22" spans="1:16" ht="17.25" thickBot="1">
      <c r="B22" s="238"/>
      <c r="C22" s="239"/>
      <c r="D22" s="244">
        <f>D20/D21</f>
        <v>0.67897674418604648</v>
      </c>
    </row>
    <row r="23" spans="1:16" ht="33.75" customHeight="1" thickBot="1">
      <c r="C23" s="246" t="s">
        <v>194</v>
      </c>
      <c r="D23" s="246" t="s">
        <v>195</v>
      </c>
      <c r="E23" s="246" t="s">
        <v>196</v>
      </c>
    </row>
    <row r="24" spans="1:16" ht="21.95" customHeight="1" thickBot="1">
      <c r="B24" s="227" t="s">
        <v>97</v>
      </c>
      <c r="C24" s="230">
        <f>O16</f>
        <v>785.4</v>
      </c>
      <c r="D24" s="217"/>
      <c r="E24" s="207"/>
      <c r="H24" s="215" t="s">
        <v>191</v>
      </c>
      <c r="I24" s="413" t="s">
        <v>242</v>
      </c>
      <c r="J24" s="414"/>
      <c r="K24" s="361">
        <f>INDEX(Location[recharge], MATCH(I24,Location[name],0))</f>
        <v>0.17499999999999999</v>
      </c>
      <c r="L24" s="362">
        <f>INDEX(Location[ratio], MATCH(I24,Location[name],0))</f>
        <v>0.67</v>
      </c>
    </row>
    <row r="25" spans="1:16" ht="21.95" customHeight="1" thickBot="1">
      <c r="B25" s="210" t="s">
        <v>25</v>
      </c>
      <c r="C25" s="229">
        <f>O18</f>
        <v>1198.3</v>
      </c>
      <c r="D25" s="218"/>
      <c r="E25" s="209"/>
      <c r="H25" s="215" t="s">
        <v>192</v>
      </c>
      <c r="I25" s="415" t="s">
        <v>210</v>
      </c>
      <c r="J25" s="416"/>
      <c r="K25" s="363">
        <f>INDEX(Location[recharge], MATCH(I25,Location[name],0))</f>
        <v>0.128</v>
      </c>
      <c r="L25" s="364">
        <f>INDEX(Location[ratio], MATCH(I25,Location[name],0))</f>
        <v>0.64</v>
      </c>
    </row>
    <row r="26" spans="1:16" ht="21.95" customHeight="1">
      <c r="B26" s="208" t="s">
        <v>169</v>
      </c>
      <c r="C26" s="225">
        <f>L24</f>
        <v>0.67</v>
      </c>
      <c r="D26" s="224">
        <f>L25</f>
        <v>0.64</v>
      </c>
      <c r="E26" s="223">
        <f>L26</f>
        <v>0.66849999999999998</v>
      </c>
      <c r="H26" s="215" t="s">
        <v>193</v>
      </c>
      <c r="I26" s="417" t="s">
        <v>211</v>
      </c>
      <c r="J26" s="418"/>
      <c r="K26" s="365">
        <f>INDEX(Location[recharge], MATCH(I26,Location[name],0))</f>
        <v>0.17299999999999999</v>
      </c>
      <c r="L26" s="366">
        <f>INDEX(Location[ratio], MATCH(I26,Location[name],0))</f>
        <v>0.66849999999999998</v>
      </c>
    </row>
    <row r="27" spans="1:16" ht="21.95" customHeight="1">
      <c r="B27" s="210" t="s">
        <v>26</v>
      </c>
      <c r="C27" s="219">
        <f>Well!P4</f>
        <v>8602111</v>
      </c>
      <c r="D27" s="218"/>
      <c r="E27" s="216"/>
    </row>
    <row r="28" spans="1:16" ht="21.95" customHeight="1" thickBot="1">
      <c r="B28" s="226" t="s">
        <v>27</v>
      </c>
      <c r="C28" s="220">
        <f>K24</f>
        <v>0.17499999999999999</v>
      </c>
      <c r="D28" s="221">
        <f>K25</f>
        <v>0.128</v>
      </c>
      <c r="E28" s="222">
        <f>K26</f>
        <v>0.17299999999999999</v>
      </c>
    </row>
    <row r="29" spans="1:16" ht="17.25" thickBot="1">
      <c r="E29" s="124"/>
    </row>
    <row r="30" spans="1:16" ht="22.15" customHeight="1" thickBot="1">
      <c r="B30" s="206" t="s">
        <v>172</v>
      </c>
      <c r="C30" s="235">
        <f>max*rf_1/10</f>
        <v>20.97025</v>
      </c>
      <c r="D30" s="235">
        <f>max*rf_2/10</f>
        <v>15.338239999999999</v>
      </c>
      <c r="E30" s="236">
        <f>max*rf_3/10</f>
        <v>20.730589999999999</v>
      </c>
    </row>
    <row r="31" spans="1:16" ht="22.15" customHeight="1">
      <c r="E31" s="124"/>
    </row>
    <row r="32" spans="1:16" ht="17.25" customHeight="1">
      <c r="A32" s="79" t="s">
        <v>173</v>
      </c>
      <c r="B32"/>
      <c r="C32"/>
      <c r="D32"/>
    </row>
    <row r="33" spans="1:6" ht="17.25" customHeight="1">
      <c r="A33" s="79" t="s">
        <v>174</v>
      </c>
    </row>
    <row r="34" spans="1:6" ht="17.25" customHeight="1">
      <c r="C34"/>
      <c r="D34"/>
    </row>
    <row r="35" spans="1:6" ht="17.25" customHeight="1"/>
    <row r="36" spans="1:6" ht="17.25" thickBot="1"/>
    <row r="37" spans="1:6" ht="17.25">
      <c r="A37" s="419" t="s">
        <v>246</v>
      </c>
      <c r="B37" s="420"/>
      <c r="C37" s="237"/>
      <c r="D37" s="367"/>
    </row>
    <row r="38" spans="1:6" ht="18" thickBot="1">
      <c r="A38" s="368"/>
      <c r="B38" s="369" t="s">
        <v>256</v>
      </c>
      <c r="C38" s="369" t="s">
        <v>257</v>
      </c>
      <c r="D38" s="370" t="s">
        <v>258</v>
      </c>
    </row>
    <row r="39" spans="1:6" ht="17.25">
      <c r="A39" s="395" t="s">
        <v>247</v>
      </c>
      <c r="B39" s="371">
        <v>100</v>
      </c>
      <c r="C39" s="372">
        <v>120</v>
      </c>
      <c r="D39" s="373">
        <v>110</v>
      </c>
    </row>
    <row r="40" spans="1:6" ht="17.25">
      <c r="A40" s="396" t="s">
        <v>248</v>
      </c>
      <c r="B40" s="374">
        <v>200</v>
      </c>
      <c r="C40" s="375">
        <v>200</v>
      </c>
      <c r="D40" s="376">
        <v>500</v>
      </c>
    </row>
    <row r="41" spans="1:6" ht="17.25">
      <c r="A41" s="396" t="s">
        <v>249</v>
      </c>
      <c r="B41" s="377">
        <v>80</v>
      </c>
      <c r="C41" s="378">
        <v>80</v>
      </c>
      <c r="D41" s="379">
        <v>70</v>
      </c>
    </row>
    <row r="42" spans="1:6" ht="17.25">
      <c r="A42" s="397" t="s">
        <v>250</v>
      </c>
      <c r="B42" s="380">
        <f>ROUND(B41/10,1)</f>
        <v>8</v>
      </c>
      <c r="C42" s="381">
        <f>ROUND(C41/10,1)</f>
        <v>8</v>
      </c>
      <c r="D42" s="382">
        <f>ROUND(D41/10,1)</f>
        <v>7</v>
      </c>
    </row>
    <row r="43" spans="1:6" ht="17.25">
      <c r="A43" s="397" t="s">
        <v>251</v>
      </c>
      <c r="B43" s="383">
        <f>B41+B42</f>
        <v>88</v>
      </c>
      <c r="C43" s="384">
        <f>C41+C42</f>
        <v>88</v>
      </c>
      <c r="D43" s="385">
        <f>D41+D42</f>
        <v>77</v>
      </c>
    </row>
    <row r="44" spans="1:6" ht="17.25">
      <c r="A44" s="397" t="s">
        <v>252</v>
      </c>
      <c r="B44" s="386">
        <v>0.47</v>
      </c>
      <c r="C44" s="387">
        <v>0.47</v>
      </c>
      <c r="D44" s="388">
        <v>0.53500000000000003</v>
      </c>
    </row>
    <row r="45" spans="1:6" ht="17.25">
      <c r="A45" s="397"/>
      <c r="B45" s="380"/>
      <c r="C45" s="381"/>
      <c r="D45" s="382"/>
    </row>
    <row r="46" spans="1:6" ht="17.25">
      <c r="A46" s="397" t="s">
        <v>253</v>
      </c>
      <c r="B46" s="380">
        <f>ROUND((B40*B43)/(6572.5*B44),4)</f>
        <v>5.6974999999999998</v>
      </c>
      <c r="C46" s="381">
        <f>ROUND((C40*C43)/(6572.5*C44),4)</f>
        <v>5.6974999999999998</v>
      </c>
      <c r="D46" s="382">
        <f>ROUND((D40*D43)/(6572.5*D44),4)</f>
        <v>10.949</v>
      </c>
    </row>
    <row r="47" spans="1:6" ht="21" thickBot="1">
      <c r="A47" s="398"/>
      <c r="B47" s="389">
        <f>ROUNDUP(B46,0)</f>
        <v>6</v>
      </c>
      <c r="C47" s="390">
        <f>ROUNDUP(C46,0)</f>
        <v>6</v>
      </c>
      <c r="D47" s="391">
        <f>ROUNDUP(D46,0)</f>
        <v>11</v>
      </c>
    </row>
    <row r="48" spans="1:6" ht="17.25">
      <c r="A48" s="395" t="s">
        <v>254</v>
      </c>
      <c r="B48" s="371">
        <v>5</v>
      </c>
      <c r="C48" s="372">
        <v>7.5</v>
      </c>
      <c r="D48" s="373">
        <v>10</v>
      </c>
    </row>
    <row r="49" spans="1:4" ht="18" thickBot="1">
      <c r="A49" s="398" t="s">
        <v>255</v>
      </c>
      <c r="B49" s="392">
        <f>ROUND((B48*B44*6572.5)/B43,1)</f>
        <v>175.5</v>
      </c>
      <c r="C49" s="393">
        <f>ROUND((C48*C44*6572.5)/C43,1)</f>
        <v>263.3</v>
      </c>
      <c r="D49" s="394">
        <f>ROUND((D48*D44*6572.5)/D43,1)</f>
        <v>456.7</v>
      </c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CE20905D-F7EA-4F3E-9F66-DEEF286CF453}">
      <formula1>DaeGweonYeok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154</v>
      </c>
      <c r="B2" s="53" t="s">
        <v>150</v>
      </c>
      <c r="D2" s="52" t="s">
        <v>153</v>
      </c>
      <c r="E2" s="54" t="s">
        <v>151</v>
      </c>
      <c r="G2" s="52" t="s">
        <v>152</v>
      </c>
    </row>
    <row r="3" spans="1:11">
      <c r="A3" s="43" t="s">
        <v>126</v>
      </c>
      <c r="I3"/>
      <c r="J3"/>
      <c r="K3"/>
    </row>
    <row r="4" spans="1:11" s="48" customFormat="1">
      <c r="A4" s="47" t="s">
        <v>137</v>
      </c>
      <c r="B4" s="55">
        <v>2</v>
      </c>
      <c r="D4" s="47" t="s">
        <v>139</v>
      </c>
      <c r="E4" s="59">
        <v>10</v>
      </c>
      <c r="G4" s="47" t="s">
        <v>155</v>
      </c>
      <c r="H4" s="63">
        <v>1</v>
      </c>
      <c r="I4"/>
      <c r="J4"/>
      <c r="K4"/>
    </row>
    <row r="5" spans="1:11">
      <c r="A5" s="45" t="s">
        <v>128</v>
      </c>
      <c r="B5" s="56">
        <v>3</v>
      </c>
      <c r="D5" s="45" t="s">
        <v>140</v>
      </c>
      <c r="E5" s="60">
        <v>10</v>
      </c>
      <c r="G5" s="45" t="s">
        <v>156</v>
      </c>
      <c r="H5" s="64">
        <v>3</v>
      </c>
      <c r="I5"/>
      <c r="J5"/>
      <c r="K5"/>
    </row>
    <row r="6" spans="1:11" s="48" customFormat="1">
      <c r="A6" s="49" t="s">
        <v>129</v>
      </c>
      <c r="B6" s="57">
        <v>4</v>
      </c>
      <c r="D6" s="49" t="s">
        <v>141</v>
      </c>
      <c r="E6" s="61">
        <v>9</v>
      </c>
      <c r="G6" s="49" t="s">
        <v>127</v>
      </c>
      <c r="H6" s="65">
        <v>3</v>
      </c>
      <c r="I6"/>
      <c r="J6"/>
      <c r="K6"/>
    </row>
    <row r="7" spans="1:11">
      <c r="A7" s="45" t="s">
        <v>130</v>
      </c>
      <c r="B7" s="56">
        <v>5</v>
      </c>
      <c r="D7" s="45" t="s">
        <v>142</v>
      </c>
      <c r="E7" s="60">
        <v>8</v>
      </c>
      <c r="G7" s="45" t="s">
        <v>132</v>
      </c>
      <c r="H7" s="64">
        <v>6</v>
      </c>
    </row>
    <row r="8" spans="1:11" s="48" customFormat="1">
      <c r="A8" s="49" t="s">
        <v>131</v>
      </c>
      <c r="B8" s="57">
        <v>6</v>
      </c>
      <c r="D8" s="49" t="s">
        <v>143</v>
      </c>
      <c r="E8" s="61">
        <v>7</v>
      </c>
      <c r="G8" s="49" t="s">
        <v>157</v>
      </c>
      <c r="H8" s="65">
        <v>6</v>
      </c>
    </row>
    <row r="9" spans="1:11">
      <c r="A9" s="45" t="s">
        <v>138</v>
      </c>
      <c r="B9" s="56">
        <v>6</v>
      </c>
      <c r="D9" s="45" t="s">
        <v>144</v>
      </c>
      <c r="E9" s="60">
        <v>6</v>
      </c>
      <c r="G9" s="45" t="s">
        <v>158</v>
      </c>
      <c r="H9" s="64">
        <v>6</v>
      </c>
    </row>
    <row r="10" spans="1:11" s="48" customFormat="1">
      <c r="A10" s="49" t="s">
        <v>136</v>
      </c>
      <c r="B10" s="57">
        <v>6</v>
      </c>
      <c r="D10" s="49" t="s">
        <v>145</v>
      </c>
      <c r="E10" s="61">
        <v>5</v>
      </c>
      <c r="G10" s="49" t="s">
        <v>159</v>
      </c>
      <c r="H10" s="65">
        <v>6</v>
      </c>
    </row>
    <row r="11" spans="1:11">
      <c r="A11" s="45" t="s">
        <v>133</v>
      </c>
      <c r="B11" s="56">
        <v>8</v>
      </c>
      <c r="D11" s="45" t="s">
        <v>146</v>
      </c>
      <c r="E11" s="60">
        <v>4</v>
      </c>
      <c r="G11" s="45" t="s">
        <v>128</v>
      </c>
      <c r="H11" s="64">
        <v>4</v>
      </c>
    </row>
    <row r="12" spans="1:11" s="48" customFormat="1">
      <c r="A12" s="49" t="s">
        <v>134</v>
      </c>
      <c r="B12" s="57">
        <v>9</v>
      </c>
      <c r="D12" s="49" t="s">
        <v>147</v>
      </c>
      <c r="E12" s="61">
        <v>3</v>
      </c>
      <c r="G12" s="49" t="s">
        <v>133</v>
      </c>
      <c r="H12" s="65">
        <v>8</v>
      </c>
    </row>
    <row r="13" spans="1:11">
      <c r="A13" s="46" t="s">
        <v>135</v>
      </c>
      <c r="B13" s="58">
        <v>10</v>
      </c>
      <c r="D13" s="45" t="s">
        <v>148</v>
      </c>
      <c r="E13" s="60">
        <v>2</v>
      </c>
      <c r="G13" s="45" t="s">
        <v>134</v>
      </c>
      <c r="H13" s="64">
        <v>9</v>
      </c>
    </row>
    <row r="14" spans="1:11" s="48" customFormat="1">
      <c r="B14" s="50"/>
      <c r="D14" s="51" t="s">
        <v>149</v>
      </c>
      <c r="E14" s="62">
        <v>1</v>
      </c>
      <c r="G14" s="51" t="s">
        <v>135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5"/>
  <sheetViews>
    <sheetView workbookViewId="0">
      <selection activeCell="K23" sqref="K23"/>
    </sheetView>
  </sheetViews>
  <sheetFormatPr defaultRowHeight="18" customHeight="1"/>
  <cols>
    <col min="1" max="1" width="21" style="231" customWidth="1"/>
    <col min="2" max="2" width="11.5546875" style="231" customWidth="1"/>
    <col min="3" max="3" width="13" style="231" customWidth="1"/>
    <col min="4" max="16384" width="8.88671875" style="232"/>
  </cols>
  <sheetData>
    <row r="1" spans="1:12" ht="18" customHeight="1">
      <c r="A1" s="231" t="s">
        <v>206</v>
      </c>
      <c r="B1" s="231" t="s">
        <v>207</v>
      </c>
      <c r="C1" s="231" t="s">
        <v>208</v>
      </c>
    </row>
    <row r="2" spans="1:12" ht="18" customHeight="1">
      <c r="A2" s="231" t="s">
        <v>205</v>
      </c>
      <c r="B2" s="233">
        <v>0.13600000000000001</v>
      </c>
      <c r="C2" s="233">
        <v>0.66</v>
      </c>
    </row>
    <row r="3" spans="1:12" ht="18" customHeight="1">
      <c r="A3" s="231" t="s">
        <v>197</v>
      </c>
      <c r="B3" s="233">
        <v>0.151</v>
      </c>
      <c r="C3" s="233">
        <v>0.65</v>
      </c>
    </row>
    <row r="4" spans="1:12" ht="18" customHeight="1">
      <c r="A4" s="231" t="s">
        <v>187</v>
      </c>
      <c r="B4" s="233">
        <v>0.16700000000000001</v>
      </c>
      <c r="C4" s="233">
        <v>0.65</v>
      </c>
      <c r="J4" s="232" t="s">
        <v>199</v>
      </c>
      <c r="K4" s="232">
        <f>INDEX(Location[recharge],MATCH(J4,Location[name],0))</f>
        <v>0.16600000000000001</v>
      </c>
      <c r="L4" s="232">
        <f>INDEX(Location[ratio], MATCH(J4,Location[name]))</f>
        <v>0.64</v>
      </c>
    </row>
    <row r="5" spans="1:12" ht="18" customHeight="1">
      <c r="A5" s="231" t="s">
        <v>188</v>
      </c>
      <c r="B5" s="233">
        <v>0.17299999999999999</v>
      </c>
      <c r="C5" s="233">
        <v>0.66849999999999998</v>
      </c>
    </row>
    <row r="6" spans="1:12" ht="18" customHeight="1">
      <c r="A6" s="231" t="s">
        <v>198</v>
      </c>
      <c r="B6" s="233">
        <v>0.16300000000000001</v>
      </c>
      <c r="C6" s="233">
        <v>0.67</v>
      </c>
    </row>
    <row r="7" spans="1:12" ht="18" customHeight="1">
      <c r="A7" s="231" t="s">
        <v>200</v>
      </c>
      <c r="B7" s="233">
        <v>0.16600000000000001</v>
      </c>
      <c r="C7" s="233">
        <v>0.64</v>
      </c>
      <c r="E7" s="232" t="s">
        <v>209</v>
      </c>
    </row>
    <row r="8" spans="1:12" ht="18" customHeight="1">
      <c r="A8" s="231" t="s">
        <v>201</v>
      </c>
      <c r="B8" s="233">
        <v>0.16600000000000001</v>
      </c>
      <c r="C8" s="233">
        <v>0.64</v>
      </c>
    </row>
    <row r="9" spans="1:12" ht="18" customHeight="1">
      <c r="A9" s="231" t="s">
        <v>189</v>
      </c>
      <c r="B9" s="233">
        <v>0.125</v>
      </c>
      <c r="C9" s="233">
        <v>0.67</v>
      </c>
    </row>
    <row r="10" spans="1:12" ht="18" customHeight="1">
      <c r="A10" s="231" t="s">
        <v>202</v>
      </c>
      <c r="B10" s="233">
        <v>0.127</v>
      </c>
      <c r="C10" s="233">
        <v>0.65</v>
      </c>
    </row>
    <row r="11" spans="1:12" ht="18" customHeight="1">
      <c r="A11" s="231" t="s">
        <v>203</v>
      </c>
      <c r="B11" s="233">
        <v>0.128</v>
      </c>
      <c r="C11" s="233">
        <v>0.64</v>
      </c>
    </row>
    <row r="12" spans="1:12" ht="18" customHeight="1">
      <c r="A12" s="231" t="s">
        <v>204</v>
      </c>
      <c r="B12" s="233">
        <v>0.17499999999999999</v>
      </c>
      <c r="C12" s="233">
        <v>0.67</v>
      </c>
    </row>
    <row r="13" spans="1:12" ht="18" customHeight="1">
      <c r="A13" s="231" t="s">
        <v>220</v>
      </c>
      <c r="B13" s="233">
        <v>0.13</v>
      </c>
      <c r="C13" s="233">
        <v>0.63</v>
      </c>
    </row>
    <row r="14" spans="1:12" ht="18" customHeight="1">
      <c r="A14" s="231" t="s">
        <v>221</v>
      </c>
      <c r="B14" s="233">
        <v>0.13400000000000001</v>
      </c>
      <c r="C14" s="233">
        <v>0.65</v>
      </c>
    </row>
    <row r="15" spans="1:12" ht="18" customHeight="1">
      <c r="A15" s="231" t="s">
        <v>222</v>
      </c>
      <c r="B15" s="233">
        <v>0.16500000000000001</v>
      </c>
      <c r="C15" s="233">
        <v>0.62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$A$2:$A$15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6"/>
  <sheetViews>
    <sheetView zoomScaleNormal="100" workbookViewId="0">
      <selection activeCell="M23" sqref="M23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7.77734375" style="156" customWidth="1"/>
    <col min="11" max="11" width="8.109375" style="37" customWidth="1"/>
    <col min="12" max="12" width="5.3320312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260</v>
      </c>
      <c r="J1" s="68"/>
    </row>
    <row r="2" spans="1:18" s="354" customFormat="1" ht="23.1" customHeight="1">
      <c r="A2" s="431" t="s">
        <v>0</v>
      </c>
      <c r="B2" s="421" t="s">
        <v>39</v>
      </c>
      <c r="C2" s="421" t="s">
        <v>6</v>
      </c>
      <c r="D2" s="421" t="s">
        <v>38</v>
      </c>
      <c r="E2" s="421" t="s">
        <v>213</v>
      </c>
      <c r="F2" s="421" t="s">
        <v>212</v>
      </c>
      <c r="G2" s="425" t="s">
        <v>1</v>
      </c>
      <c r="H2" s="425" t="s">
        <v>2</v>
      </c>
      <c r="I2" s="425" t="s">
        <v>177</v>
      </c>
      <c r="J2" s="429" t="s">
        <v>178</v>
      </c>
      <c r="K2" s="425" t="s">
        <v>179</v>
      </c>
      <c r="L2" s="425" t="s">
        <v>3</v>
      </c>
      <c r="M2" s="425" t="s">
        <v>4</v>
      </c>
      <c r="N2" s="425" t="s">
        <v>5</v>
      </c>
      <c r="O2" s="425" t="s">
        <v>100</v>
      </c>
      <c r="P2" s="427" t="s">
        <v>40</v>
      </c>
      <c r="Q2" s="421" t="s">
        <v>163</v>
      </c>
      <c r="R2" s="423" t="s">
        <v>94</v>
      </c>
    </row>
    <row r="3" spans="1:18" s="354" customFormat="1" ht="27" customHeight="1">
      <c r="A3" s="432"/>
      <c r="B3" s="422"/>
      <c r="C3" s="422"/>
      <c r="D3" s="422"/>
      <c r="E3" s="422"/>
      <c r="F3" s="422"/>
      <c r="G3" s="426"/>
      <c r="H3" s="426"/>
      <c r="I3" s="426"/>
      <c r="J3" s="430"/>
      <c r="K3" s="426"/>
      <c r="L3" s="426"/>
      <c r="M3" s="426"/>
      <c r="N3" s="426"/>
      <c r="O3" s="426"/>
      <c r="P3" s="428"/>
      <c r="Q3" s="422"/>
      <c r="R3" s="424"/>
    </row>
    <row r="4" spans="1:18" ht="23.1" customHeight="1">
      <c r="A4" s="405" t="s">
        <v>269</v>
      </c>
      <c r="B4" s="406" t="s">
        <v>243</v>
      </c>
      <c r="C4" s="408"/>
      <c r="D4" s="406" t="s">
        <v>261</v>
      </c>
      <c r="E4" s="406" t="s">
        <v>259</v>
      </c>
      <c r="F4" s="406" t="s">
        <v>244</v>
      </c>
      <c r="G4" s="406">
        <v>150</v>
      </c>
      <c r="H4" s="406">
        <v>100</v>
      </c>
      <c r="I4" s="406">
        <v>200</v>
      </c>
      <c r="J4" s="406">
        <v>220</v>
      </c>
      <c r="K4" s="406">
        <v>220</v>
      </c>
      <c r="L4" s="406">
        <v>5</v>
      </c>
      <c r="M4" s="406">
        <v>80</v>
      </c>
      <c r="N4" s="409">
        <v>40</v>
      </c>
      <c r="O4" s="410">
        <v>141.6</v>
      </c>
      <c r="P4" s="411">
        <v>8602111</v>
      </c>
      <c r="Q4" s="406"/>
      <c r="R4" s="407"/>
    </row>
    <row r="5" spans="1:18" ht="23.1" customHeight="1">
      <c r="A5" s="405" t="s">
        <v>270</v>
      </c>
      <c r="B5" s="406" t="s">
        <v>243</v>
      </c>
      <c r="C5" s="408"/>
      <c r="D5" s="406" t="s">
        <v>261</v>
      </c>
      <c r="E5" s="406" t="s">
        <v>259</v>
      </c>
      <c r="F5" s="406" t="s">
        <v>244</v>
      </c>
      <c r="G5" s="406">
        <v>150</v>
      </c>
      <c r="H5" s="406">
        <v>100</v>
      </c>
      <c r="I5" s="406">
        <v>200</v>
      </c>
      <c r="J5" s="406">
        <v>220</v>
      </c>
      <c r="K5" s="406">
        <v>220</v>
      </c>
      <c r="L5" s="406">
        <v>5</v>
      </c>
      <c r="M5" s="406">
        <v>80</v>
      </c>
      <c r="N5" s="409">
        <v>40</v>
      </c>
      <c r="O5" s="410">
        <v>141.6</v>
      </c>
      <c r="P5" s="411">
        <v>8602111</v>
      </c>
      <c r="Q5" s="406"/>
      <c r="R5" s="407"/>
    </row>
    <row r="6" spans="1:18" ht="23.1" customHeight="1">
      <c r="A6" s="405" t="s">
        <v>271</v>
      </c>
      <c r="B6" s="406" t="s">
        <v>243</v>
      </c>
      <c r="C6" s="408"/>
      <c r="D6" s="406" t="s">
        <v>261</v>
      </c>
      <c r="E6" s="406" t="s">
        <v>259</v>
      </c>
      <c r="F6" s="406" t="s">
        <v>244</v>
      </c>
      <c r="G6" s="406">
        <v>150</v>
      </c>
      <c r="H6" s="406">
        <v>100</v>
      </c>
      <c r="I6" s="406">
        <v>200</v>
      </c>
      <c r="J6" s="406">
        <v>220</v>
      </c>
      <c r="K6" s="406">
        <v>220</v>
      </c>
      <c r="L6" s="406">
        <v>5</v>
      </c>
      <c r="M6" s="406">
        <v>80</v>
      </c>
      <c r="N6" s="409">
        <v>40</v>
      </c>
      <c r="O6" s="410">
        <v>141.6</v>
      </c>
      <c r="P6" s="411">
        <v>8602111</v>
      </c>
      <c r="Q6" s="406"/>
      <c r="R6" s="407"/>
    </row>
    <row r="7" spans="1:18" ht="23.1" customHeight="1">
      <c r="A7" s="405" t="s">
        <v>272</v>
      </c>
      <c r="B7" s="406" t="s">
        <v>243</v>
      </c>
      <c r="C7" s="408"/>
      <c r="D7" s="406" t="s">
        <v>261</v>
      </c>
      <c r="E7" s="406" t="s">
        <v>259</v>
      </c>
      <c r="F7" s="406" t="s">
        <v>244</v>
      </c>
      <c r="G7" s="406">
        <v>150</v>
      </c>
      <c r="H7" s="406">
        <v>100</v>
      </c>
      <c r="I7" s="406">
        <v>200</v>
      </c>
      <c r="J7" s="406">
        <v>220</v>
      </c>
      <c r="K7" s="406">
        <v>220</v>
      </c>
      <c r="L7" s="406">
        <v>5</v>
      </c>
      <c r="M7" s="406">
        <v>80</v>
      </c>
      <c r="N7" s="409">
        <v>40</v>
      </c>
      <c r="O7" s="410">
        <v>141.6</v>
      </c>
      <c r="P7" s="411">
        <v>8602111</v>
      </c>
      <c r="Q7" s="406"/>
      <c r="R7" s="407"/>
    </row>
    <row r="8" spans="1:18" ht="23.1" customHeight="1">
      <c r="A8" s="405" t="s">
        <v>285</v>
      </c>
      <c r="B8" s="406" t="s">
        <v>243</v>
      </c>
      <c r="C8" s="408"/>
      <c r="D8" s="406" t="s">
        <v>261</v>
      </c>
      <c r="E8" s="406" t="s">
        <v>259</v>
      </c>
      <c r="F8" s="406" t="s">
        <v>244</v>
      </c>
      <c r="G8" s="406">
        <v>150</v>
      </c>
      <c r="H8" s="406">
        <v>100</v>
      </c>
      <c r="I8" s="406">
        <v>200</v>
      </c>
      <c r="J8" s="406">
        <v>220</v>
      </c>
      <c r="K8" s="406">
        <v>220</v>
      </c>
      <c r="L8" s="406">
        <v>5</v>
      </c>
      <c r="M8" s="406">
        <v>80</v>
      </c>
      <c r="N8" s="409">
        <v>40</v>
      </c>
      <c r="O8" s="410">
        <v>141.6</v>
      </c>
      <c r="P8" s="411">
        <v>8602111</v>
      </c>
      <c r="Q8" s="406"/>
      <c r="R8" s="407"/>
    </row>
    <row r="9" spans="1:18" ht="23.1" customHeight="1">
      <c r="A9" s="405" t="s">
        <v>286</v>
      </c>
      <c r="B9" s="406" t="s">
        <v>243</v>
      </c>
      <c r="C9" s="408"/>
      <c r="D9" s="406" t="s">
        <v>261</v>
      </c>
      <c r="E9" s="406" t="s">
        <v>259</v>
      </c>
      <c r="F9" s="406" t="s">
        <v>244</v>
      </c>
      <c r="G9" s="406">
        <v>150</v>
      </c>
      <c r="H9" s="406">
        <v>100</v>
      </c>
      <c r="I9" s="406">
        <v>200</v>
      </c>
      <c r="J9" s="406">
        <v>220</v>
      </c>
      <c r="K9" s="406">
        <v>220</v>
      </c>
      <c r="L9" s="406">
        <v>5</v>
      </c>
      <c r="M9" s="406">
        <v>80</v>
      </c>
      <c r="N9" s="409">
        <v>40</v>
      </c>
      <c r="O9" s="410">
        <v>141.6</v>
      </c>
      <c r="P9" s="411">
        <v>8602111</v>
      </c>
      <c r="Q9" s="406"/>
      <c r="R9" s="407"/>
    </row>
    <row r="10" spans="1:18" ht="23.1" customHeight="1">
      <c r="A10" s="405" t="s">
        <v>287</v>
      </c>
      <c r="B10" s="406" t="s">
        <v>243</v>
      </c>
      <c r="C10" s="408"/>
      <c r="D10" s="406" t="s">
        <v>261</v>
      </c>
      <c r="E10" s="406" t="s">
        <v>259</v>
      </c>
      <c r="F10" s="406" t="s">
        <v>244</v>
      </c>
      <c r="G10" s="406">
        <v>150</v>
      </c>
      <c r="H10" s="406">
        <v>100</v>
      </c>
      <c r="I10" s="406">
        <v>200</v>
      </c>
      <c r="J10" s="406">
        <v>220</v>
      </c>
      <c r="K10" s="406">
        <v>220</v>
      </c>
      <c r="L10" s="406">
        <v>5</v>
      </c>
      <c r="M10" s="406">
        <v>80</v>
      </c>
      <c r="N10" s="409">
        <v>40</v>
      </c>
      <c r="O10" s="410">
        <v>141.6</v>
      </c>
      <c r="P10" s="411">
        <v>8602111</v>
      </c>
      <c r="Q10" s="406"/>
      <c r="R10" s="407"/>
    </row>
    <row r="11" spans="1:18" ht="23.1" customHeight="1">
      <c r="A11" s="405" t="s">
        <v>288</v>
      </c>
      <c r="B11" s="406" t="s">
        <v>243</v>
      </c>
      <c r="C11" s="408"/>
      <c r="D11" s="406" t="s">
        <v>261</v>
      </c>
      <c r="E11" s="406" t="s">
        <v>259</v>
      </c>
      <c r="F11" s="406" t="s">
        <v>244</v>
      </c>
      <c r="G11" s="406">
        <v>150</v>
      </c>
      <c r="H11" s="406">
        <v>100</v>
      </c>
      <c r="I11" s="406">
        <v>200</v>
      </c>
      <c r="J11" s="406">
        <v>220</v>
      </c>
      <c r="K11" s="406">
        <v>220</v>
      </c>
      <c r="L11" s="406">
        <v>5</v>
      </c>
      <c r="M11" s="406">
        <v>80</v>
      </c>
      <c r="N11" s="409">
        <v>40</v>
      </c>
      <c r="O11" s="410">
        <v>141.6</v>
      </c>
      <c r="P11" s="411">
        <v>8602111</v>
      </c>
      <c r="Q11" s="406"/>
      <c r="R11" s="407"/>
    </row>
    <row r="12" spans="1:18" ht="23.1" customHeight="1">
      <c r="A12" s="405" t="s">
        <v>289</v>
      </c>
      <c r="B12" s="406" t="s">
        <v>243</v>
      </c>
      <c r="C12" s="408"/>
      <c r="D12" s="406" t="s">
        <v>261</v>
      </c>
      <c r="E12" s="406" t="s">
        <v>259</v>
      </c>
      <c r="F12" s="406" t="s">
        <v>244</v>
      </c>
      <c r="G12" s="406">
        <v>150</v>
      </c>
      <c r="H12" s="406">
        <v>100</v>
      </c>
      <c r="I12" s="406">
        <v>200</v>
      </c>
      <c r="J12" s="406">
        <v>220</v>
      </c>
      <c r="K12" s="406">
        <v>220</v>
      </c>
      <c r="L12" s="406">
        <v>5</v>
      </c>
      <c r="M12" s="406">
        <v>80</v>
      </c>
      <c r="N12" s="409">
        <v>40</v>
      </c>
      <c r="O12" s="410">
        <v>141.6</v>
      </c>
      <c r="P12" s="411">
        <v>8602111</v>
      </c>
      <c r="Q12" s="406"/>
      <c r="R12" s="407"/>
    </row>
    <row r="13" spans="1:18" ht="23.1" customHeight="1">
      <c r="A13" s="405" t="s">
        <v>290</v>
      </c>
      <c r="B13" s="406" t="s">
        <v>243</v>
      </c>
      <c r="C13" s="408"/>
      <c r="D13" s="406" t="s">
        <v>261</v>
      </c>
      <c r="E13" s="406" t="s">
        <v>259</v>
      </c>
      <c r="F13" s="406" t="s">
        <v>244</v>
      </c>
      <c r="G13" s="406">
        <v>150</v>
      </c>
      <c r="H13" s="406">
        <v>100</v>
      </c>
      <c r="I13" s="406">
        <v>200</v>
      </c>
      <c r="J13" s="406">
        <v>220</v>
      </c>
      <c r="K13" s="406">
        <v>220</v>
      </c>
      <c r="L13" s="406">
        <v>5</v>
      </c>
      <c r="M13" s="406">
        <v>80</v>
      </c>
      <c r="N13" s="409">
        <v>40</v>
      </c>
      <c r="O13" s="410">
        <v>141.6</v>
      </c>
      <c r="P13" s="411">
        <v>8602111</v>
      </c>
      <c r="Q13" s="406"/>
      <c r="R13" s="407"/>
    </row>
    <row r="14" spans="1:18" ht="23.1" customHeight="1" thickBot="1">
      <c r="A14" s="463" t="s">
        <v>293</v>
      </c>
      <c r="B14" s="464" t="s">
        <v>243</v>
      </c>
      <c r="C14" s="465"/>
      <c r="D14" s="464" t="s">
        <v>261</v>
      </c>
      <c r="E14" s="464" t="s">
        <v>259</v>
      </c>
      <c r="F14" s="464" t="s">
        <v>244</v>
      </c>
      <c r="G14" s="464">
        <v>150</v>
      </c>
      <c r="H14" s="464">
        <v>100</v>
      </c>
      <c r="I14" s="464">
        <v>200</v>
      </c>
      <c r="J14" s="464">
        <v>220</v>
      </c>
      <c r="K14" s="464">
        <v>220</v>
      </c>
      <c r="L14" s="464">
        <v>5</v>
      </c>
      <c r="M14" s="464">
        <v>80</v>
      </c>
      <c r="N14" s="466">
        <v>40</v>
      </c>
      <c r="O14" s="467">
        <v>141.6</v>
      </c>
      <c r="P14" s="468">
        <v>8602111</v>
      </c>
      <c r="Q14" s="464"/>
      <c r="R14" s="469"/>
    </row>
    <row r="15" spans="1:18" ht="23.25" customHeight="1">
      <c r="A15" s="234"/>
    </row>
    <row r="16" spans="1:18" ht="23.25" customHeight="1">
      <c r="I16" s="37">
        <f>SUM(I4:I15)</f>
        <v>2200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5" r:id="rId4" name="CommandButton5">
          <controlPr defaultSize="0" autoLine="0" r:id="rId5">
            <anchor moveWithCells="1">
              <from>
                <xdr:col>17</xdr:col>
                <xdr:colOff>38100</xdr:colOff>
                <xdr:row>0</xdr:row>
                <xdr:rowOff>381000</xdr:rowOff>
              </from>
              <to>
                <xdr:col>17</xdr:col>
                <xdr:colOff>1219200</xdr:colOff>
                <xdr:row>0</xdr:row>
                <xdr:rowOff>695325</xdr:rowOff>
              </to>
            </anchor>
          </controlPr>
        </control>
      </mc:Choice>
      <mc:Fallback>
        <control shapeId="99335" r:id="rId4" name="CommandButton5"/>
      </mc:Fallback>
    </mc:AlternateContent>
    <mc:AlternateContent xmlns:mc="http://schemas.openxmlformats.org/markup-compatibility/2006">
      <mc:Choice Requires="x14">
        <control shapeId="99334" r:id="rId6" name="SingleColor">
          <controlPr defaultSize="0" autoLine="0" r:id="rId7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6" name="SingleColor"/>
      </mc:Fallback>
    </mc:AlternateContent>
    <mc:AlternateContent xmlns:mc="http://schemas.openxmlformats.org/markup-compatibility/2006">
      <mc:Choice Requires="x14">
        <control shapeId="99332" r:id="rId8" name="CommandButton4">
          <controlPr defaultSize="0" autoLine="0" r:id="rId9">
            <anchor moveWithCells="1">
              <from>
                <xdr:col>16</xdr:col>
                <xdr:colOff>114300</xdr:colOff>
                <xdr:row>0</xdr:row>
                <xdr:rowOff>390525</xdr:rowOff>
              </from>
              <to>
                <xdr:col>16</xdr:col>
                <xdr:colOff>1295400</xdr:colOff>
                <xdr:row>0</xdr:row>
                <xdr:rowOff>704850</xdr:rowOff>
              </to>
            </anchor>
          </controlPr>
        </control>
      </mc:Choice>
      <mc:Fallback>
        <control shapeId="99332" r:id="rId8" name="CommandButton4"/>
      </mc:Fallback>
    </mc:AlternateContent>
    <mc:AlternateContent xmlns:mc="http://schemas.openxmlformats.org/markup-compatibility/2006">
      <mc:Choice Requires="x14">
        <control shapeId="99331" r:id="rId10" name="CommandButton3">
          <controlPr defaultSize="0" autoLine="0" r:id="rId11">
            <anchor moveWithCells="1">
              <from>
                <xdr:col>2</xdr:col>
                <xdr:colOff>104775</xdr:colOff>
                <xdr:row>0</xdr:row>
                <xdr:rowOff>390525</xdr:rowOff>
              </from>
              <to>
                <xdr:col>3</xdr:col>
                <xdr:colOff>1038225</xdr:colOff>
                <xdr:row>0</xdr:row>
                <xdr:rowOff>704850</xdr:rowOff>
              </to>
            </anchor>
          </controlPr>
        </control>
      </mc:Choice>
      <mc:Fallback>
        <control shapeId="99331" r:id="rId10" name="CommandButton3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autoPict="0" r:id="rId17">
            <anchor moveWithCells="1">
              <from>
                <xdr:col>3</xdr:col>
                <xdr:colOff>1114425</xdr:colOff>
                <xdr:row>0</xdr:row>
                <xdr:rowOff>390525</xdr:rowOff>
              </from>
              <to>
                <xdr:col>3</xdr:col>
                <xdr:colOff>1676400</xdr:colOff>
                <xdr:row>0</xdr:row>
                <xdr:rowOff>704850</xdr:rowOff>
              </to>
            </anchor>
          </controlPr>
        </control>
      </mc:Choice>
      <mc:Fallback>
        <control shapeId="99336" r:id="rId16" name="CommandButton6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11"/>
  <dimension ref="G1:S26"/>
  <sheetViews>
    <sheetView workbookViewId="0">
      <selection activeCell="H13" sqref="H13"/>
    </sheetView>
  </sheetViews>
  <sheetFormatPr defaultRowHeight="20.100000000000001" customHeight="1"/>
  <cols>
    <col min="7" max="7" width="9.77734375" style="304" customWidth="1"/>
    <col min="8" max="8" width="13" style="304" customWidth="1"/>
    <col min="9" max="9" width="11.21875" style="309" customWidth="1"/>
    <col min="10" max="10" width="13" style="304" customWidth="1"/>
    <col min="11" max="11" width="13.5546875" style="305" customWidth="1"/>
    <col min="12" max="12" width="4.109375" customWidth="1"/>
    <col min="16" max="16" width="8.33203125" customWidth="1"/>
    <col min="17" max="17" width="10" customWidth="1"/>
    <col min="18" max="18" width="13.44140625" customWidth="1"/>
    <col min="19" max="19" width="16.6640625" customWidth="1"/>
  </cols>
  <sheetData>
    <row r="1" spans="7:19" ht="20.100000000000001" customHeight="1" thickBot="1"/>
    <row r="2" spans="7:19" ht="20.100000000000001" customHeight="1" thickBot="1">
      <c r="G2" s="306" t="s">
        <v>219</v>
      </c>
      <c r="H2" s="306" t="s">
        <v>215</v>
      </c>
      <c r="I2" s="308" t="s">
        <v>216</v>
      </c>
      <c r="J2" s="306" t="s">
        <v>217</v>
      </c>
      <c r="K2" s="307" t="s">
        <v>218</v>
      </c>
      <c r="M2" s="312"/>
      <c r="N2" s="313" t="s">
        <v>223</v>
      </c>
      <c r="O2" s="314" t="s">
        <v>224</v>
      </c>
      <c r="Q2" s="323" t="s">
        <v>219</v>
      </c>
      <c r="R2" s="307" t="s">
        <v>227</v>
      </c>
      <c r="S2" s="307" t="s">
        <v>228</v>
      </c>
    </row>
    <row r="3" spans="7:19" ht="20.100000000000001" customHeight="1" thickBot="1">
      <c r="M3" s="315" t="s">
        <v>218</v>
      </c>
      <c r="N3" s="310"/>
      <c r="O3" s="316"/>
      <c r="Q3" s="310"/>
      <c r="R3" s="324"/>
      <c r="S3" s="324"/>
    </row>
    <row r="4" spans="7:19" ht="20.100000000000001" customHeight="1" thickBot="1">
      <c r="M4" s="315" t="s">
        <v>225</v>
      </c>
      <c r="N4" s="311"/>
      <c r="O4" s="317"/>
      <c r="Q4" s="310"/>
      <c r="R4" s="324"/>
      <c r="S4" s="324"/>
    </row>
    <row r="5" spans="7:19" ht="20.100000000000001" customHeight="1" thickBot="1">
      <c r="M5" s="318" t="s">
        <v>226</v>
      </c>
      <c r="N5" s="319"/>
      <c r="O5" s="320"/>
      <c r="Q5" s="310"/>
      <c r="R5" s="324"/>
      <c r="S5" s="324"/>
    </row>
    <row r="6" spans="7:19" ht="20.100000000000001" customHeight="1">
      <c r="Q6" s="310"/>
      <c r="R6" s="324"/>
      <c r="S6" s="324"/>
    </row>
    <row r="7" spans="7:19" ht="20.100000000000001" customHeight="1">
      <c r="Q7" s="310"/>
      <c r="R7" s="324"/>
      <c r="S7" s="324"/>
    </row>
    <row r="15" spans="7:19" ht="20.100000000000001" customHeight="1">
      <c r="L15" s="304"/>
      <c r="M15" s="304"/>
      <c r="N15" s="304"/>
      <c r="O15" s="304"/>
      <c r="P15" s="304"/>
      <c r="Q15" s="304"/>
      <c r="R15" s="304"/>
    </row>
    <row r="16" spans="7:19" ht="20.100000000000001" customHeight="1">
      <c r="L16" s="304"/>
      <c r="M16" s="304"/>
      <c r="N16" s="304"/>
      <c r="O16" s="304"/>
      <c r="P16" s="304"/>
      <c r="Q16" s="304"/>
      <c r="R16" s="304"/>
    </row>
    <row r="17" spans="12:19" ht="20.100000000000001" customHeight="1">
      <c r="L17" s="304"/>
      <c r="M17" s="304"/>
      <c r="N17" s="304"/>
      <c r="O17" s="304"/>
      <c r="P17" s="304"/>
      <c r="Q17" s="304"/>
      <c r="R17" s="304"/>
    </row>
    <row r="18" spans="12:19" ht="20.100000000000001" customHeight="1">
      <c r="L18" s="304"/>
      <c r="M18" s="304"/>
      <c r="N18" s="304"/>
      <c r="O18" s="304"/>
      <c r="P18" s="304"/>
      <c r="Q18" s="304"/>
      <c r="R18" s="304"/>
    </row>
    <row r="22" spans="12:19" ht="20.100000000000001" customHeight="1">
      <c r="M22" s="309"/>
      <c r="N22" s="309"/>
      <c r="O22" s="309"/>
      <c r="P22" s="309"/>
      <c r="Q22" s="309"/>
      <c r="R22" s="309"/>
      <c r="S22" s="309"/>
    </row>
    <row r="23" spans="12:19" ht="20.100000000000001" customHeight="1">
      <c r="M23" s="325">
        <v>64.507499512316002</v>
      </c>
      <c r="N23" s="311"/>
      <c r="O23" s="325"/>
      <c r="P23" s="311">
        <v>61.206784490539548</v>
      </c>
      <c r="Q23" s="325"/>
      <c r="R23" s="309"/>
      <c r="S23" s="309"/>
    </row>
    <row r="24" spans="12:19" ht="20.100000000000001" customHeight="1">
      <c r="M24" s="326">
        <v>62</v>
      </c>
      <c r="N24" s="327"/>
      <c r="O24" s="326"/>
      <c r="P24" s="327">
        <v>60</v>
      </c>
      <c r="Q24" s="326"/>
      <c r="R24" s="309"/>
      <c r="S24" s="309"/>
    </row>
    <row r="25" spans="12:19" ht="20.100000000000001" customHeight="1">
      <c r="M25" s="309"/>
      <c r="N25" s="309"/>
      <c r="O25" s="309"/>
      <c r="P25" s="309"/>
      <c r="Q25" s="309"/>
      <c r="R25" s="309"/>
      <c r="S25" s="309"/>
    </row>
    <row r="26" spans="12:19" ht="20.100000000000001" customHeight="1">
      <c r="M26" s="309"/>
      <c r="N26" s="309"/>
      <c r="O26" s="309"/>
      <c r="P26" s="309"/>
      <c r="Q26" s="309"/>
      <c r="R26" s="309"/>
      <c r="S26" s="3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8179" r:id="rId3" name="CommandButton3">
          <controlPr defaultSize="0" autoLine="0" r:id="rId4">
            <anchor moveWithCells="1">
              <from>
                <xdr:col>1</xdr:col>
                <xdr:colOff>47625</xdr:colOff>
                <xdr:row>4</xdr:row>
                <xdr:rowOff>228600</xdr:rowOff>
              </from>
              <to>
                <xdr:col>2</xdr:col>
                <xdr:colOff>704850</xdr:colOff>
                <xdr:row>6</xdr:row>
                <xdr:rowOff>123825</xdr:rowOff>
              </to>
            </anchor>
          </controlPr>
        </control>
      </mc:Choice>
      <mc:Fallback>
        <control shapeId="178179" r:id="rId3" name="CommandButton3"/>
      </mc:Fallback>
    </mc:AlternateContent>
    <mc:AlternateContent xmlns:mc="http://schemas.openxmlformats.org/markup-compatibility/2006">
      <mc:Choice Requires="x14">
        <control shapeId="178178" r:id="rId5" name="CommandButton2">
          <controlPr defaultSize="0" autoLine="0" r:id="rId6">
            <anchor moveWithCells="1">
              <from>
                <xdr:col>1</xdr:col>
                <xdr:colOff>38100</xdr:colOff>
                <xdr:row>3</xdr:row>
                <xdr:rowOff>28575</xdr:rowOff>
              </from>
              <to>
                <xdr:col>2</xdr:col>
                <xdr:colOff>695325</xdr:colOff>
                <xdr:row>4</xdr:row>
                <xdr:rowOff>171450</xdr:rowOff>
              </to>
            </anchor>
          </controlPr>
        </control>
      </mc:Choice>
      <mc:Fallback>
        <control shapeId="178178" r:id="rId5" name="CommandButton2"/>
      </mc:Fallback>
    </mc:AlternateContent>
    <mc:AlternateContent xmlns:mc="http://schemas.openxmlformats.org/markup-compatibility/2006">
      <mc:Choice Requires="x14">
        <control shapeId="178177" r:id="rId7" name="CommandButton1">
          <controlPr defaultSize="0" autoLine="0" r:id="rId8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2</xdr:col>
                <xdr:colOff>695325</xdr:colOff>
                <xdr:row>2</xdr:row>
                <xdr:rowOff>180975</xdr:rowOff>
              </to>
            </anchor>
          </controlPr>
        </control>
      </mc:Choice>
      <mc:Fallback>
        <control shapeId="178177" r:id="rId7" name="CommandButton1"/>
      </mc:Fallback>
    </mc:AlternateContent>
  </controls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12"/>
  <dimension ref="D2:U46"/>
  <sheetViews>
    <sheetView workbookViewId="0">
      <selection activeCell="M14" sqref="M14"/>
    </sheetView>
  </sheetViews>
  <sheetFormatPr defaultRowHeight="20.100000000000001" customHeight="1"/>
  <cols>
    <col min="6" max="6" width="10.33203125" customWidth="1"/>
    <col min="7" max="7" width="10.109375" customWidth="1"/>
    <col min="8" max="8" width="10.21875" customWidth="1"/>
    <col min="9" max="9" width="11.109375" customWidth="1"/>
    <col min="10" max="10" width="11" customWidth="1"/>
    <col min="11" max="11" width="10.88671875" customWidth="1"/>
    <col min="14" max="14" width="9.88671875" customWidth="1"/>
    <col min="15" max="15" width="9.44140625" customWidth="1"/>
    <col min="16" max="16" width="9.5546875" customWidth="1"/>
    <col min="17" max="17" width="9.109375" customWidth="1"/>
  </cols>
  <sheetData>
    <row r="2" spans="4:21" ht="20.100000000000001" customHeight="1">
      <c r="D2" s="329" t="s">
        <v>229</v>
      </c>
      <c r="E2" s="329" t="s">
        <v>226</v>
      </c>
      <c r="F2" s="329" t="s">
        <v>235</v>
      </c>
      <c r="G2" s="329" t="s">
        <v>236</v>
      </c>
      <c r="H2" s="329" t="s">
        <v>168</v>
      </c>
      <c r="I2" s="329" t="s">
        <v>237</v>
      </c>
      <c r="J2" s="329" t="s">
        <v>238</v>
      </c>
      <c r="L2" s="329" t="s">
        <v>226</v>
      </c>
      <c r="M2" s="329" t="s">
        <v>230</v>
      </c>
      <c r="N2" s="329" t="s">
        <v>231</v>
      </c>
      <c r="O2" s="329" t="s">
        <v>234</v>
      </c>
      <c r="P2" s="329" t="s">
        <v>232</v>
      </c>
      <c r="Q2" s="329" t="s">
        <v>233</v>
      </c>
      <c r="S2" s="329" t="s">
        <v>236</v>
      </c>
      <c r="T2" s="329" t="s">
        <v>239</v>
      </c>
      <c r="U2" s="329" t="s">
        <v>240</v>
      </c>
    </row>
    <row r="3" spans="4:21" ht="20.100000000000001" customHeight="1">
      <c r="D3" s="328"/>
      <c r="E3" s="328"/>
      <c r="F3" s="328"/>
      <c r="G3" s="328"/>
      <c r="H3" s="328"/>
      <c r="I3" s="328"/>
      <c r="J3" s="330"/>
      <c r="K3" s="328"/>
      <c r="L3" s="328"/>
      <c r="M3" s="328"/>
      <c r="N3" s="328"/>
      <c r="O3" s="328"/>
      <c r="P3" s="328"/>
      <c r="Q3" s="328"/>
      <c r="S3" s="330"/>
      <c r="T3" s="330"/>
      <c r="U3" s="330"/>
    </row>
    <row r="4" spans="4:21" ht="20.100000000000001" customHeight="1">
      <c r="D4" s="328"/>
      <c r="E4" s="328"/>
      <c r="F4" s="328"/>
      <c r="G4" s="328"/>
      <c r="H4" s="328"/>
      <c r="I4" s="328"/>
      <c r="J4" s="330"/>
      <c r="K4" s="328"/>
      <c r="L4" s="328"/>
      <c r="M4" s="328"/>
      <c r="N4" s="328"/>
      <c r="O4" s="328"/>
      <c r="P4" s="328"/>
      <c r="Q4" s="328"/>
      <c r="S4" s="330"/>
      <c r="T4" s="330"/>
      <c r="U4" s="330"/>
    </row>
    <row r="5" spans="4:21" ht="20.100000000000001" customHeight="1">
      <c r="D5" s="328"/>
      <c r="E5" s="328"/>
      <c r="F5" s="328"/>
      <c r="G5" s="328"/>
      <c r="H5" s="328"/>
      <c r="I5" s="328"/>
      <c r="J5" s="330"/>
      <c r="K5" s="328"/>
      <c r="L5" s="328"/>
      <c r="M5" s="328"/>
      <c r="N5" s="328"/>
      <c r="O5" s="328"/>
      <c r="P5" s="328"/>
      <c r="Q5" s="328"/>
      <c r="S5" s="330"/>
      <c r="T5" s="330"/>
      <c r="U5" s="330"/>
    </row>
    <row r="6" spans="4:21" ht="20.100000000000001" customHeight="1">
      <c r="D6" s="328"/>
      <c r="E6" s="328"/>
      <c r="F6" s="328"/>
      <c r="G6" s="328"/>
      <c r="H6" s="328"/>
      <c r="I6" s="328"/>
      <c r="J6" s="330"/>
      <c r="K6" s="328"/>
      <c r="L6" s="328"/>
      <c r="M6" s="328"/>
      <c r="N6" s="328"/>
      <c r="O6" s="328"/>
      <c r="P6" s="328"/>
      <c r="Q6" s="328"/>
      <c r="S6" s="330"/>
      <c r="T6" s="330"/>
      <c r="U6" s="330"/>
    </row>
    <row r="7" spans="4:21" ht="20.100000000000001" customHeight="1">
      <c r="D7" s="328"/>
      <c r="E7" s="328"/>
      <c r="F7" s="328"/>
      <c r="G7" s="328"/>
      <c r="H7" s="328"/>
      <c r="I7" s="328"/>
      <c r="J7" s="330"/>
      <c r="K7" s="328"/>
      <c r="L7" s="328"/>
      <c r="M7" s="328"/>
      <c r="N7" s="328"/>
      <c r="O7" s="328"/>
      <c r="P7" s="328"/>
      <c r="Q7" s="328"/>
      <c r="S7" s="330"/>
      <c r="T7" s="330"/>
      <c r="U7" s="330"/>
    </row>
    <row r="8" spans="4:21" ht="20.100000000000001" customHeight="1">
      <c r="D8" s="328"/>
      <c r="E8" s="328"/>
      <c r="F8" s="328"/>
      <c r="G8" s="328"/>
      <c r="H8" s="328"/>
      <c r="I8" s="328"/>
      <c r="J8" s="330"/>
      <c r="K8" s="328"/>
      <c r="L8" s="328"/>
      <c r="M8" s="328"/>
      <c r="N8" s="328"/>
      <c r="O8" s="328"/>
      <c r="P8" s="328"/>
      <c r="Q8" s="328"/>
      <c r="S8" s="328"/>
      <c r="T8" s="330"/>
      <c r="U8" s="330"/>
    </row>
    <row r="9" spans="4:21" ht="20.100000000000001" customHeight="1">
      <c r="D9" s="328"/>
      <c r="E9" s="328"/>
      <c r="F9" s="328"/>
      <c r="G9" s="328"/>
      <c r="H9" s="328"/>
      <c r="I9" s="328"/>
      <c r="J9" s="330"/>
      <c r="K9" s="328"/>
      <c r="L9" s="328"/>
      <c r="M9" s="328"/>
      <c r="N9" s="328"/>
      <c r="O9" s="328"/>
      <c r="P9" s="328"/>
      <c r="Q9" s="328"/>
      <c r="S9" s="328"/>
      <c r="T9" s="330"/>
      <c r="U9" s="330"/>
    </row>
    <row r="10" spans="4:21" ht="20.100000000000001" customHeight="1">
      <c r="D10" s="328"/>
      <c r="E10" s="328"/>
      <c r="F10" s="328"/>
      <c r="G10" s="328"/>
      <c r="H10" s="328"/>
      <c r="I10" s="328"/>
      <c r="J10" s="330"/>
      <c r="K10" s="328"/>
      <c r="L10" s="328"/>
      <c r="M10" s="328"/>
      <c r="N10" s="328"/>
      <c r="O10" s="328"/>
      <c r="P10" s="328"/>
      <c r="Q10" s="328"/>
      <c r="S10" s="328"/>
      <c r="T10" s="330"/>
      <c r="U10" s="330"/>
    </row>
    <row r="11" spans="4:21" ht="20.100000000000001" customHeight="1">
      <c r="D11" s="328"/>
      <c r="E11" s="328"/>
      <c r="F11" s="328"/>
      <c r="G11" s="328"/>
      <c r="H11" s="328"/>
      <c r="I11" s="328"/>
      <c r="J11" s="330"/>
      <c r="K11" s="328"/>
      <c r="L11" s="328"/>
      <c r="M11" s="328"/>
      <c r="N11" s="328"/>
      <c r="O11" s="328"/>
      <c r="P11" s="328"/>
      <c r="Q11" s="328"/>
      <c r="S11" s="328"/>
      <c r="T11" s="330"/>
      <c r="U11" s="330"/>
    </row>
    <row r="12" spans="4:21" ht="20.100000000000001" customHeight="1">
      <c r="D12" s="328"/>
      <c r="E12" s="328"/>
      <c r="F12" s="328"/>
      <c r="G12" s="328"/>
      <c r="H12" s="328"/>
      <c r="I12" s="328"/>
      <c r="J12" s="330"/>
      <c r="K12" s="328"/>
      <c r="L12" s="328"/>
      <c r="M12" s="328"/>
      <c r="N12" s="328"/>
      <c r="O12" s="328"/>
      <c r="P12" s="328"/>
      <c r="Q12" s="328"/>
      <c r="S12" s="328"/>
      <c r="T12" s="330"/>
      <c r="U12" s="330"/>
    </row>
    <row r="13" spans="4:21" ht="20.100000000000001" customHeight="1">
      <c r="D13" s="328"/>
      <c r="E13" s="328"/>
      <c r="F13" s="328"/>
      <c r="G13" s="328"/>
      <c r="H13" s="328"/>
      <c r="I13" s="328"/>
      <c r="J13" s="330"/>
      <c r="K13" s="328"/>
      <c r="L13" s="328"/>
      <c r="M13" s="328"/>
      <c r="N13" s="328"/>
      <c r="O13" s="328"/>
      <c r="P13" s="328"/>
      <c r="Q13" s="328"/>
      <c r="S13" s="328"/>
      <c r="T13" s="330"/>
      <c r="U13" s="330"/>
    </row>
    <row r="14" spans="4:21" ht="20.100000000000001" customHeight="1">
      <c r="D14" s="328"/>
      <c r="E14" s="328"/>
      <c r="F14" s="328"/>
      <c r="G14" s="328"/>
      <c r="H14" s="328"/>
      <c r="I14" s="328"/>
      <c r="J14" s="330"/>
      <c r="K14" s="328"/>
      <c r="L14" s="328"/>
      <c r="M14" s="328"/>
      <c r="N14" s="328"/>
      <c r="O14" s="328"/>
      <c r="P14" s="328"/>
      <c r="Q14" s="328"/>
      <c r="S14" s="328"/>
      <c r="T14" s="330"/>
      <c r="U14" s="330"/>
    </row>
    <row r="15" spans="4:21" ht="20.100000000000001" customHeight="1">
      <c r="D15" s="328"/>
      <c r="E15" s="328"/>
      <c r="F15" s="328"/>
      <c r="G15" s="328"/>
      <c r="H15" s="328"/>
      <c r="I15" s="328"/>
      <c r="J15" s="330"/>
      <c r="K15" s="328"/>
      <c r="L15" s="328"/>
      <c r="M15" s="328"/>
      <c r="N15" s="328"/>
      <c r="O15" s="328"/>
      <c r="P15" s="328"/>
      <c r="Q15" s="328"/>
      <c r="S15" s="328"/>
      <c r="T15" s="330"/>
      <c r="U15" s="330"/>
    </row>
    <row r="16" spans="4:21" ht="20.100000000000001" customHeight="1">
      <c r="D16" s="328"/>
      <c r="E16" s="328"/>
      <c r="F16" s="328"/>
      <c r="G16" s="328"/>
      <c r="H16" s="328"/>
      <c r="I16" s="328"/>
      <c r="J16" s="330"/>
      <c r="K16" s="328"/>
      <c r="L16" s="328"/>
      <c r="M16" s="328"/>
      <c r="N16" s="328"/>
      <c r="O16" s="328"/>
      <c r="P16" s="328"/>
      <c r="Q16" s="328"/>
      <c r="S16" s="328"/>
      <c r="T16" s="330"/>
      <c r="U16" s="330"/>
    </row>
    <row r="17" spans="4:21" ht="20.100000000000001" customHeight="1">
      <c r="D17" s="328"/>
      <c r="E17" s="328"/>
      <c r="F17" s="328"/>
      <c r="G17" s="328"/>
      <c r="H17" s="328"/>
      <c r="I17" s="328"/>
      <c r="J17" s="330"/>
      <c r="K17" s="328"/>
      <c r="L17" s="328"/>
      <c r="M17" s="328"/>
      <c r="N17" s="328"/>
      <c r="O17" s="328"/>
      <c r="P17" s="328"/>
      <c r="Q17" s="328"/>
      <c r="S17" s="328"/>
      <c r="T17" s="330"/>
      <c r="U17" s="330"/>
    </row>
    <row r="18" spans="4:21" ht="20.100000000000001" customHeight="1">
      <c r="D18" s="328"/>
      <c r="E18" s="328"/>
      <c r="F18" s="328"/>
      <c r="G18" s="328"/>
      <c r="H18" s="328"/>
      <c r="I18" s="328"/>
      <c r="J18" s="330"/>
      <c r="K18" s="328"/>
      <c r="L18" s="328"/>
      <c r="M18" s="328"/>
      <c r="N18" s="328"/>
      <c r="O18" s="328"/>
      <c r="P18" s="328"/>
      <c r="Q18" s="328"/>
      <c r="S18" s="328"/>
      <c r="T18" s="330"/>
      <c r="U18" s="330"/>
    </row>
    <row r="19" spans="4:21" ht="20.100000000000001" customHeight="1">
      <c r="D19" s="328"/>
      <c r="E19" s="328"/>
      <c r="F19" s="328"/>
      <c r="G19" s="328"/>
      <c r="H19" s="328"/>
      <c r="I19" s="328"/>
      <c r="J19" s="330"/>
      <c r="K19" s="328"/>
      <c r="L19" s="328"/>
      <c r="M19" s="328"/>
      <c r="N19" s="328"/>
      <c r="O19" s="328"/>
      <c r="P19" s="328"/>
      <c r="Q19" s="328"/>
      <c r="S19" s="328"/>
      <c r="T19" s="330"/>
      <c r="U19" s="330"/>
    </row>
    <row r="20" spans="4:21" ht="20.100000000000001" customHeight="1">
      <c r="D20" s="328"/>
      <c r="E20" s="328"/>
      <c r="F20" s="328"/>
      <c r="G20" s="328"/>
      <c r="H20" s="328"/>
      <c r="I20" s="328"/>
      <c r="J20" s="330"/>
      <c r="K20" s="328"/>
      <c r="L20" s="328"/>
      <c r="M20" s="328"/>
      <c r="N20" s="328"/>
      <c r="O20" s="328"/>
      <c r="P20" s="328"/>
      <c r="Q20" s="328"/>
      <c r="S20" s="328"/>
      <c r="T20" s="330"/>
      <c r="U20" s="330"/>
    </row>
    <row r="21" spans="4:21" ht="20.100000000000001" customHeight="1">
      <c r="D21" s="328"/>
      <c r="E21" s="328"/>
      <c r="F21" s="328"/>
      <c r="G21" s="328"/>
      <c r="H21" s="328"/>
      <c r="I21" s="328"/>
      <c r="J21" s="330"/>
      <c r="K21" s="328"/>
      <c r="L21" s="328"/>
      <c r="M21" s="328"/>
      <c r="N21" s="328"/>
      <c r="O21" s="328"/>
      <c r="P21" s="328"/>
      <c r="Q21" s="328"/>
      <c r="S21" s="328"/>
      <c r="T21" s="330"/>
      <c r="U21" s="330"/>
    </row>
    <row r="22" spans="4:21" ht="20.100000000000001" customHeight="1">
      <c r="D22" s="328"/>
      <c r="E22" s="328"/>
      <c r="F22" s="328"/>
      <c r="G22" s="328"/>
      <c r="H22" s="328"/>
      <c r="I22" s="328"/>
      <c r="J22" s="330"/>
      <c r="K22" s="328"/>
      <c r="L22" s="328"/>
      <c r="M22" s="328"/>
      <c r="N22" s="328"/>
      <c r="O22" s="328"/>
      <c r="P22" s="328"/>
      <c r="Q22" s="328"/>
      <c r="S22" s="328"/>
      <c r="T22" s="330"/>
      <c r="U22" s="330"/>
    </row>
    <row r="23" spans="4:21" ht="20.100000000000001" customHeight="1">
      <c r="D23" s="328"/>
      <c r="E23" s="328"/>
      <c r="F23" s="328"/>
      <c r="G23" s="328"/>
      <c r="H23" s="328"/>
      <c r="I23" s="328"/>
      <c r="J23" s="330"/>
      <c r="K23" s="328"/>
      <c r="L23" s="328"/>
      <c r="M23" s="328"/>
      <c r="N23" s="328"/>
      <c r="O23" s="328"/>
      <c r="P23" s="328"/>
      <c r="Q23" s="328"/>
      <c r="S23" s="328"/>
      <c r="T23" s="330"/>
      <c r="U23" s="330"/>
    </row>
    <row r="24" spans="4:21" ht="20.100000000000001" customHeight="1">
      <c r="D24" s="328"/>
      <c r="E24" s="328"/>
      <c r="F24" s="328"/>
      <c r="G24" s="328"/>
      <c r="H24" s="328"/>
      <c r="I24" s="328"/>
      <c r="J24" s="330"/>
      <c r="K24" s="328"/>
      <c r="L24" s="328"/>
      <c r="M24" s="328"/>
      <c r="N24" s="328"/>
      <c r="O24" s="328"/>
      <c r="P24" s="328"/>
      <c r="Q24" s="328"/>
      <c r="S24" s="328"/>
      <c r="T24" s="330"/>
      <c r="U24" s="330"/>
    </row>
    <row r="25" spans="4:21" ht="20.100000000000001" customHeight="1">
      <c r="D25" s="328"/>
      <c r="E25" s="328"/>
      <c r="F25" s="328"/>
      <c r="G25" s="328"/>
      <c r="H25" s="328"/>
      <c r="I25" s="328"/>
      <c r="J25" s="330"/>
      <c r="K25" s="328"/>
      <c r="L25" s="328"/>
      <c r="M25" s="328"/>
      <c r="N25" s="328"/>
      <c r="O25" s="328"/>
      <c r="P25" s="328"/>
      <c r="Q25" s="328"/>
      <c r="S25" s="328"/>
      <c r="T25" s="330"/>
      <c r="U25" s="330"/>
    </row>
    <row r="26" spans="4:21" ht="20.100000000000001" customHeight="1">
      <c r="D26" s="328"/>
      <c r="E26" s="328"/>
      <c r="F26" s="328"/>
      <c r="G26" s="328"/>
      <c r="H26" s="328"/>
      <c r="I26" s="328"/>
      <c r="J26" s="330"/>
      <c r="K26" s="328"/>
      <c r="L26" s="328"/>
      <c r="M26" s="328"/>
      <c r="N26" s="328"/>
      <c r="O26" s="328"/>
      <c r="P26" s="328"/>
      <c r="Q26" s="328"/>
      <c r="S26" s="328"/>
      <c r="T26" s="330"/>
      <c r="U26" s="330"/>
    </row>
    <row r="27" spans="4:21" ht="20.100000000000001" customHeight="1">
      <c r="D27" s="328"/>
      <c r="E27" s="328"/>
      <c r="F27" s="328"/>
      <c r="G27" s="328"/>
      <c r="H27" s="328"/>
      <c r="I27" s="328"/>
      <c r="J27" s="330"/>
      <c r="K27" s="328"/>
      <c r="L27" s="328"/>
      <c r="M27" s="328"/>
      <c r="N27" s="328"/>
      <c r="O27" s="328"/>
      <c r="P27" s="328"/>
      <c r="Q27" s="328"/>
      <c r="T27" s="331"/>
      <c r="U27" s="331"/>
    </row>
    <row r="28" spans="4:21" ht="20.100000000000001" customHeight="1">
      <c r="D28" s="328"/>
      <c r="E28" s="328"/>
      <c r="F28" s="328"/>
      <c r="G28" s="328"/>
      <c r="H28" s="328"/>
      <c r="I28" s="328"/>
      <c r="J28" s="330"/>
      <c r="K28" s="328"/>
      <c r="L28" s="328"/>
      <c r="M28" s="328"/>
      <c r="N28" s="328"/>
      <c r="O28" s="328"/>
      <c r="P28" s="328"/>
      <c r="Q28" s="328"/>
      <c r="T28" s="331"/>
      <c r="U28" s="331"/>
    </row>
    <row r="29" spans="4:21" ht="20.100000000000001" customHeight="1">
      <c r="D29" s="328"/>
      <c r="E29" s="328"/>
      <c r="F29" s="328"/>
      <c r="G29" s="328"/>
      <c r="H29" s="328"/>
      <c r="I29" s="328"/>
      <c r="J29" s="330"/>
      <c r="K29" s="328"/>
      <c r="L29" s="328"/>
      <c r="M29" s="328"/>
      <c r="N29" s="328"/>
      <c r="O29" s="328"/>
      <c r="P29" s="328"/>
      <c r="Q29" s="328"/>
      <c r="T29" s="331"/>
      <c r="U29" s="331"/>
    </row>
    <row r="30" spans="4:21" ht="20.100000000000001" customHeight="1">
      <c r="D30" s="328"/>
      <c r="E30" s="328"/>
      <c r="F30" s="328"/>
      <c r="G30" s="328"/>
      <c r="H30" s="328"/>
      <c r="I30" s="328"/>
      <c r="J30" s="330"/>
      <c r="K30" s="328"/>
      <c r="L30" s="328"/>
      <c r="M30" s="328"/>
      <c r="N30" s="328"/>
      <c r="O30" s="328"/>
      <c r="P30" s="328"/>
      <c r="Q30" s="328"/>
    </row>
    <row r="31" spans="4:21" ht="20.100000000000001" customHeight="1">
      <c r="D31" s="328"/>
      <c r="E31" s="328"/>
      <c r="F31" s="328"/>
      <c r="G31" s="328"/>
      <c r="H31" s="328"/>
      <c r="I31" s="328"/>
      <c r="J31" s="330"/>
      <c r="K31" s="328"/>
      <c r="L31" s="328"/>
      <c r="M31" s="328"/>
      <c r="N31" s="328"/>
      <c r="O31" s="328"/>
      <c r="P31" s="328"/>
      <c r="Q31" s="328"/>
    </row>
    <row r="32" spans="4:21" ht="20.100000000000001" customHeight="1">
      <c r="D32" s="328"/>
      <c r="E32" s="328"/>
      <c r="F32" s="328"/>
      <c r="G32" s="328"/>
      <c r="H32" s="328"/>
      <c r="I32" s="328"/>
      <c r="J32" s="330"/>
      <c r="K32" s="328"/>
      <c r="L32" s="328"/>
      <c r="M32" s="328"/>
      <c r="N32" s="328"/>
      <c r="O32" s="328"/>
      <c r="P32" s="328"/>
      <c r="Q32" s="328"/>
    </row>
    <row r="33" spans="4:17" ht="20.100000000000001" customHeight="1">
      <c r="D33" s="328"/>
      <c r="E33" s="328"/>
      <c r="F33" s="328"/>
      <c r="G33" s="328"/>
      <c r="H33" s="328"/>
      <c r="I33" s="328"/>
      <c r="J33" s="330"/>
      <c r="K33" s="328"/>
      <c r="L33" s="328"/>
      <c r="M33" s="328"/>
      <c r="N33" s="328"/>
      <c r="O33" s="328"/>
      <c r="P33" s="328"/>
      <c r="Q33" s="328"/>
    </row>
    <row r="34" spans="4:17" ht="20.100000000000001" customHeight="1">
      <c r="D34" s="328"/>
      <c r="E34" s="328"/>
      <c r="F34" s="328"/>
      <c r="G34" s="328"/>
      <c r="H34" s="328"/>
      <c r="I34" s="328"/>
      <c r="J34" s="330"/>
      <c r="K34" s="328"/>
      <c r="L34" s="328"/>
      <c r="M34" s="328"/>
      <c r="N34" s="328"/>
      <c r="O34" s="328"/>
      <c r="P34" s="328"/>
      <c r="Q34" s="328"/>
    </row>
    <row r="35" spans="4:17" ht="20.100000000000001" customHeight="1">
      <c r="D35" s="328"/>
      <c r="E35" s="328"/>
      <c r="F35" s="328"/>
      <c r="G35" s="328"/>
      <c r="H35" s="328"/>
      <c r="I35" s="328"/>
      <c r="J35" s="330"/>
      <c r="K35" s="328"/>
      <c r="L35" s="328"/>
      <c r="M35" s="328"/>
      <c r="N35" s="328"/>
      <c r="O35" s="328"/>
      <c r="P35" s="328"/>
      <c r="Q35" s="328"/>
    </row>
    <row r="36" spans="4:17" ht="20.100000000000001" customHeight="1">
      <c r="D36" s="328"/>
      <c r="E36" s="328"/>
      <c r="F36" s="328"/>
      <c r="G36" s="328"/>
      <c r="H36" s="328"/>
      <c r="I36" s="328"/>
      <c r="J36" s="328"/>
      <c r="K36" s="328"/>
      <c r="L36" s="328"/>
      <c r="M36" s="328"/>
      <c r="N36" s="328"/>
      <c r="O36" s="328"/>
      <c r="P36" s="328"/>
      <c r="Q36" s="328"/>
    </row>
    <row r="37" spans="4:17" ht="20.100000000000001" customHeight="1">
      <c r="D37" s="328"/>
      <c r="E37" s="328"/>
      <c r="F37" s="328"/>
      <c r="G37" s="328"/>
      <c r="H37" s="328"/>
      <c r="I37" s="328"/>
      <c r="J37" s="328"/>
      <c r="K37" s="328"/>
      <c r="L37" s="328"/>
      <c r="M37" s="328"/>
      <c r="N37" s="328"/>
      <c r="O37" s="328"/>
      <c r="P37" s="328"/>
      <c r="Q37" s="328"/>
    </row>
    <row r="38" spans="4:17" ht="20.100000000000001" customHeight="1">
      <c r="D38" s="328"/>
      <c r="E38" s="328"/>
      <c r="F38" s="328"/>
      <c r="G38" s="328"/>
      <c r="H38" s="328"/>
      <c r="I38" s="328"/>
      <c r="J38" s="328"/>
      <c r="K38" s="328"/>
      <c r="L38" s="328"/>
      <c r="M38" s="328"/>
      <c r="N38" s="328"/>
      <c r="O38" s="328"/>
      <c r="P38" s="328"/>
      <c r="Q38" s="328"/>
    </row>
    <row r="39" spans="4:17" ht="20.100000000000001" customHeight="1">
      <c r="D39" s="328"/>
      <c r="E39" s="328"/>
      <c r="F39" s="328"/>
      <c r="G39" s="328"/>
      <c r="H39" s="328"/>
      <c r="I39" s="328"/>
      <c r="J39" s="328"/>
      <c r="K39" s="328"/>
      <c r="L39" s="328"/>
      <c r="M39" s="328"/>
      <c r="N39" s="328"/>
      <c r="O39" s="328"/>
      <c r="P39" s="328"/>
      <c r="Q39" s="328"/>
    </row>
    <row r="40" spans="4:17" ht="20.100000000000001" customHeight="1">
      <c r="D40" s="328"/>
      <c r="E40" s="328"/>
      <c r="F40" s="328"/>
      <c r="G40" s="328"/>
      <c r="H40" s="328"/>
      <c r="I40" s="328"/>
      <c r="J40" s="328"/>
      <c r="K40" s="328"/>
      <c r="L40" s="328"/>
      <c r="M40" s="328"/>
      <c r="N40" s="328"/>
      <c r="O40" s="328"/>
      <c r="P40" s="328"/>
      <c r="Q40" s="328"/>
    </row>
    <row r="41" spans="4:17" ht="20.100000000000001" customHeight="1">
      <c r="D41" s="328"/>
      <c r="E41" s="328"/>
      <c r="F41" s="328"/>
      <c r="G41" s="328"/>
      <c r="H41" s="328"/>
      <c r="I41" s="328"/>
      <c r="J41" s="328"/>
      <c r="K41" s="328"/>
      <c r="L41" s="328"/>
      <c r="M41" s="328"/>
      <c r="N41" s="328"/>
      <c r="O41" s="328"/>
      <c r="P41" s="328"/>
      <c r="Q41" s="328"/>
    </row>
    <row r="42" spans="4:17" ht="20.100000000000001" customHeight="1">
      <c r="D42" s="328"/>
      <c r="E42" s="328"/>
      <c r="F42" s="328"/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8"/>
    </row>
    <row r="43" spans="4:17" ht="20.100000000000001" customHeight="1">
      <c r="D43" s="328"/>
      <c r="E43" s="328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8"/>
    </row>
    <row r="44" spans="4:17" ht="20.100000000000001" customHeight="1">
      <c r="D44" s="328"/>
      <c r="E44" s="328"/>
      <c r="F44" s="328"/>
      <c r="G44" s="328"/>
      <c r="H44" s="328"/>
      <c r="I44" s="328"/>
      <c r="J44" s="328"/>
      <c r="K44" s="328"/>
      <c r="L44" s="328"/>
      <c r="M44" s="328"/>
      <c r="N44" s="328"/>
      <c r="O44" s="328"/>
      <c r="P44" s="328"/>
      <c r="Q44" s="328"/>
    </row>
    <row r="45" spans="4:17" ht="20.100000000000001" customHeight="1">
      <c r="D45" s="328"/>
      <c r="E45" s="328"/>
      <c r="F45" s="328"/>
      <c r="G45" s="328"/>
      <c r="H45" s="328"/>
      <c r="I45" s="328"/>
      <c r="J45" s="328"/>
      <c r="K45" s="328"/>
      <c r="L45" s="328"/>
      <c r="M45" s="328"/>
      <c r="N45" s="328"/>
      <c r="O45" s="328"/>
      <c r="P45" s="328"/>
      <c r="Q45" s="328"/>
    </row>
    <row r="46" spans="4:17" ht="20.100000000000001" customHeight="1">
      <c r="D46" s="328"/>
      <c r="E46" s="328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7" r:id="rId3" name="CommandButton3">
          <controlPr defaultSize="0" autoLine="0" r:id="rId4">
            <anchor moveWithCells="1">
              <from>
                <xdr:col>0</xdr:col>
                <xdr:colOff>323850</xdr:colOff>
                <xdr:row>4</xdr:row>
                <xdr:rowOff>171450</xdr:rowOff>
              </from>
              <to>
                <xdr:col>2</xdr:col>
                <xdr:colOff>219075</xdr:colOff>
                <xdr:row>6</xdr:row>
                <xdr:rowOff>66675</xdr:rowOff>
              </to>
            </anchor>
          </controlPr>
        </control>
      </mc:Choice>
      <mc:Fallback>
        <control shapeId="205827" r:id="rId3" name="CommandButton3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323850</xdr:colOff>
                <xdr:row>2</xdr:row>
                <xdr:rowOff>209550</xdr:rowOff>
              </from>
              <to>
                <xdr:col>2</xdr:col>
                <xdr:colOff>219075</xdr:colOff>
                <xdr:row>4</xdr:row>
                <xdr:rowOff>104775</xdr:rowOff>
              </to>
            </anchor>
          </controlPr>
        </control>
      </mc:Choice>
      <mc:Fallback>
        <control shapeId="205826" r:id="rId5" name="CommandButton2"/>
      </mc:Fallback>
    </mc:AlternateContent>
    <mc:AlternateContent xmlns:mc="http://schemas.openxmlformats.org/markup-compatibility/2006">
      <mc:Choice Requires="x14">
        <control shapeId="205825" r:id="rId7" name="CommandButton1">
          <controlPr defaultSize="0" autoLine="0" r:id="rId8">
            <anchor moveWithCells="1">
              <from>
                <xdr:col>0</xdr:col>
                <xdr:colOff>323850</xdr:colOff>
                <xdr:row>1</xdr:row>
                <xdr:rowOff>0</xdr:rowOff>
              </from>
              <to>
                <xdr:col>2</xdr:col>
                <xdr:colOff>219075</xdr:colOff>
                <xdr:row>2</xdr:row>
                <xdr:rowOff>142875</xdr:rowOff>
              </to>
            </anchor>
          </controlPr>
        </control>
      </mc:Choice>
      <mc:Fallback>
        <control shapeId="205825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M23" sqref="M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160</v>
      </c>
      <c r="C2" s="17" t="str">
        <f>Well!D4</f>
        <v>보령시 웅천읍 수부리 산 6-2</v>
      </c>
      <c r="H2"/>
      <c r="I2" s="303" t="s">
        <v>214</v>
      </c>
      <c r="J2"/>
      <c r="K2"/>
      <c r="L2"/>
      <c r="M2"/>
    </row>
    <row r="3" spans="1:13" ht="20.100000000000001" customHeight="1">
      <c r="B3" s="2" t="s">
        <v>49</v>
      </c>
      <c r="C3" s="452">
        <f>Well!C4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53">
        <f>Well!R4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53">
        <f>Well!Q4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54" t="str">
        <f>Well!D4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55">
        <f>Well!H4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55">
        <f>Well!G4</f>
        <v>150</v>
      </c>
    </row>
    <row r="9" spans="1:13" ht="20.100000000000001" customHeight="1" thickBot="1">
      <c r="B9" s="6" t="s">
        <v>62</v>
      </c>
      <c r="C9" s="45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5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5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37" t="s">
        <v>121</v>
      </c>
      <c r="K11" s="438"/>
    </row>
    <row r="12" spans="1:13" ht="20.100000000000001" customHeight="1">
      <c r="A12" s="17" t="str">
        <f>IF(A13&lt;&gt;C7,"CHECK","OK")</f>
        <v>OK</v>
      </c>
      <c r="B12" s="6" t="s">
        <v>67</v>
      </c>
      <c r="C12" s="45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5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5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55">
        <f>Well!I4</f>
        <v>200</v>
      </c>
      <c r="E15" s="41">
        <v>1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58">
        <f>Well!J4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55">
        <f>Well!L4</f>
        <v>5</v>
      </c>
      <c r="E17" s="76">
        <f>Well!P4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55">
        <f>Well!M4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59">
        <f>Well!N4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6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61">
        <v>43.5</v>
      </c>
      <c r="D21" s="17"/>
      <c r="E21" s="178">
        <f>Well!$I$4</f>
        <v>200</v>
      </c>
      <c r="F21" s="251">
        <f>Well!O4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62">
        <f>C21-C20</f>
        <v>30.3</v>
      </c>
      <c r="E22" s="439">
        <f>E21+F21</f>
        <v>341.6</v>
      </c>
      <c r="F22" s="440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33" t="s">
        <v>101</v>
      </c>
      <c r="C25" s="43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35" t="s">
        <v>107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3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3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3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3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3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204A0-F6E0-4610-B2DC-B4ACCAACB439}">
  <sheetPr codeName="Sheet7">
    <tabColor rgb="FFC00000"/>
  </sheetPr>
  <dimension ref="A1:M41"/>
  <sheetViews>
    <sheetView workbookViewId="0">
      <selection activeCell="M23" sqref="M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161</v>
      </c>
      <c r="C2" s="17" t="str">
        <f>Well!D5</f>
        <v>보령시 웅천읍 수부리 산 6-2</v>
      </c>
      <c r="H2"/>
      <c r="I2" s="303" t="s">
        <v>265</v>
      </c>
      <c r="J2"/>
      <c r="K2"/>
      <c r="L2"/>
      <c r="M2"/>
    </row>
    <row r="3" spans="1:13" ht="20.100000000000001" customHeight="1">
      <c r="B3" s="2" t="s">
        <v>6</v>
      </c>
      <c r="C3" s="452">
        <f>Well!C5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53">
        <f>Well!R5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53">
        <f>Well!Q5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54" t="str">
        <f>Well!D5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55">
        <f>Well!H5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55">
        <f>Well!G5</f>
        <v>150</v>
      </c>
    </row>
    <row r="9" spans="1:13" ht="20.100000000000001" customHeight="1" thickBot="1">
      <c r="B9" s="6" t="s">
        <v>62</v>
      </c>
      <c r="C9" s="45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5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5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37" t="s">
        <v>121</v>
      </c>
      <c r="K11" s="438"/>
    </row>
    <row r="12" spans="1:13" ht="20.100000000000001" customHeight="1">
      <c r="A12" s="17" t="str">
        <f>IF(A13&lt;&gt;C7,"CHECK","OK")</f>
        <v>OK</v>
      </c>
      <c r="B12" s="6" t="s">
        <v>67</v>
      </c>
      <c r="C12" s="45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5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5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55">
        <f>Well!I5</f>
        <v>200</v>
      </c>
      <c r="E15" s="41">
        <v>2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58">
        <f>Well!J5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55">
        <f>Well!L5</f>
        <v>5</v>
      </c>
      <c r="E17" s="76">
        <f>Well!P5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55">
        <f>Well!M5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59">
        <f>Well!N5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6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61">
        <v>43.5</v>
      </c>
      <c r="D21" s="17"/>
      <c r="E21" s="178">
        <f>Well!$I$5</f>
        <v>200</v>
      </c>
      <c r="F21" s="251">
        <f>Well!O5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62">
        <f>C21-C20</f>
        <v>30.3</v>
      </c>
      <c r="E22" s="439">
        <f>E21+F21</f>
        <v>341.6</v>
      </c>
      <c r="F22" s="440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33" t="s">
        <v>101</v>
      </c>
      <c r="C25" s="43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35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3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3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3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3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3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04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0401" r:id="rId4" name="CommandButton5"/>
      </mc:Fallback>
    </mc:AlternateContent>
    <mc:AlternateContent xmlns:mc="http://schemas.openxmlformats.org/markup-compatibility/2006">
      <mc:Choice Requires="x14">
        <control shapeId="2304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0402" r:id="rId6" name="Frame1"/>
      </mc:Fallback>
    </mc:AlternateContent>
    <mc:AlternateContent xmlns:mc="http://schemas.openxmlformats.org/markup-compatibility/2006">
      <mc:Choice Requires="x14">
        <control shapeId="2304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0403" r:id="rId8" name="CommandButton6"/>
      </mc:Fallback>
    </mc:AlternateContent>
    <mc:AlternateContent xmlns:mc="http://schemas.openxmlformats.org/markup-compatibility/2006">
      <mc:Choice Requires="x14">
        <control shapeId="230409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040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C255DC5-9E79-4464-90CB-EF7EA9DC1123}">
          <x14:formula1>
            <xm:f>drastic!$G$4:$G$14</xm:f>
          </x14:formula1>
          <xm:sqref>I26</xm:sqref>
        </x14:dataValidation>
        <x14:dataValidation type="list" allowBlank="1" showInputMessage="1" showErrorMessage="1" xr:uid="{9226BC3B-96C2-4C1A-B0FE-16813D151D6E}">
          <x14:formula1>
            <xm:f>drastic!$D$4:$D$14</xm:f>
          </x14:formula1>
          <xm:sqref>G26</xm:sqref>
        </x14:dataValidation>
        <x14:dataValidation type="list" allowBlank="1" showInputMessage="1" showErrorMessage="1" xr:uid="{DDEE079A-0283-4BFC-87C1-F18EF55BFAE9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83FA1-978D-4CBA-B5DD-28017838C7E2}">
  <sheetPr codeName="Sheet8">
    <tabColor rgb="FFC00000"/>
  </sheetPr>
  <dimension ref="A1:M41"/>
  <sheetViews>
    <sheetView workbookViewId="0">
      <selection activeCell="M23" sqref="M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162</v>
      </c>
      <c r="C2" s="17" t="str">
        <f>Well!D6</f>
        <v>보령시 웅천읍 수부리 산 6-2</v>
      </c>
      <c r="H2"/>
      <c r="I2" s="303" t="s">
        <v>266</v>
      </c>
      <c r="J2"/>
      <c r="K2"/>
      <c r="L2"/>
      <c r="M2"/>
    </row>
    <row r="3" spans="1:13" ht="20.100000000000001" customHeight="1">
      <c r="B3" s="2" t="s">
        <v>6</v>
      </c>
      <c r="C3" s="452">
        <f>Well!C6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53">
        <f>Well!R6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53">
        <f>Well!Q6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54" t="str">
        <f>Well!D6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55">
        <f>Well!H6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55">
        <f>Well!G6</f>
        <v>150</v>
      </c>
    </row>
    <row r="9" spans="1:13" ht="20.100000000000001" customHeight="1" thickBot="1">
      <c r="B9" s="6" t="s">
        <v>62</v>
      </c>
      <c r="C9" s="45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5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5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37" t="s">
        <v>121</v>
      </c>
      <c r="K11" s="438"/>
    </row>
    <row r="12" spans="1:13" ht="20.100000000000001" customHeight="1">
      <c r="A12" s="17" t="str">
        <f>IF(A13&lt;&gt;C7,"CHECK","OK")</f>
        <v>OK</v>
      </c>
      <c r="B12" s="6" t="s">
        <v>67</v>
      </c>
      <c r="C12" s="45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5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5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55">
        <f>Well!I6</f>
        <v>200</v>
      </c>
      <c r="E15" s="41">
        <v>3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58">
        <f>Well!J6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55">
        <f>Well!L6</f>
        <v>5</v>
      </c>
      <c r="E17" s="76">
        <f>Well!P6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55">
        <f>Well!M6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59">
        <f>Well!N6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6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61">
        <v>43.5</v>
      </c>
      <c r="D21" s="17"/>
      <c r="E21" s="178">
        <f>Well!$I$6</f>
        <v>200</v>
      </c>
      <c r="F21" s="251">
        <f>Well!O6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62">
        <f>C21-C20</f>
        <v>30.3</v>
      </c>
      <c r="E22" s="439">
        <f>E21+F21</f>
        <v>341.6</v>
      </c>
      <c r="F22" s="440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33" t="s">
        <v>101</v>
      </c>
      <c r="C25" s="43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35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3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3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3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3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3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14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1425" r:id="rId4" name="CommandButton5"/>
      </mc:Fallback>
    </mc:AlternateContent>
    <mc:AlternateContent xmlns:mc="http://schemas.openxmlformats.org/markup-compatibility/2006">
      <mc:Choice Requires="x14">
        <control shapeId="2314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1426" r:id="rId6" name="Frame1"/>
      </mc:Fallback>
    </mc:AlternateContent>
    <mc:AlternateContent xmlns:mc="http://schemas.openxmlformats.org/markup-compatibility/2006">
      <mc:Choice Requires="x14">
        <control shapeId="2314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1427" r:id="rId8" name="CommandButton6"/>
      </mc:Fallback>
    </mc:AlternateContent>
    <mc:AlternateContent xmlns:mc="http://schemas.openxmlformats.org/markup-compatibility/2006">
      <mc:Choice Requires="x14">
        <control shapeId="231428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142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89AA-1AF1-4687-9073-8634E592E24F}">
          <x14:formula1>
            <xm:f>drastic!$A$4:$A$13</xm:f>
          </x14:formula1>
          <xm:sqref>F26</xm:sqref>
        </x14:dataValidation>
        <x14:dataValidation type="list" allowBlank="1" showInputMessage="1" showErrorMessage="1" xr:uid="{6F9F6E81-F97A-47F1-87CC-9D1A502A2E9E}">
          <x14:formula1>
            <xm:f>drastic!$D$4:$D$14</xm:f>
          </x14:formula1>
          <xm:sqref>G26</xm:sqref>
        </x14:dataValidation>
        <x14:dataValidation type="list" allowBlank="1" showInputMessage="1" showErrorMessage="1" xr:uid="{01C99546-D053-432A-AA97-50DD9FAD2625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769F8-682E-4B2B-899E-F2DA8BD6BCFD}">
  <sheetPr codeName="Sheet9">
    <tabColor rgb="FFC00000"/>
  </sheetPr>
  <dimension ref="A1:M41"/>
  <sheetViews>
    <sheetView workbookViewId="0">
      <selection activeCell="M23" sqref="M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267</v>
      </c>
      <c r="C2" s="17" t="str">
        <f>Well!D7</f>
        <v>보령시 웅천읍 수부리 산 6-2</v>
      </c>
      <c r="H2"/>
      <c r="I2" s="303" t="s">
        <v>268</v>
      </c>
      <c r="J2"/>
      <c r="K2"/>
      <c r="L2"/>
      <c r="M2"/>
    </row>
    <row r="3" spans="1:13" ht="20.100000000000001" customHeight="1">
      <c r="B3" s="2" t="s">
        <v>6</v>
      </c>
      <c r="C3" s="452">
        <f>Well!C7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53">
        <f>Well!R7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53">
        <f>Well!Q7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54" t="str">
        <f>Well!D7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55">
        <f>Well!H7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55">
        <f>Well!G7</f>
        <v>150</v>
      </c>
    </row>
    <row r="9" spans="1:13" ht="20.100000000000001" customHeight="1" thickBot="1">
      <c r="B9" s="6" t="s">
        <v>62</v>
      </c>
      <c r="C9" s="45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5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5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37" t="s">
        <v>121</v>
      </c>
      <c r="K11" s="438"/>
    </row>
    <row r="12" spans="1:13" ht="20.100000000000001" customHeight="1">
      <c r="A12" s="17" t="str">
        <f>IF(A13&lt;&gt;C7,"CHECK","OK")</f>
        <v>OK</v>
      </c>
      <c r="B12" s="6" t="s">
        <v>67</v>
      </c>
      <c r="C12" s="45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5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5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55">
        <f>Well!I7</f>
        <v>200</v>
      </c>
      <c r="E15" s="41">
        <v>4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58">
        <f>Well!J7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55">
        <f>Well!L7</f>
        <v>5</v>
      </c>
      <c r="E17" s="76">
        <f>Well!P7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55">
        <f>Well!M7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59">
        <f>Well!N7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6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61">
        <v>43.5</v>
      </c>
      <c r="D21" s="17"/>
      <c r="E21" s="178">
        <f>Well!$I$7</f>
        <v>200</v>
      </c>
      <c r="F21" s="251">
        <f>Well!O7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62">
        <f>C21-C20</f>
        <v>30.3</v>
      </c>
      <c r="E22" s="439">
        <f>E21+F21</f>
        <v>341.6</v>
      </c>
      <c r="F22" s="440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33" t="s">
        <v>101</v>
      </c>
      <c r="C25" s="43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35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3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3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3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3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3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24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2449" r:id="rId4" name="CommandButton5"/>
      </mc:Fallback>
    </mc:AlternateContent>
    <mc:AlternateContent xmlns:mc="http://schemas.openxmlformats.org/markup-compatibility/2006">
      <mc:Choice Requires="x14">
        <control shapeId="2324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2450" r:id="rId6" name="Frame1"/>
      </mc:Fallback>
    </mc:AlternateContent>
    <mc:AlternateContent xmlns:mc="http://schemas.openxmlformats.org/markup-compatibility/2006">
      <mc:Choice Requires="x14">
        <control shapeId="23245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2451" r:id="rId8" name="CommandButton6"/>
      </mc:Fallback>
    </mc:AlternateContent>
    <mc:AlternateContent xmlns:mc="http://schemas.openxmlformats.org/markup-compatibility/2006">
      <mc:Choice Requires="x14">
        <control shapeId="232452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245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C0CC7B-DDBF-4DA7-A17E-880FC13BE877}">
          <x14:formula1>
            <xm:f>drastic!$A$4:$A$13</xm:f>
          </x14:formula1>
          <xm:sqref>F26</xm:sqref>
        </x14:dataValidation>
        <x14:dataValidation type="list" allowBlank="1" showInputMessage="1" showErrorMessage="1" xr:uid="{002627F7-5D90-459A-8777-8113471965ED}">
          <x14:formula1>
            <xm:f>drastic!$D$4:$D$14</xm:f>
          </x14:formula1>
          <xm:sqref>G26</xm:sqref>
        </x14:dataValidation>
        <x14:dataValidation type="list" allowBlank="1" showInputMessage="1" showErrorMessage="1" xr:uid="{A81B7FBF-A062-4B71-84C1-221B55BBB093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A84D-CD8D-4ADC-AFC4-7329D1782E3F}">
  <sheetPr codeName="Sheet10">
    <tabColor rgb="FFC00000"/>
  </sheetPr>
  <dimension ref="A1:M41"/>
  <sheetViews>
    <sheetView workbookViewId="0">
      <selection activeCell="M23" sqref="M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273</v>
      </c>
      <c r="C2" s="17" t="str">
        <f>Well!D8</f>
        <v>보령시 웅천읍 수부리 산 6-2</v>
      </c>
      <c r="H2"/>
      <c r="I2" s="303" t="s">
        <v>274</v>
      </c>
      <c r="J2"/>
      <c r="K2"/>
      <c r="L2"/>
      <c r="M2"/>
    </row>
    <row r="3" spans="1:13" ht="20.100000000000001" customHeight="1">
      <c r="B3" s="2" t="s">
        <v>6</v>
      </c>
      <c r="C3" s="452">
        <f>Well!C8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53">
        <f>Well!R8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53">
        <f>Well!Q8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54" t="str">
        <f>Well!D8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55">
        <f>Well!H8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55">
        <f>Well!G8</f>
        <v>150</v>
      </c>
    </row>
    <row r="9" spans="1:13" ht="20.100000000000001" customHeight="1" thickBot="1">
      <c r="B9" s="6" t="s">
        <v>62</v>
      </c>
      <c r="C9" s="45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5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5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37" t="s">
        <v>121</v>
      </c>
      <c r="K11" s="438"/>
    </row>
    <row r="12" spans="1:13" ht="20.100000000000001" customHeight="1">
      <c r="A12" s="17" t="str">
        <f>IF(A13&lt;&gt;C7,"CHECK","OK")</f>
        <v>OK</v>
      </c>
      <c r="B12" s="6" t="s">
        <v>67</v>
      </c>
      <c r="C12" s="45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5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5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55">
        <f>Well!I8</f>
        <v>200</v>
      </c>
      <c r="E15" s="41">
        <v>5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58">
        <f>Well!J8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55">
        <f>Well!L8</f>
        <v>5</v>
      </c>
      <c r="E17" s="76">
        <f>Well!P8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55">
        <f>Well!M8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59">
        <f>Well!N8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6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61">
        <v>43.5</v>
      </c>
      <c r="D21" s="17"/>
      <c r="E21" s="178">
        <f>Well!$I$8</f>
        <v>200</v>
      </c>
      <c r="F21" s="251">
        <f>Well!O8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62">
        <f>C21-C20</f>
        <v>30.3</v>
      </c>
      <c r="E22" s="439">
        <f>E21+F21</f>
        <v>341.6</v>
      </c>
      <c r="F22" s="440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33" t="s">
        <v>101</v>
      </c>
      <c r="C25" s="43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35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3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3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3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3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3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44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4497" r:id="rId4" name="CommandButton5"/>
      </mc:Fallback>
    </mc:AlternateContent>
    <mc:AlternateContent xmlns:mc="http://schemas.openxmlformats.org/markup-compatibility/2006">
      <mc:Choice Requires="x14">
        <control shapeId="2344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4498" r:id="rId6" name="Frame1"/>
      </mc:Fallback>
    </mc:AlternateContent>
    <mc:AlternateContent xmlns:mc="http://schemas.openxmlformats.org/markup-compatibility/2006">
      <mc:Choice Requires="x14">
        <control shapeId="2344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4499" r:id="rId8" name="CommandButton6"/>
      </mc:Fallback>
    </mc:AlternateContent>
    <mc:AlternateContent xmlns:mc="http://schemas.openxmlformats.org/markup-compatibility/2006">
      <mc:Choice Requires="x14">
        <control shapeId="23450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450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4B3B79-ECBD-42E9-BD88-074BC1E9CD71}">
          <x14:formula1>
            <xm:f>drastic!$A$4:$A$13</xm:f>
          </x14:formula1>
          <xm:sqref>F26</xm:sqref>
        </x14:dataValidation>
        <x14:dataValidation type="list" allowBlank="1" showInputMessage="1" showErrorMessage="1" xr:uid="{DC4D6F1F-59D3-4506-90E0-EEB8E1CDF5E8}">
          <x14:formula1>
            <xm:f>drastic!$D$4:$D$14</xm:f>
          </x14:formula1>
          <xm:sqref>G26</xm:sqref>
        </x14:dataValidation>
        <x14:dataValidation type="list" allowBlank="1" showInputMessage="1" showErrorMessage="1" xr:uid="{3D55EA97-362A-4C79-A7CB-98B0D99C707F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66783-F408-4558-B976-1BC11321680A}">
  <sheetPr codeName="Sheet13">
    <tabColor rgb="FFC00000"/>
  </sheetPr>
  <dimension ref="A1:M41"/>
  <sheetViews>
    <sheetView workbookViewId="0">
      <selection activeCell="M23" sqref="M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275</v>
      </c>
      <c r="C2" s="17" t="str">
        <f>Well!D9</f>
        <v>보령시 웅천읍 수부리 산 6-2</v>
      </c>
      <c r="H2"/>
      <c r="I2" s="303" t="s">
        <v>276</v>
      </c>
      <c r="J2"/>
      <c r="K2"/>
      <c r="L2"/>
      <c r="M2"/>
    </row>
    <row r="3" spans="1:13" ht="20.100000000000001" customHeight="1">
      <c r="B3" s="2" t="s">
        <v>6</v>
      </c>
      <c r="C3" s="452">
        <f>Well!C9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53">
        <f>Well!R9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53">
        <f>Well!Q9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54" t="str">
        <f>Well!D9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55">
        <f>Well!H9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55">
        <f>Well!G9</f>
        <v>150</v>
      </c>
    </row>
    <row r="9" spans="1:13" ht="20.100000000000001" customHeight="1" thickBot="1">
      <c r="B9" s="6" t="s">
        <v>62</v>
      </c>
      <c r="C9" s="45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5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5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37" t="s">
        <v>121</v>
      </c>
      <c r="K11" s="438"/>
    </row>
    <row r="12" spans="1:13" ht="20.100000000000001" customHeight="1">
      <c r="A12" s="17" t="str">
        <f>IF(A13&lt;&gt;C7,"CHECK","OK")</f>
        <v>OK</v>
      </c>
      <c r="B12" s="6" t="s">
        <v>67</v>
      </c>
      <c r="C12" s="45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5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5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55">
        <f>Well!I9</f>
        <v>200</v>
      </c>
      <c r="E15" s="41">
        <v>6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58">
        <f>Well!J9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55">
        <f>Well!L9</f>
        <v>5</v>
      </c>
      <c r="E17" s="76">
        <f>Well!P9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55">
        <f>Well!M9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59">
        <f>Well!N9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6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61">
        <v>43.5</v>
      </c>
      <c r="D21" s="17"/>
      <c r="E21" s="178">
        <f>Well!$I$9</f>
        <v>200</v>
      </c>
      <c r="F21" s="251">
        <f>Well!O9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62">
        <f>C21-C20</f>
        <v>30.3</v>
      </c>
      <c r="E22" s="439">
        <f>E21+F21</f>
        <v>341.6</v>
      </c>
      <c r="F22" s="440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33" t="s">
        <v>101</v>
      </c>
      <c r="C25" s="43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35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3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3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3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3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3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55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5521" r:id="rId4" name="CommandButton5"/>
      </mc:Fallback>
    </mc:AlternateContent>
    <mc:AlternateContent xmlns:mc="http://schemas.openxmlformats.org/markup-compatibility/2006">
      <mc:Choice Requires="x14">
        <control shapeId="2355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5522" r:id="rId6" name="Frame1"/>
      </mc:Fallback>
    </mc:AlternateContent>
    <mc:AlternateContent xmlns:mc="http://schemas.openxmlformats.org/markup-compatibility/2006">
      <mc:Choice Requires="x14">
        <control shapeId="2355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5523" r:id="rId8" name="CommandButton6"/>
      </mc:Fallback>
    </mc:AlternateContent>
    <mc:AlternateContent xmlns:mc="http://schemas.openxmlformats.org/markup-compatibility/2006">
      <mc:Choice Requires="x14">
        <control shapeId="235524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55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5E2E815-7C1A-430B-B40A-B8AEA7CDB984}">
          <x14:formula1>
            <xm:f>drastic!$A$4:$A$13</xm:f>
          </x14:formula1>
          <xm:sqref>F26</xm:sqref>
        </x14:dataValidation>
        <x14:dataValidation type="list" allowBlank="1" showInputMessage="1" showErrorMessage="1" xr:uid="{7685C6DD-EC3B-4A39-A732-0B24941C2440}">
          <x14:formula1>
            <xm:f>drastic!$D$4:$D$14</xm:f>
          </x14:formula1>
          <xm:sqref>G26</xm:sqref>
        </x14:dataValidation>
        <x14:dataValidation type="list" allowBlank="1" showInputMessage="1" showErrorMessage="1" xr:uid="{5BB96CDD-DAC8-463A-8A10-42BC37744489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19DE5-9731-4A85-90A0-188C2F2A56E7}">
  <sheetPr codeName="Sheet14">
    <tabColor rgb="FFC00000"/>
  </sheetPr>
  <dimension ref="A1:M41"/>
  <sheetViews>
    <sheetView workbookViewId="0">
      <selection activeCell="M23" sqref="M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277</v>
      </c>
      <c r="C2" s="17" t="str">
        <f>Well!D10</f>
        <v>보령시 웅천읍 수부리 산 6-2</v>
      </c>
      <c r="H2"/>
      <c r="I2" s="303" t="s">
        <v>278</v>
      </c>
      <c r="J2"/>
      <c r="K2"/>
      <c r="L2"/>
      <c r="M2"/>
    </row>
    <row r="3" spans="1:13" ht="20.100000000000001" customHeight="1">
      <c r="B3" s="2" t="s">
        <v>6</v>
      </c>
      <c r="C3" s="452">
        <f>Well!C10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53">
        <f>Well!R10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53">
        <f>Well!Q10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54" t="str">
        <f>Well!D10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55">
        <f>Well!H10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55">
        <f>Well!G10</f>
        <v>150</v>
      </c>
    </row>
    <row r="9" spans="1:13" ht="20.100000000000001" customHeight="1" thickBot="1">
      <c r="B9" s="6" t="s">
        <v>62</v>
      </c>
      <c r="C9" s="45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5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5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37" t="s">
        <v>121</v>
      </c>
      <c r="K11" s="438"/>
    </row>
    <row r="12" spans="1:13" ht="20.100000000000001" customHeight="1">
      <c r="A12" s="17" t="str">
        <f>IF(A13&lt;&gt;C7,"CHECK","OK")</f>
        <v>OK</v>
      </c>
      <c r="B12" s="6" t="s">
        <v>67</v>
      </c>
      <c r="C12" s="45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5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5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55">
        <f>Well!I10</f>
        <v>200</v>
      </c>
      <c r="E15" s="41">
        <v>7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58">
        <f>Well!J10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55">
        <f>Well!L10</f>
        <v>5</v>
      </c>
      <c r="E17" s="76">
        <f>Well!P10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55">
        <f>Well!M10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59">
        <f>Well!N10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6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61">
        <v>43.5</v>
      </c>
      <c r="D21" s="17"/>
      <c r="E21" s="178">
        <f>Well!$I$10</f>
        <v>200</v>
      </c>
      <c r="F21" s="251">
        <f>Well!O10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62">
        <f>C21-C20</f>
        <v>30.3</v>
      </c>
      <c r="E22" s="439">
        <f>E21+F21</f>
        <v>341.6</v>
      </c>
      <c r="F22" s="440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33" t="s">
        <v>101</v>
      </c>
      <c r="C25" s="43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35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3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3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3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3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3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65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6545" r:id="rId4" name="CommandButton5"/>
      </mc:Fallback>
    </mc:AlternateContent>
    <mc:AlternateContent xmlns:mc="http://schemas.openxmlformats.org/markup-compatibility/2006">
      <mc:Choice Requires="x14">
        <control shapeId="2365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6546" r:id="rId6" name="Frame1"/>
      </mc:Fallback>
    </mc:AlternateContent>
    <mc:AlternateContent xmlns:mc="http://schemas.openxmlformats.org/markup-compatibility/2006">
      <mc:Choice Requires="x14">
        <control shapeId="2365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6547" r:id="rId8" name="CommandButton6"/>
      </mc:Fallback>
    </mc:AlternateContent>
    <mc:AlternateContent xmlns:mc="http://schemas.openxmlformats.org/markup-compatibility/2006">
      <mc:Choice Requires="x14">
        <control shapeId="236548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65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2A6526-C97E-435C-ADF7-A554B04DD635}">
          <x14:formula1>
            <xm:f>drastic!$A$4:$A$13</xm:f>
          </x14:formula1>
          <xm:sqref>F26</xm:sqref>
        </x14:dataValidation>
        <x14:dataValidation type="list" allowBlank="1" showInputMessage="1" showErrorMessage="1" xr:uid="{E960EBF0-44BA-4609-9C1B-59F085239046}">
          <x14:formula1>
            <xm:f>drastic!$D$4:$D$14</xm:f>
          </x14:formula1>
          <xm:sqref>G26</xm:sqref>
        </x14:dataValidation>
        <x14:dataValidation type="list" allowBlank="1" showInputMessage="1" showErrorMessage="1" xr:uid="{12298E08-B450-4450-87AB-225778E1EE04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C33CD-5854-40A7-B806-FAEA47329928}">
  <sheetPr codeName="Sheet16">
    <tabColor rgb="FFC00000"/>
  </sheetPr>
  <dimension ref="A1:M41"/>
  <sheetViews>
    <sheetView workbookViewId="0">
      <selection activeCell="M23" sqref="M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279</v>
      </c>
      <c r="C2" s="17" t="str">
        <f>Well!D11</f>
        <v>보령시 웅천읍 수부리 산 6-2</v>
      </c>
      <c r="H2"/>
      <c r="I2" s="303" t="s">
        <v>280</v>
      </c>
      <c r="J2"/>
      <c r="K2"/>
      <c r="L2"/>
      <c r="M2"/>
    </row>
    <row r="3" spans="1:13" ht="20.100000000000001" customHeight="1">
      <c r="B3" s="2" t="s">
        <v>6</v>
      </c>
      <c r="C3" s="452">
        <f>Well!C11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53">
        <f>Well!R11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53">
        <f>Well!Q11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54" t="str">
        <f>Well!D11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55">
        <f>Well!H11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55">
        <f>Well!G11</f>
        <v>150</v>
      </c>
    </row>
    <row r="9" spans="1:13" ht="20.100000000000001" customHeight="1" thickBot="1">
      <c r="B9" s="6" t="s">
        <v>62</v>
      </c>
      <c r="C9" s="45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5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5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37" t="s">
        <v>121</v>
      </c>
      <c r="K11" s="438"/>
    </row>
    <row r="12" spans="1:13" ht="20.100000000000001" customHeight="1">
      <c r="A12" s="17" t="str">
        <f>IF(A13&lt;&gt;C7,"CHECK","OK")</f>
        <v>OK</v>
      </c>
      <c r="B12" s="6" t="s">
        <v>67</v>
      </c>
      <c r="C12" s="45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5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5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55">
        <f>Well!I11</f>
        <v>200</v>
      </c>
      <c r="E15" s="41">
        <v>8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58">
        <f>Well!J11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55">
        <f>Well!L11</f>
        <v>5</v>
      </c>
      <c r="E17" s="76">
        <f>Well!P11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55">
        <f>Well!M11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59">
        <f>Well!N11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6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61">
        <v>43.5</v>
      </c>
      <c r="D21" s="17"/>
      <c r="E21" s="178">
        <f>Well!$I$11</f>
        <v>200</v>
      </c>
      <c r="F21" s="251">
        <f>Well!O11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62">
        <f>C21-C20</f>
        <v>30.3</v>
      </c>
      <c r="E22" s="439">
        <f>E21+F21</f>
        <v>341.6</v>
      </c>
      <c r="F22" s="440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33" t="s">
        <v>101</v>
      </c>
      <c r="C25" s="43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35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3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3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3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3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3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75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7569" r:id="rId4" name="CommandButton5"/>
      </mc:Fallback>
    </mc:AlternateContent>
    <mc:AlternateContent xmlns:mc="http://schemas.openxmlformats.org/markup-compatibility/2006">
      <mc:Choice Requires="x14">
        <control shapeId="2375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7570" r:id="rId6" name="Frame1"/>
      </mc:Fallback>
    </mc:AlternateContent>
    <mc:AlternateContent xmlns:mc="http://schemas.openxmlformats.org/markup-compatibility/2006">
      <mc:Choice Requires="x14">
        <control shapeId="2375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7571" r:id="rId8" name="CommandButton6"/>
      </mc:Fallback>
    </mc:AlternateContent>
    <mc:AlternateContent xmlns:mc="http://schemas.openxmlformats.org/markup-compatibility/2006">
      <mc:Choice Requires="x14">
        <control shapeId="237572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75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CD5BAD-43E3-47EA-8118-4F01E1A9EFA5}">
          <x14:formula1>
            <xm:f>drastic!$A$4:$A$13</xm:f>
          </x14:formula1>
          <xm:sqref>F26</xm:sqref>
        </x14:dataValidation>
        <x14:dataValidation type="list" allowBlank="1" showInputMessage="1" showErrorMessage="1" xr:uid="{6229D8E2-55D6-45BF-8882-290267324D81}">
          <x14:formula1>
            <xm:f>drastic!$D$4:$D$14</xm:f>
          </x14:formula1>
          <xm:sqref>G26</xm:sqref>
        </x14:dataValidation>
        <x14:dataValidation type="list" allowBlank="1" showInputMessage="1" showErrorMessage="1" xr:uid="{36FEE0A2-CA0C-4793-9053-59A64F3C125B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67DD5-9701-4584-831C-C7FF13648684}">
  <sheetPr codeName="Sheet17">
    <tabColor rgb="FFC00000"/>
  </sheetPr>
  <dimension ref="A1:M41"/>
  <sheetViews>
    <sheetView workbookViewId="0">
      <selection activeCell="M23" sqref="M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281</v>
      </c>
      <c r="C2" s="17" t="str">
        <f>Well!D12</f>
        <v>보령시 웅천읍 수부리 산 6-2</v>
      </c>
      <c r="H2"/>
      <c r="I2" s="303" t="s">
        <v>282</v>
      </c>
      <c r="J2"/>
      <c r="K2"/>
      <c r="L2"/>
      <c r="M2"/>
    </row>
    <row r="3" spans="1:13" ht="20.100000000000001" customHeight="1">
      <c r="B3" s="2" t="s">
        <v>6</v>
      </c>
      <c r="C3" s="452">
        <f>Well!C12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53">
        <f>Well!R12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53">
        <f>Well!Q12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54" t="str">
        <f>Well!D12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55">
        <f>Well!H12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55">
        <f>Well!G12</f>
        <v>150</v>
      </c>
    </row>
    <row r="9" spans="1:13" ht="20.100000000000001" customHeight="1" thickBot="1">
      <c r="B9" s="6" t="s">
        <v>62</v>
      </c>
      <c r="C9" s="45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5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5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37" t="s">
        <v>121</v>
      </c>
      <c r="K11" s="438"/>
    </row>
    <row r="12" spans="1:13" ht="20.100000000000001" customHeight="1">
      <c r="A12" s="17" t="str">
        <f>IF(A13&lt;&gt;C7,"CHECK","OK")</f>
        <v>OK</v>
      </c>
      <c r="B12" s="6" t="s">
        <v>67</v>
      </c>
      <c r="C12" s="45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5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5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55">
        <f>Well!I12</f>
        <v>200</v>
      </c>
      <c r="E15" s="41">
        <v>9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58">
        <f>Well!J12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55">
        <f>Well!L12</f>
        <v>5</v>
      </c>
      <c r="E17" s="76">
        <f>Well!P12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55">
        <f>Well!M12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59">
        <f>Well!N12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6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61">
        <v>43.5</v>
      </c>
      <c r="D21" s="17"/>
      <c r="E21" s="178">
        <f>Well!$I$12</f>
        <v>200</v>
      </c>
      <c r="F21" s="251">
        <f>Well!O12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62">
        <f>C21-C20</f>
        <v>30.3</v>
      </c>
      <c r="E22" s="439">
        <f>E21+F21</f>
        <v>341.6</v>
      </c>
      <c r="F22" s="440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33" t="s">
        <v>101</v>
      </c>
      <c r="C25" s="43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35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3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3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3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3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3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85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8593" r:id="rId4" name="CommandButton5"/>
      </mc:Fallback>
    </mc:AlternateContent>
    <mc:AlternateContent xmlns:mc="http://schemas.openxmlformats.org/markup-compatibility/2006">
      <mc:Choice Requires="x14">
        <control shapeId="2385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8594" r:id="rId6" name="Frame1"/>
      </mc:Fallback>
    </mc:AlternateContent>
    <mc:AlternateContent xmlns:mc="http://schemas.openxmlformats.org/markup-compatibility/2006">
      <mc:Choice Requires="x14">
        <control shapeId="2385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8595" r:id="rId8" name="CommandButton6"/>
      </mc:Fallback>
    </mc:AlternateContent>
    <mc:AlternateContent xmlns:mc="http://schemas.openxmlformats.org/markup-compatibility/2006">
      <mc:Choice Requires="x14">
        <control shapeId="238596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85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574376F-6787-420F-A741-093D06B84792}">
          <x14:formula1>
            <xm:f>drastic!$A$4:$A$13</xm:f>
          </x14:formula1>
          <xm:sqref>F26</xm:sqref>
        </x14:dataValidation>
        <x14:dataValidation type="list" allowBlank="1" showInputMessage="1" showErrorMessage="1" xr:uid="{DF847FE1-9A85-4D45-91B7-59FC30725164}">
          <x14:formula1>
            <xm:f>drastic!$D$4:$D$14</xm:f>
          </x14:formula1>
          <xm:sqref>G26</xm:sqref>
        </x14:dataValidation>
        <x14:dataValidation type="list" allowBlank="1" showInputMessage="1" showErrorMessage="1" xr:uid="{A3B37481-1653-4CEA-890C-BC30EA4E5FF9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A1C48-F453-4281-B252-E2C5F362A75F}">
  <sheetPr codeName="Sheet18">
    <tabColor rgb="FFC00000"/>
  </sheetPr>
  <dimension ref="A1:M41"/>
  <sheetViews>
    <sheetView workbookViewId="0">
      <selection activeCell="M23" sqref="M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283</v>
      </c>
      <c r="C2" s="17" t="str">
        <f>Well!D13</f>
        <v>보령시 웅천읍 수부리 산 6-2</v>
      </c>
      <c r="H2"/>
      <c r="I2" s="303" t="s">
        <v>284</v>
      </c>
      <c r="J2"/>
      <c r="K2"/>
      <c r="L2"/>
      <c r="M2"/>
    </row>
    <row r="3" spans="1:13" ht="20.100000000000001" customHeight="1">
      <c r="B3" s="2" t="s">
        <v>6</v>
      </c>
      <c r="C3" s="452">
        <f>Well!C13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53">
        <f>Well!R13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53">
        <f>Well!Q13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54" t="str">
        <f>Well!D13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55">
        <f>Well!H13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55">
        <f>Well!G13</f>
        <v>150</v>
      </c>
    </row>
    <row r="9" spans="1:13" ht="20.100000000000001" customHeight="1" thickBot="1">
      <c r="B9" s="6" t="s">
        <v>62</v>
      </c>
      <c r="C9" s="45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5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5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37" t="s">
        <v>121</v>
      </c>
      <c r="K11" s="438"/>
    </row>
    <row r="12" spans="1:13" ht="20.100000000000001" customHeight="1">
      <c r="A12" s="17" t="str">
        <f>IF(A13&lt;&gt;C7,"CHECK","OK")</f>
        <v>OK</v>
      </c>
      <c r="B12" s="6" t="s">
        <v>67</v>
      </c>
      <c r="C12" s="45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5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5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55">
        <f>Well!I13</f>
        <v>200</v>
      </c>
      <c r="E15" s="41">
        <v>10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58">
        <f>Well!J13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55">
        <f>Well!L13</f>
        <v>5</v>
      </c>
      <c r="E17" s="76">
        <f>Well!P13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55">
        <f>Well!M13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59">
        <f>Well!N13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6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61">
        <v>43.5</v>
      </c>
      <c r="D21" s="17"/>
      <c r="E21" s="178">
        <f>Well!$I$13</f>
        <v>200</v>
      </c>
      <c r="F21" s="251">
        <f>Well!O13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62">
        <f>C21-C20</f>
        <v>30.3</v>
      </c>
      <c r="E22" s="439">
        <f>E21+F21</f>
        <v>341.6</v>
      </c>
      <c r="F22" s="440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33" t="s">
        <v>101</v>
      </c>
      <c r="C25" s="43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35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3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3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3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3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3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96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9617" r:id="rId4" name="CommandButton5"/>
      </mc:Fallback>
    </mc:AlternateContent>
    <mc:AlternateContent xmlns:mc="http://schemas.openxmlformats.org/markup-compatibility/2006">
      <mc:Choice Requires="x14">
        <control shapeId="2396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39618" r:id="rId6" name="Frame1"/>
      </mc:Fallback>
    </mc:AlternateContent>
    <mc:AlternateContent xmlns:mc="http://schemas.openxmlformats.org/markup-compatibility/2006">
      <mc:Choice Requires="x14">
        <control shapeId="2396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9619" r:id="rId8" name="CommandButton6"/>
      </mc:Fallback>
    </mc:AlternateContent>
    <mc:AlternateContent xmlns:mc="http://schemas.openxmlformats.org/markup-compatibility/2006">
      <mc:Choice Requires="x14">
        <control shapeId="2396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96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3828390-79DC-4DEF-A920-C7F22A84150E}">
          <x14:formula1>
            <xm:f>drastic!$A$4:$A$13</xm:f>
          </x14:formula1>
          <xm:sqref>F26</xm:sqref>
        </x14:dataValidation>
        <x14:dataValidation type="list" allowBlank="1" showInputMessage="1" showErrorMessage="1" xr:uid="{AFA872AE-4540-42E8-979A-7679ABFD66BF}">
          <x14:formula1>
            <xm:f>drastic!$D$4:$D$14</xm:f>
          </x14:formula1>
          <xm:sqref>G26</xm:sqref>
        </x14:dataValidation>
        <x14:dataValidation type="list" allowBlank="1" showInputMessage="1" showErrorMessage="1" xr:uid="{638F9DD8-2B1A-4503-89A2-EEF8B7120239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A2BE3-F562-4D2F-86D5-71363090B487}">
  <sheetPr codeName="Sheet15">
    <tabColor rgb="FFC00000"/>
  </sheetPr>
  <dimension ref="A1:M41"/>
  <sheetViews>
    <sheetView workbookViewId="0">
      <selection activeCell="M23" sqref="M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291</v>
      </c>
      <c r="C2" s="17" t="str">
        <f>Well!D14</f>
        <v>보령시 웅천읍 수부리 산 6-2</v>
      </c>
      <c r="H2"/>
      <c r="I2" s="303" t="s">
        <v>292</v>
      </c>
      <c r="J2"/>
      <c r="K2"/>
      <c r="L2"/>
      <c r="M2"/>
    </row>
    <row r="3" spans="1:13" ht="20.100000000000001" customHeight="1">
      <c r="B3" s="2" t="s">
        <v>6</v>
      </c>
      <c r="C3" s="452">
        <f>Well!C14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53">
        <f>Well!R14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53">
        <f>Well!Q14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54" t="str">
        <f>Well!D14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2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55">
        <f>Well!H14</f>
        <v>100</v>
      </c>
      <c r="D7" s="399" t="s">
        <v>61</v>
      </c>
      <c r="E7" s="321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55">
        <f>Well!G14</f>
        <v>150</v>
      </c>
    </row>
    <row r="9" spans="1:13" ht="20.100000000000001" customHeight="1" thickBot="1">
      <c r="B9" s="6" t="s">
        <v>62</v>
      </c>
      <c r="C9" s="456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54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54">
        <v>15</v>
      </c>
      <c r="D11" s="400" t="s">
        <v>66</v>
      </c>
      <c r="E11" s="185">
        <f>ROUND(AVERAGE(E10:G10),1)</f>
        <v>127.7</v>
      </c>
      <c r="F11" s="176">
        <f>ROUND((E10+F10)/2,1)</f>
        <v>132.4</v>
      </c>
      <c r="G11" s="351">
        <f>MAX(E10,F10,G10)</f>
        <v>145.69999999999999</v>
      </c>
      <c r="H11" s="15"/>
      <c r="I11" s="16"/>
      <c r="J11" s="437" t="s">
        <v>121</v>
      </c>
      <c r="K11" s="438"/>
    </row>
    <row r="12" spans="1:13" ht="20.100000000000001" customHeight="1">
      <c r="A12" s="17" t="str">
        <f>IF(A13&lt;&gt;C7,"CHECK","OK")</f>
        <v>OK</v>
      </c>
      <c r="B12" s="6" t="s">
        <v>67</v>
      </c>
      <c r="C12" s="457">
        <f>C7-C9</f>
        <v>80</v>
      </c>
      <c r="H12" s="18"/>
      <c r="J12" s="186" t="s">
        <v>123</v>
      </c>
      <c r="K12" s="403">
        <v>34</v>
      </c>
      <c r="L12" s="40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57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56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55">
        <f>Well!I14</f>
        <v>200</v>
      </c>
      <c r="E15" s="41">
        <v>11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58">
        <f>Well!J14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55">
        <f>Well!L14</f>
        <v>5</v>
      </c>
      <c r="E17" s="76">
        <f>Well!P14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55">
        <f>Well!M14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59">
        <f>Well!N14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60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61">
        <v>43.5</v>
      </c>
      <c r="D21" s="17"/>
      <c r="E21" s="178">
        <f>Well!$I$14</f>
        <v>200</v>
      </c>
      <c r="F21" s="251">
        <f>Well!O14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62">
        <f>C21-C20</f>
        <v>30.3</v>
      </c>
      <c r="E22" s="439">
        <f>E21+F21</f>
        <v>341.6</v>
      </c>
      <c r="F22" s="440"/>
      <c r="G22" s="20"/>
      <c r="I22" s="19"/>
    </row>
    <row r="23" spans="2:12" ht="20.100000000000001" customHeight="1" thickBot="1">
      <c r="B23" s="402" t="s">
        <v>264</v>
      </c>
      <c r="C23" s="401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33" t="s">
        <v>101</v>
      </c>
      <c r="C25" s="43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35" t="s">
        <v>50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245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262</v>
      </c>
    </row>
    <row r="27" spans="2:12" ht="25.5" customHeight="1">
      <c r="B27" s="43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263</v>
      </c>
    </row>
    <row r="28" spans="2:12" ht="25.5" customHeight="1">
      <c r="B28" s="43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3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3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3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4474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44740" r:id="rId4" name="CommandButton8"/>
      </mc:Fallback>
    </mc:AlternateContent>
    <mc:AlternateContent xmlns:mc="http://schemas.openxmlformats.org/markup-compatibility/2006">
      <mc:Choice Requires="x14">
        <control shapeId="24473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44739" r:id="rId6" name="CommandButton6"/>
      </mc:Fallback>
    </mc:AlternateContent>
    <mc:AlternateContent xmlns:mc="http://schemas.openxmlformats.org/markup-compatibility/2006">
      <mc:Choice Requires="x14">
        <control shapeId="24473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44738" r:id="rId8" name="Frame1"/>
      </mc:Fallback>
    </mc:AlternateContent>
    <mc:AlternateContent xmlns:mc="http://schemas.openxmlformats.org/markup-compatibility/2006">
      <mc:Choice Requires="x14">
        <control shapeId="24473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4473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606CE46-C62B-4445-B18C-9A491C948F75}">
          <x14:formula1>
            <xm:f>drastic!$A$4:$A$13</xm:f>
          </x14:formula1>
          <xm:sqref>F26</xm:sqref>
        </x14:dataValidation>
        <x14:dataValidation type="list" allowBlank="1" showInputMessage="1" showErrorMessage="1" xr:uid="{ABDD5C37-905A-4E2F-8F28-893855679101}">
          <x14:formula1>
            <xm:f>drastic!$D$4:$D$14</xm:f>
          </x14:formula1>
          <xm:sqref>G26</xm:sqref>
        </x14:dataValidation>
        <x14:dataValidation type="list" allowBlank="1" showInputMessage="1" showErrorMessage="1" xr:uid="{6646E23F-3A1D-47C1-8063-000C5A2BFCE9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/>
  <dimension ref="B1:N44"/>
  <sheetViews>
    <sheetView workbookViewId="0">
      <selection activeCell="H12" sqref="H12:J12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82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95</v>
      </c>
      <c r="C4" s="146" t="s">
        <v>88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55" t="s">
        <v>83</v>
      </c>
      <c r="C6" s="356">
        <v>44753.861111111109</v>
      </c>
      <c r="D6" s="125"/>
      <c r="E6" s="37"/>
      <c r="F6" s="37"/>
    </row>
    <row r="7" spans="2:14" s="38" customFormat="1" ht="26.1" customHeight="1" thickBot="1">
      <c r="B7" s="357" t="s">
        <v>84</v>
      </c>
      <c r="C7" s="358">
        <v>14.6</v>
      </c>
      <c r="D7" s="125"/>
      <c r="E7" s="37"/>
      <c r="F7" s="37"/>
    </row>
    <row r="8" spans="2:14" s="38" customFormat="1" ht="26.1" customHeight="1">
      <c r="B8" s="126" t="s">
        <v>85</v>
      </c>
      <c r="C8" s="127">
        <v>211</v>
      </c>
      <c r="D8" s="125"/>
      <c r="E8" s="37"/>
      <c r="F8" s="37"/>
    </row>
    <row r="9" spans="2:14" s="38" customFormat="1" ht="26.1" customHeight="1">
      <c r="B9" s="126" t="s">
        <v>86</v>
      </c>
      <c r="C9" s="148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443" t="s">
        <v>87</v>
      </c>
      <c r="C12" s="444"/>
      <c r="D12" s="445" t="s">
        <v>88</v>
      </c>
      <c r="E12" s="446"/>
      <c r="F12" s="444"/>
      <c r="H12" s="443" t="s">
        <v>88</v>
      </c>
      <c r="I12" s="446"/>
      <c r="J12" s="444"/>
      <c r="L12"/>
      <c r="M12"/>
      <c r="N12"/>
    </row>
    <row r="13" spans="2:14" s="37" customFormat="1" ht="26.1" customHeight="1">
      <c r="B13" s="128" t="s">
        <v>83</v>
      </c>
      <c r="C13" s="129" t="s">
        <v>89</v>
      </c>
      <c r="D13" s="143" t="s">
        <v>90</v>
      </c>
      <c r="E13" s="130" t="s">
        <v>91</v>
      </c>
      <c r="F13" s="129" t="s">
        <v>92</v>
      </c>
      <c r="H13" s="128" t="s">
        <v>90</v>
      </c>
      <c r="I13" s="130" t="s">
        <v>91</v>
      </c>
      <c r="J13" s="129" t="s">
        <v>92</v>
      </c>
      <c r="L13"/>
      <c r="M13"/>
      <c r="N13"/>
    </row>
    <row r="14" spans="2:14" s="37" customFormat="1" ht="26.1" customHeight="1">
      <c r="B14" s="149">
        <f>$C$6+C14/1440</f>
        <v>44753.864583333328</v>
      </c>
      <c r="C14" s="72">
        <v>5</v>
      </c>
      <c r="D14" s="150">
        <f t="shared" ref="D14:D20" si="0">baseTemp+H14</f>
        <v>14.799999999999999</v>
      </c>
      <c r="E14" s="151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2">
        <f t="shared" ref="B15:B23" si="1">$C$6+C15/1440</f>
        <v>44753.881944444445</v>
      </c>
      <c r="C15" s="71">
        <v>30</v>
      </c>
      <c r="D15" s="153">
        <f t="shared" si="0"/>
        <v>14.4</v>
      </c>
      <c r="E15" s="154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2">
        <f t="shared" si="1"/>
        <v>44753.902777777774</v>
      </c>
      <c r="C16" s="71">
        <v>60</v>
      </c>
      <c r="D16" s="153">
        <f t="shared" si="0"/>
        <v>14.4</v>
      </c>
      <c r="E16" s="154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2">
        <f t="shared" si="1"/>
        <v>44753.944444444445</v>
      </c>
      <c r="C17" s="71">
        <v>120</v>
      </c>
      <c r="D17" s="153">
        <f t="shared" si="0"/>
        <v>14.9</v>
      </c>
      <c r="E17" s="154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2">
        <f t="shared" si="1"/>
        <v>44754.027777777774</v>
      </c>
      <c r="C18" s="71">
        <v>240</v>
      </c>
      <c r="D18" s="153">
        <f t="shared" si="0"/>
        <v>14.299999999999999</v>
      </c>
      <c r="E18" s="154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2">
        <f t="shared" si="1"/>
        <v>44754.194444444445</v>
      </c>
      <c r="C19" s="71">
        <v>480</v>
      </c>
      <c r="D19" s="155">
        <f t="shared" si="0"/>
        <v>14.799999999999999</v>
      </c>
      <c r="E19" s="154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2">
        <f t="shared" si="1"/>
        <v>44754.861111111109</v>
      </c>
      <c r="C20" s="71">
        <v>1440</v>
      </c>
      <c r="D20" s="153">
        <f t="shared" si="0"/>
        <v>14.799999999999999</v>
      </c>
      <c r="E20" s="154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2">
        <f t="shared" si="1"/>
        <v>44755.027777777774</v>
      </c>
      <c r="C21" s="71">
        <v>1680</v>
      </c>
      <c r="D21" s="153">
        <f>$D$20</f>
        <v>14.799999999999999</v>
      </c>
      <c r="E21" s="154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2">
        <f t="shared" si="1"/>
        <v>44755.194444444445</v>
      </c>
      <c r="C22" s="71">
        <v>1920</v>
      </c>
      <c r="D22" s="153">
        <f t="shared" ref="D22:D23" si="4">$D$20</f>
        <v>14.799999999999999</v>
      </c>
      <c r="E22" s="154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2">
        <f t="shared" si="1"/>
        <v>44755.861111111109</v>
      </c>
      <c r="C23" s="71">
        <v>2880</v>
      </c>
      <c r="D23" s="153">
        <f t="shared" si="4"/>
        <v>14.799999999999999</v>
      </c>
      <c r="E23" s="154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447" t="s">
        <v>36</v>
      </c>
      <c r="C24" s="448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447" t="s">
        <v>37</v>
      </c>
      <c r="C25" s="448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441" t="s">
        <v>93</v>
      </c>
      <c r="C26" s="442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/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82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95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59" t="s">
        <v>83</v>
      </c>
      <c r="C6" s="360">
        <v>44753.861111111109</v>
      </c>
      <c r="D6" s="125"/>
      <c r="E6" s="37"/>
      <c r="F6" s="37"/>
    </row>
    <row r="7" spans="2:9" s="38" customFormat="1" ht="26.1" customHeight="1" thickBot="1">
      <c r="B7" s="357" t="s">
        <v>84</v>
      </c>
      <c r="C7" s="358">
        <v>14</v>
      </c>
      <c r="D7" s="125"/>
      <c r="E7" s="37"/>
      <c r="F7" s="37"/>
    </row>
    <row r="8" spans="2:9" s="38" customFormat="1" ht="26.1" customHeight="1">
      <c r="B8" s="126" t="s">
        <v>85</v>
      </c>
      <c r="C8" s="127">
        <v>226</v>
      </c>
      <c r="D8" s="126">
        <v>229</v>
      </c>
      <c r="E8" s="37"/>
      <c r="F8" s="37"/>
    </row>
    <row r="9" spans="2:9" s="38" customFormat="1" ht="26.1" customHeight="1">
      <c r="B9" s="126" t="s">
        <v>86</v>
      </c>
      <c r="C9" s="127">
        <v>7.9</v>
      </c>
      <c r="D9" s="126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443" t="s">
        <v>87</v>
      </c>
      <c r="C12" s="444"/>
      <c r="D12" s="443" t="s">
        <v>88</v>
      </c>
      <c r="E12" s="446"/>
      <c r="F12" s="444"/>
      <c r="G12" s="449" t="s">
        <v>161</v>
      </c>
      <c r="H12" s="450"/>
      <c r="I12" s="451"/>
    </row>
    <row r="13" spans="2:9" s="37" customFormat="1" ht="26.1" customHeight="1">
      <c r="B13" s="128" t="s">
        <v>83</v>
      </c>
      <c r="C13" s="129" t="s">
        <v>89</v>
      </c>
      <c r="D13" s="337" t="s">
        <v>90</v>
      </c>
      <c r="E13" s="338" t="s">
        <v>91</v>
      </c>
      <c r="F13" s="339" t="s">
        <v>92</v>
      </c>
      <c r="G13" s="343" t="s">
        <v>90</v>
      </c>
      <c r="H13" s="344" t="s">
        <v>91</v>
      </c>
      <c r="I13" s="345" t="s">
        <v>92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50">
        <f t="shared" ref="D14:D23" si="0">baseTemp+D31</f>
        <v>14</v>
      </c>
      <c r="E14" s="341">
        <f t="shared" ref="E14:E20" si="1">$C$8+E31</f>
        <v>223</v>
      </c>
      <c r="F14" s="342">
        <f t="shared" ref="F14:F20" si="2">$C$9+F31</f>
        <v>7.83</v>
      </c>
      <c r="G14" s="350">
        <f t="shared" ref="G14:G20" si="3">baseTemp+H31</f>
        <v>14</v>
      </c>
      <c r="H14" s="341">
        <f>$D$8+I31</f>
        <v>232</v>
      </c>
      <c r="I14" s="342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50">
        <f t="shared" si="0"/>
        <v>14.1</v>
      </c>
      <c r="E15" s="341">
        <f t="shared" si="1"/>
        <v>224</v>
      </c>
      <c r="F15" s="342">
        <f t="shared" si="2"/>
        <v>7.82</v>
      </c>
      <c r="G15" s="350">
        <f t="shared" si="3"/>
        <v>14</v>
      </c>
      <c r="H15" s="341">
        <f t="shared" ref="H15:H20" si="5">$D$8+I32</f>
        <v>226</v>
      </c>
      <c r="I15" s="342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50">
        <f t="shared" si="0"/>
        <v>14</v>
      </c>
      <c r="E16" s="341">
        <f t="shared" si="1"/>
        <v>228</v>
      </c>
      <c r="F16" s="342">
        <f t="shared" si="2"/>
        <v>8.01</v>
      </c>
      <c r="G16" s="350">
        <f t="shared" si="3"/>
        <v>13.9</v>
      </c>
      <c r="H16" s="341">
        <f t="shared" si="5"/>
        <v>232</v>
      </c>
      <c r="I16" s="342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50">
        <f t="shared" si="0"/>
        <v>14</v>
      </c>
      <c r="E17" s="341">
        <f t="shared" si="1"/>
        <v>228</v>
      </c>
      <c r="F17" s="342">
        <f t="shared" si="2"/>
        <v>8.01</v>
      </c>
      <c r="G17" s="350">
        <f t="shared" si="3"/>
        <v>13.9</v>
      </c>
      <c r="H17" s="341">
        <f t="shared" si="5"/>
        <v>228</v>
      </c>
      <c r="I17" s="342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50">
        <f t="shared" si="0"/>
        <v>14.1</v>
      </c>
      <c r="E18" s="341">
        <f t="shared" si="1"/>
        <v>227</v>
      </c>
      <c r="F18" s="342">
        <f t="shared" si="2"/>
        <v>8.01</v>
      </c>
      <c r="G18" s="350">
        <f t="shared" si="3"/>
        <v>13.9</v>
      </c>
      <c r="H18" s="341">
        <f t="shared" si="5"/>
        <v>230</v>
      </c>
      <c r="I18" s="342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50">
        <f t="shared" si="0"/>
        <v>14</v>
      </c>
      <c r="E19" s="341">
        <f t="shared" si="1"/>
        <v>225</v>
      </c>
      <c r="F19" s="342">
        <f t="shared" si="2"/>
        <v>7.78</v>
      </c>
      <c r="G19" s="350">
        <f t="shared" si="3"/>
        <v>13.9</v>
      </c>
      <c r="H19" s="341">
        <f t="shared" si="5"/>
        <v>228</v>
      </c>
      <c r="I19" s="342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50">
        <f t="shared" si="0"/>
        <v>14.1</v>
      </c>
      <c r="E20" s="341">
        <f t="shared" si="1"/>
        <v>227</v>
      </c>
      <c r="F20" s="342">
        <f t="shared" si="2"/>
        <v>7.9700000000000006</v>
      </c>
      <c r="G20" s="350">
        <f t="shared" si="3"/>
        <v>13.9</v>
      </c>
      <c r="H20" s="341">
        <f t="shared" si="5"/>
        <v>227</v>
      </c>
      <c r="I20" s="342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50">
        <f t="shared" si="0"/>
        <v>14</v>
      </c>
      <c r="E21" s="341">
        <f>$E$20</f>
        <v>227</v>
      </c>
      <c r="F21" s="342">
        <f>$F$20</f>
        <v>7.9700000000000006</v>
      </c>
      <c r="G21" s="350">
        <f>$G$20</f>
        <v>13.9</v>
      </c>
      <c r="H21" s="341">
        <f>$H$20</f>
        <v>227</v>
      </c>
      <c r="I21" s="342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50">
        <f t="shared" si="0"/>
        <v>14</v>
      </c>
      <c r="E22" s="341">
        <f t="shared" ref="E22:E23" si="7">$E$20</f>
        <v>227</v>
      </c>
      <c r="F22" s="342">
        <f t="shared" ref="F22:F23" si="8">$F$20</f>
        <v>7.9700000000000006</v>
      </c>
      <c r="G22" s="350">
        <f t="shared" ref="G22:G23" si="9">$G$20</f>
        <v>13.9</v>
      </c>
      <c r="H22" s="341">
        <f t="shared" ref="H22:H23" si="10">$H$20</f>
        <v>227</v>
      </c>
      <c r="I22" s="342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50">
        <f t="shared" si="0"/>
        <v>14</v>
      </c>
      <c r="E23" s="341">
        <f t="shared" si="7"/>
        <v>227</v>
      </c>
      <c r="F23" s="342">
        <f t="shared" si="8"/>
        <v>7.9700000000000006</v>
      </c>
      <c r="G23" s="350">
        <f t="shared" si="9"/>
        <v>13.9</v>
      </c>
      <c r="H23" s="341">
        <f t="shared" si="10"/>
        <v>227</v>
      </c>
      <c r="I23" s="342">
        <f t="shared" si="11"/>
        <v>7.7299999999999995</v>
      </c>
    </row>
    <row r="24" spans="2:10" s="38" customFormat="1" ht="26.1" customHeight="1">
      <c r="B24" s="447" t="s">
        <v>36</v>
      </c>
      <c r="C24" s="448"/>
      <c r="D24" s="343">
        <f>MAX(D14:D23)</f>
        <v>14.1</v>
      </c>
      <c r="E24" s="344">
        <f t="shared" ref="E24:F24" si="12">MAX(E14:E23)</f>
        <v>228</v>
      </c>
      <c r="F24" s="345">
        <f t="shared" si="12"/>
        <v>8.01</v>
      </c>
      <c r="G24" s="343">
        <f>MAX(G14:G23)</f>
        <v>14</v>
      </c>
      <c r="H24" s="344">
        <f t="shared" ref="H24:I24" si="13">MAX(H14:H23)</f>
        <v>232</v>
      </c>
      <c r="I24" s="345">
        <f t="shared" si="13"/>
        <v>7.92</v>
      </c>
      <c r="J24" s="37"/>
    </row>
    <row r="25" spans="2:10" s="38" customFormat="1" ht="26.1" customHeight="1">
      <c r="B25" s="447" t="s">
        <v>37</v>
      </c>
      <c r="C25" s="448"/>
      <c r="D25" s="343">
        <f>MIN(D14:D23)</f>
        <v>14</v>
      </c>
      <c r="E25" s="344">
        <f t="shared" ref="E25:F25" si="14">MIN(E14:E23)</f>
        <v>223</v>
      </c>
      <c r="F25" s="346">
        <f t="shared" si="14"/>
        <v>7.78</v>
      </c>
      <c r="G25" s="343">
        <f>MIN(G14:G23)</f>
        <v>13.9</v>
      </c>
      <c r="H25" s="344">
        <f t="shared" ref="H25:I25" si="15">MIN(H14:H23)</f>
        <v>226</v>
      </c>
      <c r="I25" s="345">
        <f t="shared" si="15"/>
        <v>7.7</v>
      </c>
      <c r="J25" s="37"/>
    </row>
    <row r="26" spans="2:10" s="38" customFormat="1" ht="26.1" customHeight="1" thickBot="1">
      <c r="B26" s="441" t="s">
        <v>93</v>
      </c>
      <c r="C26" s="442"/>
      <c r="D26" s="347">
        <f>D24-D25</f>
        <v>9.9999999999999645E-2</v>
      </c>
      <c r="E26" s="348">
        <f t="shared" ref="E26:F26" si="16">E24-E25</f>
        <v>5</v>
      </c>
      <c r="F26" s="349">
        <f t="shared" si="16"/>
        <v>0.22999999999999954</v>
      </c>
      <c r="G26" s="347">
        <f>G24-G25</f>
        <v>9.9999999999999645E-2</v>
      </c>
      <c r="H26" s="348">
        <f t="shared" ref="H26:I26" si="17">H24-H25</f>
        <v>6</v>
      </c>
      <c r="I26" s="349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443" t="s">
        <v>88</v>
      </c>
      <c r="E29" s="446"/>
      <c r="F29" s="444"/>
      <c r="H29" s="443" t="s">
        <v>161</v>
      </c>
      <c r="I29" s="446"/>
      <c r="J29" s="444"/>
    </row>
    <row r="30" spans="2:10" s="38" customFormat="1" ht="18" customHeight="1">
      <c r="D30" s="128" t="s">
        <v>90</v>
      </c>
      <c r="E30" s="130" t="s">
        <v>91</v>
      </c>
      <c r="F30" s="129" t="s">
        <v>92</v>
      </c>
      <c r="H30" s="128" t="s">
        <v>90</v>
      </c>
      <c r="I30" s="130" t="s">
        <v>91</v>
      </c>
      <c r="J30" s="129" t="s">
        <v>92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8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/>
  <dimension ref="B1:N44"/>
  <sheetViews>
    <sheetView tabSelected="1" workbookViewId="0">
      <selection activeCell="N18" sqref="N18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82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95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59" t="s">
        <v>83</v>
      </c>
      <c r="C6" s="360">
        <v>44717.430555555555</v>
      </c>
      <c r="D6" s="125"/>
      <c r="E6" s="37"/>
      <c r="F6" s="37"/>
    </row>
    <row r="7" spans="2:12" s="38" customFormat="1" ht="26.1" customHeight="1" thickBot="1">
      <c r="B7" s="357" t="s">
        <v>84</v>
      </c>
      <c r="C7" s="358">
        <v>14.7</v>
      </c>
      <c r="D7" s="125"/>
      <c r="E7" s="37"/>
      <c r="F7" s="37"/>
    </row>
    <row r="8" spans="2:12" s="38" customFormat="1" ht="26.1" customHeight="1">
      <c r="B8" s="126" t="s">
        <v>85</v>
      </c>
      <c r="C8" s="127">
        <v>197</v>
      </c>
      <c r="D8" s="126">
        <v>197</v>
      </c>
      <c r="E8" s="37">
        <v>194</v>
      </c>
      <c r="F8" s="37"/>
    </row>
    <row r="9" spans="2:12" s="38" customFormat="1" ht="26.1" customHeight="1">
      <c r="B9" s="126" t="s">
        <v>86</v>
      </c>
      <c r="C9" s="127">
        <v>8.4</v>
      </c>
      <c r="D9" s="126">
        <v>8.3000000000000007</v>
      </c>
      <c r="E9" s="37">
        <v>8.4</v>
      </c>
      <c r="F9" s="37"/>
    </row>
    <row r="10" spans="2:12" s="38" customFormat="1" ht="26.1" customHeight="1">
      <c r="B10" s="126"/>
      <c r="C10" s="127"/>
      <c r="D10" s="125"/>
      <c r="E10" s="37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443" t="s">
        <v>87</v>
      </c>
      <c r="C12" s="444"/>
      <c r="D12" s="449" t="s">
        <v>267</v>
      </c>
      <c r="E12" s="450"/>
      <c r="F12" s="451"/>
      <c r="G12" s="449" t="s">
        <v>161</v>
      </c>
      <c r="H12" s="450"/>
      <c r="I12" s="451"/>
      <c r="J12" s="449" t="s">
        <v>162</v>
      </c>
      <c r="K12" s="450"/>
      <c r="L12" s="451"/>
    </row>
    <row r="13" spans="2:12" s="37" customFormat="1" ht="27" customHeight="1">
      <c r="B13" s="128" t="s">
        <v>83</v>
      </c>
      <c r="C13" s="129" t="s">
        <v>89</v>
      </c>
      <c r="D13" s="343" t="s">
        <v>165</v>
      </c>
      <c r="E13" s="344" t="s">
        <v>175</v>
      </c>
      <c r="F13" s="345" t="s">
        <v>92</v>
      </c>
      <c r="G13" s="343" t="s">
        <v>165</v>
      </c>
      <c r="H13" s="344" t="s">
        <v>175</v>
      </c>
      <c r="I13" s="345" t="s">
        <v>92</v>
      </c>
      <c r="J13" s="343" t="s">
        <v>165</v>
      </c>
      <c r="K13" s="344" t="s">
        <v>175</v>
      </c>
      <c r="L13" s="345" t="s">
        <v>92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40">
        <f t="shared" ref="D14:D20" si="0">baseTemp+D31</f>
        <v>14.7</v>
      </c>
      <c r="E14" s="341">
        <f t="shared" ref="E14:E20" si="1">$C$8+E31</f>
        <v>194</v>
      </c>
      <c r="F14" s="342">
        <f t="shared" ref="F14:F20" si="2">$C$9+F31</f>
        <v>8.33</v>
      </c>
      <c r="G14" s="350">
        <f t="shared" ref="G14:G20" si="3">baseTemp+H31</f>
        <v>14.7</v>
      </c>
      <c r="H14" s="341">
        <f>$D$8+I31</f>
        <v>200</v>
      </c>
      <c r="I14" s="342">
        <f>$D$9+J31</f>
        <v>8.39</v>
      </c>
      <c r="J14" s="350">
        <f t="shared" ref="J14:J20" si="4">baseTemp+L31</f>
        <v>14.7</v>
      </c>
      <c r="K14" s="341">
        <f>$E$8+M31</f>
        <v>195</v>
      </c>
      <c r="L14" s="342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40">
        <f t="shared" si="0"/>
        <v>14.799999999999999</v>
      </c>
      <c r="E15" s="341">
        <f t="shared" si="1"/>
        <v>195</v>
      </c>
      <c r="F15" s="342">
        <f t="shared" si="2"/>
        <v>8.32</v>
      </c>
      <c r="G15" s="350">
        <f t="shared" si="3"/>
        <v>14.7</v>
      </c>
      <c r="H15" s="341">
        <f t="shared" ref="H15:H20" si="6">$D$8+I32</f>
        <v>194</v>
      </c>
      <c r="I15" s="342">
        <f t="shared" ref="I15:I20" si="7">$D$9+J32</f>
        <v>8.2100000000000009</v>
      </c>
      <c r="J15" s="350">
        <f t="shared" si="4"/>
        <v>14.7</v>
      </c>
      <c r="K15" s="341">
        <f t="shared" ref="K15:K20" si="8">$E$8+M32</f>
        <v>192</v>
      </c>
      <c r="L15" s="342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40">
        <f t="shared" si="0"/>
        <v>14.7</v>
      </c>
      <c r="E16" s="341">
        <f t="shared" si="1"/>
        <v>199</v>
      </c>
      <c r="F16" s="342">
        <f t="shared" si="2"/>
        <v>8.51</v>
      </c>
      <c r="G16" s="350">
        <f t="shared" si="3"/>
        <v>14.6</v>
      </c>
      <c r="H16" s="341">
        <f t="shared" si="6"/>
        <v>200</v>
      </c>
      <c r="I16" s="342">
        <f t="shared" si="7"/>
        <v>8.2000000000000011</v>
      </c>
      <c r="J16" s="350">
        <f t="shared" si="4"/>
        <v>14.799999999999999</v>
      </c>
      <c r="K16" s="341">
        <f t="shared" si="8"/>
        <v>193</v>
      </c>
      <c r="L16" s="342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40">
        <f t="shared" si="0"/>
        <v>14.7</v>
      </c>
      <c r="E17" s="341">
        <f t="shared" si="1"/>
        <v>199</v>
      </c>
      <c r="F17" s="342">
        <f t="shared" si="2"/>
        <v>8.51</v>
      </c>
      <c r="G17" s="350">
        <f t="shared" si="3"/>
        <v>14.6</v>
      </c>
      <c r="H17" s="341">
        <f t="shared" si="6"/>
        <v>196</v>
      </c>
      <c r="I17" s="342">
        <f t="shared" si="7"/>
        <v>8.2000000000000011</v>
      </c>
      <c r="J17" s="350">
        <f t="shared" si="4"/>
        <v>14.799999999999999</v>
      </c>
      <c r="K17" s="341">
        <f t="shared" si="8"/>
        <v>196</v>
      </c>
      <c r="L17" s="342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40">
        <f t="shared" si="0"/>
        <v>14.799999999999999</v>
      </c>
      <c r="E18" s="341">
        <f t="shared" si="1"/>
        <v>198</v>
      </c>
      <c r="F18" s="342">
        <f t="shared" si="2"/>
        <v>8.51</v>
      </c>
      <c r="G18" s="350">
        <f t="shared" si="3"/>
        <v>14.6</v>
      </c>
      <c r="H18" s="341">
        <f t="shared" si="6"/>
        <v>198</v>
      </c>
      <c r="I18" s="342">
        <f t="shared" si="7"/>
        <v>8.2000000000000011</v>
      </c>
      <c r="J18" s="350">
        <f t="shared" si="4"/>
        <v>14.6</v>
      </c>
      <c r="K18" s="341">
        <f t="shared" si="8"/>
        <v>196</v>
      </c>
      <c r="L18" s="342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40">
        <f t="shared" si="0"/>
        <v>14.7</v>
      </c>
      <c r="E19" s="341">
        <f t="shared" si="1"/>
        <v>196</v>
      </c>
      <c r="F19" s="342">
        <f t="shared" si="2"/>
        <v>8.2800000000000011</v>
      </c>
      <c r="G19" s="350">
        <f t="shared" si="3"/>
        <v>14.6</v>
      </c>
      <c r="H19" s="341">
        <f t="shared" si="6"/>
        <v>196</v>
      </c>
      <c r="I19" s="342">
        <f t="shared" si="7"/>
        <v>8.42</v>
      </c>
      <c r="J19" s="350">
        <f t="shared" si="4"/>
        <v>14.799999999999999</v>
      </c>
      <c r="K19" s="341">
        <f t="shared" si="8"/>
        <v>191</v>
      </c>
      <c r="L19" s="342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40">
        <f t="shared" si="0"/>
        <v>14.799999999999999</v>
      </c>
      <c r="E20" s="341">
        <f t="shared" si="1"/>
        <v>198</v>
      </c>
      <c r="F20" s="342">
        <f t="shared" si="2"/>
        <v>8.4700000000000006</v>
      </c>
      <c r="G20" s="350">
        <f t="shared" si="3"/>
        <v>14.6</v>
      </c>
      <c r="H20" s="341">
        <f t="shared" si="6"/>
        <v>195</v>
      </c>
      <c r="I20" s="342">
        <f t="shared" si="7"/>
        <v>8.23</v>
      </c>
      <c r="J20" s="350">
        <f t="shared" si="4"/>
        <v>14.6</v>
      </c>
      <c r="K20" s="341">
        <f t="shared" si="8"/>
        <v>191</v>
      </c>
      <c r="L20" s="342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40">
        <f>$D$20</f>
        <v>14.799999999999999</v>
      </c>
      <c r="E21" s="341">
        <f>$E$20</f>
        <v>198</v>
      </c>
      <c r="F21" s="342">
        <f>$F$20</f>
        <v>8.4700000000000006</v>
      </c>
      <c r="G21" s="350">
        <f>$G$20</f>
        <v>14.6</v>
      </c>
      <c r="H21" s="341">
        <f>$H$20</f>
        <v>195</v>
      </c>
      <c r="I21" s="342">
        <f>$I$20</f>
        <v>8.23</v>
      </c>
      <c r="J21" s="350">
        <f>$J$20</f>
        <v>14.6</v>
      </c>
      <c r="K21" s="341">
        <f>$K$20</f>
        <v>191</v>
      </c>
      <c r="L21" s="342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40">
        <f t="shared" ref="D22:D23" si="10">$D$20</f>
        <v>14.799999999999999</v>
      </c>
      <c r="E22" s="341">
        <f t="shared" ref="E22:E23" si="11">$E$20</f>
        <v>198</v>
      </c>
      <c r="F22" s="342">
        <f t="shared" ref="F22:F23" si="12">$F$20</f>
        <v>8.4700000000000006</v>
      </c>
      <c r="G22" s="350">
        <f t="shared" ref="G22:G23" si="13">$G$20</f>
        <v>14.6</v>
      </c>
      <c r="H22" s="341">
        <f t="shared" ref="H22:H23" si="14">$H$20</f>
        <v>195</v>
      </c>
      <c r="I22" s="342">
        <f t="shared" ref="I22:I23" si="15">$I$20</f>
        <v>8.23</v>
      </c>
      <c r="J22" s="350">
        <f t="shared" ref="J22:J23" si="16">$J$20</f>
        <v>14.6</v>
      </c>
      <c r="K22" s="341">
        <f t="shared" ref="K22:K23" si="17">$K$20</f>
        <v>191</v>
      </c>
      <c r="L22" s="342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40">
        <f t="shared" si="10"/>
        <v>14.799999999999999</v>
      </c>
      <c r="E23" s="341">
        <f t="shared" si="11"/>
        <v>198</v>
      </c>
      <c r="F23" s="342">
        <f t="shared" si="12"/>
        <v>8.4700000000000006</v>
      </c>
      <c r="G23" s="350">
        <f t="shared" si="13"/>
        <v>14.6</v>
      </c>
      <c r="H23" s="341">
        <f t="shared" si="14"/>
        <v>195</v>
      </c>
      <c r="I23" s="342">
        <f t="shared" si="15"/>
        <v>8.23</v>
      </c>
      <c r="J23" s="350">
        <f t="shared" si="16"/>
        <v>14.6</v>
      </c>
      <c r="K23" s="341">
        <f t="shared" si="17"/>
        <v>191</v>
      </c>
      <c r="L23" s="342">
        <f t="shared" si="18"/>
        <v>8.33</v>
      </c>
    </row>
    <row r="24" spans="2:14" s="38" customFormat="1" ht="27" customHeight="1">
      <c r="B24" s="447" t="s">
        <v>36</v>
      </c>
      <c r="C24" s="448"/>
      <c r="D24" s="343">
        <f>MAX(D14:D23)</f>
        <v>14.799999999999999</v>
      </c>
      <c r="E24" s="344">
        <f t="shared" ref="E24:F24" si="19">MAX(E14:E23)</f>
        <v>199</v>
      </c>
      <c r="F24" s="345">
        <f t="shared" si="19"/>
        <v>8.51</v>
      </c>
      <c r="G24" s="343">
        <f>MAX(G14:G23)</f>
        <v>14.7</v>
      </c>
      <c r="H24" s="344">
        <f t="shared" ref="H24:I24" si="20">MAX(H14:H23)</f>
        <v>200</v>
      </c>
      <c r="I24" s="345">
        <f t="shared" si="20"/>
        <v>8.42</v>
      </c>
      <c r="J24" s="343">
        <f>MAX(J14:J23)</f>
        <v>14.799999999999999</v>
      </c>
      <c r="K24" s="344">
        <f t="shared" ref="K24:L24" si="21">MAX(K14:K23)</f>
        <v>196</v>
      </c>
      <c r="L24" s="345">
        <f t="shared" si="21"/>
        <v>8.52</v>
      </c>
    </row>
    <row r="25" spans="2:14" s="38" customFormat="1" ht="27" customHeight="1">
      <c r="B25" s="447" t="s">
        <v>37</v>
      </c>
      <c r="C25" s="448"/>
      <c r="D25" s="343">
        <f>MIN(D14:D23)</f>
        <v>14.7</v>
      </c>
      <c r="E25" s="344">
        <f t="shared" ref="E25:F25" si="22">MIN(E14:E23)</f>
        <v>194</v>
      </c>
      <c r="F25" s="345">
        <f t="shared" si="22"/>
        <v>8.2800000000000011</v>
      </c>
      <c r="G25" s="343">
        <f>MIN(G14:G23)</f>
        <v>14.6</v>
      </c>
      <c r="H25" s="344">
        <f t="shared" ref="H25:I25" si="23">MIN(H14:H23)</f>
        <v>194</v>
      </c>
      <c r="I25" s="345">
        <f t="shared" si="23"/>
        <v>8.2000000000000011</v>
      </c>
      <c r="J25" s="343">
        <f>MIN(J14:J23)</f>
        <v>14.6</v>
      </c>
      <c r="K25" s="344">
        <f t="shared" ref="K25:L25" si="24">MIN(K14:K23)</f>
        <v>191</v>
      </c>
      <c r="L25" s="345">
        <f t="shared" si="24"/>
        <v>8.2800000000000011</v>
      </c>
    </row>
    <row r="26" spans="2:14" s="38" customFormat="1" ht="27" customHeight="1" thickBot="1">
      <c r="B26" s="441" t="s">
        <v>93</v>
      </c>
      <c r="C26" s="442"/>
      <c r="D26" s="347">
        <f>D24-D25</f>
        <v>9.9999999999999645E-2</v>
      </c>
      <c r="E26" s="348">
        <f t="shared" ref="E26:F26" si="25">E24-E25</f>
        <v>5</v>
      </c>
      <c r="F26" s="349">
        <f t="shared" si="25"/>
        <v>0.22999999999999865</v>
      </c>
      <c r="G26" s="347">
        <f>G24-G25</f>
        <v>9.9999999999999645E-2</v>
      </c>
      <c r="H26" s="348">
        <f t="shared" ref="H26:I26" si="26">H24-H25</f>
        <v>6</v>
      </c>
      <c r="I26" s="349">
        <f t="shared" si="26"/>
        <v>0.21999999999999886</v>
      </c>
      <c r="J26" s="347">
        <f>J24-J25</f>
        <v>0.19999999999999929</v>
      </c>
      <c r="K26" s="348">
        <f t="shared" ref="K26:L26" si="27">K24-K25</f>
        <v>5</v>
      </c>
      <c r="L26" s="349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443" t="s">
        <v>88</v>
      </c>
      <c r="E29" s="446"/>
      <c r="F29" s="444"/>
      <c r="H29" s="443" t="s">
        <v>161</v>
      </c>
      <c r="I29" s="446"/>
      <c r="J29" s="444"/>
      <c r="L29" s="443" t="s">
        <v>162</v>
      </c>
      <c r="M29" s="446"/>
      <c r="N29" s="444"/>
    </row>
    <row r="30" spans="2:14" s="38" customFormat="1" ht="18" customHeight="1">
      <c r="D30" s="128" t="s">
        <v>166</v>
      </c>
      <c r="E30" s="130" t="s">
        <v>167</v>
      </c>
      <c r="F30" s="129" t="s">
        <v>92</v>
      </c>
      <c r="H30" s="128" t="s">
        <v>166</v>
      </c>
      <c r="I30" s="130" t="s">
        <v>167</v>
      </c>
      <c r="J30" s="129" t="s">
        <v>92</v>
      </c>
      <c r="L30" s="128" t="s">
        <v>166</v>
      </c>
      <c r="M30" s="130" t="s">
        <v>167</v>
      </c>
      <c r="N30" s="129" t="s">
        <v>92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23</vt:i4>
      </vt:variant>
    </vt:vector>
  </HeadingPairs>
  <TitlesOfParts>
    <vt:vector size="45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'10'!DaeGweonYeok</vt:lpstr>
      <vt:lpstr>'11'!DaeGweonYeok</vt:lpstr>
      <vt:lpstr>'2'!DaeGweonYeok</vt:lpstr>
      <vt:lpstr>'3'!DaeGweonYeok</vt:lpstr>
      <vt:lpstr>'4'!DaeGweonYeok</vt:lpstr>
      <vt:lpstr>'5'!DaeGweonYeok</vt:lpstr>
      <vt:lpstr>'6'!DaeGweonYeok</vt:lpstr>
      <vt:lpstr>'7'!DaeGweonYeok</vt:lpstr>
      <vt:lpstr>'8'!DaeGweonYeok</vt:lpstr>
      <vt:lpstr>'9'!DaeGweonYeok</vt:lpstr>
      <vt:lpstr>DaeGweonYeok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2023-03-14T19:50:33Z</dcterms:modified>
</cp:coreProperties>
</file>