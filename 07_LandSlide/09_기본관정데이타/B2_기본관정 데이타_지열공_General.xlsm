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5_지열공 - 목포해양대학교, 국제교류센터 - 한일지하수\"/>
    </mc:Choice>
  </mc:AlternateContent>
  <xr:revisionPtr revIDLastSave="0" documentId="13_ncr:1_{5AF0F01F-B46E-4C77-8B50-994AA85BB5F3}" xr6:coauthVersionLast="47" xr6:coauthVersionMax="47" xr10:uidLastSave="{00000000-0000-0000-0000-000000000000}"/>
  <bookViews>
    <workbookView xWindow="5640" yWindow="930" windowWidth="29370" windowHeight="19980" tabRatio="598" activeTab="1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4" sheetId="231" r:id="rId17"/>
    <sheet name="5" sheetId="232" r:id="rId18"/>
    <sheet name="6" sheetId="233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Well!$I$11</definedName>
  </definedNames>
  <calcPr calcId="191029"/>
  <fileRecoveryPr autoRecover="0"/>
</workbook>
</file>

<file path=xl/calcChain.xml><?xml version="1.0" encoding="utf-8"?>
<calcChain xmlns="http://schemas.openxmlformats.org/spreadsheetml/2006/main">
  <c r="K6" i="55" l="1"/>
  <c r="K5" i="55"/>
  <c r="K4" i="55"/>
  <c r="K3" i="55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E21" i="233" l="1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21" i="232"/>
  <c r="E22" i="232" s="1"/>
  <c r="F21" i="232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21" i="231"/>
  <c r="F21" i="231"/>
  <c r="E17" i="231"/>
  <c r="E19" i="231" s="1"/>
  <c r="C19" i="231"/>
  <c r="C18" i="231"/>
  <c r="C17" i="231"/>
  <c r="C16" i="231"/>
  <c r="C15" i="231"/>
  <c r="C8" i="231"/>
  <c r="C7" i="231"/>
  <c r="C14" i="231" s="1"/>
  <c r="F5" i="231" s="1"/>
  <c r="C6" i="231"/>
  <c r="C5" i="231"/>
  <c r="C4" i="231"/>
  <c r="C3" i="231"/>
  <c r="C2" i="231"/>
  <c r="E21" i="186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E22" i="233"/>
  <c r="E19" i="233"/>
  <c r="K16" i="233"/>
  <c r="K17" i="233" s="1"/>
  <c r="K18" i="233" s="1"/>
  <c r="L18" i="233" s="1"/>
  <c r="H26" i="233" s="1"/>
  <c r="E13" i="233"/>
  <c r="L12" i="233"/>
  <c r="G11" i="233"/>
  <c r="F11" i="233"/>
  <c r="E11" i="233"/>
  <c r="C9" i="233"/>
  <c r="C14" i="233" s="1"/>
  <c r="G7" i="233"/>
  <c r="E7" i="233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E19" i="232"/>
  <c r="K16" i="232"/>
  <c r="K17" i="232" s="1"/>
  <c r="K18" i="232" s="1"/>
  <c r="L18" i="232" s="1"/>
  <c r="H26" i="232" s="1"/>
  <c r="E13" i="232"/>
  <c r="L12" i="232"/>
  <c r="G11" i="232"/>
  <c r="F11" i="232"/>
  <c r="E11" i="232"/>
  <c r="C9" i="232"/>
  <c r="C12" i="232" s="1"/>
  <c r="A13" i="232" s="1"/>
  <c r="A12" i="232" s="1"/>
  <c r="G7" i="232"/>
  <c r="E7" i="23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L12" i="231"/>
  <c r="G11" i="231"/>
  <c r="F11" i="231"/>
  <c r="E11" i="231"/>
  <c r="C9" i="231"/>
  <c r="G7" i="231"/>
  <c r="E7" i="231"/>
  <c r="K31" i="231" l="1"/>
  <c r="K31" i="233"/>
  <c r="K30" i="233"/>
  <c r="K31" i="232"/>
  <c r="K30" i="232"/>
  <c r="K30" i="231"/>
  <c r="J26" i="233"/>
  <c r="C12" i="233"/>
  <c r="A13" i="233" s="1"/>
  <c r="A12" i="233" s="1"/>
  <c r="E22" i="231"/>
  <c r="F7" i="233"/>
  <c r="F5" i="233"/>
  <c r="F6" i="233"/>
  <c r="C14" i="232"/>
  <c r="J26" i="232"/>
  <c r="C12" i="231"/>
  <c r="A13" i="231" s="1"/>
  <c r="A12" i="231" s="1"/>
  <c r="F7" i="231"/>
  <c r="F6" i="231"/>
  <c r="J26" i="231"/>
  <c r="F6" i="232" l="1"/>
  <c r="F5" i="232"/>
  <c r="F7" i="232"/>
  <c r="I11" i="52" l="1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1" l="1"/>
  <c r="G13" i="233"/>
  <c r="G13" i="232"/>
  <c r="F13" i="231"/>
  <c r="F13" i="233"/>
  <c r="F13" i="232"/>
  <c r="F13" i="55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233" l="1"/>
  <c r="G14" i="231"/>
  <c r="G14" i="232"/>
  <c r="F17" i="232"/>
  <c r="G17" i="232" s="1"/>
  <c r="F19" i="233"/>
  <c r="G19" i="233" s="1"/>
  <c r="F17" i="233"/>
  <c r="G17" i="233" s="1"/>
  <c r="F17" i="231"/>
  <c r="G17" i="231" s="1"/>
  <c r="F19" i="231"/>
  <c r="G19" i="231" s="1"/>
  <c r="F19" i="232"/>
  <c r="G19" i="232" s="1"/>
  <c r="G14" i="186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E26" i="233" s="1"/>
  <c r="H19" i="232" l="1"/>
  <c r="G21" i="232"/>
  <c r="G21" i="231"/>
  <c r="H19" i="231"/>
  <c r="H19" i="233"/>
  <c r="G21" i="233"/>
  <c r="E26" i="231"/>
  <c r="E26" i="232"/>
  <c r="H19" i="186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5 :  5.74
AA : 3 : 19.12
II : 0 : 0 
8 , 24.86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3CE7C98-B50E-450C-8C77-03964C30BC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931FC90-7B86-4F79-A949-CF9A339F27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2EC9FDC8-3BB5-4411-AD86-2FC3D7810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C195493-E642-4ED5-8E7B-49EAE09D94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E86F5C4-A01C-4F6D-82C1-CC108A6BB8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9C726A9B-06AA-4A65-AF9D-1A198A76B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D2C09C62-7AB8-4DBA-986C-6BB9DF798D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C7B51E2-848B-4AF1-B972-E5F5390F93B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B2A7674-A3A8-482F-81D6-6AADD281C2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12B42A4-31E2-44F2-AECD-7F6F16B969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DE93E76-3346-4551-9610-E77342FFF7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3C1F42-4BBB-48F4-A286-143CDF788D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1309A27-B6CC-42F1-A12D-9C6EF643A6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4F964A6-50B7-4DB6-B1F2-4FC034ED00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AE2D8C77-B478-47D1-AF45-583E26C94C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71984DD-DE81-43B7-9C11-F531E316B9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19FDCF-D192-49B2-8F01-E6942F61A4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CD85125-866C-4D1D-8F9D-30397911C0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DAF8C16-37F8-4ADD-BFD3-906ED6A582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1781D48-3F27-45DC-8D7A-7F05065CBD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34E028F-A4A7-4AF2-AA30-5D7580E9A9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FE17865-6912-462A-A5A3-A905F9874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ADD2E1A-5A4D-4DF8-A654-BCAE38685D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7D550AA-F513-4E7D-9049-C9832A6C9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8D46449-AEB4-47F1-B7B2-264A55504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65E197A-7802-47A4-A962-829355BC0A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8373181-44D9-4F9B-96B3-841AB7DD71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1B38DC7-13A4-4BD2-8F42-8DD6A68AF4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6EB9DD-A863-4584-8236-B8CCCD79E5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F7DF052-40D1-4574-9413-83E900F7B7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8E0CE08-A07A-470C-A68A-2BEA8BFD98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FF5AD4A-4840-477C-91BE-4865BDBBCE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00650E9-8CA1-4EAF-8BB8-4446E1BF3D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FC2FBA20-6E6E-49C6-AF2F-41A7D22421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7397598-F55A-4FD5-845B-F425E397FE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2EB34AE-1E29-4AB9-8A09-F1E2C1C3EAF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E65D15E-BEA4-487E-84B1-A5BBBB2B9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21C5DC3-5215-4340-B362-8754C97A8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5DCCC1C-CD2D-4029-8CAB-2E69CE403B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99F04B8-5F49-4A06-983D-E97599BE8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935730BA-E252-4387-BCFF-05028E9C0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20B7CB9-940F-4FB2-AE14-CDDC531C3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7C094B8-5518-4C6A-A493-FF9AAA959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FC1AC78-8316-4DE9-9EFB-6A2B3D47D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AC20E20-12F8-4EC2-8902-AD61A4CD359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5015EF8-5EB6-41DD-B438-4BCD6DFB65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DFC943C-2A64-4B46-802C-630ACD4778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F603C36-D6C2-4C36-A0C3-ED7A4FAC01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C2A6043-9158-40BF-94D6-F1B837BED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637F99C-9DE5-4C5E-9E03-3E98EB6F32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7082754-FFB2-427F-A01A-B7941618BC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36476D-F8D3-4D22-B1AC-5ACF32128D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0CEB9C6-1DA9-4376-88DD-6D368D15D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AAC664-1B12-4762-A32E-DC8C6198AE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4883AA-185C-49F1-9DC4-D84CA1E1F5A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8AC77B4-3870-4B66-9838-71E02DC67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14B6A-022D-4EEA-A019-61A23BB0C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<sst xmlns="http://schemas.openxmlformats.org/spreadsheetml/2006/main" count="1150" uniqueCount="450">
  <si>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</si>
  <si>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</si>
  <si>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</si>
  <si>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</si>
  <si>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</si>
  <si>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</si>
  <si>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</si>
  <si>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</si>
  <si>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</si>
  <si>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</si>
  <si>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</si>
  <si>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</si>
  <si>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</si>
  <si>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</si>
  <si>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</si>
  <si>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</si>
  <si>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</si>
  <si>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</si>
  <si>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</si>
  <si>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</si>
  <si>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</si>
  <si>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</si>
  <si>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</si>
  <si>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</si>
  <si>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</si>
  <si>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</si>
  <si>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</si>
  <si>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</si>
  <si>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</si>
  <si>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</si>
  <si>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</si>
  <si>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</si>
  <si>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</si>
  <si>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</si>
  <si>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</si>
  <si>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</si>
  <si>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</si>
  <si>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</si>
  <si>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</si>
  <si>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</si>
  <si>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</si>
  <si>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</si>
  <si>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</si>
  <si>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</si>
  <si>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</si>
  <si>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</si>
  <si>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</si>
  <si>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</si>
  <si>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</si>
  <si>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</si>
  <si>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</si>
  <si>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</si>
  <si>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</si>
  <si>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</si>
  <si>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</si>
  <si>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</si>
  <si>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</si>
  <si>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</si>
  <si>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</si>
  <si>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</si>
  <si>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</si>
  <si>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</si>
  <si>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</si>
  <si>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</si>
  <si>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</si>
  <si>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</si>
  <si>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</si>
  <si>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</si>
  <si>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</si>
  <si>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</si>
  <si>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</si>
  <si>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</si>
  <si>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</si>
  <si>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</si>
  <si>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</si>
  <si>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</si>
  <si>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</si>
  <si>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</si>
  <si>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</si>
  <si>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</si>
  <si>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</si>
  <si>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</si>
  <si>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</si>
  <si>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</si>
  <si>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</si>
  <si>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</si>
  <si>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</si>
  <si>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</si>
  <si>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</si>
  <si>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</si>
  <si>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</si>
  <si>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</si>
  <si>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</si>
  <si>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</si>
  <si>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</si>
  <si>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</si>
  <si>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</si>
  <si>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</si>
  <si>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</si>
  <si>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</si>
  <si>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</si>
  <si>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</si>
  <si>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</si>
  <si>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</si>
  <si>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</si>
  <si>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</si>
  <si>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</si>
  <si>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</si>
  <si>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</si>
  <si>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</si>
  <si>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</si>
  <si>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</si>
  <si>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</si>
  <si>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</si>
  <si>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</si>
  <si>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</si>
  <si>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</si>
  <si>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</si>
  <si>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</si>
  <si>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</si>
  <si>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</si>
  <si>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</si>
  <si>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</si>
  <si>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</si>
  <si>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</si>
  <si>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</si>
  <si>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</si>
  <si>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</si>
  <si>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</si>
  <si>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</si>
  <si>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</si>
  <si>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</si>
  <si>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</si>
  <si>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</si>
  <si>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</si>
  <si>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</si>
  <si>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</si>
  <si>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</si>
  <si>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</si>
  <si>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</si>
  <si>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</si>
  <si>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</si>
  <si>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</si>
  <si>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</si>
  <si>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</si>
  <si>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</si>
  <si>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</si>
  <si>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</si>
  <si>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</si>
  <si>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</si>
  <si>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</si>
  <si>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</si>
  <si>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</si>
  <si>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</si>
  <si>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</si>
  <si>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</si>
  <si>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</si>
  <si>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</si>
  <si>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</si>
  <si>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</si>
  <si>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</si>
  <si>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</si>
  <si>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</si>
  <si>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</si>
  <si>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</si>
  <si>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</si>
  <si>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</si>
  <si>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</si>
  <si>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</si>
  <si>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</si>
  <si>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</si>
  <si>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</si>
  <si>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</si>
  <si>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</si>
  <si>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</si>
  <si>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</si>
  <si>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</si>
  <si>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</si>
  <si>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</si>
  <si>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</si>
  <si>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</si>
  <si>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</si>
  <si>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</si>
  <si>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</si>
  <si>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</si>
  <si>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</si>
  <si>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</si>
  <si>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</si>
  <si>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</si>
  <si>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</si>
  <si>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</si>
  <si>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</si>
  <si>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</si>
  <si>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</si>
  <si>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</si>
  <si>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</si>
  <si>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</si>
  <si>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</si>
  <si>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</si>
  <si>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</si>
  <si>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</si>
  <si>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</si>
  <si>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</si>
  <si>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</si>
  <si>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</si>
  <si>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</si>
  <si>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</si>
  <si>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</si>
  <si>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</si>
  <si>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</si>
  <si>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</si>
  <si>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</si>
  <si>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</si>
  <si>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</si>
  <si>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</si>
  <si>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</si>
  <si>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</si>
  <si>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</si>
  <si>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</si>
  <si>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</si>
  <si>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</si>
  <si>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</si>
  <si>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</si>
  <si>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</si>
  <si>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</si>
  <si>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</si>
  <si>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</si>
  <si>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</si>
  <si>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</si>
  <si>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</si>
  <si>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</si>
  <si>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</si>
  <si>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</si>
  <si>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</si>
  <si>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</si>
  <si>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</si>
  <si>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</si>
  <si>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</si>
  <si>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</si>
  <si>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</si>
  <si>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</si>
  <si>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</si>
  <si>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</si>
  <si>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</si>
  <si>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</si>
  <si>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</si>
  <si>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</si>
  <si>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</si>
  <si>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</si>
  <si>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</si>
  <si>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</si>
  <si>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</si>
  <si>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</si>
  <si>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</si>
  <si>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</si>
  <si>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</si>
  <si>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</si>
  <si>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</si>
  <si>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</si>
  <si>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</si>
  <si>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</si>
  <si>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</si>
  <si>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</si>
  <si>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</si>
  <si>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</si>
  <si>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</si>
  <si>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</si>
  <si>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</si>
  <si>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</si>
  <si>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</si>
  <si>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</si>
  <si>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</si>
  <si>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</si>
  <si>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</si>
  <si>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</si>
  <si>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</si>
  <si>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</si>
  <si>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</si>
  <si>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</si>
  <si>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</si>
  <si>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</si>
  <si>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</si>
  <si>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</si>
  <si>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</si>
  <si>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</si>
  <si>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</si>
  <si>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</si>
  <si>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</si>
  <si>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</si>
  <si>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</si>
  <si>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</si>
  <si>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</si>
  <si>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</si>
  <si>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</si>
  <si>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</si>
  <si>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T</t>
  </si>
  <si>
    <t>S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</si>
  <si>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</si>
  <si>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</si>
  <si>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</si>
  <si>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</si>
  <si>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</si>
  <si>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</si>
  <si>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</si>
  <si>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</si>
  <si>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</si>
  <si>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</si>
  <si>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</si>
  <si>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</si>
  <si>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</si>
  <si>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</si>
  <si>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</si>
  <si>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</si>
  <si>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</si>
  <si>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</si>
  <si>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</si>
  <si>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</si>
  <si>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</si>
  <si>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</si>
  <si>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</si>
  <si>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</si>
  <si>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</si>
  <si>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</si>
  <si>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</si>
  <si>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</si>
  <si>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</si>
  <si>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</si>
  <si>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</si>
  <si>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</si>
  <si>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</si>
  <si>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</si>
  <si>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</si>
  <si>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</si>
  <si>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</si>
  <si>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</si>
  <si>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</si>
  <si>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</si>
  <si>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</si>
  <si>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</si>
  <si>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</si>
  <si>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</si>
  <si>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</si>
  <si>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</si>
  <si>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</si>
  <si>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</si>
  <si>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</si>
  <si>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</si>
  <si>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</si>
  <si>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</si>
  <si>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</si>
  <si>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</si>
  <si>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</si>
  <si>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</si>
  <si>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</si>
  <si>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</si>
  <si>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</si>
  <si>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</si>
  <si>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</si>
  <si>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</si>
  <si>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</si>
  <si>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</si>
  <si>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</si>
  <si>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</si>
  <si>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</si>
  <si>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</si>
  <si>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</si>
  <si>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</si>
  <si>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</si>
  <si>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</si>
  <si>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</si>
  <si>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</si>
  <si>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</si>
  <si>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</si>
  <si>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500 m</t>
  </si>
  <si>
    <t>㎥/일</t>
  </si>
  <si>
    <t xml:space="preserve"> ㎥/일</t>
  </si>
  <si>
    <t>Q1, 수질 1번</t>
  </si>
  <si>
    <t>Q2, 수질 1번</t>
  </si>
  <si>
    <t>Q3, 수질 1번</t>
  </si>
  <si>
    <t>목포기상청 30년 데이터</t>
  </si>
  <si>
    <t>W-4</t>
  </si>
  <si>
    <t>A4_ge_OriginalSaveFile.xlsm</t>
  </si>
  <si>
    <t>W-5</t>
  </si>
  <si>
    <t>A5_ge_OriginalSaveFile.xlsm</t>
  </si>
  <si>
    <t>W-6</t>
  </si>
  <si>
    <t>A6_ge_OriginalSaveFile.xlsm</t>
  </si>
  <si>
    <t>W4</t>
  </si>
  <si>
    <t>W5</t>
  </si>
  <si>
    <t>W6</t>
  </si>
  <si>
    <t>한일지하수</t>
  </si>
  <si>
    <t>전라남도 목포시 죽교동 701</t>
  </si>
  <si>
    <t>와탄천</t>
  </si>
  <si>
    <t>목포</t>
  </si>
  <si>
    <t>목포해양대학교 국제교류센터 및 박물관 신축공사 지열냉난방시스템</t>
  </si>
  <si>
    <t>영산강서해/와탄천</t>
  </si>
  <si>
    <t>151.8 m</t>
  </si>
  <si>
    <t>186.9 m</t>
  </si>
  <si>
    <t>204.3 m</t>
  </si>
  <si>
    <t>200.1 m</t>
  </si>
  <si>
    <t>196.7 m</t>
  </si>
  <si>
    <t>196 m</t>
  </si>
  <si>
    <t>10 ㎥/일</t>
  </si>
  <si>
    <t>400 m</t>
  </si>
  <si>
    <t>3 Hp</t>
  </si>
  <si>
    <t>5 Hp</t>
  </si>
  <si>
    <t>4.32 m</t>
  </si>
  <si>
    <t>4.51 m</t>
  </si>
  <si>
    <t>4.27 m</t>
  </si>
  <si>
    <t>4.43 m</t>
  </si>
  <si>
    <t>4.72 m</t>
  </si>
  <si>
    <t>5.21 m</t>
  </si>
  <si>
    <t>4.53 m</t>
  </si>
  <si>
    <t>5.07 m</t>
  </si>
  <si>
    <t>5.43 m</t>
  </si>
  <si>
    <t>5.53 m</t>
  </si>
  <si>
    <t>28
35
43
51
59</t>
  </si>
  <si>
    <t>6.49
7.16
8.04
8.95
10.33</t>
  </si>
  <si>
    <t>2.17
2.84
3.72
4.63
6.01</t>
  </si>
  <si>
    <t>12.987
12.346
11.765
11.111
9.804</t>
  </si>
  <si>
    <t>0.077
0.081
0.085
0.090
0.102</t>
  </si>
  <si>
    <t>30
38
47
55
63</t>
  </si>
  <si>
    <t>6.40
7.03
7.74
8.54
9.74</t>
  </si>
  <si>
    <t>1.89
2.52
3.23
4.03
5.23</t>
  </si>
  <si>
    <t>15.873
15.152
14.493
13.699
12.195</t>
  </si>
  <si>
    <t>0.063
0.066
0.069
0.073
0.082</t>
  </si>
  <si>
    <t>43
55
67
79
91</t>
  </si>
  <si>
    <t>6.39
7.09
7.89
8.78
10.13</t>
  </si>
  <si>
    <t>2.12
2.82
3.62
4.51
5.86</t>
  </si>
  <si>
    <t>20.408
19.608
18.868
17.544
15.625</t>
  </si>
  <si>
    <t>0.049
0.051
0.053
0.057
0.064</t>
  </si>
  <si>
    <t>46
59
72
85
98</t>
  </si>
  <si>
    <t>6.70
7.45
8.31
9.26
10.70</t>
  </si>
  <si>
    <t>2.27
3.02
3.88
4.83
6.27</t>
  </si>
  <si>
    <t>20.408
19.608
18.868
17.857
15.625</t>
  </si>
  <si>
    <t>0.049
0.051
0.053
0.056
0.064</t>
  </si>
  <si>
    <t>45
58
71
83
95</t>
  </si>
  <si>
    <t>7.03
7.80
8.67
9.64
11.11</t>
  </si>
  <si>
    <t>2.31
3.08
3.95
4.92
6.39</t>
  </si>
  <si>
    <t>19.608
18.868
18.182
16.949
15.152</t>
  </si>
  <si>
    <t>0.051
0.053
0.055
0.059
0.066</t>
  </si>
  <si>
    <t>42
53
65
77
89</t>
  </si>
  <si>
    <t>6.68
7.38
8.23
9.14
10.52</t>
  </si>
  <si>
    <t>2.17
2.87
3.72
4.63
6.01</t>
  </si>
  <si>
    <t>19.608
18.519
17.857
16.667
14.925</t>
  </si>
  <si>
    <t>0.051
0.054
0.056
0.060
0.067</t>
  </si>
  <si>
    <t>낮 음</t>
  </si>
  <si>
    <t>중간정도</t>
  </si>
  <si>
    <t>대수층두께</t>
  </si>
  <si>
    <t>유향</t>
  </si>
  <si>
    <t>동수경사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</si>
</sst>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1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5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3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6" xfId="16" applyFont="1" applyBorder="1" applyAlignment="1">
      <alignment horizontal="center" vertical="center"/>
    </xf>
    <xf numFmtId="0" fontId="52" fillId="32" borderId="97" xfId="16" applyFont="1" applyFill="1" applyBorder="1" applyAlignment="1">
      <alignment horizontal="center" vertical="center"/>
    </xf>
    <xf numFmtId="0" fontId="52" fillId="0" borderId="97" xfId="16" applyFont="1" applyBorder="1" applyAlignment="1">
      <alignment horizontal="center" vertical="center"/>
    </xf>
    <xf numFmtId="0" fontId="52" fillId="0" borderId="9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3" fillId="0" borderId="4" xfId="25" applyNumberFormat="1" applyFont="1" applyBorder="1" applyAlignment="1">
      <alignment horizontal="center" vertical="center"/>
    </xf>
    <xf numFmtId="189" fontId="53" fillId="0" borderId="74" xfId="25" applyNumberFormat="1" applyFont="1" applyBorder="1" applyAlignment="1">
      <alignment horizontal="center" vertical="center"/>
    </xf>
    <xf numFmtId="190" fontId="53" fillId="0" borderId="4" xfId="0" applyNumberFormat="1" applyFont="1" applyBorder="1" applyAlignment="1">
      <alignment horizontal="center" vertical="center"/>
    </xf>
    <xf numFmtId="190" fontId="53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189" fontId="53" fillId="0" borderId="73" xfId="25" applyNumberFormat="1" applyFont="1" applyBorder="1" applyAlignment="1">
      <alignment horizontal="center" vertical="center"/>
    </xf>
    <xf numFmtId="0" fontId="53" fillId="0" borderId="4" xfId="25" applyNumberFormat="1" applyFont="1" applyBorder="1" applyAlignment="1">
      <alignment horizontal="center" vertical="center"/>
    </xf>
    <xf numFmtId="0" fontId="53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4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00" xfId="0" applyFont="1" applyFill="1" applyBorder="1" applyAlignment="1">
      <alignment horizontal="center" vertical="center"/>
    </xf>
    <xf numFmtId="0" fontId="25" fillId="15" borderId="101" xfId="0" applyFont="1" applyFill="1" applyBorder="1" applyAlignment="1">
      <alignment horizontal="center" vertical="center" wrapText="1"/>
    </xf>
    <xf numFmtId="0" fontId="25" fillId="15" borderId="101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02" xfId="0" applyFont="1" applyFill="1" applyBorder="1" applyAlignment="1">
      <alignment horizontal="center" vertical="center"/>
    </xf>
    <xf numFmtId="189" fontId="25" fillId="0" borderId="104" xfId="0" applyNumberFormat="1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0" fontId="55" fillId="0" borderId="0" xfId="0" applyFont="1" applyAlignment="1">
      <alignment horizontal="justify" vertical="center"/>
    </xf>
    <xf numFmtId="0" fontId="47" fillId="0" borderId="99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4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4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41" fontId="34" fillId="0" borderId="112" xfId="20" applyFont="1" applyBorder="1">
      <alignment vertical="center"/>
    </xf>
    <xf numFmtId="0" fontId="35" fillId="0" borderId="0" xfId="0" applyFont="1" applyAlignment="1">
      <alignment horizontal="center" vertical="center"/>
    </xf>
    <xf numFmtId="0" fontId="29" fillId="9" borderId="113" xfId="0" applyFont="1" applyFill="1" applyBorder="1" applyAlignment="1">
      <alignment horizontal="center" vertical="center"/>
    </xf>
    <xf numFmtId="0" fontId="29" fillId="9" borderId="116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7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8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 wrapText="1"/>
    </xf>
    <xf numFmtId="0" fontId="29" fillId="9" borderId="117" xfId="0" applyFont="1" applyFill="1" applyBorder="1" applyAlignment="1">
      <alignment horizontal="center" vertical="center" wrapText="1"/>
    </xf>
    <xf numFmtId="41" fontId="29" fillId="9" borderId="114" xfId="20" applyFont="1" applyFill="1" applyBorder="1" applyAlignment="1">
      <alignment horizontal="center" vertical="center" wrapText="1"/>
    </xf>
    <xf numFmtId="41" fontId="29" fillId="9" borderId="117" xfId="20" applyFont="1" applyFill="1" applyBorder="1" applyAlignment="1">
      <alignment horizontal="center" vertical="center" wrapText="1"/>
    </xf>
    <xf numFmtId="0" fontId="44" fillId="9" borderId="114" xfId="21" applyFont="1" applyFill="1" applyBorder="1" applyAlignment="1">
      <alignment horizontal="center" vertical="center" wrapText="1"/>
    </xf>
    <xf numFmtId="0" fontId="44" fillId="9" borderId="117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9" xfId="0" applyFont="1" applyBorder="1" applyAlignment="1">
      <alignment horizontal="center" vertical="center"/>
    </xf>
    <xf numFmtId="190" fontId="47" fillId="0" borderId="1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08" xfId="0" applyNumberFormat="1" applyFont="1" applyBorder="1" applyAlignment="1">
      <alignment horizontal="center" vertical="center"/>
    </xf>
    <xf numFmtId="182" fontId="48" fillId="0" borderId="99" xfId="0" applyNumberFormat="1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8" xfId="0" applyFont="1" applyBorder="1" applyAlignment="1">
      <alignment horizontal="center" vertical="center"/>
    </xf>
    <xf numFmtId="0" fontId="48" fillId="0" borderId="99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08" xfId="0" applyNumberFormat="1" applyFont="1" applyBorder="1" applyAlignment="1">
      <alignment horizontal="center" vertical="center"/>
    </xf>
    <xf numFmtId="177" fontId="48" fillId="0" borderId="99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51" fillId="0" borderId="113" xfId="16" applyFont="1" applyBorder="1" applyAlignment="1">
      <alignment horizontal="right" vertical="center"/>
    </xf>
    <xf numFmtId="0" fontId="51" fillId="0" borderId="114" xfId="16" applyFont="1" applyBorder="1" applyAlignment="1">
      <alignment horizontal="right" vertical="center"/>
    </xf>
    <xf numFmtId="0" fontId="51" fillId="0" borderId="115" xfId="16" applyFont="1" applyBorder="1" applyAlignment="1">
      <alignment horizontal="right" vertical="center"/>
    </xf>
    <xf numFmtId="0" fontId="50" fillId="32" borderId="116" xfId="16" applyFont="1" applyFill="1" applyBorder="1" applyAlignment="1">
      <alignment horizontal="right" vertical="center"/>
    </xf>
    <xf numFmtId="0" fontId="50" fillId="32" borderId="117" xfId="16" applyFont="1" applyFill="1" applyBorder="1" applyAlignment="1">
      <alignment horizontal="right" vertical="center"/>
    </xf>
    <xf numFmtId="0" fontId="50" fillId="32" borderId="118" xfId="16" applyFont="1" applyFill="1" applyBorder="1" applyAlignment="1">
      <alignment horizontal="right" vertical="center"/>
    </xf>
    <xf numFmtId="0" fontId="49" fillId="32" borderId="116" xfId="16" applyFont="1" applyFill="1" applyBorder="1" applyAlignment="1">
      <alignment horizontal="right" vertical="center"/>
    </xf>
    <xf numFmtId="0" fontId="49" fillId="32" borderId="117" xfId="16" applyFont="1" applyFill="1" applyBorder="1" applyAlignment="1">
      <alignment horizontal="right" vertical="center"/>
    </xf>
    <xf numFmtId="0" fontId="49" fillId="32" borderId="118" xfId="16" applyFont="1" applyFill="1" applyBorder="1" applyAlignment="1">
      <alignment horizontal="right" vertical="center"/>
    </xf>
    <xf numFmtId="0" fontId="49" fillId="0" borderId="116" xfId="16" applyFont="1" applyBorder="1" applyAlignment="1">
      <alignment horizontal="right" vertical="center"/>
    </xf>
    <xf numFmtId="0" fontId="49" fillId="0" borderId="117" xfId="16" applyFont="1" applyBorder="1" applyAlignment="1">
      <alignment horizontal="right" vertical="center"/>
    </xf>
    <xf numFmtId="0" fontId="49" fillId="0" borderId="118" xfId="16" applyFont="1" applyBorder="1" applyAlignment="1">
      <alignment horizontal="right" vertical="center"/>
    </xf>
    <xf numFmtId="0" fontId="50" fillId="0" borderId="116" xfId="16" applyFont="1" applyBorder="1" applyAlignment="1">
      <alignment horizontal="right" vertical="center"/>
    </xf>
    <xf numFmtId="0" fontId="50" fillId="0" borderId="117" xfId="16" applyFont="1" applyBorder="1" applyAlignment="1">
      <alignment horizontal="right" vertical="center"/>
    </xf>
    <xf numFmtId="0" fontId="50" fillId="0" borderId="118" xfId="16" applyFont="1" applyBorder="1" applyAlignment="1">
      <alignment horizontal="right" vertical="center"/>
    </xf>
    <xf numFmtId="2" fontId="49" fillId="0" borderId="116" xfId="16" applyNumberFormat="1" applyFont="1" applyBorder="1" applyAlignment="1">
      <alignment horizontal="right" vertical="center"/>
    </xf>
    <xf numFmtId="2" fontId="49" fillId="0" borderId="117" xfId="16" applyNumberFormat="1" applyFont="1" applyBorder="1" applyAlignment="1">
      <alignment horizontal="right" vertical="center"/>
    </xf>
    <xf numFmtId="2" fontId="49" fillId="0" borderId="118" xfId="16" applyNumberFormat="1" applyFont="1" applyBorder="1" applyAlignment="1">
      <alignment horizontal="right" vertical="center"/>
    </xf>
    <xf numFmtId="0" fontId="51" fillId="0" borderId="119" xfId="16" applyFont="1" applyBorder="1" applyAlignment="1">
      <alignment horizontal="right" vertical="center"/>
    </xf>
    <xf numFmtId="0" fontId="51" fillId="0" borderId="120" xfId="16" applyFont="1" applyBorder="1" applyAlignment="1">
      <alignment horizontal="right" vertical="center"/>
    </xf>
    <xf numFmtId="0" fontId="51" fillId="0" borderId="121" xfId="16" applyFont="1" applyBorder="1" applyAlignment="1">
      <alignment horizontal="right" vertical="center"/>
    </xf>
    <xf numFmtId="0" fontId="6" fillId="0" borderId="0" xfId="0" applyFont="1"/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6" fillId="0" borderId="14" xfId="16" applyFont="1" applyBorder="1" applyAlignment="1">
      <alignment horizontal="center" vertical="center"/>
    </xf>
    <xf numFmtId="0" fontId="56" fillId="0" borderId="71" xfId="16" applyFont="1" applyBorder="1" applyAlignment="1">
      <alignment horizontal="center" vertical="center"/>
    </xf>
    <xf numFmtId="0" fontId="50" fillId="33" borderId="119" xfId="16" applyFont="1" applyFill="1" applyBorder="1" applyAlignment="1">
      <alignment horizontal="right" vertical="center"/>
    </xf>
    <xf numFmtId="0" fontId="50" fillId="33" borderId="120" xfId="16" applyFont="1" applyFill="1" applyBorder="1" applyAlignment="1">
      <alignment horizontal="right" vertical="center"/>
    </xf>
    <xf numFmtId="0" fontId="50" fillId="33" borderId="121" xfId="16" applyFont="1" applyFill="1" applyBorder="1" applyAlignment="1">
      <alignment horizontal="right" vertical="center"/>
    </xf>
    <xf numFmtId="0" fontId="18" fillId="0" borderId="7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1089.7</c:v>
                </c:pt>
                <c:pt idx="1">
                  <c:v>1087.7</c:v>
                </c:pt>
                <c:pt idx="2">
                  <c:v>1041.5999999999999</c:v>
                </c:pt>
                <c:pt idx="3">
                  <c:v>1398</c:v>
                </c:pt>
                <c:pt idx="4">
                  <c:v>722.5</c:v>
                </c:pt>
                <c:pt idx="5">
                  <c:v>1363.3</c:v>
                </c:pt>
                <c:pt idx="6">
                  <c:v>1248.4000000000001</c:v>
                </c:pt>
                <c:pt idx="7">
                  <c:v>1427.7</c:v>
                </c:pt>
                <c:pt idx="8">
                  <c:v>1101</c:v>
                </c:pt>
                <c:pt idx="9">
                  <c:v>739.9</c:v>
                </c:pt>
                <c:pt idx="10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1130.9000000000001</c:v>
                </c:pt>
                <c:pt idx="1">
                  <c:v>717</c:v>
                </c:pt>
                <c:pt idx="2">
                  <c:v>613.20000000000005</c:v>
                </c:pt>
                <c:pt idx="3">
                  <c:v>1040.9000000000001</c:v>
                </c:pt>
                <c:pt idx="4">
                  <c:v>1126.4000000000001</c:v>
                </c:pt>
                <c:pt idx="5">
                  <c:v>1507.7</c:v>
                </c:pt>
                <c:pt idx="6">
                  <c:v>1535</c:v>
                </c:pt>
                <c:pt idx="7">
                  <c:v>1176.7</c:v>
                </c:pt>
                <c:pt idx="8">
                  <c:v>945.9</c:v>
                </c:pt>
                <c:pt idx="9">
                  <c:v>1162.2</c:v>
                </c:pt>
                <c:pt idx="10">
                  <c:v>1686</c:v>
                </c:pt>
                <c:pt idx="11">
                  <c:v>1483.3</c:v>
                </c:pt>
                <c:pt idx="12">
                  <c:v>1002.7</c:v>
                </c:pt>
                <c:pt idx="13">
                  <c:v>1288.3</c:v>
                </c:pt>
                <c:pt idx="14">
                  <c:v>1350.6</c:v>
                </c:pt>
                <c:pt idx="15">
                  <c:v>960.5</c:v>
                </c:pt>
                <c:pt idx="16">
                  <c:v>1088.4000000000001</c:v>
                </c:pt>
                <c:pt idx="17">
                  <c:v>1335.7</c:v>
                </c:pt>
                <c:pt idx="18">
                  <c:v>982.1</c:v>
                </c:pt>
                <c:pt idx="19">
                  <c:v>1577.5</c:v>
                </c:pt>
                <c:pt idx="20">
                  <c:v>1089.7</c:v>
                </c:pt>
                <c:pt idx="21">
                  <c:v>1087.7</c:v>
                </c:pt>
                <c:pt idx="22">
                  <c:v>1041.5999999999999</c:v>
                </c:pt>
                <c:pt idx="23">
                  <c:v>1398</c:v>
                </c:pt>
                <c:pt idx="24">
                  <c:v>722.5</c:v>
                </c:pt>
                <c:pt idx="25">
                  <c:v>1363.3</c:v>
                </c:pt>
                <c:pt idx="26">
                  <c:v>1248.4000000000001</c:v>
                </c:pt>
                <c:pt idx="27">
                  <c:v>1427.7</c:v>
                </c:pt>
                <c:pt idx="28">
                  <c:v>1101</c:v>
                </c:pt>
                <c:pt idx="29">
                  <c:v>739.9</c:v>
                </c:pt>
                <c:pt idx="30">
                  <c:v>1164.4000000000001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34.799999999999997</c:v>
                </c:pt>
                <c:pt idx="1">
                  <c:v>29.4</c:v>
                </c:pt>
                <c:pt idx="2">
                  <c:v>70.5</c:v>
                </c:pt>
                <c:pt idx="3">
                  <c:v>95.4</c:v>
                </c:pt>
                <c:pt idx="4">
                  <c:v>89.4</c:v>
                </c:pt>
                <c:pt idx="5">
                  <c:v>122.9</c:v>
                </c:pt>
                <c:pt idx="6">
                  <c:v>203.3</c:v>
                </c:pt>
                <c:pt idx="7">
                  <c:v>155.5</c:v>
                </c:pt>
                <c:pt idx="8">
                  <c:v>142.80000000000001</c:v>
                </c:pt>
                <c:pt idx="9">
                  <c:v>83.7</c:v>
                </c:pt>
                <c:pt idx="10">
                  <c:v>54.2</c:v>
                </c:pt>
                <c:pt idx="11">
                  <c:v>40.200000000000003</c:v>
                </c:pt>
                <c:pt idx="12">
                  <c:v>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png"/><Relationship Id="rId18" Type="http://schemas.openxmlformats.org/officeDocument/2006/relationships/image" Target="../media/image3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17" Type="http://schemas.openxmlformats.org/officeDocument/2006/relationships/image" Target="../media/image32.png"/><Relationship Id="rId2" Type="http://schemas.openxmlformats.org/officeDocument/2006/relationships/image" Target="../media/image17.png"/><Relationship Id="rId16" Type="http://schemas.openxmlformats.org/officeDocument/2006/relationships/image" Target="../media/image31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image" Target="../media/image3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Relationship Id="rId14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12" Type="http://schemas.openxmlformats.org/officeDocument/2006/relationships/image" Target="../media/image48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11" Type="http://schemas.openxmlformats.org/officeDocument/2006/relationships/image" Target="../media/image37.emf"/><Relationship Id="rId5" Type="http://schemas.openxmlformats.org/officeDocument/2006/relationships/image" Target="../media/image46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66.emf"/><Relationship Id="rId7" Type="http://schemas.openxmlformats.org/officeDocument/2006/relationships/image" Target="../media/image6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1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8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5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1.emf"/><Relationship Id="rId1" Type="http://schemas.openxmlformats.org/officeDocument/2006/relationships/image" Target="../media/image100.emf"/><Relationship Id="rId5" Type="http://schemas.openxmlformats.org/officeDocument/2006/relationships/image" Target="../media/image97.emf"/><Relationship Id="rId4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3C0F804-102C-222F-518F-5FE6D9677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85D1ECE-06E4-BB93-DF99-8DA679A1A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46A90B16-6C9C-93EB-B2FD-F2EEC5B86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323850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7EAD59A-BE90-93BE-BE02-D6C17A93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266700</xdr:colOff>
      <xdr:row>30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C988D6A4-BDA5-53FD-0AA2-E3AE67D97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C6119C51-D0E2-4C2B-31FC-390A84B12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323850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11D50D3F-8428-00AA-E79F-1C6BC1B68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266700</xdr:colOff>
      <xdr:row>46</xdr:row>
      <xdr:rowOff>123825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322294D4-4331-D9B9-AB2B-7474F5395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CE6FA32-9E03-0A0C-C4E1-D0DD42C80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323850</xdr:colOff>
      <xdr:row>62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C2CA7B60-A47F-9329-E6C7-D3A3AB6FF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266700</xdr:colOff>
      <xdr:row>62</xdr:row>
      <xdr:rowOff>123825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647B21A6-4365-7E2E-5ADE-ADC78F4FF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381000</xdr:colOff>
      <xdr:row>62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6813A5B5-F5CB-BE8F-3ACB-14502BA0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323850</xdr:colOff>
      <xdr:row>78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445D940B-23BE-EECF-107C-B04279998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266700</xdr:colOff>
      <xdr:row>78</xdr:row>
      <xdr:rowOff>123825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83433B7-2C45-DCD2-AAF8-769DFEC21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381000</xdr:colOff>
      <xdr:row>78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E2E3B84F-FF58-35C1-7E95-7E573422D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323850</xdr:colOff>
      <xdr:row>94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29A102F1-86B4-CF46-043A-E767BB800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266700</xdr:colOff>
      <xdr:row>94</xdr:row>
      <xdr:rowOff>123825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DEC142DA-CC93-C722-3677-D4E821638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381000</xdr:colOff>
      <xdr:row>94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C0A99F3E-76E3-07B3-E2B5-D3CD8C655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10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10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10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10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6593" name="CommandButton5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11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6594" name="Frame1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11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6595" name="CommandButton6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11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6596" name="CommandButton8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11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7617" name="CommandButton5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12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7618" name="Frame1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12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7619" name="CommandButton6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12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7620" name="CommandButton8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12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38100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209550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47625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3</xdr:row>
          <xdr:rowOff>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66675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161925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114300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95250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5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190500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304800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34.emf"/><Relationship Id="rId4" Type="http://schemas.openxmlformats.org/officeDocument/2006/relationships/control" Target="../activeX/activeX16.xml"/><Relationship Id="rId9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41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23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40.emf"/><Relationship Id="rId24" Type="http://schemas.openxmlformats.org/officeDocument/2006/relationships/control" Target="../activeX/activeX2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44.emf"/><Relationship Id="rId4" Type="http://schemas.openxmlformats.org/officeDocument/2006/relationships/control" Target="../activeX/activeX19.xml"/><Relationship Id="rId9" Type="http://schemas.openxmlformats.org/officeDocument/2006/relationships/image" Target="../media/image39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4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5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5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51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4.emf"/><Relationship Id="rId5" Type="http://schemas.openxmlformats.org/officeDocument/2006/relationships/control" Target="../activeX/activeX36.xml"/><Relationship Id="rId4" Type="http://schemas.openxmlformats.org/officeDocument/2006/relationships/image" Target="../media/image5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55.emf"/><Relationship Id="rId4" Type="http://schemas.openxmlformats.org/officeDocument/2006/relationships/control" Target="../activeX/activeX37.xml"/><Relationship Id="rId9" Type="http://schemas.openxmlformats.org/officeDocument/2006/relationships/image" Target="../media/image5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62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7" Type="http://schemas.openxmlformats.org/officeDocument/2006/relationships/image" Target="../media/image59.emf"/><Relationship Id="rId12" Type="http://schemas.openxmlformats.org/officeDocument/2006/relationships/control" Target="../activeX/activeX44.xml"/><Relationship Id="rId17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43.xml"/><Relationship Id="rId19" Type="http://schemas.openxmlformats.org/officeDocument/2006/relationships/image" Target="../media/image65.emf"/><Relationship Id="rId4" Type="http://schemas.openxmlformats.org/officeDocument/2006/relationships/control" Target="../activeX/activeX40.xml"/><Relationship Id="rId9" Type="http://schemas.openxmlformats.org/officeDocument/2006/relationships/image" Target="../media/image60.emf"/><Relationship Id="rId14" Type="http://schemas.openxmlformats.org/officeDocument/2006/relationships/control" Target="../activeX/activeX45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6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12" Type="http://schemas.openxmlformats.org/officeDocument/2006/relationships/comments" Target="../comments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12" Type="http://schemas.openxmlformats.org/officeDocument/2006/relationships/comments" Target="../comments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2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4.emf"/><Relationship Id="rId12" Type="http://schemas.openxmlformats.org/officeDocument/2006/relationships/comments" Target="../comments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6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8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0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3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5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9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8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9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AA14" sqref="AA1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08" t="s">
        <v>379</v>
      </c>
      <c r="C2" s="508"/>
      <c r="D2" s="508"/>
      <c r="E2" s="508"/>
      <c r="F2" s="508"/>
      <c r="G2" s="508"/>
      <c r="H2" s="508"/>
      <c r="I2" s="508"/>
      <c r="J2" s="508"/>
      <c r="K2" s="508"/>
      <c r="L2" s="508"/>
    </row>
    <row r="3" spans="2:23" ht="17.25" thickBot="1">
      <c r="I3"/>
      <c r="J3"/>
      <c r="K3"/>
    </row>
    <row r="4" spans="2:23" s="77" customFormat="1" ht="22.5" customHeight="1">
      <c r="B4" s="247" t="s">
        <v>41</v>
      </c>
      <c r="C4" s="249" t="s">
        <v>42</v>
      </c>
      <c r="D4" s="249" t="s">
        <v>32</v>
      </c>
      <c r="E4" s="249" t="s">
        <v>33</v>
      </c>
      <c r="F4" s="249" t="s">
        <v>34</v>
      </c>
      <c r="G4" s="249" t="s">
        <v>35</v>
      </c>
      <c r="H4" s="249" t="s">
        <v>12</v>
      </c>
      <c r="I4" s="249" t="s">
        <v>13</v>
      </c>
      <c r="J4" s="249" t="s">
        <v>14</v>
      </c>
      <c r="K4" s="249" t="s">
        <v>15</v>
      </c>
      <c r="L4" s="249" t="s">
        <v>16</v>
      </c>
      <c r="M4" s="249" t="s">
        <v>17</v>
      </c>
      <c r="N4" s="250" t="s">
        <v>18</v>
      </c>
      <c r="O4" s="299" t="s">
        <v>44</v>
      </c>
      <c r="P4" s="250" t="s">
        <v>45</v>
      </c>
    </row>
    <row r="5" spans="2:23" ht="22.5" customHeight="1">
      <c r="B5" s="251">
        <v>1993</v>
      </c>
      <c r="C5" s="252">
        <v>23</v>
      </c>
      <c r="D5" s="252">
        <v>61</v>
      </c>
      <c r="E5" s="252">
        <v>56.3</v>
      </c>
      <c r="F5" s="252">
        <v>16.5</v>
      </c>
      <c r="G5" s="252">
        <v>94.7</v>
      </c>
      <c r="H5" s="252">
        <v>99.2</v>
      </c>
      <c r="I5" s="252">
        <v>171.3</v>
      </c>
      <c r="J5" s="252">
        <v>399.1</v>
      </c>
      <c r="K5" s="252">
        <v>29.7</v>
      </c>
      <c r="L5" s="252">
        <v>58.9</v>
      </c>
      <c r="M5" s="252">
        <v>102.6</v>
      </c>
      <c r="N5" s="253">
        <v>18.600000000000001</v>
      </c>
      <c r="O5" s="300">
        <f>ROUND(SUM(C5:N5),1)</f>
        <v>1130.9000000000001</v>
      </c>
      <c r="P5" s="254">
        <f>ROUND(O5/12,1)</f>
        <v>94.2</v>
      </c>
      <c r="Q5" s="78"/>
      <c r="R5" s="241"/>
      <c r="S5" s="240"/>
      <c r="T5" s="241"/>
      <c r="U5" s="240"/>
      <c r="V5" s="241"/>
      <c r="W5" s="240"/>
    </row>
    <row r="6" spans="2:23" ht="22.5" customHeight="1">
      <c r="B6" s="255">
        <v>1994</v>
      </c>
      <c r="C6" s="248">
        <v>27.9</v>
      </c>
      <c r="D6" s="248">
        <v>20.9</v>
      </c>
      <c r="E6" s="248">
        <v>15.6</v>
      </c>
      <c r="F6" s="248">
        <v>29.3</v>
      </c>
      <c r="G6" s="248">
        <v>73.900000000000006</v>
      </c>
      <c r="H6" s="248">
        <v>80.3</v>
      </c>
      <c r="I6" s="248">
        <v>14.9</v>
      </c>
      <c r="J6" s="248">
        <v>193.8</v>
      </c>
      <c r="K6" s="248">
        <v>27.3</v>
      </c>
      <c r="L6" s="248">
        <v>145.80000000000001</v>
      </c>
      <c r="M6" s="248">
        <v>48.3</v>
      </c>
      <c r="N6" s="256">
        <v>39</v>
      </c>
      <c r="O6" s="301">
        <f t="shared" ref="O6:O34" si="0">ROUND(SUM(C6:N6),1)</f>
        <v>717</v>
      </c>
      <c r="P6" s="257">
        <f t="shared" ref="P6:P34" si="1">ROUND(O6/12,1)</f>
        <v>59.8</v>
      </c>
      <c r="Q6" s="78"/>
      <c r="R6" s="241"/>
      <c r="S6" s="240"/>
      <c r="T6" s="241"/>
      <c r="U6" s="240"/>
      <c r="V6" s="241"/>
      <c r="W6" s="240"/>
    </row>
    <row r="7" spans="2:23" ht="22.5" customHeight="1">
      <c r="B7" s="255">
        <v>1995</v>
      </c>
      <c r="C7" s="248">
        <v>37.799999999999997</v>
      </c>
      <c r="D7" s="248">
        <v>30.8</v>
      </c>
      <c r="E7" s="248">
        <v>30</v>
      </c>
      <c r="F7" s="248">
        <v>72.3</v>
      </c>
      <c r="G7" s="248">
        <v>53.5</v>
      </c>
      <c r="H7" s="248">
        <v>140.6</v>
      </c>
      <c r="I7" s="248">
        <v>107.9</v>
      </c>
      <c r="J7" s="248">
        <v>65.099999999999994</v>
      </c>
      <c r="K7" s="248">
        <v>32.700000000000003</v>
      </c>
      <c r="L7" s="248">
        <v>10.4</v>
      </c>
      <c r="M7" s="248">
        <v>19</v>
      </c>
      <c r="N7" s="256">
        <v>13.1</v>
      </c>
      <c r="O7" s="301">
        <f t="shared" si="0"/>
        <v>613.20000000000005</v>
      </c>
      <c r="P7" s="257">
        <f t="shared" si="1"/>
        <v>51.1</v>
      </c>
      <c r="Q7" s="78"/>
      <c r="R7" s="241"/>
      <c r="S7" s="240"/>
      <c r="T7" s="241"/>
      <c r="U7" s="240"/>
      <c r="V7" s="241"/>
      <c r="W7" s="240"/>
    </row>
    <row r="8" spans="2:23" ht="22.5" customHeight="1">
      <c r="B8" s="255">
        <v>1996</v>
      </c>
      <c r="C8" s="248">
        <v>35.200000000000003</v>
      </c>
      <c r="D8" s="248">
        <v>19.399999999999999</v>
      </c>
      <c r="E8" s="248">
        <v>130.1</v>
      </c>
      <c r="F8" s="248">
        <v>27.8</v>
      </c>
      <c r="G8" s="248">
        <v>27.3</v>
      </c>
      <c r="H8" s="248">
        <v>286.8</v>
      </c>
      <c r="I8" s="248">
        <v>190.4</v>
      </c>
      <c r="J8" s="248">
        <v>77</v>
      </c>
      <c r="K8" s="248">
        <v>94.1</v>
      </c>
      <c r="L8" s="248">
        <v>52</v>
      </c>
      <c r="M8" s="248">
        <v>66.5</v>
      </c>
      <c r="N8" s="256">
        <v>34.299999999999997</v>
      </c>
      <c r="O8" s="301">
        <f t="shared" si="0"/>
        <v>1040.9000000000001</v>
      </c>
      <c r="P8" s="257">
        <f t="shared" si="1"/>
        <v>86.7</v>
      </c>
      <c r="Q8" s="78"/>
      <c r="R8" s="324" t="s">
        <v>290</v>
      </c>
      <c r="S8" s="240"/>
      <c r="T8" s="241"/>
      <c r="U8" s="240"/>
      <c r="V8" s="241"/>
      <c r="W8" s="240"/>
    </row>
    <row r="9" spans="2:23" ht="22.5" customHeight="1">
      <c r="B9" s="255">
        <v>1997</v>
      </c>
      <c r="C9" s="248">
        <v>6.5</v>
      </c>
      <c r="D9" s="248">
        <v>12</v>
      </c>
      <c r="E9" s="248">
        <v>70.3</v>
      </c>
      <c r="F9" s="248">
        <v>63.5</v>
      </c>
      <c r="G9" s="248">
        <v>78</v>
      </c>
      <c r="H9" s="248">
        <v>145.69999999999999</v>
      </c>
      <c r="I9" s="248">
        <v>253.2</v>
      </c>
      <c r="J9" s="248">
        <v>255</v>
      </c>
      <c r="K9" s="248">
        <v>22.8</v>
      </c>
      <c r="L9" s="248">
        <v>7</v>
      </c>
      <c r="M9" s="248">
        <v>135.4</v>
      </c>
      <c r="N9" s="256">
        <v>77</v>
      </c>
      <c r="O9" s="301">
        <f t="shared" si="0"/>
        <v>1126.4000000000001</v>
      </c>
      <c r="P9" s="257">
        <f t="shared" si="1"/>
        <v>93.9</v>
      </c>
      <c r="Q9" s="78"/>
      <c r="R9" s="241"/>
      <c r="S9" s="240"/>
      <c r="T9" s="241"/>
      <c r="U9" s="240"/>
      <c r="V9" s="241"/>
      <c r="W9" s="240"/>
    </row>
    <row r="10" spans="2:23" ht="22.5" customHeight="1">
      <c r="B10" s="255">
        <v>1998</v>
      </c>
      <c r="C10" s="248">
        <v>51.8</v>
      </c>
      <c r="D10" s="248">
        <v>46.4</v>
      </c>
      <c r="E10" s="248">
        <v>79.8</v>
      </c>
      <c r="F10" s="248">
        <v>116.8</v>
      </c>
      <c r="G10" s="248">
        <v>110.9</v>
      </c>
      <c r="H10" s="248">
        <v>383.2</v>
      </c>
      <c r="I10" s="248">
        <v>175.2</v>
      </c>
      <c r="J10" s="248">
        <v>153.80000000000001</v>
      </c>
      <c r="K10" s="248">
        <v>304.10000000000002</v>
      </c>
      <c r="L10" s="248">
        <v>50.1</v>
      </c>
      <c r="M10" s="248">
        <v>30.3</v>
      </c>
      <c r="N10" s="256">
        <v>5.3</v>
      </c>
      <c r="O10" s="301">
        <f t="shared" si="0"/>
        <v>1507.7</v>
      </c>
      <c r="P10" s="257">
        <f t="shared" si="1"/>
        <v>125.6</v>
      </c>
      <c r="Q10" s="78"/>
      <c r="R10" s="241"/>
      <c r="S10" s="240"/>
      <c r="T10" s="241"/>
      <c r="U10" s="240"/>
      <c r="V10" s="241"/>
      <c r="W10" s="240"/>
    </row>
    <row r="11" spans="2:23" ht="22.5" customHeight="1">
      <c r="B11" s="255">
        <v>1999</v>
      </c>
      <c r="C11" s="248">
        <v>41.7</v>
      </c>
      <c r="D11" s="248">
        <v>31.9</v>
      </c>
      <c r="E11" s="248">
        <v>148.5</v>
      </c>
      <c r="F11" s="248">
        <v>56.7</v>
      </c>
      <c r="G11" s="248">
        <v>116</v>
      </c>
      <c r="H11" s="248">
        <v>121.7</v>
      </c>
      <c r="I11" s="248">
        <v>276.5</v>
      </c>
      <c r="J11" s="248">
        <v>279.60000000000002</v>
      </c>
      <c r="K11" s="248">
        <v>323.8</v>
      </c>
      <c r="L11" s="248">
        <v>103.4</v>
      </c>
      <c r="M11" s="248">
        <v>14.7</v>
      </c>
      <c r="N11" s="256">
        <v>20.5</v>
      </c>
      <c r="O11" s="301">
        <f t="shared" si="0"/>
        <v>1535</v>
      </c>
      <c r="P11" s="257">
        <f t="shared" si="1"/>
        <v>127.9</v>
      </c>
      <c r="R11" s="241"/>
      <c r="S11" s="240"/>
      <c r="T11" s="241"/>
      <c r="U11" s="240"/>
      <c r="V11" s="241"/>
      <c r="W11" s="240"/>
    </row>
    <row r="12" spans="2:23" ht="22.5" customHeight="1">
      <c r="B12" s="255">
        <v>2000</v>
      </c>
      <c r="C12" s="248">
        <v>31</v>
      </c>
      <c r="D12" s="248">
        <v>7.8</v>
      </c>
      <c r="E12" s="248">
        <v>21.2</v>
      </c>
      <c r="F12" s="248">
        <v>6.4</v>
      </c>
      <c r="G12" s="248">
        <v>40.200000000000003</v>
      </c>
      <c r="H12" s="248">
        <v>222.4</v>
      </c>
      <c r="I12" s="248">
        <v>204</v>
      </c>
      <c r="J12" s="248">
        <v>322.2</v>
      </c>
      <c r="K12" s="248">
        <v>235.2</v>
      </c>
      <c r="L12" s="248">
        <v>29.8</v>
      </c>
      <c r="M12" s="248">
        <v>50.1</v>
      </c>
      <c r="N12" s="256">
        <v>6.4</v>
      </c>
      <c r="O12" s="301">
        <f t="shared" si="0"/>
        <v>1176.7</v>
      </c>
      <c r="P12" s="257">
        <f t="shared" si="1"/>
        <v>98.1</v>
      </c>
      <c r="R12" s="241"/>
      <c r="S12" s="240"/>
      <c r="T12" s="241"/>
      <c r="U12" s="240"/>
      <c r="V12" s="241"/>
      <c r="W12" s="240"/>
    </row>
    <row r="13" spans="2:23" ht="22.5" customHeight="1">
      <c r="B13" s="255">
        <v>2001</v>
      </c>
      <c r="C13" s="248">
        <v>47.5</v>
      </c>
      <c r="D13" s="248">
        <v>79.8</v>
      </c>
      <c r="E13" s="248">
        <v>18.7</v>
      </c>
      <c r="F13" s="248">
        <v>32</v>
      </c>
      <c r="G13" s="248">
        <v>28.5</v>
      </c>
      <c r="H13" s="248">
        <v>270.3</v>
      </c>
      <c r="I13" s="248">
        <v>171.5</v>
      </c>
      <c r="J13" s="248">
        <v>102.8</v>
      </c>
      <c r="K13" s="248">
        <v>55.2</v>
      </c>
      <c r="L13" s="248">
        <v>79</v>
      </c>
      <c r="M13" s="248">
        <v>15.8</v>
      </c>
      <c r="N13" s="256">
        <v>44.8</v>
      </c>
      <c r="O13" s="301">
        <f t="shared" si="0"/>
        <v>945.9</v>
      </c>
      <c r="P13" s="257">
        <f t="shared" si="1"/>
        <v>78.8</v>
      </c>
      <c r="R13" s="241"/>
      <c r="S13" s="240"/>
      <c r="T13" s="241"/>
      <c r="U13" s="240"/>
      <c r="V13" s="241"/>
      <c r="W13" s="240"/>
    </row>
    <row r="14" spans="2:23" ht="22.5" customHeight="1">
      <c r="B14" s="255">
        <v>2002</v>
      </c>
      <c r="C14" s="248">
        <v>36.5</v>
      </c>
      <c r="D14" s="248">
        <v>14.5</v>
      </c>
      <c r="E14" s="248">
        <v>31.5</v>
      </c>
      <c r="F14" s="248">
        <v>105.7</v>
      </c>
      <c r="G14" s="248">
        <v>79.2</v>
      </c>
      <c r="H14" s="248">
        <v>97</v>
      </c>
      <c r="I14" s="248">
        <v>201.2</v>
      </c>
      <c r="J14" s="248">
        <v>384.6</v>
      </c>
      <c r="K14" s="248">
        <v>108.8</v>
      </c>
      <c r="L14" s="248">
        <v>53</v>
      </c>
      <c r="M14" s="248">
        <v>27.5</v>
      </c>
      <c r="N14" s="256">
        <v>22.7</v>
      </c>
      <c r="O14" s="301">
        <f t="shared" si="0"/>
        <v>1162.2</v>
      </c>
      <c r="P14" s="257">
        <f t="shared" si="1"/>
        <v>96.9</v>
      </c>
      <c r="R14" s="241"/>
      <c r="S14" s="240"/>
      <c r="T14" s="241"/>
      <c r="U14" s="240"/>
      <c r="V14" s="241"/>
      <c r="W14" s="240"/>
    </row>
    <row r="15" spans="2:23" ht="22.5" customHeight="1">
      <c r="B15" s="255">
        <v>2003</v>
      </c>
      <c r="C15" s="248">
        <v>41.5</v>
      </c>
      <c r="D15" s="248">
        <v>41.7</v>
      </c>
      <c r="E15" s="248">
        <v>75.3</v>
      </c>
      <c r="F15" s="248">
        <v>195.2</v>
      </c>
      <c r="G15" s="248">
        <v>147.9</v>
      </c>
      <c r="H15" s="248">
        <v>135.69999999999999</v>
      </c>
      <c r="I15" s="248">
        <v>402.4</v>
      </c>
      <c r="J15" s="248">
        <v>368.7</v>
      </c>
      <c r="K15" s="248">
        <v>170</v>
      </c>
      <c r="L15" s="248">
        <v>36.4</v>
      </c>
      <c r="M15" s="248">
        <v>49.6</v>
      </c>
      <c r="N15" s="256">
        <v>21.6</v>
      </c>
      <c r="O15" s="301">
        <f t="shared" si="0"/>
        <v>1686</v>
      </c>
      <c r="P15" s="257">
        <f t="shared" si="1"/>
        <v>140.5</v>
      </c>
    </row>
    <row r="16" spans="2:23" ht="22.5" customHeight="1">
      <c r="B16" s="255">
        <v>2004</v>
      </c>
      <c r="C16" s="248">
        <v>30.4</v>
      </c>
      <c r="D16" s="248">
        <v>35.799999999999997</v>
      </c>
      <c r="E16" s="248">
        <v>28.4</v>
      </c>
      <c r="F16" s="248">
        <v>52.4</v>
      </c>
      <c r="G16" s="248">
        <v>85.8</v>
      </c>
      <c r="H16" s="248">
        <v>217.2</v>
      </c>
      <c r="I16" s="248">
        <v>375.4</v>
      </c>
      <c r="J16" s="248">
        <v>351.4</v>
      </c>
      <c r="K16" s="248">
        <v>226.2</v>
      </c>
      <c r="L16" s="248">
        <v>4.8</v>
      </c>
      <c r="M16" s="248">
        <v>38.799999999999997</v>
      </c>
      <c r="N16" s="256">
        <v>36.700000000000003</v>
      </c>
      <c r="O16" s="301">
        <f t="shared" si="0"/>
        <v>1483.3</v>
      </c>
      <c r="P16" s="257">
        <f t="shared" si="1"/>
        <v>123.6</v>
      </c>
    </row>
    <row r="17" spans="2:16" ht="22.5" customHeight="1">
      <c r="B17" s="255">
        <v>2005</v>
      </c>
      <c r="C17" s="248">
        <v>18.399999999999999</v>
      </c>
      <c r="D17" s="248">
        <v>39.1</v>
      </c>
      <c r="E17" s="248">
        <v>64</v>
      </c>
      <c r="F17" s="248">
        <v>55.9</v>
      </c>
      <c r="G17" s="248">
        <v>81.599999999999994</v>
      </c>
      <c r="H17" s="248">
        <v>209.7</v>
      </c>
      <c r="I17" s="248">
        <v>197.1</v>
      </c>
      <c r="J17" s="248">
        <v>143.1</v>
      </c>
      <c r="K17" s="248">
        <v>68.900000000000006</v>
      </c>
      <c r="L17" s="248">
        <v>18.8</v>
      </c>
      <c r="M17" s="248">
        <v>51</v>
      </c>
      <c r="N17" s="256">
        <v>55.1</v>
      </c>
      <c r="O17" s="301">
        <f t="shared" si="0"/>
        <v>1002.7</v>
      </c>
      <c r="P17" s="257">
        <f t="shared" si="1"/>
        <v>83.6</v>
      </c>
    </row>
    <row r="18" spans="2:16" ht="22.5" customHeight="1">
      <c r="B18" s="255">
        <v>2006</v>
      </c>
      <c r="C18" s="248">
        <v>15.8</v>
      </c>
      <c r="D18" s="248">
        <v>34</v>
      </c>
      <c r="E18" s="248">
        <v>27.9</v>
      </c>
      <c r="F18" s="248">
        <v>109.2</v>
      </c>
      <c r="G18" s="248">
        <v>247.3</v>
      </c>
      <c r="H18" s="248">
        <v>191.9</v>
      </c>
      <c r="I18" s="248">
        <v>333.3</v>
      </c>
      <c r="J18" s="248">
        <v>177.7</v>
      </c>
      <c r="K18" s="248">
        <v>54.9</v>
      </c>
      <c r="L18" s="248">
        <v>20.5</v>
      </c>
      <c r="M18" s="248">
        <v>33.799999999999997</v>
      </c>
      <c r="N18" s="256">
        <v>42</v>
      </c>
      <c r="O18" s="301">
        <f t="shared" si="0"/>
        <v>1288.3</v>
      </c>
      <c r="P18" s="257">
        <f t="shared" si="1"/>
        <v>107.4</v>
      </c>
    </row>
    <row r="19" spans="2:16" ht="22.5" customHeight="1">
      <c r="B19" s="255">
        <v>2007</v>
      </c>
      <c r="C19" s="248">
        <v>8.3000000000000007</v>
      </c>
      <c r="D19" s="248">
        <v>67.900000000000006</v>
      </c>
      <c r="E19" s="248">
        <v>88.8</v>
      </c>
      <c r="F19" s="248">
        <v>26.5</v>
      </c>
      <c r="G19" s="248">
        <v>128.5</v>
      </c>
      <c r="H19" s="248">
        <v>30.6</v>
      </c>
      <c r="I19" s="248">
        <v>191.9</v>
      </c>
      <c r="J19" s="248">
        <v>222.6</v>
      </c>
      <c r="K19" s="248">
        <v>426.5</v>
      </c>
      <c r="L19" s="248">
        <v>101</v>
      </c>
      <c r="M19" s="248">
        <v>6.8</v>
      </c>
      <c r="N19" s="256">
        <v>51.2</v>
      </c>
      <c r="O19" s="301">
        <f t="shared" si="0"/>
        <v>1350.6</v>
      </c>
      <c r="P19" s="257">
        <f t="shared" si="1"/>
        <v>112.6</v>
      </c>
    </row>
    <row r="20" spans="2:16" ht="22.5" customHeight="1">
      <c r="B20" s="255">
        <v>2008</v>
      </c>
      <c r="C20" s="248">
        <v>62.6</v>
      </c>
      <c r="D20" s="248">
        <v>16.600000000000001</v>
      </c>
      <c r="E20" s="248">
        <v>64.099999999999994</v>
      </c>
      <c r="F20" s="248">
        <v>62</v>
      </c>
      <c r="G20" s="248">
        <v>150.5</v>
      </c>
      <c r="H20" s="248">
        <v>294.8</v>
      </c>
      <c r="I20" s="248">
        <v>112.2</v>
      </c>
      <c r="J20" s="248">
        <v>95.6</v>
      </c>
      <c r="K20" s="248">
        <v>30.4</v>
      </c>
      <c r="L20" s="248">
        <v>19.100000000000001</v>
      </c>
      <c r="M20" s="248">
        <v>38.6</v>
      </c>
      <c r="N20" s="256">
        <v>14</v>
      </c>
      <c r="O20" s="301">
        <f t="shared" si="0"/>
        <v>960.5</v>
      </c>
      <c r="P20" s="257">
        <f t="shared" si="1"/>
        <v>80</v>
      </c>
    </row>
    <row r="21" spans="2:16" ht="22.5" customHeight="1">
      <c r="B21" s="255">
        <v>2009</v>
      </c>
      <c r="C21" s="248">
        <v>29</v>
      </c>
      <c r="D21" s="248">
        <v>41.6</v>
      </c>
      <c r="E21" s="248">
        <v>43.1</v>
      </c>
      <c r="F21" s="248">
        <v>47.5</v>
      </c>
      <c r="G21" s="248">
        <v>97.2</v>
      </c>
      <c r="H21" s="248">
        <v>122.8</v>
      </c>
      <c r="I21" s="248">
        <v>465.8</v>
      </c>
      <c r="J21" s="248">
        <v>74</v>
      </c>
      <c r="K21" s="248">
        <v>46.1</v>
      </c>
      <c r="L21" s="248">
        <v>54</v>
      </c>
      <c r="M21" s="248">
        <v>32.1</v>
      </c>
      <c r="N21" s="256">
        <v>35.200000000000003</v>
      </c>
      <c r="O21" s="301">
        <f t="shared" si="0"/>
        <v>1088.4000000000001</v>
      </c>
      <c r="P21" s="257">
        <f t="shared" si="1"/>
        <v>90.7</v>
      </c>
    </row>
    <row r="22" spans="2:16" ht="22.5" customHeight="1">
      <c r="B22" s="255">
        <v>2010</v>
      </c>
      <c r="C22" s="248">
        <v>27.6</v>
      </c>
      <c r="D22" s="248">
        <v>98.2</v>
      </c>
      <c r="E22" s="248">
        <v>88.7</v>
      </c>
      <c r="F22" s="248">
        <v>140.5</v>
      </c>
      <c r="G22" s="248">
        <v>99.5</v>
      </c>
      <c r="H22" s="248">
        <v>52.9</v>
      </c>
      <c r="I22" s="248">
        <v>264.39999999999998</v>
      </c>
      <c r="J22" s="248">
        <v>344.2</v>
      </c>
      <c r="K22" s="248">
        <v>126.7</v>
      </c>
      <c r="L22" s="248">
        <v>39.200000000000003</v>
      </c>
      <c r="M22" s="248">
        <v>10</v>
      </c>
      <c r="N22" s="256">
        <v>43.8</v>
      </c>
      <c r="O22" s="301">
        <f t="shared" si="0"/>
        <v>1335.7</v>
      </c>
      <c r="P22" s="257">
        <f t="shared" si="1"/>
        <v>111.3</v>
      </c>
    </row>
    <row r="23" spans="2:16" ht="22.5" customHeight="1">
      <c r="B23" s="255">
        <v>2011</v>
      </c>
      <c r="C23" s="248">
        <v>12.2</v>
      </c>
      <c r="D23" s="248">
        <v>43.9</v>
      </c>
      <c r="E23" s="248">
        <v>25.6</v>
      </c>
      <c r="F23" s="248">
        <v>85.3</v>
      </c>
      <c r="G23" s="248">
        <v>96.9</v>
      </c>
      <c r="H23" s="248">
        <v>134.6</v>
      </c>
      <c r="I23" s="248">
        <v>227.6</v>
      </c>
      <c r="J23" s="248">
        <v>160</v>
      </c>
      <c r="K23" s="248">
        <v>10.1</v>
      </c>
      <c r="L23" s="248">
        <v>22</v>
      </c>
      <c r="M23" s="248">
        <v>149.9</v>
      </c>
      <c r="N23" s="256">
        <v>14</v>
      </c>
      <c r="O23" s="301">
        <f t="shared" si="0"/>
        <v>982.1</v>
      </c>
      <c r="P23" s="257">
        <f t="shared" si="1"/>
        <v>81.8</v>
      </c>
    </row>
    <row r="24" spans="2:16" ht="22.5" customHeight="1">
      <c r="B24" s="255">
        <v>2012</v>
      </c>
      <c r="C24" s="248">
        <v>14.1</v>
      </c>
      <c r="D24" s="248">
        <v>28.9</v>
      </c>
      <c r="E24" s="248">
        <v>136.6</v>
      </c>
      <c r="F24" s="248">
        <v>107.2</v>
      </c>
      <c r="G24" s="248">
        <v>26.9</v>
      </c>
      <c r="H24" s="248">
        <v>51.7</v>
      </c>
      <c r="I24" s="248">
        <v>319.39999999999998</v>
      </c>
      <c r="J24" s="248">
        <v>443.4</v>
      </c>
      <c r="K24" s="248">
        <v>259.3</v>
      </c>
      <c r="L24" s="248">
        <v>65.900000000000006</v>
      </c>
      <c r="M24" s="248">
        <v>49.5</v>
      </c>
      <c r="N24" s="256">
        <v>74.599999999999994</v>
      </c>
      <c r="O24" s="301">
        <f t="shared" si="0"/>
        <v>1577.5</v>
      </c>
      <c r="P24" s="257">
        <f t="shared" si="1"/>
        <v>131.5</v>
      </c>
    </row>
    <row r="25" spans="2:16" ht="22.5" customHeight="1">
      <c r="B25" s="255">
        <v>2013</v>
      </c>
      <c r="C25" s="248">
        <v>14.2</v>
      </c>
      <c r="D25" s="248">
        <v>51</v>
      </c>
      <c r="E25" s="248">
        <v>68.900000000000006</v>
      </c>
      <c r="F25" s="248">
        <v>41.6</v>
      </c>
      <c r="G25" s="248">
        <v>140.69999999999999</v>
      </c>
      <c r="H25" s="248">
        <v>84.4</v>
      </c>
      <c r="I25" s="248">
        <v>224.9</v>
      </c>
      <c r="J25" s="248">
        <v>176.8</v>
      </c>
      <c r="K25" s="248">
        <v>153.6</v>
      </c>
      <c r="L25" s="248">
        <v>17.399999999999999</v>
      </c>
      <c r="M25" s="248">
        <v>99.7</v>
      </c>
      <c r="N25" s="256">
        <v>16.5</v>
      </c>
      <c r="O25" s="301">
        <f t="shared" si="0"/>
        <v>1089.7</v>
      </c>
      <c r="P25" s="257">
        <f t="shared" si="1"/>
        <v>90.8</v>
      </c>
    </row>
    <row r="26" spans="2:16" ht="22.5" customHeight="1">
      <c r="B26" s="255">
        <v>2014</v>
      </c>
      <c r="C26" s="248">
        <v>12.4</v>
      </c>
      <c r="D26" s="248">
        <v>15.8</v>
      </c>
      <c r="E26" s="248">
        <v>92.3</v>
      </c>
      <c r="F26" s="248">
        <v>71.400000000000006</v>
      </c>
      <c r="G26" s="248">
        <v>72.8</v>
      </c>
      <c r="H26" s="248">
        <v>69.900000000000006</v>
      </c>
      <c r="I26" s="248">
        <v>136.80000000000001</v>
      </c>
      <c r="J26" s="248">
        <v>255</v>
      </c>
      <c r="K26" s="248">
        <v>74.7</v>
      </c>
      <c r="L26" s="248">
        <v>98.6</v>
      </c>
      <c r="M26" s="248">
        <v>95.7</v>
      </c>
      <c r="N26" s="256">
        <v>92.3</v>
      </c>
      <c r="O26" s="301">
        <f t="shared" si="0"/>
        <v>1087.7</v>
      </c>
      <c r="P26" s="257">
        <f t="shared" si="1"/>
        <v>90.6</v>
      </c>
    </row>
    <row r="27" spans="2:16" ht="22.5" customHeight="1">
      <c r="B27" s="255">
        <v>2015</v>
      </c>
      <c r="C27" s="248">
        <v>41.1</v>
      </c>
      <c r="D27" s="248">
        <v>25.7</v>
      </c>
      <c r="E27" s="248">
        <v>34.4</v>
      </c>
      <c r="F27" s="248">
        <v>159.6</v>
      </c>
      <c r="G27" s="248">
        <v>77.8</v>
      </c>
      <c r="H27" s="248">
        <v>117.8</v>
      </c>
      <c r="I27" s="248">
        <v>159.6</v>
      </c>
      <c r="J27" s="248">
        <v>86.5</v>
      </c>
      <c r="K27" s="248">
        <v>79.5</v>
      </c>
      <c r="L27" s="248">
        <v>84.2</v>
      </c>
      <c r="M27" s="248">
        <v>106.8</v>
      </c>
      <c r="N27" s="256">
        <v>68.599999999999994</v>
      </c>
      <c r="O27" s="301">
        <f t="shared" si="0"/>
        <v>1041.5999999999999</v>
      </c>
      <c r="P27" s="257">
        <f t="shared" si="1"/>
        <v>86.8</v>
      </c>
    </row>
    <row r="28" spans="2:16" ht="22.5" customHeight="1">
      <c r="B28" s="255">
        <v>2016</v>
      </c>
      <c r="C28" s="248">
        <v>79.2</v>
      </c>
      <c r="D28" s="248">
        <v>40.5</v>
      </c>
      <c r="E28" s="248">
        <v>54.9</v>
      </c>
      <c r="F28" s="248">
        <v>192</v>
      </c>
      <c r="G28" s="248">
        <v>119.9</v>
      </c>
      <c r="H28" s="248">
        <v>133.6</v>
      </c>
      <c r="I28" s="248">
        <v>249.2</v>
      </c>
      <c r="J28" s="248">
        <v>20.399999999999999</v>
      </c>
      <c r="K28" s="248">
        <v>197.8</v>
      </c>
      <c r="L28" s="248">
        <v>203.1</v>
      </c>
      <c r="M28" s="248">
        <v>61.5</v>
      </c>
      <c r="N28" s="256">
        <v>45.9</v>
      </c>
      <c r="O28" s="301">
        <f t="shared" si="0"/>
        <v>1398</v>
      </c>
      <c r="P28" s="257">
        <f t="shared" si="1"/>
        <v>116.5</v>
      </c>
    </row>
    <row r="29" spans="2:16" ht="22.5" customHeight="1">
      <c r="B29" s="255">
        <v>2017</v>
      </c>
      <c r="C29" s="248">
        <v>13.9</v>
      </c>
      <c r="D29" s="248">
        <v>32.299999999999997</v>
      </c>
      <c r="E29" s="248">
        <v>28.5</v>
      </c>
      <c r="F29" s="248">
        <v>46.5</v>
      </c>
      <c r="G29" s="248">
        <v>14</v>
      </c>
      <c r="H29" s="248">
        <v>28.5</v>
      </c>
      <c r="I29" s="248">
        <v>138.19999999999999</v>
      </c>
      <c r="J29" s="248">
        <v>201.8</v>
      </c>
      <c r="K29" s="248">
        <v>109.4</v>
      </c>
      <c r="L29" s="248">
        <v>62.7</v>
      </c>
      <c r="M29" s="248">
        <v>1.4</v>
      </c>
      <c r="N29" s="256">
        <v>45.3</v>
      </c>
      <c r="O29" s="301">
        <f t="shared" si="0"/>
        <v>722.5</v>
      </c>
      <c r="P29" s="257">
        <f t="shared" si="1"/>
        <v>60.2</v>
      </c>
    </row>
    <row r="30" spans="2:16" ht="22.5" customHeight="1">
      <c r="B30" s="255">
        <v>2018</v>
      </c>
      <c r="C30" s="248">
        <v>58</v>
      </c>
      <c r="D30" s="248">
        <v>39.299999999999997</v>
      </c>
      <c r="E30" s="248">
        <v>152.69999999999999</v>
      </c>
      <c r="F30" s="248">
        <v>169</v>
      </c>
      <c r="G30" s="248">
        <v>89.3</v>
      </c>
      <c r="H30" s="248">
        <v>162</v>
      </c>
      <c r="I30" s="248">
        <v>67.599999999999994</v>
      </c>
      <c r="J30" s="248">
        <v>246.2</v>
      </c>
      <c r="K30" s="248">
        <v>151.4</v>
      </c>
      <c r="L30" s="248">
        <v>138.4</v>
      </c>
      <c r="M30" s="248">
        <v>51.1</v>
      </c>
      <c r="N30" s="256">
        <v>38.299999999999997</v>
      </c>
      <c r="O30" s="301">
        <f t="shared" si="0"/>
        <v>1363.3</v>
      </c>
      <c r="P30" s="257">
        <f t="shared" si="1"/>
        <v>113.6</v>
      </c>
    </row>
    <row r="31" spans="2:16" ht="22.5" customHeight="1">
      <c r="B31" s="255">
        <v>2019</v>
      </c>
      <c r="C31" s="248">
        <v>13.3</v>
      </c>
      <c r="D31" s="248">
        <v>29.6</v>
      </c>
      <c r="E31" s="248">
        <v>38.5</v>
      </c>
      <c r="F31" s="248">
        <v>86.3</v>
      </c>
      <c r="G31" s="248">
        <v>122.9</v>
      </c>
      <c r="H31" s="248">
        <v>172.3</v>
      </c>
      <c r="I31" s="248">
        <v>167</v>
      </c>
      <c r="J31" s="248">
        <v>144.9</v>
      </c>
      <c r="K31" s="248">
        <v>259.3</v>
      </c>
      <c r="L31" s="248">
        <v>159</v>
      </c>
      <c r="M31" s="248">
        <v>14.6</v>
      </c>
      <c r="N31" s="256">
        <v>40.700000000000003</v>
      </c>
      <c r="O31" s="301">
        <f t="shared" si="0"/>
        <v>1248.4000000000001</v>
      </c>
      <c r="P31" s="257">
        <f t="shared" si="1"/>
        <v>104</v>
      </c>
    </row>
    <row r="32" spans="2:16" ht="22.5" customHeight="1">
      <c r="B32" s="255">
        <v>2020</v>
      </c>
      <c r="C32" s="248">
        <v>72</v>
      </c>
      <c r="D32" s="248">
        <v>28.9</v>
      </c>
      <c r="E32" s="248">
        <v>28.8</v>
      </c>
      <c r="F32" s="248">
        <v>60.9</v>
      </c>
      <c r="G32" s="248">
        <v>141.4</v>
      </c>
      <c r="H32" s="248">
        <v>261.5</v>
      </c>
      <c r="I32" s="248">
        <v>366.3</v>
      </c>
      <c r="J32" s="248">
        <v>206.4</v>
      </c>
      <c r="K32" s="248">
        <v>208.6</v>
      </c>
      <c r="L32" s="248">
        <v>20.5</v>
      </c>
      <c r="M32" s="248">
        <v>14</v>
      </c>
      <c r="N32" s="256">
        <v>18.399999999999999</v>
      </c>
      <c r="O32" s="301">
        <f t="shared" si="0"/>
        <v>1427.7</v>
      </c>
      <c r="P32" s="257">
        <f t="shared" si="1"/>
        <v>119</v>
      </c>
    </row>
    <row r="33" spans="2:16" ht="22.5" customHeight="1">
      <c r="B33" s="255">
        <v>2021</v>
      </c>
      <c r="C33" s="248">
        <v>39.700000000000003</v>
      </c>
      <c r="D33" s="248">
        <v>25.9</v>
      </c>
      <c r="E33" s="248">
        <v>127.4</v>
      </c>
      <c r="F33" s="248">
        <v>51.9</v>
      </c>
      <c r="G33" s="248">
        <v>112.3</v>
      </c>
      <c r="H33" s="248">
        <v>108.3</v>
      </c>
      <c r="I33" s="248">
        <v>327.5</v>
      </c>
      <c r="J33" s="248">
        <v>124.4</v>
      </c>
      <c r="K33" s="248">
        <v>91.4</v>
      </c>
      <c r="L33" s="248">
        <v>14.7</v>
      </c>
      <c r="M33" s="248">
        <v>63.9</v>
      </c>
      <c r="N33" s="256">
        <v>13.6</v>
      </c>
      <c r="O33" s="301">
        <f t="shared" si="0"/>
        <v>1101</v>
      </c>
      <c r="P33" s="257">
        <f t="shared" si="1"/>
        <v>91.8</v>
      </c>
    </row>
    <row r="34" spans="2:16" ht="22.5" customHeight="1" thickBot="1">
      <c r="B34" s="258">
        <v>2022</v>
      </c>
      <c r="C34" s="259">
        <v>4.3</v>
      </c>
      <c r="D34" s="259">
        <v>4.5</v>
      </c>
      <c r="E34" s="259">
        <v>78.900000000000006</v>
      </c>
      <c r="F34" s="259">
        <v>74.7</v>
      </c>
      <c r="G34" s="259">
        <v>2.6</v>
      </c>
      <c r="H34" s="259">
        <v>90.2</v>
      </c>
      <c r="I34" s="259">
        <v>196.3</v>
      </c>
      <c r="J34" s="259">
        <v>92.3</v>
      </c>
      <c r="K34" s="259">
        <v>101.9</v>
      </c>
      <c r="L34" s="259">
        <v>38.299999999999997</v>
      </c>
      <c r="M34" s="259">
        <v>33.1</v>
      </c>
      <c r="N34" s="260">
        <v>22.8</v>
      </c>
      <c r="O34" s="302">
        <f t="shared" si="0"/>
        <v>739.9</v>
      </c>
      <c r="P34" s="261">
        <f t="shared" si="1"/>
        <v>61.7</v>
      </c>
    </row>
    <row r="35" spans="2:16" ht="22.5" customHeight="1">
      <c r="B35" s="262" t="s">
        <v>36</v>
      </c>
      <c r="C35" s="263">
        <f>MAX(C5:C34)</f>
        <v>79.2</v>
      </c>
      <c r="D35" s="263">
        <f t="shared" ref="D35:N35" si="2">MAX(D5:D34)</f>
        <v>98.2</v>
      </c>
      <c r="E35" s="263">
        <f t="shared" si="2"/>
        <v>152.69999999999999</v>
      </c>
      <c r="F35" s="263">
        <f t="shared" si="2"/>
        <v>195.2</v>
      </c>
      <c r="G35" s="263">
        <f t="shared" si="2"/>
        <v>247.3</v>
      </c>
      <c r="H35" s="263">
        <f t="shared" si="2"/>
        <v>383.2</v>
      </c>
      <c r="I35" s="263">
        <f t="shared" si="2"/>
        <v>465.8</v>
      </c>
      <c r="J35" s="263">
        <f t="shared" si="2"/>
        <v>443.4</v>
      </c>
      <c r="K35" s="263">
        <f t="shared" si="2"/>
        <v>426.5</v>
      </c>
      <c r="L35" s="263">
        <f t="shared" si="2"/>
        <v>203.1</v>
      </c>
      <c r="M35" s="263">
        <f t="shared" si="2"/>
        <v>149.9</v>
      </c>
      <c r="N35" s="264">
        <f t="shared" si="2"/>
        <v>92.3</v>
      </c>
      <c r="O35" s="303">
        <f t="shared" ref="O35" si="3">MAX(O5:O34)</f>
        <v>1686</v>
      </c>
      <c r="P35" s="264">
        <f>MAX(P5:P34)</f>
        <v>140.5</v>
      </c>
    </row>
    <row r="36" spans="2:16" ht="22.5" customHeight="1">
      <c r="B36" s="265" t="s">
        <v>37</v>
      </c>
      <c r="C36" s="266">
        <f>ROUND(MIN(C5:C34),1)</f>
        <v>4.3</v>
      </c>
      <c r="D36" s="266">
        <f t="shared" ref="D36:N36" si="4">ROUND(MIN(D5:D34),1)</f>
        <v>4.5</v>
      </c>
      <c r="E36" s="266">
        <f t="shared" si="4"/>
        <v>15.6</v>
      </c>
      <c r="F36" s="266">
        <f t="shared" si="4"/>
        <v>6.4</v>
      </c>
      <c r="G36" s="266">
        <f t="shared" si="4"/>
        <v>2.6</v>
      </c>
      <c r="H36" s="266">
        <f t="shared" si="4"/>
        <v>28.5</v>
      </c>
      <c r="I36" s="266">
        <f t="shared" si="4"/>
        <v>14.9</v>
      </c>
      <c r="J36" s="266">
        <f t="shared" si="4"/>
        <v>20.399999999999999</v>
      </c>
      <c r="K36" s="266">
        <f t="shared" si="4"/>
        <v>10.1</v>
      </c>
      <c r="L36" s="266">
        <f t="shared" si="4"/>
        <v>4.8</v>
      </c>
      <c r="M36" s="266">
        <f t="shared" si="4"/>
        <v>1.4</v>
      </c>
      <c r="N36" s="267">
        <f t="shared" si="4"/>
        <v>5.3</v>
      </c>
      <c r="O36" s="280">
        <f>ROUND(MIN(O5:O34),1)</f>
        <v>613.20000000000005</v>
      </c>
      <c r="P36" s="268">
        <f>ROUND(MIN(P5:P34),1)</f>
        <v>51.1</v>
      </c>
    </row>
    <row r="37" spans="2:16" ht="22.5" customHeight="1" thickBot="1">
      <c r="B37" s="269" t="s">
        <v>45</v>
      </c>
      <c r="C37" s="270">
        <f>ROUND(AVERAGE(C5:C34),1)</f>
        <v>31.6</v>
      </c>
      <c r="D37" s="270">
        <f t="shared" ref="D37:N37" si="5">ROUND(AVERAGE(D5:D34),1)</f>
        <v>35.5</v>
      </c>
      <c r="E37" s="270">
        <f t="shared" si="5"/>
        <v>65</v>
      </c>
      <c r="F37" s="270">
        <f t="shared" si="5"/>
        <v>78.8</v>
      </c>
      <c r="G37" s="270">
        <f t="shared" si="5"/>
        <v>91.9</v>
      </c>
      <c r="H37" s="270">
        <f t="shared" si="5"/>
        <v>150.6</v>
      </c>
      <c r="I37" s="270">
        <f t="shared" si="5"/>
        <v>223</v>
      </c>
      <c r="J37" s="270">
        <f t="shared" si="5"/>
        <v>205.6</v>
      </c>
      <c r="K37" s="270">
        <f t="shared" si="5"/>
        <v>136</v>
      </c>
      <c r="L37" s="270">
        <f t="shared" si="5"/>
        <v>60.3</v>
      </c>
      <c r="M37" s="270">
        <f t="shared" si="5"/>
        <v>50.4</v>
      </c>
      <c r="N37" s="271">
        <f t="shared" si="5"/>
        <v>35.700000000000003</v>
      </c>
      <c r="O37" s="284">
        <f>ROUND(AVERAGE(O5:O34),1)</f>
        <v>1164.4000000000001</v>
      </c>
      <c r="P37" s="272">
        <f>ROUND(AVERAGE(P5:P34),1)</f>
        <v>97</v>
      </c>
    </row>
    <row r="38" spans="2:16" ht="21.95" customHeight="1"/>
    <row r="39" spans="2:16" ht="21.95" customHeight="1" thickBot="1"/>
    <row r="40" spans="2:16" ht="22.5" customHeight="1">
      <c r="B40" s="274" t="s">
        <v>40</v>
      </c>
      <c r="C40" s="275" t="s">
        <v>31</v>
      </c>
      <c r="D40" s="275" t="s">
        <v>32</v>
      </c>
      <c r="E40" s="275" t="s">
        <v>33</v>
      </c>
      <c r="F40" s="275" t="s">
        <v>34</v>
      </c>
      <c r="G40" s="275" t="s">
        <v>35</v>
      </c>
      <c r="H40" s="275" t="s">
        <v>12</v>
      </c>
      <c r="I40" s="275" t="s">
        <v>13</v>
      </c>
      <c r="J40" s="275" t="s">
        <v>14</v>
      </c>
      <c r="K40" s="275" t="s">
        <v>15</v>
      </c>
      <c r="L40" s="275" t="s">
        <v>16</v>
      </c>
      <c r="M40" s="275" t="s">
        <v>17</v>
      </c>
      <c r="N40" s="276" t="s">
        <v>18</v>
      </c>
      <c r="O40" s="277" t="s">
        <v>43</v>
      </c>
      <c r="P40" s="276" t="s">
        <v>30</v>
      </c>
    </row>
    <row r="41" spans="2:16" ht="22.5" customHeight="1">
      <c r="B41" s="278">
        <f>B25</f>
        <v>2013</v>
      </c>
      <c r="C41" s="273">
        <f t="shared" ref="C41:N41" si="6">C25</f>
        <v>14.2</v>
      </c>
      <c r="D41" s="273">
        <f t="shared" si="6"/>
        <v>51</v>
      </c>
      <c r="E41" s="273">
        <f t="shared" si="6"/>
        <v>68.900000000000006</v>
      </c>
      <c r="F41" s="273">
        <f t="shared" si="6"/>
        <v>41.6</v>
      </c>
      <c r="G41" s="273">
        <f t="shared" si="6"/>
        <v>140.69999999999999</v>
      </c>
      <c r="H41" s="273">
        <f t="shared" si="6"/>
        <v>84.4</v>
      </c>
      <c r="I41" s="273">
        <f t="shared" si="6"/>
        <v>224.9</v>
      </c>
      <c r="J41" s="273">
        <f t="shared" si="6"/>
        <v>176.8</v>
      </c>
      <c r="K41" s="273">
        <f t="shared" si="6"/>
        <v>153.6</v>
      </c>
      <c r="L41" s="273">
        <f t="shared" si="6"/>
        <v>17.399999999999999</v>
      </c>
      <c r="M41" s="273">
        <f t="shared" si="6"/>
        <v>99.7</v>
      </c>
      <c r="N41" s="279">
        <f t="shared" si="6"/>
        <v>16.5</v>
      </c>
      <c r="O41" s="280">
        <f>ROUND(SUM(C41:N41),1)</f>
        <v>1089.7</v>
      </c>
      <c r="P41" s="268">
        <f>ROUND(O41/12,1)</f>
        <v>90.8</v>
      </c>
    </row>
    <row r="42" spans="2:16" ht="22.5" customHeight="1">
      <c r="B42" s="278">
        <f t="shared" ref="B42:N42" si="7">B26</f>
        <v>2014</v>
      </c>
      <c r="C42" s="273">
        <f t="shared" si="7"/>
        <v>12.4</v>
      </c>
      <c r="D42" s="273">
        <f t="shared" si="7"/>
        <v>15.8</v>
      </c>
      <c r="E42" s="273">
        <f t="shared" si="7"/>
        <v>92.3</v>
      </c>
      <c r="F42" s="273">
        <f t="shared" si="7"/>
        <v>71.400000000000006</v>
      </c>
      <c r="G42" s="273">
        <f t="shared" si="7"/>
        <v>72.8</v>
      </c>
      <c r="H42" s="273">
        <f t="shared" si="7"/>
        <v>69.900000000000006</v>
      </c>
      <c r="I42" s="273">
        <f t="shared" si="7"/>
        <v>136.80000000000001</v>
      </c>
      <c r="J42" s="273">
        <f t="shared" si="7"/>
        <v>255</v>
      </c>
      <c r="K42" s="273">
        <f t="shared" si="7"/>
        <v>74.7</v>
      </c>
      <c r="L42" s="273">
        <f t="shared" si="7"/>
        <v>98.6</v>
      </c>
      <c r="M42" s="273">
        <f t="shared" si="7"/>
        <v>95.7</v>
      </c>
      <c r="N42" s="279">
        <f t="shared" si="7"/>
        <v>92.3</v>
      </c>
      <c r="O42" s="280">
        <f t="shared" ref="O42:O50" si="8">ROUND(SUM(C42:N42),1)</f>
        <v>1087.7</v>
      </c>
      <c r="P42" s="268">
        <f t="shared" ref="P42:P50" si="9">ROUND(O42/12,1)</f>
        <v>90.6</v>
      </c>
    </row>
    <row r="43" spans="2:16" ht="22.5" customHeight="1">
      <c r="B43" s="278">
        <f t="shared" ref="B43:N43" si="10">B27</f>
        <v>2015</v>
      </c>
      <c r="C43" s="273">
        <f t="shared" si="10"/>
        <v>41.1</v>
      </c>
      <c r="D43" s="273">
        <f t="shared" si="10"/>
        <v>25.7</v>
      </c>
      <c r="E43" s="273">
        <f t="shared" si="10"/>
        <v>34.4</v>
      </c>
      <c r="F43" s="273">
        <f t="shared" si="10"/>
        <v>159.6</v>
      </c>
      <c r="G43" s="273">
        <f t="shared" si="10"/>
        <v>77.8</v>
      </c>
      <c r="H43" s="273">
        <f t="shared" si="10"/>
        <v>117.8</v>
      </c>
      <c r="I43" s="273">
        <f t="shared" si="10"/>
        <v>159.6</v>
      </c>
      <c r="J43" s="273">
        <f t="shared" si="10"/>
        <v>86.5</v>
      </c>
      <c r="K43" s="273">
        <f t="shared" si="10"/>
        <v>79.5</v>
      </c>
      <c r="L43" s="273">
        <f t="shared" si="10"/>
        <v>84.2</v>
      </c>
      <c r="M43" s="273">
        <f t="shared" si="10"/>
        <v>106.8</v>
      </c>
      <c r="N43" s="279">
        <f t="shared" si="10"/>
        <v>68.599999999999994</v>
      </c>
      <c r="O43" s="280">
        <f t="shared" si="8"/>
        <v>1041.5999999999999</v>
      </c>
      <c r="P43" s="268">
        <f t="shared" si="9"/>
        <v>86.8</v>
      </c>
    </row>
    <row r="44" spans="2:16" ht="22.5" customHeight="1">
      <c r="B44" s="278">
        <f t="shared" ref="B44:N44" si="11">B28</f>
        <v>2016</v>
      </c>
      <c r="C44" s="273">
        <f t="shared" si="11"/>
        <v>79.2</v>
      </c>
      <c r="D44" s="273">
        <f t="shared" si="11"/>
        <v>40.5</v>
      </c>
      <c r="E44" s="273">
        <f t="shared" si="11"/>
        <v>54.9</v>
      </c>
      <c r="F44" s="273">
        <f t="shared" si="11"/>
        <v>192</v>
      </c>
      <c r="G44" s="273">
        <f t="shared" si="11"/>
        <v>119.9</v>
      </c>
      <c r="H44" s="273">
        <f t="shared" si="11"/>
        <v>133.6</v>
      </c>
      <c r="I44" s="273">
        <f t="shared" si="11"/>
        <v>249.2</v>
      </c>
      <c r="J44" s="273">
        <f t="shared" si="11"/>
        <v>20.399999999999999</v>
      </c>
      <c r="K44" s="273">
        <f t="shared" si="11"/>
        <v>197.8</v>
      </c>
      <c r="L44" s="273">
        <f t="shared" si="11"/>
        <v>203.1</v>
      </c>
      <c r="M44" s="273">
        <f t="shared" si="11"/>
        <v>61.5</v>
      </c>
      <c r="N44" s="279">
        <f t="shared" si="11"/>
        <v>45.9</v>
      </c>
      <c r="O44" s="280">
        <f t="shared" si="8"/>
        <v>1398</v>
      </c>
      <c r="P44" s="268">
        <f t="shared" si="9"/>
        <v>116.5</v>
      </c>
    </row>
    <row r="45" spans="2:16" ht="22.5" customHeight="1">
      <c r="B45" s="278">
        <f t="shared" ref="B45:N45" si="12">B29</f>
        <v>2017</v>
      </c>
      <c r="C45" s="273">
        <f t="shared" si="12"/>
        <v>13.9</v>
      </c>
      <c r="D45" s="273">
        <f t="shared" si="12"/>
        <v>32.299999999999997</v>
      </c>
      <c r="E45" s="273">
        <f t="shared" si="12"/>
        <v>28.5</v>
      </c>
      <c r="F45" s="273">
        <f t="shared" si="12"/>
        <v>46.5</v>
      </c>
      <c r="G45" s="273">
        <f t="shared" si="12"/>
        <v>14</v>
      </c>
      <c r="H45" s="273">
        <f t="shared" si="12"/>
        <v>28.5</v>
      </c>
      <c r="I45" s="273">
        <f t="shared" si="12"/>
        <v>138.19999999999999</v>
      </c>
      <c r="J45" s="273">
        <f t="shared" si="12"/>
        <v>201.8</v>
      </c>
      <c r="K45" s="273">
        <f t="shared" si="12"/>
        <v>109.4</v>
      </c>
      <c r="L45" s="273">
        <f t="shared" si="12"/>
        <v>62.7</v>
      </c>
      <c r="M45" s="273">
        <f t="shared" si="12"/>
        <v>1.4</v>
      </c>
      <c r="N45" s="279">
        <f t="shared" si="12"/>
        <v>45.3</v>
      </c>
      <c r="O45" s="280">
        <f t="shared" si="8"/>
        <v>722.5</v>
      </c>
      <c r="P45" s="268">
        <f t="shared" si="9"/>
        <v>60.2</v>
      </c>
    </row>
    <row r="46" spans="2:16" ht="22.5" customHeight="1">
      <c r="B46" s="278">
        <f t="shared" ref="B46:N46" si="13">B30</f>
        <v>2018</v>
      </c>
      <c r="C46" s="273">
        <f t="shared" si="13"/>
        <v>58</v>
      </c>
      <c r="D46" s="273">
        <f t="shared" si="13"/>
        <v>39.299999999999997</v>
      </c>
      <c r="E46" s="273">
        <f t="shared" si="13"/>
        <v>152.69999999999999</v>
      </c>
      <c r="F46" s="273">
        <f t="shared" si="13"/>
        <v>169</v>
      </c>
      <c r="G46" s="273">
        <f t="shared" si="13"/>
        <v>89.3</v>
      </c>
      <c r="H46" s="273">
        <f t="shared" si="13"/>
        <v>162</v>
      </c>
      <c r="I46" s="273">
        <f t="shared" si="13"/>
        <v>67.599999999999994</v>
      </c>
      <c r="J46" s="273">
        <f t="shared" si="13"/>
        <v>246.2</v>
      </c>
      <c r="K46" s="273">
        <f t="shared" si="13"/>
        <v>151.4</v>
      </c>
      <c r="L46" s="273">
        <f t="shared" si="13"/>
        <v>138.4</v>
      </c>
      <c r="M46" s="273">
        <f t="shared" si="13"/>
        <v>51.1</v>
      </c>
      <c r="N46" s="279">
        <f t="shared" si="13"/>
        <v>38.299999999999997</v>
      </c>
      <c r="O46" s="280">
        <f t="shared" si="8"/>
        <v>1363.3</v>
      </c>
      <c r="P46" s="268">
        <f t="shared" si="9"/>
        <v>113.6</v>
      </c>
    </row>
    <row r="47" spans="2:16" ht="22.5" customHeight="1">
      <c r="B47" s="278">
        <f t="shared" ref="B47:N47" si="14">B31</f>
        <v>2019</v>
      </c>
      <c r="C47" s="273">
        <f t="shared" si="14"/>
        <v>13.3</v>
      </c>
      <c r="D47" s="273">
        <f t="shared" si="14"/>
        <v>29.6</v>
      </c>
      <c r="E47" s="273">
        <f t="shared" si="14"/>
        <v>38.5</v>
      </c>
      <c r="F47" s="273">
        <f t="shared" si="14"/>
        <v>86.3</v>
      </c>
      <c r="G47" s="273">
        <f t="shared" si="14"/>
        <v>122.9</v>
      </c>
      <c r="H47" s="273">
        <f t="shared" si="14"/>
        <v>172.3</v>
      </c>
      <c r="I47" s="273">
        <f t="shared" si="14"/>
        <v>167</v>
      </c>
      <c r="J47" s="273">
        <f t="shared" si="14"/>
        <v>144.9</v>
      </c>
      <c r="K47" s="273">
        <f t="shared" si="14"/>
        <v>259.3</v>
      </c>
      <c r="L47" s="273">
        <f t="shared" si="14"/>
        <v>159</v>
      </c>
      <c r="M47" s="273">
        <f t="shared" si="14"/>
        <v>14.6</v>
      </c>
      <c r="N47" s="279">
        <f t="shared" si="14"/>
        <v>40.700000000000003</v>
      </c>
      <c r="O47" s="280">
        <f t="shared" si="8"/>
        <v>1248.4000000000001</v>
      </c>
      <c r="P47" s="268">
        <f t="shared" si="9"/>
        <v>104</v>
      </c>
    </row>
    <row r="48" spans="2:16" ht="22.5" customHeight="1">
      <c r="B48" s="278">
        <f t="shared" ref="B48:N48" si="15">B32</f>
        <v>2020</v>
      </c>
      <c r="C48" s="273">
        <f t="shared" si="15"/>
        <v>72</v>
      </c>
      <c r="D48" s="273">
        <f t="shared" si="15"/>
        <v>28.9</v>
      </c>
      <c r="E48" s="273">
        <f t="shared" si="15"/>
        <v>28.8</v>
      </c>
      <c r="F48" s="273">
        <f t="shared" si="15"/>
        <v>60.9</v>
      </c>
      <c r="G48" s="273">
        <f t="shared" si="15"/>
        <v>141.4</v>
      </c>
      <c r="H48" s="273">
        <f t="shared" si="15"/>
        <v>261.5</v>
      </c>
      <c r="I48" s="273">
        <f t="shared" si="15"/>
        <v>366.3</v>
      </c>
      <c r="J48" s="273">
        <f t="shared" si="15"/>
        <v>206.4</v>
      </c>
      <c r="K48" s="273">
        <f t="shared" si="15"/>
        <v>208.6</v>
      </c>
      <c r="L48" s="273">
        <f t="shared" si="15"/>
        <v>20.5</v>
      </c>
      <c r="M48" s="273">
        <f t="shared" si="15"/>
        <v>14</v>
      </c>
      <c r="N48" s="279">
        <f t="shared" si="15"/>
        <v>18.399999999999999</v>
      </c>
      <c r="O48" s="280">
        <f t="shared" si="8"/>
        <v>1427.7</v>
      </c>
      <c r="P48" s="268">
        <f t="shared" si="9"/>
        <v>119</v>
      </c>
    </row>
    <row r="49" spans="2:16" ht="22.5" customHeight="1">
      <c r="B49" s="278">
        <f t="shared" ref="B49:N49" si="16">B33</f>
        <v>2021</v>
      </c>
      <c r="C49" s="273">
        <f t="shared" si="16"/>
        <v>39.700000000000003</v>
      </c>
      <c r="D49" s="273">
        <f t="shared" si="16"/>
        <v>25.9</v>
      </c>
      <c r="E49" s="273">
        <f t="shared" si="16"/>
        <v>127.4</v>
      </c>
      <c r="F49" s="273">
        <f t="shared" si="16"/>
        <v>51.9</v>
      </c>
      <c r="G49" s="273">
        <f t="shared" si="16"/>
        <v>112.3</v>
      </c>
      <c r="H49" s="273">
        <f t="shared" si="16"/>
        <v>108.3</v>
      </c>
      <c r="I49" s="273">
        <f t="shared" si="16"/>
        <v>327.5</v>
      </c>
      <c r="J49" s="273">
        <f t="shared" si="16"/>
        <v>124.4</v>
      </c>
      <c r="K49" s="273">
        <f t="shared" si="16"/>
        <v>91.4</v>
      </c>
      <c r="L49" s="273">
        <f t="shared" si="16"/>
        <v>14.7</v>
      </c>
      <c r="M49" s="273">
        <f t="shared" si="16"/>
        <v>63.9</v>
      </c>
      <c r="N49" s="279">
        <f t="shared" si="16"/>
        <v>13.6</v>
      </c>
      <c r="O49" s="280">
        <f t="shared" si="8"/>
        <v>1101</v>
      </c>
      <c r="P49" s="268">
        <f t="shared" si="9"/>
        <v>91.8</v>
      </c>
    </row>
    <row r="50" spans="2:16" ht="22.5" customHeight="1" thickBot="1">
      <c r="B50" s="281">
        <f t="shared" ref="B50:N50" si="17">B34</f>
        <v>2022</v>
      </c>
      <c r="C50" s="282">
        <f t="shared" si="17"/>
        <v>4.3</v>
      </c>
      <c r="D50" s="282">
        <f t="shared" si="17"/>
        <v>4.5</v>
      </c>
      <c r="E50" s="282">
        <f>E34</f>
        <v>78.900000000000006</v>
      </c>
      <c r="F50" s="282">
        <f t="shared" si="17"/>
        <v>74.7</v>
      </c>
      <c r="G50" s="282">
        <f t="shared" si="17"/>
        <v>2.6</v>
      </c>
      <c r="H50" s="282">
        <f t="shared" si="17"/>
        <v>90.2</v>
      </c>
      <c r="I50" s="282">
        <f t="shared" si="17"/>
        <v>196.3</v>
      </c>
      <c r="J50" s="282">
        <f t="shared" si="17"/>
        <v>92.3</v>
      </c>
      <c r="K50" s="282">
        <f t="shared" si="17"/>
        <v>101.9</v>
      </c>
      <c r="L50" s="282">
        <f t="shared" si="17"/>
        <v>38.299999999999997</v>
      </c>
      <c r="M50" s="282">
        <f t="shared" si="17"/>
        <v>33.1</v>
      </c>
      <c r="N50" s="283">
        <f t="shared" si="17"/>
        <v>22.8</v>
      </c>
      <c r="O50" s="284">
        <f t="shared" si="8"/>
        <v>739.9</v>
      </c>
      <c r="P50" s="272">
        <f t="shared" si="9"/>
        <v>61.7</v>
      </c>
    </row>
    <row r="51" spans="2:16" ht="22.5" customHeight="1">
      <c r="B51" s="285" t="s">
        <v>46</v>
      </c>
      <c r="C51" s="286">
        <f>MAX(C41:C50)</f>
        <v>79.2</v>
      </c>
      <c r="D51" s="286">
        <f t="shared" ref="D51:P51" si="18">MAX(D41:D50)</f>
        <v>51</v>
      </c>
      <c r="E51" s="286">
        <f t="shared" si="18"/>
        <v>152.69999999999999</v>
      </c>
      <c r="F51" s="286">
        <f t="shared" si="18"/>
        <v>192</v>
      </c>
      <c r="G51" s="286">
        <f t="shared" si="18"/>
        <v>141.4</v>
      </c>
      <c r="H51" s="286">
        <f t="shared" si="18"/>
        <v>261.5</v>
      </c>
      <c r="I51" s="286">
        <f t="shared" si="18"/>
        <v>366.3</v>
      </c>
      <c r="J51" s="286">
        <f t="shared" si="18"/>
        <v>255</v>
      </c>
      <c r="K51" s="286">
        <f t="shared" si="18"/>
        <v>259.3</v>
      </c>
      <c r="L51" s="286">
        <f t="shared" si="18"/>
        <v>203.1</v>
      </c>
      <c r="M51" s="286">
        <f t="shared" si="18"/>
        <v>106.8</v>
      </c>
      <c r="N51" s="287">
        <f t="shared" si="18"/>
        <v>92.3</v>
      </c>
      <c r="O51" s="288">
        <f t="shared" si="18"/>
        <v>1427.7</v>
      </c>
      <c r="P51" s="289">
        <f t="shared" si="18"/>
        <v>119</v>
      </c>
    </row>
    <row r="52" spans="2:16" ht="22.5" customHeight="1">
      <c r="B52" s="290" t="s">
        <v>47</v>
      </c>
      <c r="C52" s="291">
        <f>MIN(C41:C50)</f>
        <v>4.3</v>
      </c>
      <c r="D52" s="291">
        <f t="shared" ref="D52:P52" si="19">MIN(D41:D50)</f>
        <v>4.5</v>
      </c>
      <c r="E52" s="291">
        <f t="shared" si="19"/>
        <v>28.5</v>
      </c>
      <c r="F52" s="291">
        <f t="shared" si="19"/>
        <v>41.6</v>
      </c>
      <c r="G52" s="291">
        <f t="shared" si="19"/>
        <v>2.6</v>
      </c>
      <c r="H52" s="291">
        <f t="shared" si="19"/>
        <v>28.5</v>
      </c>
      <c r="I52" s="291">
        <f t="shared" si="19"/>
        <v>67.599999999999994</v>
      </c>
      <c r="J52" s="291">
        <f t="shared" si="19"/>
        <v>20.399999999999999</v>
      </c>
      <c r="K52" s="291">
        <f t="shared" si="19"/>
        <v>74.7</v>
      </c>
      <c r="L52" s="291">
        <f t="shared" si="19"/>
        <v>14.7</v>
      </c>
      <c r="M52" s="291">
        <f t="shared" si="19"/>
        <v>1.4</v>
      </c>
      <c r="N52" s="292">
        <f t="shared" si="19"/>
        <v>13.6</v>
      </c>
      <c r="O52" s="280">
        <f>MIN(O41:O50)</f>
        <v>722.5</v>
      </c>
      <c r="P52" s="268">
        <f t="shared" si="19"/>
        <v>60.2</v>
      </c>
    </row>
    <row r="53" spans="2:16" ht="22.5" customHeight="1" thickBot="1">
      <c r="B53" s="293" t="s">
        <v>30</v>
      </c>
      <c r="C53" s="294">
        <f>ROUND(AVERAGE(C41:C50),1)</f>
        <v>34.799999999999997</v>
      </c>
      <c r="D53" s="294">
        <f t="shared" ref="D53:N53" si="20">ROUND(AVERAGE(D41:D50),1)</f>
        <v>29.4</v>
      </c>
      <c r="E53" s="294">
        <f t="shared" si="20"/>
        <v>70.5</v>
      </c>
      <c r="F53" s="294">
        <f t="shared" si="20"/>
        <v>95.4</v>
      </c>
      <c r="G53" s="294">
        <f t="shared" si="20"/>
        <v>89.4</v>
      </c>
      <c r="H53" s="294">
        <f t="shared" si="20"/>
        <v>122.9</v>
      </c>
      <c r="I53" s="294">
        <f t="shared" si="20"/>
        <v>203.3</v>
      </c>
      <c r="J53" s="294">
        <f t="shared" si="20"/>
        <v>155.5</v>
      </c>
      <c r="K53" s="294">
        <f t="shared" si="20"/>
        <v>142.80000000000001</v>
      </c>
      <c r="L53" s="294">
        <f t="shared" si="20"/>
        <v>83.7</v>
      </c>
      <c r="M53" s="294">
        <f t="shared" si="20"/>
        <v>54.2</v>
      </c>
      <c r="N53" s="295">
        <f t="shared" si="20"/>
        <v>40.200000000000003</v>
      </c>
      <c r="O53" s="284">
        <f>ROUND(AVERAGE(O41:O50),1)</f>
        <v>1122</v>
      </c>
      <c r="P53" s="272">
        <f>ROUND(AVERAGE(P41:P50),1)</f>
        <v>93.5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23</v>
      </c>
      <c r="D3" s="85">
        <f>All!D5</f>
        <v>61</v>
      </c>
      <c r="E3" s="85">
        <f>All!E5</f>
        <v>56.3</v>
      </c>
      <c r="F3" s="85">
        <f>All!F5</f>
        <v>16.5</v>
      </c>
      <c r="G3" s="85">
        <f>All!G5</f>
        <v>94.7</v>
      </c>
      <c r="H3" s="85">
        <f>All!H5</f>
        <v>99.2</v>
      </c>
      <c r="I3" s="85">
        <f>All!I5</f>
        <v>171.3</v>
      </c>
      <c r="J3" s="85">
        <f>All!J5</f>
        <v>399.1</v>
      </c>
      <c r="K3" s="85">
        <f>All!K5</f>
        <v>29.7</v>
      </c>
      <c r="L3" s="85">
        <f>All!L5</f>
        <v>58.9</v>
      </c>
      <c r="M3" s="85">
        <f>All!M5</f>
        <v>102.6</v>
      </c>
      <c r="N3" s="85">
        <f>All!N5</f>
        <v>18.600000000000001</v>
      </c>
      <c r="O3" s="85">
        <f>All!O5</f>
        <v>1130.9000000000001</v>
      </c>
      <c r="P3" s="86">
        <f>All!P5</f>
        <v>94.2</v>
      </c>
    </row>
    <row r="4" spans="2:16">
      <c r="B4" s="84">
        <f>All!B6</f>
        <v>1994</v>
      </c>
      <c r="C4" s="85">
        <f>All!C6</f>
        <v>27.9</v>
      </c>
      <c r="D4" s="85">
        <f>All!D6</f>
        <v>20.9</v>
      </c>
      <c r="E4" s="85">
        <f>All!E6</f>
        <v>15.6</v>
      </c>
      <c r="F4" s="85">
        <f>All!F6</f>
        <v>29.3</v>
      </c>
      <c r="G4" s="85">
        <f>All!G6</f>
        <v>73.900000000000006</v>
      </c>
      <c r="H4" s="85">
        <f>All!H6</f>
        <v>80.3</v>
      </c>
      <c r="I4" s="85">
        <f>All!I6</f>
        <v>14.9</v>
      </c>
      <c r="J4" s="85">
        <f>All!J6</f>
        <v>193.8</v>
      </c>
      <c r="K4" s="85">
        <f>All!K6</f>
        <v>27.3</v>
      </c>
      <c r="L4" s="85">
        <f>All!L6</f>
        <v>145.80000000000001</v>
      </c>
      <c r="M4" s="85">
        <f>All!M6</f>
        <v>48.3</v>
      </c>
      <c r="N4" s="85">
        <f>All!N6</f>
        <v>39</v>
      </c>
      <c r="O4" s="85">
        <f>All!O6</f>
        <v>717</v>
      </c>
      <c r="P4" s="86">
        <f>All!P6</f>
        <v>59.8</v>
      </c>
    </row>
    <row r="5" spans="2:16">
      <c r="B5" s="84">
        <f>All!B7</f>
        <v>1995</v>
      </c>
      <c r="C5" s="85">
        <f>All!C7</f>
        <v>37.799999999999997</v>
      </c>
      <c r="D5" s="85">
        <f>All!D7</f>
        <v>30.8</v>
      </c>
      <c r="E5" s="85">
        <f>All!E7</f>
        <v>30</v>
      </c>
      <c r="F5" s="85">
        <f>All!F7</f>
        <v>72.3</v>
      </c>
      <c r="G5" s="85">
        <f>All!G7</f>
        <v>53.5</v>
      </c>
      <c r="H5" s="85">
        <f>All!H7</f>
        <v>140.6</v>
      </c>
      <c r="I5" s="85">
        <f>All!I7</f>
        <v>107.9</v>
      </c>
      <c r="J5" s="85">
        <f>All!J7</f>
        <v>65.099999999999994</v>
      </c>
      <c r="K5" s="85">
        <f>All!K7</f>
        <v>32.700000000000003</v>
      </c>
      <c r="L5" s="85">
        <f>All!L7</f>
        <v>10.4</v>
      </c>
      <c r="M5" s="85">
        <f>All!M7</f>
        <v>19</v>
      </c>
      <c r="N5" s="85">
        <f>All!N7</f>
        <v>13.1</v>
      </c>
      <c r="O5" s="85">
        <f>All!O7</f>
        <v>613.20000000000005</v>
      </c>
      <c r="P5" s="86">
        <f>All!P7</f>
        <v>51.1</v>
      </c>
    </row>
    <row r="6" spans="2:16">
      <c r="B6" s="84">
        <f>All!B8</f>
        <v>1996</v>
      </c>
      <c r="C6" s="85">
        <f>All!C8</f>
        <v>35.200000000000003</v>
      </c>
      <c r="D6" s="85">
        <f>All!D8</f>
        <v>19.399999999999999</v>
      </c>
      <c r="E6" s="85">
        <f>All!E8</f>
        <v>130.1</v>
      </c>
      <c r="F6" s="85">
        <f>All!F8</f>
        <v>27.8</v>
      </c>
      <c r="G6" s="85">
        <f>All!G8</f>
        <v>27.3</v>
      </c>
      <c r="H6" s="85">
        <f>All!H8</f>
        <v>286.8</v>
      </c>
      <c r="I6" s="85">
        <f>All!I8</f>
        <v>190.4</v>
      </c>
      <c r="J6" s="85">
        <f>All!J8</f>
        <v>77</v>
      </c>
      <c r="K6" s="85">
        <f>All!K8</f>
        <v>94.1</v>
      </c>
      <c r="L6" s="85">
        <f>All!L8</f>
        <v>52</v>
      </c>
      <c r="M6" s="85">
        <f>All!M8</f>
        <v>66.5</v>
      </c>
      <c r="N6" s="85">
        <f>All!N8</f>
        <v>34.299999999999997</v>
      </c>
      <c r="O6" s="85">
        <f>All!O8</f>
        <v>1040.9000000000001</v>
      </c>
      <c r="P6" s="86">
        <f>All!P8</f>
        <v>86.7</v>
      </c>
    </row>
    <row r="7" spans="2:16">
      <c r="B7" s="84">
        <f>All!B9</f>
        <v>1997</v>
      </c>
      <c r="C7" s="85">
        <f>All!C9</f>
        <v>6.5</v>
      </c>
      <c r="D7" s="85">
        <f>All!D9</f>
        <v>12</v>
      </c>
      <c r="E7" s="85">
        <f>All!E9</f>
        <v>70.3</v>
      </c>
      <c r="F7" s="85">
        <f>All!F9</f>
        <v>63.5</v>
      </c>
      <c r="G7" s="85">
        <f>All!G9</f>
        <v>78</v>
      </c>
      <c r="H7" s="85">
        <f>All!H9</f>
        <v>145.69999999999999</v>
      </c>
      <c r="I7" s="85">
        <f>All!I9</f>
        <v>253.2</v>
      </c>
      <c r="J7" s="85">
        <f>All!J9</f>
        <v>255</v>
      </c>
      <c r="K7" s="85">
        <f>All!K9</f>
        <v>22.8</v>
      </c>
      <c r="L7" s="85">
        <f>All!L9</f>
        <v>7</v>
      </c>
      <c r="M7" s="85">
        <f>All!M9</f>
        <v>135.4</v>
      </c>
      <c r="N7" s="85">
        <f>All!N9</f>
        <v>77</v>
      </c>
      <c r="O7" s="85">
        <f>All!O9</f>
        <v>1126.4000000000001</v>
      </c>
      <c r="P7" s="86">
        <f>All!P9</f>
        <v>93.9</v>
      </c>
    </row>
    <row r="8" spans="2:16">
      <c r="B8" s="84">
        <f>All!B10</f>
        <v>1998</v>
      </c>
      <c r="C8" s="85">
        <f>All!C10</f>
        <v>51.8</v>
      </c>
      <c r="D8" s="85">
        <f>All!D10</f>
        <v>46.4</v>
      </c>
      <c r="E8" s="85">
        <f>All!E10</f>
        <v>79.8</v>
      </c>
      <c r="F8" s="85">
        <f>All!F10</f>
        <v>116.8</v>
      </c>
      <c r="G8" s="85">
        <f>All!G10</f>
        <v>110.9</v>
      </c>
      <c r="H8" s="85">
        <f>All!H10</f>
        <v>383.2</v>
      </c>
      <c r="I8" s="85">
        <f>All!I10</f>
        <v>175.2</v>
      </c>
      <c r="J8" s="85">
        <f>All!J10</f>
        <v>153.80000000000001</v>
      </c>
      <c r="K8" s="85">
        <f>All!K10</f>
        <v>304.10000000000002</v>
      </c>
      <c r="L8" s="85">
        <f>All!L10</f>
        <v>50.1</v>
      </c>
      <c r="M8" s="85">
        <f>All!M10</f>
        <v>30.3</v>
      </c>
      <c r="N8" s="85">
        <f>All!N10</f>
        <v>5.3</v>
      </c>
      <c r="O8" s="85">
        <f>All!O10</f>
        <v>1507.7</v>
      </c>
      <c r="P8" s="86">
        <f>All!P10</f>
        <v>125.6</v>
      </c>
    </row>
    <row r="9" spans="2:16">
      <c r="B9" s="84">
        <f>All!B11</f>
        <v>1999</v>
      </c>
      <c r="C9" s="85">
        <f>All!C11</f>
        <v>41.7</v>
      </c>
      <c r="D9" s="85">
        <f>All!D11</f>
        <v>31.9</v>
      </c>
      <c r="E9" s="85">
        <f>All!E11</f>
        <v>148.5</v>
      </c>
      <c r="F9" s="85">
        <f>All!F11</f>
        <v>56.7</v>
      </c>
      <c r="G9" s="85">
        <f>All!G11</f>
        <v>116</v>
      </c>
      <c r="H9" s="85">
        <f>All!H11</f>
        <v>121.7</v>
      </c>
      <c r="I9" s="85">
        <f>All!I11</f>
        <v>276.5</v>
      </c>
      <c r="J9" s="85">
        <f>All!J11</f>
        <v>279.60000000000002</v>
      </c>
      <c r="K9" s="85">
        <f>All!K11</f>
        <v>323.8</v>
      </c>
      <c r="L9" s="85">
        <f>All!L11</f>
        <v>103.4</v>
      </c>
      <c r="M9" s="85">
        <f>All!M11</f>
        <v>14.7</v>
      </c>
      <c r="N9" s="85">
        <f>All!N11</f>
        <v>20.5</v>
      </c>
      <c r="O9" s="85">
        <f>All!O11</f>
        <v>1535</v>
      </c>
      <c r="P9" s="86">
        <f>All!P11</f>
        <v>127.9</v>
      </c>
    </row>
    <row r="10" spans="2:16">
      <c r="B10" s="84">
        <f>All!B12</f>
        <v>2000</v>
      </c>
      <c r="C10" s="85">
        <f>All!C12</f>
        <v>31</v>
      </c>
      <c r="D10" s="85">
        <f>All!D12</f>
        <v>7.8</v>
      </c>
      <c r="E10" s="85">
        <f>All!E12</f>
        <v>21.2</v>
      </c>
      <c r="F10" s="85">
        <f>All!F12</f>
        <v>6.4</v>
      </c>
      <c r="G10" s="85">
        <f>All!G12</f>
        <v>40.200000000000003</v>
      </c>
      <c r="H10" s="85">
        <f>All!H12</f>
        <v>222.4</v>
      </c>
      <c r="I10" s="85">
        <f>All!I12</f>
        <v>204</v>
      </c>
      <c r="J10" s="85">
        <f>All!J12</f>
        <v>322.2</v>
      </c>
      <c r="K10" s="85">
        <f>All!K12</f>
        <v>235.2</v>
      </c>
      <c r="L10" s="85">
        <f>All!L12</f>
        <v>29.8</v>
      </c>
      <c r="M10" s="85">
        <f>All!M12</f>
        <v>50.1</v>
      </c>
      <c r="N10" s="85">
        <f>All!N12</f>
        <v>6.4</v>
      </c>
      <c r="O10" s="85">
        <f>All!O12</f>
        <v>1176.7</v>
      </c>
      <c r="P10" s="86">
        <f>All!P12</f>
        <v>98.1</v>
      </c>
    </row>
    <row r="11" spans="2:16">
      <c r="B11" s="84">
        <f>All!B13</f>
        <v>2001</v>
      </c>
      <c r="C11" s="85">
        <f>All!C13</f>
        <v>47.5</v>
      </c>
      <c r="D11" s="85">
        <f>All!D13</f>
        <v>79.8</v>
      </c>
      <c r="E11" s="85">
        <f>All!E13</f>
        <v>18.7</v>
      </c>
      <c r="F11" s="85">
        <f>All!F13</f>
        <v>32</v>
      </c>
      <c r="G11" s="85">
        <f>All!G13</f>
        <v>28.5</v>
      </c>
      <c r="H11" s="85">
        <f>All!H13</f>
        <v>270.3</v>
      </c>
      <c r="I11" s="85">
        <f>All!I13</f>
        <v>171.5</v>
      </c>
      <c r="J11" s="85">
        <f>All!J13</f>
        <v>102.8</v>
      </c>
      <c r="K11" s="85">
        <f>All!K13</f>
        <v>55.2</v>
      </c>
      <c r="L11" s="85">
        <f>All!L13</f>
        <v>79</v>
      </c>
      <c r="M11" s="85">
        <f>All!M13</f>
        <v>15.8</v>
      </c>
      <c r="N11" s="85">
        <f>All!N13</f>
        <v>44.8</v>
      </c>
      <c r="O11" s="85">
        <f>All!O13</f>
        <v>945.9</v>
      </c>
      <c r="P11" s="86">
        <f>All!P13</f>
        <v>78.8</v>
      </c>
    </row>
    <row r="12" spans="2:16">
      <c r="B12" s="84">
        <f>All!B14</f>
        <v>2002</v>
      </c>
      <c r="C12" s="85">
        <f>All!C14</f>
        <v>36.5</v>
      </c>
      <c r="D12" s="85">
        <f>All!D14</f>
        <v>14.5</v>
      </c>
      <c r="E12" s="85">
        <f>All!E14</f>
        <v>31.5</v>
      </c>
      <c r="F12" s="85">
        <f>All!F14</f>
        <v>105.7</v>
      </c>
      <c r="G12" s="85">
        <f>All!G14</f>
        <v>79.2</v>
      </c>
      <c r="H12" s="85">
        <f>All!H14</f>
        <v>97</v>
      </c>
      <c r="I12" s="85">
        <f>All!I14</f>
        <v>201.2</v>
      </c>
      <c r="J12" s="85">
        <f>All!J14</f>
        <v>384.6</v>
      </c>
      <c r="K12" s="85">
        <f>All!K14</f>
        <v>108.8</v>
      </c>
      <c r="L12" s="85">
        <f>All!L14</f>
        <v>53</v>
      </c>
      <c r="M12" s="85">
        <f>All!M14</f>
        <v>27.5</v>
      </c>
      <c r="N12" s="85">
        <f>All!N14</f>
        <v>22.7</v>
      </c>
      <c r="O12" s="85">
        <f>All!O14</f>
        <v>1162.2</v>
      </c>
      <c r="P12" s="86">
        <f>All!P14</f>
        <v>96.9</v>
      </c>
    </row>
    <row r="13" spans="2:16">
      <c r="B13" s="84">
        <f>All!B15</f>
        <v>2003</v>
      </c>
      <c r="C13" s="85">
        <f>All!C15</f>
        <v>41.5</v>
      </c>
      <c r="D13" s="85">
        <f>All!D15</f>
        <v>41.7</v>
      </c>
      <c r="E13" s="85">
        <f>All!E15</f>
        <v>75.3</v>
      </c>
      <c r="F13" s="85">
        <f>All!F15</f>
        <v>195.2</v>
      </c>
      <c r="G13" s="85">
        <f>All!G15</f>
        <v>147.9</v>
      </c>
      <c r="H13" s="85">
        <f>All!H15</f>
        <v>135.69999999999999</v>
      </c>
      <c r="I13" s="85">
        <f>All!I15</f>
        <v>402.4</v>
      </c>
      <c r="J13" s="85">
        <f>All!J15</f>
        <v>368.7</v>
      </c>
      <c r="K13" s="85">
        <f>All!K15</f>
        <v>170</v>
      </c>
      <c r="L13" s="85">
        <f>All!L15</f>
        <v>36.4</v>
      </c>
      <c r="M13" s="85">
        <f>All!M15</f>
        <v>49.6</v>
      </c>
      <c r="N13" s="85">
        <f>All!N15</f>
        <v>21.6</v>
      </c>
      <c r="O13" s="85">
        <f>All!O15</f>
        <v>1686</v>
      </c>
      <c r="P13" s="86">
        <f>All!P15</f>
        <v>140.5</v>
      </c>
    </row>
    <row r="14" spans="2:16">
      <c r="B14" s="84">
        <f>All!B16</f>
        <v>2004</v>
      </c>
      <c r="C14" s="85">
        <f>All!C16</f>
        <v>30.4</v>
      </c>
      <c r="D14" s="85">
        <f>All!D16</f>
        <v>35.799999999999997</v>
      </c>
      <c r="E14" s="85">
        <f>All!E16</f>
        <v>28.4</v>
      </c>
      <c r="F14" s="85">
        <f>All!F16</f>
        <v>52.4</v>
      </c>
      <c r="G14" s="85">
        <f>All!G16</f>
        <v>85.8</v>
      </c>
      <c r="H14" s="85">
        <f>All!H16</f>
        <v>217.2</v>
      </c>
      <c r="I14" s="85">
        <f>All!I16</f>
        <v>375.4</v>
      </c>
      <c r="J14" s="85">
        <f>All!J16</f>
        <v>351.4</v>
      </c>
      <c r="K14" s="85">
        <f>All!K16</f>
        <v>226.2</v>
      </c>
      <c r="L14" s="85">
        <f>All!L16</f>
        <v>4.8</v>
      </c>
      <c r="M14" s="85">
        <f>All!M16</f>
        <v>38.799999999999997</v>
      </c>
      <c r="N14" s="85">
        <f>All!N16</f>
        <v>36.700000000000003</v>
      </c>
      <c r="O14" s="85">
        <f>All!O16</f>
        <v>1483.3</v>
      </c>
      <c r="P14" s="86">
        <f>All!P16</f>
        <v>123.6</v>
      </c>
    </row>
    <row r="15" spans="2:16">
      <c r="B15" s="84">
        <f>All!B17</f>
        <v>2005</v>
      </c>
      <c r="C15" s="85">
        <f>All!C17</f>
        <v>18.399999999999999</v>
      </c>
      <c r="D15" s="85">
        <f>All!D17</f>
        <v>39.1</v>
      </c>
      <c r="E15" s="85">
        <f>All!E17</f>
        <v>64</v>
      </c>
      <c r="F15" s="85">
        <f>All!F17</f>
        <v>55.9</v>
      </c>
      <c r="G15" s="85">
        <f>All!G17</f>
        <v>81.599999999999994</v>
      </c>
      <c r="H15" s="85">
        <f>All!H17</f>
        <v>209.7</v>
      </c>
      <c r="I15" s="85">
        <f>All!I17</f>
        <v>197.1</v>
      </c>
      <c r="J15" s="85">
        <f>All!J17</f>
        <v>143.1</v>
      </c>
      <c r="K15" s="85">
        <f>All!K17</f>
        <v>68.900000000000006</v>
      </c>
      <c r="L15" s="85">
        <f>All!L17</f>
        <v>18.8</v>
      </c>
      <c r="M15" s="85">
        <f>All!M17</f>
        <v>51</v>
      </c>
      <c r="N15" s="85">
        <f>All!N17</f>
        <v>55.1</v>
      </c>
      <c r="O15" s="85">
        <f>All!O17</f>
        <v>1002.7</v>
      </c>
      <c r="P15" s="86">
        <f>All!P17</f>
        <v>83.6</v>
      </c>
    </row>
    <row r="16" spans="2:16">
      <c r="B16" s="84">
        <f>All!B18</f>
        <v>2006</v>
      </c>
      <c r="C16" s="85">
        <f>All!C18</f>
        <v>15.8</v>
      </c>
      <c r="D16" s="85">
        <f>All!D18</f>
        <v>34</v>
      </c>
      <c r="E16" s="85">
        <f>All!E18</f>
        <v>27.9</v>
      </c>
      <c r="F16" s="85">
        <f>All!F18</f>
        <v>109.2</v>
      </c>
      <c r="G16" s="85">
        <f>All!G18</f>
        <v>247.3</v>
      </c>
      <c r="H16" s="85">
        <f>All!H18</f>
        <v>191.9</v>
      </c>
      <c r="I16" s="85">
        <f>All!I18</f>
        <v>333.3</v>
      </c>
      <c r="J16" s="85">
        <f>All!J18</f>
        <v>177.7</v>
      </c>
      <c r="K16" s="85">
        <f>All!K18</f>
        <v>54.9</v>
      </c>
      <c r="L16" s="85">
        <f>All!L18</f>
        <v>20.5</v>
      </c>
      <c r="M16" s="85">
        <f>All!M18</f>
        <v>33.799999999999997</v>
      </c>
      <c r="N16" s="85">
        <f>All!N18</f>
        <v>42</v>
      </c>
      <c r="O16" s="85">
        <f>All!O18</f>
        <v>1288.3</v>
      </c>
      <c r="P16" s="86">
        <f>All!P18</f>
        <v>107.4</v>
      </c>
    </row>
    <row r="17" spans="2:16">
      <c r="B17" s="84">
        <f>All!B19</f>
        <v>2007</v>
      </c>
      <c r="C17" s="85">
        <f>All!C19</f>
        <v>8.3000000000000007</v>
      </c>
      <c r="D17" s="85">
        <f>All!D19</f>
        <v>67.900000000000006</v>
      </c>
      <c r="E17" s="85">
        <f>All!E19</f>
        <v>88.8</v>
      </c>
      <c r="F17" s="85">
        <f>All!F19</f>
        <v>26.5</v>
      </c>
      <c r="G17" s="85">
        <f>All!G19</f>
        <v>128.5</v>
      </c>
      <c r="H17" s="85">
        <f>All!H19</f>
        <v>30.6</v>
      </c>
      <c r="I17" s="85">
        <f>All!I19</f>
        <v>191.9</v>
      </c>
      <c r="J17" s="85">
        <f>All!J19</f>
        <v>222.6</v>
      </c>
      <c r="K17" s="85">
        <f>All!K19</f>
        <v>426.5</v>
      </c>
      <c r="L17" s="85">
        <f>All!L19</f>
        <v>101</v>
      </c>
      <c r="M17" s="85">
        <f>All!M19</f>
        <v>6.8</v>
      </c>
      <c r="N17" s="85">
        <f>All!N19</f>
        <v>51.2</v>
      </c>
      <c r="O17" s="85">
        <f>All!O19</f>
        <v>1350.6</v>
      </c>
      <c r="P17" s="86">
        <f>All!P19</f>
        <v>112.6</v>
      </c>
    </row>
    <row r="18" spans="2:16">
      <c r="B18" s="84">
        <f>All!B20</f>
        <v>2008</v>
      </c>
      <c r="C18" s="85">
        <f>All!C20</f>
        <v>62.6</v>
      </c>
      <c r="D18" s="85">
        <f>All!D20</f>
        <v>16.600000000000001</v>
      </c>
      <c r="E18" s="85">
        <f>All!E20</f>
        <v>64.099999999999994</v>
      </c>
      <c r="F18" s="85">
        <f>All!F20</f>
        <v>62</v>
      </c>
      <c r="G18" s="85">
        <f>All!G20</f>
        <v>150.5</v>
      </c>
      <c r="H18" s="85">
        <f>All!H20</f>
        <v>294.8</v>
      </c>
      <c r="I18" s="85">
        <f>All!I20</f>
        <v>112.2</v>
      </c>
      <c r="J18" s="85">
        <f>All!J20</f>
        <v>95.6</v>
      </c>
      <c r="K18" s="85">
        <f>All!K20</f>
        <v>30.4</v>
      </c>
      <c r="L18" s="85">
        <f>All!L20</f>
        <v>19.100000000000001</v>
      </c>
      <c r="M18" s="85">
        <f>All!M20</f>
        <v>38.6</v>
      </c>
      <c r="N18" s="85">
        <f>All!N20</f>
        <v>14</v>
      </c>
      <c r="O18" s="85">
        <f>All!O20</f>
        <v>960.5</v>
      </c>
      <c r="P18" s="86">
        <f>All!P20</f>
        <v>80</v>
      </c>
    </row>
    <row r="19" spans="2:16">
      <c r="B19" s="84">
        <f>All!B21</f>
        <v>2009</v>
      </c>
      <c r="C19" s="85">
        <f>All!C21</f>
        <v>29</v>
      </c>
      <c r="D19" s="85">
        <f>All!D21</f>
        <v>41.6</v>
      </c>
      <c r="E19" s="85">
        <f>All!E21</f>
        <v>43.1</v>
      </c>
      <c r="F19" s="85">
        <f>All!F21</f>
        <v>47.5</v>
      </c>
      <c r="G19" s="85">
        <f>All!G21</f>
        <v>97.2</v>
      </c>
      <c r="H19" s="85">
        <f>All!H21</f>
        <v>122.8</v>
      </c>
      <c r="I19" s="85">
        <f>All!I21</f>
        <v>465.8</v>
      </c>
      <c r="J19" s="85">
        <f>All!J21</f>
        <v>74</v>
      </c>
      <c r="K19" s="85">
        <f>All!K21</f>
        <v>46.1</v>
      </c>
      <c r="L19" s="85">
        <f>All!L21</f>
        <v>54</v>
      </c>
      <c r="M19" s="85">
        <f>All!M21</f>
        <v>32.1</v>
      </c>
      <c r="N19" s="85">
        <f>All!N21</f>
        <v>35.200000000000003</v>
      </c>
      <c r="O19" s="85">
        <f>All!O21</f>
        <v>1088.4000000000001</v>
      </c>
      <c r="P19" s="86">
        <f>All!P21</f>
        <v>90.7</v>
      </c>
    </row>
    <row r="20" spans="2:16">
      <c r="B20" s="84">
        <f>All!B22</f>
        <v>2010</v>
      </c>
      <c r="C20" s="85">
        <f>All!C22</f>
        <v>27.6</v>
      </c>
      <c r="D20" s="85">
        <f>All!D22</f>
        <v>98.2</v>
      </c>
      <c r="E20" s="85">
        <f>All!E22</f>
        <v>88.7</v>
      </c>
      <c r="F20" s="85">
        <f>All!F22</f>
        <v>140.5</v>
      </c>
      <c r="G20" s="85">
        <f>All!G22</f>
        <v>99.5</v>
      </c>
      <c r="H20" s="85">
        <f>All!H22</f>
        <v>52.9</v>
      </c>
      <c r="I20" s="85">
        <f>All!I22</f>
        <v>264.39999999999998</v>
      </c>
      <c r="J20" s="85">
        <f>All!J22</f>
        <v>344.2</v>
      </c>
      <c r="K20" s="85">
        <f>All!K22</f>
        <v>126.7</v>
      </c>
      <c r="L20" s="85">
        <f>All!L22</f>
        <v>39.200000000000003</v>
      </c>
      <c r="M20" s="85">
        <f>All!M22</f>
        <v>10</v>
      </c>
      <c r="N20" s="85">
        <f>All!N22</f>
        <v>43.8</v>
      </c>
      <c r="O20" s="85">
        <f>All!O22</f>
        <v>1335.7</v>
      </c>
      <c r="P20" s="86">
        <f>All!P22</f>
        <v>111.3</v>
      </c>
    </row>
    <row r="21" spans="2:16">
      <c r="B21" s="84">
        <f>All!B23</f>
        <v>2011</v>
      </c>
      <c r="C21" s="85">
        <f>All!C23</f>
        <v>12.2</v>
      </c>
      <c r="D21" s="85">
        <f>All!D23</f>
        <v>43.9</v>
      </c>
      <c r="E21" s="85">
        <f>All!E23</f>
        <v>25.6</v>
      </c>
      <c r="F21" s="85">
        <f>All!F23</f>
        <v>85.3</v>
      </c>
      <c r="G21" s="85">
        <f>All!G23</f>
        <v>96.9</v>
      </c>
      <c r="H21" s="85">
        <f>All!H23</f>
        <v>134.6</v>
      </c>
      <c r="I21" s="85">
        <f>All!I23</f>
        <v>227.6</v>
      </c>
      <c r="J21" s="85">
        <f>All!J23</f>
        <v>160</v>
      </c>
      <c r="K21" s="85">
        <f>All!K23</f>
        <v>10.1</v>
      </c>
      <c r="L21" s="85">
        <f>All!L23</f>
        <v>22</v>
      </c>
      <c r="M21" s="85">
        <f>All!M23</f>
        <v>149.9</v>
      </c>
      <c r="N21" s="85">
        <f>All!N23</f>
        <v>14</v>
      </c>
      <c r="O21" s="85">
        <f>All!O23</f>
        <v>982.1</v>
      </c>
      <c r="P21" s="86">
        <f>All!P23</f>
        <v>81.8</v>
      </c>
    </row>
    <row r="22" spans="2:16">
      <c r="B22" s="84">
        <f>All!B24</f>
        <v>2012</v>
      </c>
      <c r="C22" s="85">
        <f>All!C24</f>
        <v>14.1</v>
      </c>
      <c r="D22" s="85">
        <f>All!D24</f>
        <v>28.9</v>
      </c>
      <c r="E22" s="85">
        <f>All!E24</f>
        <v>136.6</v>
      </c>
      <c r="F22" s="85">
        <f>All!F24</f>
        <v>107.2</v>
      </c>
      <c r="G22" s="85">
        <f>All!G24</f>
        <v>26.9</v>
      </c>
      <c r="H22" s="85">
        <f>All!H24</f>
        <v>51.7</v>
      </c>
      <c r="I22" s="85">
        <f>All!I24</f>
        <v>319.39999999999998</v>
      </c>
      <c r="J22" s="85">
        <f>All!J24</f>
        <v>443.4</v>
      </c>
      <c r="K22" s="85">
        <f>All!K24</f>
        <v>259.3</v>
      </c>
      <c r="L22" s="85">
        <f>All!L24</f>
        <v>65.900000000000006</v>
      </c>
      <c r="M22" s="85">
        <f>All!M24</f>
        <v>49.5</v>
      </c>
      <c r="N22" s="85">
        <f>All!N24</f>
        <v>74.599999999999994</v>
      </c>
      <c r="O22" s="85">
        <f>All!O24</f>
        <v>1577.5</v>
      </c>
      <c r="P22" s="86">
        <f>All!P24</f>
        <v>131.5</v>
      </c>
    </row>
    <row r="23" spans="2:16" s="160" customFormat="1">
      <c r="B23" s="167">
        <f>All!B25</f>
        <v>2013</v>
      </c>
      <c r="C23" s="161">
        <f>All!C25</f>
        <v>14.2</v>
      </c>
      <c r="D23" s="161">
        <f>All!D25</f>
        <v>51</v>
      </c>
      <c r="E23" s="161">
        <f>All!E25</f>
        <v>68.900000000000006</v>
      </c>
      <c r="F23" s="161">
        <f>All!F25</f>
        <v>41.6</v>
      </c>
      <c r="G23" s="161">
        <f>All!G25</f>
        <v>140.69999999999999</v>
      </c>
      <c r="H23" s="161">
        <f>All!H25</f>
        <v>84.4</v>
      </c>
      <c r="I23" s="161">
        <f>All!I25</f>
        <v>224.9</v>
      </c>
      <c r="J23" s="161">
        <f>All!J25</f>
        <v>176.8</v>
      </c>
      <c r="K23" s="161">
        <f>All!K25</f>
        <v>153.6</v>
      </c>
      <c r="L23" s="161">
        <f>All!L25</f>
        <v>17.399999999999999</v>
      </c>
      <c r="M23" s="161">
        <f>All!M25</f>
        <v>99.7</v>
      </c>
      <c r="N23" s="161">
        <f>All!N25</f>
        <v>16.5</v>
      </c>
      <c r="O23" s="161">
        <f>All!O25</f>
        <v>1089.7</v>
      </c>
      <c r="P23" s="168">
        <f>All!P25</f>
        <v>90.8</v>
      </c>
    </row>
    <row r="24" spans="2:16">
      <c r="B24" s="84">
        <f>All!B26</f>
        <v>2014</v>
      </c>
      <c r="C24" s="85">
        <f>All!C26</f>
        <v>12.4</v>
      </c>
      <c r="D24" s="85">
        <f>All!D26</f>
        <v>15.8</v>
      </c>
      <c r="E24" s="85">
        <f>All!E26</f>
        <v>92.3</v>
      </c>
      <c r="F24" s="85">
        <f>All!F26</f>
        <v>71.400000000000006</v>
      </c>
      <c r="G24" s="85">
        <f>All!G26</f>
        <v>72.8</v>
      </c>
      <c r="H24" s="85">
        <f>All!H26</f>
        <v>69.900000000000006</v>
      </c>
      <c r="I24" s="85">
        <f>All!I26</f>
        <v>136.80000000000001</v>
      </c>
      <c r="J24" s="85">
        <f>All!J26</f>
        <v>255</v>
      </c>
      <c r="K24" s="85">
        <f>All!K26</f>
        <v>74.7</v>
      </c>
      <c r="L24" s="85">
        <f>All!L26</f>
        <v>98.6</v>
      </c>
      <c r="M24" s="85">
        <f>All!M26</f>
        <v>95.7</v>
      </c>
      <c r="N24" s="85">
        <f>All!N26</f>
        <v>92.3</v>
      </c>
      <c r="O24" s="85">
        <f>All!O26</f>
        <v>1087.7</v>
      </c>
      <c r="P24" s="86">
        <f>All!P26</f>
        <v>90.6</v>
      </c>
    </row>
    <row r="25" spans="2:16">
      <c r="B25" s="84">
        <f>All!B27</f>
        <v>2015</v>
      </c>
      <c r="C25" s="85">
        <f>All!C27</f>
        <v>41.1</v>
      </c>
      <c r="D25" s="85">
        <f>All!D27</f>
        <v>25.7</v>
      </c>
      <c r="E25" s="85">
        <f>All!E27</f>
        <v>34.4</v>
      </c>
      <c r="F25" s="85">
        <f>All!F27</f>
        <v>159.6</v>
      </c>
      <c r="G25" s="85">
        <f>All!G27</f>
        <v>77.8</v>
      </c>
      <c r="H25" s="85">
        <f>All!H27</f>
        <v>117.8</v>
      </c>
      <c r="I25" s="85">
        <f>All!I27</f>
        <v>159.6</v>
      </c>
      <c r="J25" s="85">
        <f>All!J27</f>
        <v>86.5</v>
      </c>
      <c r="K25" s="85">
        <f>All!K27</f>
        <v>79.5</v>
      </c>
      <c r="L25" s="85">
        <f>All!L27</f>
        <v>84.2</v>
      </c>
      <c r="M25" s="85">
        <f>All!M27</f>
        <v>106.8</v>
      </c>
      <c r="N25" s="85">
        <f>All!N27</f>
        <v>68.599999999999994</v>
      </c>
      <c r="O25" s="85">
        <f>All!O27</f>
        <v>1041.5999999999999</v>
      </c>
      <c r="P25" s="86">
        <f>All!P27</f>
        <v>86.8</v>
      </c>
    </row>
    <row r="26" spans="2:16">
      <c r="B26" s="84">
        <f>All!B28</f>
        <v>2016</v>
      </c>
      <c r="C26" s="85">
        <f>All!C28</f>
        <v>79.2</v>
      </c>
      <c r="D26" s="85">
        <f>All!D28</f>
        <v>40.5</v>
      </c>
      <c r="E26" s="85">
        <f>All!E28</f>
        <v>54.9</v>
      </c>
      <c r="F26" s="85">
        <f>All!F28</f>
        <v>192</v>
      </c>
      <c r="G26" s="85">
        <f>All!G28</f>
        <v>119.9</v>
      </c>
      <c r="H26" s="85">
        <f>All!H28</f>
        <v>133.6</v>
      </c>
      <c r="I26" s="85">
        <f>All!I28</f>
        <v>249.2</v>
      </c>
      <c r="J26" s="85">
        <f>All!J28</f>
        <v>20.399999999999999</v>
      </c>
      <c r="K26" s="85">
        <f>All!K28</f>
        <v>197.8</v>
      </c>
      <c r="L26" s="85">
        <f>All!L28</f>
        <v>203.1</v>
      </c>
      <c r="M26" s="85">
        <f>All!M28</f>
        <v>61.5</v>
      </c>
      <c r="N26" s="85">
        <f>All!N28</f>
        <v>45.9</v>
      </c>
      <c r="O26" s="85">
        <f>All!O28</f>
        <v>1398</v>
      </c>
      <c r="P26" s="86">
        <f>All!P28</f>
        <v>116.5</v>
      </c>
    </row>
    <row r="27" spans="2:16">
      <c r="B27" s="84">
        <f>All!B29</f>
        <v>2017</v>
      </c>
      <c r="C27" s="85">
        <f>All!C29</f>
        <v>13.9</v>
      </c>
      <c r="D27" s="85">
        <f>All!D29</f>
        <v>32.299999999999997</v>
      </c>
      <c r="E27" s="85">
        <f>All!E29</f>
        <v>28.5</v>
      </c>
      <c r="F27" s="85">
        <f>All!F29</f>
        <v>46.5</v>
      </c>
      <c r="G27" s="85">
        <f>All!G29</f>
        <v>14</v>
      </c>
      <c r="H27" s="85">
        <f>All!H29</f>
        <v>28.5</v>
      </c>
      <c r="I27" s="85">
        <f>All!I29</f>
        <v>138.19999999999999</v>
      </c>
      <c r="J27" s="85">
        <f>All!J29</f>
        <v>201.8</v>
      </c>
      <c r="K27" s="85">
        <f>All!K29</f>
        <v>109.4</v>
      </c>
      <c r="L27" s="85">
        <f>All!L29</f>
        <v>62.7</v>
      </c>
      <c r="M27" s="85">
        <f>All!M29</f>
        <v>1.4</v>
      </c>
      <c r="N27" s="85">
        <f>All!N29</f>
        <v>45.3</v>
      </c>
      <c r="O27" s="85">
        <f>All!O29</f>
        <v>722.5</v>
      </c>
      <c r="P27" s="86">
        <f>All!P29</f>
        <v>60.2</v>
      </c>
    </row>
    <row r="28" spans="2:16">
      <c r="B28" s="84">
        <f>All!B30</f>
        <v>2018</v>
      </c>
      <c r="C28" s="85">
        <f>All!C30</f>
        <v>58</v>
      </c>
      <c r="D28" s="85">
        <f>All!D30</f>
        <v>39.299999999999997</v>
      </c>
      <c r="E28" s="85">
        <f>All!E30</f>
        <v>152.69999999999999</v>
      </c>
      <c r="F28" s="85">
        <f>All!F30</f>
        <v>169</v>
      </c>
      <c r="G28" s="85">
        <f>All!G30</f>
        <v>89.3</v>
      </c>
      <c r="H28" s="85">
        <f>All!H30</f>
        <v>162</v>
      </c>
      <c r="I28" s="85">
        <f>All!I30</f>
        <v>67.599999999999994</v>
      </c>
      <c r="J28" s="85">
        <f>All!J30</f>
        <v>246.2</v>
      </c>
      <c r="K28" s="85">
        <f>All!K30</f>
        <v>151.4</v>
      </c>
      <c r="L28" s="85">
        <f>All!L30</f>
        <v>138.4</v>
      </c>
      <c r="M28" s="85">
        <f>All!M30</f>
        <v>51.1</v>
      </c>
      <c r="N28" s="85">
        <f>All!N30</f>
        <v>38.299999999999997</v>
      </c>
      <c r="O28" s="85">
        <f>All!O30</f>
        <v>1363.3</v>
      </c>
      <c r="P28" s="86">
        <f>All!P30</f>
        <v>113.6</v>
      </c>
    </row>
    <row r="29" spans="2:16">
      <c r="B29" s="84">
        <f>All!B31</f>
        <v>2019</v>
      </c>
      <c r="C29" s="85">
        <f>All!C31</f>
        <v>13.3</v>
      </c>
      <c r="D29" s="85">
        <f>All!D31</f>
        <v>29.6</v>
      </c>
      <c r="E29" s="85">
        <f>All!E31</f>
        <v>38.5</v>
      </c>
      <c r="F29" s="85">
        <f>All!F31</f>
        <v>86.3</v>
      </c>
      <c r="G29" s="85">
        <f>All!G31</f>
        <v>122.9</v>
      </c>
      <c r="H29" s="85">
        <f>All!H31</f>
        <v>172.3</v>
      </c>
      <c r="I29" s="85">
        <f>All!I31</f>
        <v>167</v>
      </c>
      <c r="J29" s="85">
        <f>All!J31</f>
        <v>144.9</v>
      </c>
      <c r="K29" s="85">
        <f>All!K31</f>
        <v>259.3</v>
      </c>
      <c r="L29" s="85">
        <f>All!L31</f>
        <v>159</v>
      </c>
      <c r="M29" s="85">
        <f>All!M31</f>
        <v>14.6</v>
      </c>
      <c r="N29" s="85">
        <f>All!N31</f>
        <v>40.700000000000003</v>
      </c>
      <c r="O29" s="85">
        <f>All!O31</f>
        <v>1248.4000000000001</v>
      </c>
      <c r="P29" s="86">
        <f>All!P31</f>
        <v>104</v>
      </c>
    </row>
    <row r="30" spans="2:16">
      <c r="B30" s="84">
        <f>All!B32</f>
        <v>2020</v>
      </c>
      <c r="C30" s="85">
        <f>All!C32</f>
        <v>72</v>
      </c>
      <c r="D30" s="85">
        <f>All!D32</f>
        <v>28.9</v>
      </c>
      <c r="E30" s="85">
        <f>All!E32</f>
        <v>28.8</v>
      </c>
      <c r="F30" s="85">
        <f>All!F32</f>
        <v>60.9</v>
      </c>
      <c r="G30" s="85">
        <f>All!G32</f>
        <v>141.4</v>
      </c>
      <c r="H30" s="85">
        <f>All!H32</f>
        <v>261.5</v>
      </c>
      <c r="I30" s="85">
        <f>All!I32</f>
        <v>366.3</v>
      </c>
      <c r="J30" s="85">
        <f>All!J32</f>
        <v>206.4</v>
      </c>
      <c r="K30" s="85">
        <f>All!K32</f>
        <v>208.6</v>
      </c>
      <c r="L30" s="85">
        <f>All!L32</f>
        <v>20.5</v>
      </c>
      <c r="M30" s="85">
        <f>All!M32</f>
        <v>14</v>
      </c>
      <c r="N30" s="85">
        <f>All!N32</f>
        <v>18.399999999999999</v>
      </c>
      <c r="O30" s="85">
        <f>All!O32</f>
        <v>1427.7</v>
      </c>
      <c r="P30" s="86">
        <f>All!P32</f>
        <v>119</v>
      </c>
    </row>
    <row r="31" spans="2:16">
      <c r="B31" s="84">
        <f>All!B33</f>
        <v>2021</v>
      </c>
      <c r="C31" s="85">
        <f>All!C33</f>
        <v>39.700000000000003</v>
      </c>
      <c r="D31" s="85">
        <f>All!D33</f>
        <v>25.9</v>
      </c>
      <c r="E31" s="85">
        <f>All!E33</f>
        <v>127.4</v>
      </c>
      <c r="F31" s="85">
        <f>All!F33</f>
        <v>51.9</v>
      </c>
      <c r="G31" s="85">
        <f>All!G33</f>
        <v>112.3</v>
      </c>
      <c r="H31" s="85">
        <f>All!H33</f>
        <v>108.3</v>
      </c>
      <c r="I31" s="85">
        <f>All!I33</f>
        <v>327.5</v>
      </c>
      <c r="J31" s="85">
        <f>All!J33</f>
        <v>124.4</v>
      </c>
      <c r="K31" s="85">
        <f>All!K33</f>
        <v>91.4</v>
      </c>
      <c r="L31" s="85">
        <f>All!L33</f>
        <v>14.7</v>
      </c>
      <c r="M31" s="85">
        <f>All!M33</f>
        <v>63.9</v>
      </c>
      <c r="N31" s="85">
        <f>All!N33</f>
        <v>13.6</v>
      </c>
      <c r="O31" s="85">
        <f>All!O33</f>
        <v>1101</v>
      </c>
      <c r="P31" s="86">
        <f>All!P33</f>
        <v>91.8</v>
      </c>
    </row>
    <row r="32" spans="2:16">
      <c r="B32" s="84">
        <f>All!B34</f>
        <v>2022</v>
      </c>
      <c r="C32" s="85">
        <f>All!C34</f>
        <v>4.3</v>
      </c>
      <c r="D32" s="85">
        <f>All!D34</f>
        <v>4.5</v>
      </c>
      <c r="E32" s="85">
        <f>All!E34</f>
        <v>78.900000000000006</v>
      </c>
      <c r="F32" s="85">
        <f>All!F34</f>
        <v>74.7</v>
      </c>
      <c r="G32" s="85">
        <f>All!G34</f>
        <v>2.6</v>
      </c>
      <c r="H32" s="85">
        <f>All!H34</f>
        <v>90.2</v>
      </c>
      <c r="I32" s="85">
        <f>All!I34</f>
        <v>196.3</v>
      </c>
      <c r="J32" s="85">
        <f>All!J34</f>
        <v>92.3</v>
      </c>
      <c r="K32" s="85">
        <f>All!K34</f>
        <v>101.9</v>
      </c>
      <c r="L32" s="85">
        <f>All!L34</f>
        <v>38.299999999999997</v>
      </c>
      <c r="M32" s="85">
        <f>All!M34</f>
        <v>33.1</v>
      </c>
      <c r="N32" s="85">
        <f>All!N34</f>
        <v>22.8</v>
      </c>
      <c r="O32" s="85">
        <f>All!O34</f>
        <v>739.9</v>
      </c>
      <c r="P32" s="86">
        <f>All!P34</f>
        <v>61.7</v>
      </c>
    </row>
    <row r="33" spans="2:17">
      <c r="B33" s="87" t="s">
        <v>176</v>
      </c>
      <c r="C33" s="88">
        <f>ROUND(SUM(C23:C32)/10,1)</f>
        <v>34.799999999999997</v>
      </c>
      <c r="D33" s="88">
        <f t="shared" ref="D33:P33" si="0">ROUND(SUM(D23:D32)/10,1)</f>
        <v>29.4</v>
      </c>
      <c r="E33" s="88">
        <f t="shared" si="0"/>
        <v>70.5</v>
      </c>
      <c r="F33" s="88">
        <f t="shared" si="0"/>
        <v>95.4</v>
      </c>
      <c r="G33" s="88">
        <f t="shared" si="0"/>
        <v>89.4</v>
      </c>
      <c r="H33" s="88">
        <f t="shared" si="0"/>
        <v>122.9</v>
      </c>
      <c r="I33" s="88">
        <f t="shared" si="0"/>
        <v>203.3</v>
      </c>
      <c r="J33" s="88">
        <f t="shared" si="0"/>
        <v>155.5</v>
      </c>
      <c r="K33" s="88">
        <f t="shared" si="0"/>
        <v>142.80000000000001</v>
      </c>
      <c r="L33" s="88">
        <f t="shared" si="0"/>
        <v>83.7</v>
      </c>
      <c r="M33" s="88">
        <f t="shared" si="0"/>
        <v>54.2</v>
      </c>
      <c r="N33" s="88">
        <f t="shared" si="0"/>
        <v>40.200000000000003</v>
      </c>
      <c r="O33" s="88">
        <f t="shared" si="0"/>
        <v>1122</v>
      </c>
      <c r="P33" s="89">
        <f t="shared" si="0"/>
        <v>93.5</v>
      </c>
    </row>
    <row r="34" spans="2:17" ht="17.25" thickBot="1">
      <c r="B34" s="169" t="s">
        <v>175</v>
      </c>
      <c r="C34" s="90">
        <f>All!C37</f>
        <v>31.6</v>
      </c>
      <c r="D34" s="90">
        <f>All!D37</f>
        <v>35.5</v>
      </c>
      <c r="E34" s="90">
        <f>All!E37</f>
        <v>65</v>
      </c>
      <c r="F34" s="90">
        <f>All!F37</f>
        <v>78.8</v>
      </c>
      <c r="G34" s="90">
        <f>All!G37</f>
        <v>91.9</v>
      </c>
      <c r="H34" s="90">
        <f>All!H37</f>
        <v>150.6</v>
      </c>
      <c r="I34" s="90">
        <f>All!I37</f>
        <v>223</v>
      </c>
      <c r="J34" s="90">
        <f>All!J37</f>
        <v>205.6</v>
      </c>
      <c r="K34" s="90">
        <f>All!K37</f>
        <v>136</v>
      </c>
      <c r="L34" s="90">
        <f>All!L37</f>
        <v>60.3</v>
      </c>
      <c r="M34" s="90">
        <f>All!M37</f>
        <v>50.4</v>
      </c>
      <c r="N34" s="90">
        <f>All!N37</f>
        <v>35.700000000000003</v>
      </c>
      <c r="O34" s="90">
        <f>All!O37</f>
        <v>1164.4000000000001</v>
      </c>
      <c r="P34" s="91">
        <f>All!P37</f>
        <v>97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1" t="s">
        <v>13</v>
      </c>
      <c r="L37" s="101" t="s">
        <v>14</v>
      </c>
      <c r="M37" s="101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1089.7</v>
      </c>
      <c r="D38" s="98" t="s">
        <v>30</v>
      </c>
      <c r="E38" s="99">
        <f>All!C53</f>
        <v>34.799999999999997</v>
      </c>
      <c r="F38" s="99">
        <f>All!D53</f>
        <v>29.4</v>
      </c>
      <c r="G38" s="99">
        <f>All!E53</f>
        <v>70.5</v>
      </c>
      <c r="H38" s="99">
        <f>All!F53</f>
        <v>95.4</v>
      </c>
      <c r="I38" s="99">
        <f>All!G53</f>
        <v>89.4</v>
      </c>
      <c r="J38" s="99">
        <f>All!H53</f>
        <v>122.9</v>
      </c>
      <c r="K38" s="99">
        <f>All!I53</f>
        <v>203.3</v>
      </c>
      <c r="L38" s="99">
        <f>All!J53</f>
        <v>155.5</v>
      </c>
      <c r="M38" s="99">
        <f>All!K53</f>
        <v>142.80000000000001</v>
      </c>
      <c r="N38" s="99">
        <f>All!L53</f>
        <v>83.7</v>
      </c>
      <c r="O38" s="99">
        <f>All!M53</f>
        <v>54.2</v>
      </c>
      <c r="P38" s="99">
        <f>All!N53</f>
        <v>40.200000000000003</v>
      </c>
      <c r="Q38" s="320">
        <f>All!P53</f>
        <v>93.5</v>
      </c>
    </row>
    <row r="39" spans="2:17">
      <c r="B39" s="84">
        <f t="shared" ref="B39:B48" si="1">B24</f>
        <v>2014</v>
      </c>
      <c r="C39" s="86">
        <f t="shared" ref="C39:C48" si="2">O24</f>
        <v>1087.7</v>
      </c>
    </row>
    <row r="40" spans="2:17">
      <c r="B40" s="84">
        <f t="shared" si="1"/>
        <v>2015</v>
      </c>
      <c r="C40" s="86">
        <f t="shared" si="2"/>
        <v>1041.5999999999999</v>
      </c>
    </row>
    <row r="41" spans="2:17">
      <c r="B41" s="84">
        <f t="shared" si="1"/>
        <v>2016</v>
      </c>
      <c r="C41" s="86">
        <f t="shared" si="2"/>
        <v>1398</v>
      </c>
    </row>
    <row r="42" spans="2:17">
      <c r="B42" s="84">
        <f t="shared" si="1"/>
        <v>2017</v>
      </c>
      <c r="C42" s="86">
        <f t="shared" si="2"/>
        <v>722.5</v>
      </c>
    </row>
    <row r="43" spans="2:17">
      <c r="B43" s="84">
        <f t="shared" si="1"/>
        <v>2018</v>
      </c>
      <c r="C43" s="86">
        <f t="shared" si="2"/>
        <v>1363.3</v>
      </c>
    </row>
    <row r="44" spans="2:17">
      <c r="B44" s="84">
        <f t="shared" si="1"/>
        <v>2019</v>
      </c>
      <c r="C44" s="86">
        <f t="shared" si="2"/>
        <v>1248.4000000000001</v>
      </c>
    </row>
    <row r="45" spans="2:17">
      <c r="B45" s="84">
        <f t="shared" si="1"/>
        <v>2020</v>
      </c>
      <c r="C45" s="86">
        <f t="shared" si="2"/>
        <v>1427.7</v>
      </c>
    </row>
    <row r="46" spans="2:17">
      <c r="B46" s="84">
        <f t="shared" si="1"/>
        <v>2021</v>
      </c>
      <c r="C46" s="86">
        <f t="shared" si="2"/>
        <v>1101</v>
      </c>
    </row>
    <row r="47" spans="2:17">
      <c r="B47" s="84">
        <f t="shared" si="1"/>
        <v>2022</v>
      </c>
      <c r="C47" s="86">
        <f t="shared" si="2"/>
        <v>739.9</v>
      </c>
    </row>
    <row r="48" spans="2:17" ht="17.25" thickBot="1">
      <c r="B48" s="92" t="str">
        <f t="shared" si="1"/>
        <v>10년평균</v>
      </c>
      <c r="C48" s="93">
        <f t="shared" si="2"/>
        <v>1122</v>
      </c>
    </row>
    <row r="50" spans="2:3" ht="17.25" thickBot="1"/>
    <row r="51" spans="2:3">
      <c r="B51" s="165" t="s">
        <v>177</v>
      </c>
      <c r="C51" s="166" t="s">
        <v>161</v>
      </c>
    </row>
    <row r="52" spans="2:3">
      <c r="B52" s="162">
        <f>B3</f>
        <v>1993</v>
      </c>
      <c r="C52" s="163">
        <f>O3</f>
        <v>1130.9000000000001</v>
      </c>
    </row>
    <row r="53" spans="2:3">
      <c r="B53" s="162">
        <f t="shared" ref="B53:B81" si="3">B4</f>
        <v>1994</v>
      </c>
      <c r="C53" s="163">
        <f t="shared" ref="C53:C81" si="4">O4</f>
        <v>717</v>
      </c>
    </row>
    <row r="54" spans="2:3">
      <c r="B54" s="162">
        <f t="shared" si="3"/>
        <v>1995</v>
      </c>
      <c r="C54" s="163">
        <f t="shared" si="4"/>
        <v>613.20000000000005</v>
      </c>
    </row>
    <row r="55" spans="2:3">
      <c r="B55" s="162">
        <f t="shared" si="3"/>
        <v>1996</v>
      </c>
      <c r="C55" s="163">
        <f t="shared" si="4"/>
        <v>1040.9000000000001</v>
      </c>
    </row>
    <row r="56" spans="2:3">
      <c r="B56" s="162">
        <f t="shared" si="3"/>
        <v>1997</v>
      </c>
      <c r="C56" s="163">
        <f t="shared" si="4"/>
        <v>1126.4000000000001</v>
      </c>
    </row>
    <row r="57" spans="2:3">
      <c r="B57" s="162">
        <f t="shared" si="3"/>
        <v>1998</v>
      </c>
      <c r="C57" s="163">
        <f t="shared" si="4"/>
        <v>1507.7</v>
      </c>
    </row>
    <row r="58" spans="2:3">
      <c r="B58" s="162">
        <f t="shared" si="3"/>
        <v>1999</v>
      </c>
      <c r="C58" s="163">
        <f t="shared" si="4"/>
        <v>1535</v>
      </c>
    </row>
    <row r="59" spans="2:3">
      <c r="B59" s="162">
        <f t="shared" si="3"/>
        <v>2000</v>
      </c>
      <c r="C59" s="163">
        <f t="shared" si="4"/>
        <v>1176.7</v>
      </c>
    </row>
    <row r="60" spans="2:3">
      <c r="B60" s="162">
        <f t="shared" si="3"/>
        <v>2001</v>
      </c>
      <c r="C60" s="163">
        <f t="shared" si="4"/>
        <v>945.9</v>
      </c>
    </row>
    <row r="61" spans="2:3">
      <c r="B61" s="162">
        <f t="shared" si="3"/>
        <v>2002</v>
      </c>
      <c r="C61" s="163">
        <f t="shared" si="4"/>
        <v>1162.2</v>
      </c>
    </row>
    <row r="62" spans="2:3">
      <c r="B62" s="162">
        <f t="shared" si="3"/>
        <v>2003</v>
      </c>
      <c r="C62" s="163">
        <f t="shared" si="4"/>
        <v>1686</v>
      </c>
    </row>
    <row r="63" spans="2:3">
      <c r="B63" s="162">
        <f t="shared" si="3"/>
        <v>2004</v>
      </c>
      <c r="C63" s="163">
        <f t="shared" si="4"/>
        <v>1483.3</v>
      </c>
    </row>
    <row r="64" spans="2:3">
      <c r="B64" s="162">
        <f t="shared" si="3"/>
        <v>2005</v>
      </c>
      <c r="C64" s="163">
        <f t="shared" si="4"/>
        <v>1002.7</v>
      </c>
    </row>
    <row r="65" spans="2:3">
      <c r="B65" s="162">
        <f t="shared" si="3"/>
        <v>2006</v>
      </c>
      <c r="C65" s="163">
        <f t="shared" si="4"/>
        <v>1288.3</v>
      </c>
    </row>
    <row r="66" spans="2:3">
      <c r="B66" s="162">
        <f t="shared" si="3"/>
        <v>2007</v>
      </c>
      <c r="C66" s="163">
        <f t="shared" si="4"/>
        <v>1350.6</v>
      </c>
    </row>
    <row r="67" spans="2:3">
      <c r="B67" s="162">
        <f t="shared" si="3"/>
        <v>2008</v>
      </c>
      <c r="C67" s="163">
        <f t="shared" si="4"/>
        <v>960.5</v>
      </c>
    </row>
    <row r="68" spans="2:3">
      <c r="B68" s="162">
        <f t="shared" si="3"/>
        <v>2009</v>
      </c>
      <c r="C68" s="163">
        <f t="shared" si="4"/>
        <v>1088.4000000000001</v>
      </c>
    </row>
    <row r="69" spans="2:3">
      <c r="B69" s="162">
        <f t="shared" si="3"/>
        <v>2010</v>
      </c>
      <c r="C69" s="163">
        <f t="shared" si="4"/>
        <v>1335.7</v>
      </c>
    </row>
    <row r="70" spans="2:3">
      <c r="B70" s="162">
        <f t="shared" si="3"/>
        <v>2011</v>
      </c>
      <c r="C70" s="163">
        <f t="shared" si="4"/>
        <v>982.1</v>
      </c>
    </row>
    <row r="71" spans="2:3">
      <c r="B71" s="162">
        <f t="shared" si="3"/>
        <v>2012</v>
      </c>
      <c r="C71" s="163">
        <f t="shared" si="4"/>
        <v>1577.5</v>
      </c>
    </row>
    <row r="72" spans="2:3">
      <c r="B72" s="162">
        <f t="shared" si="3"/>
        <v>2013</v>
      </c>
      <c r="C72" s="163">
        <f t="shared" si="4"/>
        <v>1089.7</v>
      </c>
    </row>
    <row r="73" spans="2:3">
      <c r="B73" s="162">
        <f t="shared" si="3"/>
        <v>2014</v>
      </c>
      <c r="C73" s="163">
        <f t="shared" si="4"/>
        <v>1087.7</v>
      </c>
    </row>
    <row r="74" spans="2:3">
      <c r="B74" s="162">
        <f t="shared" si="3"/>
        <v>2015</v>
      </c>
      <c r="C74" s="163">
        <f t="shared" si="4"/>
        <v>1041.5999999999999</v>
      </c>
    </row>
    <row r="75" spans="2:3">
      <c r="B75" s="162">
        <f t="shared" si="3"/>
        <v>2016</v>
      </c>
      <c r="C75" s="163">
        <f t="shared" si="4"/>
        <v>1398</v>
      </c>
    </row>
    <row r="76" spans="2:3">
      <c r="B76" s="162">
        <f t="shared" si="3"/>
        <v>2017</v>
      </c>
      <c r="C76" s="163">
        <f t="shared" si="4"/>
        <v>722.5</v>
      </c>
    </row>
    <row r="77" spans="2:3">
      <c r="B77" s="162">
        <f t="shared" si="3"/>
        <v>2018</v>
      </c>
      <c r="C77" s="163">
        <f t="shared" si="4"/>
        <v>1363.3</v>
      </c>
    </row>
    <row r="78" spans="2:3">
      <c r="B78" s="162">
        <f>B29</f>
        <v>2019</v>
      </c>
      <c r="C78" s="163">
        <f t="shared" si="4"/>
        <v>1248.4000000000001</v>
      </c>
    </row>
    <row r="79" spans="2:3">
      <c r="B79" s="162">
        <f t="shared" si="3"/>
        <v>2020</v>
      </c>
      <c r="C79" s="163">
        <f t="shared" si="4"/>
        <v>1427.7</v>
      </c>
    </row>
    <row r="80" spans="2:3">
      <c r="B80" s="162">
        <f t="shared" si="3"/>
        <v>2021</v>
      </c>
      <c r="C80" s="163">
        <f t="shared" si="4"/>
        <v>1101</v>
      </c>
    </row>
    <row r="81" spans="2:3">
      <c r="B81" s="162">
        <f t="shared" si="3"/>
        <v>2022</v>
      </c>
      <c r="C81" s="163">
        <f t="shared" si="4"/>
        <v>739.9</v>
      </c>
    </row>
    <row r="82" spans="2:3" ht="17.25" thickBot="1">
      <c r="B82" s="98" t="str">
        <f>B34</f>
        <v>30년평균</v>
      </c>
      <c r="C82" s="164">
        <f>O34</f>
        <v>1164.4000000000001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topLeftCell="A16" zoomScaleNormal="100" workbookViewId="0">
      <selection activeCell="D55" sqref="D55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 s="590"/>
      <c r="J3" s="590"/>
      <c r="K3" s="590"/>
    </row>
    <row r="4" spans="2:16" ht="23.25" customHeight="1">
      <c r="B4" s="108"/>
      <c r="C4" s="100" t="s">
        <v>7</v>
      </c>
      <c r="D4" s="101" t="s">
        <v>8</v>
      </c>
      <c r="E4" s="101" t="s">
        <v>9</v>
      </c>
      <c r="F4" s="101" t="s">
        <v>10</v>
      </c>
      <c r="G4" s="101" t="s">
        <v>11</v>
      </c>
      <c r="H4" s="101" t="s">
        <v>12</v>
      </c>
      <c r="I4" s="101" t="s">
        <v>13</v>
      </c>
      <c r="J4" s="101" t="s">
        <v>14</v>
      </c>
      <c r="K4" s="101" t="s">
        <v>15</v>
      </c>
      <c r="L4" s="101" t="s">
        <v>16</v>
      </c>
      <c r="M4" s="101" t="s">
        <v>17</v>
      </c>
      <c r="N4" s="102" t="s">
        <v>18</v>
      </c>
      <c r="O4" s="100" t="s">
        <v>19</v>
      </c>
      <c r="P4" s="102" t="s">
        <v>20</v>
      </c>
    </row>
    <row r="5" spans="2:16" ht="22.15" customHeight="1">
      <c r="B5" s="103">
        <f>All!B41</f>
        <v>2013</v>
      </c>
      <c r="C5" s="104">
        <f>All!C41</f>
        <v>14.2</v>
      </c>
      <c r="D5" s="85">
        <f>All!D41</f>
        <v>51</v>
      </c>
      <c r="E5" s="85">
        <f>All!E41</f>
        <v>68.900000000000006</v>
      </c>
      <c r="F5" s="85">
        <f>All!F41</f>
        <v>41.6</v>
      </c>
      <c r="G5" s="85">
        <f>All!G41</f>
        <v>140.69999999999999</v>
      </c>
      <c r="H5" s="85">
        <f>All!H41</f>
        <v>84.4</v>
      </c>
      <c r="I5" s="85">
        <f>All!I41</f>
        <v>224.9</v>
      </c>
      <c r="J5" s="85">
        <f>All!J41</f>
        <v>176.8</v>
      </c>
      <c r="K5" s="85">
        <f>All!K41</f>
        <v>153.6</v>
      </c>
      <c r="L5" s="85">
        <f>All!L41</f>
        <v>17.399999999999999</v>
      </c>
      <c r="M5" s="85">
        <f>All!M41</f>
        <v>99.7</v>
      </c>
      <c r="N5" s="86">
        <f>All!N41</f>
        <v>16.5</v>
      </c>
      <c r="O5" s="104">
        <f>All!O41</f>
        <v>1089.7</v>
      </c>
      <c r="P5" s="86">
        <f>All!P41</f>
        <v>90.8</v>
      </c>
    </row>
    <row r="6" spans="2:16" ht="22.15" customHeight="1">
      <c r="B6" s="103">
        <f>All!B42</f>
        <v>2014</v>
      </c>
      <c r="C6" s="104">
        <f>All!C42</f>
        <v>12.4</v>
      </c>
      <c r="D6" s="85">
        <f>All!D42</f>
        <v>15.8</v>
      </c>
      <c r="E6" s="85">
        <f>All!E42</f>
        <v>92.3</v>
      </c>
      <c r="F6" s="85">
        <f>All!F42</f>
        <v>71.400000000000006</v>
      </c>
      <c r="G6" s="85">
        <f>All!G42</f>
        <v>72.8</v>
      </c>
      <c r="H6" s="85">
        <f>All!H42</f>
        <v>69.900000000000006</v>
      </c>
      <c r="I6" s="85">
        <f>All!I42</f>
        <v>136.80000000000001</v>
      </c>
      <c r="J6" s="85">
        <f>All!J42</f>
        <v>255</v>
      </c>
      <c r="K6" s="85">
        <f>All!K42</f>
        <v>74.7</v>
      </c>
      <c r="L6" s="85">
        <f>All!L42</f>
        <v>98.6</v>
      </c>
      <c r="M6" s="85">
        <f>All!M42</f>
        <v>95.7</v>
      </c>
      <c r="N6" s="86">
        <f>All!N42</f>
        <v>92.3</v>
      </c>
      <c r="O6" s="104">
        <f>All!O42</f>
        <v>1087.7</v>
      </c>
      <c r="P6" s="86">
        <f>All!P42</f>
        <v>90.6</v>
      </c>
    </row>
    <row r="7" spans="2:16" ht="22.15" customHeight="1">
      <c r="B7" s="103">
        <f>All!B43</f>
        <v>2015</v>
      </c>
      <c r="C7" s="104">
        <f>All!C43</f>
        <v>41.1</v>
      </c>
      <c r="D7" s="85">
        <f>All!D43</f>
        <v>25.7</v>
      </c>
      <c r="E7" s="85">
        <f>All!E43</f>
        <v>34.4</v>
      </c>
      <c r="F7" s="85">
        <f>All!F43</f>
        <v>159.6</v>
      </c>
      <c r="G7" s="85">
        <f>All!G43</f>
        <v>77.8</v>
      </c>
      <c r="H7" s="85">
        <f>All!H43</f>
        <v>117.8</v>
      </c>
      <c r="I7" s="85">
        <f>All!I43</f>
        <v>159.6</v>
      </c>
      <c r="J7" s="85">
        <f>All!J43</f>
        <v>86.5</v>
      </c>
      <c r="K7" s="85">
        <f>All!K43</f>
        <v>79.5</v>
      </c>
      <c r="L7" s="85">
        <f>All!L43</f>
        <v>84.2</v>
      </c>
      <c r="M7" s="85">
        <f>All!M43</f>
        <v>106.8</v>
      </c>
      <c r="N7" s="86">
        <f>All!N43</f>
        <v>68.599999999999994</v>
      </c>
      <c r="O7" s="104">
        <f>All!O43</f>
        <v>1041.5999999999999</v>
      </c>
      <c r="P7" s="86">
        <f>All!P43</f>
        <v>86.8</v>
      </c>
    </row>
    <row r="8" spans="2:16" ht="22.15" customHeight="1">
      <c r="B8" s="103">
        <f>All!B44</f>
        <v>2016</v>
      </c>
      <c r="C8" s="104">
        <f>All!C44</f>
        <v>79.2</v>
      </c>
      <c r="D8" s="85">
        <f>All!D44</f>
        <v>40.5</v>
      </c>
      <c r="E8" s="85">
        <f>All!E44</f>
        <v>54.9</v>
      </c>
      <c r="F8" s="85">
        <f>All!F44</f>
        <v>192</v>
      </c>
      <c r="G8" s="85">
        <f>All!G44</f>
        <v>119.9</v>
      </c>
      <c r="H8" s="85">
        <f>All!H44</f>
        <v>133.6</v>
      </c>
      <c r="I8" s="85">
        <f>All!I44</f>
        <v>249.2</v>
      </c>
      <c r="J8" s="85">
        <f>All!J44</f>
        <v>20.399999999999999</v>
      </c>
      <c r="K8" s="85">
        <f>All!K44</f>
        <v>197.8</v>
      </c>
      <c r="L8" s="85">
        <f>All!L44</f>
        <v>203.1</v>
      </c>
      <c r="M8" s="85">
        <f>All!M44</f>
        <v>61.5</v>
      </c>
      <c r="N8" s="86">
        <f>All!N44</f>
        <v>45.9</v>
      </c>
      <c r="O8" s="104">
        <f>All!O44</f>
        <v>1398</v>
      </c>
      <c r="P8" s="86">
        <f>All!P44</f>
        <v>116.5</v>
      </c>
    </row>
    <row r="9" spans="2:16" ht="22.15" customHeight="1">
      <c r="B9" s="176">
        <f>All!B45</f>
        <v>2017</v>
      </c>
      <c r="C9" s="104">
        <f>All!C45</f>
        <v>13.9</v>
      </c>
      <c r="D9" s="85">
        <f>All!D45</f>
        <v>32.299999999999997</v>
      </c>
      <c r="E9" s="85">
        <f>All!E45</f>
        <v>28.5</v>
      </c>
      <c r="F9" s="85">
        <f>All!F45</f>
        <v>46.5</v>
      </c>
      <c r="G9" s="85">
        <f>All!G45</f>
        <v>14</v>
      </c>
      <c r="H9" s="85">
        <f>All!H45</f>
        <v>28.5</v>
      </c>
      <c r="I9" s="85">
        <f>All!I45</f>
        <v>138.19999999999999</v>
      </c>
      <c r="J9" s="85">
        <f>All!J45</f>
        <v>201.8</v>
      </c>
      <c r="K9" s="85">
        <f>All!K45</f>
        <v>109.4</v>
      </c>
      <c r="L9" s="85">
        <f>All!L45</f>
        <v>62.7</v>
      </c>
      <c r="M9" s="85">
        <f>All!M45</f>
        <v>1.4</v>
      </c>
      <c r="N9" s="86">
        <f>All!N45</f>
        <v>45.3</v>
      </c>
      <c r="O9" s="159">
        <f>All!O45</f>
        <v>722.5</v>
      </c>
      <c r="P9" s="86">
        <f>All!P45</f>
        <v>60.2</v>
      </c>
    </row>
    <row r="10" spans="2:16" ht="22.15" customHeight="1">
      <c r="B10" s="103">
        <f>All!B46</f>
        <v>2018</v>
      </c>
      <c r="C10" s="104">
        <f>All!C46</f>
        <v>58</v>
      </c>
      <c r="D10" s="85">
        <f>All!D46</f>
        <v>39.299999999999997</v>
      </c>
      <c r="E10" s="85">
        <f>All!E46</f>
        <v>152.69999999999999</v>
      </c>
      <c r="F10" s="85">
        <f>All!F46</f>
        <v>169</v>
      </c>
      <c r="G10" s="85">
        <f>All!G46</f>
        <v>89.3</v>
      </c>
      <c r="H10" s="85">
        <f>All!H46</f>
        <v>162</v>
      </c>
      <c r="I10" s="85">
        <f>All!I46</f>
        <v>67.599999999999994</v>
      </c>
      <c r="J10" s="85">
        <f>All!J46</f>
        <v>246.2</v>
      </c>
      <c r="K10" s="85">
        <f>All!K46</f>
        <v>151.4</v>
      </c>
      <c r="L10" s="85">
        <f>All!L46</f>
        <v>138.4</v>
      </c>
      <c r="M10" s="85">
        <f>All!M46</f>
        <v>51.1</v>
      </c>
      <c r="N10" s="86">
        <f>All!N46</f>
        <v>38.299999999999997</v>
      </c>
      <c r="O10" s="104">
        <f>All!O46</f>
        <v>1363.3</v>
      </c>
      <c r="P10" s="86">
        <f>All!P46</f>
        <v>113.6</v>
      </c>
    </row>
    <row r="11" spans="2:16" ht="22.15" customHeight="1">
      <c r="B11" s="103">
        <f>All!B47</f>
        <v>2019</v>
      </c>
      <c r="C11" s="104">
        <f>All!C47</f>
        <v>13.3</v>
      </c>
      <c r="D11" s="85">
        <f>All!D47</f>
        <v>29.6</v>
      </c>
      <c r="E11" s="85">
        <f>All!E47</f>
        <v>38.5</v>
      </c>
      <c r="F11" s="85">
        <f>All!F47</f>
        <v>86.3</v>
      </c>
      <c r="G11" s="85">
        <f>All!G47</f>
        <v>122.9</v>
      </c>
      <c r="H11" s="85">
        <f>All!H47</f>
        <v>172.3</v>
      </c>
      <c r="I11" s="85">
        <f>All!I47</f>
        <v>167</v>
      </c>
      <c r="J11" s="85">
        <f>All!J47</f>
        <v>144.9</v>
      </c>
      <c r="K11" s="85">
        <f>All!K47</f>
        <v>259.3</v>
      </c>
      <c r="L11" s="85">
        <f>All!L47</f>
        <v>159</v>
      </c>
      <c r="M11" s="85">
        <f>All!M47</f>
        <v>14.6</v>
      </c>
      <c r="N11" s="86">
        <f>All!N47</f>
        <v>40.700000000000003</v>
      </c>
      <c r="O11" s="104">
        <f>All!O47</f>
        <v>1248.4000000000001</v>
      </c>
      <c r="P11" s="86">
        <f>All!P47</f>
        <v>104</v>
      </c>
    </row>
    <row r="12" spans="2:16" ht="22.15" customHeight="1">
      <c r="B12" s="176">
        <f>All!B48</f>
        <v>2020</v>
      </c>
      <c r="C12" s="104">
        <f>All!C48</f>
        <v>72</v>
      </c>
      <c r="D12" s="85">
        <f>All!D48</f>
        <v>28.9</v>
      </c>
      <c r="E12" s="85">
        <f>All!E48</f>
        <v>28.8</v>
      </c>
      <c r="F12" s="85">
        <f>All!F48</f>
        <v>60.9</v>
      </c>
      <c r="G12" s="85">
        <f>All!G48</f>
        <v>141.4</v>
      </c>
      <c r="H12" s="85">
        <f>All!H48</f>
        <v>261.5</v>
      </c>
      <c r="I12" s="85">
        <f>All!I48</f>
        <v>366.3</v>
      </c>
      <c r="J12" s="85">
        <f>All!J48</f>
        <v>206.4</v>
      </c>
      <c r="K12" s="85">
        <f>All!K48</f>
        <v>208.6</v>
      </c>
      <c r="L12" s="85">
        <f>All!L48</f>
        <v>20.5</v>
      </c>
      <c r="M12" s="85">
        <f>All!M48</f>
        <v>14</v>
      </c>
      <c r="N12" s="86">
        <f>All!N48</f>
        <v>18.399999999999999</v>
      </c>
      <c r="O12" s="159">
        <f>All!O48</f>
        <v>1427.7</v>
      </c>
      <c r="P12" s="86">
        <f>All!P48</f>
        <v>119</v>
      </c>
    </row>
    <row r="13" spans="2:16" ht="22.15" customHeight="1">
      <c r="B13" s="103">
        <f>All!B49</f>
        <v>2021</v>
      </c>
      <c r="C13" s="104">
        <f>All!C49</f>
        <v>39.700000000000003</v>
      </c>
      <c r="D13" s="85">
        <f>All!D49</f>
        <v>25.9</v>
      </c>
      <c r="E13" s="85">
        <f>All!E49</f>
        <v>127.4</v>
      </c>
      <c r="F13" s="85">
        <f>All!F49</f>
        <v>51.9</v>
      </c>
      <c r="G13" s="85">
        <f>All!G49</f>
        <v>112.3</v>
      </c>
      <c r="H13" s="85">
        <f>All!H49</f>
        <v>108.3</v>
      </c>
      <c r="I13" s="85">
        <f>All!I49</f>
        <v>327.5</v>
      </c>
      <c r="J13" s="85">
        <f>All!J49</f>
        <v>124.4</v>
      </c>
      <c r="K13" s="85">
        <f>All!K49</f>
        <v>91.4</v>
      </c>
      <c r="L13" s="85">
        <f>All!L49</f>
        <v>14.7</v>
      </c>
      <c r="M13" s="85">
        <f>All!M49</f>
        <v>63.9</v>
      </c>
      <c r="N13" s="86">
        <f>All!N49</f>
        <v>13.6</v>
      </c>
      <c r="O13" s="104">
        <f>All!O49</f>
        <v>1101</v>
      </c>
      <c r="P13" s="86">
        <f>All!P49</f>
        <v>91.8</v>
      </c>
    </row>
    <row r="14" spans="2:16" ht="22.15" customHeight="1" thickBot="1">
      <c r="B14" s="103">
        <f>All!B50</f>
        <v>2022</v>
      </c>
      <c r="C14" s="105">
        <f>All!C50</f>
        <v>4.3</v>
      </c>
      <c r="D14" s="106">
        <f>All!D50</f>
        <v>4.5</v>
      </c>
      <c r="E14" s="106">
        <f>All!E50</f>
        <v>78.900000000000006</v>
      </c>
      <c r="F14" s="106">
        <f>All!F50</f>
        <v>74.7</v>
      </c>
      <c r="G14" s="106">
        <f>All!G50</f>
        <v>2.6</v>
      </c>
      <c r="H14" s="106">
        <f>All!H50</f>
        <v>90.2</v>
      </c>
      <c r="I14" s="106">
        <f>All!I50</f>
        <v>196.3</v>
      </c>
      <c r="J14" s="106">
        <f>All!J50</f>
        <v>92.3</v>
      </c>
      <c r="K14" s="106">
        <f>All!K50</f>
        <v>101.9</v>
      </c>
      <c r="L14" s="106">
        <f>All!L50</f>
        <v>38.299999999999997</v>
      </c>
      <c r="M14" s="106">
        <f>All!M50</f>
        <v>33.1</v>
      </c>
      <c r="N14" s="107">
        <f>All!N50</f>
        <v>22.8</v>
      </c>
      <c r="O14" s="105">
        <f>All!O50</f>
        <v>739.9</v>
      </c>
      <c r="P14" s="107">
        <f>All!P50</f>
        <v>61.7</v>
      </c>
    </row>
    <row r="15" spans="2:16" ht="22.15" customHeight="1">
      <c r="B15" s="108" t="s">
        <v>21</v>
      </c>
      <c r="C15" s="109">
        <f>All!C51</f>
        <v>79.2</v>
      </c>
      <c r="D15" s="110">
        <f>All!D51</f>
        <v>51</v>
      </c>
      <c r="E15" s="110">
        <f>All!E51</f>
        <v>152.69999999999999</v>
      </c>
      <c r="F15" s="110">
        <f>All!F51</f>
        <v>192</v>
      </c>
      <c r="G15" s="110">
        <f>All!G51</f>
        <v>141.4</v>
      </c>
      <c r="H15" s="110">
        <f>All!H51</f>
        <v>261.5</v>
      </c>
      <c r="I15" s="110">
        <f>All!I51</f>
        <v>366.3</v>
      </c>
      <c r="J15" s="110">
        <f>All!J51</f>
        <v>255</v>
      </c>
      <c r="K15" s="110">
        <f>All!K51</f>
        <v>259.3</v>
      </c>
      <c r="L15" s="110">
        <f>All!L51</f>
        <v>203.1</v>
      </c>
      <c r="M15" s="110">
        <f>All!M51</f>
        <v>106.8</v>
      </c>
      <c r="N15" s="111">
        <f>All!N51</f>
        <v>92.3</v>
      </c>
      <c r="O15" s="172">
        <f>All!O51</f>
        <v>1427.7</v>
      </c>
      <c r="P15" s="111">
        <f>All!P51</f>
        <v>119</v>
      </c>
    </row>
    <row r="16" spans="2:16" ht="22.15" customHeight="1">
      <c r="B16" s="103" t="s">
        <v>22</v>
      </c>
      <c r="C16" s="104">
        <f>All!C52</f>
        <v>4.3</v>
      </c>
      <c r="D16" s="85">
        <f>All!D52</f>
        <v>4.5</v>
      </c>
      <c r="E16" s="85">
        <f>All!E52</f>
        <v>28.5</v>
      </c>
      <c r="F16" s="85">
        <f>All!F52</f>
        <v>41.6</v>
      </c>
      <c r="G16" s="85">
        <f>All!G52</f>
        <v>2.6</v>
      </c>
      <c r="H16" s="85">
        <f>All!H52</f>
        <v>28.5</v>
      </c>
      <c r="I16" s="85">
        <f>All!I52</f>
        <v>67.599999999999994</v>
      </c>
      <c r="J16" s="85">
        <f>All!J52</f>
        <v>20.399999999999999</v>
      </c>
      <c r="K16" s="85">
        <f>All!K52</f>
        <v>74.7</v>
      </c>
      <c r="L16" s="85">
        <f>All!L52</f>
        <v>14.7</v>
      </c>
      <c r="M16" s="85">
        <f>All!M52</f>
        <v>1.4</v>
      </c>
      <c r="N16" s="86">
        <f>All!N52</f>
        <v>13.6</v>
      </c>
      <c r="O16" s="171">
        <f>All!O52</f>
        <v>722.5</v>
      </c>
      <c r="P16" s="86">
        <f>All!P52</f>
        <v>60.2</v>
      </c>
    </row>
    <row r="17" spans="1:16" ht="22.15" customHeight="1" thickBot="1">
      <c r="B17" s="112" t="s">
        <v>20</v>
      </c>
      <c r="C17" s="113">
        <f>All!C53</f>
        <v>34.799999999999997</v>
      </c>
      <c r="D17" s="114">
        <f>All!D53</f>
        <v>29.4</v>
      </c>
      <c r="E17" s="319">
        <f>All!E53</f>
        <v>70.5</v>
      </c>
      <c r="F17" s="114">
        <f>All!F53</f>
        <v>95.4</v>
      </c>
      <c r="G17" s="115">
        <f>All!G53</f>
        <v>89.4</v>
      </c>
      <c r="H17" s="115">
        <f>All!H53</f>
        <v>122.9</v>
      </c>
      <c r="I17" s="115">
        <f>All!I53</f>
        <v>203.3</v>
      </c>
      <c r="J17" s="115">
        <f>All!J53</f>
        <v>155.5</v>
      </c>
      <c r="K17" s="115">
        <f>All!K53</f>
        <v>142.80000000000001</v>
      </c>
      <c r="L17" s="114">
        <f>All!L53</f>
        <v>83.7</v>
      </c>
      <c r="M17" s="114">
        <f>All!M53</f>
        <v>54.2</v>
      </c>
      <c r="N17" s="93">
        <f>All!N53</f>
        <v>40.200000000000003</v>
      </c>
      <c r="O17" s="174">
        <f>All!O53</f>
        <v>1122</v>
      </c>
      <c r="P17" s="170">
        <f>All!P53</f>
        <v>93.5</v>
      </c>
    </row>
    <row r="18" spans="1:16" ht="29.25" customHeight="1" thickBot="1">
      <c r="B18" s="116" t="s">
        <v>23</v>
      </c>
      <c r="C18" s="117">
        <f>All!C37</f>
        <v>31.6</v>
      </c>
      <c r="D18" s="118">
        <f>All!D37</f>
        <v>35.5</v>
      </c>
      <c r="E18" s="118">
        <f>All!E37</f>
        <v>65</v>
      </c>
      <c r="F18" s="118">
        <f>All!F37</f>
        <v>78.8</v>
      </c>
      <c r="G18" s="118">
        <f>All!G37</f>
        <v>91.9</v>
      </c>
      <c r="H18" s="118">
        <f>All!H37</f>
        <v>150.6</v>
      </c>
      <c r="I18" s="119">
        <f>All!I37</f>
        <v>223</v>
      </c>
      <c r="J18" s="119">
        <f>All!J37</f>
        <v>205.6</v>
      </c>
      <c r="K18" s="119">
        <f>All!K37</f>
        <v>136</v>
      </c>
      <c r="L18" s="119">
        <f>All!L37</f>
        <v>60.3</v>
      </c>
      <c r="M18" s="119">
        <f>All!M37</f>
        <v>50.4</v>
      </c>
      <c r="N18" s="120">
        <f>All!N37</f>
        <v>35.700000000000003</v>
      </c>
      <c r="O18" s="121">
        <f>All!O37</f>
        <v>1164.4000000000001</v>
      </c>
      <c r="P18" s="120">
        <f>All!P37</f>
        <v>97</v>
      </c>
    </row>
    <row r="19" spans="1:16" ht="22.15" customHeight="1" thickBot="1"/>
    <row r="20" spans="1:16">
      <c r="B20" s="233" t="s">
        <v>24</v>
      </c>
      <c r="C20" s="230"/>
      <c r="D20" s="234">
        <f>SUM(G17:K17)</f>
        <v>713.90000000000009</v>
      </c>
      <c r="F20" s="122"/>
    </row>
    <row r="21" spans="1:16">
      <c r="B21" s="235" t="s">
        <v>168</v>
      </c>
      <c r="D21" s="236">
        <f>O17</f>
        <v>1122</v>
      </c>
    </row>
    <row r="22" spans="1:16" ht="17.25" thickBot="1">
      <c r="B22" s="231"/>
      <c r="C22" s="232"/>
      <c r="D22" s="237">
        <f>D20/D21</f>
        <v>0.63627450980392164</v>
      </c>
    </row>
    <row r="23" spans="1:16" ht="33.75" customHeight="1" thickBot="1">
      <c r="C23" s="239" t="s">
        <v>189</v>
      </c>
      <c r="D23" s="239" t="s">
        <v>190</v>
      </c>
      <c r="E23" s="239" t="s">
        <v>191</v>
      </c>
    </row>
    <row r="24" spans="1:16" ht="21.95" customHeight="1" thickBot="1">
      <c r="B24" s="224" t="s">
        <v>95</v>
      </c>
      <c r="C24" s="227">
        <f>O16</f>
        <v>722.5</v>
      </c>
      <c r="D24" s="214"/>
      <c r="E24" s="204"/>
      <c r="H24" s="212" t="s">
        <v>186</v>
      </c>
      <c r="I24" s="591" t="s">
        <v>394</v>
      </c>
      <c r="J24" s="592"/>
      <c r="K24" s="593">
        <f>INDEX(Location[recharge], MATCH(I24,Location[name],0))</f>
        <v>0.114</v>
      </c>
      <c r="L24" s="594">
        <f>INDEX(Location[ratio], MATCH(I24,Location[name],0))</f>
        <v>0.68</v>
      </c>
    </row>
    <row r="25" spans="1:16" ht="21.95" customHeight="1" thickBot="1">
      <c r="B25" s="207" t="s">
        <v>25</v>
      </c>
      <c r="C25" s="226">
        <f>O18</f>
        <v>1164.4000000000001</v>
      </c>
      <c r="D25" s="215"/>
      <c r="E25" s="206"/>
      <c r="H25" s="212" t="s">
        <v>187</v>
      </c>
      <c r="I25" s="595" t="s">
        <v>196</v>
      </c>
      <c r="J25" s="596"/>
      <c r="K25" s="597">
        <f>INDEX(Location[recharge], MATCH(I25,Location[name],0))</f>
        <v>0.16600000000000001</v>
      </c>
      <c r="L25" s="598">
        <f>INDEX(Location[ratio], MATCH(I25,Location[name],0))</f>
        <v>0.64</v>
      </c>
    </row>
    <row r="26" spans="1:16" ht="21.95" customHeight="1">
      <c r="B26" s="205" t="s">
        <v>166</v>
      </c>
      <c r="C26" s="222">
        <f>L24</f>
        <v>0.68</v>
      </c>
      <c r="D26" s="221">
        <f>L25</f>
        <v>0.64</v>
      </c>
      <c r="E26" s="220">
        <f>L26</f>
        <v>0.65</v>
      </c>
      <c r="H26" s="212" t="s">
        <v>188</v>
      </c>
      <c r="I26" s="599" t="s">
        <v>263</v>
      </c>
      <c r="J26" s="600"/>
      <c r="K26" s="601">
        <f>INDEX(Location[recharge], MATCH(I26,Location[name],0))</f>
        <v>0.127</v>
      </c>
      <c r="L26" s="602">
        <f>INDEX(Location[ratio], MATCH(I26,Location[name],0))</f>
        <v>0.65</v>
      </c>
    </row>
    <row r="27" spans="1:16" ht="21.95" customHeight="1">
      <c r="B27" s="207" t="s">
        <v>26</v>
      </c>
      <c r="C27" s="216">
        <f>Well!P4</f>
        <v>1639050</v>
      </c>
      <c r="D27" s="215"/>
      <c r="E27" s="213"/>
    </row>
    <row r="28" spans="1:16" ht="21.95" customHeight="1" thickBot="1">
      <c r="B28" s="223" t="s">
        <v>27</v>
      </c>
      <c r="C28" s="217">
        <f>K24</f>
        <v>0.114</v>
      </c>
      <c r="D28" s="218">
        <f>K25</f>
        <v>0.16600000000000001</v>
      </c>
      <c r="E28" s="219">
        <f>K26</f>
        <v>0.127</v>
      </c>
    </row>
    <row r="29" spans="1:16" ht="17.25" thickBot="1">
      <c r="E29" s="123"/>
    </row>
    <row r="30" spans="1:16" ht="22.15" customHeight="1" thickBot="1">
      <c r="B30" s="203" t="s">
        <v>169</v>
      </c>
      <c r="C30" s="228">
        <f>max*rf_1/10</f>
        <v>13.27416</v>
      </c>
      <c r="D30" s="228">
        <f>max*rf_2/10</f>
        <v>19.329040000000003</v>
      </c>
      <c r="E30" s="229">
        <f>max*rf_3/10</f>
        <v>14.787880000000001</v>
      </c>
    </row>
    <row r="31" spans="1:16" ht="22.15" customHeight="1">
      <c r="E31" s="123"/>
    </row>
    <row r="32" spans="1:16" ht="17.25" customHeight="1">
      <c r="A32" s="79" t="s">
        <v>170</v>
      </c>
      <c r="B32" s="590"/>
      <c r="C32" s="590"/>
      <c r="D32" s="590"/>
    </row>
    <row r="33" spans="1:7" ht="17.25" customHeight="1">
      <c r="A33" s="79" t="s">
        <v>171</v>
      </c>
    </row>
    <row r="34" spans="1:7" ht="17.25" customHeight="1">
      <c r="C34" s="590"/>
      <c r="D34" s="590"/>
    </row>
    <row r="35" spans="1:7" ht="17.25" customHeight="1"/>
    <row r="36" spans="1:7" ht="17.25" thickBot="1"/>
    <row r="37" spans="1:7">
      <c r="A37" s="603" t="s">
        <v>297</v>
      </c>
      <c r="B37" s="604"/>
      <c r="C37" s="230"/>
      <c r="D37" s="230"/>
      <c r="E37" s="230"/>
      <c r="F37" s="230"/>
      <c r="G37" s="379"/>
    </row>
    <row r="38" spans="1:7" ht="17.25" thickBot="1">
      <c r="A38" s="380"/>
      <c r="B38" s="381" t="s">
        <v>232</v>
      </c>
      <c r="C38" s="381" t="s">
        <v>233</v>
      </c>
      <c r="D38" s="381" t="s">
        <v>234</v>
      </c>
      <c r="E38" s="381" t="s">
        <v>380</v>
      </c>
      <c r="F38" s="381" t="s">
        <v>382</v>
      </c>
      <c r="G38" s="382" t="s">
        <v>384</v>
      </c>
    </row>
    <row r="39" spans="1:7">
      <c r="A39" s="383" t="s">
        <v>289</v>
      </c>
      <c r="B39" s="569">
        <v>400</v>
      </c>
      <c r="C39" s="570">
        <v>400</v>
      </c>
      <c r="D39" s="570">
        <v>500</v>
      </c>
      <c r="E39" s="570">
        <v>500</v>
      </c>
      <c r="F39" s="570">
        <v>500</v>
      </c>
      <c r="G39" s="571">
        <v>500</v>
      </c>
    </row>
    <row r="40" spans="1:7">
      <c r="A40" s="384" t="s">
        <v>298</v>
      </c>
      <c r="B40" s="572">
        <v>10</v>
      </c>
      <c r="C40" s="573">
        <v>10</v>
      </c>
      <c r="D40" s="573">
        <v>10</v>
      </c>
      <c r="E40" s="573">
        <v>10</v>
      </c>
      <c r="F40" s="573">
        <v>10</v>
      </c>
      <c r="G40" s="574">
        <v>10</v>
      </c>
    </row>
    <row r="41" spans="1:7">
      <c r="A41" s="384" t="s">
        <v>299</v>
      </c>
      <c r="B41" s="575">
        <v>50</v>
      </c>
      <c r="C41" s="576">
        <v>50</v>
      </c>
      <c r="D41" s="576">
        <v>50</v>
      </c>
      <c r="E41" s="576">
        <v>50</v>
      </c>
      <c r="F41" s="576">
        <v>50</v>
      </c>
      <c r="G41" s="577">
        <v>50</v>
      </c>
    </row>
    <row r="42" spans="1:7">
      <c r="A42" s="385" t="s">
        <v>300</v>
      </c>
      <c r="B42" s="578">
        <f>ROUND(B41/10,1)</f>
        <v>5</v>
      </c>
      <c r="C42" s="579">
        <f>ROUND(C41/10,1)</f>
        <v>5</v>
      </c>
      <c r="D42" s="579">
        <f>ROUND(D41/10,1)</f>
        <v>5</v>
      </c>
      <c r="E42" s="579">
        <f>ROUND(E41/10,1)</f>
        <v>5</v>
      </c>
      <c r="F42" s="579">
        <f>ROUND(F41/10,1)</f>
        <v>5</v>
      </c>
      <c r="G42" s="580">
        <f>ROUND(G41/10,1)</f>
        <v>5</v>
      </c>
    </row>
    <row r="43" spans="1:7">
      <c r="A43" s="385" t="s">
        <v>301</v>
      </c>
      <c r="B43" s="581">
        <f>B41+B42</f>
        <v>55</v>
      </c>
      <c r="C43" s="582">
        <f>C41+C42</f>
        <v>55</v>
      </c>
      <c r="D43" s="582">
        <f>D41+D42</f>
        <v>55</v>
      </c>
      <c r="E43" s="582">
        <f>E41+E42</f>
        <v>55</v>
      </c>
      <c r="F43" s="582">
        <f>F41+F42</f>
        <v>55</v>
      </c>
      <c r="G43" s="583">
        <f>G41+G42</f>
        <v>55</v>
      </c>
    </row>
    <row r="44" spans="1:7">
      <c r="A44" s="385" t="s">
        <v>302</v>
      </c>
      <c r="B44" s="584">
        <v>0.38</v>
      </c>
      <c r="C44" s="585">
        <v>0.38</v>
      </c>
      <c r="D44" s="585">
        <v>0.38</v>
      </c>
      <c r="E44" s="585">
        <v>0.38</v>
      </c>
      <c r="F44" s="585">
        <v>0.38</v>
      </c>
      <c r="G44" s="586">
        <v>0.38</v>
      </c>
    </row>
    <row r="45" spans="1:7">
      <c r="A45" s="385"/>
      <c r="B45" s="578"/>
      <c r="C45" s="579"/>
      <c r="D45" s="579"/>
      <c r="E45" s="579"/>
      <c r="F45" s="579"/>
      <c r="G45" s="580"/>
    </row>
    <row r="46" spans="1:7">
      <c r="A46" s="385" t="s">
        <v>303</v>
      </c>
      <c r="B46" s="578">
        <f>ROUND((B40*B43)/(6572.5*B44),4)</f>
        <v>0.22020000000000001</v>
      </c>
      <c r="C46" s="579">
        <f>ROUND((C40*C43)/(6572.5*C44),4)</f>
        <v>0.22020000000000001</v>
      </c>
      <c r="D46" s="579">
        <f>ROUND((D40*D43)/(6572.5*D44),4)</f>
        <v>0.22020000000000001</v>
      </c>
      <c r="E46" s="579">
        <f>ROUND((E40*E43)/(6572.5*E44),4)</f>
        <v>0.22020000000000001</v>
      </c>
      <c r="F46" s="579">
        <f>ROUND((F40*F43)/(6572.5*F44),4)</f>
        <v>0.22020000000000001</v>
      </c>
      <c r="G46" s="580">
        <f>ROUND((G40*G43)/(6572.5*G44),4)</f>
        <v>0.22020000000000001</v>
      </c>
    </row>
    <row r="47" spans="1:7" ht="17.25" thickBot="1">
      <c r="A47" s="386"/>
      <c r="B47" s="605">
        <f>ROUNDUP(B46,0)</f>
        <v>1</v>
      </c>
      <c r="C47" s="606">
        <f>ROUNDUP(C46,0)</f>
        <v>1</v>
      </c>
      <c r="D47" s="606">
        <f>ROUNDUP(D46,0)</f>
        <v>1</v>
      </c>
      <c r="E47" s="606">
        <f>ROUNDUP(E46,0)</f>
        <v>1</v>
      </c>
      <c r="F47" s="606">
        <f>ROUNDUP(F46,0)</f>
        <v>1</v>
      </c>
      <c r="G47" s="607">
        <f>ROUNDUP(G46,0)</f>
        <v>1</v>
      </c>
    </row>
    <row r="48" spans="1:7">
      <c r="A48" s="383" t="s">
        <v>304</v>
      </c>
      <c r="B48" s="569">
        <v>3</v>
      </c>
      <c r="C48" s="570">
        <v>3</v>
      </c>
      <c r="D48" s="570">
        <v>5</v>
      </c>
      <c r="E48" s="570">
        <v>5</v>
      </c>
      <c r="F48" s="570">
        <v>5</v>
      </c>
      <c r="G48" s="571">
        <v>5</v>
      </c>
    </row>
    <row r="49" spans="1:7" ht="17.25" thickBot="1">
      <c r="A49" s="386" t="s">
        <v>305</v>
      </c>
      <c r="B49" s="587">
        <f>ROUND((B48*B44*6572.5)/B43,1)</f>
        <v>136.19999999999999</v>
      </c>
      <c r="C49" s="588">
        <f>ROUND((C48*C44*6572.5)/C43,1)</f>
        <v>136.19999999999999</v>
      </c>
      <c r="D49" s="588">
        <f>ROUND((D48*D44*6572.5)/D43,1)</f>
        <v>227.1</v>
      </c>
      <c r="E49" s="588">
        <f>ROUND((E48*E44*6572.5)/E43,1)</f>
        <v>227.1</v>
      </c>
      <c r="F49" s="588">
        <f>ROUND((F48*F44*6572.5)/F43,1)</f>
        <v>227.1</v>
      </c>
      <c r="G49" s="589">
        <f>ROUND((G48*G44*6572.5)/G43,1)</f>
        <v>227.1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79" t="s">
        <v>375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321" customWidth="1"/>
    <col min="2" max="2" width="11.5546875" style="321" customWidth="1"/>
    <col min="3" max="3" width="13" style="321" customWidth="1"/>
    <col min="4" max="16384" width="8.88671875" style="326"/>
  </cols>
  <sheetData>
    <row r="1" spans="1:12" ht="18" customHeight="1">
      <c r="A1" s="321" t="s">
        <v>201</v>
      </c>
      <c r="B1" s="321" t="s">
        <v>202</v>
      </c>
      <c r="C1" s="321" t="s">
        <v>203</v>
      </c>
    </row>
    <row r="2" spans="1:12" ht="18" customHeight="1">
      <c r="A2" s="321" t="s">
        <v>200</v>
      </c>
      <c r="B2" s="325">
        <v>0.13600000000000001</v>
      </c>
      <c r="C2" s="325">
        <v>0.66</v>
      </c>
    </row>
    <row r="3" spans="1:12" ht="18" customHeight="1">
      <c r="A3" s="321" t="s">
        <v>192</v>
      </c>
      <c r="B3" s="325">
        <v>0.151</v>
      </c>
      <c r="C3" s="325">
        <v>0.65</v>
      </c>
    </row>
    <row r="4" spans="1:12" ht="18" customHeight="1">
      <c r="A4" s="321" t="s">
        <v>182</v>
      </c>
      <c r="B4" s="325">
        <v>0.16700000000000001</v>
      </c>
      <c r="C4" s="325">
        <v>0.65</v>
      </c>
      <c r="J4" s="326" t="s">
        <v>194</v>
      </c>
      <c r="K4" s="326">
        <f>INDEX(Location[recharge],MATCH(J4,Location[name],0))</f>
        <v>0.16600000000000001</v>
      </c>
      <c r="L4" s="326">
        <f>INDEX(Location[ratio], MATCH(J4,Location[name]))</f>
        <v>0.65</v>
      </c>
    </row>
    <row r="5" spans="1:12" ht="18" customHeight="1">
      <c r="A5" s="321" t="s">
        <v>183</v>
      </c>
      <c r="B5" s="325">
        <v>0.17299999999999999</v>
      </c>
      <c r="C5" s="325">
        <v>0.66849999999999998</v>
      </c>
    </row>
    <row r="6" spans="1:12" ht="18" customHeight="1">
      <c r="A6" s="321" t="s">
        <v>193</v>
      </c>
      <c r="B6" s="325">
        <v>0.16300000000000001</v>
      </c>
      <c r="C6" s="325">
        <v>0.67</v>
      </c>
    </row>
    <row r="7" spans="1:12" ht="18" customHeight="1">
      <c r="A7" s="321" t="s">
        <v>195</v>
      </c>
      <c r="B7" s="325">
        <v>0.16600000000000001</v>
      </c>
      <c r="C7" s="325">
        <v>0.64</v>
      </c>
      <c r="E7" s="326" t="s">
        <v>204</v>
      </c>
    </row>
    <row r="8" spans="1:12" ht="18" customHeight="1">
      <c r="A8" s="321" t="s">
        <v>196</v>
      </c>
      <c r="B8" s="325">
        <v>0.16600000000000001</v>
      </c>
      <c r="C8" s="325">
        <v>0.64</v>
      </c>
    </row>
    <row r="9" spans="1:12" ht="18" customHeight="1">
      <c r="A9" s="321" t="s">
        <v>184</v>
      </c>
      <c r="B9" s="325">
        <v>0.125</v>
      </c>
      <c r="C9" s="325">
        <v>0.67</v>
      </c>
    </row>
    <row r="10" spans="1:12" ht="18" customHeight="1">
      <c r="A10" s="321" t="s">
        <v>197</v>
      </c>
      <c r="B10" s="325">
        <v>0.127</v>
      </c>
      <c r="C10" s="325">
        <v>0.65</v>
      </c>
    </row>
    <row r="11" spans="1:12" ht="18" customHeight="1">
      <c r="A11" s="321" t="s">
        <v>198</v>
      </c>
      <c r="B11" s="325">
        <v>0.128</v>
      </c>
      <c r="C11" s="325">
        <v>0.64</v>
      </c>
    </row>
    <row r="12" spans="1:12" ht="18" customHeight="1">
      <c r="A12" s="321" t="s">
        <v>199</v>
      </c>
      <c r="B12" s="325">
        <v>0.17499999999999999</v>
      </c>
      <c r="C12" s="325">
        <v>0.67</v>
      </c>
    </row>
    <row r="13" spans="1:12" ht="18" customHeight="1">
      <c r="A13" s="321" t="s">
        <v>212</v>
      </c>
      <c r="B13" s="325">
        <v>0.13</v>
      </c>
      <c r="C13" s="325">
        <v>0.63</v>
      </c>
    </row>
    <row r="14" spans="1:12" ht="18" customHeight="1">
      <c r="A14" s="321" t="s">
        <v>213</v>
      </c>
      <c r="B14" s="325">
        <v>0.13400000000000001</v>
      </c>
      <c r="C14" s="325">
        <v>0.65</v>
      </c>
    </row>
    <row r="15" spans="1:12" ht="18" customHeight="1">
      <c r="A15" s="321" t="s">
        <v>214</v>
      </c>
      <c r="B15" s="325">
        <v>0.16500000000000001</v>
      </c>
      <c r="C15" s="325">
        <v>0.62</v>
      </c>
    </row>
    <row r="16" spans="1:12" ht="18" customHeight="1">
      <c r="A16" s="321" t="s">
        <v>264</v>
      </c>
      <c r="B16" s="325">
        <v>0.16300000000000001</v>
      </c>
      <c r="C16" s="325">
        <v>0.223</v>
      </c>
    </row>
    <row r="17" spans="1:3" ht="18" customHeight="1">
      <c r="A17" s="321" t="s">
        <v>394</v>
      </c>
      <c r="B17" s="325">
        <v>0.114</v>
      </c>
      <c r="C17" s="325">
        <v>0.68</v>
      </c>
    </row>
    <row r="18" spans="1:3" ht="18" customHeight="1">
      <c r="B18" s="325"/>
      <c r="C18" s="32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29" t="s">
        <v>333</v>
      </c>
    </row>
    <row r="4" spans="3:11" ht="40.5" customHeight="1">
      <c r="C4" s="448" t="s">
        <v>326</v>
      </c>
      <c r="D4" s="449" t="s">
        <v>288</v>
      </c>
      <c r="E4" s="449" t="s">
        <v>327</v>
      </c>
      <c r="F4" s="450" t="s">
        <v>332</v>
      </c>
      <c r="G4" s="449" t="s">
        <v>318</v>
      </c>
      <c r="H4" s="449" t="s">
        <v>328</v>
      </c>
      <c r="I4" s="449" t="s">
        <v>329</v>
      </c>
      <c r="J4" s="449" t="s">
        <v>330</v>
      </c>
      <c r="K4" s="451" t="s">
        <v>331</v>
      </c>
    </row>
    <row r="5" spans="3:11" ht="97.5" customHeight="1">
      <c r="C5" s="350" t="s">
        <v>232</v>
      </c>
      <c r="D5" s="447" t="s">
        <v>334</v>
      </c>
      <c r="E5" s="447" t="s">
        <v>335</v>
      </c>
      <c r="F5" s="447" t="s">
        <v>336</v>
      </c>
      <c r="G5" s="447" t="s">
        <v>415</v>
      </c>
      <c r="H5" s="447" t="s">
        <v>416</v>
      </c>
      <c r="I5" s="447" t="s">
        <v>417</v>
      </c>
      <c r="J5" s="447" t="s">
        <v>418</v>
      </c>
      <c r="K5" s="452" t="s">
        <v>419</v>
      </c>
    </row>
    <row r="6" spans="3:11" ht="97.5" customHeight="1">
      <c r="C6" s="350" t="s">
        <v>233</v>
      </c>
      <c r="D6" s="447" t="s">
        <v>334</v>
      </c>
      <c r="E6" s="447" t="s">
        <v>335</v>
      </c>
      <c r="F6" s="447" t="s">
        <v>336</v>
      </c>
      <c r="G6" s="447" t="s">
        <v>420</v>
      </c>
      <c r="H6" s="447" t="s">
        <v>421</v>
      </c>
      <c r="I6" s="447" t="s">
        <v>422</v>
      </c>
      <c r="J6" s="447" t="s">
        <v>423</v>
      </c>
      <c r="K6" s="452" t="s">
        <v>424</v>
      </c>
    </row>
    <row r="7" spans="3:11" ht="97.5" customHeight="1">
      <c r="C7" s="350" t="s">
        <v>234</v>
      </c>
      <c r="D7" s="447" t="s">
        <v>334</v>
      </c>
      <c r="E7" s="447" t="s">
        <v>335</v>
      </c>
      <c r="F7" s="447" t="s">
        <v>336</v>
      </c>
      <c r="G7" s="447" t="s">
        <v>425</v>
      </c>
      <c r="H7" s="447" t="s">
        <v>426</v>
      </c>
      <c r="I7" s="447" t="s">
        <v>427</v>
      </c>
      <c r="J7" s="447" t="s">
        <v>428</v>
      </c>
      <c r="K7" s="452" t="s">
        <v>429</v>
      </c>
    </row>
    <row r="8" spans="3:11" ht="97.5" customHeight="1">
      <c r="C8" s="350" t="s">
        <v>380</v>
      </c>
      <c r="D8" s="447" t="s">
        <v>334</v>
      </c>
      <c r="E8" s="447" t="s">
        <v>335</v>
      </c>
      <c r="F8" s="447" t="s">
        <v>336</v>
      </c>
      <c r="G8" s="447" t="s">
        <v>430</v>
      </c>
      <c r="H8" s="447" t="s">
        <v>431</v>
      </c>
      <c r="I8" s="447" t="s">
        <v>432</v>
      </c>
      <c r="J8" s="447" t="s">
        <v>433</v>
      </c>
      <c r="K8" s="452" t="s">
        <v>434</v>
      </c>
    </row>
    <row r="9" spans="3:11" ht="97.5" customHeight="1">
      <c r="C9" s="350" t="s">
        <v>382</v>
      </c>
      <c r="D9" s="447" t="s">
        <v>334</v>
      </c>
      <c r="E9" s="447" t="s">
        <v>335</v>
      </c>
      <c r="F9" s="447" t="s">
        <v>336</v>
      </c>
      <c r="G9" s="447" t="s">
        <v>435</v>
      </c>
      <c r="H9" s="447" t="s">
        <v>436</v>
      </c>
      <c r="I9" s="447" t="s">
        <v>437</v>
      </c>
      <c r="J9" s="447" t="s">
        <v>438</v>
      </c>
      <c r="K9" s="452" t="s">
        <v>439</v>
      </c>
    </row>
    <row r="10" spans="3:11" ht="97.5" customHeight="1">
      <c r="C10" s="350" t="s">
        <v>384</v>
      </c>
      <c r="D10" s="447" t="s">
        <v>334</v>
      </c>
      <c r="E10" s="447" t="s">
        <v>335</v>
      </c>
      <c r="F10" s="447" t="s">
        <v>336</v>
      </c>
      <c r="G10" s="447" t="s">
        <v>440</v>
      </c>
      <c r="H10" s="447" t="s">
        <v>441</v>
      </c>
      <c r="I10" s="447" t="s">
        <v>442</v>
      </c>
      <c r="J10" s="447" t="s">
        <v>443</v>
      </c>
      <c r="K10" s="452" t="s">
        <v>444</v>
      </c>
    </row>
    <row r="11" spans="3:11" ht="97.5" customHeight="1">
      <c r="C11" s="350">
        <v>7</v>
      </c>
      <c r="D11" s="417"/>
      <c r="E11" s="417"/>
      <c r="F11" s="417"/>
      <c r="G11" s="417"/>
      <c r="H11" s="417"/>
      <c r="I11" s="417"/>
      <c r="J11" s="417"/>
      <c r="K11" s="445"/>
    </row>
    <row r="12" spans="3:11" ht="97.5" customHeight="1">
      <c r="C12" s="350">
        <v>8</v>
      </c>
      <c r="D12" s="417"/>
      <c r="E12" s="417"/>
      <c r="F12" s="417"/>
      <c r="G12" s="417"/>
      <c r="H12" s="417"/>
      <c r="I12" s="417"/>
      <c r="J12" s="417"/>
      <c r="K12" s="445"/>
    </row>
    <row r="13" spans="3:11" ht="97.5" customHeight="1">
      <c r="C13" s="350">
        <v>9</v>
      </c>
      <c r="D13" s="417"/>
      <c r="E13" s="417"/>
      <c r="F13" s="417"/>
      <c r="G13" s="417"/>
      <c r="H13" s="417"/>
      <c r="I13" s="417"/>
      <c r="J13" s="417"/>
      <c r="K13" s="445"/>
    </row>
    <row r="14" spans="3:11" ht="97.5" customHeight="1">
      <c r="C14" s="350">
        <v>10</v>
      </c>
      <c r="D14" s="417"/>
      <c r="E14" s="417"/>
      <c r="F14" s="417"/>
      <c r="G14" s="417"/>
      <c r="H14" s="417"/>
      <c r="I14" s="417"/>
      <c r="J14" s="417"/>
      <c r="K14" s="445"/>
    </row>
    <row r="15" spans="3:11" ht="97.5" customHeight="1">
      <c r="C15" s="350">
        <v>11</v>
      </c>
      <c r="D15" s="417"/>
      <c r="E15" s="417"/>
      <c r="F15" s="417"/>
      <c r="G15" s="417"/>
      <c r="H15" s="417"/>
      <c r="I15" s="417"/>
      <c r="J15" s="417"/>
      <c r="K15" s="445"/>
    </row>
    <row r="16" spans="3:11" ht="97.5" customHeight="1">
      <c r="C16" s="350">
        <v>12</v>
      </c>
      <c r="D16" s="417"/>
      <c r="E16" s="417"/>
      <c r="F16" s="417"/>
      <c r="G16" s="417"/>
      <c r="H16" s="417"/>
      <c r="I16" s="417"/>
      <c r="J16" s="417"/>
      <c r="K16" s="445"/>
    </row>
    <row r="17" spans="3:11" ht="97.5" customHeight="1">
      <c r="C17" s="350">
        <v>13</v>
      </c>
      <c r="D17" s="417"/>
      <c r="E17" s="417"/>
      <c r="F17" s="417"/>
      <c r="G17" s="417"/>
      <c r="H17" s="417"/>
      <c r="I17" s="417"/>
      <c r="J17" s="417"/>
      <c r="K17" s="445"/>
    </row>
    <row r="18" spans="3:11" ht="97.5" customHeight="1">
      <c r="C18" s="350">
        <v>14</v>
      </c>
      <c r="D18" s="417"/>
      <c r="E18" s="417"/>
      <c r="F18" s="417"/>
      <c r="G18" s="417"/>
      <c r="H18" s="417"/>
      <c r="I18" s="417"/>
      <c r="J18" s="417"/>
      <c r="K18" s="445"/>
    </row>
    <row r="19" spans="3:11" ht="97.5" customHeight="1" thickBot="1">
      <c r="C19" s="351">
        <v>15</v>
      </c>
      <c r="D19" s="418"/>
      <c r="E19" s="418"/>
      <c r="F19" s="418"/>
      <c r="G19" s="418"/>
      <c r="H19" s="418"/>
      <c r="I19" s="418"/>
      <c r="J19" s="418"/>
      <c r="K19" s="44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59" customFormat="1" ht="72.75" customHeight="1" thickTop="1">
      <c r="A4" s="456" t="s">
        <v>306</v>
      </c>
      <c r="B4" s="457" t="s">
        <v>347</v>
      </c>
      <c r="C4" s="457" t="s">
        <v>348</v>
      </c>
      <c r="D4" s="457" t="s">
        <v>357</v>
      </c>
      <c r="E4" s="457" t="s">
        <v>365</v>
      </c>
      <c r="F4" s="457" t="s">
        <v>364</v>
      </c>
      <c r="G4" s="457" t="s">
        <v>349</v>
      </c>
      <c r="H4" s="458" t="s">
        <v>339</v>
      </c>
      <c r="I4" s="457" t="s">
        <v>350</v>
      </c>
      <c r="J4" s="457" t="s">
        <v>351</v>
      </c>
      <c r="K4" s="457" t="s">
        <v>355</v>
      </c>
      <c r="L4" s="457" t="s">
        <v>354</v>
      </c>
      <c r="M4" s="457" t="s">
        <v>352</v>
      </c>
      <c r="N4" s="457" t="s">
        <v>345</v>
      </c>
      <c r="O4" s="458" t="s">
        <v>340</v>
      </c>
      <c r="P4" s="458" t="s">
        <v>341</v>
      </c>
      <c r="Q4" s="457" t="s">
        <v>353</v>
      </c>
      <c r="R4" s="457" t="s">
        <v>358</v>
      </c>
      <c r="S4" s="457" t="s">
        <v>359</v>
      </c>
      <c r="T4" s="458" t="s">
        <v>344</v>
      </c>
      <c r="U4" s="457" t="s">
        <v>356</v>
      </c>
      <c r="V4" s="458" t="s">
        <v>342</v>
      </c>
      <c r="W4" s="458" t="s">
        <v>343</v>
      </c>
      <c r="X4" s="458" t="s">
        <v>346</v>
      </c>
      <c r="Y4" s="457" t="s">
        <v>362</v>
      </c>
      <c r="Z4" s="457" t="s">
        <v>363</v>
      </c>
      <c r="AA4" s="457" t="s">
        <v>370</v>
      </c>
      <c r="AB4" s="457" t="s">
        <v>371</v>
      </c>
      <c r="AC4" s="457" t="s">
        <v>366</v>
      </c>
      <c r="AD4" s="457" t="s">
        <v>360</v>
      </c>
      <c r="AE4" s="457" t="s">
        <v>361</v>
      </c>
      <c r="AF4" s="457" t="s">
        <v>367</v>
      </c>
      <c r="AG4" s="458" t="s">
        <v>368</v>
      </c>
      <c r="AH4" s="469" t="s">
        <v>369</v>
      </c>
    </row>
    <row r="5" spans="1:34" ht="23.1" customHeight="1">
      <c r="A5" s="460" t="s">
        <v>232</v>
      </c>
      <c r="B5" s="417">
        <v>4.32</v>
      </c>
      <c r="C5" s="417">
        <v>9.5299999999999994</v>
      </c>
      <c r="D5" s="467">
        <v>5.7111294499956422</v>
      </c>
      <c r="E5" s="467">
        <v>3.8188705500043572</v>
      </c>
      <c r="F5" s="467">
        <v>5.2099999999999991</v>
      </c>
      <c r="G5" s="417">
        <v>200</v>
      </c>
      <c r="H5" s="417">
        <v>0.1</v>
      </c>
      <c r="I5" s="417">
        <v>400</v>
      </c>
      <c r="J5" s="417">
        <v>30</v>
      </c>
      <c r="K5" s="417">
        <v>45</v>
      </c>
      <c r="L5" s="467">
        <v>0.9975730028124028</v>
      </c>
      <c r="M5" s="417">
        <v>3</v>
      </c>
      <c r="N5" s="417">
        <v>370</v>
      </c>
      <c r="O5" s="465">
        <v>6.7590000000000003</v>
      </c>
      <c r="P5" s="465">
        <v>2.8290000000000002</v>
      </c>
      <c r="Q5" s="465">
        <v>4.7940000000000005</v>
      </c>
      <c r="R5" s="417">
        <v>8.7010000000000004E-2</v>
      </c>
      <c r="S5" s="468">
        <v>2.7310000000000002E-4</v>
      </c>
      <c r="T5" s="465">
        <v>1.295E-2</v>
      </c>
      <c r="U5" s="417">
        <v>0.58330000000000004</v>
      </c>
      <c r="V5" s="466">
        <v>29.4</v>
      </c>
      <c r="W5" s="466">
        <v>36</v>
      </c>
      <c r="X5" s="466">
        <v>151.80000000000001</v>
      </c>
      <c r="Y5" s="417">
        <v>-2.8820000000000001</v>
      </c>
      <c r="Z5" s="465">
        <v>1.7849999999999999</v>
      </c>
      <c r="AA5" s="417">
        <v>51</v>
      </c>
      <c r="AB5" s="417">
        <v>46.41</v>
      </c>
      <c r="AC5" s="417">
        <v>28</v>
      </c>
      <c r="AD5" s="417">
        <v>2.17</v>
      </c>
      <c r="AE5" s="417">
        <v>4.63</v>
      </c>
      <c r="AF5" s="417">
        <v>5.5110000000000001E-4</v>
      </c>
      <c r="AG5" s="417">
        <v>6.2558199999999994E-2</v>
      </c>
      <c r="AH5" s="470">
        <v>0.90196078431372551</v>
      </c>
    </row>
    <row r="6" spans="1:34" ht="23.1" customHeight="1">
      <c r="A6" s="460" t="s">
        <v>233</v>
      </c>
      <c r="B6" s="417">
        <v>4.51</v>
      </c>
      <c r="C6" s="417">
        <v>9.0399999999999991</v>
      </c>
      <c r="D6" s="467">
        <v>5.862756534282946</v>
      </c>
      <c r="E6" s="467">
        <v>3.1772434657170532</v>
      </c>
      <c r="F6" s="467">
        <v>4.5299999999999994</v>
      </c>
      <c r="G6" s="417">
        <v>200</v>
      </c>
      <c r="H6" s="417">
        <v>0.1</v>
      </c>
      <c r="I6" s="417">
        <v>400</v>
      </c>
      <c r="J6" s="417">
        <v>30</v>
      </c>
      <c r="K6" s="417">
        <v>48</v>
      </c>
      <c r="L6" s="467">
        <v>1.0622646082955107</v>
      </c>
      <c r="M6" s="417">
        <v>3</v>
      </c>
      <c r="N6" s="417">
        <v>370</v>
      </c>
      <c r="O6" s="465">
        <v>8.7629999999999999</v>
      </c>
      <c r="P6" s="465">
        <v>5.718</v>
      </c>
      <c r="Q6" s="465">
        <v>7.2404999999999999</v>
      </c>
      <c r="R6" s="417">
        <v>6.4490000000000006E-2</v>
      </c>
      <c r="S6" s="468">
        <v>2.719E-4</v>
      </c>
      <c r="T6" s="465">
        <v>1.9560000000000001E-2</v>
      </c>
      <c r="U6" s="417">
        <v>0.58330000000000004</v>
      </c>
      <c r="V6" s="466">
        <v>33.799999999999997</v>
      </c>
      <c r="W6" s="466">
        <v>41.4</v>
      </c>
      <c r="X6" s="466">
        <v>186.9</v>
      </c>
      <c r="Y6" s="417">
        <v>-2.7345999999999999</v>
      </c>
      <c r="Z6" s="465">
        <v>1.54</v>
      </c>
      <c r="AA6" s="417">
        <v>55</v>
      </c>
      <c r="AB6" s="417">
        <v>49.7</v>
      </c>
      <c r="AC6" s="417">
        <v>30</v>
      </c>
      <c r="AD6" s="417">
        <v>1.89</v>
      </c>
      <c r="AE6" s="417">
        <v>4.03</v>
      </c>
      <c r="AF6" s="417">
        <v>4.0079999999999998E-4</v>
      </c>
      <c r="AG6" s="417">
        <v>5.0910299999999999E-2</v>
      </c>
      <c r="AH6" s="470">
        <v>0.89090909090909087</v>
      </c>
    </row>
    <row r="7" spans="1:34" ht="23.1" customHeight="1">
      <c r="A7" s="460" t="s">
        <v>234</v>
      </c>
      <c r="B7" s="417">
        <v>4.2699999999999996</v>
      </c>
      <c r="C7" s="417">
        <v>9.34</v>
      </c>
      <c r="D7" s="467">
        <v>5.6535714503169823</v>
      </c>
      <c r="E7" s="467">
        <v>3.6864285496830176</v>
      </c>
      <c r="F7" s="467">
        <v>5.07</v>
      </c>
      <c r="G7" s="417">
        <v>200</v>
      </c>
      <c r="H7" s="417">
        <v>0.1</v>
      </c>
      <c r="I7" s="417">
        <v>500</v>
      </c>
      <c r="J7" s="417">
        <v>30</v>
      </c>
      <c r="K7" s="417">
        <v>69</v>
      </c>
      <c r="L7" s="467">
        <v>1.5260823705401423</v>
      </c>
      <c r="M7" s="417">
        <v>5</v>
      </c>
      <c r="N7" s="417">
        <v>470</v>
      </c>
      <c r="O7" s="465">
        <v>12.33</v>
      </c>
      <c r="P7" s="465">
        <v>4.92</v>
      </c>
      <c r="Q7" s="465">
        <v>8.625</v>
      </c>
      <c r="R7" s="417">
        <v>3.3669999999999999E-2</v>
      </c>
      <c r="S7" s="468">
        <v>2.7129999999999998E-4</v>
      </c>
      <c r="T7" s="465">
        <v>1.8350000000000002E-2</v>
      </c>
      <c r="U7" s="417">
        <v>0.58330000000000004</v>
      </c>
      <c r="V7" s="466">
        <v>34.6</v>
      </c>
      <c r="W7" s="466">
        <v>42.4</v>
      </c>
      <c r="X7" s="466">
        <v>204.3</v>
      </c>
      <c r="Y7" s="417">
        <v>-2.4102000000000001</v>
      </c>
      <c r="Z7" s="465">
        <v>1.1140000000000001</v>
      </c>
      <c r="AA7" s="417">
        <v>79</v>
      </c>
      <c r="AB7" s="417">
        <v>71.13</v>
      </c>
      <c r="AC7" s="417">
        <v>43</v>
      </c>
      <c r="AD7" s="417">
        <v>2.12</v>
      </c>
      <c r="AE7" s="417">
        <v>4.51</v>
      </c>
      <c r="AF7" s="417">
        <v>2.163E-4</v>
      </c>
      <c r="AG7" s="417">
        <v>3.9691200000000003E-2</v>
      </c>
      <c r="AH7" s="470">
        <v>0.89873417721518989</v>
      </c>
    </row>
    <row r="8" spans="1:34" ht="23.1" customHeight="1">
      <c r="A8" s="460" t="s">
        <v>380</v>
      </c>
      <c r="B8" s="417">
        <v>4.43</v>
      </c>
      <c r="C8" s="417">
        <v>9.86</v>
      </c>
      <c r="D8" s="467">
        <v>5.8326843965160613</v>
      </c>
      <c r="E8" s="467">
        <v>4.0273156034839381</v>
      </c>
      <c r="F8" s="467">
        <v>5.43</v>
      </c>
      <c r="G8" s="417">
        <v>200</v>
      </c>
      <c r="H8" s="417">
        <v>0.1</v>
      </c>
      <c r="I8" s="417">
        <v>500</v>
      </c>
      <c r="J8" s="417">
        <v>30</v>
      </c>
      <c r="K8" s="417">
        <v>74</v>
      </c>
      <c r="L8" s="467">
        <v>1.6350065417949722</v>
      </c>
      <c r="M8" s="417">
        <v>5</v>
      </c>
      <c r="N8" s="417">
        <v>470</v>
      </c>
      <c r="O8" s="465">
        <v>12.34</v>
      </c>
      <c r="P8" s="465">
        <v>4.2549999999999999</v>
      </c>
      <c r="Q8" s="465">
        <v>8.2974999999999994</v>
      </c>
      <c r="R8" s="417">
        <v>3.3770000000000001E-2</v>
      </c>
      <c r="S8" s="468">
        <v>2.721E-4</v>
      </c>
      <c r="T8" s="465">
        <v>1.7649999999999999E-2</v>
      </c>
      <c r="U8" s="417">
        <v>0.58330000000000004</v>
      </c>
      <c r="V8" s="466">
        <v>35.1</v>
      </c>
      <c r="W8" s="466">
        <v>43</v>
      </c>
      <c r="X8" s="466">
        <v>200.1</v>
      </c>
      <c r="Y8" s="417">
        <v>-2.411</v>
      </c>
      <c r="Z8" s="465">
        <v>1.1140000000000001</v>
      </c>
      <c r="AA8" s="417">
        <v>85</v>
      </c>
      <c r="AB8" s="417">
        <v>76.099999999999994</v>
      </c>
      <c r="AC8" s="417">
        <v>46</v>
      </c>
      <c r="AD8" s="417">
        <v>2.27</v>
      </c>
      <c r="AE8" s="417">
        <v>4.83</v>
      </c>
      <c r="AF8" s="417">
        <v>1.9139999999999999E-4</v>
      </c>
      <c r="AG8" s="417">
        <v>4.0216399999999999E-2</v>
      </c>
      <c r="AH8" s="470">
        <v>0.89411764705882357</v>
      </c>
    </row>
    <row r="9" spans="1:34" ht="23.1" customHeight="1">
      <c r="A9" s="460" t="s">
        <v>382</v>
      </c>
      <c r="B9" s="417">
        <v>4.72</v>
      </c>
      <c r="C9" s="417">
        <v>10.25</v>
      </c>
      <c r="D9" s="467">
        <v>6.1278131783577532</v>
      </c>
      <c r="E9" s="467">
        <v>4.1221868216422468</v>
      </c>
      <c r="F9" s="467">
        <v>5.53</v>
      </c>
      <c r="G9" s="417">
        <v>200</v>
      </c>
      <c r="H9" s="417">
        <v>0.1</v>
      </c>
      <c r="I9" s="417">
        <v>500</v>
      </c>
      <c r="J9" s="417">
        <v>30</v>
      </c>
      <c r="K9" s="417">
        <v>73</v>
      </c>
      <c r="L9" s="467">
        <v>1.6158552919326139</v>
      </c>
      <c r="M9" s="417">
        <v>5</v>
      </c>
      <c r="N9" s="417">
        <v>470</v>
      </c>
      <c r="O9" s="465">
        <v>11.81</v>
      </c>
      <c r="P9" s="465">
        <v>4.25</v>
      </c>
      <c r="Q9" s="465">
        <v>8.0300000000000011</v>
      </c>
      <c r="R9" s="417">
        <v>3.7280000000000001E-2</v>
      </c>
      <c r="S9" s="468">
        <v>2.7230000000000001E-4</v>
      </c>
      <c r="T9" s="465">
        <v>1.7080000000000001E-2</v>
      </c>
      <c r="U9" s="417">
        <v>0.58330000000000004</v>
      </c>
      <c r="V9" s="466">
        <v>34.799999999999997</v>
      </c>
      <c r="W9" s="466">
        <v>42.7</v>
      </c>
      <c r="X9" s="466">
        <v>196.7</v>
      </c>
      <c r="Y9" s="417">
        <v>-2.4596</v>
      </c>
      <c r="Z9" s="465">
        <v>1.17</v>
      </c>
      <c r="AA9" s="417">
        <v>83</v>
      </c>
      <c r="AB9" s="417">
        <v>74.489999999999995</v>
      </c>
      <c r="AC9" s="417">
        <v>45</v>
      </c>
      <c r="AD9" s="417">
        <v>2.31</v>
      </c>
      <c r="AE9" s="417">
        <v>4.92</v>
      </c>
      <c r="AF9" s="417">
        <v>2.108E-4</v>
      </c>
      <c r="AG9" s="417">
        <v>4.1404400000000001E-2</v>
      </c>
      <c r="AH9" s="470">
        <v>0.89156626506024095</v>
      </c>
    </row>
    <row r="10" spans="1:34" ht="23.1" customHeight="1">
      <c r="A10" s="460" t="s">
        <v>384</v>
      </c>
      <c r="B10" s="417">
        <v>4.51</v>
      </c>
      <c r="C10" s="417">
        <v>9.7200000000000006</v>
      </c>
      <c r="D10" s="467">
        <v>5.9011294499956417</v>
      </c>
      <c r="E10" s="467">
        <v>3.8188705500043589</v>
      </c>
      <c r="F10" s="467">
        <v>5.2100000000000009</v>
      </c>
      <c r="G10" s="417">
        <v>200</v>
      </c>
      <c r="H10" s="417">
        <v>0.1</v>
      </c>
      <c r="I10" s="417">
        <v>500</v>
      </c>
      <c r="J10" s="417">
        <v>30</v>
      </c>
      <c r="K10" s="417">
        <v>67</v>
      </c>
      <c r="L10" s="467">
        <v>1.4872053629681403</v>
      </c>
      <c r="M10" s="417">
        <v>5</v>
      </c>
      <c r="N10" s="417">
        <v>470</v>
      </c>
      <c r="O10" s="465">
        <v>11.39</v>
      </c>
      <c r="P10" s="465">
        <v>4.5529999999999999</v>
      </c>
      <c r="Q10" s="465">
        <v>7.9715000000000007</v>
      </c>
      <c r="R10" s="417">
        <v>4.0090000000000001E-2</v>
      </c>
      <c r="S10" s="468">
        <v>2.7240000000000001E-4</v>
      </c>
      <c r="T10" s="465">
        <v>1.6959999999999999E-2</v>
      </c>
      <c r="U10" s="417">
        <v>0.58330000000000004</v>
      </c>
      <c r="V10" s="466">
        <v>33.700000000000003</v>
      </c>
      <c r="W10" s="466">
        <v>41.3</v>
      </c>
      <c r="X10" s="466">
        <v>196</v>
      </c>
      <c r="Y10" s="417">
        <v>-2.4954999999999998</v>
      </c>
      <c r="Z10" s="465">
        <v>1.2130000000000001</v>
      </c>
      <c r="AA10" s="417">
        <v>77</v>
      </c>
      <c r="AB10" s="417">
        <v>69.61</v>
      </c>
      <c r="AC10" s="417">
        <v>42</v>
      </c>
      <c r="AD10" s="417">
        <v>2.17</v>
      </c>
      <c r="AE10" s="417">
        <v>4.63</v>
      </c>
      <c r="AF10" s="417">
        <v>2.3379999999999999E-4</v>
      </c>
      <c r="AG10" s="417">
        <v>4.19589E-2</v>
      </c>
      <c r="AH10" s="470">
        <v>0.89610389610389607</v>
      </c>
    </row>
    <row r="11" spans="1:34" ht="23.1" customHeight="1">
      <c r="A11" s="460"/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17"/>
      <c r="U11" s="417"/>
      <c r="V11" s="417"/>
      <c r="W11" s="417"/>
      <c r="X11" s="417"/>
      <c r="Y11" s="417"/>
      <c r="Z11" s="417"/>
      <c r="AA11" s="417"/>
      <c r="AB11" s="417"/>
      <c r="AC11" s="417"/>
      <c r="AD11" s="417"/>
      <c r="AE11" s="417"/>
      <c r="AF11" s="417"/>
      <c r="AG11" s="417"/>
      <c r="AH11" s="461"/>
    </row>
    <row r="12" spans="1:34" ht="23.1" customHeight="1">
      <c r="A12" s="460"/>
      <c r="B12" s="417"/>
      <c r="C12" s="417"/>
      <c r="D12" s="417"/>
      <c r="E12" s="417"/>
      <c r="F12" s="417"/>
      <c r="G12" s="417"/>
      <c r="H12" s="417"/>
      <c r="I12" s="417"/>
      <c r="J12" s="417"/>
      <c r="K12" s="417"/>
      <c r="L12" s="417"/>
      <c r="M12" s="417"/>
      <c r="N12" s="417"/>
      <c r="O12" s="417"/>
      <c r="P12" s="417"/>
      <c r="Q12" s="417"/>
      <c r="R12" s="417"/>
      <c r="S12" s="417"/>
      <c r="T12" s="417"/>
      <c r="U12" s="417"/>
      <c r="V12" s="417"/>
      <c r="W12" s="417"/>
      <c r="X12" s="417"/>
      <c r="Y12" s="417"/>
      <c r="Z12" s="417"/>
      <c r="AA12" s="417"/>
      <c r="AB12" s="417"/>
      <c r="AC12" s="417"/>
      <c r="AD12" s="417"/>
      <c r="AE12" s="417"/>
      <c r="AF12" s="417"/>
      <c r="AG12" s="417"/>
      <c r="AH12" s="461"/>
    </row>
    <row r="13" spans="1:34" ht="23.1" customHeight="1">
      <c r="A13" s="460"/>
      <c r="B13" s="417"/>
      <c r="C13" s="417"/>
      <c r="D13" s="417"/>
      <c r="E13" s="417"/>
      <c r="F13" s="417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61"/>
    </row>
    <row r="14" spans="1:34" ht="23.1" customHeight="1">
      <c r="A14" s="460"/>
      <c r="B14" s="417"/>
      <c r="C14" s="417"/>
      <c r="D14" s="417"/>
      <c r="E14" s="417"/>
      <c r="F14" s="417"/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417"/>
      <c r="T14" s="417"/>
      <c r="U14" s="417"/>
      <c r="V14" s="417"/>
      <c r="W14" s="417"/>
      <c r="X14" s="417"/>
      <c r="Y14" s="417"/>
      <c r="Z14" s="417"/>
      <c r="AA14" s="417"/>
      <c r="AB14" s="417"/>
      <c r="AC14" s="417"/>
      <c r="AD14" s="417"/>
      <c r="AE14" s="417"/>
      <c r="AF14" s="417"/>
      <c r="AG14" s="417"/>
      <c r="AH14" s="461"/>
    </row>
    <row r="15" spans="1:34" ht="23.1" customHeight="1">
      <c r="A15" s="460"/>
      <c r="B15" s="417"/>
      <c r="C15" s="417"/>
      <c r="D15" s="417"/>
      <c r="E15" s="417"/>
      <c r="F15" s="417"/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417"/>
      <c r="T15" s="417"/>
      <c r="U15" s="417"/>
      <c r="V15" s="417"/>
      <c r="W15" s="417"/>
      <c r="X15" s="417"/>
      <c r="Y15" s="417"/>
      <c r="Z15" s="417"/>
      <c r="AA15" s="417"/>
      <c r="AB15" s="417"/>
      <c r="AC15" s="417"/>
      <c r="AD15" s="417"/>
      <c r="AE15" s="417"/>
      <c r="AF15" s="417"/>
      <c r="AG15" s="417"/>
      <c r="AH15" s="461"/>
    </row>
    <row r="16" spans="1:34" ht="23.1" customHeight="1">
      <c r="A16" s="460"/>
      <c r="B16" s="417"/>
      <c r="C16" s="417"/>
      <c r="D16" s="417"/>
      <c r="E16" s="417"/>
      <c r="F16" s="417"/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417"/>
      <c r="AG16" s="417"/>
      <c r="AH16" s="461"/>
    </row>
    <row r="17" spans="1:34" ht="23.1" customHeight="1">
      <c r="A17" s="460"/>
      <c r="B17" s="417"/>
      <c r="C17" s="417"/>
      <c r="D17" s="417"/>
      <c r="E17" s="417"/>
      <c r="F17" s="417"/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417"/>
      <c r="T17" s="417"/>
      <c r="U17" s="417"/>
      <c r="V17" s="417"/>
      <c r="W17" s="417"/>
      <c r="X17" s="417"/>
      <c r="Y17" s="417"/>
      <c r="Z17" s="417"/>
      <c r="AA17" s="417"/>
      <c r="AB17" s="417"/>
      <c r="AC17" s="417"/>
      <c r="AD17" s="417"/>
      <c r="AE17" s="417"/>
      <c r="AF17" s="417"/>
      <c r="AG17" s="417"/>
      <c r="AH17" s="461"/>
    </row>
    <row r="18" spans="1:34" ht="23.1" customHeight="1">
      <c r="A18" s="460"/>
      <c r="B18" s="417"/>
      <c r="C18" s="417"/>
      <c r="D18" s="417"/>
      <c r="E18" s="417"/>
      <c r="F18" s="417"/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417"/>
      <c r="T18" s="417"/>
      <c r="U18" s="417"/>
      <c r="V18" s="417"/>
      <c r="W18" s="417"/>
      <c r="X18" s="417"/>
      <c r="Y18" s="417"/>
      <c r="Z18" s="417"/>
      <c r="AA18" s="417"/>
      <c r="AB18" s="417"/>
      <c r="AC18" s="417"/>
      <c r="AD18" s="417"/>
      <c r="AE18" s="417"/>
      <c r="AF18" s="417"/>
      <c r="AG18" s="417"/>
      <c r="AH18" s="461"/>
    </row>
    <row r="19" spans="1:34" ht="23.1" customHeight="1" thickBot="1">
      <c r="A19" s="462"/>
      <c r="B19" s="463"/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63"/>
      <c r="AG19" s="463"/>
      <c r="AH19" s="46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0"/>
  <sheetViews>
    <sheetView zoomScaleNormal="100" workbookViewId="0">
      <selection activeCell="P21" sqref="P21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4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393</v>
      </c>
      <c r="F1" s="39"/>
      <c r="J1" s="68"/>
    </row>
    <row r="2" spans="1:18" s="77" customFormat="1" ht="23.1" customHeight="1">
      <c r="A2" s="509" t="s">
        <v>0</v>
      </c>
      <c r="B2" s="511" t="s">
        <v>39</v>
      </c>
      <c r="C2" s="511" t="s">
        <v>6</v>
      </c>
      <c r="D2" s="511" t="s">
        <v>38</v>
      </c>
      <c r="E2" s="511" t="s">
        <v>206</v>
      </c>
      <c r="F2" s="511" t="s">
        <v>205</v>
      </c>
      <c r="G2" s="515" t="s">
        <v>1</v>
      </c>
      <c r="H2" s="515" t="s">
        <v>2</v>
      </c>
      <c r="I2" s="515" t="s">
        <v>174</v>
      </c>
      <c r="J2" s="519" t="s">
        <v>282</v>
      </c>
      <c r="K2" s="515" t="s">
        <v>281</v>
      </c>
      <c r="L2" s="515" t="s">
        <v>3</v>
      </c>
      <c r="M2" s="515" t="s">
        <v>4</v>
      </c>
      <c r="N2" s="515" t="s">
        <v>5</v>
      </c>
      <c r="O2" s="515" t="s">
        <v>280</v>
      </c>
      <c r="P2" s="517" t="s">
        <v>279</v>
      </c>
      <c r="Q2" s="511" t="s">
        <v>160</v>
      </c>
      <c r="R2" s="513" t="s">
        <v>93</v>
      </c>
    </row>
    <row r="3" spans="1:18" s="77" customFormat="1" ht="27" customHeight="1">
      <c r="A3" s="510"/>
      <c r="B3" s="512"/>
      <c r="C3" s="512"/>
      <c r="D3" s="512"/>
      <c r="E3" s="512"/>
      <c r="F3" s="512"/>
      <c r="G3" s="516"/>
      <c r="H3" s="516"/>
      <c r="I3" s="516"/>
      <c r="J3" s="520"/>
      <c r="K3" s="516"/>
      <c r="L3" s="516"/>
      <c r="M3" s="516"/>
      <c r="N3" s="516"/>
      <c r="O3" s="516"/>
      <c r="P3" s="518"/>
      <c r="Q3" s="512"/>
      <c r="R3" s="514"/>
    </row>
    <row r="4" spans="1:18" ht="23.1" customHeight="1">
      <c r="A4" s="500" t="s">
        <v>262</v>
      </c>
      <c r="B4" s="471" t="s">
        <v>389</v>
      </c>
      <c r="C4" s="472"/>
      <c r="D4" s="471" t="s">
        <v>390</v>
      </c>
      <c r="E4" s="471" t="s">
        <v>391</v>
      </c>
      <c r="F4" s="471" t="s">
        <v>392</v>
      </c>
      <c r="G4" s="471">
        <v>200</v>
      </c>
      <c r="H4" s="471">
        <v>400</v>
      </c>
      <c r="I4" s="471">
        <v>10</v>
      </c>
      <c r="J4" s="471">
        <v>45</v>
      </c>
      <c r="K4" s="471">
        <v>273</v>
      </c>
      <c r="L4" s="471">
        <v>3</v>
      </c>
      <c r="M4" s="471">
        <v>50</v>
      </c>
      <c r="N4" s="473">
        <v>50</v>
      </c>
      <c r="O4" s="474">
        <v>24.9</v>
      </c>
      <c r="P4" s="506">
        <v>1639050</v>
      </c>
      <c r="Q4" s="501"/>
      <c r="R4" s="502"/>
    </row>
    <row r="5" spans="1:18" ht="23.1" customHeight="1">
      <c r="A5" s="500" t="s">
        <v>272</v>
      </c>
      <c r="B5" s="471" t="s">
        <v>389</v>
      </c>
      <c r="C5" s="472"/>
      <c r="D5" s="471" t="s">
        <v>390</v>
      </c>
      <c r="E5" s="471" t="s">
        <v>391</v>
      </c>
      <c r="F5" s="471" t="s">
        <v>392</v>
      </c>
      <c r="G5" s="471">
        <v>200</v>
      </c>
      <c r="H5" s="471">
        <v>400</v>
      </c>
      <c r="I5" s="471">
        <v>10</v>
      </c>
      <c r="J5" s="471">
        <v>45</v>
      </c>
      <c r="K5" s="471">
        <v>273</v>
      </c>
      <c r="L5" s="471">
        <v>3</v>
      </c>
      <c r="M5" s="471">
        <v>50</v>
      </c>
      <c r="N5" s="473">
        <v>50</v>
      </c>
      <c r="O5" s="474">
        <v>24.9</v>
      </c>
      <c r="P5" s="506">
        <v>1639050</v>
      </c>
      <c r="Q5" s="501"/>
      <c r="R5" s="502"/>
    </row>
    <row r="6" spans="1:18" ht="23.1" customHeight="1">
      <c r="A6" s="500" t="s">
        <v>273</v>
      </c>
      <c r="B6" s="471" t="s">
        <v>389</v>
      </c>
      <c r="C6" s="472"/>
      <c r="D6" s="471" t="s">
        <v>390</v>
      </c>
      <c r="E6" s="471" t="s">
        <v>391</v>
      </c>
      <c r="F6" s="471" t="s">
        <v>392</v>
      </c>
      <c r="G6" s="471">
        <v>200</v>
      </c>
      <c r="H6" s="471">
        <v>500</v>
      </c>
      <c r="I6" s="471">
        <v>10</v>
      </c>
      <c r="J6" s="471">
        <v>69</v>
      </c>
      <c r="K6" s="471">
        <v>417</v>
      </c>
      <c r="L6" s="471">
        <v>5</v>
      </c>
      <c r="M6" s="471">
        <v>50</v>
      </c>
      <c r="N6" s="473">
        <v>50</v>
      </c>
      <c r="O6" s="474">
        <v>24.9</v>
      </c>
      <c r="P6" s="506">
        <v>1639050</v>
      </c>
      <c r="Q6" s="501"/>
      <c r="R6" s="502"/>
    </row>
    <row r="7" spans="1:18" ht="23.1" customHeight="1">
      <c r="A7" s="500" t="s">
        <v>386</v>
      </c>
      <c r="B7" s="471" t="s">
        <v>389</v>
      </c>
      <c r="C7" s="472"/>
      <c r="D7" s="471" t="s">
        <v>390</v>
      </c>
      <c r="E7" s="471" t="s">
        <v>391</v>
      </c>
      <c r="F7" s="471" t="s">
        <v>392</v>
      </c>
      <c r="G7" s="471">
        <v>200</v>
      </c>
      <c r="H7" s="471">
        <v>500</v>
      </c>
      <c r="I7" s="471">
        <v>10</v>
      </c>
      <c r="J7" s="471">
        <v>69</v>
      </c>
      <c r="K7" s="471">
        <v>417</v>
      </c>
      <c r="L7" s="471">
        <v>5</v>
      </c>
      <c r="M7" s="471">
        <v>50</v>
      </c>
      <c r="N7" s="473">
        <v>50</v>
      </c>
      <c r="O7" s="474">
        <v>24.9</v>
      </c>
      <c r="P7" s="506">
        <v>1639050</v>
      </c>
      <c r="Q7" s="501"/>
      <c r="R7" s="502"/>
    </row>
    <row r="8" spans="1:18" ht="23.1" customHeight="1">
      <c r="A8" s="500" t="s">
        <v>387</v>
      </c>
      <c r="B8" s="471" t="s">
        <v>389</v>
      </c>
      <c r="C8" s="472"/>
      <c r="D8" s="471" t="s">
        <v>390</v>
      </c>
      <c r="E8" s="471" t="s">
        <v>391</v>
      </c>
      <c r="F8" s="471" t="s">
        <v>392</v>
      </c>
      <c r="G8" s="471">
        <v>200</v>
      </c>
      <c r="H8" s="471">
        <v>500</v>
      </c>
      <c r="I8" s="471">
        <v>10</v>
      </c>
      <c r="J8" s="471">
        <v>69</v>
      </c>
      <c r="K8" s="471">
        <v>417</v>
      </c>
      <c r="L8" s="471">
        <v>5</v>
      </c>
      <c r="M8" s="471">
        <v>50</v>
      </c>
      <c r="N8" s="473">
        <v>50</v>
      </c>
      <c r="O8" s="474">
        <v>24.9</v>
      </c>
      <c r="P8" s="506">
        <v>1639050</v>
      </c>
      <c r="Q8" s="501"/>
      <c r="R8" s="502"/>
    </row>
    <row r="9" spans="1:18" ht="23.1" customHeight="1" thickBot="1">
      <c r="A9" s="503" t="s">
        <v>388</v>
      </c>
      <c r="B9" s="475" t="s">
        <v>389</v>
      </c>
      <c r="C9" s="476"/>
      <c r="D9" s="475" t="s">
        <v>390</v>
      </c>
      <c r="E9" s="475" t="s">
        <v>391</v>
      </c>
      <c r="F9" s="475" t="s">
        <v>392</v>
      </c>
      <c r="G9" s="475">
        <v>200</v>
      </c>
      <c r="H9" s="475">
        <v>500</v>
      </c>
      <c r="I9" s="475">
        <v>10</v>
      </c>
      <c r="J9" s="475">
        <v>69</v>
      </c>
      <c r="K9" s="475">
        <v>417</v>
      </c>
      <c r="L9" s="475">
        <v>5</v>
      </c>
      <c r="M9" s="475">
        <v>50</v>
      </c>
      <c r="N9" s="477">
        <v>50</v>
      </c>
      <c r="O9" s="478">
        <v>24.9</v>
      </c>
      <c r="P9" s="507">
        <v>1639050</v>
      </c>
      <c r="Q9" s="504"/>
      <c r="R9" s="505"/>
    </row>
    <row r="10" spans="1:18" ht="23.25" customHeight="1" thickBot="1">
      <c r="A10" s="321"/>
      <c r="J10" s="352"/>
      <c r="P10" s="353"/>
    </row>
    <row r="11" spans="1:18" ht="23.25" customHeight="1" thickBot="1">
      <c r="I11" s="374">
        <f>SUM(I4:I10)</f>
        <v>60</v>
      </c>
    </row>
    <row r="15" spans="1:18">
      <c r="Q15" s="37" t="s">
        <v>337</v>
      </c>
    </row>
    <row r="20" spans="14:14">
      <c r="N20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7" customWidth="1"/>
    <col min="10" max="10" width="11.77734375" style="37" customWidth="1"/>
    <col min="11" max="11" width="11.77734375" style="32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237</v>
      </c>
    </row>
    <row r="2" spans="7:19" ht="29.25" customHeight="1">
      <c r="G2" s="420" t="s">
        <v>211</v>
      </c>
      <c r="H2" s="421" t="s">
        <v>208</v>
      </c>
      <c r="I2" s="422" t="s">
        <v>217</v>
      </c>
      <c r="J2" s="421" t="s">
        <v>209</v>
      </c>
      <c r="K2" s="423" t="s">
        <v>210</v>
      </c>
      <c r="M2" s="426"/>
      <c r="N2" s="427" t="s">
        <v>215</v>
      </c>
      <c r="O2" s="423" t="s">
        <v>216</v>
      </c>
      <c r="Q2" s="420" t="s">
        <v>211</v>
      </c>
      <c r="R2" s="427" t="s">
        <v>219</v>
      </c>
      <c r="S2" s="423" t="s">
        <v>220</v>
      </c>
    </row>
    <row r="3" spans="7:19" ht="20.100000000000001" customHeight="1">
      <c r="G3" s="402" t="s">
        <v>232</v>
      </c>
      <c r="H3" s="390">
        <v>51</v>
      </c>
      <c r="I3" s="424">
        <v>46.41</v>
      </c>
      <c r="J3" s="390">
        <v>45</v>
      </c>
      <c r="K3" s="425">
        <v>0.90196078431372551</v>
      </c>
      <c r="M3" s="428" t="s">
        <v>210</v>
      </c>
      <c r="N3" s="429">
        <v>0.89090909090909087</v>
      </c>
      <c r="O3" s="430">
        <v>0.90196078431372551</v>
      </c>
      <c r="Q3" s="436" t="s">
        <v>232</v>
      </c>
      <c r="R3" s="437">
        <v>5.5110000000000001E-4</v>
      </c>
      <c r="S3" s="438">
        <v>6.2558199999999994E-2</v>
      </c>
    </row>
    <row r="4" spans="7:19" ht="20.100000000000001" customHeight="1">
      <c r="G4" s="402" t="s">
        <v>233</v>
      </c>
      <c r="H4" s="390">
        <v>55</v>
      </c>
      <c r="I4" s="424">
        <v>49.7</v>
      </c>
      <c r="J4" s="390">
        <v>48</v>
      </c>
      <c r="K4" s="425">
        <v>0.89090909090909087</v>
      </c>
      <c r="M4" s="428" t="s">
        <v>217</v>
      </c>
      <c r="N4" s="431">
        <v>46.41</v>
      </c>
      <c r="O4" s="432">
        <v>76.099999999999994</v>
      </c>
      <c r="Q4" s="436" t="s">
        <v>233</v>
      </c>
      <c r="R4" s="437">
        <v>4.0079999999999998E-4</v>
      </c>
      <c r="S4" s="438">
        <v>5.0910299999999999E-2</v>
      </c>
    </row>
    <row r="5" spans="7:19" ht="20.100000000000001" customHeight="1" thickBot="1">
      <c r="G5" s="402" t="s">
        <v>234</v>
      </c>
      <c r="H5" s="390">
        <v>79</v>
      </c>
      <c r="I5" s="424">
        <v>71.13</v>
      </c>
      <c r="J5" s="390">
        <v>69</v>
      </c>
      <c r="K5" s="425">
        <v>0.89873417721518989</v>
      </c>
      <c r="M5" s="433" t="s">
        <v>218</v>
      </c>
      <c r="N5" s="434">
        <v>45</v>
      </c>
      <c r="O5" s="435">
        <v>74</v>
      </c>
      <c r="Q5" s="436" t="s">
        <v>234</v>
      </c>
      <c r="R5" s="437">
        <v>2.163E-4</v>
      </c>
      <c r="S5" s="438">
        <v>3.9691200000000003E-2</v>
      </c>
    </row>
    <row r="6" spans="7:19" ht="20.100000000000001" customHeight="1">
      <c r="G6" s="402" t="s">
        <v>380</v>
      </c>
      <c r="H6" s="390">
        <v>85</v>
      </c>
      <c r="I6" s="390">
        <v>76.099999999999994</v>
      </c>
      <c r="J6" s="390">
        <v>74</v>
      </c>
      <c r="K6" s="391">
        <v>0.89411764705882357</v>
      </c>
      <c r="Q6" s="436" t="s">
        <v>380</v>
      </c>
      <c r="R6" s="437">
        <v>1.9139999999999999E-4</v>
      </c>
      <c r="S6" s="438">
        <v>4.0216399999999999E-2</v>
      </c>
    </row>
    <row r="7" spans="7:19" ht="20.100000000000001" customHeight="1">
      <c r="G7" s="402" t="s">
        <v>382</v>
      </c>
      <c r="H7" s="390">
        <v>83</v>
      </c>
      <c r="I7" s="390">
        <v>74.489999999999995</v>
      </c>
      <c r="J7" s="390">
        <v>73</v>
      </c>
      <c r="K7" s="391">
        <v>0.89156626506024095</v>
      </c>
      <c r="Q7" s="436" t="s">
        <v>382</v>
      </c>
      <c r="R7" s="437">
        <v>2.108E-4</v>
      </c>
      <c r="S7" s="438">
        <v>4.1404400000000001E-2</v>
      </c>
    </row>
    <row r="8" spans="7:19" ht="20.100000000000001" customHeight="1">
      <c r="G8" s="402" t="s">
        <v>384</v>
      </c>
      <c r="H8" s="390">
        <v>77</v>
      </c>
      <c r="I8" s="390">
        <v>69.61</v>
      </c>
      <c r="J8" s="390">
        <v>67</v>
      </c>
      <c r="K8" s="391">
        <v>0.89610389610389607</v>
      </c>
      <c r="Q8" s="402" t="s">
        <v>384</v>
      </c>
      <c r="R8" s="390">
        <v>2.3379999999999999E-4</v>
      </c>
      <c r="S8" s="391">
        <v>4.19589E-2</v>
      </c>
    </row>
    <row r="9" spans="7:19" ht="20.100000000000001" customHeight="1">
      <c r="G9" s="402"/>
      <c r="H9" s="390"/>
      <c r="I9" s="390"/>
      <c r="J9" s="390"/>
      <c r="K9" s="391"/>
      <c r="Q9" s="402"/>
      <c r="R9" s="390"/>
      <c r="S9" s="391"/>
    </row>
    <row r="10" spans="7:19" ht="20.100000000000001" customHeight="1">
      <c r="G10" s="402"/>
      <c r="H10" s="390"/>
      <c r="I10" s="390"/>
      <c r="J10" s="390"/>
      <c r="K10" s="391"/>
      <c r="Q10" s="402"/>
      <c r="R10" s="390"/>
      <c r="S10" s="391"/>
    </row>
    <row r="11" spans="7:19" ht="20.100000000000001" customHeight="1">
      <c r="G11" s="402"/>
      <c r="H11" s="390"/>
      <c r="I11" s="390"/>
      <c r="J11" s="390"/>
      <c r="K11" s="391"/>
      <c r="Q11" s="402"/>
      <c r="R11" s="390"/>
      <c r="S11" s="391"/>
    </row>
    <row r="12" spans="7:19" ht="20.100000000000001" customHeight="1">
      <c r="G12" s="402"/>
      <c r="H12" s="390"/>
      <c r="I12" s="390"/>
      <c r="J12" s="390"/>
      <c r="K12" s="391"/>
      <c r="Q12" s="402"/>
      <c r="R12" s="390"/>
      <c r="S12" s="391"/>
    </row>
    <row r="13" spans="7:19" ht="20.100000000000001" customHeight="1">
      <c r="G13" s="402"/>
      <c r="H13" s="390"/>
      <c r="I13" s="390"/>
      <c r="J13" s="390"/>
      <c r="K13" s="391"/>
      <c r="Q13" s="402"/>
      <c r="R13" s="390"/>
      <c r="S13" s="391"/>
    </row>
    <row r="14" spans="7:19" ht="20.100000000000001" customHeight="1">
      <c r="G14" s="402"/>
      <c r="H14" s="390"/>
      <c r="I14" s="390"/>
      <c r="J14" s="390"/>
      <c r="K14" s="391"/>
      <c r="Q14" s="402"/>
      <c r="R14" s="390"/>
      <c r="S14" s="391"/>
    </row>
    <row r="15" spans="7:19" ht="20.100000000000001" customHeight="1">
      <c r="G15" s="402"/>
      <c r="H15" s="390"/>
      <c r="I15" s="390"/>
      <c r="J15" s="390"/>
      <c r="K15" s="391"/>
      <c r="Q15" s="402"/>
      <c r="R15" s="390"/>
      <c r="S15" s="391"/>
    </row>
    <row r="16" spans="7:19" ht="20.100000000000001" customHeight="1">
      <c r="G16" s="402"/>
      <c r="H16" s="390"/>
      <c r="I16" s="390"/>
      <c r="J16" s="390"/>
      <c r="K16" s="391"/>
      <c r="Q16" s="402"/>
      <c r="R16" s="390"/>
      <c r="S16" s="391"/>
    </row>
    <row r="17" spans="6:19" ht="20.100000000000001" customHeight="1">
      <c r="G17" s="402"/>
      <c r="H17" s="390"/>
      <c r="I17" s="390"/>
      <c r="J17" s="390"/>
      <c r="K17" s="391"/>
      <c r="Q17" s="402"/>
      <c r="R17" s="390"/>
      <c r="S17" s="391"/>
    </row>
    <row r="18" spans="6:19" ht="20.100000000000001" customHeight="1">
      <c r="G18" s="402"/>
      <c r="H18" s="390"/>
      <c r="I18" s="390"/>
      <c r="J18" s="390"/>
      <c r="K18" s="391"/>
      <c r="Q18" s="402"/>
      <c r="R18" s="390"/>
      <c r="S18" s="391"/>
    </row>
    <row r="19" spans="6:19" ht="20.100000000000001" customHeight="1" thickBot="1">
      <c r="G19" s="404"/>
      <c r="H19" s="371"/>
      <c r="I19" s="371"/>
      <c r="J19" s="371"/>
      <c r="K19" s="372"/>
      <c r="Q19" s="404"/>
      <c r="R19" s="371"/>
      <c r="S19" s="372"/>
    </row>
    <row r="22" spans="6:19" ht="20.100000000000001" customHeight="1">
      <c r="M22" s="327"/>
      <c r="N22" s="327"/>
      <c r="O22" s="327"/>
      <c r="P22" s="327"/>
      <c r="Q22" s="327"/>
      <c r="R22" s="327"/>
      <c r="S22" s="327"/>
    </row>
    <row r="23" spans="6:19" ht="20.100000000000001" customHeight="1">
      <c r="M23" s="424"/>
      <c r="N23" s="424"/>
      <c r="O23" s="424"/>
      <c r="P23" s="484"/>
      <c r="Q23" s="485"/>
      <c r="R23" s="327"/>
      <c r="S23" s="327"/>
    </row>
    <row r="24" spans="6:19" ht="20.100000000000001" customHeight="1">
      <c r="M24" s="390"/>
      <c r="N24" s="390"/>
      <c r="O24" s="390"/>
      <c r="P24" s="486"/>
      <c r="Q24" s="487"/>
      <c r="R24" s="327"/>
      <c r="S24" s="327"/>
    </row>
    <row r="25" spans="6:19" ht="20.100000000000001" customHeight="1" thickBot="1">
      <c r="M25" s="327"/>
      <c r="N25" s="327"/>
      <c r="O25" s="327"/>
      <c r="P25" s="327"/>
      <c r="Q25" s="327"/>
      <c r="R25" s="327"/>
      <c r="S25" s="327"/>
    </row>
    <row r="26" spans="6:19" ht="27" customHeight="1" thickBot="1">
      <c r="G26" s="481" t="s">
        <v>245</v>
      </c>
      <c r="H26" s="482"/>
      <c r="I26" s="483"/>
    </row>
    <row r="27" spans="6:19" ht="15.95" customHeight="1">
      <c r="F27" s="529" t="s">
        <v>232</v>
      </c>
      <c r="G27" s="527">
        <v>51</v>
      </c>
      <c r="H27" s="480">
        <v>4.63</v>
      </c>
      <c r="I27" s="528">
        <v>46.41</v>
      </c>
    </row>
    <row r="28" spans="6:19" ht="15.95" customHeight="1">
      <c r="F28" s="521"/>
      <c r="G28" s="522"/>
      <c r="H28" s="390">
        <v>2.17</v>
      </c>
      <c r="I28" s="523"/>
      <c r="K28" s="37"/>
    </row>
    <row r="29" spans="6:19" ht="15.95" customHeight="1">
      <c r="F29" s="521" t="s">
        <v>233</v>
      </c>
      <c r="G29" s="522">
        <v>55</v>
      </c>
      <c r="H29" s="390">
        <v>4.03</v>
      </c>
      <c r="I29" s="523">
        <v>49.7</v>
      </c>
    </row>
    <row r="30" spans="6:19" ht="15.95" customHeight="1">
      <c r="F30" s="521"/>
      <c r="G30" s="522"/>
      <c r="H30" s="390">
        <v>1.89</v>
      </c>
      <c r="I30" s="523"/>
    </row>
    <row r="31" spans="6:19" ht="15.95" customHeight="1">
      <c r="F31" s="521" t="s">
        <v>234</v>
      </c>
      <c r="G31" s="522">
        <v>79</v>
      </c>
      <c r="H31" s="390">
        <v>4.51</v>
      </c>
      <c r="I31" s="523">
        <v>71.13</v>
      </c>
    </row>
    <row r="32" spans="6:19" ht="15.95" customHeight="1">
      <c r="F32" s="521"/>
      <c r="G32" s="522"/>
      <c r="H32" s="390">
        <v>2.12</v>
      </c>
      <c r="I32" s="523"/>
    </row>
    <row r="33" spans="6:9" ht="15.95" customHeight="1">
      <c r="F33" s="521" t="s">
        <v>380</v>
      </c>
      <c r="G33" s="522">
        <v>85</v>
      </c>
      <c r="H33" s="390">
        <v>4.83</v>
      </c>
      <c r="I33" s="523">
        <v>76.099999999999994</v>
      </c>
    </row>
    <row r="34" spans="6:9" ht="15.95" customHeight="1">
      <c r="F34" s="521"/>
      <c r="G34" s="522"/>
      <c r="H34" s="390">
        <v>2.27</v>
      </c>
      <c r="I34" s="523"/>
    </row>
    <row r="35" spans="6:9" ht="15.95" customHeight="1">
      <c r="F35" s="521" t="s">
        <v>382</v>
      </c>
      <c r="G35" s="522">
        <v>83</v>
      </c>
      <c r="H35" s="390">
        <v>4.92</v>
      </c>
      <c r="I35" s="523">
        <v>74.489999999999995</v>
      </c>
    </row>
    <row r="36" spans="6:9" ht="15.95" customHeight="1">
      <c r="F36" s="521"/>
      <c r="G36" s="522"/>
      <c r="H36" s="390">
        <v>2.31</v>
      </c>
      <c r="I36" s="523"/>
    </row>
    <row r="37" spans="6:9" ht="15.95" customHeight="1">
      <c r="F37" s="521" t="s">
        <v>384</v>
      </c>
      <c r="G37" s="522">
        <v>77</v>
      </c>
      <c r="H37" s="390">
        <v>4.63</v>
      </c>
      <c r="I37" s="523">
        <v>69.61</v>
      </c>
    </row>
    <row r="38" spans="6:9" ht="15.95" customHeight="1">
      <c r="F38" s="521"/>
      <c r="G38" s="522"/>
      <c r="H38" s="390">
        <v>2.17</v>
      </c>
      <c r="I38" s="523"/>
    </row>
    <row r="39" spans="6:9" ht="15.95" customHeight="1">
      <c r="F39" s="521"/>
      <c r="G39" s="522"/>
      <c r="H39" s="390"/>
      <c r="I39" s="523"/>
    </row>
    <row r="40" spans="6:9" ht="15.95" customHeight="1">
      <c r="F40" s="521"/>
      <c r="G40" s="522"/>
      <c r="H40" s="390"/>
      <c r="I40" s="523"/>
    </row>
    <row r="41" spans="6:9" ht="15.95" customHeight="1">
      <c r="F41" s="521"/>
      <c r="G41" s="522"/>
      <c r="H41" s="390"/>
      <c r="I41" s="523"/>
    </row>
    <row r="42" spans="6:9" ht="15.95" customHeight="1">
      <c r="F42" s="521"/>
      <c r="G42" s="522"/>
      <c r="H42" s="390"/>
      <c r="I42" s="523"/>
    </row>
    <row r="43" spans="6:9" ht="15.95" customHeight="1">
      <c r="F43" s="521"/>
      <c r="G43" s="522"/>
      <c r="H43" s="390"/>
      <c r="I43" s="523"/>
    </row>
    <row r="44" spans="6:9" ht="15.95" customHeight="1">
      <c r="F44" s="521"/>
      <c r="G44" s="522"/>
      <c r="H44" s="390"/>
      <c r="I44" s="523"/>
    </row>
    <row r="45" spans="6:9" ht="15.95" customHeight="1">
      <c r="F45" s="521"/>
      <c r="G45" s="522"/>
      <c r="H45" s="390"/>
      <c r="I45" s="523"/>
    </row>
    <row r="46" spans="6:9" ht="15.95" customHeight="1">
      <c r="F46" s="521"/>
      <c r="G46" s="522"/>
      <c r="H46" s="390"/>
      <c r="I46" s="523"/>
    </row>
    <row r="47" spans="6:9" ht="15.95" customHeight="1">
      <c r="F47" s="521"/>
      <c r="G47" s="522"/>
      <c r="H47" s="390"/>
      <c r="I47" s="523"/>
    </row>
    <row r="48" spans="6:9" ht="15.95" customHeight="1">
      <c r="F48" s="521"/>
      <c r="G48" s="522"/>
      <c r="H48" s="390"/>
      <c r="I48" s="523"/>
    </row>
    <row r="49" spans="6:9" ht="15.95" customHeight="1">
      <c r="F49" s="521"/>
      <c r="G49" s="522"/>
      <c r="H49" s="390"/>
      <c r="I49" s="523"/>
    </row>
    <row r="50" spans="6:9" ht="15.95" customHeight="1" thickBot="1">
      <c r="F50" s="524"/>
      <c r="G50" s="525"/>
      <c r="H50" s="371"/>
      <c r="I50" s="526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29" t="s">
        <v>338</v>
      </c>
      <c r="L1" s="329" t="s">
        <v>240</v>
      </c>
      <c r="S1" s="329" t="s">
        <v>241</v>
      </c>
    </row>
    <row r="2" spans="4:21" ht="36.75" customHeight="1">
      <c r="D2" s="399" t="s">
        <v>221</v>
      </c>
      <c r="E2" s="400" t="s">
        <v>218</v>
      </c>
      <c r="F2" s="400" t="s">
        <v>225</v>
      </c>
      <c r="G2" s="400" t="s">
        <v>226</v>
      </c>
      <c r="H2" s="400" t="s">
        <v>165</v>
      </c>
      <c r="I2" s="400" t="s">
        <v>227</v>
      </c>
      <c r="J2" s="401" t="s">
        <v>228</v>
      </c>
      <c r="L2" s="399" t="s">
        <v>218</v>
      </c>
      <c r="M2" s="400" t="s">
        <v>222</v>
      </c>
      <c r="N2" s="400" t="s">
        <v>223</v>
      </c>
      <c r="O2" s="400" t="s">
        <v>224</v>
      </c>
      <c r="P2" s="400" t="s">
        <v>243</v>
      </c>
      <c r="Q2" s="401" t="s">
        <v>244</v>
      </c>
      <c r="S2" s="399" t="s">
        <v>226</v>
      </c>
      <c r="T2" s="400" t="s">
        <v>229</v>
      </c>
      <c r="U2" s="401" t="s">
        <v>230</v>
      </c>
    </row>
    <row r="3" spans="4:21" ht="20.100000000000001" customHeight="1">
      <c r="D3" s="402" t="s">
        <v>232</v>
      </c>
      <c r="E3" s="390">
        <v>45</v>
      </c>
      <c r="F3" s="390">
        <v>4.32</v>
      </c>
      <c r="G3" s="390">
        <v>9.5299999999999994</v>
      </c>
      <c r="H3" s="390">
        <v>5.2099999999999991</v>
      </c>
      <c r="I3" s="390">
        <v>0.1</v>
      </c>
      <c r="J3" s="403">
        <v>0.9975730028124028</v>
      </c>
      <c r="K3" s="37"/>
      <c r="L3" s="402">
        <v>45</v>
      </c>
      <c r="M3" s="390">
        <v>0.1</v>
      </c>
      <c r="N3" s="390">
        <v>0.1</v>
      </c>
      <c r="O3" s="390">
        <v>370</v>
      </c>
      <c r="P3" s="390">
        <v>6.7590000000000003</v>
      </c>
      <c r="Q3" s="391">
        <v>8.7010000000000004E-2</v>
      </c>
      <c r="S3" s="406">
        <v>9.5299999999999994</v>
      </c>
      <c r="T3" s="407">
        <v>5.7111294499956422</v>
      </c>
      <c r="U3" s="403">
        <v>3.8188705500043572</v>
      </c>
    </row>
    <row r="4" spans="4:21" ht="20.100000000000001" customHeight="1">
      <c r="D4" s="402" t="s">
        <v>233</v>
      </c>
      <c r="E4" s="390">
        <v>48</v>
      </c>
      <c r="F4" s="390">
        <v>4.51</v>
      </c>
      <c r="G4" s="390">
        <v>9.0399999999999991</v>
      </c>
      <c r="H4" s="390">
        <v>4.5299999999999994</v>
      </c>
      <c r="I4" s="390">
        <v>0.1</v>
      </c>
      <c r="J4" s="403">
        <v>1.0622646082955107</v>
      </c>
      <c r="K4" s="37"/>
      <c r="L4" s="402">
        <v>48</v>
      </c>
      <c r="M4" s="390">
        <v>0.1</v>
      </c>
      <c r="N4" s="390">
        <v>0.1</v>
      </c>
      <c r="O4" s="390">
        <v>370</v>
      </c>
      <c r="P4" s="390">
        <v>8.7629999999999999</v>
      </c>
      <c r="Q4" s="391">
        <v>6.4490000000000006E-2</v>
      </c>
      <c r="S4" s="406">
        <v>9.0399999999999991</v>
      </c>
      <c r="T4" s="407">
        <v>5.862756534282946</v>
      </c>
      <c r="U4" s="403">
        <v>3.1772434657170532</v>
      </c>
    </row>
    <row r="5" spans="4:21" ht="20.100000000000001" customHeight="1">
      <c r="D5" s="402" t="s">
        <v>234</v>
      </c>
      <c r="E5" s="390">
        <v>69</v>
      </c>
      <c r="F5" s="390">
        <v>4.2699999999999996</v>
      </c>
      <c r="G5" s="390">
        <v>9.34</v>
      </c>
      <c r="H5" s="390">
        <v>5.07</v>
      </c>
      <c r="I5" s="390">
        <v>0.1</v>
      </c>
      <c r="J5" s="403">
        <v>1.5260823705401423</v>
      </c>
      <c r="K5" s="37"/>
      <c r="L5" s="402">
        <v>69</v>
      </c>
      <c r="M5" s="390">
        <v>0.1</v>
      </c>
      <c r="N5" s="390">
        <v>0.1</v>
      </c>
      <c r="O5" s="390">
        <v>470</v>
      </c>
      <c r="P5" s="390">
        <v>12.33</v>
      </c>
      <c r="Q5" s="391">
        <v>3.3669999999999999E-2</v>
      </c>
      <c r="S5" s="406">
        <v>9.34</v>
      </c>
      <c r="T5" s="407">
        <v>5.6535714503169823</v>
      </c>
      <c r="U5" s="403">
        <v>3.6864285496830176</v>
      </c>
    </row>
    <row r="6" spans="4:21" ht="20.100000000000001" customHeight="1">
      <c r="D6" s="402" t="s">
        <v>380</v>
      </c>
      <c r="E6" s="390">
        <v>74</v>
      </c>
      <c r="F6" s="390">
        <v>4.43</v>
      </c>
      <c r="G6" s="390">
        <v>9.86</v>
      </c>
      <c r="H6" s="390">
        <v>5.43</v>
      </c>
      <c r="I6" s="390">
        <v>0.1</v>
      </c>
      <c r="J6" s="403">
        <v>1.6350065417949722</v>
      </c>
      <c r="K6" s="37"/>
      <c r="L6" s="402">
        <v>74</v>
      </c>
      <c r="M6" s="390">
        <v>0.1</v>
      </c>
      <c r="N6" s="390">
        <v>0.1</v>
      </c>
      <c r="O6" s="390">
        <v>470</v>
      </c>
      <c r="P6" s="390">
        <v>12.34</v>
      </c>
      <c r="Q6" s="391">
        <v>3.3770000000000001E-2</v>
      </c>
      <c r="S6" s="406">
        <v>9.86</v>
      </c>
      <c r="T6" s="407">
        <v>5.8326843965160613</v>
      </c>
      <c r="U6" s="403">
        <v>4.0273156034839381</v>
      </c>
    </row>
    <row r="7" spans="4:21" ht="20.100000000000001" customHeight="1">
      <c r="D7" s="402" t="s">
        <v>382</v>
      </c>
      <c r="E7" s="390">
        <v>73</v>
      </c>
      <c r="F7" s="390">
        <v>4.72</v>
      </c>
      <c r="G7" s="390">
        <v>10.25</v>
      </c>
      <c r="H7" s="390">
        <v>5.53</v>
      </c>
      <c r="I7" s="390">
        <v>0.1</v>
      </c>
      <c r="J7" s="403">
        <v>1.6158552919326139</v>
      </c>
      <c r="K7" s="37"/>
      <c r="L7" s="402">
        <v>73</v>
      </c>
      <c r="M7" s="390">
        <v>0.1</v>
      </c>
      <c r="N7" s="390">
        <v>0.1</v>
      </c>
      <c r="O7" s="390">
        <v>470</v>
      </c>
      <c r="P7" s="390">
        <v>11.81</v>
      </c>
      <c r="Q7" s="391">
        <v>3.7280000000000001E-2</v>
      </c>
      <c r="S7" s="406">
        <v>10.25</v>
      </c>
      <c r="T7" s="407">
        <v>6.1278131783577532</v>
      </c>
      <c r="U7" s="403">
        <v>4.1221868216422468</v>
      </c>
    </row>
    <row r="8" spans="4:21" ht="20.100000000000001" customHeight="1">
      <c r="D8" s="402" t="s">
        <v>384</v>
      </c>
      <c r="E8" s="390">
        <v>67</v>
      </c>
      <c r="F8" s="390">
        <v>4.51</v>
      </c>
      <c r="G8" s="390">
        <v>9.7200000000000006</v>
      </c>
      <c r="H8" s="390">
        <v>5.2100000000000009</v>
      </c>
      <c r="I8" s="390">
        <v>0.1</v>
      </c>
      <c r="J8" s="403">
        <v>1.4872053629681403</v>
      </c>
      <c r="K8" s="37"/>
      <c r="L8" s="402">
        <v>67</v>
      </c>
      <c r="M8" s="390">
        <v>0.1</v>
      </c>
      <c r="N8" s="390">
        <v>0.1</v>
      </c>
      <c r="O8" s="390">
        <v>470</v>
      </c>
      <c r="P8" s="390">
        <v>11.39</v>
      </c>
      <c r="Q8" s="391">
        <v>4.0090000000000001E-2</v>
      </c>
      <c r="S8" s="402">
        <v>9.7200000000000006</v>
      </c>
      <c r="T8" s="407">
        <v>5.9011294499956417</v>
      </c>
      <c r="U8" s="403">
        <v>3.8188705500043589</v>
      </c>
    </row>
    <row r="9" spans="4:21" ht="20.100000000000001" customHeight="1">
      <c r="D9" s="402"/>
      <c r="E9" s="390"/>
      <c r="F9" s="390"/>
      <c r="G9" s="390"/>
      <c r="H9" s="390"/>
      <c r="I9" s="390"/>
      <c r="J9" s="403"/>
      <c r="K9" s="37"/>
      <c r="L9" s="402"/>
      <c r="M9" s="390"/>
      <c r="N9" s="390"/>
      <c r="O9" s="390"/>
      <c r="P9" s="390"/>
      <c r="Q9" s="391"/>
      <c r="S9" s="402"/>
      <c r="T9" s="407"/>
      <c r="U9" s="403"/>
    </row>
    <row r="10" spans="4:21" ht="20.100000000000001" customHeight="1">
      <c r="D10" s="402"/>
      <c r="E10" s="390"/>
      <c r="F10" s="390"/>
      <c r="G10" s="390"/>
      <c r="H10" s="390"/>
      <c r="I10" s="390"/>
      <c r="J10" s="403"/>
      <c r="K10" s="37"/>
      <c r="L10" s="402"/>
      <c r="M10" s="390"/>
      <c r="N10" s="390"/>
      <c r="O10" s="390"/>
      <c r="P10" s="390"/>
      <c r="Q10" s="391"/>
      <c r="S10" s="402"/>
      <c r="T10" s="407"/>
      <c r="U10" s="403"/>
    </row>
    <row r="11" spans="4:21" ht="20.100000000000001" customHeight="1">
      <c r="D11" s="402"/>
      <c r="E11" s="390"/>
      <c r="F11" s="390"/>
      <c r="G11" s="390"/>
      <c r="H11" s="390"/>
      <c r="I11" s="390"/>
      <c r="J11" s="403"/>
      <c r="K11" s="37"/>
      <c r="L11" s="402"/>
      <c r="M11" s="390"/>
      <c r="N11" s="390"/>
      <c r="O11" s="390"/>
      <c r="P11" s="390"/>
      <c r="Q11" s="391"/>
      <c r="S11" s="402"/>
      <c r="T11" s="407"/>
      <c r="U11" s="403"/>
    </row>
    <row r="12" spans="4:21" ht="20.100000000000001" customHeight="1">
      <c r="D12" s="402"/>
      <c r="E12" s="390"/>
      <c r="F12" s="390"/>
      <c r="G12" s="390"/>
      <c r="H12" s="390"/>
      <c r="I12" s="390"/>
      <c r="J12" s="403"/>
      <c r="K12" s="37"/>
      <c r="L12" s="402"/>
      <c r="M12" s="390"/>
      <c r="N12" s="390"/>
      <c r="O12" s="390"/>
      <c r="P12" s="390"/>
      <c r="Q12" s="391"/>
      <c r="S12" s="402"/>
      <c r="T12" s="407"/>
      <c r="U12" s="403"/>
    </row>
    <row r="13" spans="4:21" ht="20.100000000000001" customHeight="1">
      <c r="D13" s="402"/>
      <c r="E13" s="390"/>
      <c r="F13" s="390"/>
      <c r="G13" s="390"/>
      <c r="H13" s="390"/>
      <c r="I13" s="390"/>
      <c r="J13" s="403"/>
      <c r="K13" s="37"/>
      <c r="L13" s="402"/>
      <c r="M13" s="390"/>
      <c r="N13" s="390"/>
      <c r="O13" s="390"/>
      <c r="P13" s="390"/>
      <c r="Q13" s="391"/>
      <c r="S13" s="402"/>
      <c r="T13" s="407"/>
      <c r="U13" s="403"/>
    </row>
    <row r="14" spans="4:21" ht="20.100000000000001" customHeight="1">
      <c r="D14" s="402"/>
      <c r="E14" s="390"/>
      <c r="F14" s="390"/>
      <c r="G14" s="390"/>
      <c r="H14" s="390"/>
      <c r="I14" s="390"/>
      <c r="J14" s="403"/>
      <c r="K14" s="37"/>
      <c r="L14" s="402"/>
      <c r="M14" s="390"/>
      <c r="N14" s="390"/>
      <c r="O14" s="390"/>
      <c r="P14" s="390"/>
      <c r="Q14" s="391"/>
      <c r="S14" s="402"/>
      <c r="T14" s="407"/>
      <c r="U14" s="403"/>
    </row>
    <row r="15" spans="4:21" ht="20.100000000000001" customHeight="1">
      <c r="D15" s="402"/>
      <c r="E15" s="390"/>
      <c r="F15" s="390"/>
      <c r="G15" s="390"/>
      <c r="H15" s="390"/>
      <c r="I15" s="390"/>
      <c r="J15" s="403"/>
      <c r="K15" s="37"/>
      <c r="L15" s="402"/>
      <c r="M15" s="390"/>
      <c r="N15" s="390"/>
      <c r="O15" s="390"/>
      <c r="P15" s="390"/>
      <c r="Q15" s="391"/>
      <c r="S15" s="402"/>
      <c r="T15" s="407"/>
      <c r="U15" s="403"/>
    </row>
    <row r="16" spans="4:21" ht="20.100000000000001" customHeight="1" thickBot="1">
      <c r="D16" s="404"/>
      <c r="E16" s="371"/>
      <c r="F16" s="371"/>
      <c r="G16" s="371"/>
      <c r="H16" s="371"/>
      <c r="I16" s="371"/>
      <c r="J16" s="405"/>
      <c r="K16" s="37"/>
      <c r="L16" s="404"/>
      <c r="M16" s="371"/>
      <c r="N16" s="371"/>
      <c r="O16" s="371"/>
      <c r="P16" s="371"/>
      <c r="Q16" s="372"/>
      <c r="S16" s="404"/>
      <c r="T16" s="408"/>
      <c r="U16" s="405"/>
    </row>
    <row r="17" spans="3:21" ht="20.100000000000001" customHeight="1">
      <c r="D17" s="37"/>
      <c r="E17" s="37"/>
      <c r="F17" s="37"/>
      <c r="G17" s="37"/>
      <c r="H17" s="37"/>
      <c r="I17" s="37"/>
      <c r="J17" s="330"/>
      <c r="K17" s="37"/>
      <c r="L17" s="37"/>
      <c r="M17" s="37"/>
      <c r="N17" s="37"/>
      <c r="O17" s="37"/>
      <c r="P17" s="37"/>
      <c r="Q17" s="37"/>
      <c r="S17" s="37"/>
      <c r="T17" s="330"/>
      <c r="U17" s="330"/>
    </row>
    <row r="18" spans="3:21" ht="20.100000000000001" customHeight="1">
      <c r="D18" s="37"/>
      <c r="E18" s="37"/>
      <c r="F18" s="37"/>
      <c r="G18" s="37"/>
      <c r="H18" s="37"/>
      <c r="I18" s="37"/>
      <c r="J18" s="330"/>
      <c r="K18" s="37"/>
      <c r="L18" s="37"/>
      <c r="M18" s="37"/>
      <c r="N18" s="37"/>
      <c r="O18" s="37"/>
      <c r="P18" s="37"/>
      <c r="Q18" s="37"/>
      <c r="S18" s="37"/>
      <c r="T18" s="330"/>
      <c r="U18" s="330"/>
    </row>
    <row r="19" spans="3:21" ht="20.100000000000001" customHeight="1">
      <c r="H19" s="331"/>
      <c r="J19" s="332"/>
      <c r="K19" s="332"/>
      <c r="L19" s="332"/>
      <c r="M19" s="332"/>
      <c r="N19" s="332"/>
      <c r="O19" s="332"/>
      <c r="P19" s="332"/>
      <c r="S19" s="37"/>
      <c r="T19" s="330"/>
      <c r="U19" s="330"/>
    </row>
    <row r="20" spans="3:21" s="37" customFormat="1" ht="26.25" customHeight="1" thickBot="1">
      <c r="D20" s="53" t="s">
        <v>257</v>
      </c>
      <c r="F20" s="53"/>
      <c r="H20" s="328"/>
      <c r="T20" s="330"/>
      <c r="U20" s="330"/>
    </row>
    <row r="21" spans="3:21" s="54" customFormat="1" ht="36" customHeight="1">
      <c r="D21" s="409" t="s">
        <v>291</v>
      </c>
      <c r="E21" s="410" t="s">
        <v>232</v>
      </c>
      <c r="F21" s="411" t="s">
        <v>233</v>
      </c>
      <c r="G21" s="410" t="s">
        <v>234</v>
      </c>
      <c r="H21" s="412" t="s">
        <v>380</v>
      </c>
      <c r="I21" s="410" t="s">
        <v>382</v>
      </c>
      <c r="J21" s="410" t="s">
        <v>384</v>
      </c>
      <c r="K21" s="410"/>
      <c r="L21" s="410"/>
      <c r="M21" s="410"/>
      <c r="N21" s="410"/>
      <c r="O21" s="410"/>
      <c r="P21" s="413"/>
      <c r="Q21" s="53"/>
      <c r="S21" s="53"/>
      <c r="T21" s="334"/>
      <c r="U21" s="334"/>
    </row>
    <row r="22" spans="3:21" s="37" customFormat="1" ht="23.1" customHeight="1">
      <c r="D22" s="439" t="s">
        <v>261</v>
      </c>
      <c r="E22" s="397">
        <v>4.7940000000000005</v>
      </c>
      <c r="F22" s="397">
        <v>7.2404999999999999</v>
      </c>
      <c r="G22" s="397">
        <v>8.625</v>
      </c>
      <c r="H22" s="397">
        <v>8.2974999999999994</v>
      </c>
      <c r="I22" s="397">
        <v>8.0300000000000011</v>
      </c>
      <c r="J22" s="563">
        <v>7.9715000000000007</v>
      </c>
      <c r="K22" s="564"/>
      <c r="L22" s="564"/>
      <c r="M22" s="564"/>
      <c r="N22" s="564"/>
      <c r="O22" s="564"/>
      <c r="P22" s="565"/>
      <c r="T22" s="330"/>
      <c r="U22" s="330"/>
    </row>
    <row r="23" spans="3:21" s="37" customFormat="1" ht="23.1" customHeight="1">
      <c r="D23" s="439" t="s">
        <v>238</v>
      </c>
      <c r="E23" s="397">
        <v>1.295E-2</v>
      </c>
      <c r="F23" s="397">
        <v>1.9560000000000001E-2</v>
      </c>
      <c r="G23" s="397">
        <v>1.8350000000000002E-2</v>
      </c>
      <c r="H23" s="397">
        <v>1.7649999999999999E-2</v>
      </c>
      <c r="I23" s="397">
        <v>1.7080000000000001E-2</v>
      </c>
      <c r="J23" s="563">
        <v>1.6959999999999999E-2</v>
      </c>
      <c r="K23" s="564"/>
      <c r="L23" s="564"/>
      <c r="M23" s="564"/>
      <c r="N23" s="564"/>
      <c r="O23" s="564"/>
      <c r="P23" s="565"/>
      <c r="T23" s="330"/>
      <c r="U23" s="330"/>
    </row>
    <row r="24" spans="3:21" s="37" customFormat="1" ht="23.1" customHeight="1">
      <c r="D24" s="439" t="s">
        <v>239</v>
      </c>
      <c r="E24" s="390">
        <v>2.7310000000000002E-4</v>
      </c>
      <c r="F24" s="390">
        <v>2.719E-4</v>
      </c>
      <c r="G24" s="390">
        <v>2.7129999999999998E-4</v>
      </c>
      <c r="H24" s="390">
        <v>2.721E-4</v>
      </c>
      <c r="I24" s="390">
        <v>2.7230000000000001E-4</v>
      </c>
      <c r="J24" s="564">
        <v>2.7240000000000001E-4</v>
      </c>
      <c r="K24" s="564"/>
      <c r="L24" s="564"/>
      <c r="M24" s="564"/>
      <c r="N24" s="564"/>
      <c r="O24" s="564"/>
      <c r="P24" s="565"/>
      <c r="T24" s="330"/>
      <c r="U24" s="330"/>
    </row>
    <row r="25" spans="3:21" s="37" customFormat="1" ht="23.1" customHeight="1">
      <c r="D25" s="439" t="s">
        <v>260</v>
      </c>
      <c r="E25" s="390">
        <v>0.58330000000000004</v>
      </c>
      <c r="F25" s="390">
        <v>0.58330000000000004</v>
      </c>
      <c r="G25" s="390">
        <v>0.58330000000000004</v>
      </c>
      <c r="H25" s="390">
        <v>0.58330000000000004</v>
      </c>
      <c r="I25" s="390">
        <v>0.58330000000000004</v>
      </c>
      <c r="J25" s="564">
        <v>0.58330000000000004</v>
      </c>
      <c r="K25" s="564"/>
      <c r="L25" s="564"/>
      <c r="M25" s="564"/>
      <c r="N25" s="564"/>
      <c r="O25" s="564"/>
      <c r="P25" s="565"/>
      <c r="T25" s="330"/>
      <c r="U25" s="330"/>
    </row>
    <row r="26" spans="3:21" s="37" customFormat="1" ht="23.1" customHeight="1">
      <c r="D26" s="439" t="s">
        <v>259</v>
      </c>
      <c r="E26" s="390">
        <v>5.2099999999999991</v>
      </c>
      <c r="F26" s="390">
        <v>4.5299999999999994</v>
      </c>
      <c r="G26" s="390">
        <v>5.07</v>
      </c>
      <c r="H26" s="390">
        <v>5.43</v>
      </c>
      <c r="I26" s="390">
        <v>5.53</v>
      </c>
      <c r="J26" s="564">
        <v>5.2100000000000009</v>
      </c>
      <c r="K26" s="564"/>
      <c r="L26" s="564"/>
      <c r="M26" s="564"/>
      <c r="N26" s="564"/>
      <c r="O26" s="564"/>
      <c r="P26" s="565"/>
      <c r="T26" s="330"/>
      <c r="U26" s="330"/>
    </row>
    <row r="27" spans="3:21" s="37" customFormat="1" ht="23.1" customHeight="1" thickBot="1">
      <c r="D27" s="440" t="s">
        <v>258</v>
      </c>
      <c r="E27" s="371">
        <v>370</v>
      </c>
      <c r="F27" s="371">
        <v>370</v>
      </c>
      <c r="G27" s="371">
        <v>470</v>
      </c>
      <c r="H27" s="371">
        <v>470</v>
      </c>
      <c r="I27" s="371">
        <v>470</v>
      </c>
      <c r="J27" s="566">
        <v>470</v>
      </c>
      <c r="K27" s="566"/>
      <c r="L27" s="566"/>
      <c r="M27" s="566"/>
      <c r="N27" s="566"/>
      <c r="O27" s="566"/>
      <c r="P27" s="567"/>
      <c r="T27" s="330"/>
      <c r="U27" s="330"/>
    </row>
    <row r="28" spans="3:21" ht="20.100000000000001" customHeight="1">
      <c r="D28" s="44"/>
      <c r="E28" s="44"/>
      <c r="F28" s="332"/>
      <c r="G28" s="44"/>
      <c r="H28" s="331"/>
      <c r="T28" s="333"/>
      <c r="U28" s="333"/>
    </row>
    <row r="29" spans="3:21" ht="20.100000000000001" customHeight="1">
      <c r="D29" s="37"/>
      <c r="E29" s="37"/>
      <c r="F29" s="37"/>
      <c r="G29" s="37"/>
      <c r="H29" s="37"/>
      <c r="I29" s="37"/>
      <c r="J29" s="330"/>
      <c r="K29" s="37"/>
      <c r="L29" s="37"/>
      <c r="M29" s="37"/>
      <c r="N29" s="37"/>
      <c r="O29" s="37"/>
      <c r="P29" s="37"/>
      <c r="Q29" s="37"/>
      <c r="T29" s="333"/>
      <c r="U29" s="333"/>
    </row>
    <row r="30" spans="3:21" ht="32.25" customHeight="1" thickBot="1">
      <c r="D30" s="37"/>
      <c r="E30" s="37"/>
      <c r="F30" s="37"/>
      <c r="G30" s="37"/>
      <c r="H30" s="53" t="s">
        <v>372</v>
      </c>
      <c r="I30" s="329"/>
      <c r="J30" s="33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14" t="s">
        <v>221</v>
      </c>
      <c r="D31" s="415" t="s">
        <v>242</v>
      </c>
      <c r="E31" s="415" t="s">
        <v>295</v>
      </c>
      <c r="F31" s="416" t="s">
        <v>296</v>
      </c>
      <c r="H31" s="414" t="s">
        <v>265</v>
      </c>
      <c r="I31" s="415" t="s">
        <v>266</v>
      </c>
      <c r="J31" s="419" t="s">
        <v>267</v>
      </c>
      <c r="K31" s="415" t="s">
        <v>268</v>
      </c>
      <c r="L31" s="415" t="s">
        <v>269</v>
      </c>
      <c r="M31" s="416" t="s">
        <v>270</v>
      </c>
      <c r="O31" s="387" t="s">
        <v>306</v>
      </c>
      <c r="P31" s="388" t="s">
        <v>307</v>
      </c>
      <c r="Q31" s="389" t="s">
        <v>308</v>
      </c>
    </row>
    <row r="32" spans="3:21" ht="20.100000000000001" customHeight="1">
      <c r="C32" s="530" t="s">
        <v>232</v>
      </c>
      <c r="D32" s="417" t="s">
        <v>274</v>
      </c>
      <c r="E32" s="397">
        <v>6.7590000000000003</v>
      </c>
      <c r="F32" s="391">
        <v>2.7310000000000002E-4</v>
      </c>
      <c r="G32" s="37"/>
      <c r="H32" s="350" t="s">
        <v>232</v>
      </c>
      <c r="I32" s="424">
        <v>29.4</v>
      </c>
      <c r="J32" s="424">
        <v>36</v>
      </c>
      <c r="K32" s="424">
        <v>151.80000000000001</v>
      </c>
      <c r="L32" s="390">
        <v>72.400000000000006</v>
      </c>
      <c r="M32" s="391">
        <v>151.80000000000001</v>
      </c>
      <c r="N32" s="37"/>
      <c r="O32" s="350" t="s">
        <v>232</v>
      </c>
      <c r="P32" s="397">
        <v>-2.8820000000000001</v>
      </c>
      <c r="Q32" s="398">
        <v>1.7849999999999999</v>
      </c>
    </row>
    <row r="33" spans="3:17" ht="20.100000000000001" customHeight="1">
      <c r="C33" s="530"/>
      <c r="D33" s="417" t="s">
        <v>275</v>
      </c>
      <c r="E33" s="397">
        <v>2.8290000000000002</v>
      </c>
      <c r="F33" s="391"/>
      <c r="G33" s="37"/>
      <c r="H33" s="350" t="s">
        <v>233</v>
      </c>
      <c r="I33" s="424">
        <v>33.799999999999997</v>
      </c>
      <c r="J33" s="424">
        <v>41.4</v>
      </c>
      <c r="K33" s="424">
        <v>186.9</v>
      </c>
      <c r="L33" s="390">
        <v>87.4</v>
      </c>
      <c r="M33" s="391">
        <v>186.9</v>
      </c>
      <c r="N33" s="37"/>
      <c r="O33" s="350" t="s">
        <v>233</v>
      </c>
      <c r="P33" s="397">
        <v>-2.7345999999999999</v>
      </c>
      <c r="Q33" s="398">
        <v>1.54</v>
      </c>
    </row>
    <row r="34" spans="3:17" ht="20.100000000000001" customHeight="1">
      <c r="C34" s="530"/>
      <c r="D34" s="417" t="s">
        <v>276</v>
      </c>
      <c r="E34" s="568">
        <v>4.7940000000000005</v>
      </c>
      <c r="F34" s="391">
        <v>2.7310000000000002E-4</v>
      </c>
      <c r="G34" s="37"/>
      <c r="H34" s="350" t="s">
        <v>234</v>
      </c>
      <c r="I34" s="424">
        <v>34.6</v>
      </c>
      <c r="J34" s="424">
        <v>42.4</v>
      </c>
      <c r="K34" s="424">
        <v>204.3</v>
      </c>
      <c r="L34" s="390">
        <v>93.8</v>
      </c>
      <c r="M34" s="391">
        <v>204.3</v>
      </c>
      <c r="N34" s="37"/>
      <c r="O34" s="350" t="s">
        <v>234</v>
      </c>
      <c r="P34" s="397">
        <v>-2.4102000000000001</v>
      </c>
      <c r="Q34" s="398">
        <v>1.1140000000000001</v>
      </c>
    </row>
    <row r="35" spans="3:17" ht="20.100000000000001" customHeight="1">
      <c r="C35" s="530" t="s">
        <v>233</v>
      </c>
      <c r="D35" s="417" t="s">
        <v>274</v>
      </c>
      <c r="E35" s="397">
        <v>8.7629999999999999</v>
      </c>
      <c r="F35" s="391">
        <v>2.719E-4</v>
      </c>
      <c r="G35" s="37"/>
      <c r="H35" s="350" t="s">
        <v>380</v>
      </c>
      <c r="I35" s="424">
        <v>35.1</v>
      </c>
      <c r="J35" s="424">
        <v>43</v>
      </c>
      <c r="K35" s="424">
        <v>200.1</v>
      </c>
      <c r="L35" s="390">
        <v>92.7</v>
      </c>
      <c r="M35" s="391">
        <v>200.1</v>
      </c>
      <c r="N35" s="37"/>
      <c r="O35" s="350" t="s">
        <v>380</v>
      </c>
      <c r="P35" s="397">
        <v>-2.411</v>
      </c>
      <c r="Q35" s="398">
        <v>1.1140000000000001</v>
      </c>
    </row>
    <row r="36" spans="3:17" ht="20.100000000000001" customHeight="1">
      <c r="C36" s="530"/>
      <c r="D36" s="417" t="s">
        <v>275</v>
      </c>
      <c r="E36" s="397">
        <v>5.718</v>
      </c>
      <c r="F36" s="391"/>
      <c r="G36" s="37"/>
      <c r="H36" s="350" t="s">
        <v>382</v>
      </c>
      <c r="I36" s="424">
        <v>34.799999999999997</v>
      </c>
      <c r="J36" s="424">
        <v>42.7</v>
      </c>
      <c r="K36" s="424">
        <v>196.7</v>
      </c>
      <c r="L36" s="390">
        <v>91.4</v>
      </c>
      <c r="M36" s="391">
        <v>196.7</v>
      </c>
      <c r="N36" s="37"/>
      <c r="O36" s="350" t="s">
        <v>382</v>
      </c>
      <c r="P36" s="397">
        <v>-2.4596</v>
      </c>
      <c r="Q36" s="398">
        <v>1.17</v>
      </c>
    </row>
    <row r="37" spans="3:17" ht="20.100000000000001" customHeight="1">
      <c r="C37" s="530"/>
      <c r="D37" s="417" t="s">
        <v>276</v>
      </c>
      <c r="E37" s="568">
        <v>7.2404999999999999</v>
      </c>
      <c r="F37" s="391">
        <v>2.719E-4</v>
      </c>
      <c r="G37" s="37"/>
      <c r="H37" s="350" t="s">
        <v>384</v>
      </c>
      <c r="I37" s="424">
        <v>33.700000000000003</v>
      </c>
      <c r="J37" s="424">
        <v>41.3</v>
      </c>
      <c r="K37" s="424">
        <v>196</v>
      </c>
      <c r="L37" s="390">
        <v>90.3</v>
      </c>
      <c r="M37" s="391">
        <v>196</v>
      </c>
      <c r="N37" s="37"/>
      <c r="O37" s="350" t="s">
        <v>384</v>
      </c>
      <c r="P37" s="397">
        <v>-2.4954999999999998</v>
      </c>
      <c r="Q37" s="398">
        <v>1.2130000000000001</v>
      </c>
    </row>
    <row r="38" spans="3:17" ht="20.100000000000001" customHeight="1">
      <c r="C38" s="530" t="s">
        <v>234</v>
      </c>
      <c r="D38" s="417" t="s">
        <v>274</v>
      </c>
      <c r="E38" s="397">
        <v>12.33</v>
      </c>
      <c r="F38" s="391">
        <v>2.7129999999999998E-4</v>
      </c>
      <c r="G38" s="37"/>
      <c r="H38" s="350"/>
      <c r="I38" s="390"/>
      <c r="J38" s="390"/>
      <c r="K38" s="390"/>
      <c r="L38" s="390"/>
      <c r="M38" s="391"/>
      <c r="N38" s="37"/>
      <c r="O38" s="350"/>
      <c r="P38" s="390"/>
      <c r="Q38" s="391"/>
    </row>
    <row r="39" spans="3:17" ht="20.100000000000001" customHeight="1">
      <c r="C39" s="530"/>
      <c r="D39" s="417" t="s">
        <v>275</v>
      </c>
      <c r="E39" s="397">
        <v>4.92</v>
      </c>
      <c r="F39" s="391"/>
      <c r="G39" s="37"/>
      <c r="H39" s="350"/>
      <c r="I39" s="390"/>
      <c r="J39" s="390"/>
      <c r="K39" s="390"/>
      <c r="L39" s="390"/>
      <c r="M39" s="391"/>
      <c r="N39" s="37"/>
      <c r="O39" s="350"/>
      <c r="P39" s="390"/>
      <c r="Q39" s="391"/>
    </row>
    <row r="40" spans="3:17" ht="20.100000000000001" customHeight="1">
      <c r="C40" s="530"/>
      <c r="D40" s="417" t="s">
        <v>276</v>
      </c>
      <c r="E40" s="568">
        <v>8.625</v>
      </c>
      <c r="F40" s="391">
        <v>2.7129999999999998E-4</v>
      </c>
      <c r="G40" s="37"/>
      <c r="H40" s="350"/>
      <c r="I40" s="390"/>
      <c r="J40" s="390"/>
      <c r="K40" s="390"/>
      <c r="L40" s="390"/>
      <c r="M40" s="391"/>
      <c r="N40" s="37"/>
      <c r="O40" s="350"/>
      <c r="P40" s="390"/>
      <c r="Q40" s="391"/>
    </row>
    <row r="41" spans="3:17" ht="20.100000000000001" customHeight="1">
      <c r="C41" s="530" t="s">
        <v>380</v>
      </c>
      <c r="D41" s="417" t="s">
        <v>274</v>
      </c>
      <c r="E41" s="397">
        <v>12.34</v>
      </c>
      <c r="F41" s="391">
        <v>2.721E-4</v>
      </c>
      <c r="G41" s="37"/>
      <c r="H41" s="350"/>
      <c r="I41" s="390"/>
      <c r="J41" s="390"/>
      <c r="K41" s="390"/>
      <c r="L41" s="390"/>
      <c r="M41" s="391"/>
      <c r="N41" s="37"/>
      <c r="O41" s="350"/>
      <c r="P41" s="390"/>
      <c r="Q41" s="391"/>
    </row>
    <row r="42" spans="3:17" ht="20.100000000000001" customHeight="1">
      <c r="C42" s="530"/>
      <c r="D42" s="417" t="s">
        <v>275</v>
      </c>
      <c r="E42" s="397">
        <v>4.2549999999999999</v>
      </c>
      <c r="F42" s="391"/>
      <c r="G42" s="37"/>
      <c r="H42" s="350"/>
      <c r="I42" s="390"/>
      <c r="J42" s="390"/>
      <c r="K42" s="390"/>
      <c r="L42" s="390"/>
      <c r="M42" s="391"/>
      <c r="N42" s="37"/>
      <c r="O42" s="350"/>
      <c r="P42" s="390"/>
      <c r="Q42" s="391"/>
    </row>
    <row r="43" spans="3:17" ht="20.100000000000001" customHeight="1">
      <c r="C43" s="530"/>
      <c r="D43" s="417" t="s">
        <v>276</v>
      </c>
      <c r="E43" s="568">
        <v>8.2974999999999994</v>
      </c>
      <c r="F43" s="391">
        <v>2.721E-4</v>
      </c>
      <c r="G43" s="37"/>
      <c r="H43" s="350"/>
      <c r="I43" s="390"/>
      <c r="J43" s="390"/>
      <c r="K43" s="390"/>
      <c r="L43" s="390"/>
      <c r="M43" s="391"/>
      <c r="N43" s="37"/>
      <c r="O43" s="350"/>
      <c r="P43" s="390"/>
      <c r="Q43" s="391"/>
    </row>
    <row r="44" spans="3:17" ht="20.100000000000001" customHeight="1">
      <c r="C44" s="530" t="s">
        <v>382</v>
      </c>
      <c r="D44" s="417" t="s">
        <v>274</v>
      </c>
      <c r="E44" s="397">
        <v>11.81</v>
      </c>
      <c r="F44" s="391">
        <v>2.7230000000000001E-4</v>
      </c>
      <c r="G44" s="37"/>
      <c r="H44" s="350"/>
      <c r="I44" s="390"/>
      <c r="J44" s="390"/>
      <c r="K44" s="390"/>
      <c r="L44" s="390"/>
      <c r="M44" s="391"/>
      <c r="N44" s="37"/>
      <c r="O44" s="350"/>
      <c r="P44" s="390"/>
      <c r="Q44" s="391"/>
    </row>
    <row r="45" spans="3:17" ht="20.100000000000001" customHeight="1" thickBot="1">
      <c r="C45" s="530"/>
      <c r="D45" s="417" t="s">
        <v>275</v>
      </c>
      <c r="E45" s="397">
        <v>4.25</v>
      </c>
      <c r="F45" s="391"/>
      <c r="G45" s="37"/>
      <c r="H45" s="351"/>
      <c r="I45" s="371"/>
      <c r="J45" s="371"/>
      <c r="K45" s="371"/>
      <c r="L45" s="371"/>
      <c r="M45" s="372"/>
      <c r="N45" s="37"/>
      <c r="O45" s="351"/>
      <c r="P45" s="371"/>
      <c r="Q45" s="372"/>
    </row>
    <row r="46" spans="3:17" ht="20.100000000000001" customHeight="1">
      <c r="C46" s="530"/>
      <c r="D46" s="417" t="s">
        <v>276</v>
      </c>
      <c r="E46" s="568">
        <v>8.0300000000000011</v>
      </c>
      <c r="F46" s="391">
        <v>2.7230000000000001E-4</v>
      </c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30" t="s">
        <v>384</v>
      </c>
      <c r="D47" s="417" t="s">
        <v>274</v>
      </c>
      <c r="E47" s="397">
        <v>11.39</v>
      </c>
      <c r="F47" s="391">
        <v>2.7240000000000001E-4</v>
      </c>
    </row>
    <row r="48" spans="3:17" ht="20.100000000000001" customHeight="1">
      <c r="C48" s="530"/>
      <c r="D48" s="417" t="s">
        <v>275</v>
      </c>
      <c r="E48" s="397">
        <v>4.5529999999999999</v>
      </c>
      <c r="F48" s="391"/>
    </row>
    <row r="49" spans="3:6" ht="20.100000000000001" customHeight="1">
      <c r="C49" s="530"/>
      <c r="D49" s="417" t="s">
        <v>276</v>
      </c>
      <c r="E49" s="568">
        <v>7.9715000000000007</v>
      </c>
      <c r="F49" s="391">
        <v>2.7240000000000001E-4</v>
      </c>
    </row>
    <row r="50" spans="3:6" ht="20.100000000000001" customHeight="1">
      <c r="C50" s="530"/>
      <c r="D50" s="417"/>
      <c r="E50" s="390"/>
      <c r="F50" s="391"/>
    </row>
    <row r="51" spans="3:6" ht="20.100000000000001" customHeight="1">
      <c r="C51" s="530"/>
      <c r="D51" s="417"/>
      <c r="E51" s="390"/>
      <c r="F51" s="391"/>
    </row>
    <row r="52" spans="3:6" ht="20.100000000000001" customHeight="1">
      <c r="C52" s="530"/>
      <c r="D52" s="417"/>
      <c r="E52" s="390"/>
      <c r="F52" s="391"/>
    </row>
    <row r="53" spans="3:6" ht="20.100000000000001" customHeight="1">
      <c r="C53" s="530"/>
      <c r="D53" s="417"/>
      <c r="E53" s="390"/>
      <c r="F53" s="391"/>
    </row>
    <row r="54" spans="3:6" ht="20.100000000000001" customHeight="1">
      <c r="C54" s="530"/>
      <c r="D54" s="417"/>
      <c r="E54" s="390"/>
      <c r="F54" s="391"/>
    </row>
    <row r="55" spans="3:6" ht="20.100000000000001" customHeight="1">
      <c r="C55" s="530"/>
      <c r="D55" s="417"/>
      <c r="E55" s="390"/>
      <c r="F55" s="391"/>
    </row>
    <row r="56" spans="3:6" ht="20.100000000000001" customHeight="1">
      <c r="C56" s="530"/>
      <c r="D56" s="417"/>
      <c r="E56" s="390"/>
      <c r="F56" s="391"/>
    </row>
    <row r="57" spans="3:6" ht="20.100000000000001" customHeight="1">
      <c r="C57" s="530"/>
      <c r="D57" s="417"/>
      <c r="E57" s="390"/>
      <c r="F57" s="391"/>
    </row>
    <row r="58" spans="3:6" ht="20.100000000000001" customHeight="1">
      <c r="C58" s="530"/>
      <c r="D58" s="417"/>
      <c r="E58" s="390"/>
      <c r="F58" s="391"/>
    </row>
    <row r="59" spans="3:6" ht="20.100000000000001" customHeight="1">
      <c r="C59" s="530"/>
      <c r="D59" s="417"/>
      <c r="E59" s="390"/>
      <c r="F59" s="391"/>
    </row>
    <row r="60" spans="3:6" ht="20.100000000000001" customHeight="1">
      <c r="C60" s="530"/>
      <c r="D60" s="417"/>
      <c r="E60" s="390"/>
      <c r="F60" s="391"/>
    </row>
    <row r="61" spans="3:6" ht="20.100000000000001" customHeight="1">
      <c r="C61" s="530"/>
      <c r="D61" s="417"/>
      <c r="E61" s="390"/>
      <c r="F61" s="391"/>
    </row>
    <row r="62" spans="3:6" ht="20.100000000000001" customHeight="1">
      <c r="C62" s="530"/>
      <c r="D62" s="417"/>
      <c r="E62" s="390"/>
      <c r="F62" s="391"/>
    </row>
    <row r="63" spans="3:6" ht="20.100000000000001" customHeight="1">
      <c r="C63" s="530"/>
      <c r="D63" s="417"/>
      <c r="E63" s="390"/>
      <c r="F63" s="391"/>
    </row>
    <row r="64" spans="3:6" ht="20.100000000000001" customHeight="1">
      <c r="C64" s="530"/>
      <c r="D64" s="417"/>
      <c r="E64" s="390"/>
      <c r="F64" s="391"/>
    </row>
    <row r="65" spans="3:6" ht="20.100000000000001" customHeight="1">
      <c r="C65" s="530"/>
      <c r="D65" s="417"/>
      <c r="E65" s="390"/>
      <c r="F65" s="391"/>
    </row>
    <row r="66" spans="3:6" ht="20.100000000000001" customHeight="1">
      <c r="C66" s="530"/>
      <c r="D66" s="417"/>
      <c r="E66" s="390"/>
      <c r="F66" s="391"/>
    </row>
    <row r="67" spans="3:6" ht="20.100000000000001" customHeight="1" thickBot="1">
      <c r="C67" s="531"/>
      <c r="D67" s="418"/>
      <c r="E67" s="371"/>
      <c r="F67" s="37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1" sqref="G21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5" t="s">
        <v>256</v>
      </c>
    </row>
    <row r="3" spans="3:15" s="53" customFormat="1" ht="28.5" customHeight="1">
      <c r="C3" s="414" t="s">
        <v>221</v>
      </c>
      <c r="D3" s="415" t="s">
        <v>246</v>
      </c>
      <c r="E3" s="415" t="s">
        <v>218</v>
      </c>
      <c r="F3" s="415" t="s">
        <v>247</v>
      </c>
      <c r="G3" s="415" t="s">
        <v>251</v>
      </c>
      <c r="H3" s="415" t="s">
        <v>253</v>
      </c>
      <c r="I3" s="415" t="s">
        <v>224</v>
      </c>
      <c r="J3" s="415" t="s">
        <v>254</v>
      </c>
      <c r="K3" s="415" t="s">
        <v>120</v>
      </c>
      <c r="L3" s="415" t="s">
        <v>252</v>
      </c>
      <c r="M3" s="415" t="s">
        <v>248</v>
      </c>
      <c r="N3" s="415" t="s">
        <v>249</v>
      </c>
      <c r="O3" s="416" t="s">
        <v>250</v>
      </c>
    </row>
    <row r="4" spans="3:15" ht="20.100000000000001" customHeight="1">
      <c r="C4" s="392" t="s">
        <v>232</v>
      </c>
      <c r="D4" s="538" t="s">
        <v>292</v>
      </c>
      <c r="E4" s="393">
        <v>45</v>
      </c>
      <c r="F4" s="393">
        <v>4.7940000000000005</v>
      </c>
      <c r="G4" s="532">
        <v>7.4931000000000001</v>
      </c>
      <c r="H4" s="538">
        <v>0.03</v>
      </c>
      <c r="I4" s="393">
        <v>370</v>
      </c>
      <c r="J4" s="541">
        <v>436.7</v>
      </c>
      <c r="K4" s="393">
        <v>215</v>
      </c>
      <c r="L4" s="541">
        <v>215</v>
      </c>
      <c r="M4" s="393">
        <v>1.4E-3</v>
      </c>
      <c r="N4" s="532">
        <v>1.1000000000000001E-3</v>
      </c>
      <c r="O4" s="535" t="s">
        <v>255</v>
      </c>
    </row>
    <row r="5" spans="3:15" ht="20.100000000000001" customHeight="1">
      <c r="C5" s="392" t="s">
        <v>233</v>
      </c>
      <c r="D5" s="539"/>
      <c r="E5" s="393">
        <v>45</v>
      </c>
      <c r="F5" s="393">
        <v>7.2404999999999999</v>
      </c>
      <c r="G5" s="533"/>
      <c r="H5" s="539"/>
      <c r="I5" s="393">
        <v>370</v>
      </c>
      <c r="J5" s="542"/>
      <c r="K5" s="393">
        <v>214</v>
      </c>
      <c r="L5" s="542"/>
      <c r="M5" s="393">
        <v>1E-3</v>
      </c>
      <c r="N5" s="533"/>
      <c r="O5" s="536"/>
    </row>
    <row r="6" spans="3:15" ht="20.100000000000001" customHeight="1">
      <c r="C6" s="392" t="s">
        <v>234</v>
      </c>
      <c r="D6" s="539"/>
      <c r="E6" s="393">
        <v>69</v>
      </c>
      <c r="F6" s="393">
        <v>8.625</v>
      </c>
      <c r="G6" s="533"/>
      <c r="H6" s="539"/>
      <c r="I6" s="393">
        <v>470</v>
      </c>
      <c r="J6" s="542"/>
      <c r="K6" s="393">
        <v>216</v>
      </c>
      <c r="L6" s="542"/>
      <c r="M6" s="393">
        <v>1.5E-3</v>
      </c>
      <c r="N6" s="533"/>
      <c r="O6" s="536"/>
    </row>
    <row r="7" spans="3:15" ht="20.100000000000001" customHeight="1">
      <c r="C7" s="392" t="s">
        <v>380</v>
      </c>
      <c r="D7" s="539"/>
      <c r="E7" s="393">
        <v>69</v>
      </c>
      <c r="F7" s="393">
        <v>8.2974999999999994</v>
      </c>
      <c r="G7" s="533"/>
      <c r="H7" s="539"/>
      <c r="I7" s="393">
        <v>470</v>
      </c>
      <c r="J7" s="542"/>
      <c r="K7" s="393">
        <v>216</v>
      </c>
      <c r="L7" s="542"/>
      <c r="M7" s="393">
        <v>1.1999999999999999E-3</v>
      </c>
      <c r="N7" s="533"/>
      <c r="O7" s="536"/>
    </row>
    <row r="8" spans="3:15" ht="20.100000000000001" customHeight="1">
      <c r="C8" s="392" t="s">
        <v>382</v>
      </c>
      <c r="D8" s="539"/>
      <c r="E8" s="393">
        <v>69</v>
      </c>
      <c r="F8" s="393">
        <v>8.0300000000000011</v>
      </c>
      <c r="G8" s="533"/>
      <c r="H8" s="539"/>
      <c r="I8" s="393">
        <v>470</v>
      </c>
      <c r="J8" s="542"/>
      <c r="K8" s="393">
        <v>215</v>
      </c>
      <c r="L8" s="542"/>
      <c r="M8" s="393">
        <v>5.9999999999999995E-4</v>
      </c>
      <c r="N8" s="533"/>
      <c r="O8" s="536"/>
    </row>
    <row r="9" spans="3:15" ht="20.100000000000001" customHeight="1">
      <c r="C9" s="392" t="s">
        <v>384</v>
      </c>
      <c r="D9" s="540"/>
      <c r="E9" s="393">
        <v>69</v>
      </c>
      <c r="F9" s="393">
        <v>7.9715000000000007</v>
      </c>
      <c r="G9" s="534"/>
      <c r="H9" s="540"/>
      <c r="I9" s="393">
        <v>470</v>
      </c>
      <c r="J9" s="543"/>
      <c r="K9" s="393">
        <v>214</v>
      </c>
      <c r="L9" s="543"/>
      <c r="M9" s="393">
        <v>1.1000000000000001E-3</v>
      </c>
      <c r="N9" s="534"/>
      <c r="O9" s="537"/>
    </row>
    <row r="10" spans="3:15" ht="20.100000000000001" customHeight="1">
      <c r="C10" s="392"/>
      <c r="D10" s="441"/>
      <c r="E10" s="393"/>
      <c r="F10" s="393"/>
      <c r="G10" s="441"/>
      <c r="H10" s="441"/>
      <c r="I10" s="393"/>
      <c r="J10" s="441"/>
      <c r="K10" s="393"/>
      <c r="L10" s="441"/>
      <c r="M10" s="393"/>
      <c r="N10" s="441"/>
      <c r="O10" s="442"/>
    </row>
    <row r="11" spans="3:15" ht="20.100000000000001" customHeight="1">
      <c r="C11" s="392"/>
      <c r="D11" s="441"/>
      <c r="E11" s="393"/>
      <c r="F11" s="393"/>
      <c r="G11" s="441"/>
      <c r="H11" s="441"/>
      <c r="I11" s="393"/>
      <c r="J11" s="441"/>
      <c r="K11" s="393"/>
      <c r="L11" s="441"/>
      <c r="M11" s="393"/>
      <c r="N11" s="441"/>
      <c r="O11" s="442"/>
    </row>
    <row r="12" spans="3:15" ht="20.100000000000001" customHeight="1">
      <c r="C12" s="392"/>
      <c r="D12" s="441"/>
      <c r="E12" s="393"/>
      <c r="F12" s="393"/>
      <c r="G12" s="441"/>
      <c r="H12" s="441"/>
      <c r="I12" s="393"/>
      <c r="J12" s="441"/>
      <c r="K12" s="393"/>
      <c r="L12" s="441"/>
      <c r="M12" s="393"/>
      <c r="N12" s="441"/>
      <c r="O12" s="442"/>
    </row>
    <row r="13" spans="3:15" ht="20.100000000000001" customHeight="1">
      <c r="C13" s="392"/>
      <c r="D13" s="441"/>
      <c r="E13" s="393"/>
      <c r="F13" s="393"/>
      <c r="G13" s="441"/>
      <c r="H13" s="441"/>
      <c r="I13" s="393"/>
      <c r="J13" s="441"/>
      <c r="K13" s="393"/>
      <c r="L13" s="441"/>
      <c r="M13" s="393"/>
      <c r="N13" s="441"/>
      <c r="O13" s="442"/>
    </row>
    <row r="14" spans="3:15" ht="20.100000000000001" customHeight="1">
      <c r="C14" s="392"/>
      <c r="D14" s="441"/>
      <c r="E14" s="393"/>
      <c r="F14" s="393"/>
      <c r="G14" s="441"/>
      <c r="H14" s="441"/>
      <c r="I14" s="393"/>
      <c r="J14" s="441"/>
      <c r="K14" s="393"/>
      <c r="L14" s="441"/>
      <c r="M14" s="393"/>
      <c r="N14" s="441"/>
      <c r="O14" s="442"/>
    </row>
    <row r="15" spans="3:15" ht="20.100000000000001" customHeight="1">
      <c r="C15" s="392"/>
      <c r="D15" s="441"/>
      <c r="E15" s="393"/>
      <c r="F15" s="393"/>
      <c r="G15" s="441"/>
      <c r="H15" s="441"/>
      <c r="I15" s="393"/>
      <c r="J15" s="441"/>
      <c r="K15" s="393"/>
      <c r="L15" s="441"/>
      <c r="M15" s="393"/>
      <c r="N15" s="441"/>
      <c r="O15" s="442"/>
    </row>
    <row r="16" spans="3:15" ht="20.100000000000001" customHeight="1">
      <c r="C16" s="392"/>
      <c r="D16" s="441"/>
      <c r="E16" s="393"/>
      <c r="F16" s="393"/>
      <c r="G16" s="441"/>
      <c r="H16" s="441"/>
      <c r="I16" s="393"/>
      <c r="J16" s="441"/>
      <c r="K16" s="393"/>
      <c r="L16" s="441"/>
      <c r="M16" s="393"/>
      <c r="N16" s="441"/>
      <c r="O16" s="442"/>
    </row>
    <row r="17" spans="3:15" ht="20.100000000000001" customHeight="1" thickBot="1">
      <c r="C17" s="375"/>
      <c r="D17" s="443"/>
      <c r="E17" s="376"/>
      <c r="F17" s="376"/>
      <c r="G17" s="443"/>
      <c r="H17" s="443"/>
      <c r="I17" s="376"/>
      <c r="J17" s="443"/>
      <c r="K17" s="376"/>
      <c r="L17" s="443"/>
      <c r="M17" s="376"/>
      <c r="N17" s="443"/>
      <c r="O17" s="444"/>
    </row>
  </sheetData>
  <mergeCells count="7">
    <mergeCell ref="D4:D9"/>
    <mergeCell ref="G4:G9"/>
    <mergeCell ref="H4:H9"/>
    <mergeCell ref="J4:J9"/>
    <mergeCell ref="L4:L9"/>
    <mergeCell ref="N4:N9"/>
    <mergeCell ref="O4:O9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P7" sqref="P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38" customFormat="1" ht="27.75" customHeight="1" thickBot="1">
      <c r="D2" s="329" t="s">
        <v>278</v>
      </c>
    </row>
    <row r="3" spans="4:11" s="53" customFormat="1" ht="42.75" customHeight="1">
      <c r="D3" s="340" t="s">
        <v>309</v>
      </c>
      <c r="E3" s="341" t="s">
        <v>310</v>
      </c>
      <c r="F3" s="341" t="s">
        <v>311</v>
      </c>
      <c r="G3" s="341" t="s">
        <v>312</v>
      </c>
      <c r="H3" s="341" t="s">
        <v>313</v>
      </c>
      <c r="I3" s="341" t="s">
        <v>314</v>
      </c>
      <c r="J3" s="341" t="s">
        <v>284</v>
      </c>
      <c r="K3" s="342" t="s">
        <v>285</v>
      </c>
    </row>
    <row r="4" spans="4:11" s="339" customFormat="1" ht="33.75" customHeight="1" thickBot="1">
      <c r="D4" s="343">
        <v>1639050</v>
      </c>
      <c r="E4" s="344">
        <v>1164.4000000000001</v>
      </c>
      <c r="F4" s="344">
        <v>596.08251912328774</v>
      </c>
      <c r="G4" s="345">
        <v>0.68</v>
      </c>
      <c r="H4" s="344">
        <v>405.33611300383569</v>
      </c>
      <c r="I4" s="346">
        <v>24.9</v>
      </c>
      <c r="J4" s="344">
        <v>60</v>
      </c>
      <c r="K4" s="347">
        <v>320.43611300383571</v>
      </c>
    </row>
    <row r="6" spans="4:11" ht="20.100000000000001" customHeight="1" thickBot="1"/>
    <row r="7" spans="4:11" ht="62.25" customHeight="1">
      <c r="D7" s="340" t="s">
        <v>309</v>
      </c>
      <c r="E7" s="341" t="s">
        <v>310</v>
      </c>
      <c r="F7" s="341" t="s">
        <v>311</v>
      </c>
      <c r="G7" s="341" t="s">
        <v>312</v>
      </c>
      <c r="H7" s="341" t="s">
        <v>313</v>
      </c>
      <c r="I7" s="341" t="s">
        <v>314</v>
      </c>
      <c r="J7" s="341" t="s">
        <v>315</v>
      </c>
      <c r="K7" s="342" t="s">
        <v>284</v>
      </c>
    </row>
    <row r="8" spans="4:11" ht="31.5" customHeight="1" thickBot="1">
      <c r="D8" s="343">
        <v>1639050</v>
      </c>
      <c r="E8" s="344">
        <v>1164.4000000000001</v>
      </c>
      <c r="F8" s="344">
        <v>596.08251912328774</v>
      </c>
      <c r="G8" s="345">
        <v>0.68</v>
      </c>
      <c r="H8" s="344">
        <v>405.33611300383569</v>
      </c>
      <c r="I8" s="346">
        <v>24.9</v>
      </c>
      <c r="J8" s="344">
        <v>380.43611300383571</v>
      </c>
      <c r="K8" s="347">
        <v>60</v>
      </c>
    </row>
    <row r="10" spans="4:11" ht="30.75" customHeight="1" thickBot="1">
      <c r="D10" s="329" t="s">
        <v>323</v>
      </c>
    </row>
    <row r="11" spans="4:11" s="53" customFormat="1" ht="39" customHeight="1">
      <c r="D11" s="340" t="s">
        <v>316</v>
      </c>
      <c r="E11" s="348" t="s">
        <v>317</v>
      </c>
      <c r="F11" s="348" t="s">
        <v>318</v>
      </c>
      <c r="G11" s="348" t="s">
        <v>319</v>
      </c>
      <c r="H11" s="348" t="s">
        <v>320</v>
      </c>
      <c r="I11" s="348" t="s">
        <v>321</v>
      </c>
      <c r="J11" s="349" t="s">
        <v>322</v>
      </c>
    </row>
    <row r="12" spans="4:11" s="37" customFormat="1" ht="20.100000000000001" customHeight="1">
      <c r="D12" s="392" t="s">
        <v>232</v>
      </c>
      <c r="E12" s="393">
        <v>400</v>
      </c>
      <c r="F12" s="393">
        <v>45</v>
      </c>
      <c r="G12" s="393">
        <v>4.32</v>
      </c>
      <c r="H12" s="393">
        <v>9.5299999999999994</v>
      </c>
      <c r="I12" s="393">
        <v>4.7940000000000005</v>
      </c>
      <c r="J12" s="394">
        <v>2.7310000000000002E-4</v>
      </c>
    </row>
    <row r="13" spans="4:11" s="37" customFormat="1" ht="20.100000000000001" customHeight="1">
      <c r="D13" s="392" t="s">
        <v>233</v>
      </c>
      <c r="E13" s="393">
        <v>400</v>
      </c>
      <c r="F13" s="393">
        <v>45</v>
      </c>
      <c r="G13" s="393">
        <v>4.51</v>
      </c>
      <c r="H13" s="393">
        <v>9.0399999999999991</v>
      </c>
      <c r="I13" s="393">
        <v>7.2404999999999999</v>
      </c>
      <c r="J13" s="394">
        <v>2.719E-4</v>
      </c>
    </row>
    <row r="14" spans="4:11" s="37" customFormat="1" ht="20.100000000000001" customHeight="1">
      <c r="D14" s="392" t="s">
        <v>234</v>
      </c>
      <c r="E14" s="393">
        <v>500</v>
      </c>
      <c r="F14" s="393">
        <v>69</v>
      </c>
      <c r="G14" s="393">
        <v>4.2699999999999996</v>
      </c>
      <c r="H14" s="393">
        <v>9.34</v>
      </c>
      <c r="I14" s="393">
        <v>8.625</v>
      </c>
      <c r="J14" s="394">
        <v>2.7129999999999998E-4</v>
      </c>
    </row>
    <row r="15" spans="4:11" s="37" customFormat="1" ht="20.100000000000001" customHeight="1">
      <c r="D15" s="392" t="s">
        <v>380</v>
      </c>
      <c r="E15" s="393">
        <v>500</v>
      </c>
      <c r="F15" s="393">
        <v>69</v>
      </c>
      <c r="G15" s="393">
        <v>4.43</v>
      </c>
      <c r="H15" s="393">
        <v>9.86</v>
      </c>
      <c r="I15" s="393">
        <v>8.2974999999999994</v>
      </c>
      <c r="J15" s="394">
        <v>2.721E-4</v>
      </c>
    </row>
    <row r="16" spans="4:11" s="37" customFormat="1" ht="20.100000000000001" customHeight="1">
      <c r="D16" s="392" t="s">
        <v>382</v>
      </c>
      <c r="E16" s="393">
        <v>500</v>
      </c>
      <c r="F16" s="393">
        <v>69</v>
      </c>
      <c r="G16" s="393">
        <v>4.72</v>
      </c>
      <c r="H16" s="393">
        <v>10.25</v>
      </c>
      <c r="I16" s="393">
        <v>8.0300000000000011</v>
      </c>
      <c r="J16" s="394">
        <v>2.7230000000000001E-4</v>
      </c>
    </row>
    <row r="17" spans="4:10" s="37" customFormat="1" ht="20.100000000000001" customHeight="1">
      <c r="D17" s="392" t="s">
        <v>384</v>
      </c>
      <c r="E17" s="393">
        <v>500</v>
      </c>
      <c r="F17" s="393">
        <v>69</v>
      </c>
      <c r="G17" s="393">
        <v>4.51</v>
      </c>
      <c r="H17" s="393">
        <v>9.7200000000000006</v>
      </c>
      <c r="I17" s="393">
        <v>7.9715000000000007</v>
      </c>
      <c r="J17" s="394">
        <v>2.7240000000000001E-4</v>
      </c>
    </row>
    <row r="18" spans="4:10" s="37" customFormat="1" ht="20.100000000000001" customHeight="1">
      <c r="D18" s="392"/>
      <c r="E18" s="393"/>
      <c r="F18" s="393"/>
      <c r="G18" s="393"/>
      <c r="H18" s="393"/>
      <c r="I18" s="393"/>
      <c r="J18" s="394"/>
    </row>
    <row r="19" spans="4:10" s="37" customFormat="1" ht="20.100000000000001" customHeight="1">
      <c r="D19" s="392"/>
      <c r="E19" s="393"/>
      <c r="F19" s="393"/>
      <c r="G19" s="393"/>
      <c r="H19" s="393"/>
      <c r="I19" s="393"/>
      <c r="J19" s="394"/>
    </row>
    <row r="20" spans="4:10" s="37" customFormat="1" ht="20.100000000000001" customHeight="1">
      <c r="D20" s="392"/>
      <c r="E20" s="393"/>
      <c r="F20" s="393"/>
      <c r="G20" s="393"/>
      <c r="H20" s="393"/>
      <c r="I20" s="393"/>
      <c r="J20" s="394"/>
    </row>
    <row r="21" spans="4:10" s="37" customFormat="1" ht="20.100000000000001" customHeight="1">
      <c r="D21" s="392"/>
      <c r="E21" s="393"/>
      <c r="F21" s="393"/>
      <c r="G21" s="393"/>
      <c r="H21" s="393"/>
      <c r="I21" s="393"/>
      <c r="J21" s="394"/>
    </row>
    <row r="22" spans="4:10" s="37" customFormat="1" ht="20.100000000000001" customHeight="1">
      <c r="D22" s="392"/>
      <c r="E22" s="393"/>
      <c r="F22" s="393"/>
      <c r="G22" s="393"/>
      <c r="H22" s="393"/>
      <c r="I22" s="393"/>
      <c r="J22" s="394"/>
    </row>
    <row r="23" spans="4:10" s="37" customFormat="1" ht="20.100000000000001" customHeight="1">
      <c r="D23" s="392"/>
      <c r="E23" s="393"/>
      <c r="F23" s="393"/>
      <c r="G23" s="393"/>
      <c r="H23" s="393"/>
      <c r="I23" s="393"/>
      <c r="J23" s="394"/>
    </row>
    <row r="24" spans="4:10" s="37" customFormat="1" ht="20.100000000000001" customHeight="1" thickBot="1">
      <c r="D24" s="375"/>
      <c r="E24" s="376"/>
      <c r="F24" s="376"/>
      <c r="G24" s="376"/>
      <c r="H24" s="376"/>
      <c r="I24" s="376"/>
      <c r="J24" s="395"/>
    </row>
    <row r="25" spans="4:10" s="37" customFormat="1" ht="20.100000000000001" customHeight="1">
      <c r="D25" s="396"/>
      <c r="E25" s="396"/>
      <c r="F25" s="396"/>
      <c r="G25" s="396"/>
      <c r="H25" s="396"/>
      <c r="I25" s="396"/>
      <c r="J25" s="396"/>
    </row>
    <row r="26" spans="4:10" ht="20.100000000000001" customHeight="1" thickBot="1"/>
    <row r="27" spans="4:10" ht="31.5" customHeight="1">
      <c r="D27" s="340" t="s">
        <v>288</v>
      </c>
      <c r="E27" s="348" t="s">
        <v>286</v>
      </c>
      <c r="F27" s="349" t="s">
        <v>287</v>
      </c>
      <c r="H27" s="340" t="s">
        <v>288</v>
      </c>
      <c r="I27" s="348" t="s">
        <v>324</v>
      </c>
      <c r="J27" s="349" t="s">
        <v>325</v>
      </c>
    </row>
    <row r="28" spans="4:10" s="37" customFormat="1" ht="20.100000000000001" customHeight="1">
      <c r="D28" s="392" t="s">
        <v>232</v>
      </c>
      <c r="E28" s="393" t="s">
        <v>395</v>
      </c>
      <c r="F28" s="394"/>
      <c r="G28" s="396"/>
      <c r="H28" s="392" t="s">
        <v>232</v>
      </c>
      <c r="I28" s="393">
        <v>98</v>
      </c>
      <c r="J28" s="394">
        <v>123</v>
      </c>
    </row>
    <row r="29" spans="4:10" s="37" customFormat="1" ht="20.100000000000001" customHeight="1">
      <c r="D29" s="392" t="s">
        <v>233</v>
      </c>
      <c r="E29" s="393" t="s">
        <v>396</v>
      </c>
      <c r="F29" s="394"/>
      <c r="G29" s="396"/>
      <c r="H29" s="392" t="s">
        <v>233</v>
      </c>
      <c r="I29" s="393">
        <v>99</v>
      </c>
      <c r="J29" s="394">
        <v>126</v>
      </c>
    </row>
    <row r="30" spans="4:10" s="37" customFormat="1" ht="20.100000000000001" customHeight="1">
      <c r="D30" s="392" t="s">
        <v>234</v>
      </c>
      <c r="E30" s="393" t="s">
        <v>397</v>
      </c>
      <c r="F30" s="394"/>
      <c r="G30" s="396"/>
      <c r="H30" s="392" t="s">
        <v>234</v>
      </c>
      <c r="I30" s="393">
        <v>98</v>
      </c>
      <c r="J30" s="394">
        <v>123</v>
      </c>
    </row>
    <row r="31" spans="4:10" s="37" customFormat="1" ht="20.100000000000001" customHeight="1">
      <c r="D31" s="392" t="s">
        <v>380</v>
      </c>
      <c r="E31" s="393" t="s">
        <v>398</v>
      </c>
      <c r="F31" s="394"/>
      <c r="G31" s="396"/>
      <c r="H31" s="392" t="s">
        <v>380</v>
      </c>
      <c r="I31" s="393">
        <v>99</v>
      </c>
      <c r="J31" s="394">
        <v>126</v>
      </c>
    </row>
    <row r="32" spans="4:10" s="37" customFormat="1" ht="20.100000000000001" customHeight="1">
      <c r="D32" s="392" t="s">
        <v>382</v>
      </c>
      <c r="E32" s="393" t="s">
        <v>399</v>
      </c>
      <c r="F32" s="394"/>
      <c r="G32" s="396"/>
      <c r="H32" s="392" t="s">
        <v>382</v>
      </c>
      <c r="I32" s="393">
        <v>99</v>
      </c>
      <c r="J32" s="394">
        <v>126</v>
      </c>
    </row>
    <row r="33" spans="4:16" s="37" customFormat="1" ht="20.100000000000001" customHeight="1">
      <c r="D33" s="392" t="s">
        <v>384</v>
      </c>
      <c r="E33" s="393" t="s">
        <v>400</v>
      </c>
      <c r="F33" s="394"/>
      <c r="G33" s="396"/>
      <c r="H33" s="392" t="s">
        <v>384</v>
      </c>
      <c r="I33" s="393">
        <v>99</v>
      </c>
      <c r="J33" s="394">
        <v>126</v>
      </c>
    </row>
    <row r="34" spans="4:16" s="37" customFormat="1" ht="20.100000000000001" customHeight="1">
      <c r="D34" s="392"/>
      <c r="E34" s="393"/>
      <c r="F34" s="394"/>
      <c r="G34" s="396"/>
      <c r="H34" s="392"/>
      <c r="I34" s="393"/>
      <c r="J34" s="394"/>
    </row>
    <row r="35" spans="4:16" s="37" customFormat="1" ht="20.100000000000001" customHeight="1">
      <c r="D35" s="392"/>
      <c r="E35" s="393"/>
      <c r="F35" s="394"/>
      <c r="G35" s="396"/>
      <c r="H35" s="392"/>
      <c r="I35" s="393"/>
      <c r="J35" s="394"/>
    </row>
    <row r="36" spans="4:16" s="37" customFormat="1" ht="20.100000000000001" customHeight="1">
      <c r="D36" s="392"/>
      <c r="E36" s="393"/>
      <c r="F36" s="394"/>
      <c r="G36" s="396"/>
      <c r="H36" s="392"/>
      <c r="I36" s="393"/>
      <c r="J36" s="394"/>
    </row>
    <row r="37" spans="4:16" s="37" customFormat="1" ht="20.100000000000001" customHeight="1">
      <c r="D37" s="392"/>
      <c r="E37" s="393"/>
      <c r="F37" s="394"/>
      <c r="G37" s="396"/>
      <c r="H37" s="392"/>
      <c r="I37" s="393"/>
      <c r="J37" s="394"/>
    </row>
    <row r="38" spans="4:16" s="37" customFormat="1" ht="20.100000000000001" customHeight="1">
      <c r="D38" s="392"/>
      <c r="E38" s="393"/>
      <c r="F38" s="394"/>
      <c r="G38" s="396"/>
      <c r="H38" s="392"/>
      <c r="I38" s="393"/>
      <c r="J38" s="394"/>
    </row>
    <row r="39" spans="4:16" s="37" customFormat="1" ht="20.100000000000001" customHeight="1">
      <c r="D39" s="392"/>
      <c r="E39" s="393"/>
      <c r="F39" s="394"/>
      <c r="G39" s="396"/>
      <c r="H39" s="392"/>
      <c r="I39" s="393"/>
      <c r="J39" s="394"/>
    </row>
    <row r="40" spans="4:16" s="37" customFormat="1" ht="19.5" customHeight="1" thickBot="1">
      <c r="D40" s="375"/>
      <c r="E40" s="376"/>
      <c r="F40" s="395"/>
      <c r="G40" s="396"/>
      <c r="H40" s="375"/>
      <c r="I40" s="376"/>
      <c r="J40" s="395"/>
    </row>
    <row r="41" spans="4:16" ht="20.100000000000001" customHeight="1">
      <c r="D41" s="336"/>
      <c r="L41" s="479" t="s">
        <v>374</v>
      </c>
    </row>
    <row r="42" spans="4:16" ht="20.100000000000001" customHeight="1">
      <c r="D42" s="336"/>
    </row>
    <row r="43" spans="4:16" ht="20.100000000000001" customHeight="1" thickBot="1">
      <c r="D43" s="337" t="s">
        <v>277</v>
      </c>
    </row>
    <row r="44" spans="4:16" s="37" customFormat="1" ht="31.5" customHeight="1">
      <c r="D44" s="340" t="s">
        <v>232</v>
      </c>
      <c r="E44" s="348" t="s">
        <v>233</v>
      </c>
      <c r="F44" s="348" t="s">
        <v>234</v>
      </c>
      <c r="G44" s="348" t="s">
        <v>380</v>
      </c>
      <c r="H44" s="348" t="s">
        <v>382</v>
      </c>
      <c r="I44" s="348" t="s">
        <v>384</v>
      </c>
      <c r="J44" s="348"/>
      <c r="K44" s="348"/>
      <c r="L44" s="348"/>
      <c r="M44" s="348"/>
      <c r="N44" s="348"/>
      <c r="O44" s="348"/>
      <c r="P44" s="349"/>
    </row>
    <row r="45" spans="4:16" s="373" customFormat="1" ht="30" customHeight="1" thickBot="1">
      <c r="D45" s="375" t="s">
        <v>401</v>
      </c>
      <c r="E45" s="376" t="s">
        <v>401</v>
      </c>
      <c r="F45" s="376" t="s">
        <v>401</v>
      </c>
      <c r="G45" s="371" t="s">
        <v>401</v>
      </c>
      <c r="H45" s="371" t="s">
        <v>401</v>
      </c>
      <c r="I45" s="371" t="s">
        <v>401</v>
      </c>
      <c r="J45" s="371"/>
      <c r="K45" s="371"/>
      <c r="L45" s="371"/>
      <c r="M45" s="371"/>
      <c r="N45" s="371"/>
      <c r="O45" s="371"/>
      <c r="P45" s="372"/>
    </row>
    <row r="46" spans="4:16" ht="20.100000000000001" customHeight="1">
      <c r="D46" s="336"/>
    </row>
    <row r="47" spans="4:16" ht="20.100000000000001" customHeight="1">
      <c r="D47" s="336"/>
    </row>
    <row r="48" spans="4:16" ht="22.5" customHeight="1" thickBot="1">
      <c r="D48" s="337" t="s">
        <v>289</v>
      </c>
    </row>
    <row r="49" spans="4:16" s="37" customFormat="1" ht="36.75" customHeight="1">
      <c r="D49" s="340" t="s">
        <v>232</v>
      </c>
      <c r="E49" s="348" t="s">
        <v>233</v>
      </c>
      <c r="F49" s="348" t="s">
        <v>234</v>
      </c>
      <c r="G49" s="348" t="s">
        <v>380</v>
      </c>
      <c r="H49" s="348" t="s">
        <v>382</v>
      </c>
      <c r="I49" s="348" t="s">
        <v>384</v>
      </c>
      <c r="J49" s="348"/>
      <c r="K49" s="348"/>
      <c r="L49" s="348"/>
      <c r="M49" s="348"/>
      <c r="N49" s="348"/>
      <c r="O49" s="348"/>
      <c r="P49" s="349"/>
    </row>
    <row r="50" spans="4:16" s="373" customFormat="1" ht="30" customHeight="1" thickBot="1">
      <c r="D50" s="375" t="s">
        <v>402</v>
      </c>
      <c r="E50" s="376" t="s">
        <v>402</v>
      </c>
      <c r="F50" s="376" t="s">
        <v>373</v>
      </c>
      <c r="G50" s="371" t="s">
        <v>373</v>
      </c>
      <c r="H50" s="371" t="s">
        <v>373</v>
      </c>
      <c r="I50" s="371" t="s">
        <v>373</v>
      </c>
      <c r="J50" s="371"/>
      <c r="K50" s="371"/>
      <c r="L50" s="371"/>
      <c r="M50" s="371"/>
      <c r="N50" s="371"/>
      <c r="O50" s="371"/>
      <c r="P50" s="372"/>
    </row>
    <row r="51" spans="4:16" ht="20.100000000000001" customHeight="1">
      <c r="D51" s="336"/>
    </row>
    <row r="52" spans="4:16" ht="20.100000000000001" customHeight="1">
      <c r="D52" s="336"/>
    </row>
    <row r="53" spans="4:16" ht="20.100000000000001" customHeight="1" thickBot="1">
      <c r="D53" s="337" t="s">
        <v>294</v>
      </c>
    </row>
    <row r="54" spans="4:16" s="37" customFormat="1" ht="40.5" customHeight="1">
      <c r="D54" s="340" t="s">
        <v>232</v>
      </c>
      <c r="E54" s="348" t="s">
        <v>233</v>
      </c>
      <c r="F54" s="348" t="s">
        <v>234</v>
      </c>
      <c r="G54" s="348" t="s">
        <v>380</v>
      </c>
      <c r="H54" s="348" t="s">
        <v>382</v>
      </c>
      <c r="I54" s="348" t="s">
        <v>384</v>
      </c>
      <c r="J54" s="348"/>
      <c r="K54" s="348"/>
      <c r="L54" s="348"/>
      <c r="M54" s="348"/>
      <c r="N54" s="348"/>
      <c r="O54" s="348"/>
      <c r="P54" s="349"/>
    </row>
    <row r="55" spans="4:16" s="373" customFormat="1" ht="30" customHeight="1" thickBot="1">
      <c r="D55" s="375" t="s">
        <v>403</v>
      </c>
      <c r="E55" s="376" t="s">
        <v>403</v>
      </c>
      <c r="F55" s="376" t="s">
        <v>404</v>
      </c>
      <c r="G55" s="371" t="s">
        <v>404</v>
      </c>
      <c r="H55" s="371" t="s">
        <v>404</v>
      </c>
      <c r="I55" s="371" t="s">
        <v>404</v>
      </c>
      <c r="J55" s="371"/>
      <c r="K55" s="371"/>
      <c r="L55" s="371"/>
      <c r="M55" s="371"/>
      <c r="N55" s="371"/>
      <c r="O55" s="371"/>
      <c r="P55" s="372"/>
    </row>
    <row r="58" spans="4:16" ht="20.100000000000001" customHeight="1" thickBot="1">
      <c r="D58" s="337" t="s">
        <v>225</v>
      </c>
    </row>
    <row r="59" spans="4:16" ht="36.75" customHeight="1">
      <c r="D59" s="340" t="s">
        <v>232</v>
      </c>
      <c r="E59" s="348" t="s">
        <v>233</v>
      </c>
      <c r="F59" s="348" t="s">
        <v>234</v>
      </c>
      <c r="G59" s="348" t="s">
        <v>380</v>
      </c>
      <c r="H59" s="348" t="s">
        <v>382</v>
      </c>
      <c r="I59" s="348" t="s">
        <v>384</v>
      </c>
      <c r="J59" s="348"/>
      <c r="K59" s="348"/>
      <c r="L59" s="348"/>
      <c r="M59" s="348"/>
      <c r="N59" s="348"/>
      <c r="O59" s="348"/>
      <c r="P59" s="349"/>
    </row>
    <row r="60" spans="4:16" ht="30" customHeight="1" thickBot="1">
      <c r="D60" s="375" t="s">
        <v>405</v>
      </c>
      <c r="E60" s="376" t="s">
        <v>406</v>
      </c>
      <c r="F60" s="376" t="s">
        <v>407</v>
      </c>
      <c r="G60" s="371" t="s">
        <v>408</v>
      </c>
      <c r="H60" s="371" t="s">
        <v>409</v>
      </c>
      <c r="I60" s="371" t="s">
        <v>406</v>
      </c>
      <c r="J60" s="371"/>
      <c r="K60" s="371"/>
      <c r="L60" s="371"/>
      <c r="M60" s="371"/>
      <c r="N60" s="371"/>
      <c r="O60" s="371"/>
      <c r="P60" s="372"/>
    </row>
    <row r="63" spans="4:16" ht="20.100000000000001" customHeight="1" thickBot="1">
      <c r="D63" s="337" t="s">
        <v>226</v>
      </c>
    </row>
    <row r="64" spans="4:16" ht="36.75" customHeight="1">
      <c r="D64" s="340" t="s">
        <v>232</v>
      </c>
      <c r="E64" s="348" t="s">
        <v>233</v>
      </c>
      <c r="F64" s="348" t="s">
        <v>234</v>
      </c>
      <c r="G64" s="348" t="s">
        <v>380</v>
      </c>
      <c r="H64" s="348" t="s">
        <v>382</v>
      </c>
      <c r="I64" s="348" t="s">
        <v>384</v>
      </c>
      <c r="J64" s="348"/>
      <c r="K64" s="348"/>
      <c r="L64" s="348"/>
      <c r="M64" s="348"/>
      <c r="N64" s="348"/>
      <c r="O64" s="348"/>
      <c r="P64" s="349"/>
    </row>
    <row r="65" spans="4:16" ht="30" customHeight="1" thickBot="1">
      <c r="D65" s="375" t="s">
        <v>410</v>
      </c>
      <c r="E65" s="376" t="s">
        <v>411</v>
      </c>
      <c r="F65" s="376" t="s">
        <v>412</v>
      </c>
      <c r="G65" s="371" t="s">
        <v>413</v>
      </c>
      <c r="H65" s="371" t="s">
        <v>414</v>
      </c>
      <c r="I65" s="371" t="s">
        <v>410</v>
      </c>
      <c r="J65" s="371"/>
      <c r="K65" s="371"/>
      <c r="L65" s="371"/>
      <c r="M65" s="371"/>
      <c r="N65" s="371"/>
      <c r="O65" s="371"/>
      <c r="P65" s="37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53" t="str">
        <f>Well!D4</f>
        <v>전라남도 목포시 죽교동 701</v>
      </c>
      <c r="H2"/>
      <c r="I2" s="296" t="s">
        <v>207</v>
      </c>
      <c r="J2"/>
      <c r="K2"/>
      <c r="L2"/>
      <c r="M2"/>
    </row>
    <row r="3" spans="1:13" ht="20.100000000000001" customHeight="1">
      <c r="B3" s="2" t="s">
        <v>48</v>
      </c>
      <c r="C3" s="488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 s="609" t="s">
        <v>321</v>
      </c>
      <c r="J3" s="610">
        <v>7.4930834770202637</v>
      </c>
      <c r="K3" s="613">
        <f>ROUND(J3,4)</f>
        <v>7.4931000000000001</v>
      </c>
      <c r="L3"/>
      <c r="M3"/>
    </row>
    <row r="4" spans="1:13" ht="20.100000000000001" customHeight="1">
      <c r="B4" s="6" t="s">
        <v>51</v>
      </c>
      <c r="C4" s="489">
        <f>Well!R4</f>
        <v>0</v>
      </c>
      <c r="D4" s="7" t="s">
        <v>52</v>
      </c>
      <c r="E4" s="8">
        <v>0</v>
      </c>
      <c r="F4" s="9"/>
      <c r="G4" s="10"/>
      <c r="H4"/>
      <c r="I4" s="608" t="s">
        <v>447</v>
      </c>
      <c r="J4" s="486">
        <v>436.66665649414063</v>
      </c>
      <c r="K4" s="614">
        <f>ROUND(J4,1)</f>
        <v>436.7</v>
      </c>
      <c r="L4"/>
      <c r="M4"/>
    </row>
    <row r="5" spans="1:13" ht="20.100000000000001" customHeight="1" thickBot="1">
      <c r="B5" s="6" t="s">
        <v>53</v>
      </c>
      <c r="C5" s="489">
        <f>Well!Q4</f>
        <v>0</v>
      </c>
      <c r="D5" s="7" t="s">
        <v>54</v>
      </c>
      <c r="E5" s="33">
        <v>6.7590000000000003</v>
      </c>
      <c r="F5" s="34">
        <f>$E$5/$C$14</f>
        <v>1.8267567567567568E-2</v>
      </c>
      <c r="G5" s="10">
        <v>2.7310000000000002E-4</v>
      </c>
      <c r="H5"/>
      <c r="I5" s="608" t="s">
        <v>448</v>
      </c>
      <c r="J5" s="486">
        <v>215</v>
      </c>
      <c r="K5" s="614">
        <f>ROUND(J5,1)</f>
        <v>215</v>
      </c>
      <c r="L5"/>
      <c r="M5"/>
    </row>
    <row r="6" spans="1:13" ht="20.100000000000001" customHeight="1" thickBot="1">
      <c r="B6" s="6" t="s">
        <v>55</v>
      </c>
      <c r="C6" s="490" t="str">
        <f>Well!D4</f>
        <v>전라남도 목포시 죽교동 701</v>
      </c>
      <c r="D6" s="7" t="s">
        <v>57</v>
      </c>
      <c r="E6" s="8">
        <v>2.8290000000000002</v>
      </c>
      <c r="F6" s="34">
        <f>$E$6/$C$14</f>
        <v>7.6459459459459461E-3</v>
      </c>
      <c r="G6" s="10" t="s">
        <v>58</v>
      </c>
      <c r="H6" s="298">
        <v>1.7849999999999999</v>
      </c>
      <c r="I6" s="611" t="s">
        <v>449</v>
      </c>
      <c r="J6" s="612">
        <v>1.1465843999758363E-3</v>
      </c>
      <c r="K6" s="615">
        <f>ROUND(J6,4)</f>
        <v>1.1000000000000001E-3</v>
      </c>
      <c r="L6"/>
      <c r="M6"/>
    </row>
    <row r="7" spans="1:13" ht="20.100000000000001" customHeight="1" thickBot="1">
      <c r="B7" s="6" t="s">
        <v>56</v>
      </c>
      <c r="C7" s="491">
        <f>Well!H4</f>
        <v>400</v>
      </c>
      <c r="D7" s="322" t="s">
        <v>60</v>
      </c>
      <c r="E7" s="297">
        <f>(E5+E6)/2</f>
        <v>4.7940000000000005</v>
      </c>
      <c r="F7" s="35">
        <f>$E$7/$C$14</f>
        <v>1.2956756756756758E-2</v>
      </c>
      <c r="G7" s="32">
        <f>G5</f>
        <v>2.7310000000000002E-4</v>
      </c>
      <c r="H7" s="158">
        <v>8.7010000000000004E-2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Well!G4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29.4</v>
      </c>
      <c r="F10" s="180">
        <v>36</v>
      </c>
      <c r="G10" s="181">
        <v>151.80000000000001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72.400000000000006</v>
      </c>
      <c r="F11" s="173">
        <f>ROUND((E10+F10)/2,1)</f>
        <v>32.700000000000003</v>
      </c>
      <c r="G11" s="318">
        <f>MAX(E10,F10,G10)</f>
        <v>151.80000000000001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370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400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485</v>
      </c>
      <c r="L13" s="42"/>
    </row>
    <row r="14" spans="1:13" ht="20.100000000000001" customHeight="1">
      <c r="B14" s="6" t="s">
        <v>68</v>
      </c>
      <c r="C14" s="492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Well!I4</f>
        <v>10</v>
      </c>
      <c r="E15" s="41">
        <v>1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Well!J4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0.67999999999999972</v>
      </c>
      <c r="L16" s="42"/>
    </row>
    <row r="17" spans="2:12" ht="20.100000000000001" customHeight="1" thickBot="1">
      <c r="B17" s="6" t="s">
        <v>71</v>
      </c>
      <c r="C17" s="491">
        <f>Well!L4</f>
        <v>3</v>
      </c>
      <c r="E17" s="76">
        <f>Well!P4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0.67999999999999972</v>
      </c>
      <c r="L17" s="42"/>
    </row>
    <row r="18" spans="2:12" ht="20.100000000000001" customHeight="1" thickBot="1">
      <c r="B18" s="6" t="s">
        <v>72</v>
      </c>
      <c r="C18" s="491">
        <f>Well!M4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1.4020618556701025E-3</v>
      </c>
      <c r="L18" s="370">
        <f>K18*100</f>
        <v>0.14020618556701026</v>
      </c>
    </row>
    <row r="19" spans="2:12" ht="20.100000000000001" customHeight="1" thickBot="1">
      <c r="B19" s="21" t="s">
        <v>76</v>
      </c>
      <c r="C19" s="496">
        <f>Well!N4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4.32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9.5299999999999994</v>
      </c>
      <c r="D21" s="17"/>
      <c r="E21" s="175">
        <f>Well!$I$11</f>
        <v>60</v>
      </c>
      <c r="F21" s="244">
        <f>Well!O4</f>
        <v>24.9</v>
      </c>
      <c r="G21" s="245">
        <f>G19-E21-F21</f>
        <v>320.43611300383571</v>
      </c>
    </row>
    <row r="22" spans="2:12" ht="20.100000000000001" customHeight="1" thickBot="1">
      <c r="B22" s="31" t="s">
        <v>165</v>
      </c>
      <c r="C22" s="499">
        <f>C21-C20</f>
        <v>5.2099999999999991</v>
      </c>
      <c r="E22" s="550">
        <f>E21+F21</f>
        <v>84.9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104</v>
      </c>
      <c r="C26" s="191" t="s">
        <v>105</v>
      </c>
      <c r="D26" s="192">
        <f>C20</f>
        <v>4.32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0.14020618556701026</v>
      </c>
      <c r="I26" s="192" t="s">
        <v>185</v>
      </c>
      <c r="J26" s="192">
        <f>(E7/C14)/864</f>
        <v>1.4996246246246247E-5</v>
      </c>
      <c r="K26" s="196" t="s">
        <v>445</v>
      </c>
    </row>
    <row r="27" spans="2:12" ht="25.5" customHeight="1">
      <c r="B27" s="54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446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4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tabSelected="1" workbookViewId="0">
      <selection activeCell="M4" sqref="M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233</v>
      </c>
      <c r="C2" s="453" t="str">
        <f>Well!D5</f>
        <v>전라남도 목포시 죽교동 701</v>
      </c>
      <c r="H2"/>
      <c r="I2" s="296" t="s">
        <v>271</v>
      </c>
      <c r="J2"/>
      <c r="K2"/>
      <c r="L2"/>
      <c r="M2"/>
    </row>
    <row r="3" spans="1:13" ht="20.100000000000001" customHeight="1">
      <c r="B3" s="2" t="s">
        <v>6</v>
      </c>
      <c r="C3" s="488">
        <f>Well!C5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9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9">
        <f>Well!Q5</f>
        <v>0</v>
      </c>
      <c r="D5" s="7" t="s">
        <v>54</v>
      </c>
      <c r="E5" s="33">
        <v>8.7629999999999999</v>
      </c>
      <c r="F5" s="34">
        <f>$E$5/$C$14</f>
        <v>2.3683783783783784E-2</v>
      </c>
      <c r="G5" s="10">
        <v>2.719E-4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0" t="str">
        <f>Well!D5</f>
        <v>전라남도 목포시 죽교동 701</v>
      </c>
      <c r="D6" s="7" t="s">
        <v>57</v>
      </c>
      <c r="E6" s="8">
        <v>5.718</v>
      </c>
      <c r="F6" s="34">
        <f>$E$6/$C$14</f>
        <v>1.5454054054054055E-2</v>
      </c>
      <c r="G6" s="10" t="s">
        <v>58</v>
      </c>
      <c r="H6" s="298">
        <v>1.54</v>
      </c>
      <c r="I6"/>
      <c r="J6"/>
      <c r="K6"/>
      <c r="L6"/>
      <c r="M6"/>
    </row>
    <row r="7" spans="1:13" ht="20.100000000000001" customHeight="1" thickBot="1">
      <c r="B7" s="6" t="s">
        <v>56</v>
      </c>
      <c r="C7" s="491">
        <f>Well!H5</f>
        <v>400</v>
      </c>
      <c r="D7" s="322" t="s">
        <v>60</v>
      </c>
      <c r="E7" s="297">
        <f>(E5+E6)/2</f>
        <v>7.2404999999999999</v>
      </c>
      <c r="F7" s="35">
        <f>$E$7/$C$14</f>
        <v>1.9568918918918918E-2</v>
      </c>
      <c r="G7" s="32">
        <f>G5</f>
        <v>2.719E-4</v>
      </c>
      <c r="H7" s="158">
        <v>6.4490000000000006E-2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Well!G5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33.799999999999997</v>
      </c>
      <c r="F10" s="180">
        <v>41.4</v>
      </c>
      <c r="G10" s="181">
        <v>186.9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87.4</v>
      </c>
      <c r="F11" s="173">
        <f>ROUND((E10+F10)/2,1)</f>
        <v>37.6</v>
      </c>
      <c r="G11" s="318">
        <f>MAX(E10,F10,G10)</f>
        <v>186.9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370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400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474</v>
      </c>
      <c r="L13" s="42"/>
    </row>
    <row r="14" spans="1:13" ht="20.100000000000001" customHeight="1">
      <c r="B14" s="6" t="s">
        <v>68</v>
      </c>
      <c r="C14" s="492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Well!I5</f>
        <v>10</v>
      </c>
      <c r="E15" s="41">
        <v>2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Well!J5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91">
        <f>Well!L5</f>
        <v>3</v>
      </c>
      <c r="E17" s="76">
        <f>Well!P5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91">
        <f>Well!M5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1.0337552742616038E-3</v>
      </c>
      <c r="L18" s="370">
        <f>K18*100</f>
        <v>0.10337552742616038</v>
      </c>
    </row>
    <row r="19" spans="2:12" ht="20.100000000000001" customHeight="1" thickBot="1">
      <c r="B19" s="21" t="s">
        <v>76</v>
      </c>
      <c r="C19" s="496">
        <f>Well!N5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9.0399999999999991</v>
      </c>
      <c r="D21" s="17"/>
      <c r="E21" s="175">
        <f>Well!$I$5</f>
        <v>10</v>
      </c>
      <c r="F21" s="244">
        <f>Well!O5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9">
        <f>C21-C20</f>
        <v>4.5299999999999994</v>
      </c>
      <c r="E22" s="550">
        <f>E21+F21</f>
        <v>34.9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1.06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0.10337552742616038</v>
      </c>
      <c r="I26" s="192" t="s">
        <v>185</v>
      </c>
      <c r="J26" s="192">
        <f>(E7/C14)/864</f>
        <v>2.2649211711711709E-5</v>
      </c>
      <c r="K26" s="196" t="s">
        <v>445</v>
      </c>
    </row>
    <row r="27" spans="2:12" ht="25.5" customHeight="1">
      <c r="B27" s="54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446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4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234</v>
      </c>
      <c r="C2" s="453" t="str">
        <f>Well!D6</f>
        <v>전라남도 목포시 죽교동 701</v>
      </c>
      <c r="H2"/>
      <c r="I2" s="296" t="s">
        <v>293</v>
      </c>
      <c r="J2"/>
      <c r="K2"/>
      <c r="L2"/>
      <c r="M2"/>
    </row>
    <row r="3" spans="1:13" ht="20.100000000000001" customHeight="1">
      <c r="B3" s="2" t="s">
        <v>6</v>
      </c>
      <c r="C3" s="488">
        <f>Well!C6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9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9">
        <f>Well!Q6</f>
        <v>0</v>
      </c>
      <c r="D5" s="7" t="s">
        <v>54</v>
      </c>
      <c r="E5" s="33">
        <v>12.33</v>
      </c>
      <c r="F5" s="34">
        <f>$E$5/$C$14</f>
        <v>2.6234042553191488E-2</v>
      </c>
      <c r="G5" s="10">
        <v>2.7129999999999998E-4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0" t="str">
        <f>Well!D6</f>
        <v>전라남도 목포시 죽교동 701</v>
      </c>
      <c r="D6" s="7" t="s">
        <v>57</v>
      </c>
      <c r="E6" s="8">
        <v>4.92</v>
      </c>
      <c r="F6" s="34">
        <f>$E$6/$C$14</f>
        <v>1.0468085106382979E-2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91">
        <f>Well!H6</f>
        <v>500</v>
      </c>
      <c r="D7" s="322" t="s">
        <v>60</v>
      </c>
      <c r="E7" s="297">
        <f>(E5+E6)/2</f>
        <v>8.625</v>
      </c>
      <c r="F7" s="35">
        <f>$E$7/$C$14</f>
        <v>1.8351063829787233E-2</v>
      </c>
      <c r="G7" s="32">
        <f>G5</f>
        <v>2.7129999999999998E-4</v>
      </c>
      <c r="H7" s="158">
        <v>3.3669999999999999E-2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Well!G6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34.6</v>
      </c>
      <c r="F10" s="180">
        <v>42.4</v>
      </c>
      <c r="G10" s="181">
        <v>204.3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93.8</v>
      </c>
      <c r="F11" s="173">
        <f>ROUND((E10+F10)/2,1)</f>
        <v>38.5</v>
      </c>
      <c r="G11" s="318">
        <f>MAX(E10,F10,G10)</f>
        <v>204.3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482</v>
      </c>
      <c r="L13" s="42"/>
    </row>
    <row r="14" spans="1:13" ht="20.100000000000001" customHeight="1">
      <c r="B14" s="6" t="s">
        <v>68</v>
      </c>
      <c r="C14" s="492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Well!I6</f>
        <v>10</v>
      </c>
      <c r="E15" s="41">
        <v>3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Well!J6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0.73000000000000043</v>
      </c>
      <c r="L16" s="42"/>
    </row>
    <row r="17" spans="2:12" ht="20.100000000000001" customHeight="1" thickBot="1">
      <c r="B17" s="6" t="s">
        <v>71</v>
      </c>
      <c r="C17" s="491">
        <f>Well!L6</f>
        <v>5</v>
      </c>
      <c r="E17" s="76">
        <f>Well!P6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0.73000000000000043</v>
      </c>
      <c r="L17" s="42"/>
    </row>
    <row r="18" spans="2:12" ht="20.100000000000001" customHeight="1" thickBot="1">
      <c r="B18" s="6" t="s">
        <v>72</v>
      </c>
      <c r="C18" s="491">
        <f>Well!M6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1.5145228215767644E-3</v>
      </c>
      <c r="L18" s="370">
        <f>K18*100</f>
        <v>0.15145228215767645</v>
      </c>
    </row>
    <row r="19" spans="2:12" ht="20.100000000000001" customHeight="1" thickBot="1">
      <c r="B19" s="21" t="s">
        <v>76</v>
      </c>
      <c r="C19" s="496">
        <f>Well!N6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4.2699999999999996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9.34</v>
      </c>
      <c r="D21" s="17"/>
      <c r="E21" s="175">
        <f>Well!$I$6</f>
        <v>10</v>
      </c>
      <c r="F21" s="244">
        <f>Well!O6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9">
        <f>C21-C20</f>
        <v>5.07</v>
      </c>
      <c r="E22" s="550">
        <f>E21+F21</f>
        <v>34.9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1.53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49</v>
      </c>
      <c r="C26" s="191" t="s">
        <v>105</v>
      </c>
      <c r="D26" s="192">
        <f>C20</f>
        <v>4.2699999999999996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0.15145228215767645</v>
      </c>
      <c r="I26" s="192" t="s">
        <v>185</v>
      </c>
      <c r="J26" s="192">
        <f>(E7/C14)/864</f>
        <v>2.1239657210401891E-5</v>
      </c>
      <c r="K26" s="196" t="s">
        <v>445</v>
      </c>
    </row>
    <row r="27" spans="2:12" ht="25.5" customHeight="1">
      <c r="B27" s="54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446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4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7009-31CD-4CB9-BCDC-E578C8746217}">
  <sheetPr codeName="Sheet_W4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380</v>
      </c>
      <c r="C2" s="453" t="str">
        <f>Well!D7</f>
        <v>전라남도 목포시 죽교동 701</v>
      </c>
      <c r="H2"/>
      <c r="I2" s="296" t="s">
        <v>381</v>
      </c>
      <c r="J2"/>
      <c r="K2"/>
      <c r="L2"/>
      <c r="M2"/>
    </row>
    <row r="3" spans="1:13" ht="20.100000000000001" customHeight="1">
      <c r="B3" s="2" t="s">
        <v>6</v>
      </c>
      <c r="C3" s="488">
        <f>Well!C7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9">
        <f>Well!R7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9">
        <f>Well!Q7</f>
        <v>0</v>
      </c>
      <c r="D5" s="7" t="s">
        <v>54</v>
      </c>
      <c r="E5" s="33">
        <v>12.34</v>
      </c>
      <c r="F5" s="34">
        <f>$E$5/$C$14</f>
        <v>2.6255319148936172E-2</v>
      </c>
      <c r="G5" s="10">
        <v>2.721E-4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0" t="str">
        <f>Well!D7</f>
        <v>전라남도 목포시 죽교동 701</v>
      </c>
      <c r="D6" s="7" t="s">
        <v>57</v>
      </c>
      <c r="E6" s="8">
        <v>4.2549999999999999</v>
      </c>
      <c r="F6" s="34">
        <f>$E$6/$C$14</f>
        <v>9.0531914893617026E-3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91">
        <f>Well!H7</f>
        <v>500</v>
      </c>
      <c r="D7" s="322" t="s">
        <v>60</v>
      </c>
      <c r="E7" s="297">
        <f>(E5+E6)/2</f>
        <v>8.2974999999999994</v>
      </c>
      <c r="F7" s="35">
        <f>$E$7/$C$14</f>
        <v>1.7654255319148934E-2</v>
      </c>
      <c r="G7" s="32">
        <f>G5</f>
        <v>2.721E-4</v>
      </c>
      <c r="H7" s="158">
        <v>3.3770000000000001E-2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Well!G7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35.1</v>
      </c>
      <c r="F10" s="180">
        <v>43</v>
      </c>
      <c r="G10" s="181">
        <v>200.1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92.7</v>
      </c>
      <c r="F11" s="173">
        <f>ROUND((E10+F10)/2,1)</f>
        <v>39.1</v>
      </c>
      <c r="G11" s="318">
        <f>MAX(E10,F10,G10)</f>
        <v>200.1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469</v>
      </c>
      <c r="L13" s="42"/>
    </row>
    <row r="14" spans="1:13" ht="20.100000000000001" customHeight="1">
      <c r="B14" s="6" t="s">
        <v>68</v>
      </c>
      <c r="C14" s="492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Well!I7</f>
        <v>10</v>
      </c>
      <c r="E15" s="41">
        <v>4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Well!J7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0.57000000000000028</v>
      </c>
      <c r="L16" s="42"/>
    </row>
    <row r="17" spans="2:12" ht="20.100000000000001" customHeight="1" thickBot="1">
      <c r="B17" s="6" t="s">
        <v>71</v>
      </c>
      <c r="C17" s="491">
        <f>Well!L7</f>
        <v>5</v>
      </c>
      <c r="E17" s="76">
        <f>Well!P7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0.57000000000000028</v>
      </c>
      <c r="L17" s="42"/>
    </row>
    <row r="18" spans="2:12" ht="20.100000000000001" customHeight="1" thickBot="1">
      <c r="B18" s="6" t="s">
        <v>72</v>
      </c>
      <c r="C18" s="491">
        <f>Well!M7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1.2153518123667383E-3</v>
      </c>
      <c r="L18" s="370">
        <f>K18*100</f>
        <v>0.12153518123667383</v>
      </c>
    </row>
    <row r="19" spans="2:12" ht="20.100000000000001" customHeight="1" thickBot="1">
      <c r="B19" s="21" t="s">
        <v>76</v>
      </c>
      <c r="C19" s="496">
        <f>Well!N7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4.43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9.86</v>
      </c>
      <c r="D21" s="17"/>
      <c r="E21" s="175">
        <f>Well!$I$7</f>
        <v>10</v>
      </c>
      <c r="F21" s="244">
        <f>Well!O7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9">
        <f>C21-C20</f>
        <v>5.43</v>
      </c>
      <c r="E22" s="550">
        <f>E21+F21</f>
        <v>34.9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1.64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49</v>
      </c>
      <c r="C26" s="191" t="s">
        <v>105</v>
      </c>
      <c r="D26" s="192">
        <f>C20</f>
        <v>4.43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0.12153518123667383</v>
      </c>
      <c r="I26" s="192" t="s">
        <v>185</v>
      </c>
      <c r="J26" s="192">
        <f>(E7/C14)/864</f>
        <v>2.04331658786446E-5</v>
      </c>
      <c r="K26" s="196" t="s">
        <v>445</v>
      </c>
    </row>
    <row r="27" spans="2:12" ht="25.5" customHeight="1">
      <c r="B27" s="54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446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4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1006F52-9D08-4436-A91C-90B071061F71}">
          <x14:formula1>
            <xm:f>drastic!$A$4:$A$13</xm:f>
          </x14:formula1>
          <xm:sqref>F26</xm:sqref>
        </x14:dataValidation>
        <x14:dataValidation type="list" allowBlank="1" showInputMessage="1" showErrorMessage="1" xr:uid="{12C4E310-95D8-49A8-B109-1EB85E8100E6}">
          <x14:formula1>
            <xm:f>drastic!$D$4:$D$14</xm:f>
          </x14:formula1>
          <xm:sqref>G26</xm:sqref>
        </x14:dataValidation>
        <x14:dataValidation type="list" allowBlank="1" showInputMessage="1" showErrorMessage="1" xr:uid="{7F15409B-88C9-41E6-832D-6872BD8CBF86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93A7-6298-49FC-8173-6877852F4840}">
  <sheetPr codeName="Sheet_W5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382</v>
      </c>
      <c r="C2" s="453" t="str">
        <f>Well!D8</f>
        <v>전라남도 목포시 죽교동 701</v>
      </c>
      <c r="H2"/>
      <c r="I2" s="296" t="s">
        <v>383</v>
      </c>
      <c r="J2"/>
      <c r="K2"/>
      <c r="L2"/>
      <c r="M2"/>
    </row>
    <row r="3" spans="1:13" ht="20.100000000000001" customHeight="1">
      <c r="B3" s="2" t="s">
        <v>6</v>
      </c>
      <c r="C3" s="488">
        <f>Well!C8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9">
        <f>Well!R8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9">
        <f>Well!Q8</f>
        <v>0</v>
      </c>
      <c r="D5" s="7" t="s">
        <v>54</v>
      </c>
      <c r="E5" s="33">
        <v>11.81</v>
      </c>
      <c r="F5" s="34">
        <f>$E$5/$C$14</f>
        <v>2.5127659574468088E-2</v>
      </c>
      <c r="G5" s="10">
        <v>2.7230000000000001E-4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0" t="str">
        <f>Well!D8</f>
        <v>전라남도 목포시 죽교동 701</v>
      </c>
      <c r="D6" s="7" t="s">
        <v>57</v>
      </c>
      <c r="E6" s="8">
        <v>4.25</v>
      </c>
      <c r="F6" s="34">
        <f>$E$6/$C$14</f>
        <v>9.0425531914893609E-3</v>
      </c>
      <c r="G6" s="10" t="s">
        <v>58</v>
      </c>
      <c r="H6" s="298">
        <v>1.17</v>
      </c>
      <c r="I6"/>
      <c r="J6"/>
      <c r="K6"/>
      <c r="L6"/>
      <c r="M6"/>
    </row>
    <row r="7" spans="1:13" ht="20.100000000000001" customHeight="1" thickBot="1">
      <c r="B7" s="6" t="s">
        <v>56</v>
      </c>
      <c r="C7" s="491">
        <f>Well!H8</f>
        <v>500</v>
      </c>
      <c r="D7" s="322" t="s">
        <v>60</v>
      </c>
      <c r="E7" s="297">
        <f>(E5+E6)/2</f>
        <v>8.0300000000000011</v>
      </c>
      <c r="F7" s="35">
        <f>$E$7/$C$14</f>
        <v>1.7085106382978724E-2</v>
      </c>
      <c r="G7" s="32">
        <f>G5</f>
        <v>2.7230000000000001E-4</v>
      </c>
      <c r="H7" s="158">
        <v>3.7280000000000001E-2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Well!G8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34.799999999999997</v>
      </c>
      <c r="F10" s="180">
        <v>42.7</v>
      </c>
      <c r="G10" s="181">
        <v>196.7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91.4</v>
      </c>
      <c r="F11" s="173">
        <f>ROUND((E10+F10)/2,1)</f>
        <v>38.799999999999997</v>
      </c>
      <c r="G11" s="318">
        <f>MAX(E10,F10,G10)</f>
        <v>196.7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470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500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457</v>
      </c>
      <c r="L13" s="42"/>
    </row>
    <row r="14" spans="1:13" ht="20.100000000000001" customHeight="1">
      <c r="B14" s="6" t="s">
        <v>68</v>
      </c>
      <c r="C14" s="492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Well!I8</f>
        <v>10</v>
      </c>
      <c r="E15" s="41">
        <v>5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Well!J8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0.28000000000000025</v>
      </c>
      <c r="L16" s="42"/>
    </row>
    <row r="17" spans="2:12" ht="20.100000000000001" customHeight="1" thickBot="1">
      <c r="B17" s="6" t="s">
        <v>71</v>
      </c>
      <c r="C17" s="491">
        <f>Well!L8</f>
        <v>5</v>
      </c>
      <c r="E17" s="76">
        <f>Well!P8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0.28000000000000025</v>
      </c>
      <c r="L17" s="42"/>
    </row>
    <row r="18" spans="2:12" ht="20.100000000000001" customHeight="1" thickBot="1">
      <c r="B18" s="6" t="s">
        <v>72</v>
      </c>
      <c r="C18" s="491">
        <f>Well!M8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6.1269146608315152E-4</v>
      </c>
      <c r="L18" s="370">
        <f>K18*100</f>
        <v>6.1269146608315152E-2</v>
      </c>
    </row>
    <row r="19" spans="2:12" ht="20.100000000000001" customHeight="1" thickBot="1">
      <c r="B19" s="21" t="s">
        <v>76</v>
      </c>
      <c r="C19" s="496">
        <f>Well!N8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4.72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10.25</v>
      </c>
      <c r="D21" s="17"/>
      <c r="E21" s="175">
        <f>Well!$I$8</f>
        <v>10</v>
      </c>
      <c r="F21" s="244">
        <f>Well!O8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9">
        <f>C21-C20</f>
        <v>5.53</v>
      </c>
      <c r="E22" s="550">
        <f>E21+F21</f>
        <v>34.9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1.62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49</v>
      </c>
      <c r="C26" s="191" t="s">
        <v>105</v>
      </c>
      <c r="D26" s="192">
        <f>C20</f>
        <v>4.72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6.1269146608315152E-2</v>
      </c>
      <c r="I26" s="192" t="s">
        <v>185</v>
      </c>
      <c r="J26" s="192">
        <f>(E7/C14)/864</f>
        <v>1.9774428684003152E-5</v>
      </c>
      <c r="K26" s="196" t="s">
        <v>445</v>
      </c>
    </row>
    <row r="27" spans="2:12" ht="25.5" customHeight="1">
      <c r="B27" s="546"/>
      <c r="C27" s="191" t="s">
        <v>106</v>
      </c>
      <c r="D27" s="191">
        <v>7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235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35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109</v>
      </c>
    </row>
    <row r="31" spans="2:12" ht="25.5" customHeight="1" thickBot="1">
      <c r="B31" s="547"/>
      <c r="C31" s="200" t="s">
        <v>181</v>
      </c>
      <c r="D31" s="201">
        <f t="shared" ref="D31:J31" si="1">D27*D29</f>
        <v>35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65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6593" r:id="rId4" name="CommandButton5"/>
      </mc:Fallback>
    </mc:AlternateContent>
    <mc:AlternateContent xmlns:mc="http://schemas.openxmlformats.org/markup-compatibility/2006">
      <mc:Choice Requires="x14">
        <control shapeId="3665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6594" r:id="rId6" name="Frame1"/>
      </mc:Fallback>
    </mc:AlternateContent>
    <mc:AlternateContent xmlns:mc="http://schemas.openxmlformats.org/markup-compatibility/2006">
      <mc:Choice Requires="x14">
        <control shapeId="3665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6595" r:id="rId8" name="CommandButton6"/>
      </mc:Fallback>
    </mc:AlternateContent>
    <mc:AlternateContent xmlns:mc="http://schemas.openxmlformats.org/markup-compatibility/2006">
      <mc:Choice Requires="x14">
        <control shapeId="366596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65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66C33D1-3EF7-400E-8F92-F78785D73550}">
          <x14:formula1>
            <xm:f>drastic!$A$4:$A$13</xm:f>
          </x14:formula1>
          <xm:sqref>F26</xm:sqref>
        </x14:dataValidation>
        <x14:dataValidation type="list" allowBlank="1" showInputMessage="1" showErrorMessage="1" xr:uid="{095F6F11-1559-49DA-A769-1CD949E4AEF6}">
          <x14:formula1>
            <xm:f>drastic!$D$4:$D$14</xm:f>
          </x14:formula1>
          <xm:sqref>G26</xm:sqref>
        </x14:dataValidation>
        <x14:dataValidation type="list" allowBlank="1" showInputMessage="1" showErrorMessage="1" xr:uid="{2CEB1B68-4197-4028-88AD-9EC31081EA60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E37D-FB46-48A7-900F-A44FA271D9DE}">
  <sheetPr codeName="Sheet_W6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384</v>
      </c>
      <c r="C2" s="453" t="str">
        <f>Well!D9</f>
        <v>전라남도 목포시 죽교동 701</v>
      </c>
      <c r="H2"/>
      <c r="I2" s="296" t="s">
        <v>385</v>
      </c>
      <c r="J2"/>
      <c r="K2"/>
      <c r="L2"/>
      <c r="M2"/>
    </row>
    <row r="3" spans="1:13" ht="20.100000000000001" customHeight="1">
      <c r="B3" s="2" t="s">
        <v>6</v>
      </c>
      <c r="C3" s="488">
        <f>Well!C9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9">
        <f>Well!R9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9">
        <f>Well!Q9</f>
        <v>0</v>
      </c>
      <c r="D5" s="7" t="s">
        <v>54</v>
      </c>
      <c r="E5" s="33">
        <v>11.39</v>
      </c>
      <c r="F5" s="34">
        <f>$E$5/$C$14</f>
        <v>2.423404255319149E-2</v>
      </c>
      <c r="G5" s="10">
        <v>2.7240000000000001E-4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0" t="str">
        <f>Well!D9</f>
        <v>전라남도 목포시 죽교동 701</v>
      </c>
      <c r="D6" s="7" t="s">
        <v>57</v>
      </c>
      <c r="E6" s="8">
        <v>4.5529999999999999</v>
      </c>
      <c r="F6" s="34">
        <f>$E$6/$C$14</f>
        <v>9.6872340425531913E-3</v>
      </c>
      <c r="G6" s="10" t="s">
        <v>58</v>
      </c>
      <c r="H6" s="298">
        <v>1.2130000000000001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91">
        <f>Well!H9</f>
        <v>500</v>
      </c>
      <c r="D7" s="322" t="s">
        <v>60</v>
      </c>
      <c r="E7" s="297">
        <f>(E5+E6)/2</f>
        <v>7.9715000000000007</v>
      </c>
      <c r="F7" s="35">
        <f>$E$7/$C$14</f>
        <v>1.6960638297872341E-2</v>
      </c>
      <c r="G7" s="32">
        <f>G5</f>
        <v>2.7240000000000001E-4</v>
      </c>
      <c r="H7" s="158">
        <v>4.0090000000000001E-2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1">
        <f>Well!G9</f>
        <v>200</v>
      </c>
    </row>
    <row r="9" spans="1:13" ht="20.100000000000001" customHeight="1" thickBot="1">
      <c r="B9" s="6" t="s">
        <v>61</v>
      </c>
      <c r="C9" s="492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3">
        <v>5</v>
      </c>
      <c r="D10" s="14" t="s">
        <v>63</v>
      </c>
      <c r="E10" s="179">
        <v>33.700000000000003</v>
      </c>
      <c r="F10" s="180">
        <v>41.3</v>
      </c>
      <c r="G10" s="181">
        <v>196</v>
      </c>
      <c r="H10" s="15"/>
      <c r="I10" s="16"/>
    </row>
    <row r="11" spans="1:13" ht="20.100000000000001" customHeight="1" thickBot="1">
      <c r="B11" s="6" t="s">
        <v>64</v>
      </c>
      <c r="C11" s="493">
        <v>25</v>
      </c>
      <c r="D11" s="323" t="s">
        <v>65</v>
      </c>
      <c r="E11" s="182">
        <f>ROUND(AVERAGE(E10:G10),1)</f>
        <v>90.3</v>
      </c>
      <c r="F11" s="173">
        <f>ROUND((E10+F10)/2,1)</f>
        <v>37.5</v>
      </c>
      <c r="G11" s="318">
        <f>MAX(E10,F10,G10)</f>
        <v>196</v>
      </c>
      <c r="H11" s="15"/>
      <c r="I11" s="16"/>
      <c r="J11" s="548" t="s">
        <v>118</v>
      </c>
      <c r="K11" s="54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4">
        <f>C7-C9</f>
        <v>470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94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445</v>
      </c>
      <c r="L13" s="42"/>
    </row>
    <row r="14" spans="1:13" ht="20.100000000000001" customHeight="1">
      <c r="B14" s="6" t="s">
        <v>68</v>
      </c>
      <c r="C14" s="492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91">
        <f>Well!I9</f>
        <v>10</v>
      </c>
      <c r="E15" s="41">
        <v>6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95">
        <f>Well!J9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91">
        <f>Well!L9</f>
        <v>5</v>
      </c>
      <c r="E17" s="76">
        <f>Well!P9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91">
        <f>Well!M9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1.1011235955056184E-3</v>
      </c>
      <c r="L18" s="370">
        <f>K18*100</f>
        <v>0.11011235955056184</v>
      </c>
    </row>
    <row r="19" spans="2:12" ht="20.100000000000001" customHeight="1" thickBot="1">
      <c r="B19" s="21" t="s">
        <v>76</v>
      </c>
      <c r="C19" s="496">
        <f>Well!N9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97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8">
        <v>9.7200000000000006</v>
      </c>
      <c r="D21" s="17"/>
      <c r="E21" s="175">
        <f>Well!$I$9</f>
        <v>10</v>
      </c>
      <c r="F21" s="244">
        <f>Well!O9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9">
        <f>C21-C20</f>
        <v>5.2100000000000009</v>
      </c>
      <c r="E22" s="550">
        <f>E21+F21</f>
        <v>34.9</v>
      </c>
      <c r="F22" s="551"/>
      <c r="G22" s="20"/>
      <c r="I22" s="19"/>
    </row>
    <row r="23" spans="2:12" ht="20.100000000000001" customHeight="1" thickBot="1">
      <c r="B23" s="454" t="s">
        <v>236</v>
      </c>
      <c r="C23" s="455">
        <v>1.49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44" t="s">
        <v>98</v>
      </c>
      <c r="C25" s="545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46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0.11011235955056184</v>
      </c>
      <c r="I26" s="192" t="s">
        <v>185</v>
      </c>
      <c r="J26" s="192">
        <f>(E7/C14)/864</f>
        <v>1.9630368400315211E-5</v>
      </c>
      <c r="K26" s="196" t="s">
        <v>445</v>
      </c>
    </row>
    <row r="27" spans="2:12" ht="25.5" customHeight="1">
      <c r="B27" s="546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446</v>
      </c>
    </row>
    <row r="28" spans="2:12" ht="25.5" customHeight="1">
      <c r="B28" s="546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46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46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47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76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7617" r:id="rId4" name="CommandButton5"/>
      </mc:Fallback>
    </mc:AlternateContent>
    <mc:AlternateContent xmlns:mc="http://schemas.openxmlformats.org/markup-compatibility/2006">
      <mc:Choice Requires="x14">
        <control shapeId="3676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7618" r:id="rId6" name="Frame1"/>
      </mc:Fallback>
    </mc:AlternateContent>
    <mc:AlternateContent xmlns:mc="http://schemas.openxmlformats.org/markup-compatibility/2006">
      <mc:Choice Requires="x14">
        <control shapeId="3676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7619" r:id="rId8" name="CommandButton6"/>
      </mc:Fallback>
    </mc:AlternateContent>
    <mc:AlternateContent xmlns:mc="http://schemas.openxmlformats.org/markup-compatibility/2006">
      <mc:Choice Requires="x14">
        <control shapeId="3676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76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072951-E45C-4115-A9EB-5B6862FC3F7E}">
          <x14:formula1>
            <xm:f>drastic!$A$4:$A$13</xm:f>
          </x14:formula1>
          <xm:sqref>F26</xm:sqref>
        </x14:dataValidation>
        <x14:dataValidation type="list" allowBlank="1" showInputMessage="1" showErrorMessage="1" xr:uid="{F5AE87FD-9D65-4040-93F8-89378F2BD2B7}">
          <x14:formula1>
            <xm:f>drastic!$D$4:$D$14</xm:f>
          </x14:formula1>
          <xm:sqref>G26</xm:sqref>
        </x14:dataValidation>
        <x14:dataValidation type="list" allowBlank="1" showInputMessage="1" showErrorMessage="1" xr:uid="{DBF6AD6C-EEC6-47C4-B136-F860FD43CF7F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46" customFormat="1" ht="26.1" customHeight="1">
      <c r="B4" s="144" t="s">
        <v>376</v>
      </c>
      <c r="C4" s="145" t="s">
        <v>87</v>
      </c>
      <c r="E4" s="145"/>
      <c r="F4" s="145"/>
    </row>
    <row r="5" spans="2:14" s="38" customFormat="1" ht="26.1" customHeight="1" thickBot="1">
      <c r="E5" s="37"/>
      <c r="F5" s="37"/>
    </row>
    <row r="6" spans="2:14" s="38" customFormat="1" ht="26.1" customHeight="1">
      <c r="B6" s="354" t="s">
        <v>82</v>
      </c>
      <c r="C6" s="367">
        <v>44753.861111111109</v>
      </c>
      <c r="D6" s="124"/>
      <c r="E6" s="37"/>
      <c r="F6" s="37"/>
    </row>
    <row r="7" spans="2:14" s="38" customFormat="1" ht="26.1" customHeight="1" thickBot="1">
      <c r="B7" s="357" t="s">
        <v>83</v>
      </c>
      <c r="C7" s="362">
        <v>14.6</v>
      </c>
      <c r="D7" s="124"/>
      <c r="E7" s="37"/>
      <c r="F7" s="37"/>
    </row>
    <row r="8" spans="2:14" s="38" customFormat="1" ht="26.1" customHeight="1">
      <c r="B8" s="354" t="s">
        <v>84</v>
      </c>
      <c r="C8" s="368">
        <v>211</v>
      </c>
      <c r="D8" s="124"/>
      <c r="E8" s="37"/>
      <c r="F8" s="37"/>
    </row>
    <row r="9" spans="2:14" s="38" customFormat="1" ht="26.1" customHeight="1" thickBot="1">
      <c r="B9" s="357" t="s">
        <v>85</v>
      </c>
      <c r="C9" s="369">
        <v>6.7</v>
      </c>
      <c r="D9" s="124"/>
      <c r="E9" s="37"/>
      <c r="F9" s="37"/>
    </row>
    <row r="10" spans="2:14" s="38" customFormat="1" ht="26.1" customHeight="1">
      <c r="B10" s="125"/>
      <c r="C10" s="126"/>
      <c r="D10" s="124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54" t="s">
        <v>86</v>
      </c>
      <c r="C12" s="555"/>
      <c r="D12" s="556" t="s">
        <v>87</v>
      </c>
      <c r="E12" s="557"/>
      <c r="F12" s="555"/>
      <c r="H12" s="554" t="s">
        <v>87</v>
      </c>
      <c r="I12" s="557"/>
      <c r="J12" s="555"/>
      <c r="L12"/>
      <c r="M12"/>
      <c r="N12"/>
    </row>
    <row r="13" spans="2:14" s="37" customFormat="1" ht="26.1" customHeight="1">
      <c r="B13" s="127" t="s">
        <v>82</v>
      </c>
      <c r="C13" s="128" t="s">
        <v>88</v>
      </c>
      <c r="D13" s="142" t="s">
        <v>89</v>
      </c>
      <c r="E13" s="129" t="s">
        <v>90</v>
      </c>
      <c r="F13" s="128" t="s">
        <v>91</v>
      </c>
      <c r="H13" s="127" t="s">
        <v>89</v>
      </c>
      <c r="I13" s="129" t="s">
        <v>90</v>
      </c>
      <c r="J13" s="128" t="s">
        <v>91</v>
      </c>
      <c r="L13"/>
      <c r="M13"/>
      <c r="N13"/>
    </row>
    <row r="14" spans="2:14" s="37" customFormat="1" ht="26.1" customHeight="1">
      <c r="B14" s="147">
        <f>$C$6+C14/1440</f>
        <v>44753.864583333328</v>
      </c>
      <c r="C14" s="72">
        <v>5</v>
      </c>
      <c r="D14" s="148">
        <f t="shared" ref="D14:D20" si="0">baseTemp+H14</f>
        <v>14.799999999999999</v>
      </c>
      <c r="E14" s="149">
        <f>$C$8+I14</f>
        <v>208</v>
      </c>
      <c r="F14" s="131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0">
        <f t="shared" ref="B15:B23" si="1">$C$6+C15/1440</f>
        <v>44753.881944444445</v>
      </c>
      <c r="C15" s="71">
        <v>30</v>
      </c>
      <c r="D15" s="151">
        <f t="shared" si="0"/>
        <v>14.4</v>
      </c>
      <c r="E15" s="152">
        <f t="shared" ref="E15:E20" si="2">$C$8+I15</f>
        <v>214</v>
      </c>
      <c r="F15" s="133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0">
        <f t="shared" si="1"/>
        <v>44753.902777777774</v>
      </c>
      <c r="C16" s="71">
        <v>60</v>
      </c>
      <c r="D16" s="151">
        <f t="shared" si="0"/>
        <v>14.4</v>
      </c>
      <c r="E16" s="152">
        <f t="shared" si="2"/>
        <v>213</v>
      </c>
      <c r="F16" s="133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0">
        <f t="shared" si="1"/>
        <v>44753.944444444445</v>
      </c>
      <c r="C17" s="71">
        <v>120</v>
      </c>
      <c r="D17" s="151">
        <f t="shared" si="0"/>
        <v>14.9</v>
      </c>
      <c r="E17" s="152">
        <f t="shared" si="2"/>
        <v>209</v>
      </c>
      <c r="F17" s="133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0">
        <f t="shared" si="1"/>
        <v>44754.027777777774</v>
      </c>
      <c r="C18" s="71">
        <v>240</v>
      </c>
      <c r="D18" s="151">
        <f t="shared" si="0"/>
        <v>14.299999999999999</v>
      </c>
      <c r="E18" s="152">
        <f t="shared" si="2"/>
        <v>210</v>
      </c>
      <c r="F18" s="133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0">
        <f t="shared" si="1"/>
        <v>44754.194444444445</v>
      </c>
      <c r="C19" s="71">
        <v>480</v>
      </c>
      <c r="D19" s="153">
        <f t="shared" si="0"/>
        <v>14.799999999999999</v>
      </c>
      <c r="E19" s="152">
        <f t="shared" si="2"/>
        <v>213</v>
      </c>
      <c r="F19" s="133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0">
        <f t="shared" si="1"/>
        <v>44754.861111111109</v>
      </c>
      <c r="C20" s="71">
        <v>1440</v>
      </c>
      <c r="D20" s="151">
        <f t="shared" si="0"/>
        <v>14.799999999999999</v>
      </c>
      <c r="E20" s="152">
        <f t="shared" si="2"/>
        <v>208</v>
      </c>
      <c r="F20" s="133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0">
        <f t="shared" si="1"/>
        <v>44755.027777777774</v>
      </c>
      <c r="C21" s="71">
        <v>1680</v>
      </c>
      <c r="D21" s="151">
        <f>$D$20</f>
        <v>14.799999999999999</v>
      </c>
      <c r="E21" s="152">
        <f>$E$20</f>
        <v>208</v>
      </c>
      <c r="F21" s="133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0">
        <f t="shared" si="1"/>
        <v>44755.194444444445</v>
      </c>
      <c r="C22" s="71">
        <v>1920</v>
      </c>
      <c r="D22" s="151">
        <f t="shared" ref="D22:D23" si="4">$D$20</f>
        <v>14.799999999999999</v>
      </c>
      <c r="E22" s="152">
        <f t="shared" ref="E22:E23" si="5">$E$20</f>
        <v>208</v>
      </c>
      <c r="F22" s="133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0">
        <f t="shared" si="1"/>
        <v>44755.861111111109</v>
      </c>
      <c r="C23" s="71">
        <v>2880</v>
      </c>
      <c r="D23" s="151">
        <f t="shared" si="4"/>
        <v>14.799999999999999</v>
      </c>
      <c r="E23" s="152">
        <f t="shared" si="5"/>
        <v>208</v>
      </c>
      <c r="F23" s="133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58" t="s">
        <v>36</v>
      </c>
      <c r="C24" s="559"/>
      <c r="D24" s="142">
        <f>MAX(D14:D23)</f>
        <v>14.9</v>
      </c>
      <c r="E24" s="129">
        <f t="shared" ref="E24:F24" si="7">MAX(E14:E23)</f>
        <v>214</v>
      </c>
      <c r="F24" s="128">
        <f t="shared" si="7"/>
        <v>6.8</v>
      </c>
      <c r="H24" s="37"/>
      <c r="I24" s="37"/>
      <c r="J24" s="37"/>
    </row>
    <row r="25" spans="2:14" s="38" customFormat="1" ht="26.1" customHeight="1">
      <c r="B25" s="558" t="s">
        <v>37</v>
      </c>
      <c r="C25" s="559"/>
      <c r="D25" s="142">
        <f>MIN(D14:D23)</f>
        <v>14.299999999999999</v>
      </c>
      <c r="E25" s="129">
        <f t="shared" ref="E25:F25" si="8">MIN(E14:E23)</f>
        <v>208</v>
      </c>
      <c r="F25" s="128">
        <f t="shared" si="8"/>
        <v>6.58</v>
      </c>
      <c r="H25" s="37"/>
      <c r="I25" s="37"/>
      <c r="J25" s="37"/>
    </row>
    <row r="26" spans="2:14" s="38" customFormat="1" ht="26.1" customHeight="1" thickBot="1">
      <c r="B26" s="552" t="s">
        <v>92</v>
      </c>
      <c r="C26" s="553"/>
      <c r="D26" s="143">
        <f>D24-D25</f>
        <v>0.60000000000000142</v>
      </c>
      <c r="E26" s="136">
        <f t="shared" ref="E26:F26" si="9">E24-E25</f>
        <v>6</v>
      </c>
      <c r="F26" s="137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38100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6" r:id="rId10" name="CommandButton2">
          <controlPr defaultSize="0" autoLine="0" r:id="rId11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209550</xdr:rowOff>
              </to>
            </anchor>
          </controlPr>
        </control>
      </mc:Choice>
      <mc:Fallback>
        <control shapeId="129026" r:id="rId10" name="CommandButton2"/>
      </mc:Fallback>
    </mc:AlternateContent>
    <mc:AlternateContent xmlns:mc="http://schemas.openxmlformats.org/markup-compatibility/2006">
      <mc:Choice Requires="x14">
        <control shapeId="129027" r:id="rId12" name="CommandButton3">
          <controlPr defaultSize="0" autoLine="0" r:id="rId13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12" name="CommandButton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23" sqref="M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4" t="s">
        <v>377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0" t="s">
        <v>82</v>
      </c>
      <c r="C6" s="361">
        <v>44753.861111111109</v>
      </c>
      <c r="D6" s="124"/>
      <c r="E6" s="37"/>
      <c r="F6" s="37"/>
    </row>
    <row r="7" spans="2:9" s="38" customFormat="1" ht="26.1" customHeight="1" thickBot="1">
      <c r="B7" s="357" t="s">
        <v>83</v>
      </c>
      <c r="C7" s="362">
        <v>14</v>
      </c>
      <c r="D7" s="124"/>
      <c r="E7" s="37"/>
      <c r="F7" s="37"/>
    </row>
    <row r="8" spans="2:9" s="38" customFormat="1" ht="26.1" customHeight="1">
      <c r="B8" s="354" t="s">
        <v>84</v>
      </c>
      <c r="C8" s="355">
        <v>226</v>
      </c>
      <c r="D8" s="356">
        <v>229</v>
      </c>
      <c r="E8" s="37"/>
      <c r="F8" s="37"/>
    </row>
    <row r="9" spans="2:9" s="38" customFormat="1" ht="26.1" customHeight="1" thickBot="1">
      <c r="B9" s="357" t="s">
        <v>85</v>
      </c>
      <c r="C9" s="358">
        <v>7.9</v>
      </c>
      <c r="D9" s="359">
        <v>7.8</v>
      </c>
      <c r="E9" s="37"/>
      <c r="F9" s="37"/>
    </row>
    <row r="10" spans="2:9" s="38" customFormat="1" ht="26.1" customHeight="1">
      <c r="B10" s="125"/>
      <c r="C10" s="126"/>
      <c r="D10" s="124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54" t="s">
        <v>86</v>
      </c>
      <c r="C12" s="555"/>
      <c r="D12" s="554" t="s">
        <v>87</v>
      </c>
      <c r="E12" s="557"/>
      <c r="F12" s="555"/>
      <c r="G12" s="560" t="s">
        <v>158</v>
      </c>
      <c r="H12" s="561"/>
      <c r="I12" s="562"/>
    </row>
    <row r="13" spans="2:9" s="37" customFormat="1" ht="26.1" customHeight="1">
      <c r="B13" s="127" t="s">
        <v>82</v>
      </c>
      <c r="C13" s="128" t="s">
        <v>88</v>
      </c>
      <c r="D13" s="304" t="s">
        <v>89</v>
      </c>
      <c r="E13" s="305" t="s">
        <v>90</v>
      </c>
      <c r="F13" s="306" t="s">
        <v>91</v>
      </c>
      <c r="G13" s="310" t="s">
        <v>89</v>
      </c>
      <c r="H13" s="311" t="s">
        <v>90</v>
      </c>
      <c r="I13" s="312" t="s">
        <v>91</v>
      </c>
    </row>
    <row r="14" spans="2:9" s="37" customFormat="1" ht="26.1" customHeight="1">
      <c r="B14" s="130">
        <f>$C$6+C14/1440</f>
        <v>44753.864583333328</v>
      </c>
      <c r="C14" s="72">
        <v>5</v>
      </c>
      <c r="D14" s="317">
        <f t="shared" ref="D14:D23" si="0">baseTemp+D31</f>
        <v>14</v>
      </c>
      <c r="E14" s="308">
        <f t="shared" ref="E14:E20" si="1">$C$8+E31</f>
        <v>223</v>
      </c>
      <c r="F14" s="309">
        <f t="shared" ref="F14:F20" si="2">$C$9+F31</f>
        <v>7.83</v>
      </c>
      <c r="G14" s="317">
        <f t="shared" ref="G14:G20" si="3">baseTemp+H31</f>
        <v>14</v>
      </c>
      <c r="H14" s="308">
        <f>$D$8+I31</f>
        <v>232</v>
      </c>
      <c r="I14" s="309">
        <f>$D$9+J31</f>
        <v>7.89</v>
      </c>
    </row>
    <row r="15" spans="2:9" s="37" customFormat="1" ht="26.1" customHeight="1">
      <c r="B15" s="132">
        <f t="shared" ref="B15:B23" si="4">$C$6+C15/1440</f>
        <v>44753.881944444445</v>
      </c>
      <c r="C15" s="71">
        <v>30</v>
      </c>
      <c r="D15" s="317">
        <f t="shared" si="0"/>
        <v>14.1</v>
      </c>
      <c r="E15" s="308">
        <f t="shared" si="1"/>
        <v>224</v>
      </c>
      <c r="F15" s="309">
        <f t="shared" si="2"/>
        <v>7.82</v>
      </c>
      <c r="G15" s="317">
        <f t="shared" si="3"/>
        <v>14</v>
      </c>
      <c r="H15" s="308">
        <f t="shared" ref="H15:H20" si="5">$D$8+I32</f>
        <v>226</v>
      </c>
      <c r="I15" s="309">
        <f t="shared" ref="I15:I20" si="6">$D$9+J32</f>
        <v>7.71</v>
      </c>
    </row>
    <row r="16" spans="2:9" s="37" customFormat="1" ht="26.1" customHeight="1">
      <c r="B16" s="132">
        <f t="shared" si="4"/>
        <v>44753.902777777774</v>
      </c>
      <c r="C16" s="71">
        <v>60</v>
      </c>
      <c r="D16" s="317">
        <f t="shared" si="0"/>
        <v>14</v>
      </c>
      <c r="E16" s="308">
        <f t="shared" si="1"/>
        <v>228</v>
      </c>
      <c r="F16" s="309">
        <f t="shared" si="2"/>
        <v>8.01</v>
      </c>
      <c r="G16" s="317">
        <f t="shared" si="3"/>
        <v>13.9</v>
      </c>
      <c r="H16" s="308">
        <f t="shared" si="5"/>
        <v>232</v>
      </c>
      <c r="I16" s="309">
        <f t="shared" si="6"/>
        <v>7.7</v>
      </c>
    </row>
    <row r="17" spans="2:10" s="37" customFormat="1" ht="26.1" customHeight="1">
      <c r="B17" s="132">
        <f t="shared" si="4"/>
        <v>44753.944444444445</v>
      </c>
      <c r="C17" s="71">
        <v>120</v>
      </c>
      <c r="D17" s="317">
        <f t="shared" si="0"/>
        <v>14</v>
      </c>
      <c r="E17" s="308">
        <f t="shared" si="1"/>
        <v>228</v>
      </c>
      <c r="F17" s="309">
        <f t="shared" si="2"/>
        <v>8.01</v>
      </c>
      <c r="G17" s="317">
        <f t="shared" si="3"/>
        <v>13.9</v>
      </c>
      <c r="H17" s="308">
        <f t="shared" si="5"/>
        <v>228</v>
      </c>
      <c r="I17" s="309">
        <f t="shared" si="6"/>
        <v>7.7</v>
      </c>
    </row>
    <row r="18" spans="2:10" s="37" customFormat="1" ht="26.1" customHeight="1">
      <c r="B18" s="132">
        <f t="shared" si="4"/>
        <v>44754.027777777774</v>
      </c>
      <c r="C18" s="71">
        <v>240</v>
      </c>
      <c r="D18" s="317">
        <f t="shared" si="0"/>
        <v>14.1</v>
      </c>
      <c r="E18" s="308">
        <f t="shared" si="1"/>
        <v>227</v>
      </c>
      <c r="F18" s="309">
        <f t="shared" si="2"/>
        <v>8.01</v>
      </c>
      <c r="G18" s="317">
        <f t="shared" si="3"/>
        <v>13.9</v>
      </c>
      <c r="H18" s="308">
        <f t="shared" si="5"/>
        <v>230</v>
      </c>
      <c r="I18" s="309">
        <f t="shared" si="6"/>
        <v>7.7</v>
      </c>
    </row>
    <row r="19" spans="2:10" s="37" customFormat="1" ht="26.1" customHeight="1">
      <c r="B19" s="132">
        <f t="shared" si="4"/>
        <v>44754.194444444445</v>
      </c>
      <c r="C19" s="71">
        <v>480</v>
      </c>
      <c r="D19" s="317">
        <f t="shared" si="0"/>
        <v>14</v>
      </c>
      <c r="E19" s="308">
        <f t="shared" si="1"/>
        <v>225</v>
      </c>
      <c r="F19" s="309">
        <f t="shared" si="2"/>
        <v>7.78</v>
      </c>
      <c r="G19" s="317">
        <f t="shared" si="3"/>
        <v>13.9</v>
      </c>
      <c r="H19" s="308">
        <f t="shared" si="5"/>
        <v>228</v>
      </c>
      <c r="I19" s="309">
        <f t="shared" si="6"/>
        <v>7.92</v>
      </c>
    </row>
    <row r="20" spans="2:10" s="38" customFormat="1" ht="26.1" customHeight="1">
      <c r="B20" s="132">
        <f t="shared" si="4"/>
        <v>44754.861111111109</v>
      </c>
      <c r="C20" s="71">
        <v>1440</v>
      </c>
      <c r="D20" s="317">
        <f t="shared" si="0"/>
        <v>14.1</v>
      </c>
      <c r="E20" s="308">
        <f t="shared" si="1"/>
        <v>227</v>
      </c>
      <c r="F20" s="309">
        <f t="shared" si="2"/>
        <v>7.9700000000000006</v>
      </c>
      <c r="G20" s="317">
        <f t="shared" si="3"/>
        <v>13.9</v>
      </c>
      <c r="H20" s="308">
        <f t="shared" si="5"/>
        <v>227</v>
      </c>
      <c r="I20" s="309">
        <f t="shared" si="6"/>
        <v>7.7299999999999995</v>
      </c>
    </row>
    <row r="21" spans="2:10" s="38" customFormat="1" ht="26.1" customHeight="1">
      <c r="B21" s="132">
        <f t="shared" si="4"/>
        <v>44755.027777777774</v>
      </c>
      <c r="C21" s="71">
        <v>1680</v>
      </c>
      <c r="D21" s="317">
        <f t="shared" si="0"/>
        <v>14</v>
      </c>
      <c r="E21" s="308">
        <f>$E$20</f>
        <v>227</v>
      </c>
      <c r="F21" s="309">
        <f>$F$20</f>
        <v>7.9700000000000006</v>
      </c>
      <c r="G21" s="317">
        <f>$G$20</f>
        <v>13.9</v>
      </c>
      <c r="H21" s="308">
        <f>$H$20</f>
        <v>227</v>
      </c>
      <c r="I21" s="309">
        <f>$I$20</f>
        <v>7.7299999999999995</v>
      </c>
    </row>
    <row r="22" spans="2:10" s="38" customFormat="1" ht="26.1" customHeight="1">
      <c r="B22" s="132">
        <f t="shared" si="4"/>
        <v>44755.194444444445</v>
      </c>
      <c r="C22" s="71">
        <v>1920</v>
      </c>
      <c r="D22" s="317">
        <f t="shared" si="0"/>
        <v>14</v>
      </c>
      <c r="E22" s="308">
        <f t="shared" ref="E22:E23" si="7">$E$20</f>
        <v>227</v>
      </c>
      <c r="F22" s="309">
        <f t="shared" ref="F22:F23" si="8">$F$20</f>
        <v>7.9700000000000006</v>
      </c>
      <c r="G22" s="317">
        <f t="shared" ref="G22:G23" si="9">$G$20</f>
        <v>13.9</v>
      </c>
      <c r="H22" s="308">
        <f t="shared" ref="H22:H23" si="10">$H$20</f>
        <v>227</v>
      </c>
      <c r="I22" s="309">
        <f t="shared" ref="I22:I23" si="11">$I$20</f>
        <v>7.7299999999999995</v>
      </c>
    </row>
    <row r="23" spans="2:10" s="38" customFormat="1" ht="26.1" customHeight="1">
      <c r="B23" s="134">
        <f t="shared" si="4"/>
        <v>44755.861111111109</v>
      </c>
      <c r="C23" s="135">
        <v>2880</v>
      </c>
      <c r="D23" s="317">
        <f t="shared" si="0"/>
        <v>14</v>
      </c>
      <c r="E23" s="308">
        <f t="shared" si="7"/>
        <v>227</v>
      </c>
      <c r="F23" s="309">
        <f t="shared" si="8"/>
        <v>7.9700000000000006</v>
      </c>
      <c r="G23" s="317">
        <f t="shared" si="9"/>
        <v>13.9</v>
      </c>
      <c r="H23" s="308">
        <f t="shared" si="10"/>
        <v>227</v>
      </c>
      <c r="I23" s="309">
        <f t="shared" si="11"/>
        <v>7.7299999999999995</v>
      </c>
    </row>
    <row r="24" spans="2:10" s="38" customFormat="1" ht="26.1" customHeight="1">
      <c r="B24" s="558" t="s">
        <v>36</v>
      </c>
      <c r="C24" s="559"/>
      <c r="D24" s="310">
        <f>MAX(D14:D23)</f>
        <v>14.1</v>
      </c>
      <c r="E24" s="311">
        <f t="shared" ref="E24:F24" si="12">MAX(E14:E23)</f>
        <v>228</v>
      </c>
      <c r="F24" s="312">
        <f t="shared" si="12"/>
        <v>8.01</v>
      </c>
      <c r="G24" s="310">
        <f>MAX(G14:G23)</f>
        <v>14</v>
      </c>
      <c r="H24" s="311">
        <f t="shared" ref="H24:I24" si="13">MAX(H14:H23)</f>
        <v>232</v>
      </c>
      <c r="I24" s="312">
        <f t="shared" si="13"/>
        <v>7.92</v>
      </c>
      <c r="J24" s="37"/>
    </row>
    <row r="25" spans="2:10" s="38" customFormat="1" ht="26.1" customHeight="1">
      <c r="B25" s="558" t="s">
        <v>37</v>
      </c>
      <c r="C25" s="559"/>
      <c r="D25" s="310">
        <f>MIN(D14:D23)</f>
        <v>14</v>
      </c>
      <c r="E25" s="311">
        <f t="shared" ref="E25:F25" si="14">MIN(E14:E23)</f>
        <v>223</v>
      </c>
      <c r="F25" s="313">
        <f t="shared" si="14"/>
        <v>7.78</v>
      </c>
      <c r="G25" s="310">
        <f>MIN(G14:G23)</f>
        <v>13.9</v>
      </c>
      <c r="H25" s="311">
        <f t="shared" ref="H25:I25" si="15">MIN(H14:H23)</f>
        <v>226</v>
      </c>
      <c r="I25" s="312">
        <f t="shared" si="15"/>
        <v>7.7</v>
      </c>
      <c r="J25" s="37"/>
    </row>
    <row r="26" spans="2:10" s="38" customFormat="1" ht="26.1" customHeight="1" thickBot="1">
      <c r="B26" s="552" t="s">
        <v>92</v>
      </c>
      <c r="C26" s="553"/>
      <c r="D26" s="314">
        <f>D24-D25</f>
        <v>9.9999999999999645E-2</v>
      </c>
      <c r="E26" s="315">
        <f t="shared" ref="E26:F26" si="16">E24-E25</f>
        <v>5</v>
      </c>
      <c r="F26" s="316">
        <f t="shared" si="16"/>
        <v>0.22999999999999954</v>
      </c>
      <c r="G26" s="314">
        <f>G24-G25</f>
        <v>9.9999999999999645E-2</v>
      </c>
      <c r="H26" s="315">
        <f t="shared" ref="H26:I26" si="17">H24-H25</f>
        <v>6</v>
      </c>
      <c r="I26" s="31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54" t="s">
        <v>87</v>
      </c>
      <c r="E29" s="557"/>
      <c r="F29" s="555"/>
      <c r="H29" s="554" t="s">
        <v>158</v>
      </c>
      <c r="I29" s="557"/>
      <c r="J29" s="555"/>
    </row>
    <row r="30" spans="2:10" s="38" customFormat="1" ht="18" customHeight="1">
      <c r="D30" s="127" t="s">
        <v>89</v>
      </c>
      <c r="E30" s="129" t="s">
        <v>90</v>
      </c>
      <c r="F30" s="128" t="s">
        <v>91</v>
      </c>
      <c r="H30" s="127" t="s">
        <v>89</v>
      </c>
      <c r="I30" s="129" t="s">
        <v>90</v>
      </c>
      <c r="J30" s="128" t="s">
        <v>91</v>
      </c>
    </row>
    <row r="31" spans="2:10" s="38" customFormat="1" ht="18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</row>
    <row r="32" spans="2:10" s="38" customFormat="1" ht="18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</row>
    <row r="33" spans="4:10" s="38" customFormat="1" ht="18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</row>
    <row r="34" spans="4:10" s="38" customFormat="1" ht="18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</row>
    <row r="35" spans="4:10" s="38" customFormat="1" ht="18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</row>
    <row r="36" spans="4:10" s="38" customFormat="1" ht="18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</row>
    <row r="37" spans="4:10" s="38" customFormat="1" ht="18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</row>
    <row r="38" spans="4:10" ht="18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</row>
    <row r="39" spans="4:10" ht="18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</row>
    <row r="40" spans="4:10" ht="18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7" r:id="rId10" name="CommandButton1">
          <controlPr defaultSize="0" autoLine="0" r:id="rId11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10" name="CommandButton1"/>
      </mc:Fallback>
    </mc:AlternateContent>
    <mc:AlternateContent xmlns:mc="http://schemas.openxmlformats.org/markup-compatibility/2006">
      <mc:Choice Requires="x14">
        <control shapeId="126978" r:id="rId12" name="CommandButton2">
          <controlPr defaultSize="0" autoLine="0" r:id="rId13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12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9" sqref="T1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44" t="s">
        <v>378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60" t="s">
        <v>82</v>
      </c>
      <c r="C6" s="361">
        <v>44717.430555555555</v>
      </c>
      <c r="D6" s="124"/>
      <c r="E6" s="124"/>
      <c r="F6" s="37"/>
    </row>
    <row r="7" spans="2:12" s="38" customFormat="1" ht="26.1" customHeight="1" thickBot="1">
      <c r="B7" s="363" t="s">
        <v>83</v>
      </c>
      <c r="C7" s="364">
        <v>14.7</v>
      </c>
      <c r="D7" s="124"/>
      <c r="E7" s="124"/>
      <c r="F7" s="37"/>
    </row>
    <row r="8" spans="2:12" s="38" customFormat="1" ht="26.1" customHeight="1">
      <c r="B8" s="354" t="s">
        <v>84</v>
      </c>
      <c r="C8" s="355">
        <v>197</v>
      </c>
      <c r="D8" s="365">
        <v>197</v>
      </c>
      <c r="E8" s="356">
        <v>194</v>
      </c>
      <c r="F8" s="37"/>
    </row>
    <row r="9" spans="2:12" s="38" customFormat="1" ht="26.1" customHeight="1" thickBot="1">
      <c r="B9" s="357" t="s">
        <v>85</v>
      </c>
      <c r="C9" s="358">
        <v>8.4</v>
      </c>
      <c r="D9" s="366">
        <v>8.3000000000000007</v>
      </c>
      <c r="E9" s="359">
        <v>8.4</v>
      </c>
      <c r="F9" s="37"/>
    </row>
    <row r="10" spans="2:12" s="38" customFormat="1" ht="26.1" customHeight="1">
      <c r="B10" s="125"/>
      <c r="C10" s="126"/>
      <c r="D10" s="124"/>
      <c r="E10" s="124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54" t="s">
        <v>86</v>
      </c>
      <c r="C12" s="555"/>
      <c r="D12" s="560" t="s">
        <v>87</v>
      </c>
      <c r="E12" s="561"/>
      <c r="F12" s="562"/>
      <c r="G12" s="560" t="s">
        <v>158</v>
      </c>
      <c r="H12" s="561"/>
      <c r="I12" s="562"/>
      <c r="J12" s="560" t="s">
        <v>159</v>
      </c>
      <c r="K12" s="561"/>
      <c r="L12" s="562"/>
    </row>
    <row r="13" spans="2:12" s="37" customFormat="1" ht="26.1" customHeight="1">
      <c r="B13" s="127" t="s">
        <v>82</v>
      </c>
      <c r="C13" s="128" t="s">
        <v>88</v>
      </c>
      <c r="D13" s="310" t="s">
        <v>162</v>
      </c>
      <c r="E13" s="311" t="s">
        <v>172</v>
      </c>
      <c r="F13" s="312" t="s">
        <v>91</v>
      </c>
      <c r="G13" s="310" t="s">
        <v>162</v>
      </c>
      <c r="H13" s="311" t="s">
        <v>172</v>
      </c>
      <c r="I13" s="312" t="s">
        <v>91</v>
      </c>
      <c r="J13" s="310" t="s">
        <v>162</v>
      </c>
      <c r="K13" s="311" t="s">
        <v>172</v>
      </c>
      <c r="L13" s="312" t="s">
        <v>91</v>
      </c>
    </row>
    <row r="14" spans="2:12" s="37" customFormat="1" ht="26.1" customHeight="1">
      <c r="B14" s="130">
        <f>$C$6+C14/1440</f>
        <v>44717.434027777774</v>
      </c>
      <c r="C14" s="72">
        <v>5</v>
      </c>
      <c r="D14" s="307">
        <f t="shared" ref="D14:D20" si="0">baseTemp+D31</f>
        <v>14.7</v>
      </c>
      <c r="E14" s="308">
        <f t="shared" ref="E14:E20" si="1">$C$8+E31</f>
        <v>194</v>
      </c>
      <c r="F14" s="309">
        <f t="shared" ref="F14:F20" si="2">$C$9+F31</f>
        <v>8.33</v>
      </c>
      <c r="G14" s="317">
        <f t="shared" ref="G14:G20" si="3">baseTemp+H31</f>
        <v>14.7</v>
      </c>
      <c r="H14" s="308">
        <f>$D$8+I31</f>
        <v>200</v>
      </c>
      <c r="I14" s="309">
        <f>$D$9+J31</f>
        <v>8.39</v>
      </c>
      <c r="J14" s="317">
        <f t="shared" ref="J14:J20" si="4">baseTemp+L31</f>
        <v>14.7</v>
      </c>
      <c r="K14" s="308">
        <f>$E$8+M31</f>
        <v>195</v>
      </c>
      <c r="L14" s="309">
        <f>$E$9+N31</f>
        <v>8.2800000000000011</v>
      </c>
    </row>
    <row r="15" spans="2:12" s="37" customFormat="1" ht="26.1" customHeight="1">
      <c r="B15" s="132">
        <f t="shared" ref="B15:B23" si="5">$C$6+C15/1440</f>
        <v>44717.451388888891</v>
      </c>
      <c r="C15" s="71">
        <v>30</v>
      </c>
      <c r="D15" s="307">
        <f t="shared" si="0"/>
        <v>14.799999999999999</v>
      </c>
      <c r="E15" s="308">
        <f t="shared" si="1"/>
        <v>195</v>
      </c>
      <c r="F15" s="309">
        <f t="shared" si="2"/>
        <v>8.32</v>
      </c>
      <c r="G15" s="317">
        <f t="shared" si="3"/>
        <v>14.7</v>
      </c>
      <c r="H15" s="308">
        <f t="shared" ref="H15:H20" si="6">$D$8+I32</f>
        <v>194</v>
      </c>
      <c r="I15" s="309">
        <f t="shared" ref="I15:I20" si="7">$D$9+J32</f>
        <v>8.2100000000000009</v>
      </c>
      <c r="J15" s="317">
        <f t="shared" si="4"/>
        <v>14.7</v>
      </c>
      <c r="K15" s="308">
        <f t="shared" ref="K15:K20" si="8">$E$8+M32</f>
        <v>192</v>
      </c>
      <c r="L15" s="309">
        <f t="shared" ref="L15:L20" si="9">$E$9+N32</f>
        <v>8.49</v>
      </c>
    </row>
    <row r="16" spans="2:12" s="37" customFormat="1" ht="26.1" customHeight="1">
      <c r="B16" s="132">
        <f t="shared" si="5"/>
        <v>44717.472222222219</v>
      </c>
      <c r="C16" s="71">
        <v>60</v>
      </c>
      <c r="D16" s="307">
        <f t="shared" si="0"/>
        <v>14.7</v>
      </c>
      <c r="E16" s="308">
        <f t="shared" si="1"/>
        <v>199</v>
      </c>
      <c r="F16" s="309">
        <f t="shared" si="2"/>
        <v>8.51</v>
      </c>
      <c r="G16" s="317">
        <f t="shared" si="3"/>
        <v>14.6</v>
      </c>
      <c r="H16" s="308">
        <f t="shared" si="6"/>
        <v>200</v>
      </c>
      <c r="I16" s="309">
        <f t="shared" si="7"/>
        <v>8.2000000000000011</v>
      </c>
      <c r="J16" s="317">
        <f t="shared" si="4"/>
        <v>14.799999999999999</v>
      </c>
      <c r="K16" s="308">
        <f t="shared" si="8"/>
        <v>193</v>
      </c>
      <c r="L16" s="309">
        <f t="shared" si="9"/>
        <v>8.51</v>
      </c>
    </row>
    <row r="17" spans="2:14" s="37" customFormat="1" ht="26.1" customHeight="1">
      <c r="B17" s="132">
        <f t="shared" si="5"/>
        <v>44717.513888888891</v>
      </c>
      <c r="C17" s="71">
        <v>120</v>
      </c>
      <c r="D17" s="307">
        <f t="shared" si="0"/>
        <v>14.7</v>
      </c>
      <c r="E17" s="308">
        <f t="shared" si="1"/>
        <v>199</v>
      </c>
      <c r="F17" s="309">
        <f t="shared" si="2"/>
        <v>8.51</v>
      </c>
      <c r="G17" s="317">
        <f t="shared" si="3"/>
        <v>14.6</v>
      </c>
      <c r="H17" s="308">
        <f t="shared" si="6"/>
        <v>196</v>
      </c>
      <c r="I17" s="309">
        <f t="shared" si="7"/>
        <v>8.2000000000000011</v>
      </c>
      <c r="J17" s="317">
        <f t="shared" si="4"/>
        <v>14.799999999999999</v>
      </c>
      <c r="K17" s="308">
        <f t="shared" si="8"/>
        <v>196</v>
      </c>
      <c r="L17" s="309">
        <f t="shared" si="9"/>
        <v>8.3000000000000007</v>
      </c>
    </row>
    <row r="18" spans="2:14" s="37" customFormat="1" ht="26.1" customHeight="1">
      <c r="B18" s="132">
        <f t="shared" si="5"/>
        <v>44717.597222222219</v>
      </c>
      <c r="C18" s="71">
        <v>240</v>
      </c>
      <c r="D18" s="307">
        <f t="shared" si="0"/>
        <v>14.799999999999999</v>
      </c>
      <c r="E18" s="308">
        <f t="shared" si="1"/>
        <v>198</v>
      </c>
      <c r="F18" s="309">
        <f t="shared" si="2"/>
        <v>8.51</v>
      </c>
      <c r="G18" s="317">
        <f t="shared" si="3"/>
        <v>14.6</v>
      </c>
      <c r="H18" s="308">
        <f t="shared" si="6"/>
        <v>198</v>
      </c>
      <c r="I18" s="309">
        <f t="shared" si="7"/>
        <v>8.2000000000000011</v>
      </c>
      <c r="J18" s="317">
        <f t="shared" si="4"/>
        <v>14.6</v>
      </c>
      <c r="K18" s="308">
        <f t="shared" si="8"/>
        <v>196</v>
      </c>
      <c r="L18" s="309">
        <f t="shared" si="9"/>
        <v>8.52</v>
      </c>
    </row>
    <row r="19" spans="2:14" s="37" customFormat="1" ht="26.1" customHeight="1">
      <c r="B19" s="132">
        <f t="shared" si="5"/>
        <v>44717.763888888891</v>
      </c>
      <c r="C19" s="71">
        <v>480</v>
      </c>
      <c r="D19" s="307">
        <f t="shared" si="0"/>
        <v>14.7</v>
      </c>
      <c r="E19" s="308">
        <f t="shared" si="1"/>
        <v>196</v>
      </c>
      <c r="F19" s="309">
        <f t="shared" si="2"/>
        <v>8.2800000000000011</v>
      </c>
      <c r="G19" s="317">
        <f t="shared" si="3"/>
        <v>14.6</v>
      </c>
      <c r="H19" s="308">
        <f t="shared" si="6"/>
        <v>196</v>
      </c>
      <c r="I19" s="309">
        <f t="shared" si="7"/>
        <v>8.42</v>
      </c>
      <c r="J19" s="317">
        <f t="shared" si="4"/>
        <v>14.799999999999999</v>
      </c>
      <c r="K19" s="308">
        <f t="shared" si="8"/>
        <v>191</v>
      </c>
      <c r="L19" s="309">
        <f t="shared" si="9"/>
        <v>8.2800000000000011</v>
      </c>
    </row>
    <row r="20" spans="2:14" s="38" customFormat="1" ht="26.1" customHeight="1">
      <c r="B20" s="132">
        <f t="shared" si="5"/>
        <v>44718.430555555555</v>
      </c>
      <c r="C20" s="71">
        <v>1440</v>
      </c>
      <c r="D20" s="307">
        <f t="shared" si="0"/>
        <v>14.799999999999999</v>
      </c>
      <c r="E20" s="308">
        <f t="shared" si="1"/>
        <v>198</v>
      </c>
      <c r="F20" s="309">
        <f t="shared" si="2"/>
        <v>8.4700000000000006</v>
      </c>
      <c r="G20" s="317">
        <f t="shared" si="3"/>
        <v>14.6</v>
      </c>
      <c r="H20" s="308">
        <f t="shared" si="6"/>
        <v>195</v>
      </c>
      <c r="I20" s="309">
        <f t="shared" si="7"/>
        <v>8.23</v>
      </c>
      <c r="J20" s="317">
        <f t="shared" si="4"/>
        <v>14.6</v>
      </c>
      <c r="K20" s="308">
        <f t="shared" si="8"/>
        <v>191</v>
      </c>
      <c r="L20" s="309">
        <f t="shared" si="9"/>
        <v>8.33</v>
      </c>
    </row>
    <row r="21" spans="2:14" s="38" customFormat="1" ht="26.1" customHeight="1">
      <c r="B21" s="132">
        <f t="shared" si="5"/>
        <v>44718.597222222219</v>
      </c>
      <c r="C21" s="71">
        <v>1680</v>
      </c>
      <c r="D21" s="307">
        <f>$D$20</f>
        <v>14.799999999999999</v>
      </c>
      <c r="E21" s="308">
        <f>$E$20</f>
        <v>198</v>
      </c>
      <c r="F21" s="309">
        <f>$F$20</f>
        <v>8.4700000000000006</v>
      </c>
      <c r="G21" s="317">
        <f>$G$20</f>
        <v>14.6</v>
      </c>
      <c r="H21" s="308">
        <f>$H$20</f>
        <v>195</v>
      </c>
      <c r="I21" s="309">
        <f>$I$20</f>
        <v>8.23</v>
      </c>
      <c r="J21" s="317">
        <f>$J$20</f>
        <v>14.6</v>
      </c>
      <c r="K21" s="308">
        <f>$K$20</f>
        <v>191</v>
      </c>
      <c r="L21" s="309">
        <f>$L$20</f>
        <v>8.33</v>
      </c>
    </row>
    <row r="22" spans="2:14" s="38" customFormat="1" ht="26.1" customHeight="1">
      <c r="B22" s="132">
        <f t="shared" si="5"/>
        <v>44718.763888888891</v>
      </c>
      <c r="C22" s="71">
        <v>1920</v>
      </c>
      <c r="D22" s="307">
        <f t="shared" ref="D22:D23" si="10">$D$20</f>
        <v>14.799999999999999</v>
      </c>
      <c r="E22" s="308">
        <f t="shared" ref="E22:E23" si="11">$E$20</f>
        <v>198</v>
      </c>
      <c r="F22" s="309">
        <f t="shared" ref="F22:F23" si="12">$F$20</f>
        <v>8.4700000000000006</v>
      </c>
      <c r="G22" s="317">
        <f t="shared" ref="G22:G23" si="13">$G$20</f>
        <v>14.6</v>
      </c>
      <c r="H22" s="308">
        <f t="shared" ref="H22:H23" si="14">$H$20</f>
        <v>195</v>
      </c>
      <c r="I22" s="309">
        <f t="shared" ref="I22:I23" si="15">$I$20</f>
        <v>8.23</v>
      </c>
      <c r="J22" s="317">
        <f t="shared" ref="J22:J23" si="16">$J$20</f>
        <v>14.6</v>
      </c>
      <c r="K22" s="308">
        <f t="shared" ref="K22:K23" si="17">$K$20</f>
        <v>191</v>
      </c>
      <c r="L22" s="309">
        <f t="shared" ref="L22:L23" si="18">$L$20</f>
        <v>8.33</v>
      </c>
    </row>
    <row r="23" spans="2:14" s="38" customFormat="1" ht="26.1" customHeight="1">
      <c r="B23" s="134">
        <f t="shared" si="5"/>
        <v>44719.430555555555</v>
      </c>
      <c r="C23" s="135">
        <v>2880</v>
      </c>
      <c r="D23" s="307">
        <f t="shared" si="10"/>
        <v>14.799999999999999</v>
      </c>
      <c r="E23" s="308">
        <f t="shared" si="11"/>
        <v>198</v>
      </c>
      <c r="F23" s="309">
        <f t="shared" si="12"/>
        <v>8.4700000000000006</v>
      </c>
      <c r="G23" s="317">
        <f t="shared" si="13"/>
        <v>14.6</v>
      </c>
      <c r="H23" s="308">
        <f t="shared" si="14"/>
        <v>195</v>
      </c>
      <c r="I23" s="309">
        <f t="shared" si="15"/>
        <v>8.23</v>
      </c>
      <c r="J23" s="317">
        <f t="shared" si="16"/>
        <v>14.6</v>
      </c>
      <c r="K23" s="308">
        <f t="shared" si="17"/>
        <v>191</v>
      </c>
      <c r="L23" s="309">
        <f t="shared" si="18"/>
        <v>8.33</v>
      </c>
    </row>
    <row r="24" spans="2:14" s="38" customFormat="1" ht="26.1" customHeight="1">
      <c r="B24" s="558" t="s">
        <v>36</v>
      </c>
      <c r="C24" s="559"/>
      <c r="D24" s="310">
        <f>MAX(D14:D23)</f>
        <v>14.799999999999999</v>
      </c>
      <c r="E24" s="311">
        <f t="shared" ref="E24:F24" si="19">MAX(E14:E23)</f>
        <v>199</v>
      </c>
      <c r="F24" s="312">
        <f t="shared" si="19"/>
        <v>8.51</v>
      </c>
      <c r="G24" s="310">
        <f>MAX(G14:G23)</f>
        <v>14.7</v>
      </c>
      <c r="H24" s="311">
        <f t="shared" ref="H24:I24" si="20">MAX(H14:H23)</f>
        <v>200</v>
      </c>
      <c r="I24" s="312">
        <f t="shared" si="20"/>
        <v>8.42</v>
      </c>
      <c r="J24" s="310">
        <f>MAX(J14:J23)</f>
        <v>14.799999999999999</v>
      </c>
      <c r="K24" s="311">
        <f t="shared" ref="K24:L24" si="21">MAX(K14:K23)</f>
        <v>196</v>
      </c>
      <c r="L24" s="312">
        <f t="shared" si="21"/>
        <v>8.52</v>
      </c>
    </row>
    <row r="25" spans="2:14" s="38" customFormat="1" ht="26.1" customHeight="1">
      <c r="B25" s="558" t="s">
        <v>37</v>
      </c>
      <c r="C25" s="559"/>
      <c r="D25" s="310">
        <f>MIN(D14:D23)</f>
        <v>14.7</v>
      </c>
      <c r="E25" s="311">
        <f t="shared" ref="E25:F25" si="22">MIN(E14:E23)</f>
        <v>194</v>
      </c>
      <c r="F25" s="312">
        <f t="shared" si="22"/>
        <v>8.2800000000000011</v>
      </c>
      <c r="G25" s="310">
        <f>MIN(G14:G23)</f>
        <v>14.6</v>
      </c>
      <c r="H25" s="311">
        <f t="shared" ref="H25:I25" si="23">MIN(H14:H23)</f>
        <v>194</v>
      </c>
      <c r="I25" s="312">
        <f t="shared" si="23"/>
        <v>8.2000000000000011</v>
      </c>
      <c r="J25" s="310">
        <f>MIN(J14:J23)</f>
        <v>14.6</v>
      </c>
      <c r="K25" s="311">
        <f t="shared" ref="K25:L25" si="24">MIN(K14:K23)</f>
        <v>191</v>
      </c>
      <c r="L25" s="312">
        <f t="shared" si="24"/>
        <v>8.2800000000000011</v>
      </c>
    </row>
    <row r="26" spans="2:14" s="38" customFormat="1" ht="26.1" customHeight="1" thickBot="1">
      <c r="B26" s="552" t="s">
        <v>92</v>
      </c>
      <c r="C26" s="553"/>
      <c r="D26" s="314">
        <f>D24-D25</f>
        <v>9.9999999999999645E-2</v>
      </c>
      <c r="E26" s="315">
        <f t="shared" ref="E26:F26" si="25">E24-E25</f>
        <v>5</v>
      </c>
      <c r="F26" s="316">
        <f t="shared" si="25"/>
        <v>0.22999999999999865</v>
      </c>
      <c r="G26" s="314">
        <f>G24-G25</f>
        <v>9.9999999999999645E-2</v>
      </c>
      <c r="H26" s="315">
        <f t="shared" ref="H26:I26" si="26">H24-H25</f>
        <v>6</v>
      </c>
      <c r="I26" s="316">
        <f t="shared" si="26"/>
        <v>0.21999999999999886</v>
      </c>
      <c r="J26" s="314">
        <f>J24-J25</f>
        <v>0.19999999999999929</v>
      </c>
      <c r="K26" s="315">
        <f t="shared" ref="K26:L26" si="27">K24-K25</f>
        <v>5</v>
      </c>
      <c r="L26" s="31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54" t="s">
        <v>87</v>
      </c>
      <c r="E29" s="557"/>
      <c r="F29" s="555"/>
      <c r="H29" s="554" t="s">
        <v>158</v>
      </c>
      <c r="I29" s="557"/>
      <c r="J29" s="555"/>
      <c r="L29" s="554" t="s">
        <v>159</v>
      </c>
      <c r="M29" s="557"/>
      <c r="N29" s="555"/>
    </row>
    <row r="30" spans="2:14" s="38" customFormat="1" ht="26.1" customHeight="1">
      <c r="D30" s="127" t="s">
        <v>163</v>
      </c>
      <c r="E30" s="129" t="s">
        <v>164</v>
      </c>
      <c r="F30" s="128" t="s">
        <v>91</v>
      </c>
      <c r="H30" s="127" t="s">
        <v>163</v>
      </c>
      <c r="I30" s="129" t="s">
        <v>164</v>
      </c>
      <c r="J30" s="128" t="s">
        <v>91</v>
      </c>
      <c r="L30" s="127" t="s">
        <v>163</v>
      </c>
      <c r="M30" s="129" t="s">
        <v>164</v>
      </c>
      <c r="N30" s="128" t="s">
        <v>91</v>
      </c>
    </row>
    <row r="31" spans="2:14" s="38" customFormat="1" ht="26.1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  <c r="L31" s="138">
        <v>0</v>
      </c>
      <c r="M31" s="70">
        <v>1</v>
      </c>
      <c r="N31" s="139">
        <v>-0.12</v>
      </c>
    </row>
    <row r="32" spans="2:14" s="38" customFormat="1" ht="26.1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  <c r="L32" s="138">
        <v>0</v>
      </c>
      <c r="M32" s="70">
        <v>-2</v>
      </c>
      <c r="N32" s="139">
        <v>0.09</v>
      </c>
    </row>
    <row r="33" spans="4:14" s="38" customFormat="1" ht="26.1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  <c r="L33" s="138">
        <v>0.1</v>
      </c>
      <c r="M33" s="70">
        <v>-1</v>
      </c>
      <c r="N33" s="139">
        <v>0.11</v>
      </c>
    </row>
    <row r="34" spans="4:14" s="38" customFormat="1" ht="26.1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  <c r="L34" s="138">
        <v>0.1</v>
      </c>
      <c r="M34" s="70">
        <v>2</v>
      </c>
      <c r="N34" s="139">
        <v>-0.1</v>
      </c>
    </row>
    <row r="35" spans="4:14" s="38" customFormat="1" ht="26.1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  <c r="L35" s="138">
        <v>-0.1</v>
      </c>
      <c r="M35" s="70">
        <v>2</v>
      </c>
      <c r="N35" s="139">
        <v>0.12</v>
      </c>
    </row>
    <row r="36" spans="4:14" s="38" customFormat="1" ht="26.1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  <c r="L36" s="138">
        <v>0.1</v>
      </c>
      <c r="M36" s="70">
        <v>-3</v>
      </c>
      <c r="N36" s="139">
        <v>-0.12</v>
      </c>
    </row>
    <row r="37" spans="4:14" s="38" customFormat="1" ht="26.1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  <c r="L37" s="138">
        <v>-0.1</v>
      </c>
      <c r="M37" s="70">
        <v>-3</v>
      </c>
      <c r="N37" s="139">
        <v>-7.0000000000000007E-2</v>
      </c>
    </row>
    <row r="38" spans="4:14" ht="26.1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  <c r="L38" s="138">
        <v>-0.1</v>
      </c>
      <c r="M38" s="70">
        <v>-1</v>
      </c>
      <c r="N38" s="139">
        <v>0.1</v>
      </c>
    </row>
    <row r="39" spans="4:14" ht="26.1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  <c r="L39" s="138">
        <v>0.1</v>
      </c>
      <c r="M39" s="70">
        <v>-1</v>
      </c>
      <c r="N39" s="139">
        <v>0.11</v>
      </c>
    </row>
    <row r="40" spans="4:14" ht="26.1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  <c r="L40" s="140">
        <v>0</v>
      </c>
      <c r="M40" s="73">
        <v>-2</v>
      </c>
      <c r="N40" s="141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autoPict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autoPict="0" r:id="rId7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1" r:id="rId10" name="CommandButton1">
          <controlPr defaultSize="0" autoLine="0" autoPict="0" r:id="rId11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114300</xdr:rowOff>
              </to>
            </anchor>
          </controlPr>
        </control>
      </mc:Choice>
      <mc:Fallback>
        <control shapeId="128001" r:id="rId10" name="CommandButton1"/>
      </mc:Fallback>
    </mc:AlternateContent>
    <mc:AlternateContent xmlns:mc="http://schemas.openxmlformats.org/markup-compatibility/2006">
      <mc:Choice Requires="x14">
        <control shapeId="128002" r:id="rId12" name="CommandButton2">
          <controlPr defaultSize="0" autoLine="0" autoPict="0" r:id="rId13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95250</xdr:rowOff>
              </to>
            </anchor>
          </controlPr>
        </control>
      </mc:Choice>
      <mc:Fallback>
        <control shapeId="128002" r:id="rId12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13</vt:i4>
      </vt:variant>
    </vt:vector>
  </HeadingPairs>
  <TitlesOfParts>
    <vt:vector size="35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2023-03-23T10:36:32Z</dcterms:modified>
</cp:coreProperties>
</file>